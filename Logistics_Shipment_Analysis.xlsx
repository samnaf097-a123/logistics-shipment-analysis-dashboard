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SAMNAF097\Downloads\"/>
    </mc:Choice>
  </mc:AlternateContent>
  <xr:revisionPtr revIDLastSave="0" documentId="8_{5BAF5937-FF92-49F0-B3C1-6B731F49F1DC}" xr6:coauthVersionLast="47" xr6:coauthVersionMax="47" xr10:uidLastSave="{00000000-0000-0000-0000-000000000000}"/>
  <bookViews>
    <workbookView xWindow="-120" yWindow="-120" windowWidth="20730" windowHeight="11040" xr2:uid="{F817981D-05D1-4DEB-BE71-E99A340A6C10}"/>
  </bookViews>
  <sheets>
    <sheet name="clean-data workspace" sheetId="1" r:id="rId1"/>
    <sheet name="pivot table" sheetId="2" r:id="rId2"/>
    <sheet name="logistics dashboard" sheetId="3" r:id="rId3"/>
    <sheet name="logistics analysis report" sheetId="4" r:id="rId4"/>
  </sheets>
  <externalReferences>
    <externalReference r:id="rId5"/>
    <externalReference r:id="rId6"/>
  </externalReferences>
  <definedNames>
    <definedName name="_xlnm._FilterDatabase" localSheetId="0" hidden="1">'clean-data workspace'!$A$1:$T$1601</definedName>
    <definedName name="Slicer_Carrier">#N/A</definedName>
    <definedName name="Slicer_Carrier1">#N/A</definedName>
    <definedName name="Slicer_DeliveryStatus">#N/A</definedName>
    <definedName name="Slicer_DeliveryStatus1">#N/A</definedName>
    <definedName name="Slicer_ShipmentMode">#N/A</definedName>
    <definedName name="Slicer_ShipmentMode1">#N/A</definedName>
  </definedNames>
  <calcPr calcId="191029" iterateDelta="1E-4"/>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70" i="2" l="1"/>
  <c r="J170" i="2" s="1"/>
  <c r="I169" i="2"/>
  <c r="J169" i="2" s="1"/>
  <c r="I168" i="2"/>
  <c r="J168" i="2" s="1"/>
  <c r="I167" i="2"/>
  <c r="J167" i="2" s="1"/>
  <c r="I166" i="2"/>
  <c r="J166" i="2" s="1"/>
  <c r="I165" i="2"/>
  <c r="J165" i="2" s="1"/>
  <c r="I164" i="2"/>
  <c r="J164" i="2" s="1"/>
  <c r="N88" i="2"/>
  <c r="N87" i="2"/>
  <c r="L87" i="2"/>
  <c r="N86" i="2"/>
  <c r="L86" i="2"/>
  <c r="N85" i="2"/>
  <c r="L85" i="2"/>
  <c r="N84" i="2"/>
  <c r="L84" i="2"/>
  <c r="N83" i="2"/>
  <c r="L83" i="2"/>
  <c r="T1601" i="1"/>
  <c r="S1601" i="1"/>
  <c r="Q1601" i="1"/>
  <c r="P1601" i="1"/>
  <c r="M1601" i="1"/>
  <c r="N1601" i="1" s="1"/>
  <c r="O1601" i="1" s="1"/>
  <c r="L1601" i="1"/>
  <c r="K1601" i="1"/>
  <c r="R1601" i="1" s="1"/>
  <c r="J1601" i="1"/>
  <c r="H1601" i="1"/>
  <c r="G1601" i="1"/>
  <c r="F1601" i="1"/>
  <c r="E1601" i="1"/>
  <c r="D1601" i="1"/>
  <c r="I1601" i="1" s="1"/>
  <c r="C1601" i="1"/>
  <c r="B1601" i="1"/>
  <c r="A1601" i="1"/>
  <c r="T1600" i="1"/>
  <c r="S1600" i="1"/>
  <c r="Q1600" i="1"/>
  <c r="P1600" i="1"/>
  <c r="M1600" i="1"/>
  <c r="N1600" i="1" s="1"/>
  <c r="O1600" i="1" s="1"/>
  <c r="L1600" i="1"/>
  <c r="K1600" i="1"/>
  <c r="R1600" i="1" s="1"/>
  <c r="J1600" i="1"/>
  <c r="H1600" i="1"/>
  <c r="G1600" i="1"/>
  <c r="F1600" i="1"/>
  <c r="E1600" i="1"/>
  <c r="D1600" i="1"/>
  <c r="I1600" i="1" s="1"/>
  <c r="C1600" i="1"/>
  <c r="B1600" i="1"/>
  <c r="A1600" i="1"/>
  <c r="T1599" i="1"/>
  <c r="S1599" i="1"/>
  <c r="Q1599" i="1"/>
  <c r="P1599" i="1"/>
  <c r="M1599" i="1"/>
  <c r="N1599" i="1" s="1"/>
  <c r="O1599" i="1" s="1"/>
  <c r="L1599" i="1"/>
  <c r="K1599" i="1"/>
  <c r="R1599" i="1" s="1"/>
  <c r="J1599" i="1"/>
  <c r="H1599" i="1"/>
  <c r="G1599" i="1"/>
  <c r="F1599" i="1"/>
  <c r="E1599" i="1"/>
  <c r="D1599" i="1"/>
  <c r="I1599" i="1" s="1"/>
  <c r="C1599" i="1"/>
  <c r="B1599" i="1"/>
  <c r="A1599" i="1"/>
  <c r="T1598" i="1"/>
  <c r="S1598" i="1"/>
  <c r="Q1598" i="1"/>
  <c r="M1598" i="1"/>
  <c r="L1598" i="1"/>
  <c r="K1598" i="1"/>
  <c r="R1598" i="1" s="1"/>
  <c r="J1598" i="1"/>
  <c r="H1598" i="1"/>
  <c r="G1598" i="1"/>
  <c r="F1598" i="1"/>
  <c r="E1598" i="1"/>
  <c r="D1598" i="1"/>
  <c r="I1598" i="1" s="1"/>
  <c r="C1598" i="1"/>
  <c r="B1598" i="1"/>
  <c r="A1598" i="1"/>
  <c r="T1597" i="1"/>
  <c r="S1597" i="1"/>
  <c r="R1597" i="1"/>
  <c r="Q1597" i="1"/>
  <c r="M1597" i="1"/>
  <c r="L1597" i="1"/>
  <c r="K1597" i="1"/>
  <c r="J1597" i="1"/>
  <c r="H1597" i="1"/>
  <c r="G1597" i="1"/>
  <c r="F1597" i="1"/>
  <c r="E1597" i="1"/>
  <c r="D1597" i="1"/>
  <c r="I1597" i="1" s="1"/>
  <c r="C1597" i="1"/>
  <c r="B1597" i="1"/>
  <c r="N1597" i="1" s="1"/>
  <c r="A1597" i="1"/>
  <c r="T1596" i="1"/>
  <c r="S1596" i="1"/>
  <c r="Q1596" i="1"/>
  <c r="P1596" i="1"/>
  <c r="M1596" i="1"/>
  <c r="L1596" i="1"/>
  <c r="K1596" i="1"/>
  <c r="J1596" i="1"/>
  <c r="R1596" i="1" s="1"/>
  <c r="H1596" i="1"/>
  <c r="G1596" i="1"/>
  <c r="F1596" i="1"/>
  <c r="E1596" i="1"/>
  <c r="D1596" i="1"/>
  <c r="I1596" i="1" s="1"/>
  <c r="C1596" i="1"/>
  <c r="B1596" i="1"/>
  <c r="N1596" i="1" s="1"/>
  <c r="O1596" i="1" s="1"/>
  <c r="A1596" i="1"/>
  <c r="T1595" i="1"/>
  <c r="S1595" i="1"/>
  <c r="R1595" i="1"/>
  <c r="Q1595" i="1"/>
  <c r="M1595" i="1"/>
  <c r="L1595" i="1"/>
  <c r="K1595" i="1"/>
  <c r="J1595" i="1"/>
  <c r="H1595" i="1"/>
  <c r="G1595" i="1"/>
  <c r="F1595" i="1"/>
  <c r="E1595" i="1"/>
  <c r="D1595" i="1"/>
  <c r="I1595" i="1" s="1"/>
  <c r="C1595" i="1"/>
  <c r="B1595" i="1"/>
  <c r="N1595" i="1" s="1"/>
  <c r="A1595" i="1"/>
  <c r="T1594" i="1"/>
  <c r="S1594" i="1"/>
  <c r="Q1594" i="1"/>
  <c r="M1594" i="1"/>
  <c r="L1594" i="1"/>
  <c r="K1594" i="1"/>
  <c r="J1594" i="1"/>
  <c r="R1594" i="1" s="1"/>
  <c r="H1594" i="1"/>
  <c r="G1594" i="1"/>
  <c r="F1594" i="1"/>
  <c r="E1594" i="1"/>
  <c r="D1594" i="1"/>
  <c r="I1594" i="1" s="1"/>
  <c r="C1594" i="1"/>
  <c r="B1594" i="1"/>
  <c r="N1594" i="1" s="1"/>
  <c r="A1594" i="1"/>
  <c r="T1593" i="1"/>
  <c r="S1593" i="1"/>
  <c r="R1593" i="1"/>
  <c r="Q1593" i="1"/>
  <c r="M1593" i="1"/>
  <c r="L1593" i="1"/>
  <c r="K1593" i="1"/>
  <c r="J1593" i="1"/>
  <c r="H1593" i="1"/>
  <c r="G1593" i="1"/>
  <c r="F1593" i="1"/>
  <c r="E1593" i="1"/>
  <c r="D1593" i="1"/>
  <c r="I1593" i="1" s="1"/>
  <c r="C1593" i="1"/>
  <c r="B1593" i="1"/>
  <c r="N1593" i="1" s="1"/>
  <c r="A1593" i="1"/>
  <c r="T1592" i="1"/>
  <c r="S1592" i="1"/>
  <c r="Q1592" i="1"/>
  <c r="N1592" i="1"/>
  <c r="O1592" i="1" s="1"/>
  <c r="M1592" i="1"/>
  <c r="L1592" i="1"/>
  <c r="K1592" i="1"/>
  <c r="J1592" i="1"/>
  <c r="R1592" i="1" s="1"/>
  <c r="H1592" i="1"/>
  <c r="G1592" i="1"/>
  <c r="F1592" i="1"/>
  <c r="E1592" i="1"/>
  <c r="D1592" i="1"/>
  <c r="I1592" i="1" s="1"/>
  <c r="C1592" i="1"/>
  <c r="B1592" i="1"/>
  <c r="A1592" i="1"/>
  <c r="T1591" i="1"/>
  <c r="S1591" i="1"/>
  <c r="R1591" i="1"/>
  <c r="Q1591" i="1"/>
  <c r="M1591" i="1"/>
  <c r="L1591" i="1"/>
  <c r="K1591" i="1"/>
  <c r="J1591" i="1"/>
  <c r="H1591" i="1"/>
  <c r="G1591" i="1"/>
  <c r="F1591" i="1"/>
  <c r="E1591" i="1"/>
  <c r="D1591" i="1"/>
  <c r="I1591" i="1" s="1"/>
  <c r="C1591" i="1"/>
  <c r="B1591" i="1"/>
  <c r="N1591" i="1" s="1"/>
  <c r="A1591" i="1"/>
  <c r="T1590" i="1"/>
  <c r="S1590" i="1"/>
  <c r="Q1590" i="1"/>
  <c r="N1590" i="1"/>
  <c r="M1590" i="1"/>
  <c r="L1590" i="1"/>
  <c r="K1590" i="1"/>
  <c r="J1590" i="1"/>
  <c r="R1590" i="1" s="1"/>
  <c r="H1590" i="1"/>
  <c r="G1590" i="1"/>
  <c r="F1590" i="1"/>
  <c r="E1590" i="1"/>
  <c r="D1590" i="1"/>
  <c r="I1590" i="1" s="1"/>
  <c r="C1590" i="1"/>
  <c r="B1590" i="1"/>
  <c r="A1590" i="1"/>
  <c r="T1589" i="1"/>
  <c r="S1589" i="1"/>
  <c r="R1589" i="1"/>
  <c r="Q1589" i="1"/>
  <c r="M1589" i="1"/>
  <c r="L1589" i="1"/>
  <c r="K1589" i="1"/>
  <c r="J1589" i="1"/>
  <c r="H1589" i="1"/>
  <c r="G1589" i="1"/>
  <c r="F1589" i="1"/>
  <c r="E1589" i="1"/>
  <c r="D1589" i="1"/>
  <c r="I1589" i="1" s="1"/>
  <c r="C1589" i="1"/>
  <c r="B1589" i="1"/>
  <c r="N1589" i="1" s="1"/>
  <c r="A1589" i="1"/>
  <c r="T1588" i="1"/>
  <c r="S1588" i="1"/>
  <c r="Q1588" i="1"/>
  <c r="M1588" i="1"/>
  <c r="L1588" i="1"/>
  <c r="K1588" i="1"/>
  <c r="J1588" i="1"/>
  <c r="R1588" i="1" s="1"/>
  <c r="H1588" i="1"/>
  <c r="G1588" i="1"/>
  <c r="F1588" i="1"/>
  <c r="E1588" i="1"/>
  <c r="D1588" i="1"/>
  <c r="I1588" i="1" s="1"/>
  <c r="C1588" i="1"/>
  <c r="B1588" i="1"/>
  <c r="N1588" i="1" s="1"/>
  <c r="O1588" i="1" s="1"/>
  <c r="A1588" i="1"/>
  <c r="T1587" i="1"/>
  <c r="S1587" i="1"/>
  <c r="R1587" i="1"/>
  <c r="Q1587" i="1"/>
  <c r="M1587" i="1"/>
  <c r="L1587" i="1"/>
  <c r="K1587" i="1"/>
  <c r="J1587" i="1"/>
  <c r="H1587" i="1"/>
  <c r="G1587" i="1"/>
  <c r="F1587" i="1"/>
  <c r="E1587" i="1"/>
  <c r="D1587" i="1"/>
  <c r="I1587" i="1" s="1"/>
  <c r="C1587" i="1"/>
  <c r="B1587" i="1"/>
  <c r="N1587" i="1" s="1"/>
  <c r="A1587" i="1"/>
  <c r="T1586" i="1"/>
  <c r="S1586" i="1"/>
  <c r="Q1586" i="1"/>
  <c r="M1586" i="1"/>
  <c r="L1586" i="1"/>
  <c r="K1586" i="1"/>
  <c r="J1586" i="1"/>
  <c r="R1586" i="1" s="1"/>
  <c r="H1586" i="1"/>
  <c r="G1586" i="1"/>
  <c r="F1586" i="1"/>
  <c r="E1586" i="1"/>
  <c r="D1586" i="1"/>
  <c r="I1586" i="1" s="1"/>
  <c r="C1586" i="1"/>
  <c r="B1586" i="1"/>
  <c r="N1586" i="1" s="1"/>
  <c r="A1586" i="1"/>
  <c r="T1585" i="1"/>
  <c r="S1585" i="1"/>
  <c r="R1585" i="1"/>
  <c r="Q1585" i="1"/>
  <c r="M1585" i="1"/>
  <c r="L1585" i="1"/>
  <c r="K1585" i="1"/>
  <c r="J1585" i="1"/>
  <c r="H1585" i="1"/>
  <c r="G1585" i="1"/>
  <c r="F1585" i="1"/>
  <c r="E1585" i="1"/>
  <c r="D1585" i="1"/>
  <c r="I1585" i="1" s="1"/>
  <c r="C1585" i="1"/>
  <c r="B1585" i="1"/>
  <c r="N1585" i="1" s="1"/>
  <c r="A1585" i="1"/>
  <c r="T1584" i="1"/>
  <c r="S1584" i="1"/>
  <c r="Q1584" i="1"/>
  <c r="N1584" i="1"/>
  <c r="O1584" i="1" s="1"/>
  <c r="M1584" i="1"/>
  <c r="L1584" i="1"/>
  <c r="K1584" i="1"/>
  <c r="J1584" i="1"/>
  <c r="R1584" i="1" s="1"/>
  <c r="H1584" i="1"/>
  <c r="G1584" i="1"/>
  <c r="F1584" i="1"/>
  <c r="E1584" i="1"/>
  <c r="D1584" i="1"/>
  <c r="I1584" i="1" s="1"/>
  <c r="C1584" i="1"/>
  <c r="B1584" i="1"/>
  <c r="A1584" i="1"/>
  <c r="T1583" i="1"/>
  <c r="S1583" i="1"/>
  <c r="R1583" i="1"/>
  <c r="Q1583" i="1"/>
  <c r="M1583" i="1"/>
  <c r="L1583" i="1"/>
  <c r="K1583" i="1"/>
  <c r="J1583" i="1"/>
  <c r="H1583" i="1"/>
  <c r="G1583" i="1"/>
  <c r="F1583" i="1"/>
  <c r="E1583" i="1"/>
  <c r="D1583" i="1"/>
  <c r="I1583" i="1" s="1"/>
  <c r="C1583" i="1"/>
  <c r="B1583" i="1"/>
  <c r="N1583" i="1" s="1"/>
  <c r="A1583" i="1"/>
  <c r="T1582" i="1"/>
  <c r="S1582" i="1"/>
  <c r="Q1582" i="1"/>
  <c r="N1582" i="1"/>
  <c r="M1582" i="1"/>
  <c r="L1582" i="1"/>
  <c r="K1582" i="1"/>
  <c r="J1582" i="1"/>
  <c r="R1582" i="1" s="1"/>
  <c r="H1582" i="1"/>
  <c r="G1582" i="1"/>
  <c r="F1582" i="1"/>
  <c r="E1582" i="1"/>
  <c r="D1582" i="1"/>
  <c r="I1582" i="1" s="1"/>
  <c r="C1582" i="1"/>
  <c r="B1582" i="1"/>
  <c r="A1582" i="1"/>
  <c r="T1581" i="1"/>
  <c r="S1581" i="1"/>
  <c r="R1581" i="1"/>
  <c r="Q1581" i="1"/>
  <c r="M1581" i="1"/>
  <c r="L1581" i="1"/>
  <c r="K1581" i="1"/>
  <c r="J1581" i="1"/>
  <c r="H1581" i="1"/>
  <c r="G1581" i="1"/>
  <c r="F1581" i="1"/>
  <c r="E1581" i="1"/>
  <c r="D1581" i="1"/>
  <c r="I1581" i="1" s="1"/>
  <c r="C1581" i="1"/>
  <c r="B1581" i="1"/>
  <c r="N1581" i="1" s="1"/>
  <c r="A1581" i="1"/>
  <c r="T1580" i="1"/>
  <c r="S1580" i="1"/>
  <c r="Q1580" i="1"/>
  <c r="P1580" i="1"/>
  <c r="M1580" i="1"/>
  <c r="L1580" i="1"/>
  <c r="K1580" i="1"/>
  <c r="J1580" i="1"/>
  <c r="R1580" i="1" s="1"/>
  <c r="H1580" i="1"/>
  <c r="G1580" i="1"/>
  <c r="F1580" i="1"/>
  <c r="E1580" i="1"/>
  <c r="D1580" i="1"/>
  <c r="I1580" i="1" s="1"/>
  <c r="C1580" i="1"/>
  <c r="B1580" i="1"/>
  <c r="N1580" i="1" s="1"/>
  <c r="O1580" i="1" s="1"/>
  <c r="A1580" i="1"/>
  <c r="T1579" i="1"/>
  <c r="S1579" i="1"/>
  <c r="R1579" i="1"/>
  <c r="Q1579" i="1"/>
  <c r="M1579" i="1"/>
  <c r="L1579" i="1"/>
  <c r="K1579" i="1"/>
  <c r="J1579" i="1"/>
  <c r="H1579" i="1"/>
  <c r="G1579" i="1"/>
  <c r="F1579" i="1"/>
  <c r="E1579" i="1"/>
  <c r="D1579" i="1"/>
  <c r="I1579" i="1" s="1"/>
  <c r="C1579" i="1"/>
  <c r="B1579" i="1"/>
  <c r="N1579" i="1" s="1"/>
  <c r="A1579" i="1"/>
  <c r="T1578" i="1"/>
  <c r="S1578" i="1"/>
  <c r="Q1578" i="1"/>
  <c r="M1578" i="1"/>
  <c r="L1578" i="1"/>
  <c r="K1578" i="1"/>
  <c r="J1578" i="1"/>
  <c r="R1578" i="1" s="1"/>
  <c r="H1578" i="1"/>
  <c r="G1578" i="1"/>
  <c r="F1578" i="1"/>
  <c r="E1578" i="1"/>
  <c r="D1578" i="1"/>
  <c r="I1578" i="1" s="1"/>
  <c r="C1578" i="1"/>
  <c r="B1578" i="1"/>
  <c r="N1578" i="1" s="1"/>
  <c r="A1578" i="1"/>
  <c r="T1577" i="1"/>
  <c r="S1577" i="1"/>
  <c r="R1577" i="1"/>
  <c r="Q1577" i="1"/>
  <c r="M1577" i="1"/>
  <c r="L1577" i="1"/>
  <c r="K1577" i="1"/>
  <c r="J1577" i="1"/>
  <c r="H1577" i="1"/>
  <c r="G1577" i="1"/>
  <c r="F1577" i="1"/>
  <c r="E1577" i="1"/>
  <c r="D1577" i="1"/>
  <c r="I1577" i="1" s="1"/>
  <c r="C1577" i="1"/>
  <c r="B1577" i="1"/>
  <c r="N1577" i="1" s="1"/>
  <c r="A1577" i="1"/>
  <c r="T1576" i="1"/>
  <c r="S1576" i="1"/>
  <c r="Q1576" i="1"/>
  <c r="N1576" i="1"/>
  <c r="O1576" i="1" s="1"/>
  <c r="M1576" i="1"/>
  <c r="L1576" i="1"/>
  <c r="K1576" i="1"/>
  <c r="J1576" i="1"/>
  <c r="R1576" i="1" s="1"/>
  <c r="H1576" i="1"/>
  <c r="G1576" i="1"/>
  <c r="F1576" i="1"/>
  <c r="E1576" i="1"/>
  <c r="D1576" i="1"/>
  <c r="I1576" i="1" s="1"/>
  <c r="C1576" i="1"/>
  <c r="B1576" i="1"/>
  <c r="A1576" i="1"/>
  <c r="T1575" i="1"/>
  <c r="S1575" i="1"/>
  <c r="R1575" i="1"/>
  <c r="Q1575" i="1"/>
  <c r="M1575" i="1"/>
  <c r="L1575" i="1"/>
  <c r="K1575" i="1"/>
  <c r="J1575" i="1"/>
  <c r="H1575" i="1"/>
  <c r="G1575" i="1"/>
  <c r="F1575" i="1"/>
  <c r="E1575" i="1"/>
  <c r="D1575" i="1"/>
  <c r="I1575" i="1" s="1"/>
  <c r="C1575" i="1"/>
  <c r="B1575" i="1"/>
  <c r="N1575" i="1" s="1"/>
  <c r="A1575" i="1"/>
  <c r="T1574" i="1"/>
  <c r="S1574" i="1"/>
  <c r="Q1574" i="1"/>
  <c r="N1574" i="1"/>
  <c r="M1574" i="1"/>
  <c r="L1574" i="1"/>
  <c r="K1574" i="1"/>
  <c r="J1574" i="1"/>
  <c r="R1574" i="1" s="1"/>
  <c r="H1574" i="1"/>
  <c r="G1574" i="1"/>
  <c r="F1574" i="1"/>
  <c r="E1574" i="1"/>
  <c r="D1574" i="1"/>
  <c r="I1574" i="1" s="1"/>
  <c r="C1574" i="1"/>
  <c r="B1574" i="1"/>
  <c r="A1574" i="1"/>
  <c r="T1573" i="1"/>
  <c r="S1573" i="1"/>
  <c r="R1573" i="1"/>
  <c r="Q1573" i="1"/>
  <c r="M1573" i="1"/>
  <c r="L1573" i="1"/>
  <c r="K1573" i="1"/>
  <c r="J1573" i="1"/>
  <c r="H1573" i="1"/>
  <c r="G1573" i="1"/>
  <c r="F1573" i="1"/>
  <c r="E1573" i="1"/>
  <c r="D1573" i="1"/>
  <c r="I1573" i="1" s="1"/>
  <c r="C1573" i="1"/>
  <c r="B1573" i="1"/>
  <c r="N1573" i="1" s="1"/>
  <c r="A1573" i="1"/>
  <c r="T1572" i="1"/>
  <c r="S1572" i="1"/>
  <c r="Q1572" i="1"/>
  <c r="M1572" i="1"/>
  <c r="L1572" i="1"/>
  <c r="K1572" i="1"/>
  <c r="J1572" i="1"/>
  <c r="R1572" i="1" s="1"/>
  <c r="H1572" i="1"/>
  <c r="G1572" i="1"/>
  <c r="F1572" i="1"/>
  <c r="E1572" i="1"/>
  <c r="D1572" i="1"/>
  <c r="I1572" i="1" s="1"/>
  <c r="C1572" i="1"/>
  <c r="B1572" i="1"/>
  <c r="N1572" i="1" s="1"/>
  <c r="O1572" i="1" s="1"/>
  <c r="A1572" i="1"/>
  <c r="T1571" i="1"/>
  <c r="S1571" i="1"/>
  <c r="R1571" i="1"/>
  <c r="Q1571" i="1"/>
  <c r="M1571" i="1"/>
  <c r="L1571" i="1"/>
  <c r="K1571" i="1"/>
  <c r="J1571" i="1"/>
  <c r="H1571" i="1"/>
  <c r="G1571" i="1"/>
  <c r="F1571" i="1"/>
  <c r="E1571" i="1"/>
  <c r="D1571" i="1"/>
  <c r="I1571" i="1" s="1"/>
  <c r="C1571" i="1"/>
  <c r="B1571" i="1"/>
  <c r="N1571" i="1" s="1"/>
  <c r="A1571" i="1"/>
  <c r="T1570" i="1"/>
  <c r="S1570" i="1"/>
  <c r="Q1570" i="1"/>
  <c r="M1570" i="1"/>
  <c r="L1570" i="1"/>
  <c r="K1570" i="1"/>
  <c r="J1570" i="1"/>
  <c r="R1570" i="1" s="1"/>
  <c r="H1570" i="1"/>
  <c r="G1570" i="1"/>
  <c r="F1570" i="1"/>
  <c r="E1570" i="1"/>
  <c r="D1570" i="1"/>
  <c r="I1570" i="1" s="1"/>
  <c r="C1570" i="1"/>
  <c r="B1570" i="1"/>
  <c r="N1570" i="1" s="1"/>
  <c r="A1570" i="1"/>
  <c r="T1569" i="1"/>
  <c r="S1569" i="1"/>
  <c r="R1569" i="1"/>
  <c r="Q1569" i="1"/>
  <c r="M1569" i="1"/>
  <c r="L1569" i="1"/>
  <c r="K1569" i="1"/>
  <c r="J1569" i="1"/>
  <c r="H1569" i="1"/>
  <c r="G1569" i="1"/>
  <c r="F1569" i="1"/>
  <c r="E1569" i="1"/>
  <c r="D1569" i="1"/>
  <c r="I1569" i="1" s="1"/>
  <c r="C1569" i="1"/>
  <c r="B1569" i="1"/>
  <c r="N1569" i="1" s="1"/>
  <c r="A1569" i="1"/>
  <c r="T1568" i="1"/>
  <c r="S1568" i="1"/>
  <c r="Q1568" i="1"/>
  <c r="N1568" i="1"/>
  <c r="O1568" i="1" s="1"/>
  <c r="M1568" i="1"/>
  <c r="L1568" i="1"/>
  <c r="K1568" i="1"/>
  <c r="J1568" i="1"/>
  <c r="R1568" i="1" s="1"/>
  <c r="H1568" i="1"/>
  <c r="G1568" i="1"/>
  <c r="F1568" i="1"/>
  <c r="E1568" i="1"/>
  <c r="D1568" i="1"/>
  <c r="I1568" i="1" s="1"/>
  <c r="C1568" i="1"/>
  <c r="B1568" i="1"/>
  <c r="A1568" i="1"/>
  <c r="T1567" i="1"/>
  <c r="S1567" i="1"/>
  <c r="R1567" i="1"/>
  <c r="Q1567" i="1"/>
  <c r="M1567" i="1"/>
  <c r="L1567" i="1"/>
  <c r="K1567" i="1"/>
  <c r="J1567" i="1"/>
  <c r="H1567" i="1"/>
  <c r="G1567" i="1"/>
  <c r="F1567" i="1"/>
  <c r="E1567" i="1"/>
  <c r="D1567" i="1"/>
  <c r="I1567" i="1" s="1"/>
  <c r="C1567" i="1"/>
  <c r="B1567" i="1"/>
  <c r="N1567" i="1" s="1"/>
  <c r="A1567" i="1"/>
  <c r="T1566" i="1"/>
  <c r="S1566" i="1"/>
  <c r="Q1566" i="1"/>
  <c r="N1566" i="1"/>
  <c r="M1566" i="1"/>
  <c r="L1566" i="1"/>
  <c r="K1566" i="1"/>
  <c r="J1566" i="1"/>
  <c r="R1566" i="1" s="1"/>
  <c r="H1566" i="1"/>
  <c r="G1566" i="1"/>
  <c r="F1566" i="1"/>
  <c r="E1566" i="1"/>
  <c r="D1566" i="1"/>
  <c r="I1566" i="1" s="1"/>
  <c r="C1566" i="1"/>
  <c r="B1566" i="1"/>
  <c r="A1566" i="1"/>
  <c r="T1565" i="1"/>
  <c r="S1565" i="1"/>
  <c r="R1565" i="1"/>
  <c r="Q1565" i="1"/>
  <c r="M1565" i="1"/>
  <c r="L1565" i="1"/>
  <c r="K1565" i="1"/>
  <c r="J1565" i="1"/>
  <c r="H1565" i="1"/>
  <c r="G1565" i="1"/>
  <c r="F1565" i="1"/>
  <c r="E1565" i="1"/>
  <c r="D1565" i="1"/>
  <c r="I1565" i="1" s="1"/>
  <c r="C1565" i="1"/>
  <c r="B1565" i="1"/>
  <c r="N1565" i="1" s="1"/>
  <c r="A1565" i="1"/>
  <c r="T1564" i="1"/>
  <c r="S1564" i="1"/>
  <c r="Q1564" i="1"/>
  <c r="P1564" i="1"/>
  <c r="M1564" i="1"/>
  <c r="L1564" i="1"/>
  <c r="K1564" i="1"/>
  <c r="J1564" i="1"/>
  <c r="R1564" i="1" s="1"/>
  <c r="H1564" i="1"/>
  <c r="G1564" i="1"/>
  <c r="F1564" i="1"/>
  <c r="E1564" i="1"/>
  <c r="D1564" i="1"/>
  <c r="I1564" i="1" s="1"/>
  <c r="C1564" i="1"/>
  <c r="B1564" i="1"/>
  <c r="N1564" i="1" s="1"/>
  <c r="O1564" i="1" s="1"/>
  <c r="A1564" i="1"/>
  <c r="T1563" i="1"/>
  <c r="S1563" i="1"/>
  <c r="R1563" i="1"/>
  <c r="Q1563" i="1"/>
  <c r="M1563" i="1"/>
  <c r="L1563" i="1"/>
  <c r="K1563" i="1"/>
  <c r="J1563" i="1"/>
  <c r="H1563" i="1"/>
  <c r="G1563" i="1"/>
  <c r="F1563" i="1"/>
  <c r="E1563" i="1"/>
  <c r="D1563" i="1"/>
  <c r="I1563" i="1" s="1"/>
  <c r="C1563" i="1"/>
  <c r="B1563" i="1"/>
  <c r="N1563" i="1" s="1"/>
  <c r="A1563" i="1"/>
  <c r="T1562" i="1"/>
  <c r="S1562" i="1"/>
  <c r="Q1562" i="1"/>
  <c r="M1562" i="1"/>
  <c r="L1562" i="1"/>
  <c r="K1562" i="1"/>
  <c r="J1562" i="1"/>
  <c r="R1562" i="1" s="1"/>
  <c r="H1562" i="1"/>
  <c r="G1562" i="1"/>
  <c r="F1562" i="1"/>
  <c r="E1562" i="1"/>
  <c r="D1562" i="1"/>
  <c r="I1562" i="1" s="1"/>
  <c r="C1562" i="1"/>
  <c r="B1562" i="1"/>
  <c r="N1562" i="1" s="1"/>
  <c r="A1562" i="1"/>
  <c r="T1561" i="1"/>
  <c r="S1561" i="1"/>
  <c r="R1561" i="1"/>
  <c r="Q1561" i="1"/>
  <c r="M1561" i="1"/>
  <c r="L1561" i="1"/>
  <c r="K1561" i="1"/>
  <c r="J1561" i="1"/>
  <c r="H1561" i="1"/>
  <c r="G1561" i="1"/>
  <c r="F1561" i="1"/>
  <c r="E1561" i="1"/>
  <c r="D1561" i="1"/>
  <c r="I1561" i="1" s="1"/>
  <c r="C1561" i="1"/>
  <c r="B1561" i="1"/>
  <c r="N1561" i="1" s="1"/>
  <c r="A1561" i="1"/>
  <c r="T1560" i="1"/>
  <c r="S1560" i="1"/>
  <c r="Q1560" i="1"/>
  <c r="N1560" i="1"/>
  <c r="O1560" i="1" s="1"/>
  <c r="M1560" i="1"/>
  <c r="L1560" i="1"/>
  <c r="K1560" i="1"/>
  <c r="J1560" i="1"/>
  <c r="R1560" i="1" s="1"/>
  <c r="H1560" i="1"/>
  <c r="G1560" i="1"/>
  <c r="F1560" i="1"/>
  <c r="E1560" i="1"/>
  <c r="D1560" i="1"/>
  <c r="I1560" i="1" s="1"/>
  <c r="C1560" i="1"/>
  <c r="B1560" i="1"/>
  <c r="A1560" i="1"/>
  <c r="T1559" i="1"/>
  <c r="S1559" i="1"/>
  <c r="R1559" i="1"/>
  <c r="Q1559" i="1"/>
  <c r="M1559" i="1"/>
  <c r="L1559" i="1"/>
  <c r="K1559" i="1"/>
  <c r="J1559" i="1"/>
  <c r="H1559" i="1"/>
  <c r="G1559" i="1"/>
  <c r="F1559" i="1"/>
  <c r="E1559" i="1"/>
  <c r="D1559" i="1"/>
  <c r="I1559" i="1" s="1"/>
  <c r="C1559" i="1"/>
  <c r="B1559" i="1"/>
  <c r="N1559" i="1" s="1"/>
  <c r="A1559" i="1"/>
  <c r="T1558" i="1"/>
  <c r="S1558" i="1"/>
  <c r="Q1558" i="1"/>
  <c r="N1558" i="1"/>
  <c r="M1558" i="1"/>
  <c r="L1558" i="1"/>
  <c r="K1558" i="1"/>
  <c r="J1558" i="1"/>
  <c r="R1558" i="1" s="1"/>
  <c r="H1558" i="1"/>
  <c r="G1558" i="1"/>
  <c r="F1558" i="1"/>
  <c r="E1558" i="1"/>
  <c r="D1558" i="1"/>
  <c r="I1558" i="1" s="1"/>
  <c r="C1558" i="1"/>
  <c r="B1558" i="1"/>
  <c r="A1558" i="1"/>
  <c r="T1557" i="1"/>
  <c r="S1557" i="1"/>
  <c r="R1557" i="1"/>
  <c r="Q1557" i="1"/>
  <c r="P1557" i="1"/>
  <c r="N1557" i="1"/>
  <c r="O1557" i="1" s="1"/>
  <c r="M1557" i="1"/>
  <c r="L1557" i="1"/>
  <c r="K1557" i="1"/>
  <c r="J1557" i="1"/>
  <c r="H1557" i="1"/>
  <c r="G1557" i="1"/>
  <c r="F1557" i="1"/>
  <c r="E1557" i="1"/>
  <c r="D1557" i="1"/>
  <c r="I1557" i="1" s="1"/>
  <c r="C1557" i="1"/>
  <c r="B1557" i="1"/>
  <c r="A1557" i="1"/>
  <c r="T1556" i="1"/>
  <c r="S1556" i="1"/>
  <c r="Q1556" i="1"/>
  <c r="N1556" i="1"/>
  <c r="O1556" i="1" s="1"/>
  <c r="M1556" i="1"/>
  <c r="L1556" i="1"/>
  <c r="K1556" i="1"/>
  <c r="J1556" i="1"/>
  <c r="R1556" i="1" s="1"/>
  <c r="H1556" i="1"/>
  <c r="G1556" i="1"/>
  <c r="F1556" i="1"/>
  <c r="E1556" i="1"/>
  <c r="D1556" i="1"/>
  <c r="I1556" i="1" s="1"/>
  <c r="C1556" i="1"/>
  <c r="B1556" i="1"/>
  <c r="A1556" i="1"/>
  <c r="T1555" i="1"/>
  <c r="S1555" i="1"/>
  <c r="R1555" i="1"/>
  <c r="Q1555" i="1"/>
  <c r="M1555" i="1"/>
  <c r="L1555" i="1"/>
  <c r="K1555" i="1"/>
  <c r="J1555" i="1"/>
  <c r="H1555" i="1"/>
  <c r="G1555" i="1"/>
  <c r="F1555" i="1"/>
  <c r="E1555" i="1"/>
  <c r="D1555" i="1"/>
  <c r="I1555" i="1" s="1"/>
  <c r="C1555" i="1"/>
  <c r="B1555" i="1"/>
  <c r="N1555" i="1" s="1"/>
  <c r="A1555" i="1"/>
  <c r="T1554" i="1"/>
  <c r="S1554" i="1"/>
  <c r="Q1554" i="1"/>
  <c r="N1554" i="1"/>
  <c r="M1554" i="1"/>
  <c r="L1554" i="1"/>
  <c r="K1554" i="1"/>
  <c r="J1554" i="1"/>
  <c r="R1554" i="1" s="1"/>
  <c r="H1554" i="1"/>
  <c r="G1554" i="1"/>
  <c r="F1554" i="1"/>
  <c r="E1554" i="1"/>
  <c r="D1554" i="1"/>
  <c r="I1554" i="1" s="1"/>
  <c r="C1554" i="1"/>
  <c r="B1554" i="1"/>
  <c r="A1554" i="1"/>
  <c r="T1553" i="1"/>
  <c r="S1553" i="1"/>
  <c r="R1553" i="1"/>
  <c r="Q1553" i="1"/>
  <c r="M1553" i="1"/>
  <c r="L1553" i="1"/>
  <c r="K1553" i="1"/>
  <c r="J1553" i="1"/>
  <c r="H1553" i="1"/>
  <c r="G1553" i="1"/>
  <c r="F1553" i="1"/>
  <c r="E1553" i="1"/>
  <c r="D1553" i="1"/>
  <c r="I1553" i="1" s="1"/>
  <c r="C1553" i="1"/>
  <c r="B1553" i="1"/>
  <c r="N1553" i="1" s="1"/>
  <c r="A1553" i="1"/>
  <c r="T1552" i="1"/>
  <c r="S1552" i="1"/>
  <c r="Q1552" i="1"/>
  <c r="M1552" i="1"/>
  <c r="L1552" i="1"/>
  <c r="K1552" i="1"/>
  <c r="J1552" i="1"/>
  <c r="R1552" i="1" s="1"/>
  <c r="H1552" i="1"/>
  <c r="G1552" i="1"/>
  <c r="F1552" i="1"/>
  <c r="E1552" i="1"/>
  <c r="D1552" i="1"/>
  <c r="I1552" i="1" s="1"/>
  <c r="C1552" i="1"/>
  <c r="B1552" i="1"/>
  <c r="N1552" i="1" s="1"/>
  <c r="O1552" i="1" s="1"/>
  <c r="A1552" i="1"/>
  <c r="T1551" i="1"/>
  <c r="S1551" i="1"/>
  <c r="R1551" i="1"/>
  <c r="Q1551" i="1"/>
  <c r="M1551" i="1"/>
  <c r="L1551" i="1"/>
  <c r="K1551" i="1"/>
  <c r="J1551" i="1"/>
  <c r="H1551" i="1"/>
  <c r="G1551" i="1"/>
  <c r="F1551" i="1"/>
  <c r="E1551" i="1"/>
  <c r="D1551" i="1"/>
  <c r="I1551" i="1" s="1"/>
  <c r="C1551" i="1"/>
  <c r="B1551" i="1"/>
  <c r="N1551" i="1" s="1"/>
  <c r="A1551" i="1"/>
  <c r="T1550" i="1"/>
  <c r="S1550" i="1"/>
  <c r="Q1550" i="1"/>
  <c r="N1550" i="1"/>
  <c r="O1550" i="1" s="1"/>
  <c r="M1550" i="1"/>
  <c r="L1550" i="1"/>
  <c r="K1550" i="1"/>
  <c r="J1550" i="1"/>
  <c r="R1550" i="1" s="1"/>
  <c r="H1550" i="1"/>
  <c r="G1550" i="1"/>
  <c r="F1550" i="1"/>
  <c r="E1550" i="1"/>
  <c r="D1550" i="1"/>
  <c r="I1550" i="1" s="1"/>
  <c r="C1550" i="1"/>
  <c r="B1550" i="1"/>
  <c r="A1550" i="1"/>
  <c r="T1549" i="1"/>
  <c r="S1549" i="1"/>
  <c r="R1549" i="1"/>
  <c r="Q1549" i="1"/>
  <c r="M1549" i="1"/>
  <c r="L1549" i="1"/>
  <c r="K1549" i="1"/>
  <c r="J1549" i="1"/>
  <c r="H1549" i="1"/>
  <c r="G1549" i="1"/>
  <c r="F1549" i="1"/>
  <c r="E1549" i="1"/>
  <c r="D1549" i="1"/>
  <c r="I1549" i="1" s="1"/>
  <c r="C1549" i="1"/>
  <c r="B1549" i="1"/>
  <c r="N1549" i="1" s="1"/>
  <c r="A1549" i="1"/>
  <c r="T1548" i="1"/>
  <c r="S1548" i="1"/>
  <c r="Q1548" i="1"/>
  <c r="N1548" i="1"/>
  <c r="O1548" i="1" s="1"/>
  <c r="M1548" i="1"/>
  <c r="L1548" i="1"/>
  <c r="K1548" i="1"/>
  <c r="J1548" i="1"/>
  <c r="R1548" i="1" s="1"/>
  <c r="H1548" i="1"/>
  <c r="G1548" i="1"/>
  <c r="F1548" i="1"/>
  <c r="E1548" i="1"/>
  <c r="D1548" i="1"/>
  <c r="I1548" i="1" s="1"/>
  <c r="C1548" i="1"/>
  <c r="B1548" i="1"/>
  <c r="A1548" i="1"/>
  <c r="T1547" i="1"/>
  <c r="S1547" i="1"/>
  <c r="R1547" i="1"/>
  <c r="Q1547" i="1"/>
  <c r="M1547" i="1"/>
  <c r="L1547" i="1"/>
  <c r="K1547" i="1"/>
  <c r="J1547" i="1"/>
  <c r="H1547" i="1"/>
  <c r="G1547" i="1"/>
  <c r="F1547" i="1"/>
  <c r="E1547" i="1"/>
  <c r="D1547" i="1"/>
  <c r="I1547" i="1" s="1"/>
  <c r="C1547" i="1"/>
  <c r="B1547" i="1"/>
  <c r="N1547" i="1" s="1"/>
  <c r="A1547" i="1"/>
  <c r="T1546" i="1"/>
  <c r="S1546" i="1"/>
  <c r="Q1546" i="1"/>
  <c r="N1546" i="1"/>
  <c r="M1546" i="1"/>
  <c r="L1546" i="1"/>
  <c r="K1546" i="1"/>
  <c r="J1546" i="1"/>
  <c r="R1546" i="1" s="1"/>
  <c r="H1546" i="1"/>
  <c r="G1546" i="1"/>
  <c r="F1546" i="1"/>
  <c r="E1546" i="1"/>
  <c r="D1546" i="1"/>
  <c r="I1546" i="1" s="1"/>
  <c r="C1546" i="1"/>
  <c r="B1546" i="1"/>
  <c r="A1546" i="1"/>
  <c r="T1545" i="1"/>
  <c r="S1545" i="1"/>
  <c r="R1545" i="1"/>
  <c r="Q1545" i="1"/>
  <c r="M1545" i="1"/>
  <c r="L1545" i="1"/>
  <c r="K1545" i="1"/>
  <c r="J1545" i="1"/>
  <c r="H1545" i="1"/>
  <c r="G1545" i="1"/>
  <c r="F1545" i="1"/>
  <c r="E1545" i="1"/>
  <c r="D1545" i="1"/>
  <c r="I1545" i="1" s="1"/>
  <c r="C1545" i="1"/>
  <c r="B1545" i="1"/>
  <c r="N1545" i="1" s="1"/>
  <c r="A1545" i="1"/>
  <c r="T1544" i="1"/>
  <c r="S1544" i="1"/>
  <c r="Q1544" i="1"/>
  <c r="M1544" i="1"/>
  <c r="L1544" i="1"/>
  <c r="K1544" i="1"/>
  <c r="J1544" i="1"/>
  <c r="R1544" i="1" s="1"/>
  <c r="H1544" i="1"/>
  <c r="G1544" i="1"/>
  <c r="F1544" i="1"/>
  <c r="E1544" i="1"/>
  <c r="D1544" i="1"/>
  <c r="I1544" i="1" s="1"/>
  <c r="C1544" i="1"/>
  <c r="B1544" i="1"/>
  <c r="N1544" i="1" s="1"/>
  <c r="O1544" i="1" s="1"/>
  <c r="A1544" i="1"/>
  <c r="T1543" i="1"/>
  <c r="S1543" i="1"/>
  <c r="R1543" i="1"/>
  <c r="Q1543" i="1"/>
  <c r="M1543" i="1"/>
  <c r="L1543" i="1"/>
  <c r="K1543" i="1"/>
  <c r="J1543" i="1"/>
  <c r="H1543" i="1"/>
  <c r="G1543" i="1"/>
  <c r="F1543" i="1"/>
  <c r="E1543" i="1"/>
  <c r="D1543" i="1"/>
  <c r="I1543" i="1" s="1"/>
  <c r="C1543" i="1"/>
  <c r="B1543" i="1"/>
  <c r="N1543" i="1" s="1"/>
  <c r="A1543" i="1"/>
  <c r="T1542" i="1"/>
  <c r="S1542" i="1"/>
  <c r="Q1542" i="1"/>
  <c r="M1542" i="1"/>
  <c r="L1542" i="1"/>
  <c r="K1542" i="1"/>
  <c r="J1542" i="1"/>
  <c r="R1542" i="1" s="1"/>
  <c r="H1542" i="1"/>
  <c r="G1542" i="1"/>
  <c r="F1542" i="1"/>
  <c r="E1542" i="1"/>
  <c r="D1542" i="1"/>
  <c r="I1542" i="1" s="1"/>
  <c r="C1542" i="1"/>
  <c r="B1542" i="1"/>
  <c r="N1542" i="1" s="1"/>
  <c r="A1542" i="1"/>
  <c r="T1541" i="1"/>
  <c r="S1541" i="1"/>
  <c r="R1541" i="1"/>
  <c r="Q1541" i="1"/>
  <c r="M1541" i="1"/>
  <c r="L1541" i="1"/>
  <c r="K1541" i="1"/>
  <c r="J1541" i="1"/>
  <c r="H1541" i="1"/>
  <c r="G1541" i="1"/>
  <c r="F1541" i="1"/>
  <c r="E1541" i="1"/>
  <c r="D1541" i="1"/>
  <c r="I1541" i="1" s="1"/>
  <c r="C1541" i="1"/>
  <c r="B1541" i="1"/>
  <c r="N1541" i="1" s="1"/>
  <c r="A1541" i="1"/>
  <c r="T1540" i="1"/>
  <c r="S1540" i="1"/>
  <c r="Q1540" i="1"/>
  <c r="N1540" i="1"/>
  <c r="O1540" i="1" s="1"/>
  <c r="M1540" i="1"/>
  <c r="L1540" i="1"/>
  <c r="K1540" i="1"/>
  <c r="J1540" i="1"/>
  <c r="R1540" i="1" s="1"/>
  <c r="H1540" i="1"/>
  <c r="G1540" i="1"/>
  <c r="F1540" i="1"/>
  <c r="E1540" i="1"/>
  <c r="D1540" i="1"/>
  <c r="I1540" i="1" s="1"/>
  <c r="C1540" i="1"/>
  <c r="B1540" i="1"/>
  <c r="A1540" i="1"/>
  <c r="T1539" i="1"/>
  <c r="S1539" i="1"/>
  <c r="R1539" i="1"/>
  <c r="Q1539" i="1"/>
  <c r="M1539" i="1"/>
  <c r="L1539" i="1"/>
  <c r="K1539" i="1"/>
  <c r="J1539" i="1"/>
  <c r="H1539" i="1"/>
  <c r="G1539" i="1"/>
  <c r="F1539" i="1"/>
  <c r="E1539" i="1"/>
  <c r="D1539" i="1"/>
  <c r="I1539" i="1" s="1"/>
  <c r="C1539" i="1"/>
  <c r="B1539" i="1"/>
  <c r="N1539" i="1" s="1"/>
  <c r="A1539" i="1"/>
  <c r="T1538" i="1"/>
  <c r="S1538" i="1"/>
  <c r="Q1538" i="1"/>
  <c r="N1538" i="1"/>
  <c r="M1538" i="1"/>
  <c r="L1538" i="1"/>
  <c r="K1538" i="1"/>
  <c r="J1538" i="1"/>
  <c r="R1538" i="1" s="1"/>
  <c r="H1538" i="1"/>
  <c r="G1538" i="1"/>
  <c r="F1538" i="1"/>
  <c r="E1538" i="1"/>
  <c r="D1538" i="1"/>
  <c r="I1538" i="1" s="1"/>
  <c r="C1538" i="1"/>
  <c r="B1538" i="1"/>
  <c r="A1538" i="1"/>
  <c r="T1537" i="1"/>
  <c r="S1537" i="1"/>
  <c r="R1537" i="1"/>
  <c r="Q1537" i="1"/>
  <c r="M1537" i="1"/>
  <c r="L1537" i="1"/>
  <c r="K1537" i="1"/>
  <c r="J1537" i="1"/>
  <c r="H1537" i="1"/>
  <c r="G1537" i="1"/>
  <c r="F1537" i="1"/>
  <c r="E1537" i="1"/>
  <c r="D1537" i="1"/>
  <c r="I1537" i="1" s="1"/>
  <c r="C1537" i="1"/>
  <c r="B1537" i="1"/>
  <c r="N1537" i="1" s="1"/>
  <c r="A1537" i="1"/>
  <c r="T1536" i="1"/>
  <c r="S1536" i="1"/>
  <c r="Q1536" i="1"/>
  <c r="P1536" i="1"/>
  <c r="M1536" i="1"/>
  <c r="L1536" i="1"/>
  <c r="K1536" i="1"/>
  <c r="J1536" i="1"/>
  <c r="R1536" i="1" s="1"/>
  <c r="H1536" i="1"/>
  <c r="G1536" i="1"/>
  <c r="F1536" i="1"/>
  <c r="E1536" i="1"/>
  <c r="D1536" i="1"/>
  <c r="I1536" i="1" s="1"/>
  <c r="C1536" i="1"/>
  <c r="B1536" i="1"/>
  <c r="N1536" i="1" s="1"/>
  <c r="O1536" i="1" s="1"/>
  <c r="A1536" i="1"/>
  <c r="T1535" i="1"/>
  <c r="S1535" i="1"/>
  <c r="R1535" i="1"/>
  <c r="Q1535" i="1"/>
  <c r="M1535" i="1"/>
  <c r="N1535" i="1" s="1"/>
  <c r="L1535" i="1"/>
  <c r="K1535" i="1"/>
  <c r="J1535" i="1"/>
  <c r="H1535" i="1"/>
  <c r="G1535" i="1"/>
  <c r="F1535" i="1"/>
  <c r="E1535" i="1"/>
  <c r="D1535" i="1"/>
  <c r="I1535" i="1" s="1"/>
  <c r="C1535" i="1"/>
  <c r="B1535" i="1"/>
  <c r="A1535" i="1"/>
  <c r="T1534" i="1"/>
  <c r="S1534" i="1"/>
  <c r="Q1534" i="1"/>
  <c r="M1534" i="1"/>
  <c r="L1534" i="1"/>
  <c r="P1534" i="1" s="1"/>
  <c r="K1534" i="1"/>
  <c r="J1534" i="1"/>
  <c r="R1534" i="1" s="1"/>
  <c r="H1534" i="1"/>
  <c r="G1534" i="1"/>
  <c r="F1534" i="1"/>
  <c r="E1534" i="1"/>
  <c r="D1534" i="1"/>
  <c r="I1534" i="1" s="1"/>
  <c r="C1534" i="1"/>
  <c r="B1534" i="1"/>
  <c r="N1534" i="1" s="1"/>
  <c r="A1534" i="1"/>
  <c r="T1533" i="1"/>
  <c r="S1533" i="1"/>
  <c r="Q1533" i="1"/>
  <c r="M1533" i="1"/>
  <c r="L1533" i="1"/>
  <c r="K1533" i="1"/>
  <c r="J1533" i="1"/>
  <c r="R1533" i="1" s="1"/>
  <c r="I1533" i="1"/>
  <c r="H1533" i="1"/>
  <c r="G1533" i="1"/>
  <c r="F1533" i="1"/>
  <c r="E1533" i="1"/>
  <c r="D1533" i="1"/>
  <c r="C1533" i="1"/>
  <c r="B1533" i="1"/>
  <c r="N1533" i="1" s="1"/>
  <c r="A1533" i="1"/>
  <c r="T1532" i="1"/>
  <c r="S1532" i="1"/>
  <c r="R1532" i="1"/>
  <c r="Q1532" i="1"/>
  <c r="M1532" i="1"/>
  <c r="N1532" i="1" s="1"/>
  <c r="L1532" i="1"/>
  <c r="K1532" i="1"/>
  <c r="J1532" i="1"/>
  <c r="I1532" i="1"/>
  <c r="H1532" i="1"/>
  <c r="G1532" i="1"/>
  <c r="F1532" i="1"/>
  <c r="E1532" i="1"/>
  <c r="D1532" i="1"/>
  <c r="C1532" i="1"/>
  <c r="B1532" i="1"/>
  <c r="A1532" i="1"/>
  <c r="T1531" i="1"/>
  <c r="S1531" i="1"/>
  <c r="R1531" i="1"/>
  <c r="Q1531" i="1"/>
  <c r="M1531" i="1"/>
  <c r="N1531" i="1" s="1"/>
  <c r="L1531" i="1"/>
  <c r="K1531" i="1"/>
  <c r="J1531" i="1"/>
  <c r="H1531" i="1"/>
  <c r="G1531" i="1"/>
  <c r="F1531" i="1"/>
  <c r="E1531" i="1"/>
  <c r="D1531" i="1"/>
  <c r="I1531" i="1" s="1"/>
  <c r="C1531" i="1"/>
  <c r="B1531" i="1"/>
  <c r="A1531" i="1"/>
  <c r="T1530" i="1"/>
  <c r="S1530" i="1"/>
  <c r="Q1530" i="1"/>
  <c r="P1530" i="1"/>
  <c r="M1530" i="1"/>
  <c r="L1530" i="1"/>
  <c r="K1530" i="1"/>
  <c r="J1530" i="1"/>
  <c r="R1530" i="1" s="1"/>
  <c r="H1530" i="1"/>
  <c r="G1530" i="1"/>
  <c r="F1530" i="1"/>
  <c r="E1530" i="1"/>
  <c r="D1530" i="1"/>
  <c r="I1530" i="1" s="1"/>
  <c r="C1530" i="1"/>
  <c r="B1530" i="1"/>
  <c r="N1530" i="1" s="1"/>
  <c r="O1530" i="1" s="1"/>
  <c r="A1530" i="1"/>
  <c r="T1529" i="1"/>
  <c r="S1529" i="1"/>
  <c r="Q1529" i="1"/>
  <c r="M1529" i="1"/>
  <c r="L1529" i="1"/>
  <c r="K1529" i="1"/>
  <c r="J1529" i="1"/>
  <c r="R1529" i="1" s="1"/>
  <c r="I1529" i="1"/>
  <c r="H1529" i="1"/>
  <c r="G1529" i="1"/>
  <c r="F1529" i="1"/>
  <c r="E1529" i="1"/>
  <c r="D1529" i="1"/>
  <c r="C1529" i="1"/>
  <c r="B1529" i="1"/>
  <c r="N1529" i="1" s="1"/>
  <c r="A1529" i="1"/>
  <c r="T1528" i="1"/>
  <c r="S1528" i="1"/>
  <c r="R1528" i="1"/>
  <c r="Q1528" i="1"/>
  <c r="M1528" i="1"/>
  <c r="N1528" i="1" s="1"/>
  <c r="L1528" i="1"/>
  <c r="K1528" i="1"/>
  <c r="J1528" i="1"/>
  <c r="I1528" i="1"/>
  <c r="H1528" i="1"/>
  <c r="G1528" i="1"/>
  <c r="F1528" i="1"/>
  <c r="E1528" i="1"/>
  <c r="D1528" i="1"/>
  <c r="C1528" i="1"/>
  <c r="B1528" i="1"/>
  <c r="A1528" i="1"/>
  <c r="T1527" i="1"/>
  <c r="S1527" i="1"/>
  <c r="R1527" i="1"/>
  <c r="Q1527" i="1"/>
  <c r="M1527" i="1"/>
  <c r="N1527" i="1" s="1"/>
  <c r="L1527" i="1"/>
  <c r="K1527" i="1"/>
  <c r="J1527" i="1"/>
  <c r="I1527" i="1"/>
  <c r="H1527" i="1"/>
  <c r="G1527" i="1"/>
  <c r="F1527" i="1"/>
  <c r="E1527" i="1"/>
  <c r="D1527" i="1"/>
  <c r="C1527" i="1"/>
  <c r="B1527" i="1"/>
  <c r="A1527" i="1"/>
  <c r="T1526" i="1"/>
  <c r="S1526" i="1"/>
  <c r="Q1526" i="1"/>
  <c r="P1526" i="1"/>
  <c r="M1526" i="1"/>
  <c r="L1526" i="1"/>
  <c r="K1526" i="1"/>
  <c r="J1526" i="1"/>
  <c r="R1526" i="1" s="1"/>
  <c r="H1526" i="1"/>
  <c r="G1526" i="1"/>
  <c r="F1526" i="1"/>
  <c r="E1526" i="1"/>
  <c r="D1526" i="1"/>
  <c r="I1526" i="1" s="1"/>
  <c r="C1526" i="1"/>
  <c r="B1526" i="1"/>
  <c r="N1526" i="1" s="1"/>
  <c r="O1526" i="1" s="1"/>
  <c r="A1526" i="1"/>
  <c r="T1525" i="1"/>
  <c r="S1525" i="1"/>
  <c r="Q1525" i="1"/>
  <c r="M1525" i="1"/>
  <c r="L1525" i="1"/>
  <c r="K1525" i="1"/>
  <c r="J1525" i="1"/>
  <c r="R1525" i="1" s="1"/>
  <c r="I1525" i="1"/>
  <c r="H1525" i="1"/>
  <c r="G1525" i="1"/>
  <c r="F1525" i="1"/>
  <c r="E1525" i="1"/>
  <c r="D1525" i="1"/>
  <c r="C1525" i="1"/>
  <c r="B1525" i="1"/>
  <c r="N1525" i="1" s="1"/>
  <c r="O1525" i="1" s="1"/>
  <c r="A1525" i="1"/>
  <c r="T1524" i="1"/>
  <c r="S1524" i="1"/>
  <c r="Q1524" i="1"/>
  <c r="M1524" i="1"/>
  <c r="N1524" i="1" s="1"/>
  <c r="L1524" i="1"/>
  <c r="K1524" i="1"/>
  <c r="J1524" i="1"/>
  <c r="R1524" i="1" s="1"/>
  <c r="I1524" i="1"/>
  <c r="H1524" i="1"/>
  <c r="G1524" i="1"/>
  <c r="F1524" i="1"/>
  <c r="E1524" i="1"/>
  <c r="D1524" i="1"/>
  <c r="C1524" i="1"/>
  <c r="B1524" i="1"/>
  <c r="A1524" i="1"/>
  <c r="T1523" i="1"/>
  <c r="S1523" i="1"/>
  <c r="R1523" i="1"/>
  <c r="Q1523" i="1"/>
  <c r="M1523" i="1"/>
  <c r="N1523" i="1" s="1"/>
  <c r="L1523" i="1"/>
  <c r="P1523" i="1" s="1"/>
  <c r="K1523" i="1"/>
  <c r="J1523" i="1"/>
  <c r="H1523" i="1"/>
  <c r="G1523" i="1"/>
  <c r="F1523" i="1"/>
  <c r="E1523" i="1"/>
  <c r="D1523" i="1"/>
  <c r="I1523" i="1" s="1"/>
  <c r="C1523" i="1"/>
  <c r="B1523" i="1"/>
  <c r="A1523" i="1"/>
  <c r="T1522" i="1"/>
  <c r="S1522" i="1"/>
  <c r="Q1522" i="1"/>
  <c r="N1522" i="1"/>
  <c r="O1522" i="1" s="1"/>
  <c r="M1522" i="1"/>
  <c r="L1522" i="1"/>
  <c r="K1522" i="1"/>
  <c r="J1522" i="1"/>
  <c r="R1522" i="1" s="1"/>
  <c r="H1522" i="1"/>
  <c r="G1522" i="1"/>
  <c r="F1522" i="1"/>
  <c r="E1522" i="1"/>
  <c r="D1522" i="1"/>
  <c r="I1522" i="1" s="1"/>
  <c r="C1522" i="1"/>
  <c r="B1522" i="1"/>
  <c r="A1522" i="1"/>
  <c r="T1521" i="1"/>
  <c r="S1521" i="1"/>
  <c r="R1521" i="1"/>
  <c r="Q1521" i="1"/>
  <c r="P1521" i="1"/>
  <c r="M1521" i="1"/>
  <c r="N1521" i="1" s="1"/>
  <c r="O1521" i="1" s="1"/>
  <c r="L1521" i="1"/>
  <c r="K1521" i="1"/>
  <c r="J1521" i="1"/>
  <c r="I1521" i="1"/>
  <c r="H1521" i="1"/>
  <c r="G1521" i="1"/>
  <c r="F1521" i="1"/>
  <c r="E1521" i="1"/>
  <c r="D1521" i="1"/>
  <c r="C1521" i="1"/>
  <c r="B1521" i="1"/>
  <c r="A1521" i="1"/>
  <c r="T1520" i="1"/>
  <c r="S1520" i="1"/>
  <c r="Q1520" i="1"/>
  <c r="M1520" i="1"/>
  <c r="N1520" i="1" s="1"/>
  <c r="L1520" i="1"/>
  <c r="K1520" i="1"/>
  <c r="J1520" i="1"/>
  <c r="R1520" i="1" s="1"/>
  <c r="I1520" i="1"/>
  <c r="H1520" i="1"/>
  <c r="G1520" i="1"/>
  <c r="F1520" i="1"/>
  <c r="E1520" i="1"/>
  <c r="D1520" i="1"/>
  <c r="C1520" i="1"/>
  <c r="B1520" i="1"/>
  <c r="A1520" i="1"/>
  <c r="T1519" i="1"/>
  <c r="S1519" i="1"/>
  <c r="R1519" i="1"/>
  <c r="Q1519" i="1"/>
  <c r="M1519" i="1"/>
  <c r="N1519" i="1" s="1"/>
  <c r="L1519" i="1"/>
  <c r="K1519" i="1"/>
  <c r="J1519" i="1"/>
  <c r="H1519" i="1"/>
  <c r="G1519" i="1"/>
  <c r="F1519" i="1"/>
  <c r="E1519" i="1"/>
  <c r="D1519" i="1"/>
  <c r="I1519" i="1" s="1"/>
  <c r="C1519" i="1"/>
  <c r="B1519" i="1"/>
  <c r="A1519" i="1"/>
  <c r="T1518" i="1"/>
  <c r="S1518" i="1"/>
  <c r="Q1518" i="1"/>
  <c r="N1518" i="1"/>
  <c r="O1518" i="1" s="1"/>
  <c r="M1518" i="1"/>
  <c r="L1518" i="1"/>
  <c r="K1518" i="1"/>
  <c r="J1518" i="1"/>
  <c r="R1518" i="1" s="1"/>
  <c r="H1518" i="1"/>
  <c r="G1518" i="1"/>
  <c r="F1518" i="1"/>
  <c r="E1518" i="1"/>
  <c r="D1518" i="1"/>
  <c r="I1518" i="1" s="1"/>
  <c r="C1518" i="1"/>
  <c r="B1518" i="1"/>
  <c r="A1518" i="1"/>
  <c r="T1517" i="1"/>
  <c r="S1517" i="1"/>
  <c r="Q1517" i="1"/>
  <c r="M1517" i="1"/>
  <c r="L1517" i="1"/>
  <c r="K1517" i="1"/>
  <c r="R1517" i="1" s="1"/>
  <c r="J1517" i="1"/>
  <c r="H1517" i="1"/>
  <c r="G1517" i="1"/>
  <c r="F1517" i="1"/>
  <c r="E1517" i="1"/>
  <c r="C1517" i="1"/>
  <c r="D1517" i="1" s="1"/>
  <c r="I1517" i="1" s="1"/>
  <c r="B1517" i="1"/>
  <c r="A1517" i="1"/>
  <c r="T1516" i="1"/>
  <c r="S1516" i="1"/>
  <c r="R1516" i="1"/>
  <c r="Q1516" i="1"/>
  <c r="M1516" i="1"/>
  <c r="N1516" i="1" s="1"/>
  <c r="L1516" i="1"/>
  <c r="K1516" i="1"/>
  <c r="J1516" i="1"/>
  <c r="I1516" i="1"/>
  <c r="H1516" i="1"/>
  <c r="G1516" i="1"/>
  <c r="F1516" i="1"/>
  <c r="E1516" i="1"/>
  <c r="C1516" i="1"/>
  <c r="D1516" i="1" s="1"/>
  <c r="B1516" i="1"/>
  <c r="A1516" i="1"/>
  <c r="T1515" i="1"/>
  <c r="S1515" i="1"/>
  <c r="Q1515" i="1"/>
  <c r="M1515" i="1"/>
  <c r="L1515" i="1"/>
  <c r="K1515" i="1"/>
  <c r="R1515" i="1" s="1"/>
  <c r="J1515" i="1"/>
  <c r="H1515" i="1"/>
  <c r="G1515" i="1"/>
  <c r="F1515" i="1"/>
  <c r="E1515" i="1"/>
  <c r="C1515" i="1"/>
  <c r="D1515" i="1" s="1"/>
  <c r="I1515" i="1" s="1"/>
  <c r="B1515" i="1"/>
  <c r="A1515" i="1"/>
  <c r="T1514" i="1"/>
  <c r="S1514" i="1"/>
  <c r="R1514" i="1"/>
  <c r="Q1514" i="1"/>
  <c r="M1514" i="1"/>
  <c r="N1514" i="1" s="1"/>
  <c r="L1514" i="1"/>
  <c r="K1514" i="1"/>
  <c r="J1514" i="1"/>
  <c r="I1514" i="1"/>
  <c r="H1514" i="1"/>
  <c r="G1514" i="1"/>
  <c r="F1514" i="1"/>
  <c r="E1514" i="1"/>
  <c r="C1514" i="1"/>
  <c r="D1514" i="1" s="1"/>
  <c r="B1514" i="1"/>
  <c r="A1514" i="1"/>
  <c r="T1513" i="1"/>
  <c r="S1513" i="1"/>
  <c r="Q1513" i="1"/>
  <c r="M1513" i="1"/>
  <c r="L1513" i="1"/>
  <c r="K1513" i="1"/>
  <c r="R1513" i="1" s="1"/>
  <c r="J1513" i="1"/>
  <c r="H1513" i="1"/>
  <c r="G1513" i="1"/>
  <c r="F1513" i="1"/>
  <c r="E1513" i="1"/>
  <c r="C1513" i="1"/>
  <c r="D1513" i="1" s="1"/>
  <c r="I1513" i="1" s="1"/>
  <c r="B1513" i="1"/>
  <c r="A1513" i="1"/>
  <c r="T1512" i="1"/>
  <c r="S1512" i="1"/>
  <c r="R1512" i="1"/>
  <c r="Q1512" i="1"/>
  <c r="M1512" i="1"/>
  <c r="N1512" i="1" s="1"/>
  <c r="L1512" i="1"/>
  <c r="K1512" i="1"/>
  <c r="J1512" i="1"/>
  <c r="I1512" i="1"/>
  <c r="H1512" i="1"/>
  <c r="G1512" i="1"/>
  <c r="F1512" i="1"/>
  <c r="E1512" i="1"/>
  <c r="C1512" i="1"/>
  <c r="D1512" i="1" s="1"/>
  <c r="B1512" i="1"/>
  <c r="A1512" i="1"/>
  <c r="T1511" i="1"/>
  <c r="S1511" i="1"/>
  <c r="Q1511" i="1"/>
  <c r="M1511" i="1"/>
  <c r="N1511" i="1" s="1"/>
  <c r="P1511" i="1" s="1"/>
  <c r="L1511" i="1"/>
  <c r="K1511" i="1"/>
  <c r="R1511" i="1" s="1"/>
  <c r="J1511" i="1"/>
  <c r="H1511" i="1"/>
  <c r="G1511" i="1"/>
  <c r="F1511" i="1"/>
  <c r="E1511" i="1"/>
  <c r="C1511" i="1"/>
  <c r="D1511" i="1" s="1"/>
  <c r="I1511" i="1" s="1"/>
  <c r="B1511" i="1"/>
  <c r="A1511" i="1"/>
  <c r="T1510" i="1"/>
  <c r="S1510" i="1"/>
  <c r="R1510" i="1"/>
  <c r="Q1510" i="1"/>
  <c r="M1510" i="1"/>
  <c r="N1510" i="1" s="1"/>
  <c r="L1510" i="1"/>
  <c r="K1510" i="1"/>
  <c r="J1510" i="1"/>
  <c r="I1510" i="1"/>
  <c r="H1510" i="1"/>
  <c r="G1510" i="1"/>
  <c r="F1510" i="1"/>
  <c r="E1510" i="1"/>
  <c r="C1510" i="1"/>
  <c r="D1510" i="1" s="1"/>
  <c r="B1510" i="1"/>
  <c r="A1510" i="1"/>
  <c r="T1509" i="1"/>
  <c r="S1509" i="1"/>
  <c r="Q1509" i="1"/>
  <c r="M1509" i="1"/>
  <c r="L1509" i="1"/>
  <c r="K1509" i="1"/>
  <c r="R1509" i="1" s="1"/>
  <c r="J1509" i="1"/>
  <c r="H1509" i="1"/>
  <c r="G1509" i="1"/>
  <c r="F1509" i="1"/>
  <c r="E1509" i="1"/>
  <c r="C1509" i="1"/>
  <c r="D1509" i="1" s="1"/>
  <c r="I1509" i="1" s="1"/>
  <c r="B1509" i="1"/>
  <c r="A1509" i="1"/>
  <c r="T1508" i="1"/>
  <c r="S1508" i="1"/>
  <c r="R1508" i="1"/>
  <c r="Q1508" i="1"/>
  <c r="M1508" i="1"/>
  <c r="N1508" i="1" s="1"/>
  <c r="L1508" i="1"/>
  <c r="K1508" i="1"/>
  <c r="J1508" i="1"/>
  <c r="I1508" i="1"/>
  <c r="H1508" i="1"/>
  <c r="G1508" i="1"/>
  <c r="F1508" i="1"/>
  <c r="E1508" i="1"/>
  <c r="C1508" i="1"/>
  <c r="D1508" i="1" s="1"/>
  <c r="B1508" i="1"/>
  <c r="A1508" i="1"/>
  <c r="T1507" i="1"/>
  <c r="S1507" i="1"/>
  <c r="Q1507" i="1"/>
  <c r="M1507" i="1"/>
  <c r="L1507" i="1"/>
  <c r="K1507" i="1"/>
  <c r="R1507" i="1" s="1"/>
  <c r="J1507" i="1"/>
  <c r="H1507" i="1"/>
  <c r="G1507" i="1"/>
  <c r="F1507" i="1"/>
  <c r="E1507" i="1"/>
  <c r="C1507" i="1"/>
  <c r="D1507" i="1" s="1"/>
  <c r="I1507" i="1" s="1"/>
  <c r="B1507" i="1"/>
  <c r="A1507" i="1"/>
  <c r="T1506" i="1"/>
  <c r="S1506" i="1"/>
  <c r="R1506" i="1"/>
  <c r="Q1506" i="1"/>
  <c r="M1506" i="1"/>
  <c r="N1506" i="1" s="1"/>
  <c r="L1506" i="1"/>
  <c r="K1506" i="1"/>
  <c r="J1506" i="1"/>
  <c r="I1506" i="1"/>
  <c r="H1506" i="1"/>
  <c r="G1506" i="1"/>
  <c r="F1506" i="1"/>
  <c r="E1506" i="1"/>
  <c r="C1506" i="1"/>
  <c r="D1506" i="1" s="1"/>
  <c r="B1506" i="1"/>
  <c r="A1506" i="1"/>
  <c r="T1505" i="1"/>
  <c r="S1505" i="1"/>
  <c r="Q1505" i="1"/>
  <c r="M1505" i="1"/>
  <c r="L1505" i="1"/>
  <c r="K1505" i="1"/>
  <c r="R1505" i="1" s="1"/>
  <c r="J1505" i="1"/>
  <c r="H1505" i="1"/>
  <c r="G1505" i="1"/>
  <c r="F1505" i="1"/>
  <c r="E1505" i="1"/>
  <c r="C1505" i="1"/>
  <c r="D1505" i="1" s="1"/>
  <c r="I1505" i="1" s="1"/>
  <c r="B1505" i="1"/>
  <c r="A1505" i="1"/>
  <c r="T1504" i="1"/>
  <c r="S1504" i="1"/>
  <c r="R1504" i="1"/>
  <c r="Q1504" i="1"/>
  <c r="M1504" i="1"/>
  <c r="N1504" i="1" s="1"/>
  <c r="L1504" i="1"/>
  <c r="K1504" i="1"/>
  <c r="J1504" i="1"/>
  <c r="I1504" i="1"/>
  <c r="H1504" i="1"/>
  <c r="G1504" i="1"/>
  <c r="F1504" i="1"/>
  <c r="E1504" i="1"/>
  <c r="C1504" i="1"/>
  <c r="D1504" i="1" s="1"/>
  <c r="B1504" i="1"/>
  <c r="A1504" i="1"/>
  <c r="T1503" i="1"/>
  <c r="S1503" i="1"/>
  <c r="Q1503" i="1"/>
  <c r="M1503" i="1"/>
  <c r="N1503" i="1" s="1"/>
  <c r="P1503" i="1" s="1"/>
  <c r="L1503" i="1"/>
  <c r="K1503" i="1"/>
  <c r="R1503" i="1" s="1"/>
  <c r="J1503" i="1"/>
  <c r="H1503" i="1"/>
  <c r="G1503" i="1"/>
  <c r="F1503" i="1"/>
  <c r="E1503" i="1"/>
  <c r="C1503" i="1"/>
  <c r="D1503" i="1" s="1"/>
  <c r="I1503" i="1" s="1"/>
  <c r="B1503" i="1"/>
  <c r="A1503" i="1"/>
  <c r="T1502" i="1"/>
  <c r="S1502" i="1"/>
  <c r="R1502" i="1"/>
  <c r="Q1502" i="1"/>
  <c r="M1502" i="1"/>
  <c r="N1502" i="1" s="1"/>
  <c r="L1502" i="1"/>
  <c r="K1502" i="1"/>
  <c r="J1502" i="1"/>
  <c r="I1502" i="1"/>
  <c r="H1502" i="1"/>
  <c r="G1502" i="1"/>
  <c r="F1502" i="1"/>
  <c r="E1502" i="1"/>
  <c r="C1502" i="1"/>
  <c r="D1502" i="1" s="1"/>
  <c r="B1502" i="1"/>
  <c r="A1502" i="1"/>
  <c r="T1501" i="1"/>
  <c r="S1501" i="1"/>
  <c r="Q1501" i="1"/>
  <c r="M1501" i="1"/>
  <c r="L1501" i="1"/>
  <c r="K1501" i="1"/>
  <c r="R1501" i="1" s="1"/>
  <c r="J1501" i="1"/>
  <c r="H1501" i="1"/>
  <c r="G1501" i="1"/>
  <c r="F1501" i="1"/>
  <c r="E1501" i="1"/>
  <c r="C1501" i="1"/>
  <c r="D1501" i="1" s="1"/>
  <c r="I1501" i="1" s="1"/>
  <c r="B1501" i="1"/>
  <c r="A1501" i="1"/>
  <c r="T1500" i="1"/>
  <c r="S1500" i="1"/>
  <c r="R1500" i="1"/>
  <c r="Q1500" i="1"/>
  <c r="M1500" i="1"/>
  <c r="N1500" i="1" s="1"/>
  <c r="L1500" i="1"/>
  <c r="K1500" i="1"/>
  <c r="J1500" i="1"/>
  <c r="I1500" i="1"/>
  <c r="H1500" i="1"/>
  <c r="G1500" i="1"/>
  <c r="F1500" i="1"/>
  <c r="E1500" i="1"/>
  <c r="C1500" i="1"/>
  <c r="D1500" i="1" s="1"/>
  <c r="B1500" i="1"/>
  <c r="A1500" i="1"/>
  <c r="T1499" i="1"/>
  <c r="S1499" i="1"/>
  <c r="Q1499" i="1"/>
  <c r="M1499" i="1"/>
  <c r="N1499" i="1" s="1"/>
  <c r="P1499" i="1" s="1"/>
  <c r="L1499" i="1"/>
  <c r="K1499" i="1"/>
  <c r="R1499" i="1" s="1"/>
  <c r="J1499" i="1"/>
  <c r="H1499" i="1"/>
  <c r="G1499" i="1"/>
  <c r="F1499" i="1"/>
  <c r="E1499" i="1"/>
  <c r="C1499" i="1"/>
  <c r="D1499" i="1" s="1"/>
  <c r="I1499" i="1" s="1"/>
  <c r="B1499" i="1"/>
  <c r="A1499" i="1"/>
  <c r="T1498" i="1"/>
  <c r="S1498" i="1"/>
  <c r="R1498" i="1"/>
  <c r="Q1498" i="1"/>
  <c r="M1498" i="1"/>
  <c r="N1498" i="1" s="1"/>
  <c r="L1498" i="1"/>
  <c r="K1498" i="1"/>
  <c r="J1498" i="1"/>
  <c r="I1498" i="1"/>
  <c r="H1498" i="1"/>
  <c r="G1498" i="1"/>
  <c r="F1498" i="1"/>
  <c r="E1498" i="1"/>
  <c r="C1498" i="1"/>
  <c r="D1498" i="1" s="1"/>
  <c r="B1498" i="1"/>
  <c r="A1498" i="1"/>
  <c r="T1497" i="1"/>
  <c r="S1497" i="1"/>
  <c r="Q1497" i="1"/>
  <c r="M1497" i="1"/>
  <c r="L1497" i="1"/>
  <c r="K1497" i="1"/>
  <c r="R1497" i="1" s="1"/>
  <c r="J1497" i="1"/>
  <c r="H1497" i="1"/>
  <c r="G1497" i="1"/>
  <c r="F1497" i="1"/>
  <c r="E1497" i="1"/>
  <c r="C1497" i="1"/>
  <c r="D1497" i="1" s="1"/>
  <c r="I1497" i="1" s="1"/>
  <c r="B1497" i="1"/>
  <c r="A1497" i="1"/>
  <c r="T1496" i="1"/>
  <c r="S1496" i="1"/>
  <c r="R1496" i="1"/>
  <c r="Q1496" i="1"/>
  <c r="M1496" i="1"/>
  <c r="N1496" i="1" s="1"/>
  <c r="L1496" i="1"/>
  <c r="K1496" i="1"/>
  <c r="J1496" i="1"/>
  <c r="I1496" i="1"/>
  <c r="H1496" i="1"/>
  <c r="G1496" i="1"/>
  <c r="F1496" i="1"/>
  <c r="E1496" i="1"/>
  <c r="C1496" i="1"/>
  <c r="D1496" i="1" s="1"/>
  <c r="B1496" i="1"/>
  <c r="A1496" i="1"/>
  <c r="T1495" i="1"/>
  <c r="S1495" i="1"/>
  <c r="Q1495" i="1"/>
  <c r="M1495" i="1"/>
  <c r="N1495" i="1" s="1"/>
  <c r="P1495" i="1" s="1"/>
  <c r="L1495" i="1"/>
  <c r="K1495" i="1"/>
  <c r="R1495" i="1" s="1"/>
  <c r="J1495" i="1"/>
  <c r="H1495" i="1"/>
  <c r="G1495" i="1"/>
  <c r="F1495" i="1"/>
  <c r="E1495" i="1"/>
  <c r="C1495" i="1"/>
  <c r="D1495" i="1" s="1"/>
  <c r="I1495" i="1" s="1"/>
  <c r="B1495" i="1"/>
  <c r="A1495" i="1"/>
  <c r="T1494" i="1"/>
  <c r="S1494" i="1"/>
  <c r="R1494" i="1"/>
  <c r="Q1494" i="1"/>
  <c r="M1494" i="1"/>
  <c r="N1494" i="1" s="1"/>
  <c r="L1494" i="1"/>
  <c r="K1494" i="1"/>
  <c r="J1494" i="1"/>
  <c r="I1494" i="1"/>
  <c r="H1494" i="1"/>
  <c r="G1494" i="1"/>
  <c r="F1494" i="1"/>
  <c r="E1494" i="1"/>
  <c r="C1494" i="1"/>
  <c r="D1494" i="1" s="1"/>
  <c r="B1494" i="1"/>
  <c r="A1494" i="1"/>
  <c r="T1493" i="1"/>
  <c r="S1493" i="1"/>
  <c r="Q1493" i="1"/>
  <c r="M1493" i="1"/>
  <c r="L1493" i="1"/>
  <c r="K1493" i="1"/>
  <c r="R1493" i="1" s="1"/>
  <c r="J1493" i="1"/>
  <c r="H1493" i="1"/>
  <c r="G1493" i="1"/>
  <c r="F1493" i="1"/>
  <c r="E1493" i="1"/>
  <c r="C1493" i="1"/>
  <c r="D1493" i="1" s="1"/>
  <c r="I1493" i="1" s="1"/>
  <c r="B1493" i="1"/>
  <c r="A1493" i="1"/>
  <c r="T1492" i="1"/>
  <c r="S1492" i="1"/>
  <c r="R1492" i="1"/>
  <c r="Q1492" i="1"/>
  <c r="M1492" i="1"/>
  <c r="N1492" i="1" s="1"/>
  <c r="L1492" i="1"/>
  <c r="K1492" i="1"/>
  <c r="J1492" i="1"/>
  <c r="I1492" i="1"/>
  <c r="H1492" i="1"/>
  <c r="G1492" i="1"/>
  <c r="F1492" i="1"/>
  <c r="E1492" i="1"/>
  <c r="C1492" i="1"/>
  <c r="D1492" i="1" s="1"/>
  <c r="B1492" i="1"/>
  <c r="A1492" i="1"/>
  <c r="T1491" i="1"/>
  <c r="S1491" i="1"/>
  <c r="Q1491" i="1"/>
  <c r="M1491" i="1"/>
  <c r="L1491" i="1"/>
  <c r="K1491" i="1"/>
  <c r="R1491" i="1" s="1"/>
  <c r="J1491" i="1"/>
  <c r="H1491" i="1"/>
  <c r="G1491" i="1"/>
  <c r="F1491" i="1"/>
  <c r="E1491" i="1"/>
  <c r="C1491" i="1"/>
  <c r="D1491" i="1" s="1"/>
  <c r="I1491" i="1" s="1"/>
  <c r="B1491" i="1"/>
  <c r="A1491" i="1"/>
  <c r="T1490" i="1"/>
  <c r="S1490" i="1"/>
  <c r="R1490" i="1"/>
  <c r="Q1490" i="1"/>
  <c r="M1490" i="1"/>
  <c r="N1490" i="1" s="1"/>
  <c r="L1490" i="1"/>
  <c r="K1490" i="1"/>
  <c r="J1490" i="1"/>
  <c r="I1490" i="1"/>
  <c r="H1490" i="1"/>
  <c r="G1490" i="1"/>
  <c r="F1490" i="1"/>
  <c r="E1490" i="1"/>
  <c r="C1490" i="1"/>
  <c r="D1490" i="1" s="1"/>
  <c r="B1490" i="1"/>
  <c r="A1490" i="1"/>
  <c r="T1489" i="1"/>
  <c r="S1489" i="1"/>
  <c r="Q1489" i="1"/>
  <c r="M1489" i="1"/>
  <c r="L1489" i="1"/>
  <c r="K1489" i="1"/>
  <c r="R1489" i="1" s="1"/>
  <c r="J1489" i="1"/>
  <c r="H1489" i="1"/>
  <c r="G1489" i="1"/>
  <c r="F1489" i="1"/>
  <c r="E1489" i="1"/>
  <c r="C1489" i="1"/>
  <c r="D1489" i="1" s="1"/>
  <c r="I1489" i="1" s="1"/>
  <c r="B1489" i="1"/>
  <c r="A1489" i="1"/>
  <c r="T1488" i="1"/>
  <c r="S1488" i="1"/>
  <c r="R1488" i="1"/>
  <c r="Q1488" i="1"/>
  <c r="M1488" i="1"/>
  <c r="N1488" i="1" s="1"/>
  <c r="L1488" i="1"/>
  <c r="K1488" i="1"/>
  <c r="J1488" i="1"/>
  <c r="I1488" i="1"/>
  <c r="H1488" i="1"/>
  <c r="G1488" i="1"/>
  <c r="F1488" i="1"/>
  <c r="E1488" i="1"/>
  <c r="C1488" i="1"/>
  <c r="D1488" i="1" s="1"/>
  <c r="B1488" i="1"/>
  <c r="A1488" i="1"/>
  <c r="T1487" i="1"/>
  <c r="S1487" i="1"/>
  <c r="Q1487" i="1"/>
  <c r="M1487" i="1"/>
  <c r="N1487" i="1" s="1"/>
  <c r="P1487" i="1" s="1"/>
  <c r="L1487" i="1"/>
  <c r="K1487" i="1"/>
  <c r="R1487" i="1" s="1"/>
  <c r="J1487" i="1"/>
  <c r="H1487" i="1"/>
  <c r="G1487" i="1"/>
  <c r="F1487" i="1"/>
  <c r="E1487" i="1"/>
  <c r="C1487" i="1"/>
  <c r="D1487" i="1" s="1"/>
  <c r="I1487" i="1" s="1"/>
  <c r="B1487" i="1"/>
  <c r="A1487" i="1"/>
  <c r="T1486" i="1"/>
  <c r="S1486" i="1"/>
  <c r="R1486" i="1"/>
  <c r="Q1486" i="1"/>
  <c r="M1486" i="1"/>
  <c r="N1486" i="1" s="1"/>
  <c r="L1486" i="1"/>
  <c r="K1486" i="1"/>
  <c r="J1486" i="1"/>
  <c r="I1486" i="1"/>
  <c r="H1486" i="1"/>
  <c r="G1486" i="1"/>
  <c r="F1486" i="1"/>
  <c r="E1486" i="1"/>
  <c r="C1486" i="1"/>
  <c r="D1486" i="1" s="1"/>
  <c r="B1486" i="1"/>
  <c r="A1486" i="1"/>
  <c r="T1485" i="1"/>
  <c r="S1485" i="1"/>
  <c r="Q1485" i="1"/>
  <c r="M1485" i="1"/>
  <c r="L1485" i="1"/>
  <c r="K1485" i="1"/>
  <c r="R1485" i="1" s="1"/>
  <c r="J1485" i="1"/>
  <c r="H1485" i="1"/>
  <c r="G1485" i="1"/>
  <c r="F1485" i="1"/>
  <c r="E1485" i="1"/>
  <c r="C1485" i="1"/>
  <c r="D1485" i="1" s="1"/>
  <c r="I1485" i="1" s="1"/>
  <c r="B1485" i="1"/>
  <c r="A1485" i="1"/>
  <c r="T1484" i="1"/>
  <c r="S1484" i="1"/>
  <c r="R1484" i="1"/>
  <c r="Q1484" i="1"/>
  <c r="M1484" i="1"/>
  <c r="N1484" i="1" s="1"/>
  <c r="L1484" i="1"/>
  <c r="K1484" i="1"/>
  <c r="J1484" i="1"/>
  <c r="I1484" i="1"/>
  <c r="H1484" i="1"/>
  <c r="G1484" i="1"/>
  <c r="F1484" i="1"/>
  <c r="E1484" i="1"/>
  <c r="C1484" i="1"/>
  <c r="D1484" i="1" s="1"/>
  <c r="B1484" i="1"/>
  <c r="A1484" i="1"/>
  <c r="T1483" i="1"/>
  <c r="S1483" i="1"/>
  <c r="Q1483" i="1"/>
  <c r="M1483" i="1"/>
  <c r="L1483" i="1"/>
  <c r="K1483" i="1"/>
  <c r="R1483" i="1" s="1"/>
  <c r="J1483" i="1"/>
  <c r="H1483" i="1"/>
  <c r="G1483" i="1"/>
  <c r="F1483" i="1"/>
  <c r="E1483" i="1"/>
  <c r="C1483" i="1"/>
  <c r="D1483" i="1" s="1"/>
  <c r="I1483" i="1" s="1"/>
  <c r="B1483" i="1"/>
  <c r="A1483" i="1"/>
  <c r="T1482" i="1"/>
  <c r="S1482" i="1"/>
  <c r="R1482" i="1"/>
  <c r="Q1482" i="1"/>
  <c r="M1482" i="1"/>
  <c r="N1482" i="1" s="1"/>
  <c r="L1482" i="1"/>
  <c r="K1482" i="1"/>
  <c r="J1482" i="1"/>
  <c r="I1482" i="1"/>
  <c r="H1482" i="1"/>
  <c r="G1482" i="1"/>
  <c r="F1482" i="1"/>
  <c r="E1482" i="1"/>
  <c r="C1482" i="1"/>
  <c r="D1482" i="1" s="1"/>
  <c r="B1482" i="1"/>
  <c r="A1482" i="1"/>
  <c r="T1481" i="1"/>
  <c r="S1481" i="1"/>
  <c r="Q1481" i="1"/>
  <c r="M1481" i="1"/>
  <c r="L1481" i="1"/>
  <c r="K1481" i="1"/>
  <c r="R1481" i="1" s="1"/>
  <c r="J1481" i="1"/>
  <c r="H1481" i="1"/>
  <c r="G1481" i="1"/>
  <c r="F1481" i="1"/>
  <c r="E1481" i="1"/>
  <c r="C1481" i="1"/>
  <c r="D1481" i="1" s="1"/>
  <c r="I1481" i="1" s="1"/>
  <c r="B1481" i="1"/>
  <c r="A1481" i="1"/>
  <c r="T1480" i="1"/>
  <c r="S1480" i="1"/>
  <c r="R1480" i="1"/>
  <c r="Q1480" i="1"/>
  <c r="M1480" i="1"/>
  <c r="N1480" i="1" s="1"/>
  <c r="L1480" i="1"/>
  <c r="K1480" i="1"/>
  <c r="J1480" i="1"/>
  <c r="I1480" i="1"/>
  <c r="H1480" i="1"/>
  <c r="G1480" i="1"/>
  <c r="F1480" i="1"/>
  <c r="E1480" i="1"/>
  <c r="C1480" i="1"/>
  <c r="D1480" i="1" s="1"/>
  <c r="B1480" i="1"/>
  <c r="A1480" i="1"/>
  <c r="T1479" i="1"/>
  <c r="S1479" i="1"/>
  <c r="Q1479" i="1"/>
  <c r="M1479" i="1"/>
  <c r="N1479" i="1" s="1"/>
  <c r="P1479" i="1" s="1"/>
  <c r="L1479" i="1"/>
  <c r="K1479" i="1"/>
  <c r="R1479" i="1" s="1"/>
  <c r="J1479" i="1"/>
  <c r="H1479" i="1"/>
  <c r="G1479" i="1"/>
  <c r="F1479" i="1"/>
  <c r="E1479" i="1"/>
  <c r="C1479" i="1"/>
  <c r="D1479" i="1" s="1"/>
  <c r="I1479" i="1" s="1"/>
  <c r="B1479" i="1"/>
  <c r="A1479" i="1"/>
  <c r="T1478" i="1"/>
  <c r="S1478" i="1"/>
  <c r="R1478" i="1"/>
  <c r="Q1478" i="1"/>
  <c r="M1478" i="1"/>
  <c r="N1478" i="1" s="1"/>
  <c r="L1478" i="1"/>
  <c r="K1478" i="1"/>
  <c r="J1478" i="1"/>
  <c r="I1478" i="1"/>
  <c r="H1478" i="1"/>
  <c r="G1478" i="1"/>
  <c r="F1478" i="1"/>
  <c r="E1478" i="1"/>
  <c r="C1478" i="1"/>
  <c r="D1478" i="1" s="1"/>
  <c r="B1478" i="1"/>
  <c r="A1478" i="1"/>
  <c r="T1477" i="1"/>
  <c r="S1477" i="1"/>
  <c r="Q1477" i="1"/>
  <c r="M1477" i="1"/>
  <c r="L1477" i="1"/>
  <c r="K1477" i="1"/>
  <c r="R1477" i="1" s="1"/>
  <c r="J1477" i="1"/>
  <c r="H1477" i="1"/>
  <c r="G1477" i="1"/>
  <c r="F1477" i="1"/>
  <c r="E1477" i="1"/>
  <c r="C1477" i="1"/>
  <c r="D1477" i="1" s="1"/>
  <c r="I1477" i="1" s="1"/>
  <c r="B1477" i="1"/>
  <c r="A1477" i="1"/>
  <c r="T1476" i="1"/>
  <c r="S1476" i="1"/>
  <c r="R1476" i="1"/>
  <c r="Q1476" i="1"/>
  <c r="M1476" i="1"/>
  <c r="N1476" i="1" s="1"/>
  <c r="L1476" i="1"/>
  <c r="K1476" i="1"/>
  <c r="J1476" i="1"/>
  <c r="I1476" i="1"/>
  <c r="H1476" i="1"/>
  <c r="G1476" i="1"/>
  <c r="F1476" i="1"/>
  <c r="E1476" i="1"/>
  <c r="C1476" i="1"/>
  <c r="D1476" i="1" s="1"/>
  <c r="B1476" i="1"/>
  <c r="A1476" i="1"/>
  <c r="T1475" i="1"/>
  <c r="S1475" i="1"/>
  <c r="Q1475" i="1"/>
  <c r="M1475" i="1"/>
  <c r="N1475" i="1" s="1"/>
  <c r="P1475" i="1" s="1"/>
  <c r="L1475" i="1"/>
  <c r="K1475" i="1"/>
  <c r="R1475" i="1" s="1"/>
  <c r="J1475" i="1"/>
  <c r="H1475" i="1"/>
  <c r="G1475" i="1"/>
  <c r="F1475" i="1"/>
  <c r="E1475" i="1"/>
  <c r="C1475" i="1"/>
  <c r="D1475" i="1" s="1"/>
  <c r="I1475" i="1" s="1"/>
  <c r="B1475" i="1"/>
  <c r="A1475" i="1"/>
  <c r="T1474" i="1"/>
  <c r="S1474" i="1"/>
  <c r="R1474" i="1"/>
  <c r="Q1474" i="1"/>
  <c r="M1474" i="1"/>
  <c r="N1474" i="1" s="1"/>
  <c r="L1474" i="1"/>
  <c r="K1474" i="1"/>
  <c r="J1474" i="1"/>
  <c r="I1474" i="1"/>
  <c r="H1474" i="1"/>
  <c r="G1474" i="1"/>
  <c r="F1474" i="1"/>
  <c r="E1474" i="1"/>
  <c r="C1474" i="1"/>
  <c r="D1474" i="1" s="1"/>
  <c r="B1474" i="1"/>
  <c r="A1474" i="1"/>
  <c r="T1473" i="1"/>
  <c r="S1473" i="1"/>
  <c r="Q1473" i="1"/>
  <c r="M1473" i="1"/>
  <c r="L1473" i="1"/>
  <c r="K1473" i="1"/>
  <c r="R1473" i="1" s="1"/>
  <c r="J1473" i="1"/>
  <c r="H1473" i="1"/>
  <c r="G1473" i="1"/>
  <c r="F1473" i="1"/>
  <c r="E1473" i="1"/>
  <c r="C1473" i="1"/>
  <c r="D1473" i="1" s="1"/>
  <c r="I1473" i="1" s="1"/>
  <c r="B1473" i="1"/>
  <c r="A1473" i="1"/>
  <c r="T1472" i="1"/>
  <c r="S1472" i="1"/>
  <c r="Q1472" i="1"/>
  <c r="N1472" i="1"/>
  <c r="M1472" i="1"/>
  <c r="L1472" i="1"/>
  <c r="K1472" i="1"/>
  <c r="J1472" i="1"/>
  <c r="R1472" i="1" s="1"/>
  <c r="I1472" i="1"/>
  <c r="H1472" i="1"/>
  <c r="G1472" i="1"/>
  <c r="F1472" i="1"/>
  <c r="E1472" i="1"/>
  <c r="C1472" i="1"/>
  <c r="D1472" i="1" s="1"/>
  <c r="B1472" i="1"/>
  <c r="A1472" i="1"/>
  <c r="T1471" i="1"/>
  <c r="S1471" i="1"/>
  <c r="Q1471" i="1"/>
  <c r="M1471" i="1"/>
  <c r="L1471" i="1"/>
  <c r="K1471" i="1"/>
  <c r="R1471" i="1" s="1"/>
  <c r="J1471" i="1"/>
  <c r="H1471" i="1"/>
  <c r="G1471" i="1"/>
  <c r="F1471" i="1"/>
  <c r="E1471" i="1"/>
  <c r="C1471" i="1"/>
  <c r="D1471" i="1" s="1"/>
  <c r="I1471" i="1" s="1"/>
  <c r="B1471" i="1"/>
  <c r="A1471" i="1"/>
  <c r="T1470" i="1"/>
  <c r="S1470" i="1"/>
  <c r="Q1470" i="1"/>
  <c r="N1470" i="1"/>
  <c r="M1470" i="1"/>
  <c r="L1470" i="1"/>
  <c r="K1470" i="1"/>
  <c r="J1470" i="1"/>
  <c r="R1470" i="1" s="1"/>
  <c r="I1470" i="1"/>
  <c r="H1470" i="1"/>
  <c r="G1470" i="1"/>
  <c r="F1470" i="1"/>
  <c r="E1470" i="1"/>
  <c r="C1470" i="1"/>
  <c r="D1470" i="1" s="1"/>
  <c r="B1470" i="1"/>
  <c r="A1470" i="1"/>
  <c r="T1469" i="1"/>
  <c r="S1469" i="1"/>
  <c r="Q1469" i="1"/>
  <c r="M1469" i="1"/>
  <c r="L1469" i="1"/>
  <c r="K1469" i="1"/>
  <c r="R1469" i="1" s="1"/>
  <c r="J1469" i="1"/>
  <c r="H1469" i="1"/>
  <c r="G1469" i="1"/>
  <c r="F1469" i="1"/>
  <c r="E1469" i="1"/>
  <c r="C1469" i="1"/>
  <c r="D1469" i="1" s="1"/>
  <c r="I1469" i="1" s="1"/>
  <c r="B1469" i="1"/>
  <c r="A1469" i="1"/>
  <c r="T1468" i="1"/>
  <c r="S1468" i="1"/>
  <c r="Q1468" i="1"/>
  <c r="N1468" i="1"/>
  <c r="M1468" i="1"/>
  <c r="L1468" i="1"/>
  <c r="K1468" i="1"/>
  <c r="J1468" i="1"/>
  <c r="R1468" i="1" s="1"/>
  <c r="I1468" i="1"/>
  <c r="H1468" i="1"/>
  <c r="G1468" i="1"/>
  <c r="F1468" i="1"/>
  <c r="E1468" i="1"/>
  <c r="C1468" i="1"/>
  <c r="D1468" i="1" s="1"/>
  <c r="B1468" i="1"/>
  <c r="A1468" i="1"/>
  <c r="T1467" i="1"/>
  <c r="S1467" i="1"/>
  <c r="Q1467" i="1"/>
  <c r="M1467" i="1"/>
  <c r="L1467" i="1"/>
  <c r="K1467" i="1"/>
  <c r="R1467" i="1" s="1"/>
  <c r="J1467" i="1"/>
  <c r="H1467" i="1"/>
  <c r="G1467" i="1"/>
  <c r="F1467" i="1"/>
  <c r="E1467" i="1"/>
  <c r="C1467" i="1"/>
  <c r="D1467" i="1" s="1"/>
  <c r="I1467" i="1" s="1"/>
  <c r="B1467" i="1"/>
  <c r="A1467" i="1"/>
  <c r="T1466" i="1"/>
  <c r="S1466" i="1"/>
  <c r="Q1466" i="1"/>
  <c r="N1466" i="1"/>
  <c r="M1466" i="1"/>
  <c r="L1466" i="1"/>
  <c r="K1466" i="1"/>
  <c r="J1466" i="1"/>
  <c r="R1466" i="1" s="1"/>
  <c r="I1466" i="1"/>
  <c r="H1466" i="1"/>
  <c r="G1466" i="1"/>
  <c r="F1466" i="1"/>
  <c r="E1466" i="1"/>
  <c r="C1466" i="1"/>
  <c r="D1466" i="1" s="1"/>
  <c r="B1466" i="1"/>
  <c r="A1466" i="1"/>
  <c r="T1465" i="1"/>
  <c r="S1465" i="1"/>
  <c r="Q1465" i="1"/>
  <c r="M1465" i="1"/>
  <c r="L1465" i="1"/>
  <c r="K1465" i="1"/>
  <c r="R1465" i="1" s="1"/>
  <c r="J1465" i="1"/>
  <c r="H1465" i="1"/>
  <c r="G1465" i="1"/>
  <c r="F1465" i="1"/>
  <c r="E1465" i="1"/>
  <c r="C1465" i="1"/>
  <c r="D1465" i="1" s="1"/>
  <c r="I1465" i="1" s="1"/>
  <c r="B1465" i="1"/>
  <c r="A1465" i="1"/>
  <c r="T1464" i="1"/>
  <c r="S1464" i="1"/>
  <c r="Q1464" i="1"/>
  <c r="N1464" i="1"/>
  <c r="M1464" i="1"/>
  <c r="L1464" i="1"/>
  <c r="K1464" i="1"/>
  <c r="J1464" i="1"/>
  <c r="R1464" i="1" s="1"/>
  <c r="I1464" i="1"/>
  <c r="H1464" i="1"/>
  <c r="G1464" i="1"/>
  <c r="F1464" i="1"/>
  <c r="E1464" i="1"/>
  <c r="C1464" i="1"/>
  <c r="D1464" i="1" s="1"/>
  <c r="B1464" i="1"/>
  <c r="A1464" i="1"/>
  <c r="T1463" i="1"/>
  <c r="S1463" i="1"/>
  <c r="Q1463" i="1"/>
  <c r="M1463" i="1"/>
  <c r="L1463" i="1"/>
  <c r="K1463" i="1"/>
  <c r="R1463" i="1" s="1"/>
  <c r="J1463" i="1"/>
  <c r="H1463" i="1"/>
  <c r="G1463" i="1"/>
  <c r="F1463" i="1"/>
  <c r="E1463" i="1"/>
  <c r="C1463" i="1"/>
  <c r="D1463" i="1" s="1"/>
  <c r="I1463" i="1" s="1"/>
  <c r="B1463" i="1"/>
  <c r="A1463" i="1"/>
  <c r="T1462" i="1"/>
  <c r="S1462" i="1"/>
  <c r="Q1462" i="1"/>
  <c r="N1462" i="1"/>
  <c r="M1462" i="1"/>
  <c r="L1462" i="1"/>
  <c r="K1462" i="1"/>
  <c r="J1462" i="1"/>
  <c r="R1462" i="1" s="1"/>
  <c r="I1462" i="1"/>
  <c r="H1462" i="1"/>
  <c r="G1462" i="1"/>
  <c r="F1462" i="1"/>
  <c r="E1462" i="1"/>
  <c r="C1462" i="1"/>
  <c r="D1462" i="1" s="1"/>
  <c r="B1462" i="1"/>
  <c r="A1462" i="1"/>
  <c r="T1461" i="1"/>
  <c r="S1461" i="1"/>
  <c r="Q1461" i="1"/>
  <c r="O1461" i="1"/>
  <c r="M1461" i="1"/>
  <c r="N1461" i="1" s="1"/>
  <c r="P1461" i="1" s="1"/>
  <c r="L1461" i="1"/>
  <c r="K1461" i="1"/>
  <c r="R1461" i="1" s="1"/>
  <c r="J1461" i="1"/>
  <c r="H1461" i="1"/>
  <c r="G1461" i="1"/>
  <c r="F1461" i="1"/>
  <c r="E1461" i="1"/>
  <c r="C1461" i="1"/>
  <c r="D1461" i="1" s="1"/>
  <c r="I1461" i="1" s="1"/>
  <c r="B1461" i="1"/>
  <c r="A1461" i="1"/>
  <c r="T1460" i="1"/>
  <c r="S1460" i="1"/>
  <c r="Q1460" i="1"/>
  <c r="N1460" i="1"/>
  <c r="M1460" i="1"/>
  <c r="L1460" i="1"/>
  <c r="K1460" i="1"/>
  <c r="J1460" i="1"/>
  <c r="R1460" i="1" s="1"/>
  <c r="I1460" i="1"/>
  <c r="H1460" i="1"/>
  <c r="G1460" i="1"/>
  <c r="F1460" i="1"/>
  <c r="E1460" i="1"/>
  <c r="C1460" i="1"/>
  <c r="D1460" i="1" s="1"/>
  <c r="B1460" i="1"/>
  <c r="A1460" i="1"/>
  <c r="T1459" i="1"/>
  <c r="S1459" i="1"/>
  <c r="Q1459" i="1"/>
  <c r="O1459" i="1"/>
  <c r="M1459" i="1"/>
  <c r="N1459" i="1" s="1"/>
  <c r="P1459" i="1" s="1"/>
  <c r="L1459" i="1"/>
  <c r="K1459" i="1"/>
  <c r="R1459" i="1" s="1"/>
  <c r="J1459" i="1"/>
  <c r="H1459" i="1"/>
  <c r="G1459" i="1"/>
  <c r="F1459" i="1"/>
  <c r="E1459" i="1"/>
  <c r="C1459" i="1"/>
  <c r="D1459" i="1" s="1"/>
  <c r="I1459" i="1" s="1"/>
  <c r="B1459" i="1"/>
  <c r="A1459" i="1"/>
  <c r="T1458" i="1"/>
  <c r="S1458" i="1"/>
  <c r="Q1458" i="1"/>
  <c r="N1458" i="1"/>
  <c r="M1458" i="1"/>
  <c r="L1458" i="1"/>
  <c r="K1458" i="1"/>
  <c r="J1458" i="1"/>
  <c r="R1458" i="1" s="1"/>
  <c r="I1458" i="1"/>
  <c r="H1458" i="1"/>
  <c r="G1458" i="1"/>
  <c r="F1458" i="1"/>
  <c r="E1458" i="1"/>
  <c r="C1458" i="1"/>
  <c r="D1458" i="1" s="1"/>
  <c r="B1458" i="1"/>
  <c r="A1458" i="1"/>
  <c r="T1457" i="1"/>
  <c r="S1457" i="1"/>
  <c r="Q1457" i="1"/>
  <c r="O1457" i="1"/>
  <c r="M1457" i="1"/>
  <c r="N1457" i="1" s="1"/>
  <c r="P1457" i="1" s="1"/>
  <c r="L1457" i="1"/>
  <c r="K1457" i="1"/>
  <c r="R1457" i="1" s="1"/>
  <c r="J1457" i="1"/>
  <c r="H1457" i="1"/>
  <c r="G1457" i="1"/>
  <c r="F1457" i="1"/>
  <c r="E1457" i="1"/>
  <c r="C1457" i="1"/>
  <c r="D1457" i="1" s="1"/>
  <c r="I1457" i="1" s="1"/>
  <c r="B1457" i="1"/>
  <c r="A1457" i="1"/>
  <c r="T1456" i="1"/>
  <c r="S1456" i="1"/>
  <c r="Q1456" i="1"/>
  <c r="O1456" i="1"/>
  <c r="N1456" i="1"/>
  <c r="P1456" i="1" s="1"/>
  <c r="M1456" i="1"/>
  <c r="L1456" i="1"/>
  <c r="K1456" i="1"/>
  <c r="R1456" i="1" s="1"/>
  <c r="J1456" i="1"/>
  <c r="H1456" i="1"/>
  <c r="G1456" i="1"/>
  <c r="F1456" i="1"/>
  <c r="E1456" i="1"/>
  <c r="C1456" i="1"/>
  <c r="D1456" i="1" s="1"/>
  <c r="I1456" i="1" s="1"/>
  <c r="B1456" i="1"/>
  <c r="A1456" i="1"/>
  <c r="T1455" i="1"/>
  <c r="S1455" i="1"/>
  <c r="Q1455" i="1"/>
  <c r="M1455" i="1"/>
  <c r="L1455" i="1"/>
  <c r="K1455" i="1"/>
  <c r="R1455" i="1" s="1"/>
  <c r="J1455" i="1"/>
  <c r="H1455" i="1"/>
  <c r="G1455" i="1"/>
  <c r="F1455" i="1"/>
  <c r="E1455" i="1"/>
  <c r="C1455" i="1"/>
  <c r="D1455" i="1" s="1"/>
  <c r="I1455" i="1" s="1"/>
  <c r="B1455" i="1"/>
  <c r="N1455" i="1" s="1"/>
  <c r="A1455" i="1"/>
  <c r="T1454" i="1"/>
  <c r="S1454" i="1"/>
  <c r="R1454" i="1"/>
  <c r="Q1454" i="1"/>
  <c r="M1454" i="1"/>
  <c r="L1454" i="1"/>
  <c r="K1454" i="1"/>
  <c r="J1454" i="1"/>
  <c r="H1454" i="1"/>
  <c r="G1454" i="1"/>
  <c r="F1454" i="1"/>
  <c r="E1454" i="1"/>
  <c r="C1454" i="1"/>
  <c r="D1454" i="1" s="1"/>
  <c r="I1454" i="1" s="1"/>
  <c r="B1454" i="1"/>
  <c r="N1454" i="1" s="1"/>
  <c r="A1454" i="1"/>
  <c r="T1453" i="1"/>
  <c r="S1453" i="1"/>
  <c r="Q1453" i="1"/>
  <c r="N1453" i="1"/>
  <c r="P1453" i="1" s="1"/>
  <c r="M1453" i="1"/>
  <c r="L1453" i="1"/>
  <c r="K1453" i="1"/>
  <c r="J1453" i="1"/>
  <c r="R1453" i="1" s="1"/>
  <c r="H1453" i="1"/>
  <c r="G1453" i="1"/>
  <c r="F1453" i="1"/>
  <c r="E1453" i="1"/>
  <c r="C1453" i="1"/>
  <c r="D1453" i="1" s="1"/>
  <c r="I1453" i="1" s="1"/>
  <c r="B1453" i="1"/>
  <c r="A1453" i="1"/>
  <c r="T1452" i="1"/>
  <c r="S1452" i="1"/>
  <c r="Q1452" i="1"/>
  <c r="O1452" i="1"/>
  <c r="N1452" i="1"/>
  <c r="P1452" i="1" s="1"/>
  <c r="M1452" i="1"/>
  <c r="L1452" i="1"/>
  <c r="K1452" i="1"/>
  <c r="R1452" i="1" s="1"/>
  <c r="J1452" i="1"/>
  <c r="H1452" i="1"/>
  <c r="G1452" i="1"/>
  <c r="F1452" i="1"/>
  <c r="E1452" i="1"/>
  <c r="C1452" i="1"/>
  <c r="D1452" i="1" s="1"/>
  <c r="I1452" i="1" s="1"/>
  <c r="B1452" i="1"/>
  <c r="A1452" i="1"/>
  <c r="T1451" i="1"/>
  <c r="S1451" i="1"/>
  <c r="Q1451" i="1"/>
  <c r="M1451" i="1"/>
  <c r="L1451" i="1"/>
  <c r="K1451" i="1"/>
  <c r="R1451" i="1" s="1"/>
  <c r="J1451" i="1"/>
  <c r="H1451" i="1"/>
  <c r="G1451" i="1"/>
  <c r="F1451" i="1"/>
  <c r="E1451" i="1"/>
  <c r="C1451" i="1"/>
  <c r="D1451" i="1" s="1"/>
  <c r="I1451" i="1" s="1"/>
  <c r="B1451" i="1"/>
  <c r="N1451" i="1" s="1"/>
  <c r="A1451" i="1"/>
  <c r="T1450" i="1"/>
  <c r="S1450" i="1"/>
  <c r="R1450" i="1"/>
  <c r="Q1450" i="1"/>
  <c r="M1450" i="1"/>
  <c r="L1450" i="1"/>
  <c r="K1450" i="1"/>
  <c r="J1450" i="1"/>
  <c r="H1450" i="1"/>
  <c r="G1450" i="1"/>
  <c r="F1450" i="1"/>
  <c r="E1450" i="1"/>
  <c r="C1450" i="1"/>
  <c r="D1450" i="1" s="1"/>
  <c r="I1450" i="1" s="1"/>
  <c r="B1450" i="1"/>
  <c r="N1450" i="1" s="1"/>
  <c r="A1450" i="1"/>
  <c r="T1449" i="1"/>
  <c r="S1449" i="1"/>
  <c r="Q1449" i="1"/>
  <c r="N1449" i="1"/>
  <c r="P1449" i="1" s="1"/>
  <c r="M1449" i="1"/>
  <c r="L1449" i="1"/>
  <c r="K1449" i="1"/>
  <c r="J1449" i="1"/>
  <c r="R1449" i="1" s="1"/>
  <c r="H1449" i="1"/>
  <c r="G1449" i="1"/>
  <c r="F1449" i="1"/>
  <c r="E1449" i="1"/>
  <c r="C1449" i="1"/>
  <c r="D1449" i="1" s="1"/>
  <c r="I1449" i="1" s="1"/>
  <c r="B1449" i="1"/>
  <c r="A1449" i="1"/>
  <c r="T1448" i="1"/>
  <c r="S1448" i="1"/>
  <c r="Q1448" i="1"/>
  <c r="O1448" i="1"/>
  <c r="N1448" i="1"/>
  <c r="P1448" i="1" s="1"/>
  <c r="M1448" i="1"/>
  <c r="L1448" i="1"/>
  <c r="K1448" i="1"/>
  <c r="R1448" i="1" s="1"/>
  <c r="J1448" i="1"/>
  <c r="H1448" i="1"/>
  <c r="G1448" i="1"/>
  <c r="F1448" i="1"/>
  <c r="E1448" i="1"/>
  <c r="C1448" i="1"/>
  <c r="D1448" i="1" s="1"/>
  <c r="I1448" i="1" s="1"/>
  <c r="B1448" i="1"/>
  <c r="A1448" i="1"/>
  <c r="T1447" i="1"/>
  <c r="S1447" i="1"/>
  <c r="Q1447" i="1"/>
  <c r="M1447" i="1"/>
  <c r="L1447" i="1"/>
  <c r="K1447" i="1"/>
  <c r="R1447" i="1" s="1"/>
  <c r="J1447" i="1"/>
  <c r="H1447" i="1"/>
  <c r="G1447" i="1"/>
  <c r="F1447" i="1"/>
  <c r="E1447" i="1"/>
  <c r="C1447" i="1"/>
  <c r="D1447" i="1" s="1"/>
  <c r="I1447" i="1" s="1"/>
  <c r="B1447" i="1"/>
  <c r="N1447" i="1" s="1"/>
  <c r="A1447" i="1"/>
  <c r="T1446" i="1"/>
  <c r="S1446" i="1"/>
  <c r="R1446" i="1"/>
  <c r="Q1446" i="1"/>
  <c r="M1446" i="1"/>
  <c r="L1446" i="1"/>
  <c r="K1446" i="1"/>
  <c r="J1446" i="1"/>
  <c r="H1446" i="1"/>
  <c r="G1446" i="1"/>
  <c r="F1446" i="1"/>
  <c r="E1446" i="1"/>
  <c r="C1446" i="1"/>
  <c r="D1446" i="1" s="1"/>
  <c r="I1446" i="1" s="1"/>
  <c r="B1446" i="1"/>
  <c r="N1446" i="1" s="1"/>
  <c r="A1446" i="1"/>
  <c r="T1445" i="1"/>
  <c r="S1445" i="1"/>
  <c r="Q1445" i="1"/>
  <c r="N1445" i="1"/>
  <c r="P1445" i="1" s="1"/>
  <c r="M1445" i="1"/>
  <c r="L1445" i="1"/>
  <c r="K1445" i="1"/>
  <c r="J1445" i="1"/>
  <c r="R1445" i="1" s="1"/>
  <c r="H1445" i="1"/>
  <c r="G1445" i="1"/>
  <c r="F1445" i="1"/>
  <c r="E1445" i="1"/>
  <c r="C1445" i="1"/>
  <c r="D1445" i="1" s="1"/>
  <c r="I1445" i="1" s="1"/>
  <c r="B1445" i="1"/>
  <c r="A1445" i="1"/>
  <c r="T1444" i="1"/>
  <c r="S1444" i="1"/>
  <c r="Q1444" i="1"/>
  <c r="O1444" i="1"/>
  <c r="N1444" i="1"/>
  <c r="P1444" i="1" s="1"/>
  <c r="M1444" i="1"/>
  <c r="L1444" i="1"/>
  <c r="K1444" i="1"/>
  <c r="R1444" i="1" s="1"/>
  <c r="J1444" i="1"/>
  <c r="H1444" i="1"/>
  <c r="G1444" i="1"/>
  <c r="F1444" i="1"/>
  <c r="E1444" i="1"/>
  <c r="C1444" i="1"/>
  <c r="D1444" i="1" s="1"/>
  <c r="I1444" i="1" s="1"/>
  <c r="B1444" i="1"/>
  <c r="A1444" i="1"/>
  <c r="T1443" i="1"/>
  <c r="S1443" i="1"/>
  <c r="Q1443" i="1"/>
  <c r="M1443" i="1"/>
  <c r="L1443" i="1"/>
  <c r="K1443" i="1"/>
  <c r="R1443" i="1" s="1"/>
  <c r="J1443" i="1"/>
  <c r="H1443" i="1"/>
  <c r="G1443" i="1"/>
  <c r="F1443" i="1"/>
  <c r="E1443" i="1"/>
  <c r="C1443" i="1"/>
  <c r="D1443" i="1" s="1"/>
  <c r="I1443" i="1" s="1"/>
  <c r="B1443" i="1"/>
  <c r="N1443" i="1" s="1"/>
  <c r="A1443" i="1"/>
  <c r="T1442" i="1"/>
  <c r="S1442" i="1"/>
  <c r="R1442" i="1"/>
  <c r="Q1442" i="1"/>
  <c r="M1442" i="1"/>
  <c r="L1442" i="1"/>
  <c r="K1442" i="1"/>
  <c r="J1442" i="1"/>
  <c r="H1442" i="1"/>
  <c r="G1442" i="1"/>
  <c r="F1442" i="1"/>
  <c r="E1442" i="1"/>
  <c r="C1442" i="1"/>
  <c r="D1442" i="1" s="1"/>
  <c r="I1442" i="1" s="1"/>
  <c r="B1442" i="1"/>
  <c r="N1442" i="1" s="1"/>
  <c r="A1442" i="1"/>
  <c r="T1441" i="1"/>
  <c r="S1441" i="1"/>
  <c r="Q1441" i="1"/>
  <c r="N1441" i="1"/>
  <c r="P1441" i="1" s="1"/>
  <c r="M1441" i="1"/>
  <c r="L1441" i="1"/>
  <c r="K1441" i="1"/>
  <c r="J1441" i="1"/>
  <c r="R1441" i="1" s="1"/>
  <c r="H1441" i="1"/>
  <c r="G1441" i="1"/>
  <c r="F1441" i="1"/>
  <c r="E1441" i="1"/>
  <c r="C1441" i="1"/>
  <c r="D1441" i="1" s="1"/>
  <c r="I1441" i="1" s="1"/>
  <c r="B1441" i="1"/>
  <c r="A1441" i="1"/>
  <c r="T1440" i="1"/>
  <c r="S1440" i="1"/>
  <c r="Q1440" i="1"/>
  <c r="O1440" i="1"/>
  <c r="N1440" i="1"/>
  <c r="P1440" i="1" s="1"/>
  <c r="M1440" i="1"/>
  <c r="L1440" i="1"/>
  <c r="K1440" i="1"/>
  <c r="R1440" i="1" s="1"/>
  <c r="J1440" i="1"/>
  <c r="H1440" i="1"/>
  <c r="G1440" i="1"/>
  <c r="F1440" i="1"/>
  <c r="E1440" i="1"/>
  <c r="C1440" i="1"/>
  <c r="D1440" i="1" s="1"/>
  <c r="I1440" i="1" s="1"/>
  <c r="B1440" i="1"/>
  <c r="A1440" i="1"/>
  <c r="T1439" i="1"/>
  <c r="S1439" i="1"/>
  <c r="Q1439" i="1"/>
  <c r="M1439" i="1"/>
  <c r="L1439" i="1"/>
  <c r="K1439" i="1"/>
  <c r="R1439" i="1" s="1"/>
  <c r="J1439" i="1"/>
  <c r="H1439" i="1"/>
  <c r="G1439" i="1"/>
  <c r="F1439" i="1"/>
  <c r="E1439" i="1"/>
  <c r="C1439" i="1"/>
  <c r="D1439" i="1" s="1"/>
  <c r="I1439" i="1" s="1"/>
  <c r="B1439" i="1"/>
  <c r="N1439" i="1" s="1"/>
  <c r="A1439" i="1"/>
  <c r="T1438" i="1"/>
  <c r="S1438" i="1"/>
  <c r="Q1438" i="1"/>
  <c r="M1438" i="1"/>
  <c r="L1438" i="1"/>
  <c r="K1438" i="1"/>
  <c r="R1438" i="1" s="1"/>
  <c r="J1438" i="1"/>
  <c r="H1438" i="1"/>
  <c r="G1438" i="1"/>
  <c r="F1438" i="1"/>
  <c r="E1438" i="1"/>
  <c r="C1438" i="1"/>
  <c r="D1438" i="1" s="1"/>
  <c r="I1438" i="1" s="1"/>
  <c r="B1438" i="1"/>
  <c r="N1438" i="1" s="1"/>
  <c r="A1438" i="1"/>
  <c r="T1437" i="1"/>
  <c r="S1437" i="1"/>
  <c r="Q1437" i="1"/>
  <c r="M1437" i="1"/>
  <c r="L1437" i="1"/>
  <c r="K1437" i="1"/>
  <c r="J1437" i="1"/>
  <c r="R1437" i="1" s="1"/>
  <c r="H1437" i="1"/>
  <c r="G1437" i="1"/>
  <c r="F1437" i="1"/>
  <c r="E1437" i="1"/>
  <c r="C1437" i="1"/>
  <c r="D1437" i="1" s="1"/>
  <c r="I1437" i="1" s="1"/>
  <c r="B1437" i="1"/>
  <c r="N1437" i="1" s="1"/>
  <c r="A1437" i="1"/>
  <c r="T1436" i="1"/>
  <c r="S1436" i="1"/>
  <c r="R1436" i="1"/>
  <c r="Q1436" i="1"/>
  <c r="M1436" i="1"/>
  <c r="L1436" i="1"/>
  <c r="K1436" i="1"/>
  <c r="J1436" i="1"/>
  <c r="H1436" i="1"/>
  <c r="G1436" i="1"/>
  <c r="F1436" i="1"/>
  <c r="E1436" i="1"/>
  <c r="C1436" i="1"/>
  <c r="D1436" i="1" s="1"/>
  <c r="I1436" i="1" s="1"/>
  <c r="B1436" i="1"/>
  <c r="N1436" i="1" s="1"/>
  <c r="A1436" i="1"/>
  <c r="T1435" i="1"/>
  <c r="S1435" i="1"/>
  <c r="Q1435" i="1"/>
  <c r="N1435" i="1"/>
  <c r="P1435" i="1" s="1"/>
  <c r="M1435" i="1"/>
  <c r="L1435" i="1"/>
  <c r="K1435" i="1"/>
  <c r="R1435" i="1" s="1"/>
  <c r="J1435" i="1"/>
  <c r="H1435" i="1"/>
  <c r="G1435" i="1"/>
  <c r="F1435" i="1"/>
  <c r="E1435" i="1"/>
  <c r="C1435" i="1"/>
  <c r="D1435" i="1" s="1"/>
  <c r="I1435" i="1" s="1"/>
  <c r="B1435" i="1"/>
  <c r="A1435" i="1"/>
  <c r="T1434" i="1"/>
  <c r="S1434" i="1"/>
  <c r="Q1434" i="1"/>
  <c r="M1434" i="1"/>
  <c r="L1434" i="1"/>
  <c r="K1434" i="1"/>
  <c r="R1434" i="1" s="1"/>
  <c r="J1434" i="1"/>
  <c r="H1434" i="1"/>
  <c r="G1434" i="1"/>
  <c r="F1434" i="1"/>
  <c r="E1434" i="1"/>
  <c r="D1434" i="1"/>
  <c r="I1434" i="1" s="1"/>
  <c r="C1434" i="1"/>
  <c r="B1434" i="1"/>
  <c r="N1434" i="1" s="1"/>
  <c r="A1434" i="1"/>
  <c r="T1433" i="1"/>
  <c r="S1433" i="1"/>
  <c r="Q1433" i="1"/>
  <c r="N1433" i="1"/>
  <c r="O1433" i="1" s="1"/>
  <c r="M1433" i="1"/>
  <c r="L1433" i="1"/>
  <c r="P1433" i="1" s="1"/>
  <c r="K1433" i="1"/>
  <c r="J1433" i="1"/>
  <c r="R1433" i="1" s="1"/>
  <c r="H1433" i="1"/>
  <c r="G1433" i="1"/>
  <c r="F1433" i="1"/>
  <c r="E1433" i="1"/>
  <c r="C1433" i="1"/>
  <c r="D1433" i="1" s="1"/>
  <c r="I1433" i="1" s="1"/>
  <c r="B1433" i="1"/>
  <c r="A1433" i="1"/>
  <c r="T1432" i="1"/>
  <c r="S1432" i="1"/>
  <c r="Q1432" i="1"/>
  <c r="M1432" i="1"/>
  <c r="L1432" i="1"/>
  <c r="K1432" i="1"/>
  <c r="R1432" i="1" s="1"/>
  <c r="J1432" i="1"/>
  <c r="H1432" i="1"/>
  <c r="G1432" i="1"/>
  <c r="F1432" i="1"/>
  <c r="E1432" i="1"/>
  <c r="D1432" i="1"/>
  <c r="I1432" i="1" s="1"/>
  <c r="C1432" i="1"/>
  <c r="B1432" i="1"/>
  <c r="N1432" i="1" s="1"/>
  <c r="A1432" i="1"/>
  <c r="T1431" i="1"/>
  <c r="S1431" i="1"/>
  <c r="Q1431" i="1"/>
  <c r="N1431" i="1"/>
  <c r="O1431" i="1" s="1"/>
  <c r="M1431" i="1"/>
  <c r="L1431" i="1"/>
  <c r="K1431" i="1"/>
  <c r="J1431" i="1"/>
  <c r="R1431" i="1" s="1"/>
  <c r="H1431" i="1"/>
  <c r="G1431" i="1"/>
  <c r="F1431" i="1"/>
  <c r="E1431" i="1"/>
  <c r="C1431" i="1"/>
  <c r="D1431" i="1" s="1"/>
  <c r="I1431" i="1" s="1"/>
  <c r="B1431" i="1"/>
  <c r="A1431" i="1"/>
  <c r="T1430" i="1"/>
  <c r="S1430" i="1"/>
  <c r="Q1430" i="1"/>
  <c r="M1430" i="1"/>
  <c r="L1430" i="1"/>
  <c r="K1430" i="1"/>
  <c r="R1430" i="1" s="1"/>
  <c r="J1430" i="1"/>
  <c r="H1430" i="1"/>
  <c r="G1430" i="1"/>
  <c r="F1430" i="1"/>
  <c r="E1430" i="1"/>
  <c r="D1430" i="1"/>
  <c r="I1430" i="1" s="1"/>
  <c r="C1430" i="1"/>
  <c r="B1430" i="1"/>
  <c r="N1430" i="1" s="1"/>
  <c r="A1430" i="1"/>
  <c r="T1429" i="1"/>
  <c r="S1429" i="1"/>
  <c r="Q1429" i="1"/>
  <c r="N1429" i="1"/>
  <c r="O1429" i="1" s="1"/>
  <c r="M1429" i="1"/>
  <c r="L1429" i="1"/>
  <c r="P1429" i="1" s="1"/>
  <c r="K1429" i="1"/>
  <c r="J1429" i="1"/>
  <c r="R1429" i="1" s="1"/>
  <c r="H1429" i="1"/>
  <c r="G1429" i="1"/>
  <c r="F1429" i="1"/>
  <c r="E1429" i="1"/>
  <c r="C1429" i="1"/>
  <c r="D1429" i="1" s="1"/>
  <c r="I1429" i="1" s="1"/>
  <c r="B1429" i="1"/>
  <c r="A1429" i="1"/>
  <c r="T1428" i="1"/>
  <c r="S1428" i="1"/>
  <c r="Q1428" i="1"/>
  <c r="M1428" i="1"/>
  <c r="L1428" i="1"/>
  <c r="K1428" i="1"/>
  <c r="R1428" i="1" s="1"/>
  <c r="J1428" i="1"/>
  <c r="H1428" i="1"/>
  <c r="G1428" i="1"/>
  <c r="F1428" i="1"/>
  <c r="E1428" i="1"/>
  <c r="D1428" i="1"/>
  <c r="I1428" i="1" s="1"/>
  <c r="C1428" i="1"/>
  <c r="B1428" i="1"/>
  <c r="N1428" i="1" s="1"/>
  <c r="A1428" i="1"/>
  <c r="T1427" i="1"/>
  <c r="S1427" i="1"/>
  <c r="Q1427" i="1"/>
  <c r="M1427" i="1"/>
  <c r="L1427" i="1"/>
  <c r="K1427" i="1"/>
  <c r="J1427" i="1"/>
  <c r="R1427" i="1" s="1"/>
  <c r="H1427" i="1"/>
  <c r="G1427" i="1"/>
  <c r="F1427" i="1"/>
  <c r="E1427" i="1"/>
  <c r="D1427" i="1"/>
  <c r="I1427" i="1" s="1"/>
  <c r="C1427" i="1"/>
  <c r="B1427" i="1"/>
  <c r="N1427" i="1" s="1"/>
  <c r="A1427" i="1"/>
  <c r="T1426" i="1"/>
  <c r="S1426" i="1"/>
  <c r="Q1426" i="1"/>
  <c r="M1426" i="1"/>
  <c r="L1426" i="1"/>
  <c r="K1426" i="1"/>
  <c r="J1426" i="1"/>
  <c r="R1426" i="1" s="1"/>
  <c r="H1426" i="1"/>
  <c r="G1426" i="1"/>
  <c r="F1426" i="1"/>
  <c r="E1426" i="1"/>
  <c r="D1426" i="1"/>
  <c r="I1426" i="1" s="1"/>
  <c r="C1426" i="1"/>
  <c r="B1426" i="1"/>
  <c r="N1426" i="1" s="1"/>
  <c r="A1426" i="1"/>
  <c r="T1425" i="1"/>
  <c r="S1425" i="1"/>
  <c r="Q1425" i="1"/>
  <c r="M1425" i="1"/>
  <c r="L1425" i="1"/>
  <c r="K1425" i="1"/>
  <c r="J1425" i="1"/>
  <c r="R1425" i="1" s="1"/>
  <c r="H1425" i="1"/>
  <c r="G1425" i="1"/>
  <c r="F1425" i="1"/>
  <c r="E1425" i="1"/>
  <c r="D1425" i="1"/>
  <c r="I1425" i="1" s="1"/>
  <c r="C1425" i="1"/>
  <c r="B1425" i="1"/>
  <c r="N1425" i="1" s="1"/>
  <c r="A1425" i="1"/>
  <c r="T1424" i="1"/>
  <c r="S1424" i="1"/>
  <c r="Q1424" i="1"/>
  <c r="M1424" i="1"/>
  <c r="L1424" i="1"/>
  <c r="K1424" i="1"/>
  <c r="J1424" i="1"/>
  <c r="R1424" i="1" s="1"/>
  <c r="H1424" i="1"/>
  <c r="G1424" i="1"/>
  <c r="F1424" i="1"/>
  <c r="E1424" i="1"/>
  <c r="D1424" i="1"/>
  <c r="I1424" i="1" s="1"/>
  <c r="C1424" i="1"/>
  <c r="B1424" i="1"/>
  <c r="N1424" i="1" s="1"/>
  <c r="A1424" i="1"/>
  <c r="T1423" i="1"/>
  <c r="S1423" i="1"/>
  <c r="Q1423" i="1"/>
  <c r="M1423" i="1"/>
  <c r="L1423" i="1"/>
  <c r="K1423" i="1"/>
  <c r="J1423" i="1"/>
  <c r="R1423" i="1" s="1"/>
  <c r="H1423" i="1"/>
  <c r="G1423" i="1"/>
  <c r="F1423" i="1"/>
  <c r="E1423" i="1"/>
  <c r="D1423" i="1"/>
  <c r="I1423" i="1" s="1"/>
  <c r="C1423" i="1"/>
  <c r="B1423" i="1"/>
  <c r="N1423" i="1" s="1"/>
  <c r="A1423" i="1"/>
  <c r="T1422" i="1"/>
  <c r="S1422" i="1"/>
  <c r="Q1422" i="1"/>
  <c r="M1422" i="1"/>
  <c r="L1422" i="1"/>
  <c r="K1422" i="1"/>
  <c r="J1422" i="1"/>
  <c r="R1422" i="1" s="1"/>
  <c r="H1422" i="1"/>
  <c r="G1422" i="1"/>
  <c r="F1422" i="1"/>
  <c r="E1422" i="1"/>
  <c r="D1422" i="1"/>
  <c r="I1422" i="1" s="1"/>
  <c r="C1422" i="1"/>
  <c r="B1422" i="1"/>
  <c r="N1422" i="1" s="1"/>
  <c r="A1422" i="1"/>
  <c r="T1421" i="1"/>
  <c r="S1421" i="1"/>
  <c r="Q1421" i="1"/>
  <c r="M1421" i="1"/>
  <c r="L1421" i="1"/>
  <c r="K1421" i="1"/>
  <c r="J1421" i="1"/>
  <c r="R1421" i="1" s="1"/>
  <c r="H1421" i="1"/>
  <c r="G1421" i="1"/>
  <c r="F1421" i="1"/>
  <c r="E1421" i="1"/>
  <c r="D1421" i="1"/>
  <c r="I1421" i="1" s="1"/>
  <c r="C1421" i="1"/>
  <c r="B1421" i="1"/>
  <c r="N1421" i="1" s="1"/>
  <c r="A1421" i="1"/>
  <c r="T1420" i="1"/>
  <c r="S1420" i="1"/>
  <c r="R1420" i="1"/>
  <c r="Q1420" i="1"/>
  <c r="M1420" i="1"/>
  <c r="L1420" i="1"/>
  <c r="K1420" i="1"/>
  <c r="J1420" i="1"/>
  <c r="H1420" i="1"/>
  <c r="G1420" i="1"/>
  <c r="F1420" i="1"/>
  <c r="E1420" i="1"/>
  <c r="D1420" i="1"/>
  <c r="I1420" i="1" s="1"/>
  <c r="C1420" i="1"/>
  <c r="B1420" i="1"/>
  <c r="N1420" i="1" s="1"/>
  <c r="A1420" i="1"/>
  <c r="T1419" i="1"/>
  <c r="S1419" i="1"/>
  <c r="R1419" i="1"/>
  <c r="Q1419" i="1"/>
  <c r="P1419" i="1"/>
  <c r="M1419" i="1"/>
  <c r="L1419" i="1"/>
  <c r="K1419" i="1"/>
  <c r="J1419" i="1"/>
  <c r="H1419" i="1"/>
  <c r="G1419" i="1"/>
  <c r="F1419" i="1"/>
  <c r="E1419" i="1"/>
  <c r="D1419" i="1"/>
  <c r="I1419" i="1" s="1"/>
  <c r="C1419" i="1"/>
  <c r="B1419" i="1"/>
  <c r="N1419" i="1" s="1"/>
  <c r="O1419" i="1" s="1"/>
  <c r="A1419" i="1"/>
  <c r="T1418" i="1"/>
  <c r="S1418" i="1"/>
  <c r="R1418" i="1"/>
  <c r="Q1418" i="1"/>
  <c r="M1418" i="1"/>
  <c r="L1418" i="1"/>
  <c r="K1418" i="1"/>
  <c r="J1418" i="1"/>
  <c r="H1418" i="1"/>
  <c r="G1418" i="1"/>
  <c r="F1418" i="1"/>
  <c r="E1418" i="1"/>
  <c r="D1418" i="1"/>
  <c r="I1418" i="1" s="1"/>
  <c r="C1418" i="1"/>
  <c r="B1418" i="1"/>
  <c r="N1418" i="1" s="1"/>
  <c r="A1418" i="1"/>
  <c r="T1417" i="1"/>
  <c r="S1417" i="1"/>
  <c r="R1417" i="1"/>
  <c r="Q1417" i="1"/>
  <c r="P1417" i="1"/>
  <c r="M1417" i="1"/>
  <c r="L1417" i="1"/>
  <c r="K1417" i="1"/>
  <c r="J1417" i="1"/>
  <c r="H1417" i="1"/>
  <c r="G1417" i="1"/>
  <c r="F1417" i="1"/>
  <c r="E1417" i="1"/>
  <c r="D1417" i="1"/>
  <c r="I1417" i="1" s="1"/>
  <c r="C1417" i="1"/>
  <c r="B1417" i="1"/>
  <c r="N1417" i="1" s="1"/>
  <c r="O1417" i="1" s="1"/>
  <c r="A1417" i="1"/>
  <c r="T1416" i="1"/>
  <c r="S1416" i="1"/>
  <c r="R1416" i="1"/>
  <c r="Q1416" i="1"/>
  <c r="M1416" i="1"/>
  <c r="L1416" i="1"/>
  <c r="K1416" i="1"/>
  <c r="J1416" i="1"/>
  <c r="H1416" i="1"/>
  <c r="G1416" i="1"/>
  <c r="F1416" i="1"/>
  <c r="E1416" i="1"/>
  <c r="D1416" i="1"/>
  <c r="I1416" i="1" s="1"/>
  <c r="C1416" i="1"/>
  <c r="B1416" i="1"/>
  <c r="N1416" i="1" s="1"/>
  <c r="A1416" i="1"/>
  <c r="T1415" i="1"/>
  <c r="S1415" i="1"/>
  <c r="R1415" i="1"/>
  <c r="Q1415" i="1"/>
  <c r="M1415" i="1"/>
  <c r="L1415" i="1"/>
  <c r="K1415" i="1"/>
  <c r="J1415" i="1"/>
  <c r="H1415" i="1"/>
  <c r="G1415" i="1"/>
  <c r="F1415" i="1"/>
  <c r="E1415" i="1"/>
  <c r="D1415" i="1"/>
  <c r="I1415" i="1" s="1"/>
  <c r="C1415" i="1"/>
  <c r="B1415" i="1"/>
  <c r="N1415" i="1" s="1"/>
  <c r="A1415" i="1"/>
  <c r="T1414" i="1"/>
  <c r="S1414" i="1"/>
  <c r="R1414" i="1"/>
  <c r="Q1414" i="1"/>
  <c r="M1414" i="1"/>
  <c r="L1414" i="1"/>
  <c r="K1414" i="1"/>
  <c r="J1414" i="1"/>
  <c r="H1414" i="1"/>
  <c r="G1414" i="1"/>
  <c r="F1414" i="1"/>
  <c r="E1414" i="1"/>
  <c r="D1414" i="1"/>
  <c r="I1414" i="1" s="1"/>
  <c r="C1414" i="1"/>
  <c r="B1414" i="1"/>
  <c r="N1414" i="1" s="1"/>
  <c r="A1414" i="1"/>
  <c r="T1413" i="1"/>
  <c r="S1413" i="1"/>
  <c r="R1413" i="1"/>
  <c r="Q1413" i="1"/>
  <c r="P1413" i="1"/>
  <c r="M1413" i="1"/>
  <c r="L1413" i="1"/>
  <c r="K1413" i="1"/>
  <c r="J1413" i="1"/>
  <c r="H1413" i="1"/>
  <c r="G1413" i="1"/>
  <c r="F1413" i="1"/>
  <c r="E1413" i="1"/>
  <c r="D1413" i="1"/>
  <c r="I1413" i="1" s="1"/>
  <c r="C1413" i="1"/>
  <c r="B1413" i="1"/>
  <c r="N1413" i="1" s="1"/>
  <c r="O1413" i="1" s="1"/>
  <c r="A1413" i="1"/>
  <c r="T1412" i="1"/>
  <c r="S1412" i="1"/>
  <c r="R1412" i="1"/>
  <c r="Q1412" i="1"/>
  <c r="M1412" i="1"/>
  <c r="L1412" i="1"/>
  <c r="K1412" i="1"/>
  <c r="J1412" i="1"/>
  <c r="H1412" i="1"/>
  <c r="G1412" i="1"/>
  <c r="F1412" i="1"/>
  <c r="E1412" i="1"/>
  <c r="D1412" i="1"/>
  <c r="I1412" i="1" s="1"/>
  <c r="C1412" i="1"/>
  <c r="B1412" i="1"/>
  <c r="N1412" i="1" s="1"/>
  <c r="A1412" i="1"/>
  <c r="T1411" i="1"/>
  <c r="S1411" i="1"/>
  <c r="R1411" i="1"/>
  <c r="Q1411" i="1"/>
  <c r="P1411" i="1"/>
  <c r="M1411" i="1"/>
  <c r="L1411" i="1"/>
  <c r="K1411" i="1"/>
  <c r="J1411" i="1"/>
  <c r="H1411" i="1"/>
  <c r="G1411" i="1"/>
  <c r="F1411" i="1"/>
  <c r="E1411" i="1"/>
  <c r="D1411" i="1"/>
  <c r="I1411" i="1" s="1"/>
  <c r="C1411" i="1"/>
  <c r="B1411" i="1"/>
  <c r="N1411" i="1" s="1"/>
  <c r="O1411" i="1" s="1"/>
  <c r="A1411" i="1"/>
  <c r="T1410" i="1"/>
  <c r="S1410" i="1"/>
  <c r="R1410" i="1"/>
  <c r="Q1410" i="1"/>
  <c r="M1410" i="1"/>
  <c r="L1410" i="1"/>
  <c r="K1410" i="1"/>
  <c r="J1410" i="1"/>
  <c r="H1410" i="1"/>
  <c r="G1410" i="1"/>
  <c r="F1410" i="1"/>
  <c r="E1410" i="1"/>
  <c r="D1410" i="1"/>
  <c r="I1410" i="1" s="1"/>
  <c r="C1410" i="1"/>
  <c r="B1410" i="1"/>
  <c r="N1410" i="1" s="1"/>
  <c r="A1410" i="1"/>
  <c r="T1409" i="1"/>
  <c r="S1409" i="1"/>
  <c r="R1409" i="1"/>
  <c r="Q1409" i="1"/>
  <c r="P1409" i="1"/>
  <c r="M1409" i="1"/>
  <c r="L1409" i="1"/>
  <c r="K1409" i="1"/>
  <c r="J1409" i="1"/>
  <c r="H1409" i="1"/>
  <c r="G1409" i="1"/>
  <c r="F1409" i="1"/>
  <c r="E1409" i="1"/>
  <c r="D1409" i="1"/>
  <c r="I1409" i="1" s="1"/>
  <c r="C1409" i="1"/>
  <c r="B1409" i="1"/>
  <c r="N1409" i="1" s="1"/>
  <c r="O1409" i="1" s="1"/>
  <c r="A1409" i="1"/>
  <c r="T1408" i="1"/>
  <c r="S1408" i="1"/>
  <c r="R1408" i="1"/>
  <c r="Q1408" i="1"/>
  <c r="M1408" i="1"/>
  <c r="L1408" i="1"/>
  <c r="K1408" i="1"/>
  <c r="J1408" i="1"/>
  <c r="H1408" i="1"/>
  <c r="G1408" i="1"/>
  <c r="F1408" i="1"/>
  <c r="E1408" i="1"/>
  <c r="D1408" i="1"/>
  <c r="I1408" i="1" s="1"/>
  <c r="C1408" i="1"/>
  <c r="B1408" i="1"/>
  <c r="N1408" i="1" s="1"/>
  <c r="A1408" i="1"/>
  <c r="T1407" i="1"/>
  <c r="S1407" i="1"/>
  <c r="R1407" i="1"/>
  <c r="Q1407" i="1"/>
  <c r="M1407" i="1"/>
  <c r="L1407" i="1"/>
  <c r="K1407" i="1"/>
  <c r="J1407" i="1"/>
  <c r="H1407" i="1"/>
  <c r="G1407" i="1"/>
  <c r="F1407" i="1"/>
  <c r="E1407" i="1"/>
  <c r="D1407" i="1"/>
  <c r="I1407" i="1" s="1"/>
  <c r="C1407" i="1"/>
  <c r="B1407" i="1"/>
  <c r="N1407" i="1" s="1"/>
  <c r="A1407" i="1"/>
  <c r="T1406" i="1"/>
  <c r="S1406" i="1"/>
  <c r="R1406" i="1"/>
  <c r="Q1406" i="1"/>
  <c r="M1406" i="1"/>
  <c r="L1406" i="1"/>
  <c r="K1406" i="1"/>
  <c r="J1406" i="1"/>
  <c r="H1406" i="1"/>
  <c r="G1406" i="1"/>
  <c r="F1406" i="1"/>
  <c r="E1406" i="1"/>
  <c r="D1406" i="1"/>
  <c r="I1406" i="1" s="1"/>
  <c r="C1406" i="1"/>
  <c r="B1406" i="1"/>
  <c r="N1406" i="1" s="1"/>
  <c r="A1406" i="1"/>
  <c r="T1405" i="1"/>
  <c r="S1405" i="1"/>
  <c r="R1405" i="1"/>
  <c r="Q1405" i="1"/>
  <c r="P1405" i="1"/>
  <c r="M1405" i="1"/>
  <c r="L1405" i="1"/>
  <c r="K1405" i="1"/>
  <c r="J1405" i="1"/>
  <c r="H1405" i="1"/>
  <c r="G1405" i="1"/>
  <c r="F1405" i="1"/>
  <c r="E1405" i="1"/>
  <c r="D1405" i="1"/>
  <c r="I1405" i="1" s="1"/>
  <c r="C1405" i="1"/>
  <c r="B1405" i="1"/>
  <c r="N1405" i="1" s="1"/>
  <c r="O1405" i="1" s="1"/>
  <c r="A1405" i="1"/>
  <c r="T1404" i="1"/>
  <c r="S1404" i="1"/>
  <c r="R1404" i="1"/>
  <c r="Q1404" i="1"/>
  <c r="M1404" i="1"/>
  <c r="L1404" i="1"/>
  <c r="K1404" i="1"/>
  <c r="J1404" i="1"/>
  <c r="H1404" i="1"/>
  <c r="G1404" i="1"/>
  <c r="F1404" i="1"/>
  <c r="E1404" i="1"/>
  <c r="D1404" i="1"/>
  <c r="I1404" i="1" s="1"/>
  <c r="C1404" i="1"/>
  <c r="B1404" i="1"/>
  <c r="N1404" i="1" s="1"/>
  <c r="A1404" i="1"/>
  <c r="T1403" i="1"/>
  <c r="S1403" i="1"/>
  <c r="R1403" i="1"/>
  <c r="Q1403" i="1"/>
  <c r="P1403" i="1"/>
  <c r="M1403" i="1"/>
  <c r="L1403" i="1"/>
  <c r="K1403" i="1"/>
  <c r="J1403" i="1"/>
  <c r="H1403" i="1"/>
  <c r="G1403" i="1"/>
  <c r="F1403" i="1"/>
  <c r="E1403" i="1"/>
  <c r="D1403" i="1"/>
  <c r="I1403" i="1" s="1"/>
  <c r="C1403" i="1"/>
  <c r="B1403" i="1"/>
  <c r="N1403" i="1" s="1"/>
  <c r="O1403" i="1" s="1"/>
  <c r="A1403" i="1"/>
  <c r="T1402" i="1"/>
  <c r="S1402" i="1"/>
  <c r="R1402" i="1"/>
  <c r="Q1402" i="1"/>
  <c r="M1402" i="1"/>
  <c r="L1402" i="1"/>
  <c r="K1402" i="1"/>
  <c r="J1402" i="1"/>
  <c r="H1402" i="1"/>
  <c r="G1402" i="1"/>
  <c r="F1402" i="1"/>
  <c r="E1402" i="1"/>
  <c r="D1402" i="1"/>
  <c r="I1402" i="1" s="1"/>
  <c r="C1402" i="1"/>
  <c r="B1402" i="1"/>
  <c r="N1402" i="1" s="1"/>
  <c r="A1402" i="1"/>
  <c r="T1401" i="1"/>
  <c r="S1401" i="1"/>
  <c r="R1401" i="1"/>
  <c r="Q1401" i="1"/>
  <c r="P1401" i="1"/>
  <c r="M1401" i="1"/>
  <c r="L1401" i="1"/>
  <c r="K1401" i="1"/>
  <c r="J1401" i="1"/>
  <c r="H1401" i="1"/>
  <c r="G1401" i="1"/>
  <c r="F1401" i="1"/>
  <c r="E1401" i="1"/>
  <c r="D1401" i="1"/>
  <c r="I1401" i="1" s="1"/>
  <c r="C1401" i="1"/>
  <c r="B1401" i="1"/>
  <c r="N1401" i="1" s="1"/>
  <c r="O1401" i="1" s="1"/>
  <c r="A1401" i="1"/>
  <c r="T1400" i="1"/>
  <c r="S1400" i="1"/>
  <c r="R1400" i="1"/>
  <c r="Q1400" i="1"/>
  <c r="M1400" i="1"/>
  <c r="L1400" i="1"/>
  <c r="K1400" i="1"/>
  <c r="J1400" i="1"/>
  <c r="H1400" i="1"/>
  <c r="G1400" i="1"/>
  <c r="F1400" i="1"/>
  <c r="E1400" i="1"/>
  <c r="D1400" i="1"/>
  <c r="I1400" i="1" s="1"/>
  <c r="C1400" i="1"/>
  <c r="B1400" i="1"/>
  <c r="N1400" i="1" s="1"/>
  <c r="A1400" i="1"/>
  <c r="T1399" i="1"/>
  <c r="S1399" i="1"/>
  <c r="R1399" i="1"/>
  <c r="Q1399" i="1"/>
  <c r="M1399" i="1"/>
  <c r="L1399" i="1"/>
  <c r="K1399" i="1"/>
  <c r="J1399" i="1"/>
  <c r="H1399" i="1"/>
  <c r="G1399" i="1"/>
  <c r="F1399" i="1"/>
  <c r="E1399" i="1"/>
  <c r="D1399" i="1"/>
  <c r="I1399" i="1" s="1"/>
  <c r="C1399" i="1"/>
  <c r="B1399" i="1"/>
  <c r="N1399" i="1" s="1"/>
  <c r="A1399" i="1"/>
  <c r="T1398" i="1"/>
  <c r="S1398" i="1"/>
  <c r="R1398" i="1"/>
  <c r="Q1398" i="1"/>
  <c r="M1398" i="1"/>
  <c r="L1398" i="1"/>
  <c r="K1398" i="1"/>
  <c r="J1398" i="1"/>
  <c r="H1398" i="1"/>
  <c r="G1398" i="1"/>
  <c r="F1398" i="1"/>
  <c r="E1398" i="1"/>
  <c r="D1398" i="1"/>
  <c r="I1398" i="1" s="1"/>
  <c r="C1398" i="1"/>
  <c r="B1398" i="1"/>
  <c r="N1398" i="1" s="1"/>
  <c r="A1398" i="1"/>
  <c r="T1397" i="1"/>
  <c r="S1397" i="1"/>
  <c r="R1397" i="1"/>
  <c r="Q1397" i="1"/>
  <c r="P1397" i="1"/>
  <c r="M1397" i="1"/>
  <c r="L1397" i="1"/>
  <c r="K1397" i="1"/>
  <c r="J1397" i="1"/>
  <c r="H1397" i="1"/>
  <c r="G1397" i="1"/>
  <c r="F1397" i="1"/>
  <c r="E1397" i="1"/>
  <c r="D1397" i="1"/>
  <c r="I1397" i="1" s="1"/>
  <c r="C1397" i="1"/>
  <c r="B1397" i="1"/>
  <c r="N1397" i="1" s="1"/>
  <c r="O1397" i="1" s="1"/>
  <c r="A1397" i="1"/>
  <c r="T1396" i="1"/>
  <c r="S1396" i="1"/>
  <c r="R1396" i="1"/>
  <c r="Q1396" i="1"/>
  <c r="M1396" i="1"/>
  <c r="L1396" i="1"/>
  <c r="K1396" i="1"/>
  <c r="J1396" i="1"/>
  <c r="H1396" i="1"/>
  <c r="G1396" i="1"/>
  <c r="F1396" i="1"/>
  <c r="E1396" i="1"/>
  <c r="D1396" i="1"/>
  <c r="I1396" i="1" s="1"/>
  <c r="C1396" i="1"/>
  <c r="B1396" i="1"/>
  <c r="N1396" i="1" s="1"/>
  <c r="A1396" i="1"/>
  <c r="T1395" i="1"/>
  <c r="S1395" i="1"/>
  <c r="R1395" i="1"/>
  <c r="Q1395" i="1"/>
  <c r="P1395" i="1"/>
  <c r="M1395" i="1"/>
  <c r="L1395" i="1"/>
  <c r="K1395" i="1"/>
  <c r="J1395" i="1"/>
  <c r="H1395" i="1"/>
  <c r="G1395" i="1"/>
  <c r="F1395" i="1"/>
  <c r="E1395" i="1"/>
  <c r="D1395" i="1"/>
  <c r="I1395" i="1" s="1"/>
  <c r="C1395" i="1"/>
  <c r="B1395" i="1"/>
  <c r="N1395" i="1" s="1"/>
  <c r="O1395" i="1" s="1"/>
  <c r="A1395" i="1"/>
  <c r="T1394" i="1"/>
  <c r="S1394" i="1"/>
  <c r="R1394" i="1"/>
  <c r="Q1394" i="1"/>
  <c r="M1394" i="1"/>
  <c r="L1394" i="1"/>
  <c r="K1394" i="1"/>
  <c r="J1394" i="1"/>
  <c r="H1394" i="1"/>
  <c r="G1394" i="1"/>
  <c r="F1394" i="1"/>
  <c r="E1394" i="1"/>
  <c r="D1394" i="1"/>
  <c r="I1394" i="1" s="1"/>
  <c r="C1394" i="1"/>
  <c r="B1394" i="1"/>
  <c r="N1394" i="1" s="1"/>
  <c r="A1394" i="1"/>
  <c r="T1393" i="1"/>
  <c r="S1393" i="1"/>
  <c r="R1393" i="1"/>
  <c r="Q1393" i="1"/>
  <c r="P1393" i="1"/>
  <c r="M1393" i="1"/>
  <c r="L1393" i="1"/>
  <c r="K1393" i="1"/>
  <c r="J1393" i="1"/>
  <c r="H1393" i="1"/>
  <c r="G1393" i="1"/>
  <c r="F1393" i="1"/>
  <c r="E1393" i="1"/>
  <c r="D1393" i="1"/>
  <c r="I1393" i="1" s="1"/>
  <c r="C1393" i="1"/>
  <c r="B1393" i="1"/>
  <c r="N1393" i="1" s="1"/>
  <c r="O1393" i="1" s="1"/>
  <c r="A1393" i="1"/>
  <c r="T1392" i="1"/>
  <c r="S1392" i="1"/>
  <c r="R1392" i="1"/>
  <c r="Q1392" i="1"/>
  <c r="M1392" i="1"/>
  <c r="L1392" i="1"/>
  <c r="K1392" i="1"/>
  <c r="J1392" i="1"/>
  <c r="H1392" i="1"/>
  <c r="G1392" i="1"/>
  <c r="F1392" i="1"/>
  <c r="E1392" i="1"/>
  <c r="D1392" i="1"/>
  <c r="I1392" i="1" s="1"/>
  <c r="C1392" i="1"/>
  <c r="B1392" i="1"/>
  <c r="N1392" i="1" s="1"/>
  <c r="A1392" i="1"/>
  <c r="T1391" i="1"/>
  <c r="S1391" i="1"/>
  <c r="R1391" i="1"/>
  <c r="Q1391" i="1"/>
  <c r="M1391" i="1"/>
  <c r="L1391" i="1"/>
  <c r="K1391" i="1"/>
  <c r="J1391" i="1"/>
  <c r="H1391" i="1"/>
  <c r="G1391" i="1"/>
  <c r="F1391" i="1"/>
  <c r="E1391" i="1"/>
  <c r="D1391" i="1"/>
  <c r="I1391" i="1" s="1"/>
  <c r="C1391" i="1"/>
  <c r="B1391" i="1"/>
  <c r="N1391" i="1" s="1"/>
  <c r="A1391" i="1"/>
  <c r="T1390" i="1"/>
  <c r="S1390" i="1"/>
  <c r="R1390" i="1"/>
  <c r="Q1390" i="1"/>
  <c r="M1390" i="1"/>
  <c r="L1390" i="1"/>
  <c r="K1390" i="1"/>
  <c r="J1390" i="1"/>
  <c r="H1390" i="1"/>
  <c r="G1390" i="1"/>
  <c r="F1390" i="1"/>
  <c r="E1390" i="1"/>
  <c r="D1390" i="1"/>
  <c r="I1390" i="1" s="1"/>
  <c r="C1390" i="1"/>
  <c r="B1390" i="1"/>
  <c r="N1390" i="1" s="1"/>
  <c r="A1390" i="1"/>
  <c r="T1389" i="1"/>
  <c r="S1389" i="1"/>
  <c r="R1389" i="1"/>
  <c r="Q1389" i="1"/>
  <c r="P1389" i="1"/>
  <c r="M1389" i="1"/>
  <c r="L1389" i="1"/>
  <c r="K1389" i="1"/>
  <c r="J1389" i="1"/>
  <c r="H1389" i="1"/>
  <c r="G1389" i="1"/>
  <c r="F1389" i="1"/>
  <c r="E1389" i="1"/>
  <c r="D1389" i="1"/>
  <c r="I1389" i="1" s="1"/>
  <c r="C1389" i="1"/>
  <c r="B1389" i="1"/>
  <c r="N1389" i="1" s="1"/>
  <c r="O1389" i="1" s="1"/>
  <c r="A1389" i="1"/>
  <c r="T1388" i="1"/>
  <c r="S1388" i="1"/>
  <c r="R1388" i="1"/>
  <c r="Q1388" i="1"/>
  <c r="M1388" i="1"/>
  <c r="L1388" i="1"/>
  <c r="K1388" i="1"/>
  <c r="J1388" i="1"/>
  <c r="H1388" i="1"/>
  <c r="G1388" i="1"/>
  <c r="F1388" i="1"/>
  <c r="E1388" i="1"/>
  <c r="D1388" i="1"/>
  <c r="I1388" i="1" s="1"/>
  <c r="C1388" i="1"/>
  <c r="B1388" i="1"/>
  <c r="N1388" i="1" s="1"/>
  <c r="A1388" i="1"/>
  <c r="T1387" i="1"/>
  <c r="S1387" i="1"/>
  <c r="R1387" i="1"/>
  <c r="Q1387" i="1"/>
  <c r="P1387" i="1"/>
  <c r="M1387" i="1"/>
  <c r="L1387" i="1"/>
  <c r="K1387" i="1"/>
  <c r="J1387" i="1"/>
  <c r="H1387" i="1"/>
  <c r="G1387" i="1"/>
  <c r="F1387" i="1"/>
  <c r="E1387" i="1"/>
  <c r="D1387" i="1"/>
  <c r="I1387" i="1" s="1"/>
  <c r="C1387" i="1"/>
  <c r="B1387" i="1"/>
  <c r="N1387" i="1" s="1"/>
  <c r="O1387" i="1" s="1"/>
  <c r="A1387" i="1"/>
  <c r="T1386" i="1"/>
  <c r="S1386" i="1"/>
  <c r="R1386" i="1"/>
  <c r="Q1386" i="1"/>
  <c r="M1386" i="1"/>
  <c r="L1386" i="1"/>
  <c r="K1386" i="1"/>
  <c r="J1386" i="1"/>
  <c r="H1386" i="1"/>
  <c r="G1386" i="1"/>
  <c r="F1386" i="1"/>
  <c r="E1386" i="1"/>
  <c r="D1386" i="1"/>
  <c r="I1386" i="1" s="1"/>
  <c r="C1386" i="1"/>
  <c r="B1386" i="1"/>
  <c r="N1386" i="1" s="1"/>
  <c r="A1386" i="1"/>
  <c r="T1385" i="1"/>
  <c r="S1385" i="1"/>
  <c r="R1385" i="1"/>
  <c r="Q1385" i="1"/>
  <c r="P1385" i="1"/>
  <c r="M1385" i="1"/>
  <c r="N1385" i="1" s="1"/>
  <c r="O1385" i="1" s="1"/>
  <c r="L1385" i="1"/>
  <c r="K1385" i="1"/>
  <c r="J1385" i="1"/>
  <c r="I1385" i="1"/>
  <c r="H1385" i="1"/>
  <c r="G1385" i="1"/>
  <c r="F1385" i="1"/>
  <c r="E1385" i="1"/>
  <c r="D1385" i="1"/>
  <c r="C1385" i="1"/>
  <c r="B1385" i="1"/>
  <c r="A1385" i="1"/>
  <c r="T1384" i="1"/>
  <c r="S1384" i="1"/>
  <c r="Q1384" i="1"/>
  <c r="M1384" i="1"/>
  <c r="L1384" i="1"/>
  <c r="K1384" i="1"/>
  <c r="J1384" i="1"/>
  <c r="R1384" i="1" s="1"/>
  <c r="H1384" i="1"/>
  <c r="G1384" i="1"/>
  <c r="F1384" i="1"/>
  <c r="E1384" i="1"/>
  <c r="D1384" i="1"/>
  <c r="I1384" i="1" s="1"/>
  <c r="C1384" i="1"/>
  <c r="B1384" i="1"/>
  <c r="N1384" i="1" s="1"/>
  <c r="A1384" i="1"/>
  <c r="T1383" i="1"/>
  <c r="S1383" i="1"/>
  <c r="R1383" i="1"/>
  <c r="Q1383" i="1"/>
  <c r="M1383" i="1"/>
  <c r="N1383" i="1" s="1"/>
  <c r="L1383" i="1"/>
  <c r="K1383" i="1"/>
  <c r="J1383" i="1"/>
  <c r="I1383" i="1"/>
  <c r="H1383" i="1"/>
  <c r="G1383" i="1"/>
  <c r="F1383" i="1"/>
  <c r="E1383" i="1"/>
  <c r="D1383" i="1"/>
  <c r="C1383" i="1"/>
  <c r="B1383" i="1"/>
  <c r="A1383" i="1"/>
  <c r="T1382" i="1"/>
  <c r="S1382" i="1"/>
  <c r="Q1382" i="1"/>
  <c r="M1382" i="1"/>
  <c r="L1382" i="1"/>
  <c r="K1382" i="1"/>
  <c r="J1382" i="1"/>
  <c r="R1382" i="1" s="1"/>
  <c r="H1382" i="1"/>
  <c r="G1382" i="1"/>
  <c r="F1382" i="1"/>
  <c r="E1382" i="1"/>
  <c r="D1382" i="1"/>
  <c r="I1382" i="1" s="1"/>
  <c r="C1382" i="1"/>
  <c r="B1382" i="1"/>
  <c r="N1382" i="1" s="1"/>
  <c r="A1382" i="1"/>
  <c r="T1381" i="1"/>
  <c r="S1381" i="1"/>
  <c r="R1381" i="1"/>
  <c r="Q1381" i="1"/>
  <c r="M1381" i="1"/>
  <c r="N1381" i="1" s="1"/>
  <c r="O1381" i="1" s="1"/>
  <c r="L1381" i="1"/>
  <c r="K1381" i="1"/>
  <c r="J1381" i="1"/>
  <c r="I1381" i="1"/>
  <c r="H1381" i="1"/>
  <c r="G1381" i="1"/>
  <c r="F1381" i="1"/>
  <c r="E1381" i="1"/>
  <c r="D1381" i="1"/>
  <c r="C1381" i="1"/>
  <c r="B1381" i="1"/>
  <c r="A1381" i="1"/>
  <c r="T1380" i="1"/>
  <c r="S1380" i="1"/>
  <c r="Q1380" i="1"/>
  <c r="N1380" i="1"/>
  <c r="M1380" i="1"/>
  <c r="L1380" i="1"/>
  <c r="K1380" i="1"/>
  <c r="J1380" i="1"/>
  <c r="R1380" i="1" s="1"/>
  <c r="H1380" i="1"/>
  <c r="G1380" i="1"/>
  <c r="F1380" i="1"/>
  <c r="E1380" i="1"/>
  <c r="D1380" i="1"/>
  <c r="I1380" i="1" s="1"/>
  <c r="C1380" i="1"/>
  <c r="B1380" i="1"/>
  <c r="A1380" i="1"/>
  <c r="T1379" i="1"/>
  <c r="S1379" i="1"/>
  <c r="R1379" i="1"/>
  <c r="Q1379" i="1"/>
  <c r="M1379" i="1"/>
  <c r="N1379" i="1" s="1"/>
  <c r="L1379" i="1"/>
  <c r="K1379" i="1"/>
  <c r="J1379" i="1"/>
  <c r="I1379" i="1"/>
  <c r="H1379" i="1"/>
  <c r="G1379" i="1"/>
  <c r="F1379" i="1"/>
  <c r="E1379" i="1"/>
  <c r="D1379" i="1"/>
  <c r="C1379" i="1"/>
  <c r="B1379" i="1"/>
  <c r="A1379" i="1"/>
  <c r="T1378" i="1"/>
  <c r="S1378" i="1"/>
  <c r="Q1378" i="1"/>
  <c r="M1378" i="1"/>
  <c r="L1378" i="1"/>
  <c r="K1378" i="1"/>
  <c r="J1378" i="1"/>
  <c r="R1378" i="1" s="1"/>
  <c r="H1378" i="1"/>
  <c r="G1378" i="1"/>
  <c r="F1378" i="1"/>
  <c r="E1378" i="1"/>
  <c r="D1378" i="1"/>
  <c r="I1378" i="1" s="1"/>
  <c r="C1378" i="1"/>
  <c r="B1378" i="1"/>
  <c r="N1378" i="1" s="1"/>
  <c r="A1378" i="1"/>
  <c r="T1377" i="1"/>
  <c r="S1377" i="1"/>
  <c r="R1377" i="1"/>
  <c r="Q1377" i="1"/>
  <c r="P1377" i="1"/>
  <c r="M1377" i="1"/>
  <c r="N1377" i="1" s="1"/>
  <c r="O1377" i="1" s="1"/>
  <c r="L1377" i="1"/>
  <c r="K1377" i="1"/>
  <c r="J1377" i="1"/>
  <c r="I1377" i="1"/>
  <c r="H1377" i="1"/>
  <c r="G1377" i="1"/>
  <c r="F1377" i="1"/>
  <c r="E1377" i="1"/>
  <c r="D1377" i="1"/>
  <c r="C1377" i="1"/>
  <c r="B1377" i="1"/>
  <c r="A1377" i="1"/>
  <c r="T1376" i="1"/>
  <c r="S1376" i="1"/>
  <c r="Q1376" i="1"/>
  <c r="M1376" i="1"/>
  <c r="L1376" i="1"/>
  <c r="K1376" i="1"/>
  <c r="J1376" i="1"/>
  <c r="R1376" i="1" s="1"/>
  <c r="H1376" i="1"/>
  <c r="G1376" i="1"/>
  <c r="F1376" i="1"/>
  <c r="E1376" i="1"/>
  <c r="D1376" i="1"/>
  <c r="I1376" i="1" s="1"/>
  <c r="C1376" i="1"/>
  <c r="B1376" i="1"/>
  <c r="N1376" i="1" s="1"/>
  <c r="A1376" i="1"/>
  <c r="T1375" i="1"/>
  <c r="S1375" i="1"/>
  <c r="R1375" i="1"/>
  <c r="Q1375" i="1"/>
  <c r="M1375" i="1"/>
  <c r="N1375" i="1" s="1"/>
  <c r="L1375" i="1"/>
  <c r="K1375" i="1"/>
  <c r="J1375" i="1"/>
  <c r="I1375" i="1"/>
  <c r="H1375" i="1"/>
  <c r="G1375" i="1"/>
  <c r="F1375" i="1"/>
  <c r="E1375" i="1"/>
  <c r="D1375" i="1"/>
  <c r="C1375" i="1"/>
  <c r="B1375" i="1"/>
  <c r="A1375" i="1"/>
  <c r="T1374" i="1"/>
  <c r="S1374" i="1"/>
  <c r="Q1374" i="1"/>
  <c r="M1374" i="1"/>
  <c r="L1374" i="1"/>
  <c r="K1374" i="1"/>
  <c r="J1374" i="1"/>
  <c r="R1374" i="1" s="1"/>
  <c r="H1374" i="1"/>
  <c r="G1374" i="1"/>
  <c r="F1374" i="1"/>
  <c r="E1374" i="1"/>
  <c r="D1374" i="1"/>
  <c r="I1374" i="1" s="1"/>
  <c r="C1374" i="1"/>
  <c r="B1374" i="1"/>
  <c r="N1374" i="1" s="1"/>
  <c r="A1374" i="1"/>
  <c r="T1373" i="1"/>
  <c r="S1373" i="1"/>
  <c r="R1373" i="1"/>
  <c r="Q1373" i="1"/>
  <c r="M1373" i="1"/>
  <c r="N1373" i="1" s="1"/>
  <c r="O1373" i="1" s="1"/>
  <c r="L1373" i="1"/>
  <c r="K1373" i="1"/>
  <c r="J1373" i="1"/>
  <c r="I1373" i="1"/>
  <c r="H1373" i="1"/>
  <c r="G1373" i="1"/>
  <c r="F1373" i="1"/>
  <c r="E1373" i="1"/>
  <c r="D1373" i="1"/>
  <c r="C1373" i="1"/>
  <c r="B1373" i="1"/>
  <c r="A1373" i="1"/>
  <c r="T1372" i="1"/>
  <c r="S1372" i="1"/>
  <c r="Q1372" i="1"/>
  <c r="N1372" i="1"/>
  <c r="M1372" i="1"/>
  <c r="L1372" i="1"/>
  <c r="K1372" i="1"/>
  <c r="J1372" i="1"/>
  <c r="R1372" i="1" s="1"/>
  <c r="H1372" i="1"/>
  <c r="G1372" i="1"/>
  <c r="F1372" i="1"/>
  <c r="E1372" i="1"/>
  <c r="D1372" i="1"/>
  <c r="I1372" i="1" s="1"/>
  <c r="C1372" i="1"/>
  <c r="B1372" i="1"/>
  <c r="A1372" i="1"/>
  <c r="T1371" i="1"/>
  <c r="S1371" i="1"/>
  <c r="R1371" i="1"/>
  <c r="Q1371" i="1"/>
  <c r="M1371" i="1"/>
  <c r="N1371" i="1" s="1"/>
  <c r="L1371" i="1"/>
  <c r="K1371" i="1"/>
  <c r="J1371" i="1"/>
  <c r="I1371" i="1"/>
  <c r="H1371" i="1"/>
  <c r="G1371" i="1"/>
  <c r="F1371" i="1"/>
  <c r="E1371" i="1"/>
  <c r="D1371" i="1"/>
  <c r="C1371" i="1"/>
  <c r="B1371" i="1"/>
  <c r="A1371" i="1"/>
  <c r="T1370" i="1"/>
  <c r="S1370" i="1"/>
  <c r="Q1370" i="1"/>
  <c r="M1370" i="1"/>
  <c r="L1370" i="1"/>
  <c r="K1370" i="1"/>
  <c r="J1370" i="1"/>
  <c r="R1370" i="1" s="1"/>
  <c r="H1370" i="1"/>
  <c r="G1370" i="1"/>
  <c r="F1370" i="1"/>
  <c r="E1370" i="1"/>
  <c r="D1370" i="1"/>
  <c r="I1370" i="1" s="1"/>
  <c r="C1370" i="1"/>
  <c r="B1370" i="1"/>
  <c r="N1370" i="1" s="1"/>
  <c r="A1370" i="1"/>
  <c r="T1369" i="1"/>
  <c r="S1369" i="1"/>
  <c r="R1369" i="1"/>
  <c r="Q1369" i="1"/>
  <c r="P1369" i="1"/>
  <c r="M1369" i="1"/>
  <c r="N1369" i="1" s="1"/>
  <c r="O1369" i="1" s="1"/>
  <c r="L1369" i="1"/>
  <c r="K1369" i="1"/>
  <c r="J1369" i="1"/>
  <c r="I1369" i="1"/>
  <c r="H1369" i="1"/>
  <c r="G1369" i="1"/>
  <c r="F1369" i="1"/>
  <c r="E1369" i="1"/>
  <c r="D1369" i="1"/>
  <c r="C1369" i="1"/>
  <c r="B1369" i="1"/>
  <c r="A1369" i="1"/>
  <c r="T1368" i="1"/>
  <c r="S1368" i="1"/>
  <c r="Q1368" i="1"/>
  <c r="M1368" i="1"/>
  <c r="L1368" i="1"/>
  <c r="K1368" i="1"/>
  <c r="J1368" i="1"/>
  <c r="R1368" i="1" s="1"/>
  <c r="H1368" i="1"/>
  <c r="G1368" i="1"/>
  <c r="F1368" i="1"/>
  <c r="E1368" i="1"/>
  <c r="D1368" i="1"/>
  <c r="I1368" i="1" s="1"/>
  <c r="C1368" i="1"/>
  <c r="B1368" i="1"/>
  <c r="N1368" i="1" s="1"/>
  <c r="A1368" i="1"/>
  <c r="T1367" i="1"/>
  <c r="S1367" i="1"/>
  <c r="R1367" i="1"/>
  <c r="Q1367" i="1"/>
  <c r="M1367" i="1"/>
  <c r="N1367" i="1" s="1"/>
  <c r="L1367" i="1"/>
  <c r="K1367" i="1"/>
  <c r="J1367" i="1"/>
  <c r="I1367" i="1"/>
  <c r="H1367" i="1"/>
  <c r="G1367" i="1"/>
  <c r="F1367" i="1"/>
  <c r="E1367" i="1"/>
  <c r="D1367" i="1"/>
  <c r="C1367" i="1"/>
  <c r="B1367" i="1"/>
  <c r="A1367" i="1"/>
  <c r="T1366" i="1"/>
  <c r="S1366" i="1"/>
  <c r="Q1366" i="1"/>
  <c r="M1366" i="1"/>
  <c r="L1366" i="1"/>
  <c r="K1366" i="1"/>
  <c r="J1366" i="1"/>
  <c r="R1366" i="1" s="1"/>
  <c r="H1366" i="1"/>
  <c r="G1366" i="1"/>
  <c r="F1366" i="1"/>
  <c r="E1366" i="1"/>
  <c r="D1366" i="1"/>
  <c r="I1366" i="1" s="1"/>
  <c r="C1366" i="1"/>
  <c r="B1366" i="1"/>
  <c r="N1366" i="1" s="1"/>
  <c r="A1366" i="1"/>
  <c r="T1365" i="1"/>
  <c r="S1365" i="1"/>
  <c r="R1365" i="1"/>
  <c r="Q1365" i="1"/>
  <c r="M1365" i="1"/>
  <c r="N1365" i="1" s="1"/>
  <c r="O1365" i="1" s="1"/>
  <c r="L1365" i="1"/>
  <c r="K1365" i="1"/>
  <c r="J1365" i="1"/>
  <c r="I1365" i="1"/>
  <c r="H1365" i="1"/>
  <c r="G1365" i="1"/>
  <c r="F1365" i="1"/>
  <c r="E1365" i="1"/>
  <c r="D1365" i="1"/>
  <c r="C1365" i="1"/>
  <c r="B1365" i="1"/>
  <c r="A1365" i="1"/>
  <c r="T1364" i="1"/>
  <c r="S1364" i="1"/>
  <c r="Q1364" i="1"/>
  <c r="N1364" i="1"/>
  <c r="M1364" i="1"/>
  <c r="L1364" i="1"/>
  <c r="K1364" i="1"/>
  <c r="J1364" i="1"/>
  <c r="R1364" i="1" s="1"/>
  <c r="H1364" i="1"/>
  <c r="G1364" i="1"/>
  <c r="F1364" i="1"/>
  <c r="E1364" i="1"/>
  <c r="D1364" i="1"/>
  <c r="I1364" i="1" s="1"/>
  <c r="C1364" i="1"/>
  <c r="B1364" i="1"/>
  <c r="A1364" i="1"/>
  <c r="T1363" i="1"/>
  <c r="S1363" i="1"/>
  <c r="R1363" i="1"/>
  <c r="Q1363" i="1"/>
  <c r="M1363" i="1"/>
  <c r="N1363" i="1" s="1"/>
  <c r="L1363" i="1"/>
  <c r="K1363" i="1"/>
  <c r="J1363" i="1"/>
  <c r="I1363" i="1"/>
  <c r="H1363" i="1"/>
  <c r="G1363" i="1"/>
  <c r="F1363" i="1"/>
  <c r="E1363" i="1"/>
  <c r="D1363" i="1"/>
  <c r="C1363" i="1"/>
  <c r="B1363" i="1"/>
  <c r="A1363" i="1"/>
  <c r="T1362" i="1"/>
  <c r="S1362" i="1"/>
  <c r="Q1362" i="1"/>
  <c r="M1362" i="1"/>
  <c r="L1362" i="1"/>
  <c r="K1362" i="1"/>
  <c r="J1362" i="1"/>
  <c r="R1362" i="1" s="1"/>
  <c r="H1362" i="1"/>
  <c r="G1362" i="1"/>
  <c r="F1362" i="1"/>
  <c r="E1362" i="1"/>
  <c r="D1362" i="1"/>
  <c r="I1362" i="1" s="1"/>
  <c r="C1362" i="1"/>
  <c r="B1362" i="1"/>
  <c r="N1362" i="1" s="1"/>
  <c r="A1362" i="1"/>
  <c r="T1361" i="1"/>
  <c r="S1361" i="1"/>
  <c r="R1361" i="1"/>
  <c r="Q1361" i="1"/>
  <c r="P1361" i="1"/>
  <c r="M1361" i="1"/>
  <c r="N1361" i="1" s="1"/>
  <c r="O1361" i="1" s="1"/>
  <c r="L1361" i="1"/>
  <c r="K1361" i="1"/>
  <c r="J1361" i="1"/>
  <c r="I1361" i="1"/>
  <c r="H1361" i="1"/>
  <c r="G1361" i="1"/>
  <c r="F1361" i="1"/>
  <c r="E1361" i="1"/>
  <c r="D1361" i="1"/>
  <c r="C1361" i="1"/>
  <c r="B1361" i="1"/>
  <c r="A1361" i="1"/>
  <c r="T1360" i="1"/>
  <c r="S1360" i="1"/>
  <c r="Q1360" i="1"/>
  <c r="M1360" i="1"/>
  <c r="L1360" i="1"/>
  <c r="K1360" i="1"/>
  <c r="J1360" i="1"/>
  <c r="R1360" i="1" s="1"/>
  <c r="H1360" i="1"/>
  <c r="G1360" i="1"/>
  <c r="F1360" i="1"/>
  <c r="E1360" i="1"/>
  <c r="D1360" i="1"/>
  <c r="I1360" i="1" s="1"/>
  <c r="C1360" i="1"/>
  <c r="B1360" i="1"/>
  <c r="N1360" i="1" s="1"/>
  <c r="A1360" i="1"/>
  <c r="T1359" i="1"/>
  <c r="S1359" i="1"/>
  <c r="R1359" i="1"/>
  <c r="Q1359" i="1"/>
  <c r="M1359" i="1"/>
  <c r="N1359" i="1" s="1"/>
  <c r="L1359" i="1"/>
  <c r="K1359" i="1"/>
  <c r="J1359" i="1"/>
  <c r="I1359" i="1"/>
  <c r="H1359" i="1"/>
  <c r="G1359" i="1"/>
  <c r="F1359" i="1"/>
  <c r="E1359" i="1"/>
  <c r="D1359" i="1"/>
  <c r="C1359" i="1"/>
  <c r="B1359" i="1"/>
  <c r="A1359" i="1"/>
  <c r="T1358" i="1"/>
  <c r="S1358" i="1"/>
  <c r="Q1358" i="1"/>
  <c r="M1358" i="1"/>
  <c r="L1358" i="1"/>
  <c r="K1358" i="1"/>
  <c r="J1358" i="1"/>
  <c r="R1358" i="1" s="1"/>
  <c r="H1358" i="1"/>
  <c r="G1358" i="1"/>
  <c r="F1358" i="1"/>
  <c r="E1358" i="1"/>
  <c r="D1358" i="1"/>
  <c r="I1358" i="1" s="1"/>
  <c r="C1358" i="1"/>
  <c r="B1358" i="1"/>
  <c r="N1358" i="1" s="1"/>
  <c r="A1358" i="1"/>
  <c r="T1357" i="1"/>
  <c r="S1357" i="1"/>
  <c r="R1357" i="1"/>
  <c r="Q1357" i="1"/>
  <c r="M1357" i="1"/>
  <c r="N1357" i="1" s="1"/>
  <c r="O1357" i="1" s="1"/>
  <c r="L1357" i="1"/>
  <c r="K1357" i="1"/>
  <c r="J1357" i="1"/>
  <c r="I1357" i="1"/>
  <c r="H1357" i="1"/>
  <c r="G1357" i="1"/>
  <c r="F1357" i="1"/>
  <c r="E1357" i="1"/>
  <c r="D1357" i="1"/>
  <c r="C1357" i="1"/>
  <c r="B1357" i="1"/>
  <c r="A1357" i="1"/>
  <c r="T1356" i="1"/>
  <c r="S1356" i="1"/>
  <c r="Q1356" i="1"/>
  <c r="N1356" i="1"/>
  <c r="M1356" i="1"/>
  <c r="L1356" i="1"/>
  <c r="K1356" i="1"/>
  <c r="J1356" i="1"/>
  <c r="R1356" i="1" s="1"/>
  <c r="H1356" i="1"/>
  <c r="G1356" i="1"/>
  <c r="F1356" i="1"/>
  <c r="E1356" i="1"/>
  <c r="D1356" i="1"/>
  <c r="I1356" i="1" s="1"/>
  <c r="C1356" i="1"/>
  <c r="B1356" i="1"/>
  <c r="A1356" i="1"/>
  <c r="T1355" i="1"/>
  <c r="S1355" i="1"/>
  <c r="R1355" i="1"/>
  <c r="Q1355" i="1"/>
  <c r="M1355" i="1"/>
  <c r="N1355" i="1" s="1"/>
  <c r="L1355" i="1"/>
  <c r="K1355" i="1"/>
  <c r="J1355" i="1"/>
  <c r="I1355" i="1"/>
  <c r="H1355" i="1"/>
  <c r="G1355" i="1"/>
  <c r="F1355" i="1"/>
  <c r="E1355" i="1"/>
  <c r="D1355" i="1"/>
  <c r="C1355" i="1"/>
  <c r="B1355" i="1"/>
  <c r="A1355" i="1"/>
  <c r="T1354" i="1"/>
  <c r="S1354" i="1"/>
  <c r="Q1354" i="1"/>
  <c r="M1354" i="1"/>
  <c r="L1354" i="1"/>
  <c r="K1354" i="1"/>
  <c r="J1354" i="1"/>
  <c r="R1354" i="1" s="1"/>
  <c r="H1354" i="1"/>
  <c r="G1354" i="1"/>
  <c r="F1354" i="1"/>
  <c r="E1354" i="1"/>
  <c r="D1354" i="1"/>
  <c r="I1354" i="1" s="1"/>
  <c r="C1354" i="1"/>
  <c r="B1354" i="1"/>
  <c r="N1354" i="1" s="1"/>
  <c r="A1354" i="1"/>
  <c r="T1353" i="1"/>
  <c r="S1353" i="1"/>
  <c r="R1353" i="1"/>
  <c r="Q1353" i="1"/>
  <c r="P1353" i="1"/>
  <c r="M1353" i="1"/>
  <c r="N1353" i="1" s="1"/>
  <c r="O1353" i="1" s="1"/>
  <c r="L1353" i="1"/>
  <c r="K1353" i="1"/>
  <c r="J1353" i="1"/>
  <c r="I1353" i="1"/>
  <c r="H1353" i="1"/>
  <c r="G1353" i="1"/>
  <c r="F1353" i="1"/>
  <c r="E1353" i="1"/>
  <c r="D1353" i="1"/>
  <c r="C1353" i="1"/>
  <c r="B1353" i="1"/>
  <c r="A1353" i="1"/>
  <c r="T1352" i="1"/>
  <c r="S1352" i="1"/>
  <c r="Q1352" i="1"/>
  <c r="M1352" i="1"/>
  <c r="L1352" i="1"/>
  <c r="K1352" i="1"/>
  <c r="J1352" i="1"/>
  <c r="R1352" i="1" s="1"/>
  <c r="H1352" i="1"/>
  <c r="G1352" i="1"/>
  <c r="F1352" i="1"/>
  <c r="E1352" i="1"/>
  <c r="D1352" i="1"/>
  <c r="I1352" i="1" s="1"/>
  <c r="C1352" i="1"/>
  <c r="B1352" i="1"/>
  <c r="N1352" i="1" s="1"/>
  <c r="A1352" i="1"/>
  <c r="T1351" i="1"/>
  <c r="S1351" i="1"/>
  <c r="R1351" i="1"/>
  <c r="Q1351" i="1"/>
  <c r="M1351" i="1"/>
  <c r="N1351" i="1" s="1"/>
  <c r="L1351" i="1"/>
  <c r="K1351" i="1"/>
  <c r="J1351" i="1"/>
  <c r="I1351" i="1"/>
  <c r="H1351" i="1"/>
  <c r="G1351" i="1"/>
  <c r="F1351" i="1"/>
  <c r="E1351" i="1"/>
  <c r="D1351" i="1"/>
  <c r="C1351" i="1"/>
  <c r="B1351" i="1"/>
  <c r="A1351" i="1"/>
  <c r="T1350" i="1"/>
  <c r="S1350" i="1"/>
  <c r="Q1350" i="1"/>
  <c r="M1350" i="1"/>
  <c r="L1350" i="1"/>
  <c r="K1350" i="1"/>
  <c r="J1350" i="1"/>
  <c r="R1350" i="1" s="1"/>
  <c r="H1350" i="1"/>
  <c r="G1350" i="1"/>
  <c r="F1350" i="1"/>
  <c r="E1350" i="1"/>
  <c r="D1350" i="1"/>
  <c r="I1350" i="1" s="1"/>
  <c r="C1350" i="1"/>
  <c r="B1350" i="1"/>
  <c r="N1350" i="1" s="1"/>
  <c r="A1350" i="1"/>
  <c r="T1349" i="1"/>
  <c r="S1349" i="1"/>
  <c r="R1349" i="1"/>
  <c r="Q1349" i="1"/>
  <c r="M1349" i="1"/>
  <c r="N1349" i="1" s="1"/>
  <c r="O1349" i="1" s="1"/>
  <c r="L1349" i="1"/>
  <c r="K1349" i="1"/>
  <c r="J1349" i="1"/>
  <c r="I1349" i="1"/>
  <c r="H1349" i="1"/>
  <c r="G1349" i="1"/>
  <c r="F1349" i="1"/>
  <c r="E1349" i="1"/>
  <c r="D1349" i="1"/>
  <c r="C1349" i="1"/>
  <c r="B1349" i="1"/>
  <c r="A1349" i="1"/>
  <c r="T1348" i="1"/>
  <c r="S1348" i="1"/>
  <c r="Q1348" i="1"/>
  <c r="N1348" i="1"/>
  <c r="M1348" i="1"/>
  <c r="L1348" i="1"/>
  <c r="K1348" i="1"/>
  <c r="J1348" i="1"/>
  <c r="R1348" i="1" s="1"/>
  <c r="H1348" i="1"/>
  <c r="G1348" i="1"/>
  <c r="F1348" i="1"/>
  <c r="E1348" i="1"/>
  <c r="D1348" i="1"/>
  <c r="I1348" i="1" s="1"/>
  <c r="C1348" i="1"/>
  <c r="B1348" i="1"/>
  <c r="A1348" i="1"/>
  <c r="T1347" i="1"/>
  <c r="S1347" i="1"/>
  <c r="R1347" i="1"/>
  <c r="Q1347" i="1"/>
  <c r="M1347" i="1"/>
  <c r="N1347" i="1" s="1"/>
  <c r="L1347" i="1"/>
  <c r="K1347" i="1"/>
  <c r="J1347" i="1"/>
  <c r="I1347" i="1"/>
  <c r="H1347" i="1"/>
  <c r="G1347" i="1"/>
  <c r="F1347" i="1"/>
  <c r="E1347" i="1"/>
  <c r="D1347" i="1"/>
  <c r="C1347" i="1"/>
  <c r="B1347" i="1"/>
  <c r="A1347" i="1"/>
  <c r="T1346" i="1"/>
  <c r="S1346" i="1"/>
  <c r="Q1346" i="1"/>
  <c r="M1346" i="1"/>
  <c r="L1346" i="1"/>
  <c r="K1346" i="1"/>
  <c r="J1346" i="1"/>
  <c r="R1346" i="1" s="1"/>
  <c r="H1346" i="1"/>
  <c r="G1346" i="1"/>
  <c r="F1346" i="1"/>
  <c r="E1346" i="1"/>
  <c r="D1346" i="1"/>
  <c r="I1346" i="1" s="1"/>
  <c r="C1346" i="1"/>
  <c r="B1346" i="1"/>
  <c r="N1346" i="1" s="1"/>
  <c r="A1346" i="1"/>
  <c r="T1345" i="1"/>
  <c r="S1345" i="1"/>
  <c r="R1345" i="1"/>
  <c r="Q1345" i="1"/>
  <c r="P1345" i="1"/>
  <c r="M1345" i="1"/>
  <c r="N1345" i="1" s="1"/>
  <c r="O1345" i="1" s="1"/>
  <c r="L1345" i="1"/>
  <c r="K1345" i="1"/>
  <c r="J1345" i="1"/>
  <c r="I1345" i="1"/>
  <c r="H1345" i="1"/>
  <c r="G1345" i="1"/>
  <c r="F1345" i="1"/>
  <c r="E1345" i="1"/>
  <c r="D1345" i="1"/>
  <c r="C1345" i="1"/>
  <c r="B1345" i="1"/>
  <c r="A1345" i="1"/>
  <c r="T1344" i="1"/>
  <c r="S1344" i="1"/>
  <c r="Q1344" i="1"/>
  <c r="M1344" i="1"/>
  <c r="L1344" i="1"/>
  <c r="K1344" i="1"/>
  <c r="J1344" i="1"/>
  <c r="R1344" i="1" s="1"/>
  <c r="H1344" i="1"/>
  <c r="G1344" i="1"/>
  <c r="F1344" i="1"/>
  <c r="E1344" i="1"/>
  <c r="D1344" i="1"/>
  <c r="I1344" i="1" s="1"/>
  <c r="C1344" i="1"/>
  <c r="B1344" i="1"/>
  <c r="N1344" i="1" s="1"/>
  <c r="A1344" i="1"/>
  <c r="T1343" i="1"/>
  <c r="S1343" i="1"/>
  <c r="R1343" i="1"/>
  <c r="Q1343" i="1"/>
  <c r="M1343" i="1"/>
  <c r="N1343" i="1" s="1"/>
  <c r="L1343" i="1"/>
  <c r="K1343" i="1"/>
  <c r="J1343" i="1"/>
  <c r="I1343" i="1"/>
  <c r="H1343" i="1"/>
  <c r="G1343" i="1"/>
  <c r="F1343" i="1"/>
  <c r="E1343" i="1"/>
  <c r="D1343" i="1"/>
  <c r="C1343" i="1"/>
  <c r="B1343" i="1"/>
  <c r="A1343" i="1"/>
  <c r="T1342" i="1"/>
  <c r="S1342" i="1"/>
  <c r="Q1342" i="1"/>
  <c r="M1342" i="1"/>
  <c r="L1342" i="1"/>
  <c r="K1342" i="1"/>
  <c r="J1342" i="1"/>
  <c r="R1342" i="1" s="1"/>
  <c r="H1342" i="1"/>
  <c r="G1342" i="1"/>
  <c r="F1342" i="1"/>
  <c r="E1342" i="1"/>
  <c r="D1342" i="1"/>
  <c r="I1342" i="1" s="1"/>
  <c r="C1342" i="1"/>
  <c r="B1342" i="1"/>
  <c r="N1342" i="1" s="1"/>
  <c r="A1342" i="1"/>
  <c r="T1341" i="1"/>
  <c r="S1341" i="1"/>
  <c r="R1341" i="1"/>
  <c r="Q1341" i="1"/>
  <c r="M1341" i="1"/>
  <c r="N1341" i="1" s="1"/>
  <c r="O1341" i="1" s="1"/>
  <c r="L1341" i="1"/>
  <c r="K1341" i="1"/>
  <c r="J1341" i="1"/>
  <c r="I1341" i="1"/>
  <c r="H1341" i="1"/>
  <c r="G1341" i="1"/>
  <c r="F1341" i="1"/>
  <c r="E1341" i="1"/>
  <c r="D1341" i="1"/>
  <c r="C1341" i="1"/>
  <c r="B1341" i="1"/>
  <c r="A1341" i="1"/>
  <c r="T1340" i="1"/>
  <c r="S1340" i="1"/>
  <c r="Q1340" i="1"/>
  <c r="N1340" i="1"/>
  <c r="M1340" i="1"/>
  <c r="L1340" i="1"/>
  <c r="K1340" i="1"/>
  <c r="J1340" i="1"/>
  <c r="R1340" i="1" s="1"/>
  <c r="H1340" i="1"/>
  <c r="G1340" i="1"/>
  <c r="F1340" i="1"/>
  <c r="E1340" i="1"/>
  <c r="D1340" i="1"/>
  <c r="I1340" i="1" s="1"/>
  <c r="C1340" i="1"/>
  <c r="B1340" i="1"/>
  <c r="A1340" i="1"/>
  <c r="T1339" i="1"/>
  <c r="S1339" i="1"/>
  <c r="Q1339" i="1"/>
  <c r="N1339" i="1"/>
  <c r="M1339" i="1"/>
  <c r="L1339" i="1"/>
  <c r="K1339" i="1"/>
  <c r="J1339" i="1"/>
  <c r="R1339" i="1" s="1"/>
  <c r="H1339" i="1"/>
  <c r="G1339" i="1"/>
  <c r="F1339" i="1"/>
  <c r="E1339" i="1"/>
  <c r="D1339" i="1"/>
  <c r="I1339" i="1" s="1"/>
  <c r="C1339" i="1"/>
  <c r="B1339" i="1"/>
  <c r="A1339" i="1"/>
  <c r="T1338" i="1"/>
  <c r="S1338" i="1"/>
  <c r="R1338" i="1"/>
  <c r="Q1338" i="1"/>
  <c r="M1338" i="1"/>
  <c r="L1338" i="1"/>
  <c r="K1338" i="1"/>
  <c r="J1338" i="1"/>
  <c r="H1338" i="1"/>
  <c r="G1338" i="1"/>
  <c r="F1338" i="1"/>
  <c r="E1338" i="1"/>
  <c r="D1338" i="1"/>
  <c r="I1338" i="1" s="1"/>
  <c r="C1338" i="1"/>
  <c r="B1338" i="1"/>
  <c r="N1338" i="1" s="1"/>
  <c r="A1338" i="1"/>
  <c r="T1337" i="1"/>
  <c r="S1337" i="1"/>
  <c r="R1337" i="1"/>
  <c r="Q1337" i="1"/>
  <c r="N1337" i="1"/>
  <c r="M1337" i="1"/>
  <c r="L1337" i="1"/>
  <c r="K1337" i="1"/>
  <c r="J1337" i="1"/>
  <c r="H1337" i="1"/>
  <c r="G1337" i="1"/>
  <c r="F1337" i="1"/>
  <c r="E1337" i="1"/>
  <c r="D1337" i="1"/>
  <c r="I1337" i="1" s="1"/>
  <c r="C1337" i="1"/>
  <c r="B1337" i="1"/>
  <c r="A1337" i="1"/>
  <c r="T1336" i="1"/>
  <c r="S1336" i="1"/>
  <c r="Q1336" i="1"/>
  <c r="N1336" i="1"/>
  <c r="M1336" i="1"/>
  <c r="L1336" i="1"/>
  <c r="K1336" i="1"/>
  <c r="J1336" i="1"/>
  <c r="R1336" i="1" s="1"/>
  <c r="H1336" i="1"/>
  <c r="G1336" i="1"/>
  <c r="F1336" i="1"/>
  <c r="E1336" i="1"/>
  <c r="D1336" i="1"/>
  <c r="I1336" i="1" s="1"/>
  <c r="C1336" i="1"/>
  <c r="B1336" i="1"/>
  <c r="A1336" i="1"/>
  <c r="T1335" i="1"/>
  <c r="S1335" i="1"/>
  <c r="Q1335" i="1"/>
  <c r="N1335" i="1"/>
  <c r="M1335" i="1"/>
  <c r="L1335" i="1"/>
  <c r="K1335" i="1"/>
  <c r="J1335" i="1"/>
  <c r="R1335" i="1" s="1"/>
  <c r="H1335" i="1"/>
  <c r="G1335" i="1"/>
  <c r="F1335" i="1"/>
  <c r="E1335" i="1"/>
  <c r="D1335" i="1"/>
  <c r="I1335" i="1" s="1"/>
  <c r="C1335" i="1"/>
  <c r="B1335" i="1"/>
  <c r="A1335" i="1"/>
  <c r="T1334" i="1"/>
  <c r="S1334" i="1"/>
  <c r="R1334" i="1"/>
  <c r="Q1334" i="1"/>
  <c r="M1334" i="1"/>
  <c r="L1334" i="1"/>
  <c r="K1334" i="1"/>
  <c r="J1334" i="1"/>
  <c r="H1334" i="1"/>
  <c r="G1334" i="1"/>
  <c r="F1334" i="1"/>
  <c r="E1334" i="1"/>
  <c r="D1334" i="1"/>
  <c r="I1334" i="1" s="1"/>
  <c r="C1334" i="1"/>
  <c r="B1334" i="1"/>
  <c r="N1334" i="1" s="1"/>
  <c r="A1334" i="1"/>
  <c r="T1333" i="1"/>
  <c r="S1333" i="1"/>
  <c r="R1333" i="1"/>
  <c r="Q1333" i="1"/>
  <c r="N1333" i="1"/>
  <c r="M1333" i="1"/>
  <c r="L1333" i="1"/>
  <c r="K1333" i="1"/>
  <c r="J1333" i="1"/>
  <c r="H1333" i="1"/>
  <c r="G1333" i="1"/>
  <c r="F1333" i="1"/>
  <c r="E1333" i="1"/>
  <c r="D1333" i="1"/>
  <c r="I1333" i="1" s="1"/>
  <c r="C1333" i="1"/>
  <c r="B1333" i="1"/>
  <c r="A1333" i="1"/>
  <c r="T1332" i="1"/>
  <c r="S1332" i="1"/>
  <c r="Q1332" i="1"/>
  <c r="N1332" i="1"/>
  <c r="M1332" i="1"/>
  <c r="L1332" i="1"/>
  <c r="K1332" i="1"/>
  <c r="J1332" i="1"/>
  <c r="R1332" i="1" s="1"/>
  <c r="H1332" i="1"/>
  <c r="G1332" i="1"/>
  <c r="F1332" i="1"/>
  <c r="E1332" i="1"/>
  <c r="D1332" i="1"/>
  <c r="I1332" i="1" s="1"/>
  <c r="C1332" i="1"/>
  <c r="B1332" i="1"/>
  <c r="A1332" i="1"/>
  <c r="T1331" i="1"/>
  <c r="S1331" i="1"/>
  <c r="Q1331" i="1"/>
  <c r="N1331" i="1"/>
  <c r="M1331" i="1"/>
  <c r="L1331" i="1"/>
  <c r="K1331" i="1"/>
  <c r="J1331" i="1"/>
  <c r="R1331" i="1" s="1"/>
  <c r="H1331" i="1"/>
  <c r="G1331" i="1"/>
  <c r="F1331" i="1"/>
  <c r="E1331" i="1"/>
  <c r="D1331" i="1"/>
  <c r="I1331" i="1" s="1"/>
  <c r="C1331" i="1"/>
  <c r="B1331" i="1"/>
  <c r="A1331" i="1"/>
  <c r="T1330" i="1"/>
  <c r="S1330" i="1"/>
  <c r="R1330" i="1"/>
  <c r="Q1330" i="1"/>
  <c r="M1330" i="1"/>
  <c r="L1330" i="1"/>
  <c r="K1330" i="1"/>
  <c r="J1330" i="1"/>
  <c r="H1330" i="1"/>
  <c r="G1330" i="1"/>
  <c r="F1330" i="1"/>
  <c r="E1330" i="1"/>
  <c r="D1330" i="1"/>
  <c r="I1330" i="1" s="1"/>
  <c r="C1330" i="1"/>
  <c r="B1330" i="1"/>
  <c r="N1330" i="1" s="1"/>
  <c r="A1330" i="1"/>
  <c r="T1329" i="1"/>
  <c r="S1329" i="1"/>
  <c r="R1329" i="1"/>
  <c r="Q1329" i="1"/>
  <c r="N1329" i="1"/>
  <c r="M1329" i="1"/>
  <c r="L1329" i="1"/>
  <c r="K1329" i="1"/>
  <c r="J1329" i="1"/>
  <c r="H1329" i="1"/>
  <c r="G1329" i="1"/>
  <c r="F1329" i="1"/>
  <c r="E1329" i="1"/>
  <c r="D1329" i="1"/>
  <c r="I1329" i="1" s="1"/>
  <c r="C1329" i="1"/>
  <c r="B1329" i="1"/>
  <c r="A1329" i="1"/>
  <c r="T1328" i="1"/>
  <c r="S1328" i="1"/>
  <c r="Q1328" i="1"/>
  <c r="N1328" i="1"/>
  <c r="M1328" i="1"/>
  <c r="L1328" i="1"/>
  <c r="K1328" i="1"/>
  <c r="J1328" i="1"/>
  <c r="R1328" i="1" s="1"/>
  <c r="H1328" i="1"/>
  <c r="G1328" i="1"/>
  <c r="F1328" i="1"/>
  <c r="E1328" i="1"/>
  <c r="D1328" i="1"/>
  <c r="I1328" i="1" s="1"/>
  <c r="C1328" i="1"/>
  <c r="B1328" i="1"/>
  <c r="A1328" i="1"/>
  <c r="T1327" i="1"/>
  <c r="S1327" i="1"/>
  <c r="Q1327" i="1"/>
  <c r="N1327" i="1"/>
  <c r="M1327" i="1"/>
  <c r="L1327" i="1"/>
  <c r="K1327" i="1"/>
  <c r="J1327" i="1"/>
  <c r="R1327" i="1" s="1"/>
  <c r="H1327" i="1"/>
  <c r="G1327" i="1"/>
  <c r="F1327" i="1"/>
  <c r="E1327" i="1"/>
  <c r="D1327" i="1"/>
  <c r="I1327" i="1" s="1"/>
  <c r="C1327" i="1"/>
  <c r="B1327" i="1"/>
  <c r="A1327" i="1"/>
  <c r="T1326" i="1"/>
  <c r="S1326" i="1"/>
  <c r="R1326" i="1"/>
  <c r="Q1326" i="1"/>
  <c r="M1326" i="1"/>
  <c r="L1326" i="1"/>
  <c r="K1326" i="1"/>
  <c r="J1326" i="1"/>
  <c r="H1326" i="1"/>
  <c r="G1326" i="1"/>
  <c r="F1326" i="1"/>
  <c r="E1326" i="1"/>
  <c r="D1326" i="1"/>
  <c r="I1326" i="1" s="1"/>
  <c r="C1326" i="1"/>
  <c r="B1326" i="1"/>
  <c r="N1326" i="1" s="1"/>
  <c r="A1326" i="1"/>
  <c r="T1325" i="1"/>
  <c r="S1325" i="1"/>
  <c r="R1325" i="1"/>
  <c r="Q1325" i="1"/>
  <c r="N1325" i="1"/>
  <c r="M1325" i="1"/>
  <c r="L1325" i="1"/>
  <c r="K1325" i="1"/>
  <c r="J1325" i="1"/>
  <c r="H1325" i="1"/>
  <c r="G1325" i="1"/>
  <c r="F1325" i="1"/>
  <c r="E1325" i="1"/>
  <c r="D1325" i="1"/>
  <c r="I1325" i="1" s="1"/>
  <c r="C1325" i="1"/>
  <c r="B1325" i="1"/>
  <c r="A1325" i="1"/>
  <c r="T1324" i="1"/>
  <c r="S1324" i="1"/>
  <c r="Q1324" i="1"/>
  <c r="N1324" i="1"/>
  <c r="M1324" i="1"/>
  <c r="L1324" i="1"/>
  <c r="K1324" i="1"/>
  <c r="J1324" i="1"/>
  <c r="R1324" i="1" s="1"/>
  <c r="H1324" i="1"/>
  <c r="G1324" i="1"/>
  <c r="F1324" i="1"/>
  <c r="E1324" i="1"/>
  <c r="D1324" i="1"/>
  <c r="I1324" i="1" s="1"/>
  <c r="C1324" i="1"/>
  <c r="B1324" i="1"/>
  <c r="A1324" i="1"/>
  <c r="T1323" i="1"/>
  <c r="S1323" i="1"/>
  <c r="Q1323" i="1"/>
  <c r="N1323" i="1"/>
  <c r="M1323" i="1"/>
  <c r="L1323" i="1"/>
  <c r="K1323" i="1"/>
  <c r="J1323" i="1"/>
  <c r="R1323" i="1" s="1"/>
  <c r="H1323" i="1"/>
  <c r="G1323" i="1"/>
  <c r="F1323" i="1"/>
  <c r="E1323" i="1"/>
  <c r="D1323" i="1"/>
  <c r="I1323" i="1" s="1"/>
  <c r="C1323" i="1"/>
  <c r="B1323" i="1"/>
  <c r="A1323" i="1"/>
  <c r="T1322" i="1"/>
  <c r="S1322" i="1"/>
  <c r="R1322" i="1"/>
  <c r="Q1322" i="1"/>
  <c r="M1322" i="1"/>
  <c r="L1322" i="1"/>
  <c r="K1322" i="1"/>
  <c r="J1322" i="1"/>
  <c r="H1322" i="1"/>
  <c r="G1322" i="1"/>
  <c r="F1322" i="1"/>
  <c r="E1322" i="1"/>
  <c r="D1322" i="1"/>
  <c r="I1322" i="1" s="1"/>
  <c r="C1322" i="1"/>
  <c r="B1322" i="1"/>
  <c r="N1322" i="1" s="1"/>
  <c r="A1322" i="1"/>
  <c r="T1321" i="1"/>
  <c r="S1321" i="1"/>
  <c r="R1321" i="1"/>
  <c r="Q1321" i="1"/>
  <c r="N1321" i="1"/>
  <c r="M1321" i="1"/>
  <c r="L1321" i="1"/>
  <c r="K1321" i="1"/>
  <c r="J1321" i="1"/>
  <c r="H1321" i="1"/>
  <c r="G1321" i="1"/>
  <c r="F1321" i="1"/>
  <c r="E1321" i="1"/>
  <c r="D1321" i="1"/>
  <c r="I1321" i="1" s="1"/>
  <c r="C1321" i="1"/>
  <c r="B1321" i="1"/>
  <c r="A1321" i="1"/>
  <c r="T1320" i="1"/>
  <c r="S1320" i="1"/>
  <c r="Q1320" i="1"/>
  <c r="N1320" i="1"/>
  <c r="M1320" i="1"/>
  <c r="L1320" i="1"/>
  <c r="K1320" i="1"/>
  <c r="J1320" i="1"/>
  <c r="R1320" i="1" s="1"/>
  <c r="H1320" i="1"/>
  <c r="G1320" i="1"/>
  <c r="F1320" i="1"/>
  <c r="E1320" i="1"/>
  <c r="D1320" i="1"/>
  <c r="I1320" i="1" s="1"/>
  <c r="C1320" i="1"/>
  <c r="B1320" i="1"/>
  <c r="A1320" i="1"/>
  <c r="T1319" i="1"/>
  <c r="S1319" i="1"/>
  <c r="Q1319" i="1"/>
  <c r="N1319" i="1"/>
  <c r="M1319" i="1"/>
  <c r="L1319" i="1"/>
  <c r="K1319" i="1"/>
  <c r="J1319" i="1"/>
  <c r="R1319" i="1" s="1"/>
  <c r="H1319" i="1"/>
  <c r="G1319" i="1"/>
  <c r="F1319" i="1"/>
  <c r="E1319" i="1"/>
  <c r="D1319" i="1"/>
  <c r="I1319" i="1" s="1"/>
  <c r="C1319" i="1"/>
  <c r="B1319" i="1"/>
  <c r="A1319" i="1"/>
  <c r="T1318" i="1"/>
  <c r="S1318" i="1"/>
  <c r="R1318" i="1"/>
  <c r="Q1318" i="1"/>
  <c r="M1318" i="1"/>
  <c r="L1318" i="1"/>
  <c r="K1318" i="1"/>
  <c r="J1318" i="1"/>
  <c r="H1318" i="1"/>
  <c r="G1318" i="1"/>
  <c r="F1318" i="1"/>
  <c r="E1318" i="1"/>
  <c r="D1318" i="1"/>
  <c r="I1318" i="1" s="1"/>
  <c r="C1318" i="1"/>
  <c r="B1318" i="1"/>
  <c r="N1318" i="1" s="1"/>
  <c r="A1318" i="1"/>
  <c r="T1317" i="1"/>
  <c r="S1317" i="1"/>
  <c r="R1317" i="1"/>
  <c r="Q1317" i="1"/>
  <c r="N1317" i="1"/>
  <c r="M1317" i="1"/>
  <c r="L1317" i="1"/>
  <c r="K1317" i="1"/>
  <c r="J1317" i="1"/>
  <c r="H1317" i="1"/>
  <c r="G1317" i="1"/>
  <c r="F1317" i="1"/>
  <c r="E1317" i="1"/>
  <c r="D1317" i="1"/>
  <c r="I1317" i="1" s="1"/>
  <c r="C1317" i="1"/>
  <c r="B1317" i="1"/>
  <c r="A1317" i="1"/>
  <c r="T1316" i="1"/>
  <c r="S1316" i="1"/>
  <c r="Q1316" i="1"/>
  <c r="N1316" i="1"/>
  <c r="M1316" i="1"/>
  <c r="L1316" i="1"/>
  <c r="K1316" i="1"/>
  <c r="J1316" i="1"/>
  <c r="R1316" i="1" s="1"/>
  <c r="H1316" i="1"/>
  <c r="G1316" i="1"/>
  <c r="F1316" i="1"/>
  <c r="E1316" i="1"/>
  <c r="D1316" i="1"/>
  <c r="I1316" i="1" s="1"/>
  <c r="C1316" i="1"/>
  <c r="B1316" i="1"/>
  <c r="A1316" i="1"/>
  <c r="T1315" i="1"/>
  <c r="S1315" i="1"/>
  <c r="Q1315" i="1"/>
  <c r="N1315" i="1"/>
  <c r="M1315" i="1"/>
  <c r="L1315" i="1"/>
  <c r="K1315" i="1"/>
  <c r="J1315" i="1"/>
  <c r="R1315" i="1" s="1"/>
  <c r="H1315" i="1"/>
  <c r="G1315" i="1"/>
  <c r="F1315" i="1"/>
  <c r="E1315" i="1"/>
  <c r="D1315" i="1"/>
  <c r="I1315" i="1" s="1"/>
  <c r="C1315" i="1"/>
  <c r="B1315" i="1"/>
  <c r="A1315" i="1"/>
  <c r="T1314" i="1"/>
  <c r="S1314" i="1"/>
  <c r="R1314" i="1"/>
  <c r="Q1314" i="1"/>
  <c r="M1314" i="1"/>
  <c r="L1314" i="1"/>
  <c r="K1314" i="1"/>
  <c r="J1314" i="1"/>
  <c r="H1314" i="1"/>
  <c r="G1314" i="1"/>
  <c r="F1314" i="1"/>
  <c r="E1314" i="1"/>
  <c r="D1314" i="1"/>
  <c r="I1314" i="1" s="1"/>
  <c r="C1314" i="1"/>
  <c r="B1314" i="1"/>
  <c r="N1314" i="1" s="1"/>
  <c r="A1314" i="1"/>
  <c r="T1313" i="1"/>
  <c r="S1313" i="1"/>
  <c r="R1313" i="1"/>
  <c r="Q1313" i="1"/>
  <c r="N1313" i="1"/>
  <c r="M1313" i="1"/>
  <c r="L1313" i="1"/>
  <c r="K1313" i="1"/>
  <c r="J1313" i="1"/>
  <c r="H1313" i="1"/>
  <c r="G1313" i="1"/>
  <c r="F1313" i="1"/>
  <c r="E1313" i="1"/>
  <c r="D1313" i="1"/>
  <c r="I1313" i="1" s="1"/>
  <c r="C1313" i="1"/>
  <c r="B1313" i="1"/>
  <c r="A1313" i="1"/>
  <c r="T1312" i="1"/>
  <c r="S1312" i="1"/>
  <c r="Q1312" i="1"/>
  <c r="N1312" i="1"/>
  <c r="M1312" i="1"/>
  <c r="L1312" i="1"/>
  <c r="K1312" i="1"/>
  <c r="J1312" i="1"/>
  <c r="R1312" i="1" s="1"/>
  <c r="H1312" i="1"/>
  <c r="G1312" i="1"/>
  <c r="F1312" i="1"/>
  <c r="E1312" i="1"/>
  <c r="D1312" i="1"/>
  <c r="I1312" i="1" s="1"/>
  <c r="C1312" i="1"/>
  <c r="B1312" i="1"/>
  <c r="A1312" i="1"/>
  <c r="T1311" i="1"/>
  <c r="S1311" i="1"/>
  <c r="Q1311" i="1"/>
  <c r="N1311" i="1"/>
  <c r="M1311" i="1"/>
  <c r="L1311" i="1"/>
  <c r="K1311" i="1"/>
  <c r="J1311" i="1"/>
  <c r="R1311" i="1" s="1"/>
  <c r="H1311" i="1"/>
  <c r="G1311" i="1"/>
  <c r="F1311" i="1"/>
  <c r="E1311" i="1"/>
  <c r="D1311" i="1"/>
  <c r="I1311" i="1" s="1"/>
  <c r="C1311" i="1"/>
  <c r="B1311" i="1"/>
  <c r="A1311" i="1"/>
  <c r="T1310" i="1"/>
  <c r="S1310" i="1"/>
  <c r="R1310" i="1"/>
  <c r="Q1310" i="1"/>
  <c r="N1310" i="1"/>
  <c r="M1310" i="1"/>
  <c r="L1310" i="1"/>
  <c r="K1310" i="1"/>
  <c r="J1310" i="1"/>
  <c r="H1310" i="1"/>
  <c r="G1310" i="1"/>
  <c r="F1310" i="1"/>
  <c r="E1310" i="1"/>
  <c r="D1310" i="1"/>
  <c r="I1310" i="1" s="1"/>
  <c r="C1310" i="1"/>
  <c r="B1310" i="1"/>
  <c r="A1310" i="1"/>
  <c r="T1309" i="1"/>
  <c r="S1309" i="1"/>
  <c r="R1309" i="1"/>
  <c r="Q1309" i="1"/>
  <c r="N1309" i="1"/>
  <c r="M1309" i="1"/>
  <c r="L1309" i="1"/>
  <c r="K1309" i="1"/>
  <c r="J1309" i="1"/>
  <c r="H1309" i="1"/>
  <c r="G1309" i="1"/>
  <c r="F1309" i="1"/>
  <c r="E1309" i="1"/>
  <c r="D1309" i="1"/>
  <c r="I1309" i="1" s="1"/>
  <c r="C1309" i="1"/>
  <c r="B1309" i="1"/>
  <c r="A1309" i="1"/>
  <c r="T1308" i="1"/>
  <c r="S1308" i="1"/>
  <c r="Q1308" i="1"/>
  <c r="N1308" i="1"/>
  <c r="M1308" i="1"/>
  <c r="L1308" i="1"/>
  <c r="K1308" i="1"/>
  <c r="J1308" i="1"/>
  <c r="R1308" i="1" s="1"/>
  <c r="H1308" i="1"/>
  <c r="G1308" i="1"/>
  <c r="F1308" i="1"/>
  <c r="E1308" i="1"/>
  <c r="D1308" i="1"/>
  <c r="I1308" i="1" s="1"/>
  <c r="C1308" i="1"/>
  <c r="B1308" i="1"/>
  <c r="A1308" i="1"/>
  <c r="T1307" i="1"/>
  <c r="S1307" i="1"/>
  <c r="Q1307" i="1"/>
  <c r="N1307" i="1"/>
  <c r="M1307" i="1"/>
  <c r="L1307" i="1"/>
  <c r="K1307" i="1"/>
  <c r="J1307" i="1"/>
  <c r="R1307" i="1" s="1"/>
  <c r="H1307" i="1"/>
  <c r="G1307" i="1"/>
  <c r="F1307" i="1"/>
  <c r="E1307" i="1"/>
  <c r="D1307" i="1"/>
  <c r="I1307" i="1" s="1"/>
  <c r="C1307" i="1"/>
  <c r="B1307" i="1"/>
  <c r="A1307" i="1"/>
  <c r="T1306" i="1"/>
  <c r="S1306" i="1"/>
  <c r="R1306" i="1"/>
  <c r="Q1306" i="1"/>
  <c r="M1306" i="1"/>
  <c r="L1306" i="1"/>
  <c r="K1306" i="1"/>
  <c r="J1306" i="1"/>
  <c r="H1306" i="1"/>
  <c r="G1306" i="1"/>
  <c r="F1306" i="1"/>
  <c r="E1306" i="1"/>
  <c r="D1306" i="1"/>
  <c r="I1306" i="1" s="1"/>
  <c r="C1306" i="1"/>
  <c r="B1306" i="1"/>
  <c r="N1306" i="1" s="1"/>
  <c r="A1306" i="1"/>
  <c r="T1305" i="1"/>
  <c r="S1305" i="1"/>
  <c r="R1305" i="1"/>
  <c r="Q1305" i="1"/>
  <c r="N1305" i="1"/>
  <c r="M1305" i="1"/>
  <c r="L1305" i="1"/>
  <c r="K1305" i="1"/>
  <c r="J1305" i="1"/>
  <c r="H1305" i="1"/>
  <c r="G1305" i="1"/>
  <c r="F1305" i="1"/>
  <c r="E1305" i="1"/>
  <c r="D1305" i="1"/>
  <c r="I1305" i="1" s="1"/>
  <c r="C1305" i="1"/>
  <c r="B1305" i="1"/>
  <c r="A1305" i="1"/>
  <c r="T1304" i="1"/>
  <c r="S1304" i="1"/>
  <c r="Q1304" i="1"/>
  <c r="N1304" i="1"/>
  <c r="M1304" i="1"/>
  <c r="L1304" i="1"/>
  <c r="K1304" i="1"/>
  <c r="J1304" i="1"/>
  <c r="R1304" i="1" s="1"/>
  <c r="H1304" i="1"/>
  <c r="G1304" i="1"/>
  <c r="F1304" i="1"/>
  <c r="E1304" i="1"/>
  <c r="D1304" i="1"/>
  <c r="I1304" i="1" s="1"/>
  <c r="C1304" i="1"/>
  <c r="B1304" i="1"/>
  <c r="A1304" i="1"/>
  <c r="T1303" i="1"/>
  <c r="S1303" i="1"/>
  <c r="Q1303" i="1"/>
  <c r="N1303" i="1"/>
  <c r="M1303" i="1"/>
  <c r="L1303" i="1"/>
  <c r="K1303" i="1"/>
  <c r="J1303" i="1"/>
  <c r="R1303" i="1" s="1"/>
  <c r="H1303" i="1"/>
  <c r="G1303" i="1"/>
  <c r="F1303" i="1"/>
  <c r="E1303" i="1"/>
  <c r="D1303" i="1"/>
  <c r="I1303" i="1" s="1"/>
  <c r="C1303" i="1"/>
  <c r="B1303" i="1"/>
  <c r="A1303" i="1"/>
  <c r="T1302" i="1"/>
  <c r="S1302" i="1"/>
  <c r="R1302" i="1"/>
  <c r="Q1302" i="1"/>
  <c r="M1302" i="1"/>
  <c r="L1302" i="1"/>
  <c r="K1302" i="1"/>
  <c r="J1302" i="1"/>
  <c r="H1302" i="1"/>
  <c r="G1302" i="1"/>
  <c r="F1302" i="1"/>
  <c r="E1302" i="1"/>
  <c r="D1302" i="1"/>
  <c r="I1302" i="1" s="1"/>
  <c r="C1302" i="1"/>
  <c r="B1302" i="1"/>
  <c r="N1302" i="1" s="1"/>
  <c r="A1302" i="1"/>
  <c r="T1301" i="1"/>
  <c r="S1301" i="1"/>
  <c r="R1301" i="1"/>
  <c r="Q1301" i="1"/>
  <c r="N1301" i="1"/>
  <c r="M1301" i="1"/>
  <c r="L1301" i="1"/>
  <c r="K1301" i="1"/>
  <c r="J1301" i="1"/>
  <c r="H1301" i="1"/>
  <c r="G1301" i="1"/>
  <c r="F1301" i="1"/>
  <c r="E1301" i="1"/>
  <c r="D1301" i="1"/>
  <c r="I1301" i="1" s="1"/>
  <c r="C1301" i="1"/>
  <c r="B1301" i="1"/>
  <c r="A1301" i="1"/>
  <c r="T1300" i="1"/>
  <c r="S1300" i="1"/>
  <c r="Q1300" i="1"/>
  <c r="N1300" i="1"/>
  <c r="M1300" i="1"/>
  <c r="L1300" i="1"/>
  <c r="K1300" i="1"/>
  <c r="J1300" i="1"/>
  <c r="R1300" i="1" s="1"/>
  <c r="H1300" i="1"/>
  <c r="G1300" i="1"/>
  <c r="F1300" i="1"/>
  <c r="E1300" i="1"/>
  <c r="D1300" i="1"/>
  <c r="I1300" i="1" s="1"/>
  <c r="C1300" i="1"/>
  <c r="B1300" i="1"/>
  <c r="A1300" i="1"/>
  <c r="T1299" i="1"/>
  <c r="S1299" i="1"/>
  <c r="Q1299" i="1"/>
  <c r="N1299" i="1"/>
  <c r="M1299" i="1"/>
  <c r="L1299" i="1"/>
  <c r="K1299" i="1"/>
  <c r="J1299" i="1"/>
  <c r="R1299" i="1" s="1"/>
  <c r="H1299" i="1"/>
  <c r="G1299" i="1"/>
  <c r="F1299" i="1"/>
  <c r="E1299" i="1"/>
  <c r="D1299" i="1"/>
  <c r="I1299" i="1" s="1"/>
  <c r="C1299" i="1"/>
  <c r="B1299" i="1"/>
  <c r="A1299" i="1"/>
  <c r="T1298" i="1"/>
  <c r="S1298" i="1"/>
  <c r="R1298" i="1"/>
  <c r="Q1298" i="1"/>
  <c r="M1298" i="1"/>
  <c r="L1298" i="1"/>
  <c r="K1298" i="1"/>
  <c r="J1298" i="1"/>
  <c r="H1298" i="1"/>
  <c r="G1298" i="1"/>
  <c r="F1298" i="1"/>
  <c r="E1298" i="1"/>
  <c r="D1298" i="1"/>
  <c r="I1298" i="1" s="1"/>
  <c r="C1298" i="1"/>
  <c r="B1298" i="1"/>
  <c r="N1298" i="1" s="1"/>
  <c r="A1298" i="1"/>
  <c r="T1297" i="1"/>
  <c r="S1297" i="1"/>
  <c r="R1297" i="1"/>
  <c r="Q1297" i="1"/>
  <c r="M1297" i="1"/>
  <c r="L1297" i="1"/>
  <c r="K1297" i="1"/>
  <c r="J1297" i="1"/>
  <c r="I1297" i="1"/>
  <c r="H1297" i="1"/>
  <c r="G1297" i="1"/>
  <c r="F1297" i="1"/>
  <c r="E1297" i="1"/>
  <c r="D1297" i="1"/>
  <c r="C1297" i="1"/>
  <c r="B1297" i="1"/>
  <c r="N1297" i="1" s="1"/>
  <c r="A1297" i="1"/>
  <c r="T1296" i="1"/>
  <c r="S1296" i="1"/>
  <c r="Q1296" i="1"/>
  <c r="M1296" i="1"/>
  <c r="L1296" i="1"/>
  <c r="K1296" i="1"/>
  <c r="J1296" i="1"/>
  <c r="R1296" i="1" s="1"/>
  <c r="I1296" i="1"/>
  <c r="H1296" i="1"/>
  <c r="G1296" i="1"/>
  <c r="F1296" i="1"/>
  <c r="E1296" i="1"/>
  <c r="D1296" i="1"/>
  <c r="C1296" i="1"/>
  <c r="B1296" i="1"/>
  <c r="N1296" i="1" s="1"/>
  <c r="A1296" i="1"/>
  <c r="T1295" i="1"/>
  <c r="S1295" i="1"/>
  <c r="R1295" i="1"/>
  <c r="Q1295" i="1"/>
  <c r="M1295" i="1"/>
  <c r="L1295" i="1"/>
  <c r="K1295" i="1"/>
  <c r="J1295" i="1"/>
  <c r="I1295" i="1"/>
  <c r="H1295" i="1"/>
  <c r="G1295" i="1"/>
  <c r="F1295" i="1"/>
  <c r="E1295" i="1"/>
  <c r="D1295" i="1"/>
  <c r="C1295" i="1"/>
  <c r="B1295" i="1"/>
  <c r="N1295" i="1" s="1"/>
  <c r="A1295" i="1"/>
  <c r="T1294" i="1"/>
  <c r="S1294" i="1"/>
  <c r="Q1294" i="1"/>
  <c r="M1294" i="1"/>
  <c r="L1294" i="1"/>
  <c r="K1294" i="1"/>
  <c r="J1294" i="1"/>
  <c r="R1294" i="1" s="1"/>
  <c r="I1294" i="1"/>
  <c r="H1294" i="1"/>
  <c r="G1294" i="1"/>
  <c r="F1294" i="1"/>
  <c r="E1294" i="1"/>
  <c r="D1294" i="1"/>
  <c r="C1294" i="1"/>
  <c r="B1294" i="1"/>
  <c r="N1294" i="1" s="1"/>
  <c r="A1294" i="1"/>
  <c r="T1293" i="1"/>
  <c r="S1293" i="1"/>
  <c r="R1293" i="1"/>
  <c r="Q1293" i="1"/>
  <c r="M1293" i="1"/>
  <c r="L1293" i="1"/>
  <c r="K1293" i="1"/>
  <c r="J1293" i="1"/>
  <c r="I1293" i="1"/>
  <c r="H1293" i="1"/>
  <c r="G1293" i="1"/>
  <c r="F1293" i="1"/>
  <c r="E1293" i="1"/>
  <c r="D1293" i="1"/>
  <c r="C1293" i="1"/>
  <c r="B1293" i="1"/>
  <c r="N1293" i="1" s="1"/>
  <c r="A1293" i="1"/>
  <c r="T1292" i="1"/>
  <c r="S1292" i="1"/>
  <c r="Q1292" i="1"/>
  <c r="M1292" i="1"/>
  <c r="L1292" i="1"/>
  <c r="K1292" i="1"/>
  <c r="J1292" i="1"/>
  <c r="R1292" i="1" s="1"/>
  <c r="I1292" i="1"/>
  <c r="H1292" i="1"/>
  <c r="G1292" i="1"/>
  <c r="F1292" i="1"/>
  <c r="E1292" i="1"/>
  <c r="D1292" i="1"/>
  <c r="C1292" i="1"/>
  <c r="B1292" i="1"/>
  <c r="N1292" i="1" s="1"/>
  <c r="A1292" i="1"/>
  <c r="T1291" i="1"/>
  <c r="S1291" i="1"/>
  <c r="R1291" i="1"/>
  <c r="Q1291" i="1"/>
  <c r="M1291" i="1"/>
  <c r="L1291" i="1"/>
  <c r="K1291" i="1"/>
  <c r="J1291" i="1"/>
  <c r="I1291" i="1"/>
  <c r="H1291" i="1"/>
  <c r="G1291" i="1"/>
  <c r="F1291" i="1"/>
  <c r="E1291" i="1"/>
  <c r="D1291" i="1"/>
  <c r="C1291" i="1"/>
  <c r="B1291" i="1"/>
  <c r="N1291" i="1" s="1"/>
  <c r="A1291" i="1"/>
  <c r="T1290" i="1"/>
  <c r="S1290" i="1"/>
  <c r="Q1290" i="1"/>
  <c r="M1290" i="1"/>
  <c r="L1290" i="1"/>
  <c r="K1290" i="1"/>
  <c r="J1290" i="1"/>
  <c r="R1290" i="1" s="1"/>
  <c r="I1290" i="1"/>
  <c r="H1290" i="1"/>
  <c r="G1290" i="1"/>
  <c r="F1290" i="1"/>
  <c r="E1290" i="1"/>
  <c r="D1290" i="1"/>
  <c r="C1290" i="1"/>
  <c r="B1290" i="1"/>
  <c r="N1290" i="1" s="1"/>
  <c r="A1290" i="1"/>
  <c r="T1289" i="1"/>
  <c r="S1289" i="1"/>
  <c r="R1289" i="1"/>
  <c r="Q1289" i="1"/>
  <c r="M1289" i="1"/>
  <c r="L1289" i="1"/>
  <c r="K1289" i="1"/>
  <c r="J1289" i="1"/>
  <c r="I1289" i="1"/>
  <c r="H1289" i="1"/>
  <c r="G1289" i="1"/>
  <c r="F1289" i="1"/>
  <c r="E1289" i="1"/>
  <c r="D1289" i="1"/>
  <c r="C1289" i="1"/>
  <c r="B1289" i="1"/>
  <c r="N1289" i="1" s="1"/>
  <c r="A1289" i="1"/>
  <c r="T1288" i="1"/>
  <c r="S1288" i="1"/>
  <c r="Q1288" i="1"/>
  <c r="M1288" i="1"/>
  <c r="L1288" i="1"/>
  <c r="K1288" i="1"/>
  <c r="J1288" i="1"/>
  <c r="R1288" i="1" s="1"/>
  <c r="I1288" i="1"/>
  <c r="H1288" i="1"/>
  <c r="G1288" i="1"/>
  <c r="F1288" i="1"/>
  <c r="E1288" i="1"/>
  <c r="D1288" i="1"/>
  <c r="C1288" i="1"/>
  <c r="B1288" i="1"/>
  <c r="N1288" i="1" s="1"/>
  <c r="A1288" i="1"/>
  <c r="T1287" i="1"/>
  <c r="S1287" i="1"/>
  <c r="R1287" i="1"/>
  <c r="Q1287" i="1"/>
  <c r="M1287" i="1"/>
  <c r="L1287" i="1"/>
  <c r="K1287" i="1"/>
  <c r="J1287" i="1"/>
  <c r="I1287" i="1"/>
  <c r="H1287" i="1"/>
  <c r="G1287" i="1"/>
  <c r="F1287" i="1"/>
  <c r="E1287" i="1"/>
  <c r="D1287" i="1"/>
  <c r="C1287" i="1"/>
  <c r="B1287" i="1"/>
  <c r="N1287" i="1" s="1"/>
  <c r="A1287" i="1"/>
  <c r="T1286" i="1"/>
  <c r="S1286" i="1"/>
  <c r="Q1286" i="1"/>
  <c r="M1286" i="1"/>
  <c r="L1286" i="1"/>
  <c r="K1286" i="1"/>
  <c r="J1286" i="1"/>
  <c r="R1286" i="1" s="1"/>
  <c r="I1286" i="1"/>
  <c r="H1286" i="1"/>
  <c r="G1286" i="1"/>
  <c r="F1286" i="1"/>
  <c r="E1286" i="1"/>
  <c r="D1286" i="1"/>
  <c r="C1286" i="1"/>
  <c r="B1286" i="1"/>
  <c r="N1286" i="1" s="1"/>
  <c r="A1286" i="1"/>
  <c r="T1285" i="1"/>
  <c r="S1285" i="1"/>
  <c r="R1285" i="1"/>
  <c r="Q1285" i="1"/>
  <c r="M1285" i="1"/>
  <c r="L1285" i="1"/>
  <c r="K1285" i="1"/>
  <c r="J1285" i="1"/>
  <c r="I1285" i="1"/>
  <c r="H1285" i="1"/>
  <c r="G1285" i="1"/>
  <c r="F1285" i="1"/>
  <c r="E1285" i="1"/>
  <c r="D1285" i="1"/>
  <c r="C1285" i="1"/>
  <c r="B1285" i="1"/>
  <c r="N1285" i="1" s="1"/>
  <c r="A1285" i="1"/>
  <c r="T1284" i="1"/>
  <c r="S1284" i="1"/>
  <c r="Q1284" i="1"/>
  <c r="M1284" i="1"/>
  <c r="L1284" i="1"/>
  <c r="K1284" i="1"/>
  <c r="J1284" i="1"/>
  <c r="R1284" i="1" s="1"/>
  <c r="I1284" i="1"/>
  <c r="H1284" i="1"/>
  <c r="G1284" i="1"/>
  <c r="F1284" i="1"/>
  <c r="E1284" i="1"/>
  <c r="D1284" i="1"/>
  <c r="C1284" i="1"/>
  <c r="B1284" i="1"/>
  <c r="N1284" i="1" s="1"/>
  <c r="A1284" i="1"/>
  <c r="T1283" i="1"/>
  <c r="S1283" i="1"/>
  <c r="R1283" i="1"/>
  <c r="Q1283" i="1"/>
  <c r="M1283" i="1"/>
  <c r="N1283" i="1" s="1"/>
  <c r="L1283" i="1"/>
  <c r="K1283" i="1"/>
  <c r="J1283" i="1"/>
  <c r="I1283" i="1"/>
  <c r="H1283" i="1"/>
  <c r="G1283" i="1"/>
  <c r="F1283" i="1"/>
  <c r="E1283" i="1"/>
  <c r="D1283" i="1"/>
  <c r="C1283" i="1"/>
  <c r="B1283" i="1"/>
  <c r="A1283" i="1"/>
  <c r="T1282" i="1"/>
  <c r="S1282" i="1"/>
  <c r="Q1282" i="1"/>
  <c r="M1282" i="1"/>
  <c r="L1282" i="1"/>
  <c r="K1282" i="1"/>
  <c r="J1282" i="1"/>
  <c r="R1282" i="1" s="1"/>
  <c r="I1282" i="1"/>
  <c r="H1282" i="1"/>
  <c r="G1282" i="1"/>
  <c r="F1282" i="1"/>
  <c r="E1282" i="1"/>
  <c r="D1282" i="1"/>
  <c r="C1282" i="1"/>
  <c r="B1282" i="1"/>
  <c r="N1282" i="1" s="1"/>
  <c r="A1282" i="1"/>
  <c r="T1281" i="1"/>
  <c r="S1281" i="1"/>
  <c r="R1281" i="1"/>
  <c r="Q1281" i="1"/>
  <c r="M1281" i="1"/>
  <c r="N1281" i="1" s="1"/>
  <c r="L1281" i="1"/>
  <c r="K1281" i="1"/>
  <c r="J1281" i="1"/>
  <c r="I1281" i="1"/>
  <c r="H1281" i="1"/>
  <c r="G1281" i="1"/>
  <c r="F1281" i="1"/>
  <c r="E1281" i="1"/>
  <c r="D1281" i="1"/>
  <c r="C1281" i="1"/>
  <c r="B1281" i="1"/>
  <c r="A1281" i="1"/>
  <c r="T1280" i="1"/>
  <c r="S1280" i="1"/>
  <c r="Q1280" i="1"/>
  <c r="M1280" i="1"/>
  <c r="L1280" i="1"/>
  <c r="K1280" i="1"/>
  <c r="J1280" i="1"/>
  <c r="R1280" i="1" s="1"/>
  <c r="I1280" i="1"/>
  <c r="H1280" i="1"/>
  <c r="G1280" i="1"/>
  <c r="F1280" i="1"/>
  <c r="E1280" i="1"/>
  <c r="D1280" i="1"/>
  <c r="C1280" i="1"/>
  <c r="B1280" i="1"/>
  <c r="N1280" i="1" s="1"/>
  <c r="A1280" i="1"/>
  <c r="T1279" i="1"/>
  <c r="S1279" i="1"/>
  <c r="R1279" i="1"/>
  <c r="Q1279" i="1"/>
  <c r="M1279" i="1"/>
  <c r="N1279" i="1" s="1"/>
  <c r="L1279" i="1"/>
  <c r="K1279" i="1"/>
  <c r="J1279" i="1"/>
  <c r="I1279" i="1"/>
  <c r="H1279" i="1"/>
  <c r="G1279" i="1"/>
  <c r="F1279" i="1"/>
  <c r="E1279" i="1"/>
  <c r="D1279" i="1"/>
  <c r="C1279" i="1"/>
  <c r="B1279" i="1"/>
  <c r="A1279" i="1"/>
  <c r="T1278" i="1"/>
  <c r="S1278" i="1"/>
  <c r="Q1278" i="1"/>
  <c r="M1278" i="1"/>
  <c r="L1278" i="1"/>
  <c r="K1278" i="1"/>
  <c r="J1278" i="1"/>
  <c r="R1278" i="1" s="1"/>
  <c r="I1278" i="1"/>
  <c r="H1278" i="1"/>
  <c r="G1278" i="1"/>
  <c r="F1278" i="1"/>
  <c r="E1278" i="1"/>
  <c r="D1278" i="1"/>
  <c r="C1278" i="1"/>
  <c r="B1278" i="1"/>
  <c r="N1278" i="1" s="1"/>
  <c r="A1278" i="1"/>
  <c r="T1277" i="1"/>
  <c r="S1277" i="1"/>
  <c r="R1277" i="1"/>
  <c r="Q1277" i="1"/>
  <c r="M1277" i="1"/>
  <c r="N1277" i="1" s="1"/>
  <c r="L1277" i="1"/>
  <c r="K1277" i="1"/>
  <c r="J1277" i="1"/>
  <c r="I1277" i="1"/>
  <c r="H1277" i="1"/>
  <c r="G1277" i="1"/>
  <c r="F1277" i="1"/>
  <c r="E1277" i="1"/>
  <c r="D1277" i="1"/>
  <c r="C1277" i="1"/>
  <c r="B1277" i="1"/>
  <c r="A1277" i="1"/>
  <c r="T1276" i="1"/>
  <c r="S1276" i="1"/>
  <c r="Q1276" i="1"/>
  <c r="M1276" i="1"/>
  <c r="L1276" i="1"/>
  <c r="K1276" i="1"/>
  <c r="J1276" i="1"/>
  <c r="R1276" i="1" s="1"/>
  <c r="I1276" i="1"/>
  <c r="H1276" i="1"/>
  <c r="G1276" i="1"/>
  <c r="F1276" i="1"/>
  <c r="E1276" i="1"/>
  <c r="D1276" i="1"/>
  <c r="C1276" i="1"/>
  <c r="B1276" i="1"/>
  <c r="N1276" i="1" s="1"/>
  <c r="A1276" i="1"/>
  <c r="T1275" i="1"/>
  <c r="S1275" i="1"/>
  <c r="R1275" i="1"/>
  <c r="Q1275" i="1"/>
  <c r="M1275" i="1"/>
  <c r="N1275" i="1" s="1"/>
  <c r="L1275" i="1"/>
  <c r="K1275" i="1"/>
  <c r="J1275" i="1"/>
  <c r="I1275" i="1"/>
  <c r="H1275" i="1"/>
  <c r="G1275" i="1"/>
  <c r="F1275" i="1"/>
  <c r="E1275" i="1"/>
  <c r="D1275" i="1"/>
  <c r="C1275" i="1"/>
  <c r="B1275" i="1"/>
  <c r="A1275" i="1"/>
  <c r="T1274" i="1"/>
  <c r="S1274" i="1"/>
  <c r="Q1274" i="1"/>
  <c r="M1274" i="1"/>
  <c r="L1274" i="1"/>
  <c r="K1274" i="1"/>
  <c r="J1274" i="1"/>
  <c r="R1274" i="1" s="1"/>
  <c r="I1274" i="1"/>
  <c r="H1274" i="1"/>
  <c r="G1274" i="1"/>
  <c r="F1274" i="1"/>
  <c r="E1274" i="1"/>
  <c r="D1274" i="1"/>
  <c r="C1274" i="1"/>
  <c r="B1274" i="1"/>
  <c r="N1274" i="1" s="1"/>
  <c r="A1274" i="1"/>
  <c r="T1273" i="1"/>
  <c r="S1273" i="1"/>
  <c r="R1273" i="1"/>
  <c r="Q1273" i="1"/>
  <c r="M1273" i="1"/>
  <c r="N1273" i="1" s="1"/>
  <c r="L1273" i="1"/>
  <c r="K1273" i="1"/>
  <c r="J1273" i="1"/>
  <c r="I1273" i="1"/>
  <c r="H1273" i="1"/>
  <c r="G1273" i="1"/>
  <c r="F1273" i="1"/>
  <c r="E1273" i="1"/>
  <c r="D1273" i="1"/>
  <c r="C1273" i="1"/>
  <c r="B1273" i="1"/>
  <c r="A1273" i="1"/>
  <c r="T1272" i="1"/>
  <c r="S1272" i="1"/>
  <c r="Q1272" i="1"/>
  <c r="M1272" i="1"/>
  <c r="L1272" i="1"/>
  <c r="K1272" i="1"/>
  <c r="J1272" i="1"/>
  <c r="R1272" i="1" s="1"/>
  <c r="I1272" i="1"/>
  <c r="H1272" i="1"/>
  <c r="G1272" i="1"/>
  <c r="F1272" i="1"/>
  <c r="E1272" i="1"/>
  <c r="D1272" i="1"/>
  <c r="C1272" i="1"/>
  <c r="B1272" i="1"/>
  <c r="N1272" i="1" s="1"/>
  <c r="A1272" i="1"/>
  <c r="T1271" i="1"/>
  <c r="S1271" i="1"/>
  <c r="R1271" i="1"/>
  <c r="Q1271" i="1"/>
  <c r="M1271" i="1"/>
  <c r="N1271" i="1" s="1"/>
  <c r="L1271" i="1"/>
  <c r="K1271" i="1"/>
  <c r="J1271" i="1"/>
  <c r="I1271" i="1"/>
  <c r="H1271" i="1"/>
  <c r="G1271" i="1"/>
  <c r="F1271" i="1"/>
  <c r="E1271" i="1"/>
  <c r="D1271" i="1"/>
  <c r="C1271" i="1"/>
  <c r="B1271" i="1"/>
  <c r="A1271" i="1"/>
  <c r="T1270" i="1"/>
  <c r="S1270" i="1"/>
  <c r="Q1270" i="1"/>
  <c r="M1270" i="1"/>
  <c r="L1270" i="1"/>
  <c r="K1270" i="1"/>
  <c r="J1270" i="1"/>
  <c r="R1270" i="1" s="1"/>
  <c r="I1270" i="1"/>
  <c r="H1270" i="1"/>
  <c r="G1270" i="1"/>
  <c r="F1270" i="1"/>
  <c r="E1270" i="1"/>
  <c r="D1270" i="1"/>
  <c r="C1270" i="1"/>
  <c r="B1270" i="1"/>
  <c r="N1270" i="1" s="1"/>
  <c r="A1270" i="1"/>
  <c r="T1269" i="1"/>
  <c r="S1269" i="1"/>
  <c r="R1269" i="1"/>
  <c r="Q1269" i="1"/>
  <c r="M1269" i="1"/>
  <c r="N1269" i="1" s="1"/>
  <c r="L1269" i="1"/>
  <c r="K1269" i="1"/>
  <c r="J1269" i="1"/>
  <c r="I1269" i="1"/>
  <c r="H1269" i="1"/>
  <c r="G1269" i="1"/>
  <c r="F1269" i="1"/>
  <c r="E1269" i="1"/>
  <c r="D1269" i="1"/>
  <c r="C1269" i="1"/>
  <c r="B1269" i="1"/>
  <c r="A1269" i="1"/>
  <c r="T1268" i="1"/>
  <c r="S1268" i="1"/>
  <c r="Q1268" i="1"/>
  <c r="M1268" i="1"/>
  <c r="L1268" i="1"/>
  <c r="K1268" i="1"/>
  <c r="J1268" i="1"/>
  <c r="R1268" i="1" s="1"/>
  <c r="I1268" i="1"/>
  <c r="H1268" i="1"/>
  <c r="G1268" i="1"/>
  <c r="F1268" i="1"/>
  <c r="E1268" i="1"/>
  <c r="D1268" i="1"/>
  <c r="C1268" i="1"/>
  <c r="B1268" i="1"/>
  <c r="N1268" i="1" s="1"/>
  <c r="A1268" i="1"/>
  <c r="T1267" i="1"/>
  <c r="S1267" i="1"/>
  <c r="R1267" i="1"/>
  <c r="Q1267" i="1"/>
  <c r="M1267" i="1"/>
  <c r="N1267" i="1" s="1"/>
  <c r="L1267" i="1"/>
  <c r="K1267" i="1"/>
  <c r="J1267" i="1"/>
  <c r="I1267" i="1"/>
  <c r="H1267" i="1"/>
  <c r="G1267" i="1"/>
  <c r="F1267" i="1"/>
  <c r="E1267" i="1"/>
  <c r="D1267" i="1"/>
  <c r="C1267" i="1"/>
  <c r="B1267" i="1"/>
  <c r="A1267" i="1"/>
  <c r="T1266" i="1"/>
  <c r="S1266" i="1"/>
  <c r="R1266" i="1"/>
  <c r="Q1266" i="1"/>
  <c r="M1266" i="1"/>
  <c r="N1266" i="1" s="1"/>
  <c r="L1266" i="1"/>
  <c r="K1266" i="1"/>
  <c r="J1266" i="1"/>
  <c r="H1266" i="1"/>
  <c r="G1266" i="1"/>
  <c r="F1266" i="1"/>
  <c r="E1266" i="1"/>
  <c r="D1266" i="1"/>
  <c r="I1266" i="1" s="1"/>
  <c r="C1266" i="1"/>
  <c r="B1266" i="1"/>
  <c r="A1266" i="1"/>
  <c r="T1265" i="1"/>
  <c r="S1265" i="1"/>
  <c r="R1265" i="1"/>
  <c r="Q1265" i="1"/>
  <c r="M1265" i="1"/>
  <c r="N1265" i="1" s="1"/>
  <c r="O1265" i="1" s="1"/>
  <c r="L1265" i="1"/>
  <c r="K1265" i="1"/>
  <c r="J1265" i="1"/>
  <c r="H1265" i="1"/>
  <c r="G1265" i="1"/>
  <c r="F1265" i="1"/>
  <c r="E1265" i="1"/>
  <c r="D1265" i="1"/>
  <c r="I1265" i="1" s="1"/>
  <c r="C1265" i="1"/>
  <c r="B1265" i="1"/>
  <c r="A1265" i="1"/>
  <c r="T1264" i="1"/>
  <c r="S1264" i="1"/>
  <c r="Q1264" i="1"/>
  <c r="M1264" i="1"/>
  <c r="L1264" i="1"/>
  <c r="K1264" i="1"/>
  <c r="J1264" i="1"/>
  <c r="R1264" i="1" s="1"/>
  <c r="H1264" i="1"/>
  <c r="G1264" i="1"/>
  <c r="F1264" i="1"/>
  <c r="E1264" i="1"/>
  <c r="D1264" i="1"/>
  <c r="I1264" i="1" s="1"/>
  <c r="C1264" i="1"/>
  <c r="B1264" i="1"/>
  <c r="N1264" i="1" s="1"/>
  <c r="A1264" i="1"/>
  <c r="T1263" i="1"/>
  <c r="S1263" i="1"/>
  <c r="R1263" i="1"/>
  <c r="Q1263" i="1"/>
  <c r="M1263" i="1"/>
  <c r="N1263" i="1" s="1"/>
  <c r="L1263" i="1"/>
  <c r="K1263" i="1"/>
  <c r="J1263" i="1"/>
  <c r="I1263" i="1"/>
  <c r="H1263" i="1"/>
  <c r="G1263" i="1"/>
  <c r="F1263" i="1"/>
  <c r="E1263" i="1"/>
  <c r="D1263" i="1"/>
  <c r="C1263" i="1"/>
  <c r="B1263" i="1"/>
  <c r="A1263" i="1"/>
  <c r="T1262" i="1"/>
  <c r="S1262" i="1"/>
  <c r="R1262" i="1"/>
  <c r="Q1262" i="1"/>
  <c r="M1262" i="1"/>
  <c r="N1262" i="1" s="1"/>
  <c r="L1262" i="1"/>
  <c r="K1262" i="1"/>
  <c r="J1262" i="1"/>
  <c r="H1262" i="1"/>
  <c r="G1262" i="1"/>
  <c r="F1262" i="1"/>
  <c r="E1262" i="1"/>
  <c r="D1262" i="1"/>
  <c r="I1262" i="1" s="1"/>
  <c r="C1262" i="1"/>
  <c r="B1262" i="1"/>
  <c r="A1262" i="1"/>
  <c r="T1261" i="1"/>
  <c r="S1261" i="1"/>
  <c r="R1261" i="1"/>
  <c r="Q1261" i="1"/>
  <c r="P1261" i="1"/>
  <c r="M1261" i="1"/>
  <c r="N1261" i="1" s="1"/>
  <c r="O1261" i="1" s="1"/>
  <c r="L1261" i="1"/>
  <c r="K1261" i="1"/>
  <c r="J1261" i="1"/>
  <c r="H1261" i="1"/>
  <c r="G1261" i="1"/>
  <c r="F1261" i="1"/>
  <c r="E1261" i="1"/>
  <c r="D1261" i="1"/>
  <c r="I1261" i="1" s="1"/>
  <c r="C1261" i="1"/>
  <c r="B1261" i="1"/>
  <c r="A1261" i="1"/>
  <c r="T1260" i="1"/>
  <c r="S1260" i="1"/>
  <c r="Q1260" i="1"/>
  <c r="N1260" i="1"/>
  <c r="M1260" i="1"/>
  <c r="L1260" i="1"/>
  <c r="K1260" i="1"/>
  <c r="J1260" i="1"/>
  <c r="R1260" i="1" s="1"/>
  <c r="H1260" i="1"/>
  <c r="G1260" i="1"/>
  <c r="F1260" i="1"/>
  <c r="E1260" i="1"/>
  <c r="D1260" i="1"/>
  <c r="I1260" i="1" s="1"/>
  <c r="C1260" i="1"/>
  <c r="B1260" i="1"/>
  <c r="A1260" i="1"/>
  <c r="T1259" i="1"/>
  <c r="S1259" i="1"/>
  <c r="R1259" i="1"/>
  <c r="Q1259" i="1"/>
  <c r="M1259" i="1"/>
  <c r="N1259" i="1" s="1"/>
  <c r="L1259" i="1"/>
  <c r="K1259" i="1"/>
  <c r="J1259" i="1"/>
  <c r="I1259" i="1"/>
  <c r="H1259" i="1"/>
  <c r="G1259" i="1"/>
  <c r="F1259" i="1"/>
  <c r="E1259" i="1"/>
  <c r="D1259" i="1"/>
  <c r="C1259" i="1"/>
  <c r="B1259" i="1"/>
  <c r="A1259" i="1"/>
  <c r="T1258" i="1"/>
  <c r="S1258" i="1"/>
  <c r="R1258" i="1"/>
  <c r="Q1258" i="1"/>
  <c r="M1258" i="1"/>
  <c r="N1258" i="1" s="1"/>
  <c r="L1258" i="1"/>
  <c r="K1258" i="1"/>
  <c r="J1258" i="1"/>
  <c r="H1258" i="1"/>
  <c r="G1258" i="1"/>
  <c r="F1258" i="1"/>
  <c r="E1258" i="1"/>
  <c r="D1258" i="1"/>
  <c r="I1258" i="1" s="1"/>
  <c r="C1258" i="1"/>
  <c r="B1258" i="1"/>
  <c r="A1258" i="1"/>
  <c r="T1257" i="1"/>
  <c r="S1257" i="1"/>
  <c r="R1257" i="1"/>
  <c r="Q1257" i="1"/>
  <c r="M1257" i="1"/>
  <c r="N1257" i="1" s="1"/>
  <c r="O1257" i="1" s="1"/>
  <c r="L1257" i="1"/>
  <c r="K1257" i="1"/>
  <c r="J1257" i="1"/>
  <c r="H1257" i="1"/>
  <c r="G1257" i="1"/>
  <c r="F1257" i="1"/>
  <c r="E1257" i="1"/>
  <c r="D1257" i="1"/>
  <c r="I1257" i="1" s="1"/>
  <c r="C1257" i="1"/>
  <c r="B1257" i="1"/>
  <c r="A1257" i="1"/>
  <c r="T1256" i="1"/>
  <c r="S1256" i="1"/>
  <c r="Q1256" i="1"/>
  <c r="M1256" i="1"/>
  <c r="L1256" i="1"/>
  <c r="K1256" i="1"/>
  <c r="J1256" i="1"/>
  <c r="R1256" i="1" s="1"/>
  <c r="H1256" i="1"/>
  <c r="G1256" i="1"/>
  <c r="F1256" i="1"/>
  <c r="E1256" i="1"/>
  <c r="D1256" i="1"/>
  <c r="I1256" i="1" s="1"/>
  <c r="C1256" i="1"/>
  <c r="B1256" i="1"/>
  <c r="N1256" i="1" s="1"/>
  <c r="A1256" i="1"/>
  <c r="T1255" i="1"/>
  <c r="S1255" i="1"/>
  <c r="R1255" i="1"/>
  <c r="Q1255" i="1"/>
  <c r="M1255" i="1"/>
  <c r="N1255" i="1" s="1"/>
  <c r="L1255" i="1"/>
  <c r="K1255" i="1"/>
  <c r="J1255" i="1"/>
  <c r="I1255" i="1"/>
  <c r="H1255" i="1"/>
  <c r="G1255" i="1"/>
  <c r="F1255" i="1"/>
  <c r="E1255" i="1"/>
  <c r="D1255" i="1"/>
  <c r="C1255" i="1"/>
  <c r="B1255" i="1"/>
  <c r="A1255" i="1"/>
  <c r="T1254" i="1"/>
  <c r="S1254" i="1"/>
  <c r="R1254" i="1"/>
  <c r="Q1254" i="1"/>
  <c r="M1254" i="1"/>
  <c r="N1254" i="1" s="1"/>
  <c r="L1254" i="1"/>
  <c r="K1254" i="1"/>
  <c r="J1254" i="1"/>
  <c r="H1254" i="1"/>
  <c r="G1254" i="1"/>
  <c r="F1254" i="1"/>
  <c r="E1254" i="1"/>
  <c r="D1254" i="1"/>
  <c r="I1254" i="1" s="1"/>
  <c r="C1254" i="1"/>
  <c r="B1254" i="1"/>
  <c r="A1254" i="1"/>
  <c r="T1253" i="1"/>
  <c r="S1253" i="1"/>
  <c r="R1253" i="1"/>
  <c r="Q1253" i="1"/>
  <c r="P1253" i="1"/>
  <c r="M1253" i="1"/>
  <c r="N1253" i="1" s="1"/>
  <c r="O1253" i="1" s="1"/>
  <c r="L1253" i="1"/>
  <c r="K1253" i="1"/>
  <c r="J1253" i="1"/>
  <c r="H1253" i="1"/>
  <c r="G1253" i="1"/>
  <c r="F1253" i="1"/>
  <c r="E1253" i="1"/>
  <c r="D1253" i="1"/>
  <c r="I1253" i="1" s="1"/>
  <c r="C1253" i="1"/>
  <c r="B1253" i="1"/>
  <c r="A1253" i="1"/>
  <c r="T1252" i="1"/>
  <c r="S1252" i="1"/>
  <c r="Q1252" i="1"/>
  <c r="N1252" i="1"/>
  <c r="M1252" i="1"/>
  <c r="L1252" i="1"/>
  <c r="K1252" i="1"/>
  <c r="J1252" i="1"/>
  <c r="R1252" i="1" s="1"/>
  <c r="H1252" i="1"/>
  <c r="G1252" i="1"/>
  <c r="F1252" i="1"/>
  <c r="E1252" i="1"/>
  <c r="D1252" i="1"/>
  <c r="I1252" i="1" s="1"/>
  <c r="C1252" i="1"/>
  <c r="B1252" i="1"/>
  <c r="A1252" i="1"/>
  <c r="T1251" i="1"/>
  <c r="S1251" i="1"/>
  <c r="R1251" i="1"/>
  <c r="Q1251" i="1"/>
  <c r="M1251" i="1"/>
  <c r="N1251" i="1" s="1"/>
  <c r="L1251" i="1"/>
  <c r="K1251" i="1"/>
  <c r="J1251" i="1"/>
  <c r="I1251" i="1"/>
  <c r="H1251" i="1"/>
  <c r="G1251" i="1"/>
  <c r="F1251" i="1"/>
  <c r="E1251" i="1"/>
  <c r="D1251" i="1"/>
  <c r="C1251" i="1"/>
  <c r="B1251" i="1"/>
  <c r="A1251" i="1"/>
  <c r="T1250" i="1"/>
  <c r="S1250" i="1"/>
  <c r="R1250" i="1"/>
  <c r="Q1250" i="1"/>
  <c r="M1250" i="1"/>
  <c r="N1250" i="1" s="1"/>
  <c r="L1250" i="1"/>
  <c r="K1250" i="1"/>
  <c r="J1250" i="1"/>
  <c r="H1250" i="1"/>
  <c r="G1250" i="1"/>
  <c r="F1250" i="1"/>
  <c r="E1250" i="1"/>
  <c r="D1250" i="1"/>
  <c r="I1250" i="1" s="1"/>
  <c r="C1250" i="1"/>
  <c r="B1250" i="1"/>
  <c r="A1250" i="1"/>
  <c r="T1249" i="1"/>
  <c r="S1249" i="1"/>
  <c r="R1249" i="1"/>
  <c r="Q1249" i="1"/>
  <c r="M1249" i="1"/>
  <c r="N1249" i="1" s="1"/>
  <c r="O1249" i="1" s="1"/>
  <c r="L1249" i="1"/>
  <c r="K1249" i="1"/>
  <c r="J1249" i="1"/>
  <c r="H1249" i="1"/>
  <c r="G1249" i="1"/>
  <c r="F1249" i="1"/>
  <c r="E1249" i="1"/>
  <c r="D1249" i="1"/>
  <c r="I1249" i="1" s="1"/>
  <c r="C1249" i="1"/>
  <c r="B1249" i="1"/>
  <c r="A1249" i="1"/>
  <c r="T1248" i="1"/>
  <c r="S1248" i="1"/>
  <c r="Q1248" i="1"/>
  <c r="M1248" i="1"/>
  <c r="L1248" i="1"/>
  <c r="K1248" i="1"/>
  <c r="J1248" i="1"/>
  <c r="R1248" i="1" s="1"/>
  <c r="H1248" i="1"/>
  <c r="G1248" i="1"/>
  <c r="F1248" i="1"/>
  <c r="E1248" i="1"/>
  <c r="D1248" i="1"/>
  <c r="I1248" i="1" s="1"/>
  <c r="C1248" i="1"/>
  <c r="B1248" i="1"/>
  <c r="N1248" i="1" s="1"/>
  <c r="A1248" i="1"/>
  <c r="T1247" i="1"/>
  <c r="S1247" i="1"/>
  <c r="R1247" i="1"/>
  <c r="Q1247" i="1"/>
  <c r="M1247" i="1"/>
  <c r="N1247" i="1" s="1"/>
  <c r="L1247" i="1"/>
  <c r="K1247" i="1"/>
  <c r="J1247" i="1"/>
  <c r="I1247" i="1"/>
  <c r="H1247" i="1"/>
  <c r="G1247" i="1"/>
  <c r="F1247" i="1"/>
  <c r="E1247" i="1"/>
  <c r="D1247" i="1"/>
  <c r="C1247" i="1"/>
  <c r="B1247" i="1"/>
  <c r="A1247" i="1"/>
  <c r="T1246" i="1"/>
  <c r="S1246" i="1"/>
  <c r="R1246" i="1"/>
  <c r="Q1246" i="1"/>
  <c r="M1246" i="1"/>
  <c r="N1246" i="1" s="1"/>
  <c r="L1246" i="1"/>
  <c r="K1246" i="1"/>
  <c r="J1246" i="1"/>
  <c r="H1246" i="1"/>
  <c r="G1246" i="1"/>
  <c r="F1246" i="1"/>
  <c r="E1246" i="1"/>
  <c r="D1246" i="1"/>
  <c r="I1246" i="1" s="1"/>
  <c r="C1246" i="1"/>
  <c r="B1246" i="1"/>
  <c r="A1246" i="1"/>
  <c r="T1245" i="1"/>
  <c r="S1245" i="1"/>
  <c r="R1245" i="1"/>
  <c r="Q1245" i="1"/>
  <c r="P1245" i="1"/>
  <c r="M1245" i="1"/>
  <c r="N1245" i="1" s="1"/>
  <c r="O1245" i="1" s="1"/>
  <c r="L1245" i="1"/>
  <c r="K1245" i="1"/>
  <c r="J1245" i="1"/>
  <c r="H1245" i="1"/>
  <c r="G1245" i="1"/>
  <c r="F1245" i="1"/>
  <c r="E1245" i="1"/>
  <c r="D1245" i="1"/>
  <c r="I1245" i="1" s="1"/>
  <c r="C1245" i="1"/>
  <c r="B1245" i="1"/>
  <c r="A1245" i="1"/>
  <c r="T1244" i="1"/>
  <c r="S1244" i="1"/>
  <c r="Q1244" i="1"/>
  <c r="N1244" i="1"/>
  <c r="M1244" i="1"/>
  <c r="L1244" i="1"/>
  <c r="K1244" i="1"/>
  <c r="J1244" i="1"/>
  <c r="R1244" i="1" s="1"/>
  <c r="H1244" i="1"/>
  <c r="G1244" i="1"/>
  <c r="F1244" i="1"/>
  <c r="E1244" i="1"/>
  <c r="D1244" i="1"/>
  <c r="I1244" i="1" s="1"/>
  <c r="C1244" i="1"/>
  <c r="B1244" i="1"/>
  <c r="A1244" i="1"/>
  <c r="T1243" i="1"/>
  <c r="S1243" i="1"/>
  <c r="R1243" i="1"/>
  <c r="Q1243" i="1"/>
  <c r="M1243" i="1"/>
  <c r="N1243" i="1" s="1"/>
  <c r="L1243" i="1"/>
  <c r="K1243" i="1"/>
  <c r="J1243" i="1"/>
  <c r="I1243" i="1"/>
  <c r="H1243" i="1"/>
  <c r="G1243" i="1"/>
  <c r="F1243" i="1"/>
  <c r="E1243" i="1"/>
  <c r="D1243" i="1"/>
  <c r="C1243" i="1"/>
  <c r="B1243" i="1"/>
  <c r="A1243" i="1"/>
  <c r="T1242" i="1"/>
  <c r="S1242" i="1"/>
  <c r="R1242" i="1"/>
  <c r="Q1242" i="1"/>
  <c r="M1242" i="1"/>
  <c r="N1242" i="1" s="1"/>
  <c r="L1242" i="1"/>
  <c r="K1242" i="1"/>
  <c r="J1242" i="1"/>
  <c r="H1242" i="1"/>
  <c r="G1242" i="1"/>
  <c r="F1242" i="1"/>
  <c r="E1242" i="1"/>
  <c r="D1242" i="1"/>
  <c r="I1242" i="1" s="1"/>
  <c r="C1242" i="1"/>
  <c r="B1242" i="1"/>
  <c r="A1242" i="1"/>
  <c r="T1241" i="1"/>
  <c r="S1241" i="1"/>
  <c r="R1241" i="1"/>
  <c r="Q1241" i="1"/>
  <c r="M1241" i="1"/>
  <c r="N1241" i="1" s="1"/>
  <c r="O1241" i="1" s="1"/>
  <c r="L1241" i="1"/>
  <c r="K1241" i="1"/>
  <c r="J1241" i="1"/>
  <c r="H1241" i="1"/>
  <c r="G1241" i="1"/>
  <c r="F1241" i="1"/>
  <c r="E1241" i="1"/>
  <c r="D1241" i="1"/>
  <c r="I1241" i="1" s="1"/>
  <c r="C1241" i="1"/>
  <c r="B1241" i="1"/>
  <c r="A1241" i="1"/>
  <c r="T1240" i="1"/>
  <c r="S1240" i="1"/>
  <c r="Q1240" i="1"/>
  <c r="M1240" i="1"/>
  <c r="L1240" i="1"/>
  <c r="K1240" i="1"/>
  <c r="J1240" i="1"/>
  <c r="R1240" i="1" s="1"/>
  <c r="H1240" i="1"/>
  <c r="G1240" i="1"/>
  <c r="F1240" i="1"/>
  <c r="E1240" i="1"/>
  <c r="D1240" i="1"/>
  <c r="I1240" i="1" s="1"/>
  <c r="C1240" i="1"/>
  <c r="B1240" i="1"/>
  <c r="N1240" i="1" s="1"/>
  <c r="A1240" i="1"/>
  <c r="T1239" i="1"/>
  <c r="S1239" i="1"/>
  <c r="R1239" i="1"/>
  <c r="Q1239" i="1"/>
  <c r="M1239" i="1"/>
  <c r="N1239" i="1" s="1"/>
  <c r="L1239" i="1"/>
  <c r="K1239" i="1"/>
  <c r="J1239" i="1"/>
  <c r="I1239" i="1"/>
  <c r="H1239" i="1"/>
  <c r="G1239" i="1"/>
  <c r="F1239" i="1"/>
  <c r="E1239" i="1"/>
  <c r="D1239" i="1"/>
  <c r="C1239" i="1"/>
  <c r="B1239" i="1"/>
  <c r="A1239" i="1"/>
  <c r="T1238" i="1"/>
  <c r="S1238" i="1"/>
  <c r="R1238" i="1"/>
  <c r="Q1238" i="1"/>
  <c r="M1238" i="1"/>
  <c r="N1238" i="1" s="1"/>
  <c r="L1238" i="1"/>
  <c r="K1238" i="1"/>
  <c r="J1238" i="1"/>
  <c r="H1238" i="1"/>
  <c r="G1238" i="1"/>
  <c r="F1238" i="1"/>
  <c r="E1238" i="1"/>
  <c r="D1238" i="1"/>
  <c r="I1238" i="1" s="1"/>
  <c r="C1238" i="1"/>
  <c r="B1238" i="1"/>
  <c r="A1238" i="1"/>
  <c r="T1237" i="1"/>
  <c r="S1237" i="1"/>
  <c r="R1237" i="1"/>
  <c r="Q1237" i="1"/>
  <c r="P1237" i="1"/>
  <c r="M1237" i="1"/>
  <c r="N1237" i="1" s="1"/>
  <c r="O1237" i="1" s="1"/>
  <c r="L1237" i="1"/>
  <c r="K1237" i="1"/>
  <c r="J1237" i="1"/>
  <c r="H1237" i="1"/>
  <c r="G1237" i="1"/>
  <c r="F1237" i="1"/>
  <c r="E1237" i="1"/>
  <c r="D1237" i="1"/>
  <c r="I1237" i="1" s="1"/>
  <c r="C1237" i="1"/>
  <c r="B1237" i="1"/>
  <c r="A1237" i="1"/>
  <c r="T1236" i="1"/>
  <c r="S1236" i="1"/>
  <c r="Q1236" i="1"/>
  <c r="N1236" i="1"/>
  <c r="M1236" i="1"/>
  <c r="L1236" i="1"/>
  <c r="K1236" i="1"/>
  <c r="J1236" i="1"/>
  <c r="R1236" i="1" s="1"/>
  <c r="H1236" i="1"/>
  <c r="G1236" i="1"/>
  <c r="F1236" i="1"/>
  <c r="E1236" i="1"/>
  <c r="D1236" i="1"/>
  <c r="I1236" i="1" s="1"/>
  <c r="C1236" i="1"/>
  <c r="B1236" i="1"/>
  <c r="A1236" i="1"/>
  <c r="T1235" i="1"/>
  <c r="S1235" i="1"/>
  <c r="R1235" i="1"/>
  <c r="Q1235" i="1"/>
  <c r="M1235" i="1"/>
  <c r="N1235" i="1" s="1"/>
  <c r="L1235" i="1"/>
  <c r="K1235" i="1"/>
  <c r="J1235" i="1"/>
  <c r="I1235" i="1"/>
  <c r="H1235" i="1"/>
  <c r="G1235" i="1"/>
  <c r="F1235" i="1"/>
  <c r="E1235" i="1"/>
  <c r="D1235" i="1"/>
  <c r="C1235" i="1"/>
  <c r="B1235" i="1"/>
  <c r="A1235" i="1"/>
  <c r="T1234" i="1"/>
  <c r="S1234" i="1"/>
  <c r="R1234" i="1"/>
  <c r="Q1234" i="1"/>
  <c r="M1234" i="1"/>
  <c r="N1234" i="1" s="1"/>
  <c r="L1234" i="1"/>
  <c r="K1234" i="1"/>
  <c r="J1234" i="1"/>
  <c r="H1234" i="1"/>
  <c r="G1234" i="1"/>
  <c r="F1234" i="1"/>
  <c r="E1234" i="1"/>
  <c r="D1234" i="1"/>
  <c r="I1234" i="1" s="1"/>
  <c r="C1234" i="1"/>
  <c r="B1234" i="1"/>
  <c r="A1234" i="1"/>
  <c r="T1233" i="1"/>
  <c r="S1233" i="1"/>
  <c r="Q1233" i="1"/>
  <c r="P1233" i="1"/>
  <c r="M1233" i="1"/>
  <c r="N1233" i="1" s="1"/>
  <c r="O1233" i="1" s="1"/>
  <c r="L1233" i="1"/>
  <c r="K1233" i="1"/>
  <c r="R1233" i="1" s="1"/>
  <c r="J1233" i="1"/>
  <c r="H1233" i="1"/>
  <c r="G1233" i="1"/>
  <c r="F1233" i="1"/>
  <c r="E1233" i="1"/>
  <c r="C1233" i="1"/>
  <c r="D1233" i="1" s="1"/>
  <c r="I1233" i="1" s="1"/>
  <c r="B1233" i="1"/>
  <c r="A1233" i="1"/>
  <c r="T1232" i="1"/>
  <c r="S1232" i="1"/>
  <c r="Q1232" i="1"/>
  <c r="O1232" i="1"/>
  <c r="M1232" i="1"/>
  <c r="N1232" i="1" s="1"/>
  <c r="P1232" i="1" s="1"/>
  <c r="L1232" i="1"/>
  <c r="K1232" i="1"/>
  <c r="R1232" i="1" s="1"/>
  <c r="J1232" i="1"/>
  <c r="H1232" i="1"/>
  <c r="G1232" i="1"/>
  <c r="F1232" i="1"/>
  <c r="E1232" i="1"/>
  <c r="C1232" i="1"/>
  <c r="D1232" i="1" s="1"/>
  <c r="I1232" i="1" s="1"/>
  <c r="B1232" i="1"/>
  <c r="A1232" i="1"/>
  <c r="T1231" i="1"/>
  <c r="S1231" i="1"/>
  <c r="Q1231" i="1"/>
  <c r="M1231" i="1"/>
  <c r="N1231" i="1" s="1"/>
  <c r="L1231" i="1"/>
  <c r="K1231" i="1"/>
  <c r="R1231" i="1" s="1"/>
  <c r="J1231" i="1"/>
  <c r="H1231" i="1"/>
  <c r="G1231" i="1"/>
  <c r="F1231" i="1"/>
  <c r="E1231" i="1"/>
  <c r="C1231" i="1"/>
  <c r="D1231" i="1" s="1"/>
  <c r="I1231" i="1" s="1"/>
  <c r="B1231" i="1"/>
  <c r="A1231" i="1"/>
  <c r="T1230" i="1"/>
  <c r="S1230" i="1"/>
  <c r="Q1230" i="1"/>
  <c r="M1230" i="1"/>
  <c r="N1230" i="1" s="1"/>
  <c r="P1230" i="1" s="1"/>
  <c r="L1230" i="1"/>
  <c r="K1230" i="1"/>
  <c r="R1230" i="1" s="1"/>
  <c r="J1230" i="1"/>
  <c r="H1230" i="1"/>
  <c r="G1230" i="1"/>
  <c r="F1230" i="1"/>
  <c r="E1230" i="1"/>
  <c r="C1230" i="1"/>
  <c r="D1230" i="1" s="1"/>
  <c r="I1230" i="1" s="1"/>
  <c r="B1230" i="1"/>
  <c r="A1230" i="1"/>
  <c r="T1229" i="1"/>
  <c r="S1229" i="1"/>
  <c r="Q1229" i="1"/>
  <c r="O1229" i="1"/>
  <c r="M1229" i="1"/>
  <c r="N1229" i="1" s="1"/>
  <c r="P1229" i="1" s="1"/>
  <c r="L1229" i="1"/>
  <c r="K1229" i="1"/>
  <c r="R1229" i="1" s="1"/>
  <c r="J1229" i="1"/>
  <c r="H1229" i="1"/>
  <c r="G1229" i="1"/>
  <c r="F1229" i="1"/>
  <c r="E1229" i="1"/>
  <c r="C1229" i="1"/>
  <c r="D1229" i="1" s="1"/>
  <c r="I1229" i="1" s="1"/>
  <c r="B1229" i="1"/>
  <c r="A1229" i="1"/>
  <c r="T1228" i="1"/>
  <c r="S1228" i="1"/>
  <c r="Q1228" i="1"/>
  <c r="O1228" i="1"/>
  <c r="M1228" i="1"/>
  <c r="N1228" i="1" s="1"/>
  <c r="P1228" i="1" s="1"/>
  <c r="L1228" i="1"/>
  <c r="K1228" i="1"/>
  <c r="R1228" i="1" s="1"/>
  <c r="J1228" i="1"/>
  <c r="H1228" i="1"/>
  <c r="G1228" i="1"/>
  <c r="F1228" i="1"/>
  <c r="E1228" i="1"/>
  <c r="C1228" i="1"/>
  <c r="D1228" i="1" s="1"/>
  <c r="I1228" i="1" s="1"/>
  <c r="B1228" i="1"/>
  <c r="A1228" i="1"/>
  <c r="T1227" i="1"/>
  <c r="S1227" i="1"/>
  <c r="Q1227" i="1"/>
  <c r="M1227" i="1"/>
  <c r="N1227" i="1" s="1"/>
  <c r="L1227" i="1"/>
  <c r="K1227" i="1"/>
  <c r="R1227" i="1" s="1"/>
  <c r="J1227" i="1"/>
  <c r="H1227" i="1"/>
  <c r="G1227" i="1"/>
  <c r="F1227" i="1"/>
  <c r="E1227" i="1"/>
  <c r="C1227" i="1"/>
  <c r="D1227" i="1" s="1"/>
  <c r="I1227" i="1" s="1"/>
  <c r="B1227" i="1"/>
  <c r="A1227" i="1"/>
  <c r="T1226" i="1"/>
  <c r="S1226" i="1"/>
  <c r="Q1226" i="1"/>
  <c r="M1226" i="1"/>
  <c r="N1226" i="1" s="1"/>
  <c r="P1226" i="1" s="1"/>
  <c r="L1226" i="1"/>
  <c r="K1226" i="1"/>
  <c r="R1226" i="1" s="1"/>
  <c r="J1226" i="1"/>
  <c r="H1226" i="1"/>
  <c r="G1226" i="1"/>
  <c r="F1226" i="1"/>
  <c r="E1226" i="1"/>
  <c r="C1226" i="1"/>
  <c r="D1226" i="1" s="1"/>
  <c r="I1226" i="1" s="1"/>
  <c r="B1226" i="1"/>
  <c r="A1226" i="1"/>
  <c r="T1225" i="1"/>
  <c r="S1225" i="1"/>
  <c r="Q1225" i="1"/>
  <c r="O1225" i="1"/>
  <c r="M1225" i="1"/>
  <c r="N1225" i="1" s="1"/>
  <c r="P1225" i="1" s="1"/>
  <c r="L1225" i="1"/>
  <c r="K1225" i="1"/>
  <c r="R1225" i="1" s="1"/>
  <c r="J1225" i="1"/>
  <c r="H1225" i="1"/>
  <c r="G1225" i="1"/>
  <c r="F1225" i="1"/>
  <c r="E1225" i="1"/>
  <c r="C1225" i="1"/>
  <c r="D1225" i="1" s="1"/>
  <c r="I1225" i="1" s="1"/>
  <c r="B1225" i="1"/>
  <c r="A1225" i="1"/>
  <c r="T1224" i="1"/>
  <c r="S1224" i="1"/>
  <c r="Q1224" i="1"/>
  <c r="O1224" i="1"/>
  <c r="M1224" i="1"/>
  <c r="N1224" i="1" s="1"/>
  <c r="P1224" i="1" s="1"/>
  <c r="L1224" i="1"/>
  <c r="K1224" i="1"/>
  <c r="R1224" i="1" s="1"/>
  <c r="J1224" i="1"/>
  <c r="H1224" i="1"/>
  <c r="G1224" i="1"/>
  <c r="F1224" i="1"/>
  <c r="E1224" i="1"/>
  <c r="C1224" i="1"/>
  <c r="D1224" i="1" s="1"/>
  <c r="I1224" i="1" s="1"/>
  <c r="B1224" i="1"/>
  <c r="A1224" i="1"/>
  <c r="T1223" i="1"/>
  <c r="S1223" i="1"/>
  <c r="Q1223" i="1"/>
  <c r="M1223" i="1"/>
  <c r="N1223" i="1" s="1"/>
  <c r="L1223" i="1"/>
  <c r="K1223" i="1"/>
  <c r="R1223" i="1" s="1"/>
  <c r="J1223" i="1"/>
  <c r="H1223" i="1"/>
  <c r="G1223" i="1"/>
  <c r="F1223" i="1"/>
  <c r="E1223" i="1"/>
  <c r="C1223" i="1"/>
  <c r="D1223" i="1" s="1"/>
  <c r="I1223" i="1" s="1"/>
  <c r="B1223" i="1"/>
  <c r="A1223" i="1"/>
  <c r="T1222" i="1"/>
  <c r="S1222" i="1"/>
  <c r="Q1222" i="1"/>
  <c r="M1222" i="1"/>
  <c r="N1222" i="1" s="1"/>
  <c r="P1222" i="1" s="1"/>
  <c r="L1222" i="1"/>
  <c r="K1222" i="1"/>
  <c r="R1222" i="1" s="1"/>
  <c r="J1222" i="1"/>
  <c r="H1222" i="1"/>
  <c r="G1222" i="1"/>
  <c r="F1222" i="1"/>
  <c r="E1222" i="1"/>
  <c r="C1222" i="1"/>
  <c r="D1222" i="1" s="1"/>
  <c r="I1222" i="1" s="1"/>
  <c r="B1222" i="1"/>
  <c r="A1222" i="1"/>
  <c r="T1221" i="1"/>
  <c r="S1221" i="1"/>
  <c r="Q1221" i="1"/>
  <c r="O1221" i="1"/>
  <c r="M1221" i="1"/>
  <c r="N1221" i="1" s="1"/>
  <c r="P1221" i="1" s="1"/>
  <c r="L1221" i="1"/>
  <c r="K1221" i="1"/>
  <c r="R1221" i="1" s="1"/>
  <c r="J1221" i="1"/>
  <c r="H1221" i="1"/>
  <c r="G1221" i="1"/>
  <c r="F1221" i="1"/>
  <c r="E1221" i="1"/>
  <c r="C1221" i="1"/>
  <c r="D1221" i="1" s="1"/>
  <c r="I1221" i="1" s="1"/>
  <c r="B1221" i="1"/>
  <c r="A1221" i="1"/>
  <c r="T1220" i="1"/>
  <c r="S1220" i="1"/>
  <c r="Q1220" i="1"/>
  <c r="O1220" i="1"/>
  <c r="M1220" i="1"/>
  <c r="N1220" i="1" s="1"/>
  <c r="P1220" i="1" s="1"/>
  <c r="L1220" i="1"/>
  <c r="K1220" i="1"/>
  <c r="R1220" i="1" s="1"/>
  <c r="J1220" i="1"/>
  <c r="H1220" i="1"/>
  <c r="G1220" i="1"/>
  <c r="F1220" i="1"/>
  <c r="E1220" i="1"/>
  <c r="C1220" i="1"/>
  <c r="D1220" i="1" s="1"/>
  <c r="I1220" i="1" s="1"/>
  <c r="B1220" i="1"/>
  <c r="A1220" i="1"/>
  <c r="T1219" i="1"/>
  <c r="S1219" i="1"/>
  <c r="Q1219" i="1"/>
  <c r="M1219" i="1"/>
  <c r="N1219" i="1" s="1"/>
  <c r="L1219" i="1"/>
  <c r="K1219" i="1"/>
  <c r="R1219" i="1" s="1"/>
  <c r="J1219" i="1"/>
  <c r="H1219" i="1"/>
  <c r="G1219" i="1"/>
  <c r="F1219" i="1"/>
  <c r="E1219" i="1"/>
  <c r="C1219" i="1"/>
  <c r="D1219" i="1" s="1"/>
  <c r="I1219" i="1" s="1"/>
  <c r="B1219" i="1"/>
  <c r="A1219" i="1"/>
  <c r="T1218" i="1"/>
  <c r="S1218" i="1"/>
  <c r="Q1218" i="1"/>
  <c r="M1218" i="1"/>
  <c r="N1218" i="1" s="1"/>
  <c r="P1218" i="1" s="1"/>
  <c r="L1218" i="1"/>
  <c r="K1218" i="1"/>
  <c r="R1218" i="1" s="1"/>
  <c r="J1218" i="1"/>
  <c r="H1218" i="1"/>
  <c r="G1218" i="1"/>
  <c r="F1218" i="1"/>
  <c r="E1218" i="1"/>
  <c r="C1218" i="1"/>
  <c r="D1218" i="1" s="1"/>
  <c r="I1218" i="1" s="1"/>
  <c r="B1218" i="1"/>
  <c r="A1218" i="1"/>
  <c r="T1217" i="1"/>
  <c r="S1217" i="1"/>
  <c r="Q1217" i="1"/>
  <c r="O1217" i="1"/>
  <c r="M1217" i="1"/>
  <c r="N1217" i="1" s="1"/>
  <c r="P1217" i="1" s="1"/>
  <c r="L1217" i="1"/>
  <c r="K1217" i="1"/>
  <c r="R1217" i="1" s="1"/>
  <c r="J1217" i="1"/>
  <c r="H1217" i="1"/>
  <c r="G1217" i="1"/>
  <c r="F1217" i="1"/>
  <c r="E1217" i="1"/>
  <c r="C1217" i="1"/>
  <c r="D1217" i="1" s="1"/>
  <c r="I1217" i="1" s="1"/>
  <c r="B1217" i="1"/>
  <c r="A1217" i="1"/>
  <c r="T1216" i="1"/>
  <c r="S1216" i="1"/>
  <c r="Q1216" i="1"/>
  <c r="O1216" i="1"/>
  <c r="M1216" i="1"/>
  <c r="N1216" i="1" s="1"/>
  <c r="P1216" i="1" s="1"/>
  <c r="L1216" i="1"/>
  <c r="K1216" i="1"/>
  <c r="R1216" i="1" s="1"/>
  <c r="J1216" i="1"/>
  <c r="H1216" i="1"/>
  <c r="G1216" i="1"/>
  <c r="F1216" i="1"/>
  <c r="E1216" i="1"/>
  <c r="C1216" i="1"/>
  <c r="D1216" i="1" s="1"/>
  <c r="I1216" i="1" s="1"/>
  <c r="B1216" i="1"/>
  <c r="A1216" i="1"/>
  <c r="T1215" i="1"/>
  <c r="S1215" i="1"/>
  <c r="Q1215" i="1"/>
  <c r="M1215" i="1"/>
  <c r="N1215" i="1" s="1"/>
  <c r="L1215" i="1"/>
  <c r="K1215" i="1"/>
  <c r="R1215" i="1" s="1"/>
  <c r="J1215" i="1"/>
  <c r="H1215" i="1"/>
  <c r="G1215" i="1"/>
  <c r="F1215" i="1"/>
  <c r="E1215" i="1"/>
  <c r="C1215" i="1"/>
  <c r="D1215" i="1" s="1"/>
  <c r="I1215" i="1" s="1"/>
  <c r="B1215" i="1"/>
  <c r="A1215" i="1"/>
  <c r="T1214" i="1"/>
  <c r="S1214" i="1"/>
  <c r="Q1214" i="1"/>
  <c r="M1214" i="1"/>
  <c r="N1214" i="1" s="1"/>
  <c r="P1214" i="1" s="1"/>
  <c r="L1214" i="1"/>
  <c r="K1214" i="1"/>
  <c r="R1214" i="1" s="1"/>
  <c r="J1214" i="1"/>
  <c r="H1214" i="1"/>
  <c r="G1214" i="1"/>
  <c r="F1214" i="1"/>
  <c r="E1214" i="1"/>
  <c r="C1214" i="1"/>
  <c r="D1214" i="1" s="1"/>
  <c r="I1214" i="1" s="1"/>
  <c r="B1214" i="1"/>
  <c r="A1214" i="1"/>
  <c r="T1213" i="1"/>
  <c r="S1213" i="1"/>
  <c r="Q1213" i="1"/>
  <c r="O1213" i="1"/>
  <c r="M1213" i="1"/>
  <c r="N1213" i="1" s="1"/>
  <c r="P1213" i="1" s="1"/>
  <c r="L1213" i="1"/>
  <c r="K1213" i="1"/>
  <c r="R1213" i="1" s="1"/>
  <c r="J1213" i="1"/>
  <c r="H1213" i="1"/>
  <c r="G1213" i="1"/>
  <c r="F1213" i="1"/>
  <c r="E1213" i="1"/>
  <c r="C1213" i="1"/>
  <c r="D1213" i="1" s="1"/>
  <c r="I1213" i="1" s="1"/>
  <c r="B1213" i="1"/>
  <c r="A1213" i="1"/>
  <c r="T1212" i="1"/>
  <c r="S1212" i="1"/>
  <c r="Q1212" i="1"/>
  <c r="O1212" i="1"/>
  <c r="M1212" i="1"/>
  <c r="N1212" i="1" s="1"/>
  <c r="P1212" i="1" s="1"/>
  <c r="L1212" i="1"/>
  <c r="K1212" i="1"/>
  <c r="R1212" i="1" s="1"/>
  <c r="J1212" i="1"/>
  <c r="H1212" i="1"/>
  <c r="G1212" i="1"/>
  <c r="F1212" i="1"/>
  <c r="E1212" i="1"/>
  <c r="C1212" i="1"/>
  <c r="D1212" i="1" s="1"/>
  <c r="I1212" i="1" s="1"/>
  <c r="B1212" i="1"/>
  <c r="A1212" i="1"/>
  <c r="T1211" i="1"/>
  <c r="S1211" i="1"/>
  <c r="Q1211" i="1"/>
  <c r="M1211" i="1"/>
  <c r="N1211" i="1" s="1"/>
  <c r="L1211" i="1"/>
  <c r="K1211" i="1"/>
  <c r="R1211" i="1" s="1"/>
  <c r="J1211" i="1"/>
  <c r="H1211" i="1"/>
  <c r="G1211" i="1"/>
  <c r="F1211" i="1"/>
  <c r="E1211" i="1"/>
  <c r="C1211" i="1"/>
  <c r="D1211" i="1" s="1"/>
  <c r="I1211" i="1" s="1"/>
  <c r="B1211" i="1"/>
  <c r="A1211" i="1"/>
  <c r="T1210" i="1"/>
  <c r="S1210" i="1"/>
  <c r="Q1210" i="1"/>
  <c r="M1210" i="1"/>
  <c r="N1210" i="1" s="1"/>
  <c r="P1210" i="1" s="1"/>
  <c r="L1210" i="1"/>
  <c r="K1210" i="1"/>
  <c r="R1210" i="1" s="1"/>
  <c r="J1210" i="1"/>
  <c r="H1210" i="1"/>
  <c r="G1210" i="1"/>
  <c r="F1210" i="1"/>
  <c r="E1210" i="1"/>
  <c r="C1210" i="1"/>
  <c r="D1210" i="1" s="1"/>
  <c r="I1210" i="1" s="1"/>
  <c r="B1210" i="1"/>
  <c r="A1210" i="1"/>
  <c r="T1209" i="1"/>
  <c r="S1209" i="1"/>
  <c r="Q1209" i="1"/>
  <c r="O1209" i="1"/>
  <c r="M1209" i="1"/>
  <c r="N1209" i="1" s="1"/>
  <c r="P1209" i="1" s="1"/>
  <c r="L1209" i="1"/>
  <c r="K1209" i="1"/>
  <c r="R1209" i="1" s="1"/>
  <c r="J1209" i="1"/>
  <c r="H1209" i="1"/>
  <c r="G1209" i="1"/>
  <c r="F1209" i="1"/>
  <c r="E1209" i="1"/>
  <c r="C1209" i="1"/>
  <c r="D1209" i="1" s="1"/>
  <c r="I1209" i="1" s="1"/>
  <c r="B1209" i="1"/>
  <c r="A1209" i="1"/>
  <c r="T1208" i="1"/>
  <c r="S1208" i="1"/>
  <c r="Q1208" i="1"/>
  <c r="O1208" i="1"/>
  <c r="M1208" i="1"/>
  <c r="N1208" i="1" s="1"/>
  <c r="P1208" i="1" s="1"/>
  <c r="L1208" i="1"/>
  <c r="K1208" i="1"/>
  <c r="R1208" i="1" s="1"/>
  <c r="J1208" i="1"/>
  <c r="H1208" i="1"/>
  <c r="G1208" i="1"/>
  <c r="F1208" i="1"/>
  <c r="E1208" i="1"/>
  <c r="C1208" i="1"/>
  <c r="D1208" i="1" s="1"/>
  <c r="I1208" i="1" s="1"/>
  <c r="B1208" i="1"/>
  <c r="A1208" i="1"/>
  <c r="T1207" i="1"/>
  <c r="S1207" i="1"/>
  <c r="Q1207" i="1"/>
  <c r="M1207" i="1"/>
  <c r="N1207" i="1" s="1"/>
  <c r="L1207" i="1"/>
  <c r="K1207" i="1"/>
  <c r="R1207" i="1" s="1"/>
  <c r="J1207" i="1"/>
  <c r="H1207" i="1"/>
  <c r="G1207" i="1"/>
  <c r="F1207" i="1"/>
  <c r="E1207" i="1"/>
  <c r="C1207" i="1"/>
  <c r="D1207" i="1" s="1"/>
  <c r="I1207" i="1" s="1"/>
  <c r="B1207" i="1"/>
  <c r="A1207" i="1"/>
  <c r="T1206" i="1"/>
  <c r="S1206" i="1"/>
  <c r="Q1206" i="1"/>
  <c r="M1206" i="1"/>
  <c r="N1206" i="1" s="1"/>
  <c r="P1206" i="1" s="1"/>
  <c r="L1206" i="1"/>
  <c r="K1206" i="1"/>
  <c r="R1206" i="1" s="1"/>
  <c r="J1206" i="1"/>
  <c r="H1206" i="1"/>
  <c r="G1206" i="1"/>
  <c r="F1206" i="1"/>
  <c r="E1206" i="1"/>
  <c r="C1206" i="1"/>
  <c r="D1206" i="1" s="1"/>
  <c r="I1206" i="1" s="1"/>
  <c r="B1206" i="1"/>
  <c r="A1206" i="1"/>
  <c r="T1205" i="1"/>
  <c r="S1205" i="1"/>
  <c r="Q1205" i="1"/>
  <c r="O1205" i="1"/>
  <c r="M1205" i="1"/>
  <c r="N1205" i="1" s="1"/>
  <c r="P1205" i="1" s="1"/>
  <c r="L1205" i="1"/>
  <c r="K1205" i="1"/>
  <c r="R1205" i="1" s="1"/>
  <c r="J1205" i="1"/>
  <c r="H1205" i="1"/>
  <c r="G1205" i="1"/>
  <c r="F1205" i="1"/>
  <c r="E1205" i="1"/>
  <c r="C1205" i="1"/>
  <c r="D1205" i="1" s="1"/>
  <c r="I1205" i="1" s="1"/>
  <c r="B1205" i="1"/>
  <c r="A1205" i="1"/>
  <c r="T1204" i="1"/>
  <c r="S1204" i="1"/>
  <c r="Q1204" i="1"/>
  <c r="O1204" i="1"/>
  <c r="M1204" i="1"/>
  <c r="N1204" i="1" s="1"/>
  <c r="P1204" i="1" s="1"/>
  <c r="L1204" i="1"/>
  <c r="K1204" i="1"/>
  <c r="R1204" i="1" s="1"/>
  <c r="J1204" i="1"/>
  <c r="H1204" i="1"/>
  <c r="G1204" i="1"/>
  <c r="F1204" i="1"/>
  <c r="E1204" i="1"/>
  <c r="C1204" i="1"/>
  <c r="D1204" i="1" s="1"/>
  <c r="I1204" i="1" s="1"/>
  <c r="B1204" i="1"/>
  <c r="A1204" i="1"/>
  <c r="T1203" i="1"/>
  <c r="S1203" i="1"/>
  <c r="Q1203" i="1"/>
  <c r="M1203" i="1"/>
  <c r="N1203" i="1" s="1"/>
  <c r="L1203" i="1"/>
  <c r="K1203" i="1"/>
  <c r="R1203" i="1" s="1"/>
  <c r="J1203" i="1"/>
  <c r="H1203" i="1"/>
  <c r="G1203" i="1"/>
  <c r="F1203" i="1"/>
  <c r="E1203" i="1"/>
  <c r="C1203" i="1"/>
  <c r="D1203" i="1" s="1"/>
  <c r="I1203" i="1" s="1"/>
  <c r="B1203" i="1"/>
  <c r="A1203" i="1"/>
  <c r="T1202" i="1"/>
  <c r="S1202" i="1"/>
  <c r="Q1202" i="1"/>
  <c r="M1202" i="1"/>
  <c r="N1202" i="1" s="1"/>
  <c r="P1202" i="1" s="1"/>
  <c r="L1202" i="1"/>
  <c r="K1202" i="1"/>
  <c r="R1202" i="1" s="1"/>
  <c r="J1202" i="1"/>
  <c r="H1202" i="1"/>
  <c r="G1202" i="1"/>
  <c r="F1202" i="1"/>
  <c r="E1202" i="1"/>
  <c r="C1202" i="1"/>
  <c r="D1202" i="1" s="1"/>
  <c r="I1202" i="1" s="1"/>
  <c r="B1202" i="1"/>
  <c r="A1202" i="1"/>
  <c r="T1201" i="1"/>
  <c r="S1201" i="1"/>
  <c r="Q1201" i="1"/>
  <c r="O1201" i="1"/>
  <c r="M1201" i="1"/>
  <c r="N1201" i="1" s="1"/>
  <c r="P1201" i="1" s="1"/>
  <c r="L1201" i="1"/>
  <c r="K1201" i="1"/>
  <c r="R1201" i="1" s="1"/>
  <c r="J1201" i="1"/>
  <c r="H1201" i="1"/>
  <c r="G1201" i="1"/>
  <c r="F1201" i="1"/>
  <c r="E1201" i="1"/>
  <c r="C1201" i="1"/>
  <c r="D1201" i="1" s="1"/>
  <c r="I1201" i="1" s="1"/>
  <c r="B1201" i="1"/>
  <c r="A1201" i="1"/>
  <c r="T1200" i="1"/>
  <c r="S1200" i="1"/>
  <c r="Q1200" i="1"/>
  <c r="O1200" i="1"/>
  <c r="M1200" i="1"/>
  <c r="N1200" i="1" s="1"/>
  <c r="P1200" i="1" s="1"/>
  <c r="L1200" i="1"/>
  <c r="K1200" i="1"/>
  <c r="R1200" i="1" s="1"/>
  <c r="J1200" i="1"/>
  <c r="H1200" i="1"/>
  <c r="G1200" i="1"/>
  <c r="F1200" i="1"/>
  <c r="E1200" i="1"/>
  <c r="C1200" i="1"/>
  <c r="D1200" i="1" s="1"/>
  <c r="I1200" i="1" s="1"/>
  <c r="B1200" i="1"/>
  <c r="A1200" i="1"/>
  <c r="T1199" i="1"/>
  <c r="S1199" i="1"/>
  <c r="Q1199" i="1"/>
  <c r="M1199" i="1"/>
  <c r="N1199" i="1" s="1"/>
  <c r="L1199" i="1"/>
  <c r="K1199" i="1"/>
  <c r="R1199" i="1" s="1"/>
  <c r="J1199" i="1"/>
  <c r="H1199" i="1"/>
  <c r="G1199" i="1"/>
  <c r="F1199" i="1"/>
  <c r="E1199" i="1"/>
  <c r="C1199" i="1"/>
  <c r="D1199" i="1" s="1"/>
  <c r="I1199" i="1" s="1"/>
  <c r="B1199" i="1"/>
  <c r="A1199" i="1"/>
  <c r="T1198" i="1"/>
  <c r="S1198" i="1"/>
  <c r="Q1198" i="1"/>
  <c r="M1198" i="1"/>
  <c r="N1198" i="1" s="1"/>
  <c r="P1198" i="1" s="1"/>
  <c r="L1198" i="1"/>
  <c r="K1198" i="1"/>
  <c r="R1198" i="1" s="1"/>
  <c r="J1198" i="1"/>
  <c r="H1198" i="1"/>
  <c r="G1198" i="1"/>
  <c r="F1198" i="1"/>
  <c r="E1198" i="1"/>
  <c r="C1198" i="1"/>
  <c r="D1198" i="1" s="1"/>
  <c r="I1198" i="1" s="1"/>
  <c r="B1198" i="1"/>
  <c r="A1198" i="1"/>
  <c r="T1197" i="1"/>
  <c r="S1197" i="1"/>
  <c r="Q1197" i="1"/>
  <c r="O1197" i="1"/>
  <c r="M1197" i="1"/>
  <c r="N1197" i="1" s="1"/>
  <c r="P1197" i="1" s="1"/>
  <c r="L1197" i="1"/>
  <c r="K1197" i="1"/>
  <c r="R1197" i="1" s="1"/>
  <c r="J1197" i="1"/>
  <c r="H1197" i="1"/>
  <c r="G1197" i="1"/>
  <c r="F1197" i="1"/>
  <c r="E1197" i="1"/>
  <c r="C1197" i="1"/>
  <c r="D1197" i="1" s="1"/>
  <c r="I1197" i="1" s="1"/>
  <c r="B1197" i="1"/>
  <c r="A1197" i="1"/>
  <c r="T1196" i="1"/>
  <c r="S1196" i="1"/>
  <c r="Q1196" i="1"/>
  <c r="O1196" i="1"/>
  <c r="M1196" i="1"/>
  <c r="N1196" i="1" s="1"/>
  <c r="P1196" i="1" s="1"/>
  <c r="L1196" i="1"/>
  <c r="K1196" i="1"/>
  <c r="R1196" i="1" s="1"/>
  <c r="J1196" i="1"/>
  <c r="H1196" i="1"/>
  <c r="G1196" i="1"/>
  <c r="F1196" i="1"/>
  <c r="E1196" i="1"/>
  <c r="C1196" i="1"/>
  <c r="D1196" i="1" s="1"/>
  <c r="I1196" i="1" s="1"/>
  <c r="B1196" i="1"/>
  <c r="A1196" i="1"/>
  <c r="T1195" i="1"/>
  <c r="S1195" i="1"/>
  <c r="Q1195" i="1"/>
  <c r="M1195" i="1"/>
  <c r="N1195" i="1" s="1"/>
  <c r="L1195" i="1"/>
  <c r="K1195" i="1"/>
  <c r="R1195" i="1" s="1"/>
  <c r="J1195" i="1"/>
  <c r="H1195" i="1"/>
  <c r="G1195" i="1"/>
  <c r="F1195" i="1"/>
  <c r="E1195" i="1"/>
  <c r="C1195" i="1"/>
  <c r="D1195" i="1" s="1"/>
  <c r="I1195" i="1" s="1"/>
  <c r="B1195" i="1"/>
  <c r="A1195" i="1"/>
  <c r="T1194" i="1"/>
  <c r="S1194" i="1"/>
  <c r="Q1194" i="1"/>
  <c r="M1194" i="1"/>
  <c r="N1194" i="1" s="1"/>
  <c r="P1194" i="1" s="1"/>
  <c r="L1194" i="1"/>
  <c r="K1194" i="1"/>
  <c r="R1194" i="1" s="1"/>
  <c r="J1194" i="1"/>
  <c r="H1194" i="1"/>
  <c r="G1194" i="1"/>
  <c r="F1194" i="1"/>
  <c r="E1194" i="1"/>
  <c r="C1194" i="1"/>
  <c r="D1194" i="1" s="1"/>
  <c r="I1194" i="1" s="1"/>
  <c r="B1194" i="1"/>
  <c r="A1194" i="1"/>
  <c r="T1193" i="1"/>
  <c r="S1193" i="1"/>
  <c r="Q1193" i="1"/>
  <c r="O1193" i="1"/>
  <c r="M1193" i="1"/>
  <c r="N1193" i="1" s="1"/>
  <c r="P1193" i="1" s="1"/>
  <c r="L1193" i="1"/>
  <c r="K1193" i="1"/>
  <c r="R1193" i="1" s="1"/>
  <c r="J1193" i="1"/>
  <c r="H1193" i="1"/>
  <c r="G1193" i="1"/>
  <c r="F1193" i="1"/>
  <c r="E1193" i="1"/>
  <c r="C1193" i="1"/>
  <c r="D1193" i="1" s="1"/>
  <c r="I1193" i="1" s="1"/>
  <c r="B1193" i="1"/>
  <c r="A1193" i="1"/>
  <c r="T1192" i="1"/>
  <c r="S1192" i="1"/>
  <c r="Q1192" i="1"/>
  <c r="O1192" i="1"/>
  <c r="M1192" i="1"/>
  <c r="N1192" i="1" s="1"/>
  <c r="P1192" i="1" s="1"/>
  <c r="L1192" i="1"/>
  <c r="K1192" i="1"/>
  <c r="R1192" i="1" s="1"/>
  <c r="J1192" i="1"/>
  <c r="H1192" i="1"/>
  <c r="G1192" i="1"/>
  <c r="F1192" i="1"/>
  <c r="E1192" i="1"/>
  <c r="C1192" i="1"/>
  <c r="D1192" i="1" s="1"/>
  <c r="I1192" i="1" s="1"/>
  <c r="B1192" i="1"/>
  <c r="A1192" i="1"/>
  <c r="T1191" i="1"/>
  <c r="S1191" i="1"/>
  <c r="Q1191" i="1"/>
  <c r="M1191" i="1"/>
  <c r="N1191" i="1" s="1"/>
  <c r="L1191" i="1"/>
  <c r="K1191" i="1"/>
  <c r="R1191" i="1" s="1"/>
  <c r="J1191" i="1"/>
  <c r="I1191" i="1"/>
  <c r="H1191" i="1"/>
  <c r="G1191" i="1"/>
  <c r="F1191" i="1"/>
  <c r="E1191" i="1"/>
  <c r="C1191" i="1"/>
  <c r="D1191" i="1" s="1"/>
  <c r="B1191" i="1"/>
  <c r="A1191" i="1"/>
  <c r="T1190" i="1"/>
  <c r="S1190" i="1"/>
  <c r="Q1190" i="1"/>
  <c r="M1190" i="1"/>
  <c r="N1190" i="1" s="1"/>
  <c r="L1190" i="1"/>
  <c r="K1190" i="1"/>
  <c r="R1190" i="1" s="1"/>
  <c r="J1190" i="1"/>
  <c r="I1190" i="1"/>
  <c r="H1190" i="1"/>
  <c r="G1190" i="1"/>
  <c r="F1190" i="1"/>
  <c r="E1190" i="1"/>
  <c r="C1190" i="1"/>
  <c r="D1190" i="1" s="1"/>
  <c r="B1190" i="1"/>
  <c r="A1190" i="1"/>
  <c r="T1189" i="1"/>
  <c r="S1189" i="1"/>
  <c r="Q1189" i="1"/>
  <c r="M1189" i="1"/>
  <c r="N1189" i="1" s="1"/>
  <c r="L1189" i="1"/>
  <c r="K1189" i="1"/>
  <c r="R1189" i="1" s="1"/>
  <c r="J1189" i="1"/>
  <c r="I1189" i="1"/>
  <c r="H1189" i="1"/>
  <c r="G1189" i="1"/>
  <c r="F1189" i="1"/>
  <c r="E1189" i="1"/>
  <c r="C1189" i="1"/>
  <c r="D1189" i="1" s="1"/>
  <c r="B1189" i="1"/>
  <c r="A1189" i="1"/>
  <c r="T1188" i="1"/>
  <c r="S1188" i="1"/>
  <c r="Q1188" i="1"/>
  <c r="M1188" i="1"/>
  <c r="N1188" i="1" s="1"/>
  <c r="L1188" i="1"/>
  <c r="K1188" i="1"/>
  <c r="R1188" i="1" s="1"/>
  <c r="J1188" i="1"/>
  <c r="I1188" i="1"/>
  <c r="H1188" i="1"/>
  <c r="G1188" i="1"/>
  <c r="F1188" i="1"/>
  <c r="E1188" i="1"/>
  <c r="C1188" i="1"/>
  <c r="D1188" i="1" s="1"/>
  <c r="B1188" i="1"/>
  <c r="A1188" i="1"/>
  <c r="T1187" i="1"/>
  <c r="S1187" i="1"/>
  <c r="Q1187" i="1"/>
  <c r="M1187" i="1"/>
  <c r="N1187" i="1" s="1"/>
  <c r="L1187" i="1"/>
  <c r="K1187" i="1"/>
  <c r="R1187" i="1" s="1"/>
  <c r="J1187" i="1"/>
  <c r="I1187" i="1"/>
  <c r="H1187" i="1"/>
  <c r="G1187" i="1"/>
  <c r="F1187" i="1"/>
  <c r="E1187" i="1"/>
  <c r="C1187" i="1"/>
  <c r="D1187" i="1" s="1"/>
  <c r="B1187" i="1"/>
  <c r="A1187" i="1"/>
  <c r="T1186" i="1"/>
  <c r="S1186" i="1"/>
  <c r="Q1186" i="1"/>
  <c r="M1186" i="1"/>
  <c r="N1186" i="1" s="1"/>
  <c r="L1186" i="1"/>
  <c r="K1186" i="1"/>
  <c r="R1186" i="1" s="1"/>
  <c r="J1186" i="1"/>
  <c r="I1186" i="1"/>
  <c r="H1186" i="1"/>
  <c r="G1186" i="1"/>
  <c r="F1186" i="1"/>
  <c r="E1186" i="1"/>
  <c r="C1186" i="1"/>
  <c r="D1186" i="1" s="1"/>
  <c r="B1186" i="1"/>
  <c r="A1186" i="1"/>
  <c r="T1185" i="1"/>
  <c r="S1185" i="1"/>
  <c r="Q1185" i="1"/>
  <c r="M1185" i="1"/>
  <c r="N1185" i="1" s="1"/>
  <c r="L1185" i="1"/>
  <c r="K1185" i="1"/>
  <c r="R1185" i="1" s="1"/>
  <c r="J1185" i="1"/>
  <c r="I1185" i="1"/>
  <c r="H1185" i="1"/>
  <c r="G1185" i="1"/>
  <c r="F1185" i="1"/>
  <c r="E1185" i="1"/>
  <c r="C1185" i="1"/>
  <c r="D1185" i="1" s="1"/>
  <c r="B1185" i="1"/>
  <c r="A1185" i="1"/>
  <c r="T1184" i="1"/>
  <c r="S1184" i="1"/>
  <c r="Q1184" i="1"/>
  <c r="M1184" i="1"/>
  <c r="N1184" i="1" s="1"/>
  <c r="L1184" i="1"/>
  <c r="K1184" i="1"/>
  <c r="R1184" i="1" s="1"/>
  <c r="J1184" i="1"/>
  <c r="I1184" i="1"/>
  <c r="H1184" i="1"/>
  <c r="G1184" i="1"/>
  <c r="F1184" i="1"/>
  <c r="E1184" i="1"/>
  <c r="C1184" i="1"/>
  <c r="D1184" i="1" s="1"/>
  <c r="B1184" i="1"/>
  <c r="A1184" i="1"/>
  <c r="T1183" i="1"/>
  <c r="S1183" i="1"/>
  <c r="Q1183" i="1"/>
  <c r="M1183" i="1"/>
  <c r="N1183" i="1" s="1"/>
  <c r="L1183" i="1"/>
  <c r="K1183" i="1"/>
  <c r="R1183" i="1" s="1"/>
  <c r="J1183" i="1"/>
  <c r="I1183" i="1"/>
  <c r="H1183" i="1"/>
  <c r="G1183" i="1"/>
  <c r="F1183" i="1"/>
  <c r="E1183" i="1"/>
  <c r="C1183" i="1"/>
  <c r="D1183" i="1" s="1"/>
  <c r="B1183" i="1"/>
  <c r="A1183" i="1"/>
  <c r="T1182" i="1"/>
  <c r="S1182" i="1"/>
  <c r="Q1182" i="1"/>
  <c r="M1182" i="1"/>
  <c r="N1182" i="1" s="1"/>
  <c r="L1182" i="1"/>
  <c r="K1182" i="1"/>
  <c r="R1182" i="1" s="1"/>
  <c r="J1182" i="1"/>
  <c r="I1182" i="1"/>
  <c r="H1182" i="1"/>
  <c r="G1182" i="1"/>
  <c r="F1182" i="1"/>
  <c r="E1182" i="1"/>
  <c r="C1182" i="1"/>
  <c r="D1182" i="1" s="1"/>
  <c r="B1182" i="1"/>
  <c r="A1182" i="1"/>
  <c r="T1181" i="1"/>
  <c r="S1181" i="1"/>
  <c r="Q1181" i="1"/>
  <c r="M1181" i="1"/>
  <c r="N1181" i="1" s="1"/>
  <c r="L1181" i="1"/>
  <c r="K1181" i="1"/>
  <c r="J1181" i="1"/>
  <c r="I1181" i="1"/>
  <c r="H1181" i="1"/>
  <c r="G1181" i="1"/>
  <c r="F1181" i="1"/>
  <c r="E1181" i="1"/>
  <c r="C1181" i="1"/>
  <c r="D1181" i="1" s="1"/>
  <c r="B1181" i="1"/>
  <c r="A1181" i="1"/>
  <c r="T1180" i="1"/>
  <c r="S1180" i="1"/>
  <c r="Q1180" i="1"/>
  <c r="M1180" i="1"/>
  <c r="L1180" i="1"/>
  <c r="K1180" i="1"/>
  <c r="R1180" i="1" s="1"/>
  <c r="J1180" i="1"/>
  <c r="H1180" i="1"/>
  <c r="G1180" i="1"/>
  <c r="F1180" i="1"/>
  <c r="E1180" i="1"/>
  <c r="C1180" i="1"/>
  <c r="D1180" i="1" s="1"/>
  <c r="I1180" i="1" s="1"/>
  <c r="B1180" i="1"/>
  <c r="N1180" i="1" s="1"/>
  <c r="P1180" i="1" s="1"/>
  <c r="A1180" i="1"/>
  <c r="T1179" i="1"/>
  <c r="S1179" i="1"/>
  <c r="R1179" i="1"/>
  <c r="Q1179" i="1"/>
  <c r="M1179" i="1"/>
  <c r="N1179" i="1" s="1"/>
  <c r="L1179" i="1"/>
  <c r="K1179" i="1"/>
  <c r="J1179" i="1"/>
  <c r="I1179" i="1"/>
  <c r="H1179" i="1"/>
  <c r="G1179" i="1"/>
  <c r="F1179" i="1"/>
  <c r="E1179" i="1"/>
  <c r="C1179" i="1"/>
  <c r="D1179" i="1" s="1"/>
  <c r="B1179" i="1"/>
  <c r="A1179" i="1"/>
  <c r="T1178" i="1"/>
  <c r="S1178" i="1"/>
  <c r="Q1178" i="1"/>
  <c r="O1178" i="1"/>
  <c r="M1178" i="1"/>
  <c r="L1178" i="1"/>
  <c r="K1178" i="1"/>
  <c r="R1178" i="1" s="1"/>
  <c r="J1178" i="1"/>
  <c r="H1178" i="1"/>
  <c r="G1178" i="1"/>
  <c r="F1178" i="1"/>
  <c r="E1178" i="1"/>
  <c r="C1178" i="1"/>
  <c r="D1178" i="1" s="1"/>
  <c r="I1178" i="1" s="1"/>
  <c r="B1178" i="1"/>
  <c r="N1178" i="1" s="1"/>
  <c r="P1178" i="1" s="1"/>
  <c r="A1178" i="1"/>
  <c r="T1177" i="1"/>
  <c r="S1177" i="1"/>
  <c r="R1177" i="1"/>
  <c r="Q1177" i="1"/>
  <c r="M1177" i="1"/>
  <c r="N1177" i="1" s="1"/>
  <c r="L1177" i="1"/>
  <c r="K1177" i="1"/>
  <c r="J1177" i="1"/>
  <c r="I1177" i="1"/>
  <c r="H1177" i="1"/>
  <c r="G1177" i="1"/>
  <c r="F1177" i="1"/>
  <c r="E1177" i="1"/>
  <c r="C1177" i="1"/>
  <c r="D1177" i="1" s="1"/>
  <c r="B1177" i="1"/>
  <c r="A1177" i="1"/>
  <c r="T1176" i="1"/>
  <c r="S1176" i="1"/>
  <c r="Q1176" i="1"/>
  <c r="O1176" i="1"/>
  <c r="M1176" i="1"/>
  <c r="L1176" i="1"/>
  <c r="K1176" i="1"/>
  <c r="R1176" i="1" s="1"/>
  <c r="J1176" i="1"/>
  <c r="H1176" i="1"/>
  <c r="G1176" i="1"/>
  <c r="F1176" i="1"/>
  <c r="E1176" i="1"/>
  <c r="C1176" i="1"/>
  <c r="D1176" i="1" s="1"/>
  <c r="I1176" i="1" s="1"/>
  <c r="B1176" i="1"/>
  <c r="N1176" i="1" s="1"/>
  <c r="P1176" i="1" s="1"/>
  <c r="A1176" i="1"/>
  <c r="T1175" i="1"/>
  <c r="S1175" i="1"/>
  <c r="R1175" i="1"/>
  <c r="Q1175" i="1"/>
  <c r="M1175" i="1"/>
  <c r="N1175" i="1" s="1"/>
  <c r="L1175" i="1"/>
  <c r="K1175" i="1"/>
  <c r="J1175" i="1"/>
  <c r="I1175" i="1"/>
  <c r="H1175" i="1"/>
  <c r="G1175" i="1"/>
  <c r="F1175" i="1"/>
  <c r="E1175" i="1"/>
  <c r="C1175" i="1"/>
  <c r="D1175" i="1" s="1"/>
  <c r="B1175" i="1"/>
  <c r="A1175" i="1"/>
  <c r="T1174" i="1"/>
  <c r="S1174" i="1"/>
  <c r="Q1174" i="1"/>
  <c r="M1174" i="1"/>
  <c r="L1174" i="1"/>
  <c r="K1174" i="1"/>
  <c r="R1174" i="1" s="1"/>
  <c r="J1174" i="1"/>
  <c r="H1174" i="1"/>
  <c r="G1174" i="1"/>
  <c r="F1174" i="1"/>
  <c r="E1174" i="1"/>
  <c r="C1174" i="1"/>
  <c r="D1174" i="1" s="1"/>
  <c r="I1174" i="1" s="1"/>
  <c r="B1174" i="1"/>
  <c r="N1174" i="1" s="1"/>
  <c r="A1174" i="1"/>
  <c r="T1173" i="1"/>
  <c r="S1173" i="1"/>
  <c r="R1173" i="1"/>
  <c r="Q1173" i="1"/>
  <c r="M1173" i="1"/>
  <c r="N1173" i="1" s="1"/>
  <c r="L1173" i="1"/>
  <c r="K1173" i="1"/>
  <c r="J1173" i="1"/>
  <c r="I1173" i="1"/>
  <c r="H1173" i="1"/>
  <c r="G1173" i="1"/>
  <c r="F1173" i="1"/>
  <c r="E1173" i="1"/>
  <c r="C1173" i="1"/>
  <c r="D1173" i="1" s="1"/>
  <c r="B1173" i="1"/>
  <c r="A1173" i="1"/>
  <c r="T1172" i="1"/>
  <c r="S1172" i="1"/>
  <c r="Q1172" i="1"/>
  <c r="M1172" i="1"/>
  <c r="L1172" i="1"/>
  <c r="K1172" i="1"/>
  <c r="R1172" i="1" s="1"/>
  <c r="J1172" i="1"/>
  <c r="H1172" i="1"/>
  <c r="G1172" i="1"/>
  <c r="F1172" i="1"/>
  <c r="E1172" i="1"/>
  <c r="C1172" i="1"/>
  <c r="D1172" i="1" s="1"/>
  <c r="I1172" i="1" s="1"/>
  <c r="B1172" i="1"/>
  <c r="N1172" i="1" s="1"/>
  <c r="P1172" i="1" s="1"/>
  <c r="A1172" i="1"/>
  <c r="T1171" i="1"/>
  <c r="S1171" i="1"/>
  <c r="R1171" i="1"/>
  <c r="Q1171" i="1"/>
  <c r="M1171" i="1"/>
  <c r="N1171" i="1" s="1"/>
  <c r="L1171" i="1"/>
  <c r="K1171" i="1"/>
  <c r="J1171" i="1"/>
  <c r="I1171" i="1"/>
  <c r="H1171" i="1"/>
  <c r="G1171" i="1"/>
  <c r="F1171" i="1"/>
  <c r="E1171" i="1"/>
  <c r="C1171" i="1"/>
  <c r="D1171" i="1" s="1"/>
  <c r="B1171" i="1"/>
  <c r="A1171" i="1"/>
  <c r="T1170" i="1"/>
  <c r="S1170" i="1"/>
  <c r="Q1170" i="1"/>
  <c r="O1170" i="1"/>
  <c r="M1170" i="1"/>
  <c r="L1170" i="1"/>
  <c r="K1170" i="1"/>
  <c r="R1170" i="1" s="1"/>
  <c r="J1170" i="1"/>
  <c r="H1170" i="1"/>
  <c r="G1170" i="1"/>
  <c r="F1170" i="1"/>
  <c r="E1170" i="1"/>
  <c r="C1170" i="1"/>
  <c r="D1170" i="1" s="1"/>
  <c r="I1170" i="1" s="1"/>
  <c r="B1170" i="1"/>
  <c r="N1170" i="1" s="1"/>
  <c r="P1170" i="1" s="1"/>
  <c r="A1170" i="1"/>
  <c r="T1169" i="1"/>
  <c r="S1169" i="1"/>
  <c r="R1169" i="1"/>
  <c r="Q1169" i="1"/>
  <c r="M1169" i="1"/>
  <c r="N1169" i="1" s="1"/>
  <c r="L1169" i="1"/>
  <c r="K1169" i="1"/>
  <c r="J1169" i="1"/>
  <c r="I1169" i="1"/>
  <c r="H1169" i="1"/>
  <c r="G1169" i="1"/>
  <c r="F1169" i="1"/>
  <c r="E1169" i="1"/>
  <c r="C1169" i="1"/>
  <c r="D1169" i="1" s="1"/>
  <c r="B1169" i="1"/>
  <c r="A1169" i="1"/>
  <c r="T1168" i="1"/>
  <c r="S1168" i="1"/>
  <c r="Q1168" i="1"/>
  <c r="O1168" i="1"/>
  <c r="M1168" i="1"/>
  <c r="L1168" i="1"/>
  <c r="K1168" i="1"/>
  <c r="R1168" i="1" s="1"/>
  <c r="J1168" i="1"/>
  <c r="H1168" i="1"/>
  <c r="G1168" i="1"/>
  <c r="F1168" i="1"/>
  <c r="E1168" i="1"/>
  <c r="C1168" i="1"/>
  <c r="D1168" i="1" s="1"/>
  <c r="I1168" i="1" s="1"/>
  <c r="B1168" i="1"/>
  <c r="N1168" i="1" s="1"/>
  <c r="P1168" i="1" s="1"/>
  <c r="A1168" i="1"/>
  <c r="T1167" i="1"/>
  <c r="S1167" i="1"/>
  <c r="R1167" i="1"/>
  <c r="Q1167" i="1"/>
  <c r="M1167" i="1"/>
  <c r="N1167" i="1" s="1"/>
  <c r="L1167" i="1"/>
  <c r="K1167" i="1"/>
  <c r="J1167" i="1"/>
  <c r="I1167" i="1"/>
  <c r="H1167" i="1"/>
  <c r="G1167" i="1"/>
  <c r="F1167" i="1"/>
  <c r="E1167" i="1"/>
  <c r="C1167" i="1"/>
  <c r="D1167" i="1" s="1"/>
  <c r="B1167" i="1"/>
  <c r="A1167" i="1"/>
  <c r="T1166" i="1"/>
  <c r="S1166" i="1"/>
  <c r="Q1166" i="1"/>
  <c r="M1166" i="1"/>
  <c r="L1166" i="1"/>
  <c r="K1166" i="1"/>
  <c r="R1166" i="1" s="1"/>
  <c r="J1166" i="1"/>
  <c r="H1166" i="1"/>
  <c r="G1166" i="1"/>
  <c r="F1166" i="1"/>
  <c r="E1166" i="1"/>
  <c r="C1166" i="1"/>
  <c r="D1166" i="1" s="1"/>
  <c r="I1166" i="1" s="1"/>
  <c r="B1166" i="1"/>
  <c r="N1166" i="1" s="1"/>
  <c r="A1166" i="1"/>
  <c r="T1165" i="1"/>
  <c r="S1165" i="1"/>
  <c r="R1165" i="1"/>
  <c r="Q1165" i="1"/>
  <c r="M1165" i="1"/>
  <c r="N1165" i="1" s="1"/>
  <c r="L1165" i="1"/>
  <c r="K1165" i="1"/>
  <c r="J1165" i="1"/>
  <c r="I1165" i="1"/>
  <c r="H1165" i="1"/>
  <c r="G1165" i="1"/>
  <c r="F1165" i="1"/>
  <c r="E1165" i="1"/>
  <c r="C1165" i="1"/>
  <c r="D1165" i="1" s="1"/>
  <c r="B1165" i="1"/>
  <c r="A1165" i="1"/>
  <c r="T1164" i="1"/>
  <c r="S1164" i="1"/>
  <c r="Q1164" i="1"/>
  <c r="M1164" i="1"/>
  <c r="L1164" i="1"/>
  <c r="K1164" i="1"/>
  <c r="R1164" i="1" s="1"/>
  <c r="J1164" i="1"/>
  <c r="H1164" i="1"/>
  <c r="G1164" i="1"/>
  <c r="F1164" i="1"/>
  <c r="E1164" i="1"/>
  <c r="C1164" i="1"/>
  <c r="D1164" i="1" s="1"/>
  <c r="I1164" i="1" s="1"/>
  <c r="B1164" i="1"/>
  <c r="N1164" i="1" s="1"/>
  <c r="P1164" i="1" s="1"/>
  <c r="A1164" i="1"/>
  <c r="T1163" i="1"/>
  <c r="S1163" i="1"/>
  <c r="R1163" i="1"/>
  <c r="Q1163" i="1"/>
  <c r="M1163" i="1"/>
  <c r="N1163" i="1" s="1"/>
  <c r="L1163" i="1"/>
  <c r="K1163" i="1"/>
  <c r="J1163" i="1"/>
  <c r="I1163" i="1"/>
  <c r="H1163" i="1"/>
  <c r="G1163" i="1"/>
  <c r="F1163" i="1"/>
  <c r="E1163" i="1"/>
  <c r="C1163" i="1"/>
  <c r="D1163" i="1" s="1"/>
  <c r="B1163" i="1"/>
  <c r="A1163" i="1"/>
  <c r="T1162" i="1"/>
  <c r="S1162" i="1"/>
  <c r="Q1162" i="1"/>
  <c r="O1162" i="1"/>
  <c r="M1162" i="1"/>
  <c r="L1162" i="1"/>
  <c r="K1162" i="1"/>
  <c r="R1162" i="1" s="1"/>
  <c r="J1162" i="1"/>
  <c r="H1162" i="1"/>
  <c r="G1162" i="1"/>
  <c r="F1162" i="1"/>
  <c r="E1162" i="1"/>
  <c r="C1162" i="1"/>
  <c r="D1162" i="1" s="1"/>
  <c r="I1162" i="1" s="1"/>
  <c r="B1162" i="1"/>
  <c r="N1162" i="1" s="1"/>
  <c r="P1162" i="1" s="1"/>
  <c r="A1162" i="1"/>
  <c r="T1161" i="1"/>
  <c r="S1161" i="1"/>
  <c r="R1161" i="1"/>
  <c r="Q1161" i="1"/>
  <c r="M1161" i="1"/>
  <c r="N1161" i="1" s="1"/>
  <c r="L1161" i="1"/>
  <c r="K1161" i="1"/>
  <c r="J1161" i="1"/>
  <c r="I1161" i="1"/>
  <c r="H1161" i="1"/>
  <c r="G1161" i="1"/>
  <c r="F1161" i="1"/>
  <c r="E1161" i="1"/>
  <c r="C1161" i="1"/>
  <c r="D1161" i="1" s="1"/>
  <c r="B1161" i="1"/>
  <c r="A1161" i="1"/>
  <c r="T1160" i="1"/>
  <c r="S1160" i="1"/>
  <c r="Q1160" i="1"/>
  <c r="O1160" i="1"/>
  <c r="M1160" i="1"/>
  <c r="L1160" i="1"/>
  <c r="K1160" i="1"/>
  <c r="R1160" i="1" s="1"/>
  <c r="J1160" i="1"/>
  <c r="H1160" i="1"/>
  <c r="G1160" i="1"/>
  <c r="F1160" i="1"/>
  <c r="E1160" i="1"/>
  <c r="C1160" i="1"/>
  <c r="D1160" i="1" s="1"/>
  <c r="I1160" i="1" s="1"/>
  <c r="B1160" i="1"/>
  <c r="N1160" i="1" s="1"/>
  <c r="P1160" i="1" s="1"/>
  <c r="A1160" i="1"/>
  <c r="T1159" i="1"/>
  <c r="S1159" i="1"/>
  <c r="R1159" i="1"/>
  <c r="Q1159" i="1"/>
  <c r="M1159" i="1"/>
  <c r="N1159" i="1" s="1"/>
  <c r="L1159" i="1"/>
  <c r="K1159" i="1"/>
  <c r="J1159" i="1"/>
  <c r="I1159" i="1"/>
  <c r="H1159" i="1"/>
  <c r="G1159" i="1"/>
  <c r="F1159" i="1"/>
  <c r="E1159" i="1"/>
  <c r="C1159" i="1"/>
  <c r="D1159" i="1" s="1"/>
  <c r="B1159" i="1"/>
  <c r="A1159" i="1"/>
  <c r="T1158" i="1"/>
  <c r="S1158" i="1"/>
  <c r="Q1158" i="1"/>
  <c r="M1158" i="1"/>
  <c r="L1158" i="1"/>
  <c r="K1158" i="1"/>
  <c r="R1158" i="1" s="1"/>
  <c r="J1158" i="1"/>
  <c r="H1158" i="1"/>
  <c r="G1158" i="1"/>
  <c r="F1158" i="1"/>
  <c r="E1158" i="1"/>
  <c r="C1158" i="1"/>
  <c r="D1158" i="1" s="1"/>
  <c r="I1158" i="1" s="1"/>
  <c r="B1158" i="1"/>
  <c r="N1158" i="1" s="1"/>
  <c r="A1158" i="1"/>
  <c r="T1157" i="1"/>
  <c r="S1157" i="1"/>
  <c r="R1157" i="1"/>
  <c r="Q1157" i="1"/>
  <c r="M1157" i="1"/>
  <c r="N1157" i="1" s="1"/>
  <c r="L1157" i="1"/>
  <c r="K1157" i="1"/>
  <c r="J1157" i="1"/>
  <c r="I1157" i="1"/>
  <c r="H1157" i="1"/>
  <c r="G1157" i="1"/>
  <c r="F1157" i="1"/>
  <c r="E1157" i="1"/>
  <c r="C1157" i="1"/>
  <c r="D1157" i="1" s="1"/>
  <c r="B1157" i="1"/>
  <c r="A1157" i="1"/>
  <c r="T1156" i="1"/>
  <c r="S1156" i="1"/>
  <c r="Q1156" i="1"/>
  <c r="M1156" i="1"/>
  <c r="L1156" i="1"/>
  <c r="K1156" i="1"/>
  <c r="R1156" i="1" s="1"/>
  <c r="J1156" i="1"/>
  <c r="H1156" i="1"/>
  <c r="G1156" i="1"/>
  <c r="F1156" i="1"/>
  <c r="E1156" i="1"/>
  <c r="C1156" i="1"/>
  <c r="D1156" i="1" s="1"/>
  <c r="I1156" i="1" s="1"/>
  <c r="B1156" i="1"/>
  <c r="N1156" i="1" s="1"/>
  <c r="P1156" i="1" s="1"/>
  <c r="A1156" i="1"/>
  <c r="T1155" i="1"/>
  <c r="S1155" i="1"/>
  <c r="R1155" i="1"/>
  <c r="Q1155" i="1"/>
  <c r="M1155" i="1"/>
  <c r="N1155" i="1" s="1"/>
  <c r="L1155" i="1"/>
  <c r="K1155" i="1"/>
  <c r="J1155" i="1"/>
  <c r="I1155" i="1"/>
  <c r="H1155" i="1"/>
  <c r="G1155" i="1"/>
  <c r="F1155" i="1"/>
  <c r="E1155" i="1"/>
  <c r="C1155" i="1"/>
  <c r="D1155" i="1" s="1"/>
  <c r="B1155" i="1"/>
  <c r="A1155" i="1"/>
  <c r="T1154" i="1"/>
  <c r="S1154" i="1"/>
  <c r="Q1154" i="1"/>
  <c r="O1154" i="1"/>
  <c r="M1154" i="1"/>
  <c r="L1154" i="1"/>
  <c r="K1154" i="1"/>
  <c r="R1154" i="1" s="1"/>
  <c r="J1154" i="1"/>
  <c r="H1154" i="1"/>
  <c r="G1154" i="1"/>
  <c r="F1154" i="1"/>
  <c r="E1154" i="1"/>
  <c r="C1154" i="1"/>
  <c r="D1154" i="1" s="1"/>
  <c r="I1154" i="1" s="1"/>
  <c r="B1154" i="1"/>
  <c r="N1154" i="1" s="1"/>
  <c r="P1154" i="1" s="1"/>
  <c r="A1154" i="1"/>
  <c r="T1153" i="1"/>
  <c r="S1153" i="1"/>
  <c r="R1153" i="1"/>
  <c r="Q1153" i="1"/>
  <c r="M1153" i="1"/>
  <c r="N1153" i="1" s="1"/>
  <c r="L1153" i="1"/>
  <c r="K1153" i="1"/>
  <c r="J1153" i="1"/>
  <c r="I1153" i="1"/>
  <c r="H1153" i="1"/>
  <c r="G1153" i="1"/>
  <c r="F1153" i="1"/>
  <c r="E1153" i="1"/>
  <c r="C1153" i="1"/>
  <c r="D1153" i="1" s="1"/>
  <c r="B1153" i="1"/>
  <c r="A1153" i="1"/>
  <c r="T1152" i="1"/>
  <c r="S1152" i="1"/>
  <c r="Q1152" i="1"/>
  <c r="O1152" i="1"/>
  <c r="M1152" i="1"/>
  <c r="L1152" i="1"/>
  <c r="K1152" i="1"/>
  <c r="R1152" i="1" s="1"/>
  <c r="J1152" i="1"/>
  <c r="H1152" i="1"/>
  <c r="G1152" i="1"/>
  <c r="F1152" i="1"/>
  <c r="E1152" i="1"/>
  <c r="C1152" i="1"/>
  <c r="D1152" i="1" s="1"/>
  <c r="I1152" i="1" s="1"/>
  <c r="B1152" i="1"/>
  <c r="N1152" i="1" s="1"/>
  <c r="P1152" i="1" s="1"/>
  <c r="A1152" i="1"/>
  <c r="T1151" i="1"/>
  <c r="S1151" i="1"/>
  <c r="R1151" i="1"/>
  <c r="Q1151" i="1"/>
  <c r="M1151" i="1"/>
  <c r="N1151" i="1" s="1"/>
  <c r="L1151" i="1"/>
  <c r="K1151" i="1"/>
  <c r="J1151" i="1"/>
  <c r="I1151" i="1"/>
  <c r="H1151" i="1"/>
  <c r="G1151" i="1"/>
  <c r="F1151" i="1"/>
  <c r="E1151" i="1"/>
  <c r="C1151" i="1"/>
  <c r="D1151" i="1" s="1"/>
  <c r="B1151" i="1"/>
  <c r="A1151" i="1"/>
  <c r="T1150" i="1"/>
  <c r="S1150" i="1"/>
  <c r="Q1150" i="1"/>
  <c r="M1150" i="1"/>
  <c r="L1150" i="1"/>
  <c r="K1150" i="1"/>
  <c r="R1150" i="1" s="1"/>
  <c r="J1150" i="1"/>
  <c r="H1150" i="1"/>
  <c r="G1150" i="1"/>
  <c r="F1150" i="1"/>
  <c r="E1150" i="1"/>
  <c r="C1150" i="1"/>
  <c r="D1150" i="1" s="1"/>
  <c r="I1150" i="1" s="1"/>
  <c r="B1150" i="1"/>
  <c r="N1150" i="1" s="1"/>
  <c r="A1150" i="1"/>
  <c r="T1149" i="1"/>
  <c r="S1149" i="1"/>
  <c r="R1149" i="1"/>
  <c r="Q1149" i="1"/>
  <c r="M1149" i="1"/>
  <c r="N1149" i="1" s="1"/>
  <c r="L1149" i="1"/>
  <c r="K1149" i="1"/>
  <c r="J1149" i="1"/>
  <c r="I1149" i="1"/>
  <c r="H1149" i="1"/>
  <c r="G1149" i="1"/>
  <c r="F1149" i="1"/>
  <c r="E1149" i="1"/>
  <c r="C1149" i="1"/>
  <c r="D1149" i="1" s="1"/>
  <c r="B1149" i="1"/>
  <c r="A1149" i="1"/>
  <c r="T1148" i="1"/>
  <c r="S1148" i="1"/>
  <c r="Q1148" i="1"/>
  <c r="M1148" i="1"/>
  <c r="L1148" i="1"/>
  <c r="K1148" i="1"/>
  <c r="R1148" i="1" s="1"/>
  <c r="J1148" i="1"/>
  <c r="H1148" i="1"/>
  <c r="G1148" i="1"/>
  <c r="F1148" i="1"/>
  <c r="E1148" i="1"/>
  <c r="C1148" i="1"/>
  <c r="D1148" i="1" s="1"/>
  <c r="I1148" i="1" s="1"/>
  <c r="B1148" i="1"/>
  <c r="N1148" i="1" s="1"/>
  <c r="P1148" i="1" s="1"/>
  <c r="A1148" i="1"/>
  <c r="T1147" i="1"/>
  <c r="S1147" i="1"/>
  <c r="R1147" i="1"/>
  <c r="Q1147" i="1"/>
  <c r="M1147" i="1"/>
  <c r="N1147" i="1" s="1"/>
  <c r="L1147" i="1"/>
  <c r="K1147" i="1"/>
  <c r="J1147" i="1"/>
  <c r="I1147" i="1"/>
  <c r="H1147" i="1"/>
  <c r="G1147" i="1"/>
  <c r="F1147" i="1"/>
  <c r="E1147" i="1"/>
  <c r="C1147" i="1"/>
  <c r="D1147" i="1" s="1"/>
  <c r="B1147" i="1"/>
  <c r="A1147" i="1"/>
  <c r="T1146" i="1"/>
  <c r="S1146" i="1"/>
  <c r="Q1146" i="1"/>
  <c r="O1146" i="1"/>
  <c r="M1146" i="1"/>
  <c r="L1146" i="1"/>
  <c r="K1146" i="1"/>
  <c r="R1146" i="1" s="1"/>
  <c r="J1146" i="1"/>
  <c r="H1146" i="1"/>
  <c r="G1146" i="1"/>
  <c r="F1146" i="1"/>
  <c r="E1146" i="1"/>
  <c r="C1146" i="1"/>
  <c r="D1146" i="1" s="1"/>
  <c r="I1146" i="1" s="1"/>
  <c r="B1146" i="1"/>
  <c r="N1146" i="1" s="1"/>
  <c r="P1146" i="1" s="1"/>
  <c r="A1146" i="1"/>
  <c r="T1145" i="1"/>
  <c r="S1145" i="1"/>
  <c r="R1145" i="1"/>
  <c r="Q1145" i="1"/>
  <c r="M1145" i="1"/>
  <c r="N1145" i="1" s="1"/>
  <c r="L1145" i="1"/>
  <c r="K1145" i="1"/>
  <c r="J1145" i="1"/>
  <c r="I1145" i="1"/>
  <c r="H1145" i="1"/>
  <c r="G1145" i="1"/>
  <c r="F1145" i="1"/>
  <c r="E1145" i="1"/>
  <c r="C1145" i="1"/>
  <c r="D1145" i="1" s="1"/>
  <c r="B1145" i="1"/>
  <c r="A1145" i="1"/>
  <c r="T1144" i="1"/>
  <c r="S1144" i="1"/>
  <c r="Q1144" i="1"/>
  <c r="O1144" i="1"/>
  <c r="M1144" i="1"/>
  <c r="L1144" i="1"/>
  <c r="K1144" i="1"/>
  <c r="R1144" i="1" s="1"/>
  <c r="J1144" i="1"/>
  <c r="H1144" i="1"/>
  <c r="G1144" i="1"/>
  <c r="F1144" i="1"/>
  <c r="E1144" i="1"/>
  <c r="C1144" i="1"/>
  <c r="D1144" i="1" s="1"/>
  <c r="I1144" i="1" s="1"/>
  <c r="B1144" i="1"/>
  <c r="N1144" i="1" s="1"/>
  <c r="P1144" i="1" s="1"/>
  <c r="A1144" i="1"/>
  <c r="T1143" i="1"/>
  <c r="S1143" i="1"/>
  <c r="R1143" i="1"/>
  <c r="Q1143" i="1"/>
  <c r="M1143" i="1"/>
  <c r="N1143" i="1" s="1"/>
  <c r="L1143" i="1"/>
  <c r="K1143" i="1"/>
  <c r="J1143" i="1"/>
  <c r="I1143" i="1"/>
  <c r="H1143" i="1"/>
  <c r="G1143" i="1"/>
  <c r="F1143" i="1"/>
  <c r="E1143" i="1"/>
  <c r="C1143" i="1"/>
  <c r="D1143" i="1" s="1"/>
  <c r="B1143" i="1"/>
  <c r="A1143" i="1"/>
  <c r="T1142" i="1"/>
  <c r="S1142" i="1"/>
  <c r="Q1142" i="1"/>
  <c r="M1142" i="1"/>
  <c r="L1142" i="1"/>
  <c r="K1142" i="1"/>
  <c r="R1142" i="1" s="1"/>
  <c r="J1142" i="1"/>
  <c r="H1142" i="1"/>
  <c r="G1142" i="1"/>
  <c r="F1142" i="1"/>
  <c r="E1142" i="1"/>
  <c r="C1142" i="1"/>
  <c r="D1142" i="1" s="1"/>
  <c r="I1142" i="1" s="1"/>
  <c r="B1142" i="1"/>
  <c r="N1142" i="1" s="1"/>
  <c r="A1142" i="1"/>
  <c r="T1141" i="1"/>
  <c r="S1141" i="1"/>
  <c r="R1141" i="1"/>
  <c r="Q1141" i="1"/>
  <c r="M1141" i="1"/>
  <c r="L1141" i="1"/>
  <c r="K1141" i="1"/>
  <c r="J1141" i="1"/>
  <c r="H1141" i="1"/>
  <c r="G1141" i="1"/>
  <c r="F1141" i="1"/>
  <c r="E1141" i="1"/>
  <c r="C1141" i="1"/>
  <c r="D1141" i="1" s="1"/>
  <c r="I1141" i="1" s="1"/>
  <c r="B1141" i="1"/>
  <c r="N1141" i="1" s="1"/>
  <c r="A1141" i="1"/>
  <c r="T1140" i="1"/>
  <c r="S1140" i="1"/>
  <c r="R1140" i="1"/>
  <c r="Q1140" i="1"/>
  <c r="M1140" i="1"/>
  <c r="L1140" i="1"/>
  <c r="K1140" i="1"/>
  <c r="J1140" i="1"/>
  <c r="H1140" i="1"/>
  <c r="G1140" i="1"/>
  <c r="F1140" i="1"/>
  <c r="E1140" i="1"/>
  <c r="C1140" i="1"/>
  <c r="D1140" i="1" s="1"/>
  <c r="I1140" i="1" s="1"/>
  <c r="B1140" i="1"/>
  <c r="N1140" i="1" s="1"/>
  <c r="A1140" i="1"/>
  <c r="T1139" i="1"/>
  <c r="S1139" i="1"/>
  <c r="R1139" i="1"/>
  <c r="Q1139" i="1"/>
  <c r="M1139" i="1"/>
  <c r="L1139" i="1"/>
  <c r="K1139" i="1"/>
  <c r="J1139" i="1"/>
  <c r="H1139" i="1"/>
  <c r="G1139" i="1"/>
  <c r="F1139" i="1"/>
  <c r="E1139" i="1"/>
  <c r="C1139" i="1"/>
  <c r="D1139" i="1" s="1"/>
  <c r="I1139" i="1" s="1"/>
  <c r="B1139" i="1"/>
  <c r="N1139" i="1" s="1"/>
  <c r="A1139" i="1"/>
  <c r="T1138" i="1"/>
  <c r="S1138" i="1"/>
  <c r="R1138" i="1"/>
  <c r="Q1138" i="1"/>
  <c r="M1138" i="1"/>
  <c r="L1138" i="1"/>
  <c r="K1138" i="1"/>
  <c r="J1138" i="1"/>
  <c r="H1138" i="1"/>
  <c r="G1138" i="1"/>
  <c r="F1138" i="1"/>
  <c r="E1138" i="1"/>
  <c r="C1138" i="1"/>
  <c r="D1138" i="1" s="1"/>
  <c r="I1138" i="1" s="1"/>
  <c r="B1138" i="1"/>
  <c r="N1138" i="1" s="1"/>
  <c r="A1138" i="1"/>
  <c r="T1137" i="1"/>
  <c r="S1137" i="1"/>
  <c r="R1137" i="1"/>
  <c r="Q1137" i="1"/>
  <c r="M1137" i="1"/>
  <c r="L1137" i="1"/>
  <c r="K1137" i="1"/>
  <c r="J1137" i="1"/>
  <c r="H1137" i="1"/>
  <c r="G1137" i="1"/>
  <c r="F1137" i="1"/>
  <c r="E1137" i="1"/>
  <c r="C1137" i="1"/>
  <c r="D1137" i="1" s="1"/>
  <c r="I1137" i="1" s="1"/>
  <c r="B1137" i="1"/>
  <c r="N1137" i="1" s="1"/>
  <c r="A1137" i="1"/>
  <c r="T1136" i="1"/>
  <c r="S1136" i="1"/>
  <c r="R1136" i="1"/>
  <c r="Q1136" i="1"/>
  <c r="M1136" i="1"/>
  <c r="L1136" i="1"/>
  <c r="K1136" i="1"/>
  <c r="J1136" i="1"/>
  <c r="H1136" i="1"/>
  <c r="G1136" i="1"/>
  <c r="F1136" i="1"/>
  <c r="E1136" i="1"/>
  <c r="C1136" i="1"/>
  <c r="D1136" i="1" s="1"/>
  <c r="I1136" i="1" s="1"/>
  <c r="B1136" i="1"/>
  <c r="N1136" i="1" s="1"/>
  <c r="A1136" i="1"/>
  <c r="T1135" i="1"/>
  <c r="S1135" i="1"/>
  <c r="R1135" i="1"/>
  <c r="Q1135" i="1"/>
  <c r="M1135" i="1"/>
  <c r="L1135" i="1"/>
  <c r="K1135" i="1"/>
  <c r="J1135" i="1"/>
  <c r="H1135" i="1"/>
  <c r="G1135" i="1"/>
  <c r="F1135" i="1"/>
  <c r="E1135" i="1"/>
  <c r="C1135" i="1"/>
  <c r="D1135" i="1" s="1"/>
  <c r="I1135" i="1" s="1"/>
  <c r="B1135" i="1"/>
  <c r="N1135" i="1" s="1"/>
  <c r="A1135" i="1"/>
  <c r="T1134" i="1"/>
  <c r="S1134" i="1"/>
  <c r="R1134" i="1"/>
  <c r="Q1134" i="1"/>
  <c r="M1134" i="1"/>
  <c r="L1134" i="1"/>
  <c r="K1134" i="1"/>
  <c r="J1134" i="1"/>
  <c r="H1134" i="1"/>
  <c r="G1134" i="1"/>
  <c r="F1134" i="1"/>
  <c r="E1134" i="1"/>
  <c r="C1134" i="1"/>
  <c r="D1134" i="1" s="1"/>
  <c r="I1134" i="1" s="1"/>
  <c r="B1134" i="1"/>
  <c r="N1134" i="1" s="1"/>
  <c r="A1134" i="1"/>
  <c r="T1133" i="1"/>
  <c r="S1133" i="1"/>
  <c r="R1133" i="1"/>
  <c r="Q1133" i="1"/>
  <c r="M1133" i="1"/>
  <c r="L1133" i="1"/>
  <c r="K1133" i="1"/>
  <c r="J1133" i="1"/>
  <c r="H1133" i="1"/>
  <c r="G1133" i="1"/>
  <c r="F1133" i="1"/>
  <c r="E1133" i="1"/>
  <c r="C1133" i="1"/>
  <c r="D1133" i="1" s="1"/>
  <c r="I1133" i="1" s="1"/>
  <c r="B1133" i="1"/>
  <c r="N1133" i="1" s="1"/>
  <c r="A1133" i="1"/>
  <c r="T1132" i="1"/>
  <c r="S1132" i="1"/>
  <c r="R1132" i="1"/>
  <c r="Q1132" i="1"/>
  <c r="M1132" i="1"/>
  <c r="L1132" i="1"/>
  <c r="K1132" i="1"/>
  <c r="J1132" i="1"/>
  <c r="H1132" i="1"/>
  <c r="G1132" i="1"/>
  <c r="F1132" i="1"/>
  <c r="E1132" i="1"/>
  <c r="C1132" i="1"/>
  <c r="D1132" i="1" s="1"/>
  <c r="I1132" i="1" s="1"/>
  <c r="B1132" i="1"/>
  <c r="N1132" i="1" s="1"/>
  <c r="A1132" i="1"/>
  <c r="T1131" i="1"/>
  <c r="S1131" i="1"/>
  <c r="R1131" i="1"/>
  <c r="Q1131" i="1"/>
  <c r="M1131" i="1"/>
  <c r="L1131" i="1"/>
  <c r="K1131" i="1"/>
  <c r="J1131" i="1"/>
  <c r="H1131" i="1"/>
  <c r="G1131" i="1"/>
  <c r="F1131" i="1"/>
  <c r="E1131" i="1"/>
  <c r="C1131" i="1"/>
  <c r="D1131" i="1" s="1"/>
  <c r="I1131" i="1" s="1"/>
  <c r="B1131" i="1"/>
  <c r="N1131" i="1" s="1"/>
  <c r="A1131" i="1"/>
  <c r="T1130" i="1"/>
  <c r="S1130" i="1"/>
  <c r="R1130" i="1"/>
  <c r="Q1130" i="1"/>
  <c r="M1130" i="1"/>
  <c r="L1130" i="1"/>
  <c r="K1130" i="1"/>
  <c r="J1130" i="1"/>
  <c r="H1130" i="1"/>
  <c r="G1130" i="1"/>
  <c r="F1130" i="1"/>
  <c r="E1130" i="1"/>
  <c r="C1130" i="1"/>
  <c r="D1130" i="1" s="1"/>
  <c r="I1130" i="1" s="1"/>
  <c r="B1130" i="1"/>
  <c r="N1130" i="1" s="1"/>
  <c r="A1130" i="1"/>
  <c r="T1129" i="1"/>
  <c r="S1129" i="1"/>
  <c r="R1129" i="1"/>
  <c r="Q1129" i="1"/>
  <c r="M1129" i="1"/>
  <c r="L1129" i="1"/>
  <c r="K1129" i="1"/>
  <c r="J1129" i="1"/>
  <c r="H1129" i="1"/>
  <c r="G1129" i="1"/>
  <c r="F1129" i="1"/>
  <c r="E1129" i="1"/>
  <c r="C1129" i="1"/>
  <c r="D1129" i="1" s="1"/>
  <c r="I1129" i="1" s="1"/>
  <c r="B1129" i="1"/>
  <c r="N1129" i="1" s="1"/>
  <c r="A1129" i="1"/>
  <c r="T1128" i="1"/>
  <c r="S1128" i="1"/>
  <c r="R1128" i="1"/>
  <c r="Q1128" i="1"/>
  <c r="M1128" i="1"/>
  <c r="L1128" i="1"/>
  <c r="K1128" i="1"/>
  <c r="J1128" i="1"/>
  <c r="H1128" i="1"/>
  <c r="G1128" i="1"/>
  <c r="F1128" i="1"/>
  <c r="E1128" i="1"/>
  <c r="C1128" i="1"/>
  <c r="D1128" i="1" s="1"/>
  <c r="I1128" i="1" s="1"/>
  <c r="B1128" i="1"/>
  <c r="N1128" i="1" s="1"/>
  <c r="A1128" i="1"/>
  <c r="T1127" i="1"/>
  <c r="S1127" i="1"/>
  <c r="R1127" i="1"/>
  <c r="Q1127" i="1"/>
  <c r="M1127" i="1"/>
  <c r="L1127" i="1"/>
  <c r="K1127" i="1"/>
  <c r="J1127" i="1"/>
  <c r="H1127" i="1"/>
  <c r="G1127" i="1"/>
  <c r="F1127" i="1"/>
  <c r="E1127" i="1"/>
  <c r="C1127" i="1"/>
  <c r="D1127" i="1" s="1"/>
  <c r="I1127" i="1" s="1"/>
  <c r="B1127" i="1"/>
  <c r="N1127" i="1" s="1"/>
  <c r="A1127" i="1"/>
  <c r="T1126" i="1"/>
  <c r="S1126" i="1"/>
  <c r="R1126" i="1"/>
  <c r="Q1126" i="1"/>
  <c r="M1126" i="1"/>
  <c r="L1126" i="1"/>
  <c r="K1126" i="1"/>
  <c r="J1126" i="1"/>
  <c r="H1126" i="1"/>
  <c r="G1126" i="1"/>
  <c r="F1126" i="1"/>
  <c r="E1126" i="1"/>
  <c r="C1126" i="1"/>
  <c r="D1126" i="1" s="1"/>
  <c r="I1126" i="1" s="1"/>
  <c r="B1126" i="1"/>
  <c r="N1126" i="1" s="1"/>
  <c r="A1126" i="1"/>
  <c r="T1125" i="1"/>
  <c r="S1125" i="1"/>
  <c r="R1125" i="1"/>
  <c r="Q1125" i="1"/>
  <c r="M1125" i="1"/>
  <c r="L1125" i="1"/>
  <c r="K1125" i="1"/>
  <c r="J1125" i="1"/>
  <c r="H1125" i="1"/>
  <c r="G1125" i="1"/>
  <c r="F1125" i="1"/>
  <c r="E1125" i="1"/>
  <c r="C1125" i="1"/>
  <c r="D1125" i="1" s="1"/>
  <c r="I1125" i="1" s="1"/>
  <c r="B1125" i="1"/>
  <c r="N1125" i="1" s="1"/>
  <c r="A1125" i="1"/>
  <c r="T1124" i="1"/>
  <c r="S1124" i="1"/>
  <c r="R1124" i="1"/>
  <c r="Q1124" i="1"/>
  <c r="M1124" i="1"/>
  <c r="L1124" i="1"/>
  <c r="K1124" i="1"/>
  <c r="J1124" i="1"/>
  <c r="H1124" i="1"/>
  <c r="G1124" i="1"/>
  <c r="F1124" i="1"/>
  <c r="E1124" i="1"/>
  <c r="C1124" i="1"/>
  <c r="D1124" i="1" s="1"/>
  <c r="I1124" i="1" s="1"/>
  <c r="B1124" i="1"/>
  <c r="N1124" i="1" s="1"/>
  <c r="A1124" i="1"/>
  <c r="T1123" i="1"/>
  <c r="S1123" i="1"/>
  <c r="R1123" i="1"/>
  <c r="Q1123" i="1"/>
  <c r="M1123" i="1"/>
  <c r="L1123" i="1"/>
  <c r="K1123" i="1"/>
  <c r="J1123" i="1"/>
  <c r="H1123" i="1"/>
  <c r="G1123" i="1"/>
  <c r="F1123" i="1"/>
  <c r="E1123" i="1"/>
  <c r="C1123" i="1"/>
  <c r="D1123" i="1" s="1"/>
  <c r="I1123" i="1" s="1"/>
  <c r="B1123" i="1"/>
  <c r="N1123" i="1" s="1"/>
  <c r="A1123" i="1"/>
  <c r="T1122" i="1"/>
  <c r="S1122" i="1"/>
  <c r="R1122" i="1"/>
  <c r="Q1122" i="1"/>
  <c r="M1122" i="1"/>
  <c r="L1122" i="1"/>
  <c r="K1122" i="1"/>
  <c r="J1122" i="1"/>
  <c r="H1122" i="1"/>
  <c r="G1122" i="1"/>
  <c r="F1122" i="1"/>
  <c r="E1122" i="1"/>
  <c r="C1122" i="1"/>
  <c r="D1122" i="1" s="1"/>
  <c r="I1122" i="1" s="1"/>
  <c r="B1122" i="1"/>
  <c r="N1122" i="1" s="1"/>
  <c r="A1122" i="1"/>
  <c r="T1121" i="1"/>
  <c r="S1121" i="1"/>
  <c r="R1121" i="1"/>
  <c r="Q1121" i="1"/>
  <c r="M1121" i="1"/>
  <c r="L1121" i="1"/>
  <c r="K1121" i="1"/>
  <c r="J1121" i="1"/>
  <c r="H1121" i="1"/>
  <c r="G1121" i="1"/>
  <c r="F1121" i="1"/>
  <c r="E1121" i="1"/>
  <c r="C1121" i="1"/>
  <c r="D1121" i="1" s="1"/>
  <c r="I1121" i="1" s="1"/>
  <c r="B1121" i="1"/>
  <c r="N1121" i="1" s="1"/>
  <c r="A1121" i="1"/>
  <c r="T1120" i="1"/>
  <c r="S1120" i="1"/>
  <c r="R1120" i="1"/>
  <c r="Q1120" i="1"/>
  <c r="M1120" i="1"/>
  <c r="L1120" i="1"/>
  <c r="K1120" i="1"/>
  <c r="J1120" i="1"/>
  <c r="H1120" i="1"/>
  <c r="G1120" i="1"/>
  <c r="F1120" i="1"/>
  <c r="E1120" i="1"/>
  <c r="C1120" i="1"/>
  <c r="D1120" i="1" s="1"/>
  <c r="I1120" i="1" s="1"/>
  <c r="B1120" i="1"/>
  <c r="N1120" i="1" s="1"/>
  <c r="A1120" i="1"/>
  <c r="T1119" i="1"/>
  <c r="S1119" i="1"/>
  <c r="R1119" i="1"/>
  <c r="Q1119" i="1"/>
  <c r="M1119" i="1"/>
  <c r="L1119" i="1"/>
  <c r="K1119" i="1"/>
  <c r="J1119" i="1"/>
  <c r="H1119" i="1"/>
  <c r="G1119" i="1"/>
  <c r="F1119" i="1"/>
  <c r="E1119" i="1"/>
  <c r="C1119" i="1"/>
  <c r="D1119" i="1" s="1"/>
  <c r="I1119" i="1" s="1"/>
  <c r="B1119" i="1"/>
  <c r="N1119" i="1" s="1"/>
  <c r="A1119" i="1"/>
  <c r="T1118" i="1"/>
  <c r="S1118" i="1"/>
  <c r="R1118" i="1"/>
  <c r="Q1118" i="1"/>
  <c r="M1118" i="1"/>
  <c r="L1118" i="1"/>
  <c r="K1118" i="1"/>
  <c r="J1118" i="1"/>
  <c r="H1118" i="1"/>
  <c r="G1118" i="1"/>
  <c r="F1118" i="1"/>
  <c r="E1118" i="1"/>
  <c r="C1118" i="1"/>
  <c r="D1118" i="1" s="1"/>
  <c r="I1118" i="1" s="1"/>
  <c r="B1118" i="1"/>
  <c r="N1118" i="1" s="1"/>
  <c r="A1118" i="1"/>
  <c r="T1117" i="1"/>
  <c r="S1117" i="1"/>
  <c r="R1117" i="1"/>
  <c r="Q1117" i="1"/>
  <c r="M1117" i="1"/>
  <c r="L1117" i="1"/>
  <c r="K1117" i="1"/>
  <c r="J1117" i="1"/>
  <c r="H1117" i="1"/>
  <c r="G1117" i="1"/>
  <c r="F1117" i="1"/>
  <c r="E1117" i="1"/>
  <c r="C1117" i="1"/>
  <c r="D1117" i="1" s="1"/>
  <c r="I1117" i="1" s="1"/>
  <c r="B1117" i="1"/>
  <c r="N1117" i="1" s="1"/>
  <c r="A1117" i="1"/>
  <c r="T1116" i="1"/>
  <c r="S1116" i="1"/>
  <c r="R1116" i="1"/>
  <c r="Q1116" i="1"/>
  <c r="M1116" i="1"/>
  <c r="L1116" i="1"/>
  <c r="K1116" i="1"/>
  <c r="J1116" i="1"/>
  <c r="H1116" i="1"/>
  <c r="G1116" i="1"/>
  <c r="F1116" i="1"/>
  <c r="E1116" i="1"/>
  <c r="C1116" i="1"/>
  <c r="D1116" i="1" s="1"/>
  <c r="I1116" i="1" s="1"/>
  <c r="B1116" i="1"/>
  <c r="N1116" i="1" s="1"/>
  <c r="A1116" i="1"/>
  <c r="T1115" i="1"/>
  <c r="S1115" i="1"/>
  <c r="R1115" i="1"/>
  <c r="Q1115" i="1"/>
  <c r="M1115" i="1"/>
  <c r="L1115" i="1"/>
  <c r="K1115" i="1"/>
  <c r="J1115" i="1"/>
  <c r="H1115" i="1"/>
  <c r="G1115" i="1"/>
  <c r="F1115" i="1"/>
  <c r="E1115" i="1"/>
  <c r="C1115" i="1"/>
  <c r="D1115" i="1" s="1"/>
  <c r="I1115" i="1" s="1"/>
  <c r="B1115" i="1"/>
  <c r="N1115" i="1" s="1"/>
  <c r="A1115" i="1"/>
  <c r="T1114" i="1"/>
  <c r="S1114" i="1"/>
  <c r="R1114" i="1"/>
  <c r="Q1114" i="1"/>
  <c r="M1114" i="1"/>
  <c r="L1114" i="1"/>
  <c r="K1114" i="1"/>
  <c r="J1114" i="1"/>
  <c r="H1114" i="1"/>
  <c r="G1114" i="1"/>
  <c r="F1114" i="1"/>
  <c r="E1114" i="1"/>
  <c r="C1114" i="1"/>
  <c r="D1114" i="1" s="1"/>
  <c r="I1114" i="1" s="1"/>
  <c r="B1114" i="1"/>
  <c r="N1114" i="1" s="1"/>
  <c r="A1114" i="1"/>
  <c r="T1113" i="1"/>
  <c r="S1113" i="1"/>
  <c r="R1113" i="1"/>
  <c r="Q1113" i="1"/>
  <c r="M1113" i="1"/>
  <c r="L1113" i="1"/>
  <c r="K1113" i="1"/>
  <c r="J1113" i="1"/>
  <c r="H1113" i="1"/>
  <c r="G1113" i="1"/>
  <c r="F1113" i="1"/>
  <c r="E1113" i="1"/>
  <c r="C1113" i="1"/>
  <c r="D1113" i="1" s="1"/>
  <c r="I1113" i="1" s="1"/>
  <c r="B1113" i="1"/>
  <c r="N1113" i="1" s="1"/>
  <c r="A1113" i="1"/>
  <c r="T1112" i="1"/>
  <c r="S1112" i="1"/>
  <c r="R1112" i="1"/>
  <c r="Q1112" i="1"/>
  <c r="M1112" i="1"/>
  <c r="L1112" i="1"/>
  <c r="K1112" i="1"/>
  <c r="J1112" i="1"/>
  <c r="H1112" i="1"/>
  <c r="G1112" i="1"/>
  <c r="F1112" i="1"/>
  <c r="E1112" i="1"/>
  <c r="C1112" i="1"/>
  <c r="D1112" i="1" s="1"/>
  <c r="I1112" i="1" s="1"/>
  <c r="B1112" i="1"/>
  <c r="N1112" i="1" s="1"/>
  <c r="A1112" i="1"/>
  <c r="T1111" i="1"/>
  <c r="S1111" i="1"/>
  <c r="R1111" i="1"/>
  <c r="Q1111" i="1"/>
  <c r="M1111" i="1"/>
  <c r="L1111" i="1"/>
  <c r="K1111" i="1"/>
  <c r="J1111" i="1"/>
  <c r="H1111" i="1"/>
  <c r="G1111" i="1"/>
  <c r="F1111" i="1"/>
  <c r="E1111" i="1"/>
  <c r="C1111" i="1"/>
  <c r="D1111" i="1" s="1"/>
  <c r="I1111" i="1" s="1"/>
  <c r="B1111" i="1"/>
  <c r="N1111" i="1" s="1"/>
  <c r="A1111" i="1"/>
  <c r="T1110" i="1"/>
  <c r="S1110" i="1"/>
  <c r="R1110" i="1"/>
  <c r="Q1110" i="1"/>
  <c r="M1110" i="1"/>
  <c r="L1110" i="1"/>
  <c r="K1110" i="1"/>
  <c r="J1110" i="1"/>
  <c r="H1110" i="1"/>
  <c r="G1110" i="1"/>
  <c r="F1110" i="1"/>
  <c r="E1110" i="1"/>
  <c r="C1110" i="1"/>
  <c r="D1110" i="1" s="1"/>
  <c r="I1110" i="1" s="1"/>
  <c r="B1110" i="1"/>
  <c r="N1110" i="1" s="1"/>
  <c r="A1110" i="1"/>
  <c r="T1109" i="1"/>
  <c r="S1109" i="1"/>
  <c r="R1109" i="1"/>
  <c r="Q1109" i="1"/>
  <c r="M1109" i="1"/>
  <c r="L1109" i="1"/>
  <c r="K1109" i="1"/>
  <c r="J1109" i="1"/>
  <c r="H1109" i="1"/>
  <c r="G1109" i="1"/>
  <c r="F1109" i="1"/>
  <c r="E1109" i="1"/>
  <c r="C1109" i="1"/>
  <c r="D1109" i="1" s="1"/>
  <c r="I1109" i="1" s="1"/>
  <c r="B1109" i="1"/>
  <c r="N1109" i="1" s="1"/>
  <c r="A1109" i="1"/>
  <c r="T1108" i="1"/>
  <c r="S1108" i="1"/>
  <c r="R1108" i="1"/>
  <c r="Q1108" i="1"/>
  <c r="M1108" i="1"/>
  <c r="L1108" i="1"/>
  <c r="K1108" i="1"/>
  <c r="J1108" i="1"/>
  <c r="H1108" i="1"/>
  <c r="G1108" i="1"/>
  <c r="F1108" i="1"/>
  <c r="E1108" i="1"/>
  <c r="C1108" i="1"/>
  <c r="D1108" i="1" s="1"/>
  <c r="I1108" i="1" s="1"/>
  <c r="B1108" i="1"/>
  <c r="N1108" i="1" s="1"/>
  <c r="A1108" i="1"/>
  <c r="T1107" i="1"/>
  <c r="S1107" i="1"/>
  <c r="R1107" i="1"/>
  <c r="Q1107" i="1"/>
  <c r="M1107" i="1"/>
  <c r="L1107" i="1"/>
  <c r="K1107" i="1"/>
  <c r="J1107" i="1"/>
  <c r="H1107" i="1"/>
  <c r="G1107" i="1"/>
  <c r="F1107" i="1"/>
  <c r="E1107" i="1"/>
  <c r="C1107" i="1"/>
  <c r="D1107" i="1" s="1"/>
  <c r="I1107" i="1" s="1"/>
  <c r="B1107" i="1"/>
  <c r="N1107" i="1" s="1"/>
  <c r="A1107" i="1"/>
  <c r="T1106" i="1"/>
  <c r="S1106" i="1"/>
  <c r="R1106" i="1"/>
  <c r="Q1106" i="1"/>
  <c r="M1106" i="1"/>
  <c r="L1106" i="1"/>
  <c r="K1106" i="1"/>
  <c r="J1106" i="1"/>
  <c r="H1106" i="1"/>
  <c r="G1106" i="1"/>
  <c r="F1106" i="1"/>
  <c r="E1106" i="1"/>
  <c r="C1106" i="1"/>
  <c r="D1106" i="1" s="1"/>
  <c r="I1106" i="1" s="1"/>
  <c r="B1106" i="1"/>
  <c r="N1106" i="1" s="1"/>
  <c r="A1106" i="1"/>
  <c r="T1105" i="1"/>
  <c r="S1105" i="1"/>
  <c r="R1105" i="1"/>
  <c r="Q1105" i="1"/>
  <c r="M1105" i="1"/>
  <c r="L1105" i="1"/>
  <c r="K1105" i="1"/>
  <c r="J1105" i="1"/>
  <c r="H1105" i="1"/>
  <c r="G1105" i="1"/>
  <c r="F1105" i="1"/>
  <c r="E1105" i="1"/>
  <c r="C1105" i="1"/>
  <c r="D1105" i="1" s="1"/>
  <c r="I1105" i="1" s="1"/>
  <c r="B1105" i="1"/>
  <c r="N1105" i="1" s="1"/>
  <c r="A1105" i="1"/>
  <c r="T1104" i="1"/>
  <c r="S1104" i="1"/>
  <c r="R1104" i="1"/>
  <c r="Q1104" i="1"/>
  <c r="M1104" i="1"/>
  <c r="L1104" i="1"/>
  <c r="K1104" i="1"/>
  <c r="J1104" i="1"/>
  <c r="H1104" i="1"/>
  <c r="G1104" i="1"/>
  <c r="F1104" i="1"/>
  <c r="E1104" i="1"/>
  <c r="C1104" i="1"/>
  <c r="D1104" i="1" s="1"/>
  <c r="I1104" i="1" s="1"/>
  <c r="B1104" i="1"/>
  <c r="N1104" i="1" s="1"/>
  <c r="A1104" i="1"/>
  <c r="T1103" i="1"/>
  <c r="S1103" i="1"/>
  <c r="R1103" i="1"/>
  <c r="Q1103" i="1"/>
  <c r="M1103" i="1"/>
  <c r="L1103" i="1"/>
  <c r="K1103" i="1"/>
  <c r="J1103" i="1"/>
  <c r="H1103" i="1"/>
  <c r="G1103" i="1"/>
  <c r="F1103" i="1"/>
  <c r="E1103" i="1"/>
  <c r="C1103" i="1"/>
  <c r="D1103" i="1" s="1"/>
  <c r="I1103" i="1" s="1"/>
  <c r="B1103" i="1"/>
  <c r="N1103" i="1" s="1"/>
  <c r="A1103" i="1"/>
  <c r="T1102" i="1"/>
  <c r="S1102" i="1"/>
  <c r="R1102" i="1"/>
  <c r="Q1102" i="1"/>
  <c r="M1102" i="1"/>
  <c r="L1102" i="1"/>
  <c r="K1102" i="1"/>
  <c r="J1102" i="1"/>
  <c r="H1102" i="1"/>
  <c r="G1102" i="1"/>
  <c r="F1102" i="1"/>
  <c r="E1102" i="1"/>
  <c r="C1102" i="1"/>
  <c r="D1102" i="1" s="1"/>
  <c r="I1102" i="1" s="1"/>
  <c r="B1102" i="1"/>
  <c r="N1102" i="1" s="1"/>
  <c r="A1102" i="1"/>
  <c r="T1101" i="1"/>
  <c r="S1101" i="1"/>
  <c r="R1101" i="1"/>
  <c r="Q1101" i="1"/>
  <c r="M1101" i="1"/>
  <c r="L1101" i="1"/>
  <c r="K1101" i="1"/>
  <c r="J1101" i="1"/>
  <c r="H1101" i="1"/>
  <c r="G1101" i="1"/>
  <c r="F1101" i="1"/>
  <c r="E1101" i="1"/>
  <c r="C1101" i="1"/>
  <c r="D1101" i="1" s="1"/>
  <c r="I1101" i="1" s="1"/>
  <c r="B1101" i="1"/>
  <c r="N1101" i="1" s="1"/>
  <c r="A1101" i="1"/>
  <c r="T1100" i="1"/>
  <c r="S1100" i="1"/>
  <c r="R1100" i="1"/>
  <c r="Q1100" i="1"/>
  <c r="M1100" i="1"/>
  <c r="L1100" i="1"/>
  <c r="K1100" i="1"/>
  <c r="J1100" i="1"/>
  <c r="H1100" i="1"/>
  <c r="G1100" i="1"/>
  <c r="F1100" i="1"/>
  <c r="E1100" i="1"/>
  <c r="C1100" i="1"/>
  <c r="D1100" i="1" s="1"/>
  <c r="I1100" i="1" s="1"/>
  <c r="B1100" i="1"/>
  <c r="N1100" i="1" s="1"/>
  <c r="A1100" i="1"/>
  <c r="T1099" i="1"/>
  <c r="S1099" i="1"/>
  <c r="R1099" i="1"/>
  <c r="Q1099" i="1"/>
  <c r="M1099" i="1"/>
  <c r="L1099" i="1"/>
  <c r="K1099" i="1"/>
  <c r="J1099" i="1"/>
  <c r="H1099" i="1"/>
  <c r="G1099" i="1"/>
  <c r="F1099" i="1"/>
  <c r="E1099" i="1"/>
  <c r="C1099" i="1"/>
  <c r="D1099" i="1" s="1"/>
  <c r="I1099" i="1" s="1"/>
  <c r="B1099" i="1"/>
  <c r="N1099" i="1" s="1"/>
  <c r="A1099" i="1"/>
  <c r="T1098" i="1"/>
  <c r="S1098" i="1"/>
  <c r="R1098" i="1"/>
  <c r="Q1098" i="1"/>
  <c r="M1098" i="1"/>
  <c r="L1098" i="1"/>
  <c r="K1098" i="1"/>
  <c r="J1098" i="1"/>
  <c r="H1098" i="1"/>
  <c r="G1098" i="1"/>
  <c r="F1098" i="1"/>
  <c r="E1098" i="1"/>
  <c r="C1098" i="1"/>
  <c r="D1098" i="1" s="1"/>
  <c r="I1098" i="1" s="1"/>
  <c r="B1098" i="1"/>
  <c r="N1098" i="1" s="1"/>
  <c r="A1098" i="1"/>
  <c r="T1097" i="1"/>
  <c r="S1097" i="1"/>
  <c r="R1097" i="1"/>
  <c r="Q1097" i="1"/>
  <c r="M1097" i="1"/>
  <c r="L1097" i="1"/>
  <c r="K1097" i="1"/>
  <c r="J1097" i="1"/>
  <c r="H1097" i="1"/>
  <c r="G1097" i="1"/>
  <c r="F1097" i="1"/>
  <c r="E1097" i="1"/>
  <c r="C1097" i="1"/>
  <c r="D1097" i="1" s="1"/>
  <c r="I1097" i="1" s="1"/>
  <c r="B1097" i="1"/>
  <c r="N1097" i="1" s="1"/>
  <c r="A1097" i="1"/>
  <c r="T1096" i="1"/>
  <c r="S1096" i="1"/>
  <c r="R1096" i="1"/>
  <c r="Q1096" i="1"/>
  <c r="N1096" i="1"/>
  <c r="M1096" i="1"/>
  <c r="L1096" i="1"/>
  <c r="K1096" i="1"/>
  <c r="J1096" i="1"/>
  <c r="H1096" i="1"/>
  <c r="G1096" i="1"/>
  <c r="F1096" i="1"/>
  <c r="E1096" i="1"/>
  <c r="C1096" i="1"/>
  <c r="D1096" i="1" s="1"/>
  <c r="I1096" i="1" s="1"/>
  <c r="B1096" i="1"/>
  <c r="A1096" i="1"/>
  <c r="T1095" i="1"/>
  <c r="S1095" i="1"/>
  <c r="Q1095" i="1"/>
  <c r="M1095" i="1"/>
  <c r="N1095" i="1" s="1"/>
  <c r="L1095" i="1"/>
  <c r="K1095" i="1"/>
  <c r="J1095" i="1"/>
  <c r="R1095" i="1" s="1"/>
  <c r="I1095" i="1"/>
  <c r="H1095" i="1"/>
  <c r="G1095" i="1"/>
  <c r="F1095" i="1"/>
  <c r="E1095" i="1"/>
  <c r="C1095" i="1"/>
  <c r="D1095" i="1" s="1"/>
  <c r="B1095" i="1"/>
  <c r="A1095" i="1"/>
  <c r="T1094" i="1"/>
  <c r="S1094" i="1"/>
  <c r="Q1094" i="1"/>
  <c r="N1094" i="1"/>
  <c r="M1094" i="1"/>
  <c r="L1094" i="1"/>
  <c r="K1094" i="1"/>
  <c r="J1094" i="1"/>
  <c r="R1094" i="1" s="1"/>
  <c r="H1094" i="1"/>
  <c r="G1094" i="1"/>
  <c r="F1094" i="1"/>
  <c r="E1094" i="1"/>
  <c r="C1094" i="1"/>
  <c r="D1094" i="1" s="1"/>
  <c r="I1094" i="1" s="1"/>
  <c r="B1094" i="1"/>
  <c r="A1094" i="1"/>
  <c r="T1093" i="1"/>
  <c r="S1093" i="1"/>
  <c r="R1093" i="1"/>
  <c r="Q1093" i="1"/>
  <c r="M1093" i="1"/>
  <c r="L1093" i="1"/>
  <c r="K1093" i="1"/>
  <c r="J1093" i="1"/>
  <c r="H1093" i="1"/>
  <c r="G1093" i="1"/>
  <c r="F1093" i="1"/>
  <c r="E1093" i="1"/>
  <c r="C1093" i="1"/>
  <c r="D1093" i="1" s="1"/>
  <c r="I1093" i="1" s="1"/>
  <c r="B1093" i="1"/>
  <c r="A1093" i="1"/>
  <c r="T1092" i="1"/>
  <c r="S1092" i="1"/>
  <c r="R1092" i="1"/>
  <c r="Q1092" i="1"/>
  <c r="M1092" i="1"/>
  <c r="N1092" i="1" s="1"/>
  <c r="L1092" i="1"/>
  <c r="K1092" i="1"/>
  <c r="J1092" i="1"/>
  <c r="H1092" i="1"/>
  <c r="G1092" i="1"/>
  <c r="F1092" i="1"/>
  <c r="E1092" i="1"/>
  <c r="C1092" i="1"/>
  <c r="D1092" i="1" s="1"/>
  <c r="I1092" i="1" s="1"/>
  <c r="B1092" i="1"/>
  <c r="A1092" i="1"/>
  <c r="T1091" i="1"/>
  <c r="S1091" i="1"/>
  <c r="Q1091" i="1"/>
  <c r="M1091" i="1"/>
  <c r="N1091" i="1" s="1"/>
  <c r="L1091" i="1"/>
  <c r="K1091" i="1"/>
  <c r="J1091" i="1"/>
  <c r="R1091" i="1" s="1"/>
  <c r="I1091" i="1"/>
  <c r="H1091" i="1"/>
  <c r="G1091" i="1"/>
  <c r="F1091" i="1"/>
  <c r="E1091" i="1"/>
  <c r="C1091" i="1"/>
  <c r="D1091" i="1" s="1"/>
  <c r="B1091" i="1"/>
  <c r="A1091" i="1"/>
  <c r="T1090" i="1"/>
  <c r="S1090" i="1"/>
  <c r="Q1090" i="1"/>
  <c r="N1090" i="1"/>
  <c r="M1090" i="1"/>
  <c r="L1090" i="1"/>
  <c r="K1090" i="1"/>
  <c r="J1090" i="1"/>
  <c r="R1090" i="1" s="1"/>
  <c r="H1090" i="1"/>
  <c r="G1090" i="1"/>
  <c r="F1090" i="1"/>
  <c r="E1090" i="1"/>
  <c r="C1090" i="1"/>
  <c r="D1090" i="1" s="1"/>
  <c r="I1090" i="1" s="1"/>
  <c r="B1090" i="1"/>
  <c r="A1090" i="1"/>
  <c r="T1089" i="1"/>
  <c r="S1089" i="1"/>
  <c r="R1089" i="1"/>
  <c r="Q1089" i="1"/>
  <c r="M1089" i="1"/>
  <c r="L1089" i="1"/>
  <c r="K1089" i="1"/>
  <c r="J1089" i="1"/>
  <c r="H1089" i="1"/>
  <c r="G1089" i="1"/>
  <c r="F1089" i="1"/>
  <c r="E1089" i="1"/>
  <c r="C1089" i="1"/>
  <c r="D1089" i="1" s="1"/>
  <c r="I1089" i="1" s="1"/>
  <c r="B1089" i="1"/>
  <c r="A1089" i="1"/>
  <c r="T1088" i="1"/>
  <c r="S1088" i="1"/>
  <c r="R1088" i="1"/>
  <c r="Q1088" i="1"/>
  <c r="M1088" i="1"/>
  <c r="N1088" i="1" s="1"/>
  <c r="L1088" i="1"/>
  <c r="K1088" i="1"/>
  <c r="J1088" i="1"/>
  <c r="H1088" i="1"/>
  <c r="G1088" i="1"/>
  <c r="F1088" i="1"/>
  <c r="E1088" i="1"/>
  <c r="C1088" i="1"/>
  <c r="D1088" i="1" s="1"/>
  <c r="I1088" i="1" s="1"/>
  <c r="B1088" i="1"/>
  <c r="A1088" i="1"/>
  <c r="T1087" i="1"/>
  <c r="S1087" i="1"/>
  <c r="Q1087" i="1"/>
  <c r="M1087" i="1"/>
  <c r="N1087" i="1" s="1"/>
  <c r="L1087" i="1"/>
  <c r="K1087" i="1"/>
  <c r="J1087" i="1"/>
  <c r="R1087" i="1" s="1"/>
  <c r="I1087" i="1"/>
  <c r="H1087" i="1"/>
  <c r="G1087" i="1"/>
  <c r="F1087" i="1"/>
  <c r="E1087" i="1"/>
  <c r="C1087" i="1"/>
  <c r="D1087" i="1" s="1"/>
  <c r="B1087" i="1"/>
  <c r="A1087" i="1"/>
  <c r="T1086" i="1"/>
  <c r="S1086" i="1"/>
  <c r="Q1086" i="1"/>
  <c r="N1086" i="1"/>
  <c r="M1086" i="1"/>
  <c r="L1086" i="1"/>
  <c r="K1086" i="1"/>
  <c r="J1086" i="1"/>
  <c r="R1086" i="1" s="1"/>
  <c r="H1086" i="1"/>
  <c r="G1086" i="1"/>
  <c r="F1086" i="1"/>
  <c r="E1086" i="1"/>
  <c r="C1086" i="1"/>
  <c r="D1086" i="1" s="1"/>
  <c r="I1086" i="1" s="1"/>
  <c r="B1086" i="1"/>
  <c r="A1086" i="1"/>
  <c r="T1085" i="1"/>
  <c r="S1085" i="1"/>
  <c r="R1085" i="1"/>
  <c r="Q1085" i="1"/>
  <c r="M1085" i="1"/>
  <c r="L1085" i="1"/>
  <c r="K1085" i="1"/>
  <c r="J1085" i="1"/>
  <c r="H1085" i="1"/>
  <c r="G1085" i="1"/>
  <c r="F1085" i="1"/>
  <c r="E1085" i="1"/>
  <c r="C1085" i="1"/>
  <c r="D1085" i="1" s="1"/>
  <c r="I1085" i="1" s="1"/>
  <c r="B1085" i="1"/>
  <c r="A1085" i="1"/>
  <c r="T1084" i="1"/>
  <c r="S1084" i="1"/>
  <c r="R1084" i="1"/>
  <c r="Q1084" i="1"/>
  <c r="M1084" i="1"/>
  <c r="N1084" i="1" s="1"/>
  <c r="L1084" i="1"/>
  <c r="K1084" i="1"/>
  <c r="J1084" i="1"/>
  <c r="H1084" i="1"/>
  <c r="G1084" i="1"/>
  <c r="F1084" i="1"/>
  <c r="E1084" i="1"/>
  <c r="C1084" i="1"/>
  <c r="D1084" i="1" s="1"/>
  <c r="I1084" i="1" s="1"/>
  <c r="B1084" i="1"/>
  <c r="A1084" i="1"/>
  <c r="T1083" i="1"/>
  <c r="S1083" i="1"/>
  <c r="Q1083" i="1"/>
  <c r="M1083" i="1"/>
  <c r="N1083" i="1" s="1"/>
  <c r="L1083" i="1"/>
  <c r="K1083" i="1"/>
  <c r="J1083" i="1"/>
  <c r="R1083" i="1" s="1"/>
  <c r="I1083" i="1"/>
  <c r="H1083" i="1"/>
  <c r="G1083" i="1"/>
  <c r="F1083" i="1"/>
  <c r="E1083" i="1"/>
  <c r="C1083" i="1"/>
  <c r="D1083" i="1" s="1"/>
  <c r="B1083" i="1"/>
  <c r="A1083" i="1"/>
  <c r="T1082" i="1"/>
  <c r="S1082" i="1"/>
  <c r="Q1082" i="1"/>
  <c r="N1082" i="1"/>
  <c r="M1082" i="1"/>
  <c r="L1082" i="1"/>
  <c r="K1082" i="1"/>
  <c r="J1082" i="1"/>
  <c r="R1082" i="1" s="1"/>
  <c r="H1082" i="1"/>
  <c r="G1082" i="1"/>
  <c r="F1082" i="1"/>
  <c r="E1082" i="1"/>
  <c r="C1082" i="1"/>
  <c r="D1082" i="1" s="1"/>
  <c r="I1082" i="1" s="1"/>
  <c r="B1082" i="1"/>
  <c r="A1082" i="1"/>
  <c r="T1081" i="1"/>
  <c r="S1081" i="1"/>
  <c r="R1081" i="1"/>
  <c r="Q1081" i="1"/>
  <c r="M1081" i="1"/>
  <c r="L1081" i="1"/>
  <c r="K1081" i="1"/>
  <c r="J1081" i="1"/>
  <c r="H1081" i="1"/>
  <c r="G1081" i="1"/>
  <c r="F1081" i="1"/>
  <c r="E1081" i="1"/>
  <c r="C1081" i="1"/>
  <c r="D1081" i="1" s="1"/>
  <c r="I1081" i="1" s="1"/>
  <c r="B1081" i="1"/>
  <c r="A1081" i="1"/>
  <c r="T1080" i="1"/>
  <c r="S1080" i="1"/>
  <c r="R1080" i="1"/>
  <c r="Q1080" i="1"/>
  <c r="M1080" i="1"/>
  <c r="N1080" i="1" s="1"/>
  <c r="L1080" i="1"/>
  <c r="K1080" i="1"/>
  <c r="J1080" i="1"/>
  <c r="H1080" i="1"/>
  <c r="G1080" i="1"/>
  <c r="F1080" i="1"/>
  <c r="E1080" i="1"/>
  <c r="C1080" i="1"/>
  <c r="D1080" i="1" s="1"/>
  <c r="I1080" i="1" s="1"/>
  <c r="B1080" i="1"/>
  <c r="A1080" i="1"/>
  <c r="T1079" i="1"/>
  <c r="S1079" i="1"/>
  <c r="Q1079" i="1"/>
  <c r="M1079" i="1"/>
  <c r="N1079" i="1" s="1"/>
  <c r="L1079" i="1"/>
  <c r="K1079" i="1"/>
  <c r="J1079" i="1"/>
  <c r="R1079" i="1" s="1"/>
  <c r="I1079" i="1"/>
  <c r="H1079" i="1"/>
  <c r="G1079" i="1"/>
  <c r="F1079" i="1"/>
  <c r="E1079" i="1"/>
  <c r="C1079" i="1"/>
  <c r="D1079" i="1" s="1"/>
  <c r="B1079" i="1"/>
  <c r="A1079" i="1"/>
  <c r="T1078" i="1"/>
  <c r="S1078" i="1"/>
  <c r="Q1078" i="1"/>
  <c r="N1078" i="1"/>
  <c r="M1078" i="1"/>
  <c r="L1078" i="1"/>
  <c r="K1078" i="1"/>
  <c r="J1078" i="1"/>
  <c r="R1078" i="1" s="1"/>
  <c r="H1078" i="1"/>
  <c r="G1078" i="1"/>
  <c r="F1078" i="1"/>
  <c r="E1078" i="1"/>
  <c r="C1078" i="1"/>
  <c r="D1078" i="1" s="1"/>
  <c r="I1078" i="1" s="1"/>
  <c r="B1078" i="1"/>
  <c r="A1078" i="1"/>
  <c r="T1077" i="1"/>
  <c r="S1077" i="1"/>
  <c r="R1077" i="1"/>
  <c r="Q1077" i="1"/>
  <c r="M1077" i="1"/>
  <c r="L1077" i="1"/>
  <c r="K1077" i="1"/>
  <c r="J1077" i="1"/>
  <c r="H1077" i="1"/>
  <c r="G1077" i="1"/>
  <c r="F1077" i="1"/>
  <c r="E1077" i="1"/>
  <c r="C1077" i="1"/>
  <c r="D1077" i="1" s="1"/>
  <c r="I1077" i="1" s="1"/>
  <c r="B1077" i="1"/>
  <c r="A1077" i="1"/>
  <c r="T1076" i="1"/>
  <c r="S1076" i="1"/>
  <c r="R1076" i="1"/>
  <c r="Q1076" i="1"/>
  <c r="M1076" i="1"/>
  <c r="N1076" i="1" s="1"/>
  <c r="L1076" i="1"/>
  <c r="K1076" i="1"/>
  <c r="J1076" i="1"/>
  <c r="H1076" i="1"/>
  <c r="G1076" i="1"/>
  <c r="F1076" i="1"/>
  <c r="E1076" i="1"/>
  <c r="C1076" i="1"/>
  <c r="D1076" i="1" s="1"/>
  <c r="I1076" i="1" s="1"/>
  <c r="B1076" i="1"/>
  <c r="A1076" i="1"/>
  <c r="T1075" i="1"/>
  <c r="S1075" i="1"/>
  <c r="Q1075" i="1"/>
  <c r="M1075" i="1"/>
  <c r="N1075" i="1" s="1"/>
  <c r="L1075" i="1"/>
  <c r="K1075" i="1"/>
  <c r="J1075" i="1"/>
  <c r="R1075" i="1" s="1"/>
  <c r="I1075" i="1"/>
  <c r="H1075" i="1"/>
  <c r="G1075" i="1"/>
  <c r="F1075" i="1"/>
  <c r="E1075" i="1"/>
  <c r="C1075" i="1"/>
  <c r="D1075" i="1" s="1"/>
  <c r="B1075" i="1"/>
  <c r="A1075" i="1"/>
  <c r="T1074" i="1"/>
  <c r="S1074" i="1"/>
  <c r="Q1074" i="1"/>
  <c r="N1074" i="1"/>
  <c r="M1074" i="1"/>
  <c r="L1074" i="1"/>
  <c r="K1074" i="1"/>
  <c r="J1074" i="1"/>
  <c r="R1074" i="1" s="1"/>
  <c r="H1074" i="1"/>
  <c r="G1074" i="1"/>
  <c r="F1074" i="1"/>
  <c r="E1074" i="1"/>
  <c r="C1074" i="1"/>
  <c r="D1074" i="1" s="1"/>
  <c r="I1074" i="1" s="1"/>
  <c r="B1074" i="1"/>
  <c r="A1074" i="1"/>
  <c r="T1073" i="1"/>
  <c r="S1073" i="1"/>
  <c r="R1073" i="1"/>
  <c r="Q1073" i="1"/>
  <c r="M1073" i="1"/>
  <c r="L1073" i="1"/>
  <c r="K1073" i="1"/>
  <c r="J1073" i="1"/>
  <c r="H1073" i="1"/>
  <c r="G1073" i="1"/>
  <c r="F1073" i="1"/>
  <c r="E1073" i="1"/>
  <c r="C1073" i="1"/>
  <c r="D1073" i="1" s="1"/>
  <c r="I1073" i="1" s="1"/>
  <c r="B1073" i="1"/>
  <c r="A1073" i="1"/>
  <c r="T1072" i="1"/>
  <c r="S1072" i="1"/>
  <c r="R1072" i="1"/>
  <c r="Q1072" i="1"/>
  <c r="M1072" i="1"/>
  <c r="N1072" i="1" s="1"/>
  <c r="L1072" i="1"/>
  <c r="K1072" i="1"/>
  <c r="J1072" i="1"/>
  <c r="H1072" i="1"/>
  <c r="G1072" i="1"/>
  <c r="F1072" i="1"/>
  <c r="E1072" i="1"/>
  <c r="C1072" i="1"/>
  <c r="D1072" i="1" s="1"/>
  <c r="I1072" i="1" s="1"/>
  <c r="B1072" i="1"/>
  <c r="A1072" i="1"/>
  <c r="T1071" i="1"/>
  <c r="S1071" i="1"/>
  <c r="Q1071" i="1"/>
  <c r="M1071" i="1"/>
  <c r="N1071" i="1" s="1"/>
  <c r="L1071" i="1"/>
  <c r="K1071" i="1"/>
  <c r="J1071" i="1"/>
  <c r="R1071" i="1" s="1"/>
  <c r="I1071" i="1"/>
  <c r="H1071" i="1"/>
  <c r="G1071" i="1"/>
  <c r="F1071" i="1"/>
  <c r="E1071" i="1"/>
  <c r="C1071" i="1"/>
  <c r="D1071" i="1" s="1"/>
  <c r="B1071" i="1"/>
  <c r="A1071" i="1"/>
  <c r="T1070" i="1"/>
  <c r="S1070" i="1"/>
  <c r="Q1070" i="1"/>
  <c r="N1070" i="1"/>
  <c r="M1070" i="1"/>
  <c r="L1070" i="1"/>
  <c r="K1070" i="1"/>
  <c r="J1070" i="1"/>
  <c r="R1070" i="1" s="1"/>
  <c r="H1070" i="1"/>
  <c r="G1070" i="1"/>
  <c r="F1070" i="1"/>
  <c r="E1070" i="1"/>
  <c r="C1070" i="1"/>
  <c r="D1070" i="1" s="1"/>
  <c r="I1070" i="1" s="1"/>
  <c r="B1070" i="1"/>
  <c r="A1070" i="1"/>
  <c r="T1069" i="1"/>
  <c r="S1069" i="1"/>
  <c r="R1069" i="1"/>
  <c r="Q1069" i="1"/>
  <c r="M1069" i="1"/>
  <c r="L1069" i="1"/>
  <c r="K1069" i="1"/>
  <c r="J1069" i="1"/>
  <c r="H1069" i="1"/>
  <c r="G1069" i="1"/>
  <c r="F1069" i="1"/>
  <c r="E1069" i="1"/>
  <c r="C1069" i="1"/>
  <c r="D1069" i="1" s="1"/>
  <c r="I1069" i="1" s="1"/>
  <c r="B1069" i="1"/>
  <c r="A1069" i="1"/>
  <c r="T1068" i="1"/>
  <c r="S1068" i="1"/>
  <c r="R1068" i="1"/>
  <c r="Q1068" i="1"/>
  <c r="M1068" i="1"/>
  <c r="N1068" i="1" s="1"/>
  <c r="L1068" i="1"/>
  <c r="K1068" i="1"/>
  <c r="J1068" i="1"/>
  <c r="I1068" i="1"/>
  <c r="H1068" i="1"/>
  <c r="G1068" i="1"/>
  <c r="F1068" i="1"/>
  <c r="E1068" i="1"/>
  <c r="C1068" i="1"/>
  <c r="D1068" i="1" s="1"/>
  <c r="B1068" i="1"/>
  <c r="A1068" i="1"/>
  <c r="T1067" i="1"/>
  <c r="S1067" i="1"/>
  <c r="Q1067" i="1"/>
  <c r="M1067" i="1"/>
  <c r="N1067" i="1" s="1"/>
  <c r="L1067" i="1"/>
  <c r="K1067" i="1"/>
  <c r="R1067" i="1" s="1"/>
  <c r="J1067" i="1"/>
  <c r="H1067" i="1"/>
  <c r="G1067" i="1"/>
  <c r="F1067" i="1"/>
  <c r="E1067" i="1"/>
  <c r="C1067" i="1"/>
  <c r="D1067" i="1" s="1"/>
  <c r="I1067" i="1" s="1"/>
  <c r="B1067" i="1"/>
  <c r="A1067" i="1"/>
  <c r="T1066" i="1"/>
  <c r="S1066" i="1"/>
  <c r="R1066" i="1"/>
  <c r="Q1066" i="1"/>
  <c r="M1066" i="1"/>
  <c r="N1066" i="1" s="1"/>
  <c r="L1066" i="1"/>
  <c r="K1066" i="1"/>
  <c r="J1066" i="1"/>
  <c r="I1066" i="1"/>
  <c r="H1066" i="1"/>
  <c r="G1066" i="1"/>
  <c r="F1066" i="1"/>
  <c r="E1066" i="1"/>
  <c r="C1066" i="1"/>
  <c r="D1066" i="1" s="1"/>
  <c r="B1066" i="1"/>
  <c r="A1066" i="1"/>
  <c r="T1065" i="1"/>
  <c r="S1065" i="1"/>
  <c r="Q1065" i="1"/>
  <c r="M1065" i="1"/>
  <c r="L1065" i="1"/>
  <c r="K1065" i="1"/>
  <c r="R1065" i="1" s="1"/>
  <c r="J1065" i="1"/>
  <c r="H1065" i="1"/>
  <c r="G1065" i="1"/>
  <c r="F1065" i="1"/>
  <c r="E1065" i="1"/>
  <c r="C1065" i="1"/>
  <c r="D1065" i="1" s="1"/>
  <c r="I1065" i="1" s="1"/>
  <c r="B1065" i="1"/>
  <c r="A1065" i="1"/>
  <c r="T1064" i="1"/>
  <c r="S1064" i="1"/>
  <c r="R1064" i="1"/>
  <c r="Q1064" i="1"/>
  <c r="M1064" i="1"/>
  <c r="N1064" i="1" s="1"/>
  <c r="L1064" i="1"/>
  <c r="K1064" i="1"/>
  <c r="J1064" i="1"/>
  <c r="I1064" i="1"/>
  <c r="H1064" i="1"/>
  <c r="G1064" i="1"/>
  <c r="F1064" i="1"/>
  <c r="E1064" i="1"/>
  <c r="C1064" i="1"/>
  <c r="D1064" i="1" s="1"/>
  <c r="B1064" i="1"/>
  <c r="A1064" i="1"/>
  <c r="T1063" i="1"/>
  <c r="S1063" i="1"/>
  <c r="Q1063" i="1"/>
  <c r="M1063" i="1"/>
  <c r="N1063" i="1" s="1"/>
  <c r="P1063" i="1" s="1"/>
  <c r="L1063" i="1"/>
  <c r="K1063" i="1"/>
  <c r="R1063" i="1" s="1"/>
  <c r="J1063" i="1"/>
  <c r="H1063" i="1"/>
  <c r="G1063" i="1"/>
  <c r="F1063" i="1"/>
  <c r="E1063" i="1"/>
  <c r="C1063" i="1"/>
  <c r="D1063" i="1" s="1"/>
  <c r="I1063" i="1" s="1"/>
  <c r="B1063" i="1"/>
  <c r="A1063" i="1"/>
  <c r="T1062" i="1"/>
  <c r="S1062" i="1"/>
  <c r="R1062" i="1"/>
  <c r="Q1062" i="1"/>
  <c r="M1062" i="1"/>
  <c r="N1062" i="1" s="1"/>
  <c r="L1062" i="1"/>
  <c r="K1062" i="1"/>
  <c r="J1062" i="1"/>
  <c r="I1062" i="1"/>
  <c r="H1062" i="1"/>
  <c r="G1062" i="1"/>
  <c r="F1062" i="1"/>
  <c r="E1062" i="1"/>
  <c r="C1062" i="1"/>
  <c r="D1062" i="1" s="1"/>
  <c r="B1062" i="1"/>
  <c r="A1062" i="1"/>
  <c r="T1061" i="1"/>
  <c r="S1061" i="1"/>
  <c r="Q1061" i="1"/>
  <c r="M1061" i="1"/>
  <c r="L1061" i="1"/>
  <c r="K1061" i="1"/>
  <c r="R1061" i="1" s="1"/>
  <c r="J1061" i="1"/>
  <c r="H1061" i="1"/>
  <c r="G1061" i="1"/>
  <c r="F1061" i="1"/>
  <c r="E1061" i="1"/>
  <c r="C1061" i="1"/>
  <c r="D1061" i="1" s="1"/>
  <c r="I1061" i="1" s="1"/>
  <c r="B1061" i="1"/>
  <c r="A1061" i="1"/>
  <c r="T1060" i="1"/>
  <c r="S1060" i="1"/>
  <c r="R1060" i="1"/>
  <c r="Q1060" i="1"/>
  <c r="M1060" i="1"/>
  <c r="N1060" i="1" s="1"/>
  <c r="L1060" i="1"/>
  <c r="K1060" i="1"/>
  <c r="J1060" i="1"/>
  <c r="I1060" i="1"/>
  <c r="H1060" i="1"/>
  <c r="G1060" i="1"/>
  <c r="F1060" i="1"/>
  <c r="E1060" i="1"/>
  <c r="C1060" i="1"/>
  <c r="D1060" i="1" s="1"/>
  <c r="B1060" i="1"/>
  <c r="A1060" i="1"/>
  <c r="T1059" i="1"/>
  <c r="S1059" i="1"/>
  <c r="Q1059" i="1"/>
  <c r="M1059" i="1"/>
  <c r="N1059" i="1" s="1"/>
  <c r="L1059" i="1"/>
  <c r="K1059" i="1"/>
  <c r="R1059" i="1" s="1"/>
  <c r="J1059" i="1"/>
  <c r="H1059" i="1"/>
  <c r="G1059" i="1"/>
  <c r="F1059" i="1"/>
  <c r="E1059" i="1"/>
  <c r="C1059" i="1"/>
  <c r="D1059" i="1" s="1"/>
  <c r="I1059" i="1" s="1"/>
  <c r="B1059" i="1"/>
  <c r="A1059" i="1"/>
  <c r="T1058" i="1"/>
  <c r="S1058" i="1"/>
  <c r="R1058" i="1"/>
  <c r="Q1058" i="1"/>
  <c r="M1058" i="1"/>
  <c r="N1058" i="1" s="1"/>
  <c r="L1058" i="1"/>
  <c r="K1058" i="1"/>
  <c r="J1058" i="1"/>
  <c r="I1058" i="1"/>
  <c r="H1058" i="1"/>
  <c r="G1058" i="1"/>
  <c r="F1058" i="1"/>
  <c r="E1058" i="1"/>
  <c r="C1058" i="1"/>
  <c r="D1058" i="1" s="1"/>
  <c r="B1058" i="1"/>
  <c r="A1058" i="1"/>
  <c r="T1057" i="1"/>
  <c r="S1057" i="1"/>
  <c r="Q1057" i="1"/>
  <c r="M1057" i="1"/>
  <c r="L1057" i="1"/>
  <c r="K1057" i="1"/>
  <c r="R1057" i="1" s="1"/>
  <c r="J1057" i="1"/>
  <c r="H1057" i="1"/>
  <c r="G1057" i="1"/>
  <c r="F1057" i="1"/>
  <c r="E1057" i="1"/>
  <c r="C1057" i="1"/>
  <c r="D1057" i="1" s="1"/>
  <c r="I1057" i="1" s="1"/>
  <c r="B1057" i="1"/>
  <c r="A1057" i="1"/>
  <c r="T1056" i="1"/>
  <c r="S1056" i="1"/>
  <c r="R1056" i="1"/>
  <c r="Q1056" i="1"/>
  <c r="M1056" i="1"/>
  <c r="N1056" i="1" s="1"/>
  <c r="L1056" i="1"/>
  <c r="K1056" i="1"/>
  <c r="J1056" i="1"/>
  <c r="I1056" i="1"/>
  <c r="H1056" i="1"/>
  <c r="G1056" i="1"/>
  <c r="F1056" i="1"/>
  <c r="E1056" i="1"/>
  <c r="C1056" i="1"/>
  <c r="D1056" i="1" s="1"/>
  <c r="B1056" i="1"/>
  <c r="A1056" i="1"/>
  <c r="T1055" i="1"/>
  <c r="S1055" i="1"/>
  <c r="Q1055" i="1"/>
  <c r="M1055" i="1"/>
  <c r="N1055" i="1" s="1"/>
  <c r="P1055" i="1" s="1"/>
  <c r="L1055" i="1"/>
  <c r="K1055" i="1"/>
  <c r="R1055" i="1" s="1"/>
  <c r="J1055" i="1"/>
  <c r="H1055" i="1"/>
  <c r="G1055" i="1"/>
  <c r="F1055" i="1"/>
  <c r="E1055" i="1"/>
  <c r="C1055" i="1"/>
  <c r="D1055" i="1" s="1"/>
  <c r="I1055" i="1" s="1"/>
  <c r="B1055" i="1"/>
  <c r="A1055" i="1"/>
  <c r="T1054" i="1"/>
  <c r="S1054" i="1"/>
  <c r="R1054" i="1"/>
  <c r="Q1054" i="1"/>
  <c r="M1054" i="1"/>
  <c r="N1054" i="1" s="1"/>
  <c r="L1054" i="1"/>
  <c r="K1054" i="1"/>
  <c r="J1054" i="1"/>
  <c r="I1054" i="1"/>
  <c r="H1054" i="1"/>
  <c r="G1054" i="1"/>
  <c r="F1054" i="1"/>
  <c r="E1054" i="1"/>
  <c r="C1054" i="1"/>
  <c r="D1054" i="1" s="1"/>
  <c r="B1054" i="1"/>
  <c r="A1054" i="1"/>
  <c r="T1053" i="1"/>
  <c r="S1053" i="1"/>
  <c r="Q1053" i="1"/>
  <c r="M1053" i="1"/>
  <c r="L1053" i="1"/>
  <c r="K1053" i="1"/>
  <c r="R1053" i="1" s="1"/>
  <c r="J1053" i="1"/>
  <c r="H1053" i="1"/>
  <c r="G1053" i="1"/>
  <c r="F1053" i="1"/>
  <c r="E1053" i="1"/>
  <c r="C1053" i="1"/>
  <c r="D1053" i="1" s="1"/>
  <c r="I1053" i="1" s="1"/>
  <c r="B1053" i="1"/>
  <c r="A1053" i="1"/>
  <c r="T1052" i="1"/>
  <c r="S1052" i="1"/>
  <c r="R1052" i="1"/>
  <c r="Q1052" i="1"/>
  <c r="M1052" i="1"/>
  <c r="N1052" i="1" s="1"/>
  <c r="L1052" i="1"/>
  <c r="K1052" i="1"/>
  <c r="J1052" i="1"/>
  <c r="I1052" i="1"/>
  <c r="H1052" i="1"/>
  <c r="G1052" i="1"/>
  <c r="F1052" i="1"/>
  <c r="E1052" i="1"/>
  <c r="C1052" i="1"/>
  <c r="D1052" i="1" s="1"/>
  <c r="B1052" i="1"/>
  <c r="A1052" i="1"/>
  <c r="T1051" i="1"/>
  <c r="S1051" i="1"/>
  <c r="Q1051" i="1"/>
  <c r="M1051" i="1"/>
  <c r="N1051" i="1" s="1"/>
  <c r="L1051" i="1"/>
  <c r="K1051" i="1"/>
  <c r="R1051" i="1" s="1"/>
  <c r="J1051" i="1"/>
  <c r="H1051" i="1"/>
  <c r="G1051" i="1"/>
  <c r="F1051" i="1"/>
  <c r="E1051" i="1"/>
  <c r="C1051" i="1"/>
  <c r="D1051" i="1" s="1"/>
  <c r="I1051" i="1" s="1"/>
  <c r="B1051" i="1"/>
  <c r="A1051" i="1"/>
  <c r="T1050" i="1"/>
  <c r="S1050" i="1"/>
  <c r="R1050" i="1"/>
  <c r="Q1050" i="1"/>
  <c r="M1050" i="1"/>
  <c r="N1050" i="1" s="1"/>
  <c r="L1050" i="1"/>
  <c r="K1050" i="1"/>
  <c r="J1050" i="1"/>
  <c r="I1050" i="1"/>
  <c r="H1050" i="1"/>
  <c r="G1050" i="1"/>
  <c r="F1050" i="1"/>
  <c r="E1050" i="1"/>
  <c r="C1050" i="1"/>
  <c r="D1050" i="1" s="1"/>
  <c r="B1050" i="1"/>
  <c r="A1050" i="1"/>
  <c r="T1049" i="1"/>
  <c r="S1049" i="1"/>
  <c r="Q1049" i="1"/>
  <c r="M1049" i="1"/>
  <c r="L1049" i="1"/>
  <c r="K1049" i="1"/>
  <c r="R1049" i="1" s="1"/>
  <c r="J1049" i="1"/>
  <c r="H1049" i="1"/>
  <c r="G1049" i="1"/>
  <c r="F1049" i="1"/>
  <c r="E1049" i="1"/>
  <c r="C1049" i="1"/>
  <c r="D1049" i="1" s="1"/>
  <c r="I1049" i="1" s="1"/>
  <c r="B1049" i="1"/>
  <c r="A1049" i="1"/>
  <c r="T1048" i="1"/>
  <c r="S1048" i="1"/>
  <c r="R1048" i="1"/>
  <c r="Q1048" i="1"/>
  <c r="M1048" i="1"/>
  <c r="N1048" i="1" s="1"/>
  <c r="L1048" i="1"/>
  <c r="K1048" i="1"/>
  <c r="J1048" i="1"/>
  <c r="I1048" i="1"/>
  <c r="H1048" i="1"/>
  <c r="G1048" i="1"/>
  <c r="F1048" i="1"/>
  <c r="E1048" i="1"/>
  <c r="C1048" i="1"/>
  <c r="D1048" i="1" s="1"/>
  <c r="B1048" i="1"/>
  <c r="A1048" i="1"/>
  <c r="T1047" i="1"/>
  <c r="S1047" i="1"/>
  <c r="Q1047" i="1"/>
  <c r="M1047" i="1"/>
  <c r="N1047" i="1" s="1"/>
  <c r="P1047" i="1" s="1"/>
  <c r="L1047" i="1"/>
  <c r="K1047" i="1"/>
  <c r="R1047" i="1" s="1"/>
  <c r="J1047" i="1"/>
  <c r="H1047" i="1"/>
  <c r="G1047" i="1"/>
  <c r="F1047" i="1"/>
  <c r="E1047" i="1"/>
  <c r="C1047" i="1"/>
  <c r="D1047" i="1" s="1"/>
  <c r="I1047" i="1" s="1"/>
  <c r="B1047" i="1"/>
  <c r="A1047" i="1"/>
  <c r="T1046" i="1"/>
  <c r="S1046" i="1"/>
  <c r="R1046" i="1"/>
  <c r="Q1046" i="1"/>
  <c r="M1046" i="1"/>
  <c r="N1046" i="1" s="1"/>
  <c r="L1046" i="1"/>
  <c r="K1046" i="1"/>
  <c r="J1046" i="1"/>
  <c r="I1046" i="1"/>
  <c r="H1046" i="1"/>
  <c r="G1046" i="1"/>
  <c r="F1046" i="1"/>
  <c r="E1046" i="1"/>
  <c r="C1046" i="1"/>
  <c r="D1046" i="1" s="1"/>
  <c r="B1046" i="1"/>
  <c r="A1046" i="1"/>
  <c r="T1045" i="1"/>
  <c r="S1045" i="1"/>
  <c r="Q1045" i="1"/>
  <c r="M1045" i="1"/>
  <c r="L1045" i="1"/>
  <c r="K1045" i="1"/>
  <c r="R1045" i="1" s="1"/>
  <c r="J1045" i="1"/>
  <c r="H1045" i="1"/>
  <c r="G1045" i="1"/>
  <c r="F1045" i="1"/>
  <c r="E1045" i="1"/>
  <c r="C1045" i="1"/>
  <c r="D1045" i="1" s="1"/>
  <c r="I1045" i="1" s="1"/>
  <c r="B1045" i="1"/>
  <c r="A1045" i="1"/>
  <c r="T1044" i="1"/>
  <c r="S1044" i="1"/>
  <c r="R1044" i="1"/>
  <c r="Q1044" i="1"/>
  <c r="M1044" i="1"/>
  <c r="N1044" i="1" s="1"/>
  <c r="L1044" i="1"/>
  <c r="K1044" i="1"/>
  <c r="J1044" i="1"/>
  <c r="I1044" i="1"/>
  <c r="H1044" i="1"/>
  <c r="G1044" i="1"/>
  <c r="F1044" i="1"/>
  <c r="E1044" i="1"/>
  <c r="C1044" i="1"/>
  <c r="D1044" i="1" s="1"/>
  <c r="B1044" i="1"/>
  <c r="A1044" i="1"/>
  <c r="T1043" i="1"/>
  <c r="S1043" i="1"/>
  <c r="Q1043" i="1"/>
  <c r="M1043" i="1"/>
  <c r="N1043" i="1" s="1"/>
  <c r="L1043" i="1"/>
  <c r="K1043" i="1"/>
  <c r="R1043" i="1" s="1"/>
  <c r="J1043" i="1"/>
  <c r="H1043" i="1"/>
  <c r="G1043" i="1"/>
  <c r="F1043" i="1"/>
  <c r="E1043" i="1"/>
  <c r="C1043" i="1"/>
  <c r="D1043" i="1" s="1"/>
  <c r="I1043" i="1" s="1"/>
  <c r="B1043" i="1"/>
  <c r="A1043" i="1"/>
  <c r="T1042" i="1"/>
  <c r="S1042" i="1"/>
  <c r="R1042" i="1"/>
  <c r="Q1042" i="1"/>
  <c r="M1042" i="1"/>
  <c r="N1042" i="1" s="1"/>
  <c r="L1042" i="1"/>
  <c r="K1042" i="1"/>
  <c r="J1042" i="1"/>
  <c r="I1042" i="1"/>
  <c r="H1042" i="1"/>
  <c r="G1042" i="1"/>
  <c r="F1042" i="1"/>
  <c r="E1042" i="1"/>
  <c r="C1042" i="1"/>
  <c r="D1042" i="1" s="1"/>
  <c r="B1042" i="1"/>
  <c r="A1042" i="1"/>
  <c r="T1041" i="1"/>
  <c r="S1041" i="1"/>
  <c r="Q1041" i="1"/>
  <c r="M1041" i="1"/>
  <c r="L1041" i="1"/>
  <c r="K1041" i="1"/>
  <c r="R1041" i="1" s="1"/>
  <c r="J1041" i="1"/>
  <c r="H1041" i="1"/>
  <c r="G1041" i="1"/>
  <c r="F1041" i="1"/>
  <c r="E1041" i="1"/>
  <c r="C1041" i="1"/>
  <c r="D1041" i="1" s="1"/>
  <c r="I1041" i="1" s="1"/>
  <c r="B1041" i="1"/>
  <c r="A1041" i="1"/>
  <c r="T1040" i="1"/>
  <c r="S1040" i="1"/>
  <c r="R1040" i="1"/>
  <c r="Q1040" i="1"/>
  <c r="M1040" i="1"/>
  <c r="N1040" i="1" s="1"/>
  <c r="L1040" i="1"/>
  <c r="K1040" i="1"/>
  <c r="J1040" i="1"/>
  <c r="I1040" i="1"/>
  <c r="H1040" i="1"/>
  <c r="G1040" i="1"/>
  <c r="F1040" i="1"/>
  <c r="E1040" i="1"/>
  <c r="C1040" i="1"/>
  <c r="D1040" i="1" s="1"/>
  <c r="B1040" i="1"/>
  <c r="A1040" i="1"/>
  <c r="T1039" i="1"/>
  <c r="S1039" i="1"/>
  <c r="Q1039" i="1"/>
  <c r="M1039" i="1"/>
  <c r="N1039" i="1" s="1"/>
  <c r="P1039" i="1" s="1"/>
  <c r="L1039" i="1"/>
  <c r="K1039" i="1"/>
  <c r="R1039" i="1" s="1"/>
  <c r="J1039" i="1"/>
  <c r="H1039" i="1"/>
  <c r="G1039" i="1"/>
  <c r="F1039" i="1"/>
  <c r="E1039" i="1"/>
  <c r="C1039" i="1"/>
  <c r="D1039" i="1" s="1"/>
  <c r="I1039" i="1" s="1"/>
  <c r="B1039" i="1"/>
  <c r="A1039" i="1"/>
  <c r="T1038" i="1"/>
  <c r="S1038" i="1"/>
  <c r="R1038" i="1"/>
  <c r="Q1038" i="1"/>
  <c r="M1038" i="1"/>
  <c r="N1038" i="1" s="1"/>
  <c r="L1038" i="1"/>
  <c r="K1038" i="1"/>
  <c r="J1038" i="1"/>
  <c r="I1038" i="1"/>
  <c r="H1038" i="1"/>
  <c r="G1038" i="1"/>
  <c r="F1038" i="1"/>
  <c r="E1038" i="1"/>
  <c r="C1038" i="1"/>
  <c r="D1038" i="1" s="1"/>
  <c r="B1038" i="1"/>
  <c r="A1038" i="1"/>
  <c r="T1037" i="1"/>
  <c r="S1037" i="1"/>
  <c r="Q1037" i="1"/>
  <c r="M1037" i="1"/>
  <c r="L1037" i="1"/>
  <c r="K1037" i="1"/>
  <c r="R1037" i="1" s="1"/>
  <c r="J1037" i="1"/>
  <c r="H1037" i="1"/>
  <c r="G1037" i="1"/>
  <c r="F1037" i="1"/>
  <c r="E1037" i="1"/>
  <c r="C1037" i="1"/>
  <c r="D1037" i="1" s="1"/>
  <c r="I1037" i="1" s="1"/>
  <c r="B1037" i="1"/>
  <c r="A1037" i="1"/>
  <c r="T1036" i="1"/>
  <c r="S1036" i="1"/>
  <c r="R1036" i="1"/>
  <c r="Q1036" i="1"/>
  <c r="M1036" i="1"/>
  <c r="N1036" i="1" s="1"/>
  <c r="L1036" i="1"/>
  <c r="K1036" i="1"/>
  <c r="J1036" i="1"/>
  <c r="I1036" i="1"/>
  <c r="H1036" i="1"/>
  <c r="G1036" i="1"/>
  <c r="F1036" i="1"/>
  <c r="E1036" i="1"/>
  <c r="C1036" i="1"/>
  <c r="D1036" i="1" s="1"/>
  <c r="B1036" i="1"/>
  <c r="A1036" i="1"/>
  <c r="T1035" i="1"/>
  <c r="S1035" i="1"/>
  <c r="Q1035" i="1"/>
  <c r="M1035" i="1"/>
  <c r="N1035" i="1" s="1"/>
  <c r="L1035" i="1"/>
  <c r="K1035" i="1"/>
  <c r="R1035" i="1" s="1"/>
  <c r="J1035" i="1"/>
  <c r="H1035" i="1"/>
  <c r="G1035" i="1"/>
  <c r="F1035" i="1"/>
  <c r="E1035" i="1"/>
  <c r="C1035" i="1"/>
  <c r="D1035" i="1" s="1"/>
  <c r="I1035" i="1" s="1"/>
  <c r="B1035" i="1"/>
  <c r="A1035" i="1"/>
  <c r="T1034" i="1"/>
  <c r="S1034" i="1"/>
  <c r="R1034" i="1"/>
  <c r="Q1034" i="1"/>
  <c r="M1034" i="1"/>
  <c r="N1034" i="1" s="1"/>
  <c r="L1034" i="1"/>
  <c r="K1034" i="1"/>
  <c r="J1034" i="1"/>
  <c r="I1034" i="1"/>
  <c r="H1034" i="1"/>
  <c r="G1034" i="1"/>
  <c r="F1034" i="1"/>
  <c r="E1034" i="1"/>
  <c r="C1034" i="1"/>
  <c r="D1034" i="1" s="1"/>
  <c r="B1034" i="1"/>
  <c r="A1034" i="1"/>
  <c r="T1033" i="1"/>
  <c r="S1033" i="1"/>
  <c r="Q1033" i="1"/>
  <c r="M1033" i="1"/>
  <c r="L1033" i="1"/>
  <c r="K1033" i="1"/>
  <c r="R1033" i="1" s="1"/>
  <c r="J1033" i="1"/>
  <c r="H1033" i="1"/>
  <c r="G1033" i="1"/>
  <c r="F1033" i="1"/>
  <c r="E1033" i="1"/>
  <c r="C1033" i="1"/>
  <c r="D1033" i="1" s="1"/>
  <c r="I1033" i="1" s="1"/>
  <c r="B1033" i="1"/>
  <c r="A1033" i="1"/>
  <c r="T1032" i="1"/>
  <c r="S1032" i="1"/>
  <c r="R1032" i="1"/>
  <c r="Q1032" i="1"/>
  <c r="M1032" i="1"/>
  <c r="N1032" i="1" s="1"/>
  <c r="L1032" i="1"/>
  <c r="K1032" i="1"/>
  <c r="J1032" i="1"/>
  <c r="I1032" i="1"/>
  <c r="H1032" i="1"/>
  <c r="G1032" i="1"/>
  <c r="F1032" i="1"/>
  <c r="E1032" i="1"/>
  <c r="C1032" i="1"/>
  <c r="D1032" i="1" s="1"/>
  <c r="B1032" i="1"/>
  <c r="A1032" i="1"/>
  <c r="T1031" i="1"/>
  <c r="S1031" i="1"/>
  <c r="Q1031" i="1"/>
  <c r="M1031" i="1"/>
  <c r="N1031" i="1" s="1"/>
  <c r="P1031" i="1" s="1"/>
  <c r="L1031" i="1"/>
  <c r="K1031" i="1"/>
  <c r="R1031" i="1" s="1"/>
  <c r="J1031" i="1"/>
  <c r="H1031" i="1"/>
  <c r="G1031" i="1"/>
  <c r="F1031" i="1"/>
  <c r="E1031" i="1"/>
  <c r="C1031" i="1"/>
  <c r="D1031" i="1" s="1"/>
  <c r="I1031" i="1" s="1"/>
  <c r="B1031" i="1"/>
  <c r="A1031" i="1"/>
  <c r="T1030" i="1"/>
  <c r="S1030" i="1"/>
  <c r="R1030" i="1"/>
  <c r="Q1030" i="1"/>
  <c r="M1030" i="1"/>
  <c r="N1030" i="1" s="1"/>
  <c r="L1030" i="1"/>
  <c r="K1030" i="1"/>
  <c r="J1030" i="1"/>
  <c r="I1030" i="1"/>
  <c r="H1030" i="1"/>
  <c r="G1030" i="1"/>
  <c r="F1030" i="1"/>
  <c r="E1030" i="1"/>
  <c r="C1030" i="1"/>
  <c r="D1030" i="1" s="1"/>
  <c r="B1030" i="1"/>
  <c r="A1030" i="1"/>
  <c r="T1029" i="1"/>
  <c r="S1029" i="1"/>
  <c r="Q1029" i="1"/>
  <c r="M1029" i="1"/>
  <c r="L1029" i="1"/>
  <c r="K1029" i="1"/>
  <c r="R1029" i="1" s="1"/>
  <c r="J1029" i="1"/>
  <c r="H1029" i="1"/>
  <c r="G1029" i="1"/>
  <c r="F1029" i="1"/>
  <c r="E1029" i="1"/>
  <c r="C1029" i="1"/>
  <c r="D1029" i="1" s="1"/>
  <c r="I1029" i="1" s="1"/>
  <c r="B1029" i="1"/>
  <c r="A1029" i="1"/>
  <c r="T1028" i="1"/>
  <c r="S1028" i="1"/>
  <c r="R1028" i="1"/>
  <c r="Q1028" i="1"/>
  <c r="M1028" i="1"/>
  <c r="N1028" i="1" s="1"/>
  <c r="L1028" i="1"/>
  <c r="K1028" i="1"/>
  <c r="J1028" i="1"/>
  <c r="I1028" i="1"/>
  <c r="H1028" i="1"/>
  <c r="G1028" i="1"/>
  <c r="F1028" i="1"/>
  <c r="E1028" i="1"/>
  <c r="C1028" i="1"/>
  <c r="D1028" i="1" s="1"/>
  <c r="B1028" i="1"/>
  <c r="A1028" i="1"/>
  <c r="T1027" i="1"/>
  <c r="S1027" i="1"/>
  <c r="Q1027" i="1"/>
  <c r="M1027" i="1"/>
  <c r="N1027" i="1" s="1"/>
  <c r="L1027" i="1"/>
  <c r="K1027" i="1"/>
  <c r="R1027" i="1" s="1"/>
  <c r="J1027" i="1"/>
  <c r="H1027" i="1"/>
  <c r="G1027" i="1"/>
  <c r="F1027" i="1"/>
  <c r="E1027" i="1"/>
  <c r="C1027" i="1"/>
  <c r="D1027" i="1" s="1"/>
  <c r="I1027" i="1" s="1"/>
  <c r="B1027" i="1"/>
  <c r="A1027" i="1"/>
  <c r="T1026" i="1"/>
  <c r="S1026" i="1"/>
  <c r="R1026" i="1"/>
  <c r="Q1026" i="1"/>
  <c r="M1026" i="1"/>
  <c r="N1026" i="1" s="1"/>
  <c r="L1026" i="1"/>
  <c r="K1026" i="1"/>
  <c r="J1026" i="1"/>
  <c r="I1026" i="1"/>
  <c r="H1026" i="1"/>
  <c r="G1026" i="1"/>
  <c r="F1026" i="1"/>
  <c r="E1026" i="1"/>
  <c r="C1026" i="1"/>
  <c r="D1026" i="1" s="1"/>
  <c r="B1026" i="1"/>
  <c r="A1026" i="1"/>
  <c r="T1025" i="1"/>
  <c r="S1025" i="1"/>
  <c r="Q1025" i="1"/>
  <c r="M1025" i="1"/>
  <c r="L1025" i="1"/>
  <c r="K1025" i="1"/>
  <c r="R1025" i="1" s="1"/>
  <c r="J1025" i="1"/>
  <c r="H1025" i="1"/>
  <c r="G1025" i="1"/>
  <c r="F1025" i="1"/>
  <c r="E1025" i="1"/>
  <c r="C1025" i="1"/>
  <c r="D1025" i="1" s="1"/>
  <c r="I1025" i="1" s="1"/>
  <c r="B1025" i="1"/>
  <c r="A1025" i="1"/>
  <c r="T1024" i="1"/>
  <c r="S1024" i="1"/>
  <c r="R1024" i="1"/>
  <c r="Q1024" i="1"/>
  <c r="M1024" i="1"/>
  <c r="N1024" i="1" s="1"/>
  <c r="L1024" i="1"/>
  <c r="K1024" i="1"/>
  <c r="J1024" i="1"/>
  <c r="I1024" i="1"/>
  <c r="H1024" i="1"/>
  <c r="G1024" i="1"/>
  <c r="F1024" i="1"/>
  <c r="E1024" i="1"/>
  <c r="C1024" i="1"/>
  <c r="D1024" i="1" s="1"/>
  <c r="B1024" i="1"/>
  <c r="A1024" i="1"/>
  <c r="T1023" i="1"/>
  <c r="S1023" i="1"/>
  <c r="Q1023" i="1"/>
  <c r="M1023" i="1"/>
  <c r="N1023" i="1" s="1"/>
  <c r="P1023" i="1" s="1"/>
  <c r="L1023" i="1"/>
  <c r="K1023" i="1"/>
  <c r="R1023" i="1" s="1"/>
  <c r="J1023" i="1"/>
  <c r="H1023" i="1"/>
  <c r="G1023" i="1"/>
  <c r="F1023" i="1"/>
  <c r="E1023" i="1"/>
  <c r="C1023" i="1"/>
  <c r="D1023" i="1" s="1"/>
  <c r="I1023" i="1" s="1"/>
  <c r="B1023" i="1"/>
  <c r="A1023" i="1"/>
  <c r="T1022" i="1"/>
  <c r="S1022" i="1"/>
  <c r="R1022" i="1"/>
  <c r="Q1022" i="1"/>
  <c r="M1022" i="1"/>
  <c r="N1022" i="1" s="1"/>
  <c r="L1022" i="1"/>
  <c r="K1022" i="1"/>
  <c r="J1022" i="1"/>
  <c r="I1022" i="1"/>
  <c r="H1022" i="1"/>
  <c r="G1022" i="1"/>
  <c r="F1022" i="1"/>
  <c r="E1022" i="1"/>
  <c r="C1022" i="1"/>
  <c r="D1022" i="1" s="1"/>
  <c r="B1022" i="1"/>
  <c r="A1022" i="1"/>
  <c r="T1021" i="1"/>
  <c r="S1021" i="1"/>
  <c r="Q1021" i="1"/>
  <c r="M1021" i="1"/>
  <c r="L1021" i="1"/>
  <c r="K1021" i="1"/>
  <c r="R1021" i="1" s="1"/>
  <c r="J1021" i="1"/>
  <c r="H1021" i="1"/>
  <c r="G1021" i="1"/>
  <c r="F1021" i="1"/>
  <c r="E1021" i="1"/>
  <c r="C1021" i="1"/>
  <c r="D1021" i="1" s="1"/>
  <c r="I1021" i="1" s="1"/>
  <c r="B1021" i="1"/>
  <c r="A1021" i="1"/>
  <c r="T1020" i="1"/>
  <c r="S1020" i="1"/>
  <c r="R1020" i="1"/>
  <c r="Q1020" i="1"/>
  <c r="M1020" i="1"/>
  <c r="N1020" i="1" s="1"/>
  <c r="L1020" i="1"/>
  <c r="K1020" i="1"/>
  <c r="J1020" i="1"/>
  <c r="I1020" i="1"/>
  <c r="H1020" i="1"/>
  <c r="G1020" i="1"/>
  <c r="F1020" i="1"/>
  <c r="E1020" i="1"/>
  <c r="C1020" i="1"/>
  <c r="D1020" i="1" s="1"/>
  <c r="B1020" i="1"/>
  <c r="A1020" i="1"/>
  <c r="T1019" i="1"/>
  <c r="S1019" i="1"/>
  <c r="Q1019" i="1"/>
  <c r="M1019" i="1"/>
  <c r="N1019" i="1" s="1"/>
  <c r="L1019" i="1"/>
  <c r="K1019" i="1"/>
  <c r="R1019" i="1" s="1"/>
  <c r="J1019" i="1"/>
  <c r="H1019" i="1"/>
  <c r="G1019" i="1"/>
  <c r="F1019" i="1"/>
  <c r="E1019" i="1"/>
  <c r="C1019" i="1"/>
  <c r="D1019" i="1" s="1"/>
  <c r="I1019" i="1" s="1"/>
  <c r="B1019" i="1"/>
  <c r="A1019" i="1"/>
  <c r="T1018" i="1"/>
  <c r="S1018" i="1"/>
  <c r="R1018" i="1"/>
  <c r="Q1018" i="1"/>
  <c r="M1018" i="1"/>
  <c r="N1018" i="1" s="1"/>
  <c r="L1018" i="1"/>
  <c r="K1018" i="1"/>
  <c r="J1018" i="1"/>
  <c r="I1018" i="1"/>
  <c r="H1018" i="1"/>
  <c r="G1018" i="1"/>
  <c r="F1018" i="1"/>
  <c r="E1018" i="1"/>
  <c r="C1018" i="1"/>
  <c r="D1018" i="1" s="1"/>
  <c r="B1018" i="1"/>
  <c r="A1018" i="1"/>
  <c r="T1017" i="1"/>
  <c r="S1017" i="1"/>
  <c r="Q1017" i="1"/>
  <c r="M1017" i="1"/>
  <c r="L1017" i="1"/>
  <c r="K1017" i="1"/>
  <c r="R1017" i="1" s="1"/>
  <c r="J1017" i="1"/>
  <c r="H1017" i="1"/>
  <c r="G1017" i="1"/>
  <c r="F1017" i="1"/>
  <c r="E1017" i="1"/>
  <c r="C1017" i="1"/>
  <c r="D1017" i="1" s="1"/>
  <c r="I1017" i="1" s="1"/>
  <c r="B1017" i="1"/>
  <c r="A1017" i="1"/>
  <c r="T1016" i="1"/>
  <c r="S1016" i="1"/>
  <c r="R1016" i="1"/>
  <c r="Q1016" i="1"/>
  <c r="M1016" i="1"/>
  <c r="N1016" i="1" s="1"/>
  <c r="L1016" i="1"/>
  <c r="K1016" i="1"/>
  <c r="J1016" i="1"/>
  <c r="I1016" i="1"/>
  <c r="H1016" i="1"/>
  <c r="G1016" i="1"/>
  <c r="F1016" i="1"/>
  <c r="E1016" i="1"/>
  <c r="C1016" i="1"/>
  <c r="D1016" i="1" s="1"/>
  <c r="B1016" i="1"/>
  <c r="A1016" i="1"/>
  <c r="T1015" i="1"/>
  <c r="S1015" i="1"/>
  <c r="Q1015" i="1"/>
  <c r="M1015" i="1"/>
  <c r="N1015" i="1" s="1"/>
  <c r="P1015" i="1" s="1"/>
  <c r="L1015" i="1"/>
  <c r="K1015" i="1"/>
  <c r="R1015" i="1" s="1"/>
  <c r="J1015" i="1"/>
  <c r="H1015" i="1"/>
  <c r="G1015" i="1"/>
  <c r="F1015" i="1"/>
  <c r="E1015" i="1"/>
  <c r="C1015" i="1"/>
  <c r="D1015" i="1" s="1"/>
  <c r="I1015" i="1" s="1"/>
  <c r="B1015" i="1"/>
  <c r="A1015" i="1"/>
  <c r="T1014" i="1"/>
  <c r="S1014" i="1"/>
  <c r="R1014" i="1"/>
  <c r="Q1014" i="1"/>
  <c r="M1014" i="1"/>
  <c r="N1014" i="1" s="1"/>
  <c r="L1014" i="1"/>
  <c r="K1014" i="1"/>
  <c r="J1014" i="1"/>
  <c r="I1014" i="1"/>
  <c r="H1014" i="1"/>
  <c r="G1014" i="1"/>
  <c r="F1014" i="1"/>
  <c r="E1014" i="1"/>
  <c r="C1014" i="1"/>
  <c r="D1014" i="1" s="1"/>
  <c r="B1014" i="1"/>
  <c r="A1014" i="1"/>
  <c r="T1013" i="1"/>
  <c r="S1013" i="1"/>
  <c r="Q1013" i="1"/>
  <c r="O1013" i="1"/>
  <c r="M1013" i="1"/>
  <c r="N1013" i="1" s="1"/>
  <c r="P1013" i="1" s="1"/>
  <c r="L1013" i="1"/>
  <c r="K1013" i="1"/>
  <c r="R1013" i="1" s="1"/>
  <c r="J1013" i="1"/>
  <c r="H1013" i="1"/>
  <c r="G1013" i="1"/>
  <c r="F1013" i="1"/>
  <c r="E1013" i="1"/>
  <c r="C1013" i="1"/>
  <c r="D1013" i="1" s="1"/>
  <c r="I1013" i="1" s="1"/>
  <c r="B1013" i="1"/>
  <c r="A1013" i="1"/>
  <c r="T1012" i="1"/>
  <c r="S1012" i="1"/>
  <c r="Q1012" i="1"/>
  <c r="M1012" i="1"/>
  <c r="N1012" i="1" s="1"/>
  <c r="L1012" i="1"/>
  <c r="K1012" i="1"/>
  <c r="R1012" i="1" s="1"/>
  <c r="J1012" i="1"/>
  <c r="H1012" i="1"/>
  <c r="G1012" i="1"/>
  <c r="F1012" i="1"/>
  <c r="E1012" i="1"/>
  <c r="C1012" i="1"/>
  <c r="D1012" i="1" s="1"/>
  <c r="I1012" i="1" s="1"/>
  <c r="B1012" i="1"/>
  <c r="A1012" i="1"/>
  <c r="T1011" i="1"/>
  <c r="S1011" i="1"/>
  <c r="Q1011" i="1"/>
  <c r="O1011" i="1"/>
  <c r="M1011" i="1"/>
  <c r="N1011" i="1" s="1"/>
  <c r="P1011" i="1" s="1"/>
  <c r="L1011" i="1"/>
  <c r="K1011" i="1"/>
  <c r="R1011" i="1" s="1"/>
  <c r="J1011" i="1"/>
  <c r="H1011" i="1"/>
  <c r="G1011" i="1"/>
  <c r="F1011" i="1"/>
  <c r="E1011" i="1"/>
  <c r="C1011" i="1"/>
  <c r="D1011" i="1" s="1"/>
  <c r="I1011" i="1" s="1"/>
  <c r="B1011" i="1"/>
  <c r="A1011" i="1"/>
  <c r="T1010" i="1"/>
  <c r="S1010" i="1"/>
  <c r="Q1010" i="1"/>
  <c r="M1010" i="1"/>
  <c r="N1010" i="1" s="1"/>
  <c r="P1010" i="1" s="1"/>
  <c r="L1010" i="1"/>
  <c r="K1010" i="1"/>
  <c r="R1010" i="1" s="1"/>
  <c r="J1010" i="1"/>
  <c r="H1010" i="1"/>
  <c r="G1010" i="1"/>
  <c r="F1010" i="1"/>
  <c r="E1010" i="1"/>
  <c r="C1010" i="1"/>
  <c r="D1010" i="1" s="1"/>
  <c r="I1010" i="1" s="1"/>
  <c r="B1010" i="1"/>
  <c r="A1010" i="1"/>
  <c r="T1009" i="1"/>
  <c r="S1009" i="1"/>
  <c r="Q1009" i="1"/>
  <c r="O1009" i="1"/>
  <c r="M1009" i="1"/>
  <c r="N1009" i="1" s="1"/>
  <c r="P1009" i="1" s="1"/>
  <c r="L1009" i="1"/>
  <c r="K1009" i="1"/>
  <c r="R1009" i="1" s="1"/>
  <c r="J1009" i="1"/>
  <c r="H1009" i="1"/>
  <c r="G1009" i="1"/>
  <c r="F1009" i="1"/>
  <c r="E1009" i="1"/>
  <c r="C1009" i="1"/>
  <c r="D1009" i="1" s="1"/>
  <c r="I1009" i="1" s="1"/>
  <c r="B1009" i="1"/>
  <c r="A1009" i="1"/>
  <c r="T1008" i="1"/>
  <c r="S1008" i="1"/>
  <c r="Q1008" i="1"/>
  <c r="M1008" i="1"/>
  <c r="N1008" i="1" s="1"/>
  <c r="L1008" i="1"/>
  <c r="K1008" i="1"/>
  <c r="R1008" i="1" s="1"/>
  <c r="J1008" i="1"/>
  <c r="H1008" i="1"/>
  <c r="G1008" i="1"/>
  <c r="F1008" i="1"/>
  <c r="E1008" i="1"/>
  <c r="C1008" i="1"/>
  <c r="D1008" i="1" s="1"/>
  <c r="I1008" i="1" s="1"/>
  <c r="B1008" i="1"/>
  <c r="A1008" i="1"/>
  <c r="T1007" i="1"/>
  <c r="S1007" i="1"/>
  <c r="Q1007" i="1"/>
  <c r="O1007" i="1"/>
  <c r="M1007" i="1"/>
  <c r="N1007" i="1" s="1"/>
  <c r="P1007" i="1" s="1"/>
  <c r="L1007" i="1"/>
  <c r="K1007" i="1"/>
  <c r="R1007" i="1" s="1"/>
  <c r="J1007" i="1"/>
  <c r="H1007" i="1"/>
  <c r="G1007" i="1"/>
  <c r="F1007" i="1"/>
  <c r="E1007" i="1"/>
  <c r="C1007" i="1"/>
  <c r="D1007" i="1" s="1"/>
  <c r="I1007" i="1" s="1"/>
  <c r="B1007" i="1"/>
  <c r="A1007" i="1"/>
  <c r="T1006" i="1"/>
  <c r="S1006" i="1"/>
  <c r="Q1006" i="1"/>
  <c r="M1006" i="1"/>
  <c r="N1006" i="1" s="1"/>
  <c r="P1006" i="1" s="1"/>
  <c r="L1006" i="1"/>
  <c r="K1006" i="1"/>
  <c r="R1006" i="1" s="1"/>
  <c r="J1006" i="1"/>
  <c r="H1006" i="1"/>
  <c r="G1006" i="1"/>
  <c r="F1006" i="1"/>
  <c r="E1006" i="1"/>
  <c r="C1006" i="1"/>
  <c r="D1006" i="1" s="1"/>
  <c r="I1006" i="1" s="1"/>
  <c r="B1006" i="1"/>
  <c r="A1006" i="1"/>
  <c r="T1005" i="1"/>
  <c r="S1005" i="1"/>
  <c r="Q1005" i="1"/>
  <c r="O1005" i="1"/>
  <c r="M1005" i="1"/>
  <c r="N1005" i="1" s="1"/>
  <c r="P1005" i="1" s="1"/>
  <c r="L1005" i="1"/>
  <c r="K1005" i="1"/>
  <c r="R1005" i="1" s="1"/>
  <c r="J1005" i="1"/>
  <c r="H1005" i="1"/>
  <c r="G1005" i="1"/>
  <c r="F1005" i="1"/>
  <c r="E1005" i="1"/>
  <c r="C1005" i="1"/>
  <c r="D1005" i="1" s="1"/>
  <c r="I1005" i="1" s="1"/>
  <c r="B1005" i="1"/>
  <c r="A1005" i="1"/>
  <c r="T1004" i="1"/>
  <c r="S1004" i="1"/>
  <c r="Q1004" i="1"/>
  <c r="M1004" i="1"/>
  <c r="N1004" i="1" s="1"/>
  <c r="L1004" i="1"/>
  <c r="K1004" i="1"/>
  <c r="R1004" i="1" s="1"/>
  <c r="J1004" i="1"/>
  <c r="H1004" i="1"/>
  <c r="G1004" i="1"/>
  <c r="F1004" i="1"/>
  <c r="E1004" i="1"/>
  <c r="C1004" i="1"/>
  <c r="D1004" i="1" s="1"/>
  <c r="I1004" i="1" s="1"/>
  <c r="B1004" i="1"/>
  <c r="A1004" i="1"/>
  <c r="T1003" i="1"/>
  <c r="S1003" i="1"/>
  <c r="Q1003" i="1"/>
  <c r="O1003" i="1"/>
  <c r="M1003" i="1"/>
  <c r="N1003" i="1" s="1"/>
  <c r="P1003" i="1" s="1"/>
  <c r="L1003" i="1"/>
  <c r="K1003" i="1"/>
  <c r="R1003" i="1" s="1"/>
  <c r="J1003" i="1"/>
  <c r="H1003" i="1"/>
  <c r="G1003" i="1"/>
  <c r="F1003" i="1"/>
  <c r="E1003" i="1"/>
  <c r="C1003" i="1"/>
  <c r="D1003" i="1" s="1"/>
  <c r="I1003" i="1" s="1"/>
  <c r="B1003" i="1"/>
  <c r="A1003" i="1"/>
  <c r="T1002" i="1"/>
  <c r="S1002" i="1"/>
  <c r="Q1002" i="1"/>
  <c r="M1002" i="1"/>
  <c r="N1002" i="1" s="1"/>
  <c r="P1002" i="1" s="1"/>
  <c r="L1002" i="1"/>
  <c r="K1002" i="1"/>
  <c r="R1002" i="1" s="1"/>
  <c r="J1002" i="1"/>
  <c r="H1002" i="1"/>
  <c r="G1002" i="1"/>
  <c r="F1002" i="1"/>
  <c r="E1002" i="1"/>
  <c r="C1002" i="1"/>
  <c r="D1002" i="1" s="1"/>
  <c r="I1002" i="1" s="1"/>
  <c r="B1002" i="1"/>
  <c r="A1002" i="1"/>
  <c r="T1001" i="1"/>
  <c r="S1001" i="1"/>
  <c r="Q1001" i="1"/>
  <c r="O1001" i="1"/>
  <c r="M1001" i="1"/>
  <c r="N1001" i="1" s="1"/>
  <c r="P1001" i="1" s="1"/>
  <c r="L1001" i="1"/>
  <c r="K1001" i="1"/>
  <c r="R1001" i="1" s="1"/>
  <c r="J1001" i="1"/>
  <c r="H1001" i="1"/>
  <c r="G1001" i="1"/>
  <c r="F1001" i="1"/>
  <c r="E1001" i="1"/>
  <c r="C1001" i="1"/>
  <c r="D1001" i="1" s="1"/>
  <c r="I1001" i="1" s="1"/>
  <c r="B1001" i="1"/>
  <c r="A1001" i="1"/>
  <c r="T1000" i="1"/>
  <c r="S1000" i="1"/>
  <c r="Q1000" i="1"/>
  <c r="M1000" i="1"/>
  <c r="N1000" i="1" s="1"/>
  <c r="L1000" i="1"/>
  <c r="K1000" i="1"/>
  <c r="R1000" i="1" s="1"/>
  <c r="J1000" i="1"/>
  <c r="H1000" i="1"/>
  <c r="G1000" i="1"/>
  <c r="F1000" i="1"/>
  <c r="E1000" i="1"/>
  <c r="C1000" i="1"/>
  <c r="D1000" i="1" s="1"/>
  <c r="I1000" i="1" s="1"/>
  <c r="B1000" i="1"/>
  <c r="A1000" i="1"/>
  <c r="T999" i="1"/>
  <c r="S999" i="1"/>
  <c r="Q999" i="1"/>
  <c r="O999" i="1"/>
  <c r="M999" i="1"/>
  <c r="N999" i="1" s="1"/>
  <c r="P999" i="1" s="1"/>
  <c r="L999" i="1"/>
  <c r="K999" i="1"/>
  <c r="R999" i="1" s="1"/>
  <c r="J999" i="1"/>
  <c r="H999" i="1"/>
  <c r="G999" i="1"/>
  <c r="F999" i="1"/>
  <c r="E999" i="1"/>
  <c r="C999" i="1"/>
  <c r="D999" i="1" s="1"/>
  <c r="I999" i="1" s="1"/>
  <c r="B999" i="1"/>
  <c r="A999" i="1"/>
  <c r="T998" i="1"/>
  <c r="S998" i="1"/>
  <c r="Q998" i="1"/>
  <c r="M998" i="1"/>
  <c r="N998" i="1" s="1"/>
  <c r="P998" i="1" s="1"/>
  <c r="L998" i="1"/>
  <c r="K998" i="1"/>
  <c r="R998" i="1" s="1"/>
  <c r="J998" i="1"/>
  <c r="H998" i="1"/>
  <c r="G998" i="1"/>
  <c r="F998" i="1"/>
  <c r="E998" i="1"/>
  <c r="C998" i="1"/>
  <c r="D998" i="1" s="1"/>
  <c r="I998" i="1" s="1"/>
  <c r="B998" i="1"/>
  <c r="A998" i="1"/>
  <c r="T997" i="1"/>
  <c r="S997" i="1"/>
  <c r="Q997" i="1"/>
  <c r="O997" i="1"/>
  <c r="M997" i="1"/>
  <c r="N997" i="1" s="1"/>
  <c r="P997" i="1" s="1"/>
  <c r="L997" i="1"/>
  <c r="K997" i="1"/>
  <c r="R997" i="1" s="1"/>
  <c r="J997" i="1"/>
  <c r="H997" i="1"/>
  <c r="G997" i="1"/>
  <c r="F997" i="1"/>
  <c r="E997" i="1"/>
  <c r="C997" i="1"/>
  <c r="D997" i="1" s="1"/>
  <c r="I997" i="1" s="1"/>
  <c r="B997" i="1"/>
  <c r="A997" i="1"/>
  <c r="T996" i="1"/>
  <c r="S996" i="1"/>
  <c r="Q996" i="1"/>
  <c r="M996" i="1"/>
  <c r="N996" i="1" s="1"/>
  <c r="L996" i="1"/>
  <c r="K996" i="1"/>
  <c r="R996" i="1" s="1"/>
  <c r="J996" i="1"/>
  <c r="H996" i="1"/>
  <c r="G996" i="1"/>
  <c r="F996" i="1"/>
  <c r="E996" i="1"/>
  <c r="C996" i="1"/>
  <c r="D996" i="1" s="1"/>
  <c r="I996" i="1" s="1"/>
  <c r="B996" i="1"/>
  <c r="A996" i="1"/>
  <c r="T995" i="1"/>
  <c r="S995" i="1"/>
  <c r="Q995" i="1"/>
  <c r="O995" i="1"/>
  <c r="M995" i="1"/>
  <c r="N995" i="1" s="1"/>
  <c r="P995" i="1" s="1"/>
  <c r="L995" i="1"/>
  <c r="K995" i="1"/>
  <c r="R995" i="1" s="1"/>
  <c r="J995" i="1"/>
  <c r="H995" i="1"/>
  <c r="G995" i="1"/>
  <c r="F995" i="1"/>
  <c r="E995" i="1"/>
  <c r="C995" i="1"/>
  <c r="D995" i="1" s="1"/>
  <c r="I995" i="1" s="1"/>
  <c r="B995" i="1"/>
  <c r="A995" i="1"/>
  <c r="T994" i="1"/>
  <c r="S994" i="1"/>
  <c r="Q994" i="1"/>
  <c r="M994" i="1"/>
  <c r="N994" i="1" s="1"/>
  <c r="P994" i="1" s="1"/>
  <c r="L994" i="1"/>
  <c r="K994" i="1"/>
  <c r="R994" i="1" s="1"/>
  <c r="J994" i="1"/>
  <c r="H994" i="1"/>
  <c r="G994" i="1"/>
  <c r="F994" i="1"/>
  <c r="E994" i="1"/>
  <c r="C994" i="1"/>
  <c r="D994" i="1" s="1"/>
  <c r="I994" i="1" s="1"/>
  <c r="B994" i="1"/>
  <c r="A994" i="1"/>
  <c r="T993" i="1"/>
  <c r="S993" i="1"/>
  <c r="Q993" i="1"/>
  <c r="O993" i="1"/>
  <c r="M993" i="1"/>
  <c r="N993" i="1" s="1"/>
  <c r="P993" i="1" s="1"/>
  <c r="L993" i="1"/>
  <c r="K993" i="1"/>
  <c r="R993" i="1" s="1"/>
  <c r="J993" i="1"/>
  <c r="H993" i="1"/>
  <c r="G993" i="1"/>
  <c r="F993" i="1"/>
  <c r="E993" i="1"/>
  <c r="C993" i="1"/>
  <c r="D993" i="1" s="1"/>
  <c r="I993" i="1" s="1"/>
  <c r="B993" i="1"/>
  <c r="A993" i="1"/>
  <c r="T992" i="1"/>
  <c r="S992" i="1"/>
  <c r="Q992" i="1"/>
  <c r="M992" i="1"/>
  <c r="N992" i="1" s="1"/>
  <c r="L992" i="1"/>
  <c r="K992" i="1"/>
  <c r="R992" i="1" s="1"/>
  <c r="J992" i="1"/>
  <c r="H992" i="1"/>
  <c r="G992" i="1"/>
  <c r="F992" i="1"/>
  <c r="E992" i="1"/>
  <c r="D992" i="1"/>
  <c r="I992" i="1" s="1"/>
  <c r="C992" i="1"/>
  <c r="B992" i="1"/>
  <c r="A992" i="1"/>
  <c r="T991" i="1"/>
  <c r="S991" i="1"/>
  <c r="Q991" i="1"/>
  <c r="O991" i="1"/>
  <c r="M991" i="1"/>
  <c r="N991" i="1" s="1"/>
  <c r="P991" i="1" s="1"/>
  <c r="L991" i="1"/>
  <c r="K991" i="1"/>
  <c r="R991" i="1" s="1"/>
  <c r="J991" i="1"/>
  <c r="H991" i="1"/>
  <c r="G991" i="1"/>
  <c r="F991" i="1"/>
  <c r="E991" i="1"/>
  <c r="C991" i="1"/>
  <c r="D991" i="1" s="1"/>
  <c r="I991" i="1" s="1"/>
  <c r="B991" i="1"/>
  <c r="A991" i="1"/>
  <c r="T990" i="1"/>
  <c r="S990" i="1"/>
  <c r="Q990" i="1"/>
  <c r="P990" i="1"/>
  <c r="M990" i="1"/>
  <c r="N990" i="1" s="1"/>
  <c r="O990" i="1" s="1"/>
  <c r="L990" i="1"/>
  <c r="K990" i="1"/>
  <c r="R990" i="1" s="1"/>
  <c r="J990" i="1"/>
  <c r="H990" i="1"/>
  <c r="G990" i="1"/>
  <c r="F990" i="1"/>
  <c r="E990" i="1"/>
  <c r="D990" i="1"/>
  <c r="I990" i="1" s="1"/>
  <c r="C990" i="1"/>
  <c r="B990" i="1"/>
  <c r="A990" i="1"/>
  <c r="T989" i="1"/>
  <c r="S989" i="1"/>
  <c r="Q989" i="1"/>
  <c r="M989" i="1"/>
  <c r="N989" i="1" s="1"/>
  <c r="L989" i="1"/>
  <c r="K989" i="1"/>
  <c r="R989" i="1" s="1"/>
  <c r="J989" i="1"/>
  <c r="H989" i="1"/>
  <c r="G989" i="1"/>
  <c r="F989" i="1"/>
  <c r="E989" i="1"/>
  <c r="C989" i="1"/>
  <c r="D989" i="1" s="1"/>
  <c r="I989" i="1" s="1"/>
  <c r="B989" i="1"/>
  <c r="A989" i="1"/>
  <c r="T988" i="1"/>
  <c r="S988" i="1"/>
  <c r="Q988" i="1"/>
  <c r="M988" i="1"/>
  <c r="N988" i="1" s="1"/>
  <c r="L988" i="1"/>
  <c r="K988" i="1"/>
  <c r="R988" i="1" s="1"/>
  <c r="J988" i="1"/>
  <c r="H988" i="1"/>
  <c r="G988" i="1"/>
  <c r="F988" i="1"/>
  <c r="E988" i="1"/>
  <c r="D988" i="1"/>
  <c r="I988" i="1" s="1"/>
  <c r="C988" i="1"/>
  <c r="B988" i="1"/>
  <c r="A988" i="1"/>
  <c r="T987" i="1"/>
  <c r="S987" i="1"/>
  <c r="Q987" i="1"/>
  <c r="O987" i="1"/>
  <c r="M987" i="1"/>
  <c r="N987" i="1" s="1"/>
  <c r="P987" i="1" s="1"/>
  <c r="L987" i="1"/>
  <c r="K987" i="1"/>
  <c r="R987" i="1" s="1"/>
  <c r="J987" i="1"/>
  <c r="H987" i="1"/>
  <c r="G987" i="1"/>
  <c r="F987" i="1"/>
  <c r="E987" i="1"/>
  <c r="C987" i="1"/>
  <c r="D987" i="1" s="1"/>
  <c r="I987" i="1" s="1"/>
  <c r="B987" i="1"/>
  <c r="A987" i="1"/>
  <c r="T986" i="1"/>
  <c r="S986" i="1"/>
  <c r="Q986" i="1"/>
  <c r="P986" i="1"/>
  <c r="M986" i="1"/>
  <c r="N986" i="1" s="1"/>
  <c r="O986" i="1" s="1"/>
  <c r="L986" i="1"/>
  <c r="K986" i="1"/>
  <c r="R986" i="1" s="1"/>
  <c r="J986" i="1"/>
  <c r="H986" i="1"/>
  <c r="G986" i="1"/>
  <c r="F986" i="1"/>
  <c r="E986" i="1"/>
  <c r="D986" i="1"/>
  <c r="I986" i="1" s="1"/>
  <c r="C986" i="1"/>
  <c r="B986" i="1"/>
  <c r="A986" i="1"/>
  <c r="T985" i="1"/>
  <c r="S985" i="1"/>
  <c r="Q985" i="1"/>
  <c r="M985" i="1"/>
  <c r="N985" i="1" s="1"/>
  <c r="L985" i="1"/>
  <c r="K985" i="1"/>
  <c r="R985" i="1" s="1"/>
  <c r="J985" i="1"/>
  <c r="H985" i="1"/>
  <c r="G985" i="1"/>
  <c r="F985" i="1"/>
  <c r="E985" i="1"/>
  <c r="C985" i="1"/>
  <c r="D985" i="1" s="1"/>
  <c r="I985" i="1" s="1"/>
  <c r="B985" i="1"/>
  <c r="A985" i="1"/>
  <c r="T984" i="1"/>
  <c r="S984" i="1"/>
  <c r="Q984" i="1"/>
  <c r="M984" i="1"/>
  <c r="N984" i="1" s="1"/>
  <c r="L984" i="1"/>
  <c r="K984" i="1"/>
  <c r="R984" i="1" s="1"/>
  <c r="J984" i="1"/>
  <c r="H984" i="1"/>
  <c r="G984" i="1"/>
  <c r="F984" i="1"/>
  <c r="E984" i="1"/>
  <c r="D984" i="1"/>
  <c r="I984" i="1" s="1"/>
  <c r="C984" i="1"/>
  <c r="B984" i="1"/>
  <c r="A984" i="1"/>
  <c r="T983" i="1"/>
  <c r="S983" i="1"/>
  <c r="Q983" i="1"/>
  <c r="O983" i="1"/>
  <c r="M983" i="1"/>
  <c r="N983" i="1" s="1"/>
  <c r="P983" i="1" s="1"/>
  <c r="L983" i="1"/>
  <c r="K983" i="1"/>
  <c r="R983" i="1" s="1"/>
  <c r="J983" i="1"/>
  <c r="H983" i="1"/>
  <c r="G983" i="1"/>
  <c r="F983" i="1"/>
  <c r="E983" i="1"/>
  <c r="C983" i="1"/>
  <c r="D983" i="1" s="1"/>
  <c r="I983" i="1" s="1"/>
  <c r="B983" i="1"/>
  <c r="A983" i="1"/>
  <c r="T982" i="1"/>
  <c r="S982" i="1"/>
  <c r="Q982" i="1"/>
  <c r="P982" i="1"/>
  <c r="M982" i="1"/>
  <c r="N982" i="1" s="1"/>
  <c r="O982" i="1" s="1"/>
  <c r="L982" i="1"/>
  <c r="K982" i="1"/>
  <c r="R982" i="1" s="1"/>
  <c r="J982" i="1"/>
  <c r="H982" i="1"/>
  <c r="G982" i="1"/>
  <c r="F982" i="1"/>
  <c r="E982" i="1"/>
  <c r="D982" i="1"/>
  <c r="I982" i="1" s="1"/>
  <c r="C982" i="1"/>
  <c r="B982" i="1"/>
  <c r="A982" i="1"/>
  <c r="T981" i="1"/>
  <c r="S981" i="1"/>
  <c r="Q981" i="1"/>
  <c r="M981" i="1"/>
  <c r="N981" i="1" s="1"/>
  <c r="L981" i="1"/>
  <c r="K981" i="1"/>
  <c r="R981" i="1" s="1"/>
  <c r="J981" i="1"/>
  <c r="H981" i="1"/>
  <c r="G981" i="1"/>
  <c r="F981" i="1"/>
  <c r="E981" i="1"/>
  <c r="C981" i="1"/>
  <c r="D981" i="1" s="1"/>
  <c r="I981" i="1" s="1"/>
  <c r="B981" i="1"/>
  <c r="A981" i="1"/>
  <c r="T980" i="1"/>
  <c r="S980" i="1"/>
  <c r="Q980" i="1"/>
  <c r="M980" i="1"/>
  <c r="N980" i="1" s="1"/>
  <c r="L980" i="1"/>
  <c r="K980" i="1"/>
  <c r="R980" i="1" s="1"/>
  <c r="J980" i="1"/>
  <c r="H980" i="1"/>
  <c r="G980" i="1"/>
  <c r="F980" i="1"/>
  <c r="E980" i="1"/>
  <c r="D980" i="1"/>
  <c r="I980" i="1" s="1"/>
  <c r="C980" i="1"/>
  <c r="B980" i="1"/>
  <c r="A980" i="1"/>
  <c r="T979" i="1"/>
  <c r="S979" i="1"/>
  <c r="Q979" i="1"/>
  <c r="O979" i="1"/>
  <c r="M979" i="1"/>
  <c r="N979" i="1" s="1"/>
  <c r="P979" i="1" s="1"/>
  <c r="L979" i="1"/>
  <c r="K979" i="1"/>
  <c r="R979" i="1" s="1"/>
  <c r="J979" i="1"/>
  <c r="H979" i="1"/>
  <c r="G979" i="1"/>
  <c r="F979" i="1"/>
  <c r="E979" i="1"/>
  <c r="C979" i="1"/>
  <c r="D979" i="1" s="1"/>
  <c r="I979" i="1" s="1"/>
  <c r="B979" i="1"/>
  <c r="A979" i="1"/>
  <c r="T978" i="1"/>
  <c r="S978" i="1"/>
  <c r="Q978" i="1"/>
  <c r="P978" i="1"/>
  <c r="M978" i="1"/>
  <c r="N978" i="1" s="1"/>
  <c r="O978" i="1" s="1"/>
  <c r="L978" i="1"/>
  <c r="K978" i="1"/>
  <c r="R978" i="1" s="1"/>
  <c r="J978" i="1"/>
  <c r="H978" i="1"/>
  <c r="G978" i="1"/>
  <c r="F978" i="1"/>
  <c r="E978" i="1"/>
  <c r="D978" i="1"/>
  <c r="I978" i="1" s="1"/>
  <c r="C978" i="1"/>
  <c r="B978" i="1"/>
  <c r="A978" i="1"/>
  <c r="T977" i="1"/>
  <c r="S977" i="1"/>
  <c r="Q977" i="1"/>
  <c r="M977" i="1"/>
  <c r="N977" i="1" s="1"/>
  <c r="L977" i="1"/>
  <c r="K977" i="1"/>
  <c r="R977" i="1" s="1"/>
  <c r="J977" i="1"/>
  <c r="H977" i="1"/>
  <c r="G977" i="1"/>
  <c r="F977" i="1"/>
  <c r="E977" i="1"/>
  <c r="C977" i="1"/>
  <c r="D977" i="1" s="1"/>
  <c r="I977" i="1" s="1"/>
  <c r="B977" i="1"/>
  <c r="A977" i="1"/>
  <c r="T976" i="1"/>
  <c r="S976" i="1"/>
  <c r="Q976" i="1"/>
  <c r="M976" i="1"/>
  <c r="N976" i="1" s="1"/>
  <c r="L976" i="1"/>
  <c r="K976" i="1"/>
  <c r="R976" i="1" s="1"/>
  <c r="J976" i="1"/>
  <c r="H976" i="1"/>
  <c r="G976" i="1"/>
  <c r="F976" i="1"/>
  <c r="E976" i="1"/>
  <c r="D976" i="1"/>
  <c r="I976" i="1" s="1"/>
  <c r="C976" i="1"/>
  <c r="B976" i="1"/>
  <c r="A976" i="1"/>
  <c r="T975" i="1"/>
  <c r="S975" i="1"/>
  <c r="Q975" i="1"/>
  <c r="O975" i="1"/>
  <c r="M975" i="1"/>
  <c r="N975" i="1" s="1"/>
  <c r="P975" i="1" s="1"/>
  <c r="L975" i="1"/>
  <c r="K975" i="1"/>
  <c r="R975" i="1" s="1"/>
  <c r="J975" i="1"/>
  <c r="H975" i="1"/>
  <c r="G975" i="1"/>
  <c r="F975" i="1"/>
  <c r="E975" i="1"/>
  <c r="C975" i="1"/>
  <c r="D975" i="1" s="1"/>
  <c r="I975" i="1" s="1"/>
  <c r="B975" i="1"/>
  <c r="A975" i="1"/>
  <c r="T974" i="1"/>
  <c r="S974" i="1"/>
  <c r="Q974" i="1"/>
  <c r="P974" i="1"/>
  <c r="M974" i="1"/>
  <c r="N974" i="1" s="1"/>
  <c r="O974" i="1" s="1"/>
  <c r="L974" i="1"/>
  <c r="K974" i="1"/>
  <c r="R974" i="1" s="1"/>
  <c r="J974" i="1"/>
  <c r="H974" i="1"/>
  <c r="G974" i="1"/>
  <c r="F974" i="1"/>
  <c r="E974" i="1"/>
  <c r="D974" i="1"/>
  <c r="I974" i="1" s="1"/>
  <c r="C974" i="1"/>
  <c r="B974" i="1"/>
  <c r="A974" i="1"/>
  <c r="T973" i="1"/>
  <c r="S973" i="1"/>
  <c r="Q973" i="1"/>
  <c r="M973" i="1"/>
  <c r="N973" i="1" s="1"/>
  <c r="L973" i="1"/>
  <c r="K973" i="1"/>
  <c r="R973" i="1" s="1"/>
  <c r="J973" i="1"/>
  <c r="H973" i="1"/>
  <c r="G973" i="1"/>
  <c r="F973" i="1"/>
  <c r="E973" i="1"/>
  <c r="C973" i="1"/>
  <c r="D973" i="1" s="1"/>
  <c r="I973" i="1" s="1"/>
  <c r="B973" i="1"/>
  <c r="A973" i="1"/>
  <c r="T972" i="1"/>
  <c r="S972" i="1"/>
  <c r="Q972" i="1"/>
  <c r="M972" i="1"/>
  <c r="N972" i="1" s="1"/>
  <c r="L972" i="1"/>
  <c r="K972" i="1"/>
  <c r="R972" i="1" s="1"/>
  <c r="J972" i="1"/>
  <c r="H972" i="1"/>
  <c r="G972" i="1"/>
  <c r="F972" i="1"/>
  <c r="E972" i="1"/>
  <c r="D972" i="1"/>
  <c r="I972" i="1" s="1"/>
  <c r="C972" i="1"/>
  <c r="B972" i="1"/>
  <c r="A972" i="1"/>
  <c r="T971" i="1"/>
  <c r="S971" i="1"/>
  <c r="Q971" i="1"/>
  <c r="O971" i="1"/>
  <c r="M971" i="1"/>
  <c r="N971" i="1" s="1"/>
  <c r="P971" i="1" s="1"/>
  <c r="L971" i="1"/>
  <c r="K971" i="1"/>
  <c r="R971" i="1" s="1"/>
  <c r="J971" i="1"/>
  <c r="H971" i="1"/>
  <c r="G971" i="1"/>
  <c r="F971" i="1"/>
  <c r="E971" i="1"/>
  <c r="C971" i="1"/>
  <c r="D971" i="1" s="1"/>
  <c r="I971" i="1" s="1"/>
  <c r="B971" i="1"/>
  <c r="A971" i="1"/>
  <c r="T970" i="1"/>
  <c r="S970" i="1"/>
  <c r="Q970" i="1"/>
  <c r="P970" i="1"/>
  <c r="M970" i="1"/>
  <c r="N970" i="1" s="1"/>
  <c r="O970" i="1" s="1"/>
  <c r="L970" i="1"/>
  <c r="K970" i="1"/>
  <c r="R970" i="1" s="1"/>
  <c r="J970" i="1"/>
  <c r="H970" i="1"/>
  <c r="G970" i="1"/>
  <c r="F970" i="1"/>
  <c r="E970" i="1"/>
  <c r="D970" i="1"/>
  <c r="I970" i="1" s="1"/>
  <c r="C970" i="1"/>
  <c r="B970" i="1"/>
  <c r="A970" i="1"/>
  <c r="T969" i="1"/>
  <c r="S969" i="1"/>
  <c r="Q969" i="1"/>
  <c r="M969" i="1"/>
  <c r="N969" i="1" s="1"/>
  <c r="L969" i="1"/>
  <c r="K969" i="1"/>
  <c r="R969" i="1" s="1"/>
  <c r="J969" i="1"/>
  <c r="H969" i="1"/>
  <c r="G969" i="1"/>
  <c r="F969" i="1"/>
  <c r="E969" i="1"/>
  <c r="C969" i="1"/>
  <c r="D969" i="1" s="1"/>
  <c r="I969" i="1" s="1"/>
  <c r="B969" i="1"/>
  <c r="A969" i="1"/>
  <c r="T968" i="1"/>
  <c r="S968" i="1"/>
  <c r="Q968" i="1"/>
  <c r="M968" i="1"/>
  <c r="N968" i="1" s="1"/>
  <c r="L968" i="1"/>
  <c r="K968" i="1"/>
  <c r="R968" i="1" s="1"/>
  <c r="J968" i="1"/>
  <c r="H968" i="1"/>
  <c r="G968" i="1"/>
  <c r="F968" i="1"/>
  <c r="E968" i="1"/>
  <c r="D968" i="1"/>
  <c r="I968" i="1" s="1"/>
  <c r="C968" i="1"/>
  <c r="B968" i="1"/>
  <c r="A968" i="1"/>
  <c r="T967" i="1"/>
  <c r="S967" i="1"/>
  <c r="Q967" i="1"/>
  <c r="O967" i="1"/>
  <c r="M967" i="1"/>
  <c r="N967" i="1" s="1"/>
  <c r="P967" i="1" s="1"/>
  <c r="L967" i="1"/>
  <c r="K967" i="1"/>
  <c r="R967" i="1" s="1"/>
  <c r="J967" i="1"/>
  <c r="H967" i="1"/>
  <c r="G967" i="1"/>
  <c r="F967" i="1"/>
  <c r="E967" i="1"/>
  <c r="C967" i="1"/>
  <c r="D967" i="1" s="1"/>
  <c r="I967" i="1" s="1"/>
  <c r="B967" i="1"/>
  <c r="A967" i="1"/>
  <c r="T966" i="1"/>
  <c r="S966" i="1"/>
  <c r="Q966" i="1"/>
  <c r="P966" i="1"/>
  <c r="M966" i="1"/>
  <c r="N966" i="1" s="1"/>
  <c r="O966" i="1" s="1"/>
  <c r="L966" i="1"/>
  <c r="K966" i="1"/>
  <c r="R966" i="1" s="1"/>
  <c r="J966" i="1"/>
  <c r="H966" i="1"/>
  <c r="G966" i="1"/>
  <c r="F966" i="1"/>
  <c r="E966" i="1"/>
  <c r="D966" i="1"/>
  <c r="I966" i="1" s="1"/>
  <c r="C966" i="1"/>
  <c r="B966" i="1"/>
  <c r="A966" i="1"/>
  <c r="T965" i="1"/>
  <c r="S965" i="1"/>
  <c r="Q965" i="1"/>
  <c r="M965" i="1"/>
  <c r="N965" i="1" s="1"/>
  <c r="L965" i="1"/>
  <c r="K965" i="1"/>
  <c r="R965" i="1" s="1"/>
  <c r="J965" i="1"/>
  <c r="H965" i="1"/>
  <c r="G965" i="1"/>
  <c r="F965" i="1"/>
  <c r="E965" i="1"/>
  <c r="C965" i="1"/>
  <c r="D965" i="1" s="1"/>
  <c r="I965" i="1" s="1"/>
  <c r="B965" i="1"/>
  <c r="A965" i="1"/>
  <c r="T964" i="1"/>
  <c r="S964" i="1"/>
  <c r="Q964" i="1"/>
  <c r="M964" i="1"/>
  <c r="N964" i="1" s="1"/>
  <c r="L964" i="1"/>
  <c r="K964" i="1"/>
  <c r="R964" i="1" s="1"/>
  <c r="J964" i="1"/>
  <c r="H964" i="1"/>
  <c r="G964" i="1"/>
  <c r="F964" i="1"/>
  <c r="E964" i="1"/>
  <c r="D964" i="1"/>
  <c r="I964" i="1" s="1"/>
  <c r="C964" i="1"/>
  <c r="B964" i="1"/>
  <c r="A964" i="1"/>
  <c r="T963" i="1"/>
  <c r="S963" i="1"/>
  <c r="Q963" i="1"/>
  <c r="O963" i="1"/>
  <c r="M963" i="1"/>
  <c r="N963" i="1" s="1"/>
  <c r="P963" i="1" s="1"/>
  <c r="L963" i="1"/>
  <c r="K963" i="1"/>
  <c r="R963" i="1" s="1"/>
  <c r="J963" i="1"/>
  <c r="H963" i="1"/>
  <c r="G963" i="1"/>
  <c r="F963" i="1"/>
  <c r="E963" i="1"/>
  <c r="C963" i="1"/>
  <c r="D963" i="1" s="1"/>
  <c r="I963" i="1" s="1"/>
  <c r="B963" i="1"/>
  <c r="A963" i="1"/>
  <c r="T962" i="1"/>
  <c r="S962" i="1"/>
  <c r="Q962" i="1"/>
  <c r="P962" i="1"/>
  <c r="M962" i="1"/>
  <c r="N962" i="1" s="1"/>
  <c r="O962" i="1" s="1"/>
  <c r="L962" i="1"/>
  <c r="K962" i="1"/>
  <c r="R962" i="1" s="1"/>
  <c r="J962" i="1"/>
  <c r="H962" i="1"/>
  <c r="G962" i="1"/>
  <c r="F962" i="1"/>
  <c r="E962" i="1"/>
  <c r="D962" i="1"/>
  <c r="I962" i="1" s="1"/>
  <c r="C962" i="1"/>
  <c r="B962" i="1"/>
  <c r="A962" i="1"/>
  <c r="T961" i="1"/>
  <c r="S961" i="1"/>
  <c r="Q961" i="1"/>
  <c r="M961" i="1"/>
  <c r="N961" i="1" s="1"/>
  <c r="L961" i="1"/>
  <c r="K961" i="1"/>
  <c r="R961" i="1" s="1"/>
  <c r="J961" i="1"/>
  <c r="H961" i="1"/>
  <c r="G961" i="1"/>
  <c r="F961" i="1"/>
  <c r="E961" i="1"/>
  <c r="C961" i="1"/>
  <c r="D961" i="1" s="1"/>
  <c r="I961" i="1" s="1"/>
  <c r="B961" i="1"/>
  <c r="A961" i="1"/>
  <c r="T960" i="1"/>
  <c r="S960" i="1"/>
  <c r="Q960" i="1"/>
  <c r="M960" i="1"/>
  <c r="N960" i="1" s="1"/>
  <c r="L960" i="1"/>
  <c r="K960" i="1"/>
  <c r="R960" i="1" s="1"/>
  <c r="J960" i="1"/>
  <c r="H960" i="1"/>
  <c r="G960" i="1"/>
  <c r="F960" i="1"/>
  <c r="E960" i="1"/>
  <c r="D960" i="1"/>
  <c r="I960" i="1" s="1"/>
  <c r="C960" i="1"/>
  <c r="B960" i="1"/>
  <c r="A960" i="1"/>
  <c r="T959" i="1"/>
  <c r="S959" i="1"/>
  <c r="Q959" i="1"/>
  <c r="O959" i="1"/>
  <c r="M959" i="1"/>
  <c r="N959" i="1" s="1"/>
  <c r="P959" i="1" s="1"/>
  <c r="L959" i="1"/>
  <c r="K959" i="1"/>
  <c r="R959" i="1" s="1"/>
  <c r="J959" i="1"/>
  <c r="H959" i="1"/>
  <c r="G959" i="1"/>
  <c r="F959" i="1"/>
  <c r="E959" i="1"/>
  <c r="C959" i="1"/>
  <c r="D959" i="1" s="1"/>
  <c r="I959" i="1" s="1"/>
  <c r="B959" i="1"/>
  <c r="A959" i="1"/>
  <c r="T958" i="1"/>
  <c r="S958" i="1"/>
  <c r="Q958" i="1"/>
  <c r="P958" i="1"/>
  <c r="M958" i="1"/>
  <c r="N958" i="1" s="1"/>
  <c r="O958" i="1" s="1"/>
  <c r="L958" i="1"/>
  <c r="K958" i="1"/>
  <c r="R958" i="1" s="1"/>
  <c r="J958" i="1"/>
  <c r="H958" i="1"/>
  <c r="G958" i="1"/>
  <c r="F958" i="1"/>
  <c r="E958" i="1"/>
  <c r="D958" i="1"/>
  <c r="I958" i="1" s="1"/>
  <c r="C958" i="1"/>
  <c r="B958" i="1"/>
  <c r="A958" i="1"/>
  <c r="T957" i="1"/>
  <c r="S957" i="1"/>
  <c r="Q957" i="1"/>
  <c r="M957" i="1"/>
  <c r="N957" i="1" s="1"/>
  <c r="L957" i="1"/>
  <c r="K957" i="1"/>
  <c r="R957" i="1" s="1"/>
  <c r="J957" i="1"/>
  <c r="H957" i="1"/>
  <c r="G957" i="1"/>
  <c r="F957" i="1"/>
  <c r="E957" i="1"/>
  <c r="C957" i="1"/>
  <c r="D957" i="1" s="1"/>
  <c r="I957" i="1" s="1"/>
  <c r="B957" i="1"/>
  <c r="A957" i="1"/>
  <c r="T956" i="1"/>
  <c r="S956" i="1"/>
  <c r="Q956" i="1"/>
  <c r="M956" i="1"/>
  <c r="N956" i="1" s="1"/>
  <c r="L956" i="1"/>
  <c r="K956" i="1"/>
  <c r="R956" i="1" s="1"/>
  <c r="J956" i="1"/>
  <c r="H956" i="1"/>
  <c r="G956" i="1"/>
  <c r="F956" i="1"/>
  <c r="E956" i="1"/>
  <c r="D956" i="1"/>
  <c r="I956" i="1" s="1"/>
  <c r="C956" i="1"/>
  <c r="B956" i="1"/>
  <c r="A956" i="1"/>
  <c r="T955" i="1"/>
  <c r="S955" i="1"/>
  <c r="Q955" i="1"/>
  <c r="O955" i="1"/>
  <c r="M955" i="1"/>
  <c r="N955" i="1" s="1"/>
  <c r="P955" i="1" s="1"/>
  <c r="L955" i="1"/>
  <c r="K955" i="1"/>
  <c r="R955" i="1" s="1"/>
  <c r="J955" i="1"/>
  <c r="H955" i="1"/>
  <c r="G955" i="1"/>
  <c r="F955" i="1"/>
  <c r="E955" i="1"/>
  <c r="C955" i="1"/>
  <c r="D955" i="1" s="1"/>
  <c r="I955" i="1" s="1"/>
  <c r="B955" i="1"/>
  <c r="A955" i="1"/>
  <c r="T954" i="1"/>
  <c r="S954" i="1"/>
  <c r="Q954" i="1"/>
  <c r="P954" i="1"/>
  <c r="M954" i="1"/>
  <c r="N954" i="1" s="1"/>
  <c r="O954" i="1" s="1"/>
  <c r="L954" i="1"/>
  <c r="K954" i="1"/>
  <c r="R954" i="1" s="1"/>
  <c r="J954" i="1"/>
  <c r="H954" i="1"/>
  <c r="G954" i="1"/>
  <c r="F954" i="1"/>
  <c r="E954" i="1"/>
  <c r="D954" i="1"/>
  <c r="I954" i="1" s="1"/>
  <c r="C954" i="1"/>
  <c r="B954" i="1"/>
  <c r="A954" i="1"/>
  <c r="T953" i="1"/>
  <c r="S953" i="1"/>
  <c r="Q953" i="1"/>
  <c r="M953" i="1"/>
  <c r="N953" i="1" s="1"/>
  <c r="L953" i="1"/>
  <c r="K953" i="1"/>
  <c r="R953" i="1" s="1"/>
  <c r="J953" i="1"/>
  <c r="H953" i="1"/>
  <c r="G953" i="1"/>
  <c r="F953" i="1"/>
  <c r="E953" i="1"/>
  <c r="C953" i="1"/>
  <c r="D953" i="1" s="1"/>
  <c r="I953" i="1" s="1"/>
  <c r="B953" i="1"/>
  <c r="A953" i="1"/>
  <c r="T952" i="1"/>
  <c r="S952" i="1"/>
  <c r="Q952" i="1"/>
  <c r="M952" i="1"/>
  <c r="N952" i="1" s="1"/>
  <c r="L952" i="1"/>
  <c r="K952" i="1"/>
  <c r="R952" i="1" s="1"/>
  <c r="J952" i="1"/>
  <c r="H952" i="1"/>
  <c r="G952" i="1"/>
  <c r="F952" i="1"/>
  <c r="E952" i="1"/>
  <c r="D952" i="1"/>
  <c r="I952" i="1" s="1"/>
  <c r="C952" i="1"/>
  <c r="B952" i="1"/>
  <c r="A952" i="1"/>
  <c r="T951" i="1"/>
  <c r="S951" i="1"/>
  <c r="Q951" i="1"/>
  <c r="O951" i="1"/>
  <c r="M951" i="1"/>
  <c r="N951" i="1" s="1"/>
  <c r="P951" i="1" s="1"/>
  <c r="L951" i="1"/>
  <c r="K951" i="1"/>
  <c r="R951" i="1" s="1"/>
  <c r="J951" i="1"/>
  <c r="H951" i="1"/>
  <c r="G951" i="1"/>
  <c r="F951" i="1"/>
  <c r="E951" i="1"/>
  <c r="C951" i="1"/>
  <c r="D951" i="1" s="1"/>
  <c r="I951" i="1" s="1"/>
  <c r="B951" i="1"/>
  <c r="A951" i="1"/>
  <c r="T950" i="1"/>
  <c r="S950" i="1"/>
  <c r="Q950" i="1"/>
  <c r="P950" i="1"/>
  <c r="M950" i="1"/>
  <c r="N950" i="1" s="1"/>
  <c r="O950" i="1" s="1"/>
  <c r="L950" i="1"/>
  <c r="K950" i="1"/>
  <c r="R950" i="1" s="1"/>
  <c r="J950" i="1"/>
  <c r="H950" i="1"/>
  <c r="G950" i="1"/>
  <c r="F950" i="1"/>
  <c r="E950" i="1"/>
  <c r="D950" i="1"/>
  <c r="I950" i="1" s="1"/>
  <c r="C950" i="1"/>
  <c r="B950" i="1"/>
  <c r="A950" i="1"/>
  <c r="T949" i="1"/>
  <c r="S949" i="1"/>
  <c r="Q949" i="1"/>
  <c r="M949" i="1"/>
  <c r="N949" i="1" s="1"/>
  <c r="L949" i="1"/>
  <c r="K949" i="1"/>
  <c r="R949" i="1" s="1"/>
  <c r="J949" i="1"/>
  <c r="H949" i="1"/>
  <c r="G949" i="1"/>
  <c r="F949" i="1"/>
  <c r="E949" i="1"/>
  <c r="C949" i="1"/>
  <c r="D949" i="1" s="1"/>
  <c r="I949" i="1" s="1"/>
  <c r="B949" i="1"/>
  <c r="A949" i="1"/>
  <c r="T948" i="1"/>
  <c r="S948" i="1"/>
  <c r="Q948" i="1"/>
  <c r="M948" i="1"/>
  <c r="N948" i="1" s="1"/>
  <c r="L948" i="1"/>
  <c r="K948" i="1"/>
  <c r="R948" i="1" s="1"/>
  <c r="J948" i="1"/>
  <c r="H948" i="1"/>
  <c r="G948" i="1"/>
  <c r="F948" i="1"/>
  <c r="E948" i="1"/>
  <c r="D948" i="1"/>
  <c r="I948" i="1" s="1"/>
  <c r="C948" i="1"/>
  <c r="B948" i="1"/>
  <c r="A948" i="1"/>
  <c r="T947" i="1"/>
  <c r="S947" i="1"/>
  <c r="Q947" i="1"/>
  <c r="O947" i="1"/>
  <c r="M947" i="1"/>
  <c r="N947" i="1" s="1"/>
  <c r="P947" i="1" s="1"/>
  <c r="L947" i="1"/>
  <c r="K947" i="1"/>
  <c r="R947" i="1" s="1"/>
  <c r="J947" i="1"/>
  <c r="H947" i="1"/>
  <c r="G947" i="1"/>
  <c r="F947" i="1"/>
  <c r="E947" i="1"/>
  <c r="C947" i="1"/>
  <c r="D947" i="1" s="1"/>
  <c r="I947" i="1" s="1"/>
  <c r="B947" i="1"/>
  <c r="A947" i="1"/>
  <c r="T946" i="1"/>
  <c r="S946" i="1"/>
  <c r="Q946" i="1"/>
  <c r="P946" i="1"/>
  <c r="M946" i="1"/>
  <c r="N946" i="1" s="1"/>
  <c r="O946" i="1" s="1"/>
  <c r="L946" i="1"/>
  <c r="K946" i="1"/>
  <c r="R946" i="1" s="1"/>
  <c r="J946" i="1"/>
  <c r="H946" i="1"/>
  <c r="G946" i="1"/>
  <c r="F946" i="1"/>
  <c r="E946" i="1"/>
  <c r="D946" i="1"/>
  <c r="I946" i="1" s="1"/>
  <c r="C946" i="1"/>
  <c r="B946" i="1"/>
  <c r="A946" i="1"/>
  <c r="T945" i="1"/>
  <c r="S945" i="1"/>
  <c r="Q945" i="1"/>
  <c r="M945" i="1"/>
  <c r="N945" i="1" s="1"/>
  <c r="L945" i="1"/>
  <c r="K945" i="1"/>
  <c r="R945" i="1" s="1"/>
  <c r="J945" i="1"/>
  <c r="H945" i="1"/>
  <c r="G945" i="1"/>
  <c r="F945" i="1"/>
  <c r="E945" i="1"/>
  <c r="C945" i="1"/>
  <c r="D945" i="1" s="1"/>
  <c r="I945" i="1" s="1"/>
  <c r="B945" i="1"/>
  <c r="A945" i="1"/>
  <c r="T944" i="1"/>
  <c r="S944" i="1"/>
  <c r="Q944" i="1"/>
  <c r="M944" i="1"/>
  <c r="N944" i="1" s="1"/>
  <c r="L944" i="1"/>
  <c r="K944" i="1"/>
  <c r="R944" i="1" s="1"/>
  <c r="J944" i="1"/>
  <c r="H944" i="1"/>
  <c r="G944" i="1"/>
  <c r="F944" i="1"/>
  <c r="E944" i="1"/>
  <c r="D944" i="1"/>
  <c r="I944" i="1" s="1"/>
  <c r="C944" i="1"/>
  <c r="B944" i="1"/>
  <c r="A944" i="1"/>
  <c r="T943" i="1"/>
  <c r="S943" i="1"/>
  <c r="Q943" i="1"/>
  <c r="O943" i="1"/>
  <c r="M943" i="1"/>
  <c r="N943" i="1" s="1"/>
  <c r="P943" i="1" s="1"/>
  <c r="L943" i="1"/>
  <c r="K943" i="1"/>
  <c r="R943" i="1" s="1"/>
  <c r="J943" i="1"/>
  <c r="H943" i="1"/>
  <c r="G943" i="1"/>
  <c r="F943" i="1"/>
  <c r="E943" i="1"/>
  <c r="C943" i="1"/>
  <c r="D943" i="1" s="1"/>
  <c r="I943" i="1" s="1"/>
  <c r="B943" i="1"/>
  <c r="A943" i="1"/>
  <c r="T942" i="1"/>
  <c r="S942" i="1"/>
  <c r="Q942" i="1"/>
  <c r="P942" i="1"/>
  <c r="M942" i="1"/>
  <c r="N942" i="1" s="1"/>
  <c r="O942" i="1" s="1"/>
  <c r="L942" i="1"/>
  <c r="K942" i="1"/>
  <c r="R942" i="1" s="1"/>
  <c r="J942" i="1"/>
  <c r="H942" i="1"/>
  <c r="G942" i="1"/>
  <c r="F942" i="1"/>
  <c r="E942" i="1"/>
  <c r="D942" i="1"/>
  <c r="I942" i="1" s="1"/>
  <c r="C942" i="1"/>
  <c r="B942" i="1"/>
  <c r="A942" i="1"/>
  <c r="T941" i="1"/>
  <c r="S941" i="1"/>
  <c r="Q941" i="1"/>
  <c r="M941" i="1"/>
  <c r="N941" i="1" s="1"/>
  <c r="L941" i="1"/>
  <c r="K941" i="1"/>
  <c r="R941" i="1" s="1"/>
  <c r="J941" i="1"/>
  <c r="H941" i="1"/>
  <c r="G941" i="1"/>
  <c r="F941" i="1"/>
  <c r="E941" i="1"/>
  <c r="C941" i="1"/>
  <c r="D941" i="1" s="1"/>
  <c r="I941" i="1" s="1"/>
  <c r="B941" i="1"/>
  <c r="A941" i="1"/>
  <c r="T940" i="1"/>
  <c r="S940" i="1"/>
  <c r="Q940" i="1"/>
  <c r="M940" i="1"/>
  <c r="N940" i="1" s="1"/>
  <c r="L940" i="1"/>
  <c r="K940" i="1"/>
  <c r="R940" i="1" s="1"/>
  <c r="J940" i="1"/>
  <c r="H940" i="1"/>
  <c r="G940" i="1"/>
  <c r="F940" i="1"/>
  <c r="E940" i="1"/>
  <c r="D940" i="1"/>
  <c r="I940" i="1" s="1"/>
  <c r="C940" i="1"/>
  <c r="B940" i="1"/>
  <c r="A940" i="1"/>
  <c r="T939" i="1"/>
  <c r="S939" i="1"/>
  <c r="Q939" i="1"/>
  <c r="O939" i="1"/>
  <c r="M939" i="1"/>
  <c r="N939" i="1" s="1"/>
  <c r="P939" i="1" s="1"/>
  <c r="L939" i="1"/>
  <c r="K939" i="1"/>
  <c r="R939" i="1" s="1"/>
  <c r="J939" i="1"/>
  <c r="H939" i="1"/>
  <c r="G939" i="1"/>
  <c r="F939" i="1"/>
  <c r="E939" i="1"/>
  <c r="C939" i="1"/>
  <c r="D939" i="1" s="1"/>
  <c r="I939" i="1" s="1"/>
  <c r="B939" i="1"/>
  <c r="A939" i="1"/>
  <c r="T938" i="1"/>
  <c r="S938" i="1"/>
  <c r="Q938" i="1"/>
  <c r="P938" i="1"/>
  <c r="M938" i="1"/>
  <c r="N938" i="1" s="1"/>
  <c r="O938" i="1" s="1"/>
  <c r="L938" i="1"/>
  <c r="K938" i="1"/>
  <c r="R938" i="1" s="1"/>
  <c r="J938" i="1"/>
  <c r="H938" i="1"/>
  <c r="G938" i="1"/>
  <c r="F938" i="1"/>
  <c r="E938" i="1"/>
  <c r="D938" i="1"/>
  <c r="I938" i="1" s="1"/>
  <c r="C938" i="1"/>
  <c r="B938" i="1"/>
  <c r="A938" i="1"/>
  <c r="T937" i="1"/>
  <c r="S937" i="1"/>
  <c r="Q937" i="1"/>
  <c r="M937" i="1"/>
  <c r="N937" i="1" s="1"/>
  <c r="L937" i="1"/>
  <c r="K937" i="1"/>
  <c r="R937" i="1" s="1"/>
  <c r="J937" i="1"/>
  <c r="H937" i="1"/>
  <c r="G937" i="1"/>
  <c r="F937" i="1"/>
  <c r="E937" i="1"/>
  <c r="C937" i="1"/>
  <c r="D937" i="1" s="1"/>
  <c r="I937" i="1" s="1"/>
  <c r="B937" i="1"/>
  <c r="A937" i="1"/>
  <c r="T936" i="1"/>
  <c r="S936" i="1"/>
  <c r="Q936" i="1"/>
  <c r="M936" i="1"/>
  <c r="N936" i="1" s="1"/>
  <c r="L936" i="1"/>
  <c r="K936" i="1"/>
  <c r="R936" i="1" s="1"/>
  <c r="J936" i="1"/>
  <c r="I936" i="1"/>
  <c r="H936" i="1"/>
  <c r="G936" i="1"/>
  <c r="F936" i="1"/>
  <c r="E936" i="1"/>
  <c r="C936" i="1"/>
  <c r="D936" i="1" s="1"/>
  <c r="B936" i="1"/>
  <c r="A936" i="1"/>
  <c r="T935" i="1"/>
  <c r="S935" i="1"/>
  <c r="Q935" i="1"/>
  <c r="P935" i="1"/>
  <c r="M935" i="1"/>
  <c r="N935" i="1" s="1"/>
  <c r="O935" i="1" s="1"/>
  <c r="L935" i="1"/>
  <c r="K935" i="1"/>
  <c r="R935" i="1" s="1"/>
  <c r="J935" i="1"/>
  <c r="H935" i="1"/>
  <c r="G935" i="1"/>
  <c r="F935" i="1"/>
  <c r="E935" i="1"/>
  <c r="C935" i="1"/>
  <c r="D935" i="1" s="1"/>
  <c r="I935" i="1" s="1"/>
  <c r="B935" i="1"/>
  <c r="A935" i="1"/>
  <c r="T934" i="1"/>
  <c r="S934" i="1"/>
  <c r="Q934" i="1"/>
  <c r="M934" i="1"/>
  <c r="N934" i="1" s="1"/>
  <c r="L934" i="1"/>
  <c r="K934" i="1"/>
  <c r="R934" i="1" s="1"/>
  <c r="J934" i="1"/>
  <c r="I934" i="1"/>
  <c r="H934" i="1"/>
  <c r="G934" i="1"/>
  <c r="F934" i="1"/>
  <c r="E934" i="1"/>
  <c r="C934" i="1"/>
  <c r="D934" i="1" s="1"/>
  <c r="B934" i="1"/>
  <c r="A934" i="1"/>
  <c r="T933" i="1"/>
  <c r="S933" i="1"/>
  <c r="Q933" i="1"/>
  <c r="P933" i="1"/>
  <c r="M933" i="1"/>
  <c r="N933" i="1" s="1"/>
  <c r="O933" i="1" s="1"/>
  <c r="L933" i="1"/>
  <c r="K933" i="1"/>
  <c r="R933" i="1" s="1"/>
  <c r="J933" i="1"/>
  <c r="H933" i="1"/>
  <c r="G933" i="1"/>
  <c r="F933" i="1"/>
  <c r="E933" i="1"/>
  <c r="C933" i="1"/>
  <c r="D933" i="1" s="1"/>
  <c r="I933" i="1" s="1"/>
  <c r="B933" i="1"/>
  <c r="A933" i="1"/>
  <c r="T932" i="1"/>
  <c r="S932" i="1"/>
  <c r="Q932" i="1"/>
  <c r="M932" i="1"/>
  <c r="N932" i="1" s="1"/>
  <c r="L932" i="1"/>
  <c r="K932" i="1"/>
  <c r="R932" i="1" s="1"/>
  <c r="J932" i="1"/>
  <c r="I932" i="1"/>
  <c r="H932" i="1"/>
  <c r="G932" i="1"/>
  <c r="F932" i="1"/>
  <c r="E932" i="1"/>
  <c r="C932" i="1"/>
  <c r="D932" i="1" s="1"/>
  <c r="B932" i="1"/>
  <c r="A932" i="1"/>
  <c r="T931" i="1"/>
  <c r="S931" i="1"/>
  <c r="Q931" i="1"/>
  <c r="P931" i="1"/>
  <c r="M931" i="1"/>
  <c r="N931" i="1" s="1"/>
  <c r="O931" i="1" s="1"/>
  <c r="L931" i="1"/>
  <c r="K931" i="1"/>
  <c r="R931" i="1" s="1"/>
  <c r="J931" i="1"/>
  <c r="H931" i="1"/>
  <c r="G931" i="1"/>
  <c r="F931" i="1"/>
  <c r="E931" i="1"/>
  <c r="C931" i="1"/>
  <c r="D931" i="1" s="1"/>
  <c r="I931" i="1" s="1"/>
  <c r="B931" i="1"/>
  <c r="A931" i="1"/>
  <c r="T930" i="1"/>
  <c r="S930" i="1"/>
  <c r="Q930" i="1"/>
  <c r="M930" i="1"/>
  <c r="N930" i="1" s="1"/>
  <c r="L930" i="1"/>
  <c r="K930" i="1"/>
  <c r="R930" i="1" s="1"/>
  <c r="J930" i="1"/>
  <c r="I930" i="1"/>
  <c r="H930" i="1"/>
  <c r="G930" i="1"/>
  <c r="F930" i="1"/>
  <c r="E930" i="1"/>
  <c r="C930" i="1"/>
  <c r="D930" i="1" s="1"/>
  <c r="B930" i="1"/>
  <c r="A930" i="1"/>
  <c r="T929" i="1"/>
  <c r="S929" i="1"/>
  <c r="Q929" i="1"/>
  <c r="P929" i="1"/>
  <c r="M929" i="1"/>
  <c r="N929" i="1" s="1"/>
  <c r="O929" i="1" s="1"/>
  <c r="L929" i="1"/>
  <c r="K929" i="1"/>
  <c r="R929" i="1" s="1"/>
  <c r="J929" i="1"/>
  <c r="H929" i="1"/>
  <c r="G929" i="1"/>
  <c r="F929" i="1"/>
  <c r="E929" i="1"/>
  <c r="C929" i="1"/>
  <c r="D929" i="1" s="1"/>
  <c r="I929" i="1" s="1"/>
  <c r="B929" i="1"/>
  <c r="A929" i="1"/>
  <c r="T928" i="1"/>
  <c r="S928" i="1"/>
  <c r="Q928" i="1"/>
  <c r="M928" i="1"/>
  <c r="N928" i="1" s="1"/>
  <c r="L928" i="1"/>
  <c r="K928" i="1"/>
  <c r="R928" i="1" s="1"/>
  <c r="J928" i="1"/>
  <c r="I928" i="1"/>
  <c r="H928" i="1"/>
  <c r="G928" i="1"/>
  <c r="F928" i="1"/>
  <c r="E928" i="1"/>
  <c r="C928" i="1"/>
  <c r="D928" i="1" s="1"/>
  <c r="B928" i="1"/>
  <c r="A928" i="1"/>
  <c r="T927" i="1"/>
  <c r="S927" i="1"/>
  <c r="Q927" i="1"/>
  <c r="P927" i="1"/>
  <c r="M927" i="1"/>
  <c r="N927" i="1" s="1"/>
  <c r="O927" i="1" s="1"/>
  <c r="L927" i="1"/>
  <c r="K927" i="1"/>
  <c r="R927" i="1" s="1"/>
  <c r="J927" i="1"/>
  <c r="H927" i="1"/>
  <c r="G927" i="1"/>
  <c r="F927" i="1"/>
  <c r="E927" i="1"/>
  <c r="C927" i="1"/>
  <c r="D927" i="1" s="1"/>
  <c r="I927" i="1" s="1"/>
  <c r="B927" i="1"/>
  <c r="A927" i="1"/>
  <c r="T926" i="1"/>
  <c r="S926" i="1"/>
  <c r="Q926" i="1"/>
  <c r="M926" i="1"/>
  <c r="N926" i="1" s="1"/>
  <c r="L926" i="1"/>
  <c r="K926" i="1"/>
  <c r="R926" i="1" s="1"/>
  <c r="J926" i="1"/>
  <c r="I926" i="1"/>
  <c r="H926" i="1"/>
  <c r="G926" i="1"/>
  <c r="F926" i="1"/>
  <c r="E926" i="1"/>
  <c r="C926" i="1"/>
  <c r="D926" i="1" s="1"/>
  <c r="B926" i="1"/>
  <c r="A926" i="1"/>
  <c r="T925" i="1"/>
  <c r="S925" i="1"/>
  <c r="Q925" i="1"/>
  <c r="P925" i="1"/>
  <c r="M925" i="1"/>
  <c r="N925" i="1" s="1"/>
  <c r="O925" i="1" s="1"/>
  <c r="L925" i="1"/>
  <c r="K925" i="1"/>
  <c r="R925" i="1" s="1"/>
  <c r="J925" i="1"/>
  <c r="H925" i="1"/>
  <c r="G925" i="1"/>
  <c r="F925" i="1"/>
  <c r="E925" i="1"/>
  <c r="C925" i="1"/>
  <c r="D925" i="1" s="1"/>
  <c r="I925" i="1" s="1"/>
  <c r="B925" i="1"/>
  <c r="A925" i="1"/>
  <c r="T924" i="1"/>
  <c r="S924" i="1"/>
  <c r="Q924" i="1"/>
  <c r="M924" i="1"/>
  <c r="N924" i="1" s="1"/>
  <c r="L924" i="1"/>
  <c r="K924" i="1"/>
  <c r="R924" i="1" s="1"/>
  <c r="J924" i="1"/>
  <c r="I924" i="1"/>
  <c r="H924" i="1"/>
  <c r="G924" i="1"/>
  <c r="F924" i="1"/>
  <c r="E924" i="1"/>
  <c r="C924" i="1"/>
  <c r="D924" i="1" s="1"/>
  <c r="B924" i="1"/>
  <c r="A924" i="1"/>
  <c r="T923" i="1"/>
  <c r="S923" i="1"/>
  <c r="Q923" i="1"/>
  <c r="P923" i="1"/>
  <c r="M923" i="1"/>
  <c r="N923" i="1" s="1"/>
  <c r="O923" i="1" s="1"/>
  <c r="L923" i="1"/>
  <c r="K923" i="1"/>
  <c r="R923" i="1" s="1"/>
  <c r="J923" i="1"/>
  <c r="H923" i="1"/>
  <c r="G923" i="1"/>
  <c r="F923" i="1"/>
  <c r="E923" i="1"/>
  <c r="C923" i="1"/>
  <c r="D923" i="1" s="1"/>
  <c r="I923" i="1" s="1"/>
  <c r="B923" i="1"/>
  <c r="A923" i="1"/>
  <c r="T922" i="1"/>
  <c r="S922" i="1"/>
  <c r="Q922" i="1"/>
  <c r="M922" i="1"/>
  <c r="N922" i="1" s="1"/>
  <c r="L922" i="1"/>
  <c r="K922" i="1"/>
  <c r="R922" i="1" s="1"/>
  <c r="J922" i="1"/>
  <c r="I922" i="1"/>
  <c r="H922" i="1"/>
  <c r="G922" i="1"/>
  <c r="F922" i="1"/>
  <c r="E922" i="1"/>
  <c r="C922" i="1"/>
  <c r="D922" i="1" s="1"/>
  <c r="B922" i="1"/>
  <c r="A922" i="1"/>
  <c r="T921" i="1"/>
  <c r="S921" i="1"/>
  <c r="Q921" i="1"/>
  <c r="P921" i="1"/>
  <c r="M921" i="1"/>
  <c r="N921" i="1" s="1"/>
  <c r="O921" i="1" s="1"/>
  <c r="L921" i="1"/>
  <c r="K921" i="1"/>
  <c r="R921" i="1" s="1"/>
  <c r="J921" i="1"/>
  <c r="H921" i="1"/>
  <c r="G921" i="1"/>
  <c r="F921" i="1"/>
  <c r="E921" i="1"/>
  <c r="C921" i="1"/>
  <c r="D921" i="1" s="1"/>
  <c r="I921" i="1" s="1"/>
  <c r="B921" i="1"/>
  <c r="A921" i="1"/>
  <c r="T920" i="1"/>
  <c r="S920" i="1"/>
  <c r="Q920" i="1"/>
  <c r="M920" i="1"/>
  <c r="N920" i="1" s="1"/>
  <c r="L920" i="1"/>
  <c r="K920" i="1"/>
  <c r="R920" i="1" s="1"/>
  <c r="J920" i="1"/>
  <c r="I920" i="1"/>
  <c r="H920" i="1"/>
  <c r="G920" i="1"/>
  <c r="F920" i="1"/>
  <c r="E920" i="1"/>
  <c r="C920" i="1"/>
  <c r="D920" i="1" s="1"/>
  <c r="B920" i="1"/>
  <c r="A920" i="1"/>
  <c r="T919" i="1"/>
  <c r="S919" i="1"/>
  <c r="Q919" i="1"/>
  <c r="P919" i="1"/>
  <c r="M919" i="1"/>
  <c r="N919" i="1" s="1"/>
  <c r="O919" i="1" s="1"/>
  <c r="L919" i="1"/>
  <c r="K919" i="1"/>
  <c r="R919" i="1" s="1"/>
  <c r="J919" i="1"/>
  <c r="H919" i="1"/>
  <c r="G919" i="1"/>
  <c r="F919" i="1"/>
  <c r="E919" i="1"/>
  <c r="C919" i="1"/>
  <c r="D919" i="1" s="1"/>
  <c r="I919" i="1" s="1"/>
  <c r="B919" i="1"/>
  <c r="A919" i="1"/>
  <c r="T918" i="1"/>
  <c r="S918" i="1"/>
  <c r="Q918" i="1"/>
  <c r="M918" i="1"/>
  <c r="N918" i="1" s="1"/>
  <c r="L918" i="1"/>
  <c r="K918" i="1"/>
  <c r="R918" i="1" s="1"/>
  <c r="J918" i="1"/>
  <c r="I918" i="1"/>
  <c r="H918" i="1"/>
  <c r="G918" i="1"/>
  <c r="F918" i="1"/>
  <c r="E918" i="1"/>
  <c r="C918" i="1"/>
  <c r="D918" i="1" s="1"/>
  <c r="B918" i="1"/>
  <c r="A918" i="1"/>
  <c r="T917" i="1"/>
  <c r="S917" i="1"/>
  <c r="Q917" i="1"/>
  <c r="P917" i="1"/>
  <c r="M917" i="1"/>
  <c r="N917" i="1" s="1"/>
  <c r="O917" i="1" s="1"/>
  <c r="L917" i="1"/>
  <c r="K917" i="1"/>
  <c r="R917" i="1" s="1"/>
  <c r="J917" i="1"/>
  <c r="H917" i="1"/>
  <c r="G917" i="1"/>
  <c r="F917" i="1"/>
  <c r="E917" i="1"/>
  <c r="C917" i="1"/>
  <c r="D917" i="1" s="1"/>
  <c r="I917" i="1" s="1"/>
  <c r="B917" i="1"/>
  <c r="A917" i="1"/>
  <c r="T916" i="1"/>
  <c r="S916" i="1"/>
  <c r="Q916" i="1"/>
  <c r="M916" i="1"/>
  <c r="N916" i="1" s="1"/>
  <c r="L916" i="1"/>
  <c r="K916" i="1"/>
  <c r="R916" i="1" s="1"/>
  <c r="J916" i="1"/>
  <c r="I916" i="1"/>
  <c r="H916" i="1"/>
  <c r="G916" i="1"/>
  <c r="F916" i="1"/>
  <c r="E916" i="1"/>
  <c r="C916" i="1"/>
  <c r="D916" i="1" s="1"/>
  <c r="B916" i="1"/>
  <c r="A916" i="1"/>
  <c r="T915" i="1"/>
  <c r="S915" i="1"/>
  <c r="Q915" i="1"/>
  <c r="P915" i="1"/>
  <c r="M915" i="1"/>
  <c r="N915" i="1" s="1"/>
  <c r="O915" i="1" s="1"/>
  <c r="L915" i="1"/>
  <c r="K915" i="1"/>
  <c r="R915" i="1" s="1"/>
  <c r="J915" i="1"/>
  <c r="H915" i="1"/>
  <c r="G915" i="1"/>
  <c r="F915" i="1"/>
  <c r="E915" i="1"/>
  <c r="C915" i="1"/>
  <c r="D915" i="1" s="1"/>
  <c r="I915" i="1" s="1"/>
  <c r="B915" i="1"/>
  <c r="A915" i="1"/>
  <c r="T914" i="1"/>
  <c r="S914" i="1"/>
  <c r="Q914" i="1"/>
  <c r="M914" i="1"/>
  <c r="N914" i="1" s="1"/>
  <c r="L914" i="1"/>
  <c r="K914" i="1"/>
  <c r="R914" i="1" s="1"/>
  <c r="J914" i="1"/>
  <c r="I914" i="1"/>
  <c r="H914" i="1"/>
  <c r="G914" i="1"/>
  <c r="F914" i="1"/>
  <c r="E914" i="1"/>
  <c r="C914" i="1"/>
  <c r="D914" i="1" s="1"/>
  <c r="B914" i="1"/>
  <c r="A914" i="1"/>
  <c r="T913" i="1"/>
  <c r="S913" i="1"/>
  <c r="Q913" i="1"/>
  <c r="P913" i="1"/>
  <c r="M913" i="1"/>
  <c r="N913" i="1" s="1"/>
  <c r="O913" i="1" s="1"/>
  <c r="L913" i="1"/>
  <c r="K913" i="1"/>
  <c r="R913" i="1" s="1"/>
  <c r="J913" i="1"/>
  <c r="H913" i="1"/>
  <c r="G913" i="1"/>
  <c r="F913" i="1"/>
  <c r="E913" i="1"/>
  <c r="C913" i="1"/>
  <c r="D913" i="1" s="1"/>
  <c r="I913" i="1" s="1"/>
  <c r="B913" i="1"/>
  <c r="A913" i="1"/>
  <c r="T912" i="1"/>
  <c r="S912" i="1"/>
  <c r="Q912" i="1"/>
  <c r="M912" i="1"/>
  <c r="N912" i="1" s="1"/>
  <c r="L912" i="1"/>
  <c r="K912" i="1"/>
  <c r="R912" i="1" s="1"/>
  <c r="J912" i="1"/>
  <c r="I912" i="1"/>
  <c r="H912" i="1"/>
  <c r="G912" i="1"/>
  <c r="F912" i="1"/>
  <c r="E912" i="1"/>
  <c r="C912" i="1"/>
  <c r="D912" i="1" s="1"/>
  <c r="B912" i="1"/>
  <c r="A912" i="1"/>
  <c r="T911" i="1"/>
  <c r="S911" i="1"/>
  <c r="Q911" i="1"/>
  <c r="P911" i="1"/>
  <c r="M911" i="1"/>
  <c r="N911" i="1" s="1"/>
  <c r="O911" i="1" s="1"/>
  <c r="L911" i="1"/>
  <c r="K911" i="1"/>
  <c r="R911" i="1" s="1"/>
  <c r="J911" i="1"/>
  <c r="H911" i="1"/>
  <c r="G911" i="1"/>
  <c r="F911" i="1"/>
  <c r="E911" i="1"/>
  <c r="C911" i="1"/>
  <c r="D911" i="1" s="1"/>
  <c r="I911" i="1" s="1"/>
  <c r="B911" i="1"/>
  <c r="A911" i="1"/>
  <c r="T910" i="1"/>
  <c r="S910" i="1"/>
  <c r="Q910" i="1"/>
  <c r="M910" i="1"/>
  <c r="N910" i="1" s="1"/>
  <c r="L910" i="1"/>
  <c r="K910" i="1"/>
  <c r="R910" i="1" s="1"/>
  <c r="J910" i="1"/>
  <c r="I910" i="1"/>
  <c r="H910" i="1"/>
  <c r="G910" i="1"/>
  <c r="F910" i="1"/>
  <c r="E910" i="1"/>
  <c r="C910" i="1"/>
  <c r="D910" i="1" s="1"/>
  <c r="B910" i="1"/>
  <c r="A910" i="1"/>
  <c r="T909" i="1"/>
  <c r="S909" i="1"/>
  <c r="Q909" i="1"/>
  <c r="P909" i="1"/>
  <c r="M909" i="1"/>
  <c r="N909" i="1" s="1"/>
  <c r="O909" i="1" s="1"/>
  <c r="L909" i="1"/>
  <c r="K909" i="1"/>
  <c r="R909" i="1" s="1"/>
  <c r="J909" i="1"/>
  <c r="H909" i="1"/>
  <c r="G909" i="1"/>
  <c r="F909" i="1"/>
  <c r="E909" i="1"/>
  <c r="C909" i="1"/>
  <c r="D909" i="1" s="1"/>
  <c r="I909" i="1" s="1"/>
  <c r="B909" i="1"/>
  <c r="A909" i="1"/>
  <c r="T908" i="1"/>
  <c r="S908" i="1"/>
  <c r="Q908" i="1"/>
  <c r="M908" i="1"/>
  <c r="N908" i="1" s="1"/>
  <c r="L908" i="1"/>
  <c r="K908" i="1"/>
  <c r="R908" i="1" s="1"/>
  <c r="J908" i="1"/>
  <c r="I908" i="1"/>
  <c r="H908" i="1"/>
  <c r="G908" i="1"/>
  <c r="F908" i="1"/>
  <c r="E908" i="1"/>
  <c r="C908" i="1"/>
  <c r="D908" i="1" s="1"/>
  <c r="B908" i="1"/>
  <c r="A908" i="1"/>
  <c r="T907" i="1"/>
  <c r="S907" i="1"/>
  <c r="Q907" i="1"/>
  <c r="P907" i="1"/>
  <c r="M907" i="1"/>
  <c r="N907" i="1" s="1"/>
  <c r="O907" i="1" s="1"/>
  <c r="L907" i="1"/>
  <c r="K907" i="1"/>
  <c r="R907" i="1" s="1"/>
  <c r="J907" i="1"/>
  <c r="H907" i="1"/>
  <c r="G907" i="1"/>
  <c r="F907" i="1"/>
  <c r="E907" i="1"/>
  <c r="C907" i="1"/>
  <c r="D907" i="1" s="1"/>
  <c r="I907" i="1" s="1"/>
  <c r="B907" i="1"/>
  <c r="A907" i="1"/>
  <c r="T906" i="1"/>
  <c r="S906" i="1"/>
  <c r="Q906" i="1"/>
  <c r="M906" i="1"/>
  <c r="N906" i="1" s="1"/>
  <c r="L906" i="1"/>
  <c r="K906" i="1"/>
  <c r="R906" i="1" s="1"/>
  <c r="J906" i="1"/>
  <c r="I906" i="1"/>
  <c r="H906" i="1"/>
  <c r="G906" i="1"/>
  <c r="F906" i="1"/>
  <c r="E906" i="1"/>
  <c r="C906" i="1"/>
  <c r="D906" i="1" s="1"/>
  <c r="B906" i="1"/>
  <c r="A906" i="1"/>
  <c r="T905" i="1"/>
  <c r="S905" i="1"/>
  <c r="Q905" i="1"/>
  <c r="P905" i="1"/>
  <c r="M905" i="1"/>
  <c r="N905" i="1" s="1"/>
  <c r="O905" i="1" s="1"/>
  <c r="L905" i="1"/>
  <c r="K905" i="1"/>
  <c r="R905" i="1" s="1"/>
  <c r="J905" i="1"/>
  <c r="H905" i="1"/>
  <c r="G905" i="1"/>
  <c r="F905" i="1"/>
  <c r="E905" i="1"/>
  <c r="C905" i="1"/>
  <c r="D905" i="1" s="1"/>
  <c r="I905" i="1" s="1"/>
  <c r="B905" i="1"/>
  <c r="A905" i="1"/>
  <c r="T904" i="1"/>
  <c r="S904" i="1"/>
  <c r="Q904" i="1"/>
  <c r="M904" i="1"/>
  <c r="N904" i="1" s="1"/>
  <c r="L904" i="1"/>
  <c r="K904" i="1"/>
  <c r="R904" i="1" s="1"/>
  <c r="J904" i="1"/>
  <c r="I904" i="1"/>
  <c r="H904" i="1"/>
  <c r="G904" i="1"/>
  <c r="F904" i="1"/>
  <c r="E904" i="1"/>
  <c r="C904" i="1"/>
  <c r="D904" i="1" s="1"/>
  <c r="B904" i="1"/>
  <c r="A904" i="1"/>
  <c r="T903" i="1"/>
  <c r="S903" i="1"/>
  <c r="Q903" i="1"/>
  <c r="P903" i="1"/>
  <c r="M903" i="1"/>
  <c r="N903" i="1" s="1"/>
  <c r="O903" i="1" s="1"/>
  <c r="L903" i="1"/>
  <c r="K903" i="1"/>
  <c r="R903" i="1" s="1"/>
  <c r="J903" i="1"/>
  <c r="H903" i="1"/>
  <c r="G903" i="1"/>
  <c r="F903" i="1"/>
  <c r="E903" i="1"/>
  <c r="C903" i="1"/>
  <c r="D903" i="1" s="1"/>
  <c r="I903" i="1" s="1"/>
  <c r="B903" i="1"/>
  <c r="A903" i="1"/>
  <c r="T902" i="1"/>
  <c r="S902" i="1"/>
  <c r="Q902" i="1"/>
  <c r="M902" i="1"/>
  <c r="N902" i="1" s="1"/>
  <c r="L902" i="1"/>
  <c r="K902" i="1"/>
  <c r="R902" i="1" s="1"/>
  <c r="J902" i="1"/>
  <c r="I902" i="1"/>
  <c r="H902" i="1"/>
  <c r="G902" i="1"/>
  <c r="F902" i="1"/>
  <c r="E902" i="1"/>
  <c r="C902" i="1"/>
  <c r="D902" i="1" s="1"/>
  <c r="B902" i="1"/>
  <c r="A902" i="1"/>
  <c r="T901" i="1"/>
  <c r="S901" i="1"/>
  <c r="Q901" i="1"/>
  <c r="P901" i="1"/>
  <c r="M901" i="1"/>
  <c r="N901" i="1" s="1"/>
  <c r="O901" i="1" s="1"/>
  <c r="L901" i="1"/>
  <c r="K901" i="1"/>
  <c r="R901" i="1" s="1"/>
  <c r="J901" i="1"/>
  <c r="H901" i="1"/>
  <c r="G901" i="1"/>
  <c r="F901" i="1"/>
  <c r="E901" i="1"/>
  <c r="C901" i="1"/>
  <c r="D901" i="1" s="1"/>
  <c r="I901" i="1" s="1"/>
  <c r="B901" i="1"/>
  <c r="A901" i="1"/>
  <c r="T900" i="1"/>
  <c r="S900" i="1"/>
  <c r="Q900" i="1"/>
  <c r="M900" i="1"/>
  <c r="N900" i="1" s="1"/>
  <c r="L900" i="1"/>
  <c r="K900" i="1"/>
  <c r="R900" i="1" s="1"/>
  <c r="J900" i="1"/>
  <c r="I900" i="1"/>
  <c r="H900" i="1"/>
  <c r="G900" i="1"/>
  <c r="F900" i="1"/>
  <c r="E900" i="1"/>
  <c r="C900" i="1"/>
  <c r="D900" i="1" s="1"/>
  <c r="B900" i="1"/>
  <c r="A900" i="1"/>
  <c r="T899" i="1"/>
  <c r="S899" i="1"/>
  <c r="Q899" i="1"/>
  <c r="P899" i="1"/>
  <c r="M899" i="1"/>
  <c r="N899" i="1" s="1"/>
  <c r="O899" i="1" s="1"/>
  <c r="L899" i="1"/>
  <c r="K899" i="1"/>
  <c r="R899" i="1" s="1"/>
  <c r="J899" i="1"/>
  <c r="H899" i="1"/>
  <c r="G899" i="1"/>
  <c r="F899" i="1"/>
  <c r="E899" i="1"/>
  <c r="C899" i="1"/>
  <c r="D899" i="1" s="1"/>
  <c r="I899" i="1" s="1"/>
  <c r="B899" i="1"/>
  <c r="A899" i="1"/>
  <c r="T898" i="1"/>
  <c r="S898" i="1"/>
  <c r="Q898" i="1"/>
  <c r="M898" i="1"/>
  <c r="N898" i="1" s="1"/>
  <c r="L898" i="1"/>
  <c r="K898" i="1"/>
  <c r="R898" i="1" s="1"/>
  <c r="J898" i="1"/>
  <c r="I898" i="1"/>
  <c r="H898" i="1"/>
  <c r="G898" i="1"/>
  <c r="F898" i="1"/>
  <c r="E898" i="1"/>
  <c r="C898" i="1"/>
  <c r="D898" i="1" s="1"/>
  <c r="B898" i="1"/>
  <c r="A898" i="1"/>
  <c r="T897" i="1"/>
  <c r="S897" i="1"/>
  <c r="Q897" i="1"/>
  <c r="P897" i="1"/>
  <c r="M897" i="1"/>
  <c r="N897" i="1" s="1"/>
  <c r="O897" i="1" s="1"/>
  <c r="L897" i="1"/>
  <c r="K897" i="1"/>
  <c r="R897" i="1" s="1"/>
  <c r="J897" i="1"/>
  <c r="H897" i="1"/>
  <c r="G897" i="1"/>
  <c r="F897" i="1"/>
  <c r="E897" i="1"/>
  <c r="C897" i="1"/>
  <c r="D897" i="1" s="1"/>
  <c r="I897" i="1" s="1"/>
  <c r="B897" i="1"/>
  <c r="A897" i="1"/>
  <c r="T896" i="1"/>
  <c r="S896" i="1"/>
  <c r="Q896" i="1"/>
  <c r="M896" i="1"/>
  <c r="N896" i="1" s="1"/>
  <c r="L896" i="1"/>
  <c r="K896" i="1"/>
  <c r="R896" i="1" s="1"/>
  <c r="J896" i="1"/>
  <c r="I896" i="1"/>
  <c r="H896" i="1"/>
  <c r="G896" i="1"/>
  <c r="F896" i="1"/>
  <c r="E896" i="1"/>
  <c r="C896" i="1"/>
  <c r="D896" i="1" s="1"/>
  <c r="B896" i="1"/>
  <c r="A896" i="1"/>
  <c r="T895" i="1"/>
  <c r="S895" i="1"/>
  <c r="Q895" i="1"/>
  <c r="P895" i="1"/>
  <c r="M895" i="1"/>
  <c r="N895" i="1" s="1"/>
  <c r="O895" i="1" s="1"/>
  <c r="L895" i="1"/>
  <c r="K895" i="1"/>
  <c r="R895" i="1" s="1"/>
  <c r="J895" i="1"/>
  <c r="H895" i="1"/>
  <c r="G895" i="1"/>
  <c r="F895" i="1"/>
  <c r="E895" i="1"/>
  <c r="C895" i="1"/>
  <c r="D895" i="1" s="1"/>
  <c r="I895" i="1" s="1"/>
  <c r="B895" i="1"/>
  <c r="A895" i="1"/>
  <c r="T894" i="1"/>
  <c r="S894" i="1"/>
  <c r="Q894" i="1"/>
  <c r="M894" i="1"/>
  <c r="N894" i="1" s="1"/>
  <c r="L894" i="1"/>
  <c r="K894" i="1"/>
  <c r="R894" i="1" s="1"/>
  <c r="J894" i="1"/>
  <c r="I894" i="1"/>
  <c r="H894" i="1"/>
  <c r="G894" i="1"/>
  <c r="F894" i="1"/>
  <c r="E894" i="1"/>
  <c r="C894" i="1"/>
  <c r="D894" i="1" s="1"/>
  <c r="B894" i="1"/>
  <c r="A894" i="1"/>
  <c r="T893" i="1"/>
  <c r="S893" i="1"/>
  <c r="Q893" i="1"/>
  <c r="P893" i="1"/>
  <c r="M893" i="1"/>
  <c r="N893" i="1" s="1"/>
  <c r="O893" i="1" s="1"/>
  <c r="L893" i="1"/>
  <c r="K893" i="1"/>
  <c r="R893" i="1" s="1"/>
  <c r="J893" i="1"/>
  <c r="H893" i="1"/>
  <c r="G893" i="1"/>
  <c r="F893" i="1"/>
  <c r="E893" i="1"/>
  <c r="C893" i="1"/>
  <c r="D893" i="1" s="1"/>
  <c r="I893" i="1" s="1"/>
  <c r="B893" i="1"/>
  <c r="A893" i="1"/>
  <c r="T892" i="1"/>
  <c r="S892" i="1"/>
  <c r="Q892" i="1"/>
  <c r="M892" i="1"/>
  <c r="N892" i="1" s="1"/>
  <c r="L892" i="1"/>
  <c r="K892" i="1"/>
  <c r="R892" i="1" s="1"/>
  <c r="J892" i="1"/>
  <c r="I892" i="1"/>
  <c r="H892" i="1"/>
  <c r="G892" i="1"/>
  <c r="F892" i="1"/>
  <c r="E892" i="1"/>
  <c r="C892" i="1"/>
  <c r="D892" i="1" s="1"/>
  <c r="B892" i="1"/>
  <c r="A892" i="1"/>
  <c r="T891" i="1"/>
  <c r="S891" i="1"/>
  <c r="Q891" i="1"/>
  <c r="P891" i="1"/>
  <c r="M891" i="1"/>
  <c r="N891" i="1" s="1"/>
  <c r="O891" i="1" s="1"/>
  <c r="L891" i="1"/>
  <c r="K891" i="1"/>
  <c r="R891" i="1" s="1"/>
  <c r="J891" i="1"/>
  <c r="H891" i="1"/>
  <c r="G891" i="1"/>
  <c r="F891" i="1"/>
  <c r="E891" i="1"/>
  <c r="C891" i="1"/>
  <c r="D891" i="1" s="1"/>
  <c r="I891" i="1" s="1"/>
  <c r="B891" i="1"/>
  <c r="A891" i="1"/>
  <c r="T890" i="1"/>
  <c r="S890" i="1"/>
  <c r="Q890" i="1"/>
  <c r="M890" i="1"/>
  <c r="N890" i="1" s="1"/>
  <c r="L890" i="1"/>
  <c r="K890" i="1"/>
  <c r="R890" i="1" s="1"/>
  <c r="J890" i="1"/>
  <c r="I890" i="1"/>
  <c r="H890" i="1"/>
  <c r="G890" i="1"/>
  <c r="F890" i="1"/>
  <c r="E890" i="1"/>
  <c r="C890" i="1"/>
  <c r="D890" i="1" s="1"/>
  <c r="B890" i="1"/>
  <c r="A890" i="1"/>
  <c r="T889" i="1"/>
  <c r="S889" i="1"/>
  <c r="Q889" i="1"/>
  <c r="P889" i="1"/>
  <c r="M889" i="1"/>
  <c r="N889" i="1" s="1"/>
  <c r="O889" i="1" s="1"/>
  <c r="L889" i="1"/>
  <c r="K889" i="1"/>
  <c r="R889" i="1" s="1"/>
  <c r="J889" i="1"/>
  <c r="H889" i="1"/>
  <c r="G889" i="1"/>
  <c r="F889" i="1"/>
  <c r="E889" i="1"/>
  <c r="C889" i="1"/>
  <c r="D889" i="1" s="1"/>
  <c r="I889" i="1" s="1"/>
  <c r="B889" i="1"/>
  <c r="A889" i="1"/>
  <c r="T888" i="1"/>
  <c r="S888" i="1"/>
  <c r="Q888" i="1"/>
  <c r="M888" i="1"/>
  <c r="N888" i="1" s="1"/>
  <c r="L888" i="1"/>
  <c r="K888" i="1"/>
  <c r="R888" i="1" s="1"/>
  <c r="J888" i="1"/>
  <c r="I888" i="1"/>
  <c r="H888" i="1"/>
  <c r="G888" i="1"/>
  <c r="F888" i="1"/>
  <c r="E888" i="1"/>
  <c r="C888" i="1"/>
  <c r="D888" i="1" s="1"/>
  <c r="B888" i="1"/>
  <c r="A888" i="1"/>
  <c r="T887" i="1"/>
  <c r="S887" i="1"/>
  <c r="Q887" i="1"/>
  <c r="P887" i="1"/>
  <c r="M887" i="1"/>
  <c r="N887" i="1" s="1"/>
  <c r="O887" i="1" s="1"/>
  <c r="L887" i="1"/>
  <c r="K887" i="1"/>
  <c r="R887" i="1" s="1"/>
  <c r="J887" i="1"/>
  <c r="H887" i="1"/>
  <c r="G887" i="1"/>
  <c r="F887" i="1"/>
  <c r="E887" i="1"/>
  <c r="C887" i="1"/>
  <c r="D887" i="1" s="1"/>
  <c r="I887" i="1" s="1"/>
  <c r="B887" i="1"/>
  <c r="A887" i="1"/>
  <c r="T886" i="1"/>
  <c r="S886" i="1"/>
  <c r="Q886" i="1"/>
  <c r="M886" i="1"/>
  <c r="N886" i="1" s="1"/>
  <c r="L886" i="1"/>
  <c r="K886" i="1"/>
  <c r="R886" i="1" s="1"/>
  <c r="J886" i="1"/>
  <c r="I886" i="1"/>
  <c r="H886" i="1"/>
  <c r="G886" i="1"/>
  <c r="F886" i="1"/>
  <c r="E886" i="1"/>
  <c r="C886" i="1"/>
  <c r="D886" i="1" s="1"/>
  <c r="B886" i="1"/>
  <c r="A886" i="1"/>
  <c r="T885" i="1"/>
  <c r="S885" i="1"/>
  <c r="Q885" i="1"/>
  <c r="P885" i="1"/>
  <c r="M885" i="1"/>
  <c r="N885" i="1" s="1"/>
  <c r="O885" i="1" s="1"/>
  <c r="L885" i="1"/>
  <c r="K885" i="1"/>
  <c r="R885" i="1" s="1"/>
  <c r="J885" i="1"/>
  <c r="H885" i="1"/>
  <c r="G885" i="1"/>
  <c r="F885" i="1"/>
  <c r="E885" i="1"/>
  <c r="C885" i="1"/>
  <c r="D885" i="1" s="1"/>
  <c r="I885" i="1" s="1"/>
  <c r="B885" i="1"/>
  <c r="A885" i="1"/>
  <c r="T884" i="1"/>
  <c r="S884" i="1"/>
  <c r="Q884" i="1"/>
  <c r="M884" i="1"/>
  <c r="N884" i="1" s="1"/>
  <c r="L884" i="1"/>
  <c r="K884" i="1"/>
  <c r="R884" i="1" s="1"/>
  <c r="J884" i="1"/>
  <c r="I884" i="1"/>
  <c r="H884" i="1"/>
  <c r="G884" i="1"/>
  <c r="F884" i="1"/>
  <c r="E884" i="1"/>
  <c r="C884" i="1"/>
  <c r="D884" i="1" s="1"/>
  <c r="B884" i="1"/>
  <c r="A884" i="1"/>
  <c r="T883" i="1"/>
  <c r="S883" i="1"/>
  <c r="Q883" i="1"/>
  <c r="P883" i="1"/>
  <c r="M883" i="1"/>
  <c r="N883" i="1" s="1"/>
  <c r="O883" i="1" s="1"/>
  <c r="L883" i="1"/>
  <c r="K883" i="1"/>
  <c r="R883" i="1" s="1"/>
  <c r="J883" i="1"/>
  <c r="H883" i="1"/>
  <c r="G883" i="1"/>
  <c r="F883" i="1"/>
  <c r="E883" i="1"/>
  <c r="C883" i="1"/>
  <c r="D883" i="1" s="1"/>
  <c r="I883" i="1" s="1"/>
  <c r="B883" i="1"/>
  <c r="A883" i="1"/>
  <c r="T882" i="1"/>
  <c r="S882" i="1"/>
  <c r="Q882" i="1"/>
  <c r="M882" i="1"/>
  <c r="N882" i="1" s="1"/>
  <c r="L882" i="1"/>
  <c r="K882" i="1"/>
  <c r="R882" i="1" s="1"/>
  <c r="J882" i="1"/>
  <c r="I882" i="1"/>
  <c r="H882" i="1"/>
  <c r="G882" i="1"/>
  <c r="F882" i="1"/>
  <c r="E882" i="1"/>
  <c r="C882" i="1"/>
  <c r="D882" i="1" s="1"/>
  <c r="B882" i="1"/>
  <c r="A882" i="1"/>
  <c r="T881" i="1"/>
  <c r="S881" i="1"/>
  <c r="Q881" i="1"/>
  <c r="P881" i="1"/>
  <c r="M881" i="1"/>
  <c r="N881" i="1" s="1"/>
  <c r="O881" i="1" s="1"/>
  <c r="L881" i="1"/>
  <c r="K881" i="1"/>
  <c r="R881" i="1" s="1"/>
  <c r="J881" i="1"/>
  <c r="H881" i="1"/>
  <c r="G881" i="1"/>
  <c r="F881" i="1"/>
  <c r="E881" i="1"/>
  <c r="C881" i="1"/>
  <c r="D881" i="1" s="1"/>
  <c r="I881" i="1" s="1"/>
  <c r="B881" i="1"/>
  <c r="A881" i="1"/>
  <c r="T880" i="1"/>
  <c r="S880" i="1"/>
  <c r="Q880" i="1"/>
  <c r="M880" i="1"/>
  <c r="N880" i="1" s="1"/>
  <c r="L880" i="1"/>
  <c r="K880" i="1"/>
  <c r="R880" i="1" s="1"/>
  <c r="J880" i="1"/>
  <c r="I880" i="1"/>
  <c r="H880" i="1"/>
  <c r="G880" i="1"/>
  <c r="F880" i="1"/>
  <c r="E880" i="1"/>
  <c r="C880" i="1"/>
  <c r="D880" i="1" s="1"/>
  <c r="B880" i="1"/>
  <c r="A880" i="1"/>
  <c r="T879" i="1"/>
  <c r="S879" i="1"/>
  <c r="Q879" i="1"/>
  <c r="P879" i="1"/>
  <c r="M879" i="1"/>
  <c r="N879" i="1" s="1"/>
  <c r="O879" i="1" s="1"/>
  <c r="L879" i="1"/>
  <c r="K879" i="1"/>
  <c r="R879" i="1" s="1"/>
  <c r="J879" i="1"/>
  <c r="H879" i="1"/>
  <c r="G879" i="1"/>
  <c r="F879" i="1"/>
  <c r="E879" i="1"/>
  <c r="C879" i="1"/>
  <c r="D879" i="1" s="1"/>
  <c r="I879" i="1" s="1"/>
  <c r="B879" i="1"/>
  <c r="A879" i="1"/>
  <c r="T878" i="1"/>
  <c r="S878" i="1"/>
  <c r="Q878" i="1"/>
  <c r="M878" i="1"/>
  <c r="N878" i="1" s="1"/>
  <c r="L878" i="1"/>
  <c r="K878" i="1"/>
  <c r="R878" i="1" s="1"/>
  <c r="J878" i="1"/>
  <c r="I878" i="1"/>
  <c r="H878" i="1"/>
  <c r="G878" i="1"/>
  <c r="F878" i="1"/>
  <c r="E878" i="1"/>
  <c r="C878" i="1"/>
  <c r="D878" i="1" s="1"/>
  <c r="B878" i="1"/>
  <c r="A878" i="1"/>
  <c r="T877" i="1"/>
  <c r="S877" i="1"/>
  <c r="Q877" i="1"/>
  <c r="P877" i="1"/>
  <c r="M877" i="1"/>
  <c r="N877" i="1" s="1"/>
  <c r="O877" i="1" s="1"/>
  <c r="L877" i="1"/>
  <c r="K877" i="1"/>
  <c r="R877" i="1" s="1"/>
  <c r="J877" i="1"/>
  <c r="H877" i="1"/>
  <c r="G877" i="1"/>
  <c r="F877" i="1"/>
  <c r="E877" i="1"/>
  <c r="C877" i="1"/>
  <c r="D877" i="1" s="1"/>
  <c r="I877" i="1" s="1"/>
  <c r="B877" i="1"/>
  <c r="A877" i="1"/>
  <c r="T876" i="1"/>
  <c r="S876" i="1"/>
  <c r="Q876" i="1"/>
  <c r="M876" i="1"/>
  <c r="N876" i="1" s="1"/>
  <c r="L876" i="1"/>
  <c r="K876" i="1"/>
  <c r="R876" i="1" s="1"/>
  <c r="J876" i="1"/>
  <c r="I876" i="1"/>
  <c r="H876" i="1"/>
  <c r="G876" i="1"/>
  <c r="F876" i="1"/>
  <c r="E876" i="1"/>
  <c r="C876" i="1"/>
  <c r="D876" i="1" s="1"/>
  <c r="B876" i="1"/>
  <c r="A876" i="1"/>
  <c r="T875" i="1"/>
  <c r="S875" i="1"/>
  <c r="Q875" i="1"/>
  <c r="P875" i="1"/>
  <c r="M875" i="1"/>
  <c r="N875" i="1" s="1"/>
  <c r="O875" i="1" s="1"/>
  <c r="L875" i="1"/>
  <c r="K875" i="1"/>
  <c r="R875" i="1" s="1"/>
  <c r="J875" i="1"/>
  <c r="H875" i="1"/>
  <c r="G875" i="1"/>
  <c r="F875" i="1"/>
  <c r="E875" i="1"/>
  <c r="C875" i="1"/>
  <c r="D875" i="1" s="1"/>
  <c r="I875" i="1" s="1"/>
  <c r="B875" i="1"/>
  <c r="A875" i="1"/>
  <c r="T874" i="1"/>
  <c r="S874" i="1"/>
  <c r="Q874" i="1"/>
  <c r="M874" i="1"/>
  <c r="N874" i="1" s="1"/>
  <c r="L874" i="1"/>
  <c r="K874" i="1"/>
  <c r="R874" i="1" s="1"/>
  <c r="J874" i="1"/>
  <c r="I874" i="1"/>
  <c r="H874" i="1"/>
  <c r="G874" i="1"/>
  <c r="F874" i="1"/>
  <c r="E874" i="1"/>
  <c r="C874" i="1"/>
  <c r="D874" i="1" s="1"/>
  <c r="B874" i="1"/>
  <c r="A874" i="1"/>
  <c r="T873" i="1"/>
  <c r="S873" i="1"/>
  <c r="Q873" i="1"/>
  <c r="P873" i="1"/>
  <c r="M873" i="1"/>
  <c r="N873" i="1" s="1"/>
  <c r="O873" i="1" s="1"/>
  <c r="L873" i="1"/>
  <c r="K873" i="1"/>
  <c r="R873" i="1" s="1"/>
  <c r="J873" i="1"/>
  <c r="H873" i="1"/>
  <c r="G873" i="1"/>
  <c r="F873" i="1"/>
  <c r="E873" i="1"/>
  <c r="C873" i="1"/>
  <c r="D873" i="1" s="1"/>
  <c r="I873" i="1" s="1"/>
  <c r="B873" i="1"/>
  <c r="A873" i="1"/>
  <c r="T872" i="1"/>
  <c r="S872" i="1"/>
  <c r="Q872" i="1"/>
  <c r="M872" i="1"/>
  <c r="N872" i="1" s="1"/>
  <c r="L872" i="1"/>
  <c r="K872" i="1"/>
  <c r="R872" i="1" s="1"/>
  <c r="J872" i="1"/>
  <c r="I872" i="1"/>
  <c r="H872" i="1"/>
  <c r="G872" i="1"/>
  <c r="F872" i="1"/>
  <c r="E872" i="1"/>
  <c r="C872" i="1"/>
  <c r="D872" i="1" s="1"/>
  <c r="B872" i="1"/>
  <c r="A872" i="1"/>
  <c r="T871" i="1"/>
  <c r="S871" i="1"/>
  <c r="Q871" i="1"/>
  <c r="M871" i="1"/>
  <c r="N871" i="1" s="1"/>
  <c r="L871" i="1"/>
  <c r="K871" i="1"/>
  <c r="R871" i="1" s="1"/>
  <c r="J871" i="1"/>
  <c r="H871" i="1"/>
  <c r="G871" i="1"/>
  <c r="F871" i="1"/>
  <c r="E871" i="1"/>
  <c r="C871" i="1"/>
  <c r="D871" i="1" s="1"/>
  <c r="I871" i="1" s="1"/>
  <c r="B871" i="1"/>
  <c r="A871" i="1"/>
  <c r="T870" i="1"/>
  <c r="S870" i="1"/>
  <c r="Q870" i="1"/>
  <c r="M870" i="1"/>
  <c r="N870" i="1" s="1"/>
  <c r="L870" i="1"/>
  <c r="K870" i="1"/>
  <c r="R870" i="1" s="1"/>
  <c r="J870" i="1"/>
  <c r="I870" i="1"/>
  <c r="H870" i="1"/>
  <c r="G870" i="1"/>
  <c r="F870" i="1"/>
  <c r="E870" i="1"/>
  <c r="C870" i="1"/>
  <c r="D870" i="1" s="1"/>
  <c r="B870" i="1"/>
  <c r="A870" i="1"/>
  <c r="T869" i="1"/>
  <c r="S869" i="1"/>
  <c r="Q869" i="1"/>
  <c r="M869" i="1"/>
  <c r="N869" i="1" s="1"/>
  <c r="L869" i="1"/>
  <c r="K869" i="1"/>
  <c r="R869" i="1" s="1"/>
  <c r="J869" i="1"/>
  <c r="H869" i="1"/>
  <c r="G869" i="1"/>
  <c r="F869" i="1"/>
  <c r="E869" i="1"/>
  <c r="C869" i="1"/>
  <c r="D869" i="1" s="1"/>
  <c r="I869" i="1" s="1"/>
  <c r="B869" i="1"/>
  <c r="A869" i="1"/>
  <c r="T868" i="1"/>
  <c r="S868" i="1"/>
  <c r="Q868" i="1"/>
  <c r="M868" i="1"/>
  <c r="N868" i="1" s="1"/>
  <c r="L868" i="1"/>
  <c r="K868" i="1"/>
  <c r="R868" i="1" s="1"/>
  <c r="J868" i="1"/>
  <c r="I868" i="1"/>
  <c r="H868" i="1"/>
  <c r="G868" i="1"/>
  <c r="F868" i="1"/>
  <c r="E868" i="1"/>
  <c r="C868" i="1"/>
  <c r="D868" i="1" s="1"/>
  <c r="B868" i="1"/>
  <c r="A868" i="1"/>
  <c r="T867" i="1"/>
  <c r="S867" i="1"/>
  <c r="Q867" i="1"/>
  <c r="M867" i="1"/>
  <c r="N867" i="1" s="1"/>
  <c r="L867" i="1"/>
  <c r="K867" i="1"/>
  <c r="R867" i="1" s="1"/>
  <c r="J867" i="1"/>
  <c r="H867" i="1"/>
  <c r="G867" i="1"/>
  <c r="F867" i="1"/>
  <c r="E867" i="1"/>
  <c r="C867" i="1"/>
  <c r="D867" i="1" s="1"/>
  <c r="I867" i="1" s="1"/>
  <c r="B867" i="1"/>
  <c r="A867" i="1"/>
  <c r="T866" i="1"/>
  <c r="S866" i="1"/>
  <c r="Q866" i="1"/>
  <c r="M866" i="1"/>
  <c r="N866" i="1" s="1"/>
  <c r="L866" i="1"/>
  <c r="K866" i="1"/>
  <c r="R866" i="1" s="1"/>
  <c r="J866" i="1"/>
  <c r="I866" i="1"/>
  <c r="H866" i="1"/>
  <c r="G866" i="1"/>
  <c r="F866" i="1"/>
  <c r="E866" i="1"/>
  <c r="C866" i="1"/>
  <c r="D866" i="1" s="1"/>
  <c r="B866" i="1"/>
  <c r="A866" i="1"/>
  <c r="T865" i="1"/>
  <c r="S865" i="1"/>
  <c r="Q865" i="1"/>
  <c r="M865" i="1"/>
  <c r="N865" i="1" s="1"/>
  <c r="L865" i="1"/>
  <c r="K865" i="1"/>
  <c r="R865" i="1" s="1"/>
  <c r="J865" i="1"/>
  <c r="H865" i="1"/>
  <c r="G865" i="1"/>
  <c r="F865" i="1"/>
  <c r="E865" i="1"/>
  <c r="C865" i="1"/>
  <c r="D865" i="1" s="1"/>
  <c r="I865" i="1" s="1"/>
  <c r="B865" i="1"/>
  <c r="A865" i="1"/>
  <c r="T864" i="1"/>
  <c r="S864" i="1"/>
  <c r="Q864" i="1"/>
  <c r="M864" i="1"/>
  <c r="N864" i="1" s="1"/>
  <c r="L864" i="1"/>
  <c r="K864" i="1"/>
  <c r="R864" i="1" s="1"/>
  <c r="J864" i="1"/>
  <c r="I864" i="1"/>
  <c r="H864" i="1"/>
  <c r="G864" i="1"/>
  <c r="F864" i="1"/>
  <c r="E864" i="1"/>
  <c r="C864" i="1"/>
  <c r="D864" i="1" s="1"/>
  <c r="B864" i="1"/>
  <c r="A864" i="1"/>
  <c r="T863" i="1"/>
  <c r="S863" i="1"/>
  <c r="Q863" i="1"/>
  <c r="M863" i="1"/>
  <c r="N863" i="1" s="1"/>
  <c r="L863" i="1"/>
  <c r="K863" i="1"/>
  <c r="R863" i="1" s="1"/>
  <c r="J863" i="1"/>
  <c r="H863" i="1"/>
  <c r="G863" i="1"/>
  <c r="F863" i="1"/>
  <c r="E863" i="1"/>
  <c r="C863" i="1"/>
  <c r="D863" i="1" s="1"/>
  <c r="I863" i="1" s="1"/>
  <c r="B863" i="1"/>
  <c r="A863" i="1"/>
  <c r="T862" i="1"/>
  <c r="S862" i="1"/>
  <c r="Q862" i="1"/>
  <c r="M862" i="1"/>
  <c r="N862" i="1" s="1"/>
  <c r="L862" i="1"/>
  <c r="K862" i="1"/>
  <c r="R862" i="1" s="1"/>
  <c r="J862" i="1"/>
  <c r="I862" i="1"/>
  <c r="H862" i="1"/>
  <c r="G862" i="1"/>
  <c r="F862" i="1"/>
  <c r="E862" i="1"/>
  <c r="C862" i="1"/>
  <c r="D862" i="1" s="1"/>
  <c r="B862" i="1"/>
  <c r="A862" i="1"/>
  <c r="T861" i="1"/>
  <c r="S861" i="1"/>
  <c r="Q861" i="1"/>
  <c r="M861" i="1"/>
  <c r="N861" i="1" s="1"/>
  <c r="L861" i="1"/>
  <c r="K861" i="1"/>
  <c r="R861" i="1" s="1"/>
  <c r="J861" i="1"/>
  <c r="H861" i="1"/>
  <c r="G861" i="1"/>
  <c r="F861" i="1"/>
  <c r="E861" i="1"/>
  <c r="C861" i="1"/>
  <c r="D861" i="1" s="1"/>
  <c r="I861" i="1" s="1"/>
  <c r="B861" i="1"/>
  <c r="A861" i="1"/>
  <c r="T860" i="1"/>
  <c r="S860" i="1"/>
  <c r="Q860" i="1"/>
  <c r="M860" i="1"/>
  <c r="N860" i="1" s="1"/>
  <c r="L860" i="1"/>
  <c r="K860" i="1"/>
  <c r="R860" i="1" s="1"/>
  <c r="J860" i="1"/>
  <c r="I860" i="1"/>
  <c r="H860" i="1"/>
  <c r="G860" i="1"/>
  <c r="F860" i="1"/>
  <c r="E860" i="1"/>
  <c r="C860" i="1"/>
  <c r="D860" i="1" s="1"/>
  <c r="B860" i="1"/>
  <c r="A860" i="1"/>
  <c r="T859" i="1"/>
  <c r="S859" i="1"/>
  <c r="Q859" i="1"/>
  <c r="M859" i="1"/>
  <c r="N859" i="1" s="1"/>
  <c r="L859" i="1"/>
  <c r="K859" i="1"/>
  <c r="R859" i="1" s="1"/>
  <c r="J859" i="1"/>
  <c r="H859" i="1"/>
  <c r="G859" i="1"/>
  <c r="F859" i="1"/>
  <c r="E859" i="1"/>
  <c r="C859" i="1"/>
  <c r="D859" i="1" s="1"/>
  <c r="I859" i="1" s="1"/>
  <c r="B859" i="1"/>
  <c r="A859" i="1"/>
  <c r="T858" i="1"/>
  <c r="S858" i="1"/>
  <c r="Q858" i="1"/>
  <c r="M858" i="1"/>
  <c r="N858" i="1" s="1"/>
  <c r="L858" i="1"/>
  <c r="K858" i="1"/>
  <c r="R858" i="1" s="1"/>
  <c r="J858" i="1"/>
  <c r="I858" i="1"/>
  <c r="H858" i="1"/>
  <c r="G858" i="1"/>
  <c r="F858" i="1"/>
  <c r="E858" i="1"/>
  <c r="C858" i="1"/>
  <c r="D858" i="1" s="1"/>
  <c r="B858" i="1"/>
  <c r="A858" i="1"/>
  <c r="T857" i="1"/>
  <c r="S857" i="1"/>
  <c r="Q857" i="1"/>
  <c r="M857" i="1"/>
  <c r="N857" i="1" s="1"/>
  <c r="L857" i="1"/>
  <c r="K857" i="1"/>
  <c r="R857" i="1" s="1"/>
  <c r="J857" i="1"/>
  <c r="H857" i="1"/>
  <c r="G857" i="1"/>
  <c r="F857" i="1"/>
  <c r="E857" i="1"/>
  <c r="C857" i="1"/>
  <c r="D857" i="1" s="1"/>
  <c r="I857" i="1" s="1"/>
  <c r="B857" i="1"/>
  <c r="A857" i="1"/>
  <c r="T856" i="1"/>
  <c r="S856" i="1"/>
  <c r="Q856" i="1"/>
  <c r="M856" i="1"/>
  <c r="N856" i="1" s="1"/>
  <c r="L856" i="1"/>
  <c r="K856" i="1"/>
  <c r="R856" i="1" s="1"/>
  <c r="J856" i="1"/>
  <c r="I856" i="1"/>
  <c r="H856" i="1"/>
  <c r="G856" i="1"/>
  <c r="F856" i="1"/>
  <c r="E856" i="1"/>
  <c r="C856" i="1"/>
  <c r="D856" i="1" s="1"/>
  <c r="B856" i="1"/>
  <c r="A856" i="1"/>
  <c r="T855" i="1"/>
  <c r="S855" i="1"/>
  <c r="Q855" i="1"/>
  <c r="M855" i="1"/>
  <c r="N855" i="1" s="1"/>
  <c r="L855" i="1"/>
  <c r="K855" i="1"/>
  <c r="R855" i="1" s="1"/>
  <c r="J855" i="1"/>
  <c r="H855" i="1"/>
  <c r="G855" i="1"/>
  <c r="F855" i="1"/>
  <c r="E855" i="1"/>
  <c r="C855" i="1"/>
  <c r="D855" i="1" s="1"/>
  <c r="I855" i="1" s="1"/>
  <c r="B855" i="1"/>
  <c r="A855" i="1"/>
  <c r="T854" i="1"/>
  <c r="S854" i="1"/>
  <c r="Q854" i="1"/>
  <c r="M854" i="1"/>
  <c r="N854" i="1" s="1"/>
  <c r="L854" i="1"/>
  <c r="K854" i="1"/>
  <c r="R854" i="1" s="1"/>
  <c r="J854" i="1"/>
  <c r="I854" i="1"/>
  <c r="H854" i="1"/>
  <c r="G854" i="1"/>
  <c r="F854" i="1"/>
  <c r="E854" i="1"/>
  <c r="C854" i="1"/>
  <c r="D854" i="1" s="1"/>
  <c r="B854" i="1"/>
  <c r="A854" i="1"/>
  <c r="T853" i="1"/>
  <c r="S853" i="1"/>
  <c r="Q853" i="1"/>
  <c r="M853" i="1"/>
  <c r="N853" i="1" s="1"/>
  <c r="L853" i="1"/>
  <c r="K853" i="1"/>
  <c r="R853" i="1" s="1"/>
  <c r="J853" i="1"/>
  <c r="H853" i="1"/>
  <c r="G853" i="1"/>
  <c r="F853" i="1"/>
  <c r="E853" i="1"/>
  <c r="C853" i="1"/>
  <c r="D853" i="1" s="1"/>
  <c r="I853" i="1" s="1"/>
  <c r="B853" i="1"/>
  <c r="A853" i="1"/>
  <c r="T852" i="1"/>
  <c r="S852" i="1"/>
  <c r="Q852" i="1"/>
  <c r="M852" i="1"/>
  <c r="N852" i="1" s="1"/>
  <c r="L852" i="1"/>
  <c r="K852" i="1"/>
  <c r="R852" i="1" s="1"/>
  <c r="J852" i="1"/>
  <c r="I852" i="1"/>
  <c r="H852" i="1"/>
  <c r="G852" i="1"/>
  <c r="F852" i="1"/>
  <c r="E852" i="1"/>
  <c r="C852" i="1"/>
  <c r="D852" i="1" s="1"/>
  <c r="B852" i="1"/>
  <c r="A852" i="1"/>
  <c r="T851" i="1"/>
  <c r="S851" i="1"/>
  <c r="Q851" i="1"/>
  <c r="M851" i="1"/>
  <c r="N851" i="1" s="1"/>
  <c r="L851" i="1"/>
  <c r="K851" i="1"/>
  <c r="R851" i="1" s="1"/>
  <c r="J851" i="1"/>
  <c r="H851" i="1"/>
  <c r="G851" i="1"/>
  <c r="F851" i="1"/>
  <c r="E851" i="1"/>
  <c r="C851" i="1"/>
  <c r="D851" i="1" s="1"/>
  <c r="I851" i="1" s="1"/>
  <c r="B851" i="1"/>
  <c r="A851" i="1"/>
  <c r="T850" i="1"/>
  <c r="S850" i="1"/>
  <c r="Q850" i="1"/>
  <c r="M850" i="1"/>
  <c r="N850" i="1" s="1"/>
  <c r="L850" i="1"/>
  <c r="K850" i="1"/>
  <c r="R850" i="1" s="1"/>
  <c r="J850" i="1"/>
  <c r="I850" i="1"/>
  <c r="H850" i="1"/>
  <c r="G850" i="1"/>
  <c r="F850" i="1"/>
  <c r="E850" i="1"/>
  <c r="C850" i="1"/>
  <c r="D850" i="1" s="1"/>
  <c r="B850" i="1"/>
  <c r="A850" i="1"/>
  <c r="T849" i="1"/>
  <c r="S849" i="1"/>
  <c r="Q849" i="1"/>
  <c r="M849" i="1"/>
  <c r="N849" i="1" s="1"/>
  <c r="L849" i="1"/>
  <c r="K849" i="1"/>
  <c r="R849" i="1" s="1"/>
  <c r="J849" i="1"/>
  <c r="H849" i="1"/>
  <c r="G849" i="1"/>
  <c r="F849" i="1"/>
  <c r="E849" i="1"/>
  <c r="C849" i="1"/>
  <c r="D849" i="1" s="1"/>
  <c r="I849" i="1" s="1"/>
  <c r="B849" i="1"/>
  <c r="A849" i="1"/>
  <c r="T848" i="1"/>
  <c r="S848" i="1"/>
  <c r="Q848" i="1"/>
  <c r="M848" i="1"/>
  <c r="N848" i="1" s="1"/>
  <c r="L848" i="1"/>
  <c r="K848" i="1"/>
  <c r="R848" i="1" s="1"/>
  <c r="J848" i="1"/>
  <c r="I848" i="1"/>
  <c r="H848" i="1"/>
  <c r="G848" i="1"/>
  <c r="F848" i="1"/>
  <c r="E848" i="1"/>
  <c r="C848" i="1"/>
  <c r="D848" i="1" s="1"/>
  <c r="B848" i="1"/>
  <c r="A848" i="1"/>
  <c r="T847" i="1"/>
  <c r="S847" i="1"/>
  <c r="Q847" i="1"/>
  <c r="M847" i="1"/>
  <c r="N847" i="1" s="1"/>
  <c r="L847" i="1"/>
  <c r="K847" i="1"/>
  <c r="R847" i="1" s="1"/>
  <c r="J847" i="1"/>
  <c r="H847" i="1"/>
  <c r="G847" i="1"/>
  <c r="F847" i="1"/>
  <c r="E847" i="1"/>
  <c r="C847" i="1"/>
  <c r="D847" i="1" s="1"/>
  <c r="I847" i="1" s="1"/>
  <c r="B847" i="1"/>
  <c r="A847" i="1"/>
  <c r="T846" i="1"/>
  <c r="S846" i="1"/>
  <c r="Q846" i="1"/>
  <c r="M846" i="1"/>
  <c r="N846" i="1" s="1"/>
  <c r="L846" i="1"/>
  <c r="K846" i="1"/>
  <c r="R846" i="1" s="1"/>
  <c r="J846" i="1"/>
  <c r="I846" i="1"/>
  <c r="H846" i="1"/>
  <c r="G846" i="1"/>
  <c r="F846" i="1"/>
  <c r="E846" i="1"/>
  <c r="C846" i="1"/>
  <c r="D846" i="1" s="1"/>
  <c r="B846" i="1"/>
  <c r="A846" i="1"/>
  <c r="T845" i="1"/>
  <c r="S845" i="1"/>
  <c r="Q845" i="1"/>
  <c r="M845" i="1"/>
  <c r="N845" i="1" s="1"/>
  <c r="L845" i="1"/>
  <c r="K845" i="1"/>
  <c r="R845" i="1" s="1"/>
  <c r="J845" i="1"/>
  <c r="H845" i="1"/>
  <c r="G845" i="1"/>
  <c r="F845" i="1"/>
  <c r="E845" i="1"/>
  <c r="C845" i="1"/>
  <c r="D845" i="1" s="1"/>
  <c r="I845" i="1" s="1"/>
  <c r="B845" i="1"/>
  <c r="A845" i="1"/>
  <c r="T844" i="1"/>
  <c r="S844" i="1"/>
  <c r="Q844" i="1"/>
  <c r="M844" i="1"/>
  <c r="N844" i="1" s="1"/>
  <c r="L844" i="1"/>
  <c r="K844" i="1"/>
  <c r="R844" i="1" s="1"/>
  <c r="J844" i="1"/>
  <c r="I844" i="1"/>
  <c r="H844" i="1"/>
  <c r="G844" i="1"/>
  <c r="F844" i="1"/>
  <c r="E844" i="1"/>
  <c r="C844" i="1"/>
  <c r="D844" i="1" s="1"/>
  <c r="B844" i="1"/>
  <c r="A844" i="1"/>
  <c r="T843" i="1"/>
  <c r="S843" i="1"/>
  <c r="Q843" i="1"/>
  <c r="M843" i="1"/>
  <c r="N843" i="1" s="1"/>
  <c r="L843" i="1"/>
  <c r="K843" i="1"/>
  <c r="R843" i="1" s="1"/>
  <c r="J843" i="1"/>
  <c r="H843" i="1"/>
  <c r="G843" i="1"/>
  <c r="F843" i="1"/>
  <c r="E843" i="1"/>
  <c r="C843" i="1"/>
  <c r="D843" i="1" s="1"/>
  <c r="I843" i="1" s="1"/>
  <c r="B843" i="1"/>
  <c r="A843" i="1"/>
  <c r="T842" i="1"/>
  <c r="S842" i="1"/>
  <c r="Q842" i="1"/>
  <c r="M842" i="1"/>
  <c r="N842" i="1" s="1"/>
  <c r="L842" i="1"/>
  <c r="K842" i="1"/>
  <c r="R842" i="1" s="1"/>
  <c r="J842" i="1"/>
  <c r="I842" i="1"/>
  <c r="H842" i="1"/>
  <c r="G842" i="1"/>
  <c r="F842" i="1"/>
  <c r="E842" i="1"/>
  <c r="C842" i="1"/>
  <c r="D842" i="1" s="1"/>
  <c r="B842" i="1"/>
  <c r="A842" i="1"/>
  <c r="T841" i="1"/>
  <c r="S841" i="1"/>
  <c r="Q841" i="1"/>
  <c r="M841" i="1"/>
  <c r="N841" i="1" s="1"/>
  <c r="L841" i="1"/>
  <c r="K841" i="1"/>
  <c r="R841" i="1" s="1"/>
  <c r="J841" i="1"/>
  <c r="H841" i="1"/>
  <c r="G841" i="1"/>
  <c r="F841" i="1"/>
  <c r="E841" i="1"/>
  <c r="C841" i="1"/>
  <c r="D841" i="1" s="1"/>
  <c r="I841" i="1" s="1"/>
  <c r="B841" i="1"/>
  <c r="A841" i="1"/>
  <c r="T840" i="1"/>
  <c r="S840" i="1"/>
  <c r="Q840" i="1"/>
  <c r="M840" i="1"/>
  <c r="N840" i="1" s="1"/>
  <c r="L840" i="1"/>
  <c r="K840" i="1"/>
  <c r="R840" i="1" s="1"/>
  <c r="J840" i="1"/>
  <c r="I840" i="1"/>
  <c r="H840" i="1"/>
  <c r="G840" i="1"/>
  <c r="F840" i="1"/>
  <c r="E840" i="1"/>
  <c r="C840" i="1"/>
  <c r="D840" i="1" s="1"/>
  <c r="B840" i="1"/>
  <c r="A840" i="1"/>
  <c r="T839" i="1"/>
  <c r="S839" i="1"/>
  <c r="Q839" i="1"/>
  <c r="M839" i="1"/>
  <c r="N839" i="1" s="1"/>
  <c r="L839" i="1"/>
  <c r="K839" i="1"/>
  <c r="R839" i="1" s="1"/>
  <c r="J839" i="1"/>
  <c r="H839" i="1"/>
  <c r="G839" i="1"/>
  <c r="F839" i="1"/>
  <c r="E839" i="1"/>
  <c r="C839" i="1"/>
  <c r="D839" i="1" s="1"/>
  <c r="I839" i="1" s="1"/>
  <c r="B839" i="1"/>
  <c r="A839" i="1"/>
  <c r="T838" i="1"/>
  <c r="S838" i="1"/>
  <c r="Q838" i="1"/>
  <c r="M838" i="1"/>
  <c r="N838" i="1" s="1"/>
  <c r="L838" i="1"/>
  <c r="K838" i="1"/>
  <c r="R838" i="1" s="1"/>
  <c r="J838" i="1"/>
  <c r="I838" i="1"/>
  <c r="H838" i="1"/>
  <c r="G838" i="1"/>
  <c r="F838" i="1"/>
  <c r="E838" i="1"/>
  <c r="C838" i="1"/>
  <c r="D838" i="1" s="1"/>
  <c r="B838" i="1"/>
  <c r="A838" i="1"/>
  <c r="T837" i="1"/>
  <c r="S837" i="1"/>
  <c r="Q837" i="1"/>
  <c r="M837" i="1"/>
  <c r="N837" i="1" s="1"/>
  <c r="L837" i="1"/>
  <c r="K837" i="1"/>
  <c r="R837" i="1" s="1"/>
  <c r="J837" i="1"/>
  <c r="H837" i="1"/>
  <c r="G837" i="1"/>
  <c r="F837" i="1"/>
  <c r="E837" i="1"/>
  <c r="C837" i="1"/>
  <c r="D837" i="1" s="1"/>
  <c r="I837" i="1" s="1"/>
  <c r="B837" i="1"/>
  <c r="A837" i="1"/>
  <c r="T836" i="1"/>
  <c r="S836" i="1"/>
  <c r="Q836" i="1"/>
  <c r="M836" i="1"/>
  <c r="N836" i="1" s="1"/>
  <c r="L836" i="1"/>
  <c r="K836" i="1"/>
  <c r="R836" i="1" s="1"/>
  <c r="J836" i="1"/>
  <c r="I836" i="1"/>
  <c r="H836" i="1"/>
  <c r="G836" i="1"/>
  <c r="F836" i="1"/>
  <c r="E836" i="1"/>
  <c r="C836" i="1"/>
  <c r="D836" i="1" s="1"/>
  <c r="B836" i="1"/>
  <c r="A836" i="1"/>
  <c r="T835" i="1"/>
  <c r="S835" i="1"/>
  <c r="Q835" i="1"/>
  <c r="M835" i="1"/>
  <c r="N835" i="1" s="1"/>
  <c r="L835" i="1"/>
  <c r="K835" i="1"/>
  <c r="R835" i="1" s="1"/>
  <c r="J835" i="1"/>
  <c r="H835" i="1"/>
  <c r="G835" i="1"/>
  <c r="F835" i="1"/>
  <c r="E835" i="1"/>
  <c r="C835" i="1"/>
  <c r="D835" i="1" s="1"/>
  <c r="I835" i="1" s="1"/>
  <c r="B835" i="1"/>
  <c r="A835" i="1"/>
  <c r="T834" i="1"/>
  <c r="S834" i="1"/>
  <c r="Q834" i="1"/>
  <c r="M834" i="1"/>
  <c r="N834" i="1" s="1"/>
  <c r="L834" i="1"/>
  <c r="K834" i="1"/>
  <c r="R834" i="1" s="1"/>
  <c r="J834" i="1"/>
  <c r="I834" i="1"/>
  <c r="H834" i="1"/>
  <c r="G834" i="1"/>
  <c r="F834" i="1"/>
  <c r="E834" i="1"/>
  <c r="C834" i="1"/>
  <c r="D834" i="1" s="1"/>
  <c r="B834" i="1"/>
  <c r="A834" i="1"/>
  <c r="T833" i="1"/>
  <c r="S833" i="1"/>
  <c r="Q833" i="1"/>
  <c r="M833" i="1"/>
  <c r="N833" i="1" s="1"/>
  <c r="L833" i="1"/>
  <c r="K833" i="1"/>
  <c r="R833" i="1" s="1"/>
  <c r="J833" i="1"/>
  <c r="H833" i="1"/>
  <c r="G833" i="1"/>
  <c r="F833" i="1"/>
  <c r="E833" i="1"/>
  <c r="C833" i="1"/>
  <c r="D833" i="1" s="1"/>
  <c r="I833" i="1" s="1"/>
  <c r="B833" i="1"/>
  <c r="A833" i="1"/>
  <c r="T832" i="1"/>
  <c r="S832" i="1"/>
  <c r="Q832" i="1"/>
  <c r="M832" i="1"/>
  <c r="N832" i="1" s="1"/>
  <c r="L832" i="1"/>
  <c r="K832" i="1"/>
  <c r="R832" i="1" s="1"/>
  <c r="J832" i="1"/>
  <c r="I832" i="1"/>
  <c r="H832" i="1"/>
  <c r="G832" i="1"/>
  <c r="F832" i="1"/>
  <c r="E832" i="1"/>
  <c r="C832" i="1"/>
  <c r="D832" i="1" s="1"/>
  <c r="B832" i="1"/>
  <c r="A832" i="1"/>
  <c r="T831" i="1"/>
  <c r="S831" i="1"/>
  <c r="Q831" i="1"/>
  <c r="M831" i="1"/>
  <c r="N831" i="1" s="1"/>
  <c r="L831" i="1"/>
  <c r="K831" i="1"/>
  <c r="R831" i="1" s="1"/>
  <c r="J831" i="1"/>
  <c r="H831" i="1"/>
  <c r="G831" i="1"/>
  <c r="F831" i="1"/>
  <c r="E831" i="1"/>
  <c r="C831" i="1"/>
  <c r="D831" i="1" s="1"/>
  <c r="I831" i="1" s="1"/>
  <c r="B831" i="1"/>
  <c r="A831" i="1"/>
  <c r="T830" i="1"/>
  <c r="S830" i="1"/>
  <c r="Q830" i="1"/>
  <c r="M830" i="1"/>
  <c r="N830" i="1" s="1"/>
  <c r="L830" i="1"/>
  <c r="K830" i="1"/>
  <c r="R830" i="1" s="1"/>
  <c r="J830" i="1"/>
  <c r="I830" i="1"/>
  <c r="H830" i="1"/>
  <c r="G830" i="1"/>
  <c r="F830" i="1"/>
  <c r="E830" i="1"/>
  <c r="C830" i="1"/>
  <c r="D830" i="1" s="1"/>
  <c r="B830" i="1"/>
  <c r="A830" i="1"/>
  <c r="T829" i="1"/>
  <c r="S829" i="1"/>
  <c r="Q829" i="1"/>
  <c r="M829" i="1"/>
  <c r="N829" i="1" s="1"/>
  <c r="L829" i="1"/>
  <c r="K829" i="1"/>
  <c r="R829" i="1" s="1"/>
  <c r="J829" i="1"/>
  <c r="H829" i="1"/>
  <c r="G829" i="1"/>
  <c r="F829" i="1"/>
  <c r="E829" i="1"/>
  <c r="C829" i="1"/>
  <c r="D829" i="1" s="1"/>
  <c r="I829" i="1" s="1"/>
  <c r="B829" i="1"/>
  <c r="A829" i="1"/>
  <c r="T828" i="1"/>
  <c r="S828" i="1"/>
  <c r="Q828" i="1"/>
  <c r="M828" i="1"/>
  <c r="N828" i="1" s="1"/>
  <c r="L828" i="1"/>
  <c r="K828" i="1"/>
  <c r="R828" i="1" s="1"/>
  <c r="J828" i="1"/>
  <c r="I828" i="1"/>
  <c r="H828" i="1"/>
  <c r="G828" i="1"/>
  <c r="F828" i="1"/>
  <c r="E828" i="1"/>
  <c r="C828" i="1"/>
  <c r="D828" i="1" s="1"/>
  <c r="B828" i="1"/>
  <c r="A828" i="1"/>
  <c r="T827" i="1"/>
  <c r="S827" i="1"/>
  <c r="Q827" i="1"/>
  <c r="M827" i="1"/>
  <c r="N827" i="1" s="1"/>
  <c r="L827" i="1"/>
  <c r="K827" i="1"/>
  <c r="R827" i="1" s="1"/>
  <c r="J827" i="1"/>
  <c r="H827" i="1"/>
  <c r="G827" i="1"/>
  <c r="F827" i="1"/>
  <c r="E827" i="1"/>
  <c r="C827" i="1"/>
  <c r="D827" i="1" s="1"/>
  <c r="I827" i="1" s="1"/>
  <c r="B827" i="1"/>
  <c r="A827" i="1"/>
  <c r="T826" i="1"/>
  <c r="S826" i="1"/>
  <c r="Q826" i="1"/>
  <c r="M826" i="1"/>
  <c r="N826" i="1" s="1"/>
  <c r="L826" i="1"/>
  <c r="K826" i="1"/>
  <c r="R826" i="1" s="1"/>
  <c r="J826" i="1"/>
  <c r="I826" i="1"/>
  <c r="H826" i="1"/>
  <c r="G826" i="1"/>
  <c r="F826" i="1"/>
  <c r="E826" i="1"/>
  <c r="C826" i="1"/>
  <c r="D826" i="1" s="1"/>
  <c r="B826" i="1"/>
  <c r="A826" i="1"/>
  <c r="T825" i="1"/>
  <c r="S825" i="1"/>
  <c r="Q825" i="1"/>
  <c r="M825" i="1"/>
  <c r="N825" i="1" s="1"/>
  <c r="L825" i="1"/>
  <c r="K825" i="1"/>
  <c r="R825" i="1" s="1"/>
  <c r="J825" i="1"/>
  <c r="H825" i="1"/>
  <c r="G825" i="1"/>
  <c r="F825" i="1"/>
  <c r="E825" i="1"/>
  <c r="C825" i="1"/>
  <c r="D825" i="1" s="1"/>
  <c r="I825" i="1" s="1"/>
  <c r="B825" i="1"/>
  <c r="A825" i="1"/>
  <c r="T824" i="1"/>
  <c r="S824" i="1"/>
  <c r="Q824" i="1"/>
  <c r="M824" i="1"/>
  <c r="N824" i="1" s="1"/>
  <c r="L824" i="1"/>
  <c r="K824" i="1"/>
  <c r="R824" i="1" s="1"/>
  <c r="J824" i="1"/>
  <c r="I824" i="1"/>
  <c r="H824" i="1"/>
  <c r="G824" i="1"/>
  <c r="F824" i="1"/>
  <c r="E824" i="1"/>
  <c r="C824" i="1"/>
  <c r="D824" i="1" s="1"/>
  <c r="B824" i="1"/>
  <c r="A824" i="1"/>
  <c r="T823" i="1"/>
  <c r="S823" i="1"/>
  <c r="Q823" i="1"/>
  <c r="M823" i="1"/>
  <c r="N823" i="1" s="1"/>
  <c r="L823" i="1"/>
  <c r="K823" i="1"/>
  <c r="R823" i="1" s="1"/>
  <c r="J823" i="1"/>
  <c r="H823" i="1"/>
  <c r="G823" i="1"/>
  <c r="F823" i="1"/>
  <c r="E823" i="1"/>
  <c r="C823" i="1"/>
  <c r="D823" i="1" s="1"/>
  <c r="I823" i="1" s="1"/>
  <c r="B823" i="1"/>
  <c r="A823" i="1"/>
  <c r="T822" i="1"/>
  <c r="S822" i="1"/>
  <c r="Q822" i="1"/>
  <c r="M822" i="1"/>
  <c r="N822" i="1" s="1"/>
  <c r="L822" i="1"/>
  <c r="K822" i="1"/>
  <c r="R822" i="1" s="1"/>
  <c r="J822" i="1"/>
  <c r="I822" i="1"/>
  <c r="H822" i="1"/>
  <c r="G822" i="1"/>
  <c r="F822" i="1"/>
  <c r="E822" i="1"/>
  <c r="C822" i="1"/>
  <c r="D822" i="1" s="1"/>
  <c r="B822" i="1"/>
  <c r="A822" i="1"/>
  <c r="T821" i="1"/>
  <c r="S821" i="1"/>
  <c r="Q821" i="1"/>
  <c r="M821" i="1"/>
  <c r="N821" i="1" s="1"/>
  <c r="L821" i="1"/>
  <c r="K821" i="1"/>
  <c r="R821" i="1" s="1"/>
  <c r="J821" i="1"/>
  <c r="H821" i="1"/>
  <c r="G821" i="1"/>
  <c r="F821" i="1"/>
  <c r="E821" i="1"/>
  <c r="C821" i="1"/>
  <c r="D821" i="1" s="1"/>
  <c r="I821" i="1" s="1"/>
  <c r="B821" i="1"/>
  <c r="A821" i="1"/>
  <c r="T820" i="1"/>
  <c r="S820" i="1"/>
  <c r="Q820" i="1"/>
  <c r="O820" i="1"/>
  <c r="M820" i="1"/>
  <c r="N820" i="1" s="1"/>
  <c r="P820" i="1" s="1"/>
  <c r="L820" i="1"/>
  <c r="K820" i="1"/>
  <c r="R820" i="1" s="1"/>
  <c r="J820" i="1"/>
  <c r="H820" i="1"/>
  <c r="G820" i="1"/>
  <c r="F820" i="1"/>
  <c r="E820" i="1"/>
  <c r="C820" i="1"/>
  <c r="D820" i="1" s="1"/>
  <c r="I820" i="1" s="1"/>
  <c r="B820" i="1"/>
  <c r="A820" i="1"/>
  <c r="T819" i="1"/>
  <c r="S819" i="1"/>
  <c r="Q819" i="1"/>
  <c r="O819" i="1"/>
  <c r="M819" i="1"/>
  <c r="N819" i="1" s="1"/>
  <c r="P819" i="1" s="1"/>
  <c r="L819" i="1"/>
  <c r="K819" i="1"/>
  <c r="R819" i="1" s="1"/>
  <c r="J819" i="1"/>
  <c r="H819" i="1"/>
  <c r="G819" i="1"/>
  <c r="F819" i="1"/>
  <c r="E819" i="1"/>
  <c r="C819" i="1"/>
  <c r="D819" i="1" s="1"/>
  <c r="I819" i="1" s="1"/>
  <c r="B819" i="1"/>
  <c r="A819" i="1"/>
  <c r="T818" i="1"/>
  <c r="S818" i="1"/>
  <c r="Q818" i="1"/>
  <c r="O818" i="1"/>
  <c r="M818" i="1"/>
  <c r="N818" i="1" s="1"/>
  <c r="P818" i="1" s="1"/>
  <c r="L818" i="1"/>
  <c r="K818" i="1"/>
  <c r="R818" i="1" s="1"/>
  <c r="J818" i="1"/>
  <c r="H818" i="1"/>
  <c r="G818" i="1"/>
  <c r="F818" i="1"/>
  <c r="E818" i="1"/>
  <c r="C818" i="1"/>
  <c r="D818" i="1" s="1"/>
  <c r="I818" i="1" s="1"/>
  <c r="B818" i="1"/>
  <c r="A818" i="1"/>
  <c r="T817" i="1"/>
  <c r="S817" i="1"/>
  <c r="Q817" i="1"/>
  <c r="O817" i="1"/>
  <c r="M817" i="1"/>
  <c r="N817" i="1" s="1"/>
  <c r="P817" i="1" s="1"/>
  <c r="L817" i="1"/>
  <c r="K817" i="1"/>
  <c r="R817" i="1" s="1"/>
  <c r="J817" i="1"/>
  <c r="H817" i="1"/>
  <c r="G817" i="1"/>
  <c r="F817" i="1"/>
  <c r="E817" i="1"/>
  <c r="C817" i="1"/>
  <c r="D817" i="1" s="1"/>
  <c r="I817" i="1" s="1"/>
  <c r="B817" i="1"/>
  <c r="A817" i="1"/>
  <c r="T816" i="1"/>
  <c r="S816" i="1"/>
  <c r="Q816" i="1"/>
  <c r="O816" i="1"/>
  <c r="M816" i="1"/>
  <c r="N816" i="1" s="1"/>
  <c r="P816" i="1" s="1"/>
  <c r="L816" i="1"/>
  <c r="K816" i="1"/>
  <c r="R816" i="1" s="1"/>
  <c r="J816" i="1"/>
  <c r="H816" i="1"/>
  <c r="G816" i="1"/>
  <c r="F816" i="1"/>
  <c r="E816" i="1"/>
  <c r="C816" i="1"/>
  <c r="D816" i="1" s="1"/>
  <c r="I816" i="1" s="1"/>
  <c r="B816" i="1"/>
  <c r="A816" i="1"/>
  <c r="T815" i="1"/>
  <c r="S815" i="1"/>
  <c r="Q815" i="1"/>
  <c r="O815" i="1"/>
  <c r="M815" i="1"/>
  <c r="N815" i="1" s="1"/>
  <c r="P815" i="1" s="1"/>
  <c r="L815" i="1"/>
  <c r="K815" i="1"/>
  <c r="R815" i="1" s="1"/>
  <c r="J815" i="1"/>
  <c r="H815" i="1"/>
  <c r="G815" i="1"/>
  <c r="F815" i="1"/>
  <c r="E815" i="1"/>
  <c r="C815" i="1"/>
  <c r="D815" i="1" s="1"/>
  <c r="I815" i="1" s="1"/>
  <c r="B815" i="1"/>
  <c r="A815" i="1"/>
  <c r="T814" i="1"/>
  <c r="S814" i="1"/>
  <c r="Q814" i="1"/>
  <c r="O814" i="1"/>
  <c r="M814" i="1"/>
  <c r="N814" i="1" s="1"/>
  <c r="P814" i="1" s="1"/>
  <c r="L814" i="1"/>
  <c r="K814" i="1"/>
  <c r="R814" i="1" s="1"/>
  <c r="J814" i="1"/>
  <c r="H814" i="1"/>
  <c r="G814" i="1"/>
  <c r="F814" i="1"/>
  <c r="E814" i="1"/>
  <c r="C814" i="1"/>
  <c r="D814" i="1" s="1"/>
  <c r="I814" i="1" s="1"/>
  <c r="B814" i="1"/>
  <c r="A814" i="1"/>
  <c r="T813" i="1"/>
  <c r="S813" i="1"/>
  <c r="Q813" i="1"/>
  <c r="O813" i="1"/>
  <c r="M813" i="1"/>
  <c r="N813" i="1" s="1"/>
  <c r="P813" i="1" s="1"/>
  <c r="L813" i="1"/>
  <c r="K813" i="1"/>
  <c r="R813" i="1" s="1"/>
  <c r="J813" i="1"/>
  <c r="H813" i="1"/>
  <c r="G813" i="1"/>
  <c r="F813" i="1"/>
  <c r="E813" i="1"/>
  <c r="C813" i="1"/>
  <c r="D813" i="1" s="1"/>
  <c r="I813" i="1" s="1"/>
  <c r="B813" i="1"/>
  <c r="A813" i="1"/>
  <c r="T812" i="1"/>
  <c r="S812" i="1"/>
  <c r="Q812" i="1"/>
  <c r="O812" i="1"/>
  <c r="M812" i="1"/>
  <c r="N812" i="1" s="1"/>
  <c r="P812" i="1" s="1"/>
  <c r="L812" i="1"/>
  <c r="K812" i="1"/>
  <c r="R812" i="1" s="1"/>
  <c r="J812" i="1"/>
  <c r="H812" i="1"/>
  <c r="G812" i="1"/>
  <c r="F812" i="1"/>
  <c r="E812" i="1"/>
  <c r="C812" i="1"/>
  <c r="D812" i="1" s="1"/>
  <c r="I812" i="1" s="1"/>
  <c r="B812" i="1"/>
  <c r="A812" i="1"/>
  <c r="T811" i="1"/>
  <c r="S811" i="1"/>
  <c r="Q811" i="1"/>
  <c r="O811" i="1"/>
  <c r="M811" i="1"/>
  <c r="N811" i="1" s="1"/>
  <c r="P811" i="1" s="1"/>
  <c r="L811" i="1"/>
  <c r="K811" i="1"/>
  <c r="R811" i="1" s="1"/>
  <c r="J811" i="1"/>
  <c r="H811" i="1"/>
  <c r="G811" i="1"/>
  <c r="F811" i="1"/>
  <c r="E811" i="1"/>
  <c r="C811" i="1"/>
  <c r="D811" i="1" s="1"/>
  <c r="I811" i="1" s="1"/>
  <c r="B811" i="1"/>
  <c r="A811" i="1"/>
  <c r="T810" i="1"/>
  <c r="S810" i="1"/>
  <c r="Q810" i="1"/>
  <c r="O810" i="1"/>
  <c r="M810" i="1"/>
  <c r="N810" i="1" s="1"/>
  <c r="P810" i="1" s="1"/>
  <c r="L810" i="1"/>
  <c r="K810" i="1"/>
  <c r="R810" i="1" s="1"/>
  <c r="J810" i="1"/>
  <c r="H810" i="1"/>
  <c r="G810" i="1"/>
  <c r="F810" i="1"/>
  <c r="E810" i="1"/>
  <c r="C810" i="1"/>
  <c r="D810" i="1" s="1"/>
  <c r="I810" i="1" s="1"/>
  <c r="B810" i="1"/>
  <c r="A810" i="1"/>
  <c r="T809" i="1"/>
  <c r="S809" i="1"/>
  <c r="Q809" i="1"/>
  <c r="O809" i="1"/>
  <c r="M809" i="1"/>
  <c r="N809" i="1" s="1"/>
  <c r="P809" i="1" s="1"/>
  <c r="L809" i="1"/>
  <c r="K809" i="1"/>
  <c r="R809" i="1" s="1"/>
  <c r="J809" i="1"/>
  <c r="H809" i="1"/>
  <c r="G809" i="1"/>
  <c r="F809" i="1"/>
  <c r="E809" i="1"/>
  <c r="C809" i="1"/>
  <c r="D809" i="1" s="1"/>
  <c r="I809" i="1" s="1"/>
  <c r="B809" i="1"/>
  <c r="A809" i="1"/>
  <c r="T808" i="1"/>
  <c r="S808" i="1"/>
  <c r="Q808" i="1"/>
  <c r="O808" i="1"/>
  <c r="M808" i="1"/>
  <c r="N808" i="1" s="1"/>
  <c r="P808" i="1" s="1"/>
  <c r="L808" i="1"/>
  <c r="K808" i="1"/>
  <c r="R808" i="1" s="1"/>
  <c r="J808" i="1"/>
  <c r="H808" i="1"/>
  <c r="G808" i="1"/>
  <c r="F808" i="1"/>
  <c r="E808" i="1"/>
  <c r="C808" i="1"/>
  <c r="D808" i="1" s="1"/>
  <c r="I808" i="1" s="1"/>
  <c r="B808" i="1"/>
  <c r="A808" i="1"/>
  <c r="T807" i="1"/>
  <c r="S807" i="1"/>
  <c r="Q807" i="1"/>
  <c r="O807" i="1"/>
  <c r="M807" i="1"/>
  <c r="N807" i="1" s="1"/>
  <c r="P807" i="1" s="1"/>
  <c r="L807" i="1"/>
  <c r="K807" i="1"/>
  <c r="R807" i="1" s="1"/>
  <c r="J807" i="1"/>
  <c r="H807" i="1"/>
  <c r="G807" i="1"/>
  <c r="F807" i="1"/>
  <c r="E807" i="1"/>
  <c r="C807" i="1"/>
  <c r="D807" i="1" s="1"/>
  <c r="I807" i="1" s="1"/>
  <c r="B807" i="1"/>
  <c r="A807" i="1"/>
  <c r="T806" i="1"/>
  <c r="S806" i="1"/>
  <c r="Q806" i="1"/>
  <c r="O806" i="1"/>
  <c r="M806" i="1"/>
  <c r="N806" i="1" s="1"/>
  <c r="P806" i="1" s="1"/>
  <c r="L806" i="1"/>
  <c r="K806" i="1"/>
  <c r="R806" i="1" s="1"/>
  <c r="J806" i="1"/>
  <c r="H806" i="1"/>
  <c r="G806" i="1"/>
  <c r="F806" i="1"/>
  <c r="E806" i="1"/>
  <c r="C806" i="1"/>
  <c r="D806" i="1" s="1"/>
  <c r="I806" i="1" s="1"/>
  <c r="B806" i="1"/>
  <c r="A806" i="1"/>
  <c r="T805" i="1"/>
  <c r="S805" i="1"/>
  <c r="Q805" i="1"/>
  <c r="O805" i="1"/>
  <c r="M805" i="1"/>
  <c r="N805" i="1" s="1"/>
  <c r="P805" i="1" s="1"/>
  <c r="L805" i="1"/>
  <c r="K805" i="1"/>
  <c r="R805" i="1" s="1"/>
  <c r="J805" i="1"/>
  <c r="H805" i="1"/>
  <c r="G805" i="1"/>
  <c r="F805" i="1"/>
  <c r="E805" i="1"/>
  <c r="C805" i="1"/>
  <c r="D805" i="1" s="1"/>
  <c r="I805" i="1" s="1"/>
  <c r="B805" i="1"/>
  <c r="A805" i="1"/>
  <c r="T804" i="1"/>
  <c r="S804" i="1"/>
  <c r="Q804" i="1"/>
  <c r="O804" i="1"/>
  <c r="M804" i="1"/>
  <c r="N804" i="1" s="1"/>
  <c r="P804" i="1" s="1"/>
  <c r="L804" i="1"/>
  <c r="K804" i="1"/>
  <c r="R804" i="1" s="1"/>
  <c r="J804" i="1"/>
  <c r="H804" i="1"/>
  <c r="G804" i="1"/>
  <c r="F804" i="1"/>
  <c r="E804" i="1"/>
  <c r="C804" i="1"/>
  <c r="D804" i="1" s="1"/>
  <c r="I804" i="1" s="1"/>
  <c r="B804" i="1"/>
  <c r="A804" i="1"/>
  <c r="T803" i="1"/>
  <c r="S803" i="1"/>
  <c r="Q803" i="1"/>
  <c r="O803" i="1"/>
  <c r="M803" i="1"/>
  <c r="N803" i="1" s="1"/>
  <c r="P803" i="1" s="1"/>
  <c r="L803" i="1"/>
  <c r="K803" i="1"/>
  <c r="R803" i="1" s="1"/>
  <c r="J803" i="1"/>
  <c r="H803" i="1"/>
  <c r="G803" i="1"/>
  <c r="F803" i="1"/>
  <c r="E803" i="1"/>
  <c r="C803" i="1"/>
  <c r="D803" i="1" s="1"/>
  <c r="I803" i="1" s="1"/>
  <c r="B803" i="1"/>
  <c r="A803" i="1"/>
  <c r="T802" i="1"/>
  <c r="S802" i="1"/>
  <c r="Q802" i="1"/>
  <c r="O802" i="1"/>
  <c r="M802" i="1"/>
  <c r="N802" i="1" s="1"/>
  <c r="P802" i="1" s="1"/>
  <c r="L802" i="1"/>
  <c r="K802" i="1"/>
  <c r="R802" i="1" s="1"/>
  <c r="J802" i="1"/>
  <c r="H802" i="1"/>
  <c r="G802" i="1"/>
  <c r="F802" i="1"/>
  <c r="E802" i="1"/>
  <c r="C802" i="1"/>
  <c r="D802" i="1" s="1"/>
  <c r="I802" i="1" s="1"/>
  <c r="B802" i="1"/>
  <c r="A802" i="1"/>
  <c r="T801" i="1"/>
  <c r="S801" i="1"/>
  <c r="Q801" i="1"/>
  <c r="O801" i="1"/>
  <c r="M801" i="1"/>
  <c r="N801" i="1" s="1"/>
  <c r="P801" i="1" s="1"/>
  <c r="L801" i="1"/>
  <c r="K801" i="1"/>
  <c r="R801" i="1" s="1"/>
  <c r="J801" i="1"/>
  <c r="H801" i="1"/>
  <c r="G801" i="1"/>
  <c r="F801" i="1"/>
  <c r="E801" i="1"/>
  <c r="C801" i="1"/>
  <c r="D801" i="1" s="1"/>
  <c r="I801" i="1" s="1"/>
  <c r="B801" i="1"/>
  <c r="A801" i="1"/>
  <c r="T800" i="1"/>
  <c r="S800" i="1"/>
  <c r="Q800" i="1"/>
  <c r="O800" i="1"/>
  <c r="M800" i="1"/>
  <c r="N800" i="1" s="1"/>
  <c r="P800" i="1" s="1"/>
  <c r="L800" i="1"/>
  <c r="K800" i="1"/>
  <c r="R800" i="1" s="1"/>
  <c r="J800" i="1"/>
  <c r="H800" i="1"/>
  <c r="G800" i="1"/>
  <c r="F800" i="1"/>
  <c r="E800" i="1"/>
  <c r="C800" i="1"/>
  <c r="D800" i="1" s="1"/>
  <c r="I800" i="1" s="1"/>
  <c r="B800" i="1"/>
  <c r="A800" i="1"/>
  <c r="T799" i="1"/>
  <c r="S799" i="1"/>
  <c r="Q799" i="1"/>
  <c r="O799" i="1"/>
  <c r="M799" i="1"/>
  <c r="N799" i="1" s="1"/>
  <c r="P799" i="1" s="1"/>
  <c r="L799" i="1"/>
  <c r="K799" i="1"/>
  <c r="R799" i="1" s="1"/>
  <c r="J799" i="1"/>
  <c r="H799" i="1"/>
  <c r="G799" i="1"/>
  <c r="F799" i="1"/>
  <c r="E799" i="1"/>
  <c r="C799" i="1"/>
  <c r="D799" i="1" s="1"/>
  <c r="I799" i="1" s="1"/>
  <c r="B799" i="1"/>
  <c r="A799" i="1"/>
  <c r="T798" i="1"/>
  <c r="S798" i="1"/>
  <c r="Q798" i="1"/>
  <c r="O798" i="1"/>
  <c r="M798" i="1"/>
  <c r="N798" i="1" s="1"/>
  <c r="P798" i="1" s="1"/>
  <c r="L798" i="1"/>
  <c r="K798" i="1"/>
  <c r="R798" i="1" s="1"/>
  <c r="J798" i="1"/>
  <c r="H798" i="1"/>
  <c r="G798" i="1"/>
  <c r="F798" i="1"/>
  <c r="E798" i="1"/>
  <c r="C798" i="1"/>
  <c r="D798" i="1" s="1"/>
  <c r="I798" i="1" s="1"/>
  <c r="B798" i="1"/>
  <c r="A798" i="1"/>
  <c r="T797" i="1"/>
  <c r="S797" i="1"/>
  <c r="Q797" i="1"/>
  <c r="O797" i="1"/>
  <c r="M797" i="1"/>
  <c r="N797" i="1" s="1"/>
  <c r="P797" i="1" s="1"/>
  <c r="L797" i="1"/>
  <c r="K797" i="1"/>
  <c r="R797" i="1" s="1"/>
  <c r="J797" i="1"/>
  <c r="H797" i="1"/>
  <c r="G797" i="1"/>
  <c r="F797" i="1"/>
  <c r="E797" i="1"/>
  <c r="C797" i="1"/>
  <c r="D797" i="1" s="1"/>
  <c r="I797" i="1" s="1"/>
  <c r="B797" i="1"/>
  <c r="A797" i="1"/>
  <c r="T796" i="1"/>
  <c r="S796" i="1"/>
  <c r="Q796" i="1"/>
  <c r="O796" i="1"/>
  <c r="M796" i="1"/>
  <c r="N796" i="1" s="1"/>
  <c r="P796" i="1" s="1"/>
  <c r="L796" i="1"/>
  <c r="K796" i="1"/>
  <c r="R796" i="1" s="1"/>
  <c r="J796" i="1"/>
  <c r="H796" i="1"/>
  <c r="G796" i="1"/>
  <c r="F796" i="1"/>
  <c r="E796" i="1"/>
  <c r="C796" i="1"/>
  <c r="D796" i="1" s="1"/>
  <c r="I796" i="1" s="1"/>
  <c r="B796" i="1"/>
  <c r="A796" i="1"/>
  <c r="T795" i="1"/>
  <c r="S795" i="1"/>
  <c r="Q795" i="1"/>
  <c r="O795" i="1"/>
  <c r="M795" i="1"/>
  <c r="N795" i="1" s="1"/>
  <c r="P795" i="1" s="1"/>
  <c r="L795" i="1"/>
  <c r="K795" i="1"/>
  <c r="R795" i="1" s="1"/>
  <c r="J795" i="1"/>
  <c r="H795" i="1"/>
  <c r="G795" i="1"/>
  <c r="F795" i="1"/>
  <c r="E795" i="1"/>
  <c r="C795" i="1"/>
  <c r="D795" i="1" s="1"/>
  <c r="I795" i="1" s="1"/>
  <c r="B795" i="1"/>
  <c r="A795" i="1"/>
  <c r="T794" i="1"/>
  <c r="S794" i="1"/>
  <c r="Q794" i="1"/>
  <c r="O794" i="1"/>
  <c r="M794" i="1"/>
  <c r="N794" i="1" s="1"/>
  <c r="P794" i="1" s="1"/>
  <c r="L794" i="1"/>
  <c r="K794" i="1"/>
  <c r="R794" i="1" s="1"/>
  <c r="J794" i="1"/>
  <c r="H794" i="1"/>
  <c r="G794" i="1"/>
  <c r="F794" i="1"/>
  <c r="E794" i="1"/>
  <c r="C794" i="1"/>
  <c r="D794" i="1" s="1"/>
  <c r="I794" i="1" s="1"/>
  <c r="B794" i="1"/>
  <c r="A794" i="1"/>
  <c r="T793" i="1"/>
  <c r="S793" i="1"/>
  <c r="Q793" i="1"/>
  <c r="O793" i="1"/>
  <c r="M793" i="1"/>
  <c r="N793" i="1" s="1"/>
  <c r="P793" i="1" s="1"/>
  <c r="L793" i="1"/>
  <c r="K793" i="1"/>
  <c r="R793" i="1" s="1"/>
  <c r="J793" i="1"/>
  <c r="H793" i="1"/>
  <c r="G793" i="1"/>
  <c r="F793" i="1"/>
  <c r="E793" i="1"/>
  <c r="C793" i="1"/>
  <c r="D793" i="1" s="1"/>
  <c r="I793" i="1" s="1"/>
  <c r="B793" i="1"/>
  <c r="A793" i="1"/>
  <c r="T792" i="1"/>
  <c r="S792" i="1"/>
  <c r="Q792" i="1"/>
  <c r="O792" i="1"/>
  <c r="M792" i="1"/>
  <c r="N792" i="1" s="1"/>
  <c r="P792" i="1" s="1"/>
  <c r="L792" i="1"/>
  <c r="K792" i="1"/>
  <c r="R792" i="1" s="1"/>
  <c r="J792" i="1"/>
  <c r="H792" i="1"/>
  <c r="G792" i="1"/>
  <c r="F792" i="1"/>
  <c r="E792" i="1"/>
  <c r="C792" i="1"/>
  <c r="D792" i="1" s="1"/>
  <c r="I792" i="1" s="1"/>
  <c r="B792" i="1"/>
  <c r="A792" i="1"/>
  <c r="T791" i="1"/>
  <c r="S791" i="1"/>
  <c r="Q791" i="1"/>
  <c r="O791" i="1"/>
  <c r="M791" i="1"/>
  <c r="N791" i="1" s="1"/>
  <c r="P791" i="1" s="1"/>
  <c r="L791" i="1"/>
  <c r="K791" i="1"/>
  <c r="R791" i="1" s="1"/>
  <c r="J791" i="1"/>
  <c r="H791" i="1"/>
  <c r="G791" i="1"/>
  <c r="F791" i="1"/>
  <c r="E791" i="1"/>
  <c r="C791" i="1"/>
  <c r="D791" i="1" s="1"/>
  <c r="I791" i="1" s="1"/>
  <c r="B791" i="1"/>
  <c r="A791" i="1"/>
  <c r="T790" i="1"/>
  <c r="S790" i="1"/>
  <c r="Q790" i="1"/>
  <c r="O790" i="1"/>
  <c r="M790" i="1"/>
  <c r="N790" i="1" s="1"/>
  <c r="P790" i="1" s="1"/>
  <c r="L790" i="1"/>
  <c r="K790" i="1"/>
  <c r="R790" i="1" s="1"/>
  <c r="J790" i="1"/>
  <c r="H790" i="1"/>
  <c r="G790" i="1"/>
  <c r="F790" i="1"/>
  <c r="E790" i="1"/>
  <c r="C790" i="1"/>
  <c r="D790" i="1" s="1"/>
  <c r="I790" i="1" s="1"/>
  <c r="B790" i="1"/>
  <c r="A790" i="1"/>
  <c r="T789" i="1"/>
  <c r="S789" i="1"/>
  <c r="Q789" i="1"/>
  <c r="O789" i="1"/>
  <c r="M789" i="1"/>
  <c r="N789" i="1" s="1"/>
  <c r="P789" i="1" s="1"/>
  <c r="L789" i="1"/>
  <c r="K789" i="1"/>
  <c r="R789" i="1" s="1"/>
  <c r="J789" i="1"/>
  <c r="H789" i="1"/>
  <c r="G789" i="1"/>
  <c r="F789" i="1"/>
  <c r="E789" i="1"/>
  <c r="C789" i="1"/>
  <c r="D789" i="1" s="1"/>
  <c r="I789" i="1" s="1"/>
  <c r="B789" i="1"/>
  <c r="A789" i="1"/>
  <c r="T788" i="1"/>
  <c r="S788" i="1"/>
  <c r="Q788" i="1"/>
  <c r="O788" i="1"/>
  <c r="M788" i="1"/>
  <c r="N788" i="1" s="1"/>
  <c r="P788" i="1" s="1"/>
  <c r="L788" i="1"/>
  <c r="K788" i="1"/>
  <c r="R788" i="1" s="1"/>
  <c r="J788" i="1"/>
  <c r="H788" i="1"/>
  <c r="G788" i="1"/>
  <c r="F788" i="1"/>
  <c r="E788" i="1"/>
  <c r="C788" i="1"/>
  <c r="D788" i="1" s="1"/>
  <c r="I788" i="1" s="1"/>
  <c r="B788" i="1"/>
  <c r="A788" i="1"/>
  <c r="T787" i="1"/>
  <c r="S787" i="1"/>
  <c r="Q787" i="1"/>
  <c r="O787" i="1"/>
  <c r="M787" i="1"/>
  <c r="N787" i="1" s="1"/>
  <c r="P787" i="1" s="1"/>
  <c r="L787" i="1"/>
  <c r="K787" i="1"/>
  <c r="R787" i="1" s="1"/>
  <c r="J787" i="1"/>
  <c r="H787" i="1"/>
  <c r="G787" i="1"/>
  <c r="F787" i="1"/>
  <c r="E787" i="1"/>
  <c r="C787" i="1"/>
  <c r="D787" i="1" s="1"/>
  <c r="I787" i="1" s="1"/>
  <c r="B787" i="1"/>
  <c r="A787" i="1"/>
  <c r="T786" i="1"/>
  <c r="S786" i="1"/>
  <c r="Q786" i="1"/>
  <c r="O786" i="1"/>
  <c r="M786" i="1"/>
  <c r="N786" i="1" s="1"/>
  <c r="P786" i="1" s="1"/>
  <c r="L786" i="1"/>
  <c r="K786" i="1"/>
  <c r="R786" i="1" s="1"/>
  <c r="J786" i="1"/>
  <c r="H786" i="1"/>
  <c r="G786" i="1"/>
  <c r="F786" i="1"/>
  <c r="E786" i="1"/>
  <c r="C786" i="1"/>
  <c r="D786" i="1" s="1"/>
  <c r="I786" i="1" s="1"/>
  <c r="B786" i="1"/>
  <c r="A786" i="1"/>
  <c r="T785" i="1"/>
  <c r="S785" i="1"/>
  <c r="Q785" i="1"/>
  <c r="O785" i="1"/>
  <c r="M785" i="1"/>
  <c r="N785" i="1" s="1"/>
  <c r="P785" i="1" s="1"/>
  <c r="L785" i="1"/>
  <c r="K785" i="1"/>
  <c r="R785" i="1" s="1"/>
  <c r="J785" i="1"/>
  <c r="H785" i="1"/>
  <c r="G785" i="1"/>
  <c r="F785" i="1"/>
  <c r="E785" i="1"/>
  <c r="C785" i="1"/>
  <c r="D785" i="1" s="1"/>
  <c r="I785" i="1" s="1"/>
  <c r="B785" i="1"/>
  <c r="A785" i="1"/>
  <c r="T784" i="1"/>
  <c r="S784" i="1"/>
  <c r="Q784" i="1"/>
  <c r="O784" i="1"/>
  <c r="M784" i="1"/>
  <c r="N784" i="1" s="1"/>
  <c r="P784" i="1" s="1"/>
  <c r="L784" i="1"/>
  <c r="K784" i="1"/>
  <c r="R784" i="1" s="1"/>
  <c r="J784" i="1"/>
  <c r="H784" i="1"/>
  <c r="G784" i="1"/>
  <c r="F784" i="1"/>
  <c r="E784" i="1"/>
  <c r="C784" i="1"/>
  <c r="D784" i="1" s="1"/>
  <c r="I784" i="1" s="1"/>
  <c r="B784" i="1"/>
  <c r="A784" i="1"/>
  <c r="T783" i="1"/>
  <c r="S783" i="1"/>
  <c r="Q783" i="1"/>
  <c r="O783" i="1"/>
  <c r="M783" i="1"/>
  <c r="N783" i="1" s="1"/>
  <c r="P783" i="1" s="1"/>
  <c r="L783" i="1"/>
  <c r="K783" i="1"/>
  <c r="R783" i="1" s="1"/>
  <c r="J783" i="1"/>
  <c r="H783" i="1"/>
  <c r="G783" i="1"/>
  <c r="F783" i="1"/>
  <c r="E783" i="1"/>
  <c r="C783" i="1"/>
  <c r="D783" i="1" s="1"/>
  <c r="I783" i="1" s="1"/>
  <c r="B783" i="1"/>
  <c r="A783" i="1"/>
  <c r="T782" i="1"/>
  <c r="S782" i="1"/>
  <c r="Q782" i="1"/>
  <c r="O782" i="1"/>
  <c r="M782" i="1"/>
  <c r="N782" i="1" s="1"/>
  <c r="P782" i="1" s="1"/>
  <c r="L782" i="1"/>
  <c r="K782" i="1"/>
  <c r="R782" i="1" s="1"/>
  <c r="J782" i="1"/>
  <c r="H782" i="1"/>
  <c r="G782" i="1"/>
  <c r="F782" i="1"/>
  <c r="E782" i="1"/>
  <c r="C782" i="1"/>
  <c r="D782" i="1" s="1"/>
  <c r="I782" i="1" s="1"/>
  <c r="B782" i="1"/>
  <c r="A782" i="1"/>
  <c r="T781" i="1"/>
  <c r="S781" i="1"/>
  <c r="Q781" i="1"/>
  <c r="O781" i="1"/>
  <c r="M781" i="1"/>
  <c r="N781" i="1" s="1"/>
  <c r="P781" i="1" s="1"/>
  <c r="L781" i="1"/>
  <c r="K781" i="1"/>
  <c r="R781" i="1" s="1"/>
  <c r="J781" i="1"/>
  <c r="H781" i="1"/>
  <c r="G781" i="1"/>
  <c r="F781" i="1"/>
  <c r="E781" i="1"/>
  <c r="C781" i="1"/>
  <c r="D781" i="1" s="1"/>
  <c r="I781" i="1" s="1"/>
  <c r="B781" i="1"/>
  <c r="A781" i="1"/>
  <c r="T780" i="1"/>
  <c r="S780" i="1"/>
  <c r="Q780" i="1"/>
  <c r="O780" i="1"/>
  <c r="M780" i="1"/>
  <c r="N780" i="1" s="1"/>
  <c r="P780" i="1" s="1"/>
  <c r="L780" i="1"/>
  <c r="K780" i="1"/>
  <c r="R780" i="1" s="1"/>
  <c r="J780" i="1"/>
  <c r="H780" i="1"/>
  <c r="G780" i="1"/>
  <c r="F780" i="1"/>
  <c r="E780" i="1"/>
  <c r="C780" i="1"/>
  <c r="D780" i="1" s="1"/>
  <c r="I780" i="1" s="1"/>
  <c r="B780" i="1"/>
  <c r="A780" i="1"/>
  <c r="T779" i="1"/>
  <c r="S779" i="1"/>
  <c r="Q779" i="1"/>
  <c r="O779" i="1"/>
  <c r="M779" i="1"/>
  <c r="N779" i="1" s="1"/>
  <c r="P779" i="1" s="1"/>
  <c r="L779" i="1"/>
  <c r="K779" i="1"/>
  <c r="R779" i="1" s="1"/>
  <c r="J779" i="1"/>
  <c r="H779" i="1"/>
  <c r="G779" i="1"/>
  <c r="F779" i="1"/>
  <c r="E779" i="1"/>
  <c r="C779" i="1"/>
  <c r="D779" i="1" s="1"/>
  <c r="I779" i="1" s="1"/>
  <c r="B779" i="1"/>
  <c r="A779" i="1"/>
  <c r="T778" i="1"/>
  <c r="S778" i="1"/>
  <c r="Q778" i="1"/>
  <c r="O778" i="1"/>
  <c r="M778" i="1"/>
  <c r="N778" i="1" s="1"/>
  <c r="P778" i="1" s="1"/>
  <c r="L778" i="1"/>
  <c r="K778" i="1"/>
  <c r="R778" i="1" s="1"/>
  <c r="J778" i="1"/>
  <c r="H778" i="1"/>
  <c r="G778" i="1"/>
  <c r="F778" i="1"/>
  <c r="E778" i="1"/>
  <c r="C778" i="1"/>
  <c r="D778" i="1" s="1"/>
  <c r="I778" i="1" s="1"/>
  <c r="B778" i="1"/>
  <c r="A778" i="1"/>
  <c r="T777" i="1"/>
  <c r="S777" i="1"/>
  <c r="Q777" i="1"/>
  <c r="O777" i="1"/>
  <c r="M777" i="1"/>
  <c r="N777" i="1" s="1"/>
  <c r="P777" i="1" s="1"/>
  <c r="L777" i="1"/>
  <c r="K777" i="1"/>
  <c r="R777" i="1" s="1"/>
  <c r="J777" i="1"/>
  <c r="H777" i="1"/>
  <c r="G777" i="1"/>
  <c r="F777" i="1"/>
  <c r="E777" i="1"/>
  <c r="C777" i="1"/>
  <c r="D777" i="1" s="1"/>
  <c r="I777" i="1" s="1"/>
  <c r="B777" i="1"/>
  <c r="A777" i="1"/>
  <c r="T776" i="1"/>
  <c r="S776" i="1"/>
  <c r="Q776" i="1"/>
  <c r="O776" i="1"/>
  <c r="M776" i="1"/>
  <c r="N776" i="1" s="1"/>
  <c r="P776" i="1" s="1"/>
  <c r="L776" i="1"/>
  <c r="K776" i="1"/>
  <c r="R776" i="1" s="1"/>
  <c r="J776" i="1"/>
  <c r="H776" i="1"/>
  <c r="G776" i="1"/>
  <c r="F776" i="1"/>
  <c r="E776" i="1"/>
  <c r="C776" i="1"/>
  <c r="D776" i="1" s="1"/>
  <c r="I776" i="1" s="1"/>
  <c r="B776" i="1"/>
  <c r="A776" i="1"/>
  <c r="T775" i="1"/>
  <c r="S775" i="1"/>
  <c r="Q775" i="1"/>
  <c r="O775" i="1"/>
  <c r="M775" i="1"/>
  <c r="N775" i="1" s="1"/>
  <c r="P775" i="1" s="1"/>
  <c r="L775" i="1"/>
  <c r="K775" i="1"/>
  <c r="R775" i="1" s="1"/>
  <c r="J775" i="1"/>
  <c r="H775" i="1"/>
  <c r="G775" i="1"/>
  <c r="F775" i="1"/>
  <c r="E775" i="1"/>
  <c r="C775" i="1"/>
  <c r="D775" i="1" s="1"/>
  <c r="I775" i="1" s="1"/>
  <c r="B775" i="1"/>
  <c r="A775" i="1"/>
  <c r="T774" i="1"/>
  <c r="S774" i="1"/>
  <c r="Q774" i="1"/>
  <c r="O774" i="1"/>
  <c r="M774" i="1"/>
  <c r="N774" i="1" s="1"/>
  <c r="P774" i="1" s="1"/>
  <c r="L774" i="1"/>
  <c r="K774" i="1"/>
  <c r="R774" i="1" s="1"/>
  <c r="J774" i="1"/>
  <c r="H774" i="1"/>
  <c r="G774" i="1"/>
  <c r="F774" i="1"/>
  <c r="E774" i="1"/>
  <c r="C774" i="1"/>
  <c r="D774" i="1" s="1"/>
  <c r="I774" i="1" s="1"/>
  <c r="B774" i="1"/>
  <c r="A774" i="1"/>
  <c r="T773" i="1"/>
  <c r="S773" i="1"/>
  <c r="Q773" i="1"/>
  <c r="O773" i="1"/>
  <c r="M773" i="1"/>
  <c r="N773" i="1" s="1"/>
  <c r="P773" i="1" s="1"/>
  <c r="L773" i="1"/>
  <c r="K773" i="1"/>
  <c r="R773" i="1" s="1"/>
  <c r="J773" i="1"/>
  <c r="H773" i="1"/>
  <c r="G773" i="1"/>
  <c r="F773" i="1"/>
  <c r="E773" i="1"/>
  <c r="C773" i="1"/>
  <c r="D773" i="1" s="1"/>
  <c r="I773" i="1" s="1"/>
  <c r="B773" i="1"/>
  <c r="A773" i="1"/>
  <c r="T772" i="1"/>
  <c r="S772" i="1"/>
  <c r="Q772" i="1"/>
  <c r="O772" i="1"/>
  <c r="M772" i="1"/>
  <c r="N772" i="1" s="1"/>
  <c r="P772" i="1" s="1"/>
  <c r="L772" i="1"/>
  <c r="K772" i="1"/>
  <c r="R772" i="1" s="1"/>
  <c r="J772" i="1"/>
  <c r="H772" i="1"/>
  <c r="G772" i="1"/>
  <c r="F772" i="1"/>
  <c r="E772" i="1"/>
  <c r="C772" i="1"/>
  <c r="D772" i="1" s="1"/>
  <c r="I772" i="1" s="1"/>
  <c r="B772" i="1"/>
  <c r="A772" i="1"/>
  <c r="T771" i="1"/>
  <c r="S771" i="1"/>
  <c r="Q771" i="1"/>
  <c r="O771" i="1"/>
  <c r="M771" i="1"/>
  <c r="N771" i="1" s="1"/>
  <c r="P771" i="1" s="1"/>
  <c r="L771" i="1"/>
  <c r="K771" i="1"/>
  <c r="R771" i="1" s="1"/>
  <c r="J771" i="1"/>
  <c r="H771" i="1"/>
  <c r="G771" i="1"/>
  <c r="F771" i="1"/>
  <c r="E771" i="1"/>
  <c r="C771" i="1"/>
  <c r="D771" i="1" s="1"/>
  <c r="I771" i="1" s="1"/>
  <c r="B771" i="1"/>
  <c r="A771" i="1"/>
  <c r="T770" i="1"/>
  <c r="S770" i="1"/>
  <c r="Q770" i="1"/>
  <c r="O770" i="1"/>
  <c r="M770" i="1"/>
  <c r="N770" i="1" s="1"/>
  <c r="P770" i="1" s="1"/>
  <c r="L770" i="1"/>
  <c r="K770" i="1"/>
  <c r="R770" i="1" s="1"/>
  <c r="J770" i="1"/>
  <c r="H770" i="1"/>
  <c r="G770" i="1"/>
  <c r="F770" i="1"/>
  <c r="E770" i="1"/>
  <c r="C770" i="1"/>
  <c r="D770" i="1" s="1"/>
  <c r="I770" i="1" s="1"/>
  <c r="B770" i="1"/>
  <c r="A770" i="1"/>
  <c r="T769" i="1"/>
  <c r="S769" i="1"/>
  <c r="Q769" i="1"/>
  <c r="O769" i="1"/>
  <c r="M769" i="1"/>
  <c r="N769" i="1" s="1"/>
  <c r="P769" i="1" s="1"/>
  <c r="L769" i="1"/>
  <c r="K769" i="1"/>
  <c r="R769" i="1" s="1"/>
  <c r="J769" i="1"/>
  <c r="H769" i="1"/>
  <c r="G769" i="1"/>
  <c r="F769" i="1"/>
  <c r="E769" i="1"/>
  <c r="C769" i="1"/>
  <c r="D769" i="1" s="1"/>
  <c r="I769" i="1" s="1"/>
  <c r="B769" i="1"/>
  <c r="A769" i="1"/>
  <c r="T768" i="1"/>
  <c r="S768" i="1"/>
  <c r="Q768" i="1"/>
  <c r="M768" i="1"/>
  <c r="L768" i="1"/>
  <c r="K768" i="1"/>
  <c r="J768" i="1"/>
  <c r="H768" i="1"/>
  <c r="G768" i="1"/>
  <c r="F768" i="1"/>
  <c r="E768" i="1"/>
  <c r="C768" i="1"/>
  <c r="D768" i="1" s="1"/>
  <c r="I768" i="1" s="1"/>
  <c r="B768" i="1"/>
  <c r="A768" i="1"/>
  <c r="T767" i="1"/>
  <c r="S767" i="1"/>
  <c r="Q767" i="1"/>
  <c r="N767" i="1"/>
  <c r="P767" i="1" s="1"/>
  <c r="M767" i="1"/>
  <c r="L767" i="1"/>
  <c r="K767" i="1"/>
  <c r="J767" i="1"/>
  <c r="R767" i="1" s="1"/>
  <c r="H767" i="1"/>
  <c r="G767" i="1"/>
  <c r="F767" i="1"/>
  <c r="E767" i="1"/>
  <c r="C767" i="1"/>
  <c r="D767" i="1" s="1"/>
  <c r="I767" i="1" s="1"/>
  <c r="B767" i="1"/>
  <c r="A767" i="1"/>
  <c r="T766" i="1"/>
  <c r="S766" i="1"/>
  <c r="Q766" i="1"/>
  <c r="N766" i="1"/>
  <c r="M766" i="1"/>
  <c r="L766" i="1"/>
  <c r="K766" i="1"/>
  <c r="J766" i="1"/>
  <c r="H766" i="1"/>
  <c r="G766" i="1"/>
  <c r="F766" i="1"/>
  <c r="E766" i="1"/>
  <c r="C766" i="1"/>
  <c r="D766" i="1" s="1"/>
  <c r="I766" i="1" s="1"/>
  <c r="B766" i="1"/>
  <c r="A766" i="1"/>
  <c r="T765" i="1"/>
  <c r="S765" i="1"/>
  <c r="Q765" i="1"/>
  <c r="N765" i="1"/>
  <c r="P765" i="1" s="1"/>
  <c r="M765" i="1"/>
  <c r="L765" i="1"/>
  <c r="K765" i="1"/>
  <c r="J765" i="1"/>
  <c r="R765" i="1" s="1"/>
  <c r="H765" i="1"/>
  <c r="G765" i="1"/>
  <c r="F765" i="1"/>
  <c r="E765" i="1"/>
  <c r="C765" i="1"/>
  <c r="D765" i="1" s="1"/>
  <c r="I765" i="1" s="1"/>
  <c r="B765" i="1"/>
  <c r="A765" i="1"/>
  <c r="T764" i="1"/>
  <c r="S764" i="1"/>
  <c r="Q764" i="1"/>
  <c r="N764" i="1"/>
  <c r="M764" i="1"/>
  <c r="L764" i="1"/>
  <c r="K764" i="1"/>
  <c r="J764" i="1"/>
  <c r="H764" i="1"/>
  <c r="G764" i="1"/>
  <c r="F764" i="1"/>
  <c r="E764" i="1"/>
  <c r="C764" i="1"/>
  <c r="D764" i="1" s="1"/>
  <c r="I764" i="1" s="1"/>
  <c r="B764" i="1"/>
  <c r="A764" i="1"/>
  <c r="T763" i="1"/>
  <c r="S763" i="1"/>
  <c r="Q763" i="1"/>
  <c r="N763" i="1"/>
  <c r="P763" i="1" s="1"/>
  <c r="M763" i="1"/>
  <c r="L763" i="1"/>
  <c r="K763" i="1"/>
  <c r="J763" i="1"/>
  <c r="R763" i="1" s="1"/>
  <c r="H763" i="1"/>
  <c r="G763" i="1"/>
  <c r="F763" i="1"/>
  <c r="E763" i="1"/>
  <c r="C763" i="1"/>
  <c r="D763" i="1" s="1"/>
  <c r="I763" i="1" s="1"/>
  <c r="B763" i="1"/>
  <c r="A763" i="1"/>
  <c r="T762" i="1"/>
  <c r="S762" i="1"/>
  <c r="Q762" i="1"/>
  <c r="N762" i="1"/>
  <c r="M762" i="1"/>
  <c r="L762" i="1"/>
  <c r="K762" i="1"/>
  <c r="J762" i="1"/>
  <c r="H762" i="1"/>
  <c r="G762" i="1"/>
  <c r="F762" i="1"/>
  <c r="E762" i="1"/>
  <c r="C762" i="1"/>
  <c r="D762" i="1" s="1"/>
  <c r="I762" i="1" s="1"/>
  <c r="B762" i="1"/>
  <c r="A762" i="1"/>
  <c r="T761" i="1"/>
  <c r="S761" i="1"/>
  <c r="Q761" i="1"/>
  <c r="N761" i="1"/>
  <c r="P761" i="1" s="1"/>
  <c r="M761" i="1"/>
  <c r="L761" i="1"/>
  <c r="K761" i="1"/>
  <c r="J761" i="1"/>
  <c r="R761" i="1" s="1"/>
  <c r="H761" i="1"/>
  <c r="G761" i="1"/>
  <c r="F761" i="1"/>
  <c r="E761" i="1"/>
  <c r="C761" i="1"/>
  <c r="D761" i="1" s="1"/>
  <c r="I761" i="1" s="1"/>
  <c r="B761" i="1"/>
  <c r="A761" i="1"/>
  <c r="T760" i="1"/>
  <c r="S760" i="1"/>
  <c r="Q760" i="1"/>
  <c r="N760" i="1"/>
  <c r="M760" i="1"/>
  <c r="L760" i="1"/>
  <c r="K760" i="1"/>
  <c r="J760" i="1"/>
  <c r="H760" i="1"/>
  <c r="G760" i="1"/>
  <c r="F760" i="1"/>
  <c r="E760" i="1"/>
  <c r="C760" i="1"/>
  <c r="D760" i="1" s="1"/>
  <c r="I760" i="1" s="1"/>
  <c r="B760" i="1"/>
  <c r="A760" i="1"/>
  <c r="T759" i="1"/>
  <c r="S759" i="1"/>
  <c r="Q759" i="1"/>
  <c r="N759" i="1"/>
  <c r="P759" i="1" s="1"/>
  <c r="M759" i="1"/>
  <c r="L759" i="1"/>
  <c r="K759" i="1"/>
  <c r="J759" i="1"/>
  <c r="R759" i="1" s="1"/>
  <c r="H759" i="1"/>
  <c r="G759" i="1"/>
  <c r="F759" i="1"/>
  <c r="E759" i="1"/>
  <c r="C759" i="1"/>
  <c r="D759" i="1" s="1"/>
  <c r="I759" i="1" s="1"/>
  <c r="B759" i="1"/>
  <c r="A759" i="1"/>
  <c r="T758" i="1"/>
  <c r="S758" i="1"/>
  <c r="Q758" i="1"/>
  <c r="N758" i="1"/>
  <c r="M758" i="1"/>
  <c r="L758" i="1"/>
  <c r="K758" i="1"/>
  <c r="J758" i="1"/>
  <c r="H758" i="1"/>
  <c r="G758" i="1"/>
  <c r="F758" i="1"/>
  <c r="E758" i="1"/>
  <c r="C758" i="1"/>
  <c r="D758" i="1" s="1"/>
  <c r="I758" i="1" s="1"/>
  <c r="B758" i="1"/>
  <c r="A758" i="1"/>
  <c r="T757" i="1"/>
  <c r="S757" i="1"/>
  <c r="Q757" i="1"/>
  <c r="N757" i="1"/>
  <c r="P757" i="1" s="1"/>
  <c r="M757" i="1"/>
  <c r="L757" i="1"/>
  <c r="K757" i="1"/>
  <c r="J757" i="1"/>
  <c r="R757" i="1" s="1"/>
  <c r="H757" i="1"/>
  <c r="G757" i="1"/>
  <c r="F757" i="1"/>
  <c r="E757" i="1"/>
  <c r="C757" i="1"/>
  <c r="D757" i="1" s="1"/>
  <c r="I757" i="1" s="1"/>
  <c r="B757" i="1"/>
  <c r="A757" i="1"/>
  <c r="T756" i="1"/>
  <c r="S756" i="1"/>
  <c r="Q756" i="1"/>
  <c r="N756" i="1"/>
  <c r="M756" i="1"/>
  <c r="L756" i="1"/>
  <c r="K756" i="1"/>
  <c r="J756" i="1"/>
  <c r="H756" i="1"/>
  <c r="G756" i="1"/>
  <c r="F756" i="1"/>
  <c r="E756" i="1"/>
  <c r="C756" i="1"/>
  <c r="D756" i="1" s="1"/>
  <c r="I756" i="1" s="1"/>
  <c r="B756" i="1"/>
  <c r="A756" i="1"/>
  <c r="T755" i="1"/>
  <c r="S755" i="1"/>
  <c r="Q755" i="1"/>
  <c r="N755" i="1"/>
  <c r="P755" i="1" s="1"/>
  <c r="M755" i="1"/>
  <c r="L755" i="1"/>
  <c r="K755" i="1"/>
  <c r="J755" i="1"/>
  <c r="R755" i="1" s="1"/>
  <c r="H755" i="1"/>
  <c r="G755" i="1"/>
  <c r="F755" i="1"/>
  <c r="E755" i="1"/>
  <c r="C755" i="1"/>
  <c r="D755" i="1" s="1"/>
  <c r="I755" i="1" s="1"/>
  <c r="B755" i="1"/>
  <c r="A755" i="1"/>
  <c r="T754" i="1"/>
  <c r="S754" i="1"/>
  <c r="Q754" i="1"/>
  <c r="N754" i="1"/>
  <c r="M754" i="1"/>
  <c r="L754" i="1"/>
  <c r="K754" i="1"/>
  <c r="J754" i="1"/>
  <c r="H754" i="1"/>
  <c r="G754" i="1"/>
  <c r="F754" i="1"/>
  <c r="E754" i="1"/>
  <c r="C754" i="1"/>
  <c r="D754" i="1" s="1"/>
  <c r="I754" i="1" s="1"/>
  <c r="B754" i="1"/>
  <c r="A754" i="1"/>
  <c r="T753" i="1"/>
  <c r="S753" i="1"/>
  <c r="Q753" i="1"/>
  <c r="N753" i="1"/>
  <c r="P753" i="1" s="1"/>
  <c r="M753" i="1"/>
  <c r="L753" i="1"/>
  <c r="K753" i="1"/>
  <c r="J753" i="1"/>
  <c r="R753" i="1" s="1"/>
  <c r="H753" i="1"/>
  <c r="G753" i="1"/>
  <c r="F753" i="1"/>
  <c r="E753" i="1"/>
  <c r="C753" i="1"/>
  <c r="D753" i="1" s="1"/>
  <c r="I753" i="1" s="1"/>
  <c r="B753" i="1"/>
  <c r="A753" i="1"/>
  <c r="T752" i="1"/>
  <c r="S752" i="1"/>
  <c r="Q752" i="1"/>
  <c r="N752" i="1"/>
  <c r="M752" i="1"/>
  <c r="L752" i="1"/>
  <c r="K752" i="1"/>
  <c r="J752" i="1"/>
  <c r="H752" i="1"/>
  <c r="G752" i="1"/>
  <c r="F752" i="1"/>
  <c r="E752" i="1"/>
  <c r="C752" i="1"/>
  <c r="D752" i="1" s="1"/>
  <c r="I752" i="1" s="1"/>
  <c r="B752" i="1"/>
  <c r="A752" i="1"/>
  <c r="T751" i="1"/>
  <c r="S751" i="1"/>
  <c r="Q751" i="1"/>
  <c r="M751" i="1"/>
  <c r="N751" i="1" s="1"/>
  <c r="L751" i="1"/>
  <c r="K751" i="1"/>
  <c r="J751" i="1"/>
  <c r="R751" i="1" s="1"/>
  <c r="H751" i="1"/>
  <c r="G751" i="1"/>
  <c r="F751" i="1"/>
  <c r="E751" i="1"/>
  <c r="C751" i="1"/>
  <c r="D751" i="1" s="1"/>
  <c r="I751" i="1" s="1"/>
  <c r="B751" i="1"/>
  <c r="A751" i="1"/>
  <c r="T750" i="1"/>
  <c r="S750" i="1"/>
  <c r="Q750" i="1"/>
  <c r="N750" i="1"/>
  <c r="M750" i="1"/>
  <c r="L750" i="1"/>
  <c r="K750" i="1"/>
  <c r="R750" i="1" s="1"/>
  <c r="J750" i="1"/>
  <c r="H750" i="1"/>
  <c r="G750" i="1"/>
  <c r="F750" i="1"/>
  <c r="E750" i="1"/>
  <c r="C750" i="1"/>
  <c r="D750" i="1" s="1"/>
  <c r="I750" i="1" s="1"/>
  <c r="B750" i="1"/>
  <c r="A750" i="1"/>
  <c r="T749" i="1"/>
  <c r="S749" i="1"/>
  <c r="R749" i="1"/>
  <c r="Q749" i="1"/>
  <c r="M749" i="1"/>
  <c r="N749" i="1" s="1"/>
  <c r="L749" i="1"/>
  <c r="K749" i="1"/>
  <c r="J749" i="1"/>
  <c r="H749" i="1"/>
  <c r="G749" i="1"/>
  <c r="F749" i="1"/>
  <c r="E749" i="1"/>
  <c r="C749" i="1"/>
  <c r="D749" i="1" s="1"/>
  <c r="I749" i="1" s="1"/>
  <c r="B749" i="1"/>
  <c r="A749" i="1"/>
  <c r="T748" i="1"/>
  <c r="S748" i="1"/>
  <c r="Q748" i="1"/>
  <c r="N748" i="1"/>
  <c r="M748" i="1"/>
  <c r="L748" i="1"/>
  <c r="K748" i="1"/>
  <c r="J748" i="1"/>
  <c r="H748" i="1"/>
  <c r="G748" i="1"/>
  <c r="F748" i="1"/>
  <c r="E748" i="1"/>
  <c r="C748" i="1"/>
  <c r="D748" i="1" s="1"/>
  <c r="I748" i="1" s="1"/>
  <c r="B748" i="1"/>
  <c r="A748" i="1"/>
  <c r="T747" i="1"/>
  <c r="S747" i="1"/>
  <c r="R747" i="1"/>
  <c r="Q747" i="1"/>
  <c r="M747" i="1"/>
  <c r="N747" i="1" s="1"/>
  <c r="L747" i="1"/>
  <c r="K747" i="1"/>
  <c r="J747" i="1"/>
  <c r="H747" i="1"/>
  <c r="G747" i="1"/>
  <c r="F747" i="1"/>
  <c r="E747" i="1"/>
  <c r="C747" i="1"/>
  <c r="D747" i="1" s="1"/>
  <c r="I747" i="1" s="1"/>
  <c r="B747" i="1"/>
  <c r="A747" i="1"/>
  <c r="T746" i="1"/>
  <c r="S746" i="1"/>
  <c r="Q746" i="1"/>
  <c r="N746" i="1"/>
  <c r="M746" i="1"/>
  <c r="L746" i="1"/>
  <c r="K746" i="1"/>
  <c r="R746" i="1" s="1"/>
  <c r="J746" i="1"/>
  <c r="H746" i="1"/>
  <c r="G746" i="1"/>
  <c r="F746" i="1"/>
  <c r="E746" i="1"/>
  <c r="C746" i="1"/>
  <c r="D746" i="1" s="1"/>
  <c r="I746" i="1" s="1"/>
  <c r="B746" i="1"/>
  <c r="A746" i="1"/>
  <c r="T745" i="1"/>
  <c r="S745" i="1"/>
  <c r="R745" i="1"/>
  <c r="Q745" i="1"/>
  <c r="M745" i="1"/>
  <c r="N745" i="1" s="1"/>
  <c r="L745" i="1"/>
  <c r="K745" i="1"/>
  <c r="J745" i="1"/>
  <c r="H745" i="1"/>
  <c r="G745" i="1"/>
  <c r="F745" i="1"/>
  <c r="E745" i="1"/>
  <c r="C745" i="1"/>
  <c r="D745" i="1" s="1"/>
  <c r="I745" i="1" s="1"/>
  <c r="B745" i="1"/>
  <c r="A745" i="1"/>
  <c r="T744" i="1"/>
  <c r="S744" i="1"/>
  <c r="Q744" i="1"/>
  <c r="N744" i="1"/>
  <c r="M744" i="1"/>
  <c r="L744" i="1"/>
  <c r="K744" i="1"/>
  <c r="J744" i="1"/>
  <c r="H744" i="1"/>
  <c r="G744" i="1"/>
  <c r="F744" i="1"/>
  <c r="E744" i="1"/>
  <c r="C744" i="1"/>
  <c r="D744" i="1" s="1"/>
  <c r="I744" i="1" s="1"/>
  <c r="B744" i="1"/>
  <c r="A744" i="1"/>
  <c r="T743" i="1"/>
  <c r="S743" i="1"/>
  <c r="R743" i="1"/>
  <c r="Q743" i="1"/>
  <c r="M743" i="1"/>
  <c r="N743" i="1" s="1"/>
  <c r="L743" i="1"/>
  <c r="K743" i="1"/>
  <c r="J743" i="1"/>
  <c r="H743" i="1"/>
  <c r="G743" i="1"/>
  <c r="F743" i="1"/>
  <c r="E743" i="1"/>
  <c r="C743" i="1"/>
  <c r="D743" i="1" s="1"/>
  <c r="I743" i="1" s="1"/>
  <c r="B743" i="1"/>
  <c r="A743" i="1"/>
  <c r="T742" i="1"/>
  <c r="S742" i="1"/>
  <c r="Q742" i="1"/>
  <c r="N742" i="1"/>
  <c r="M742" i="1"/>
  <c r="L742" i="1"/>
  <c r="K742" i="1"/>
  <c r="R742" i="1" s="1"/>
  <c r="J742" i="1"/>
  <c r="H742" i="1"/>
  <c r="G742" i="1"/>
  <c r="F742" i="1"/>
  <c r="E742" i="1"/>
  <c r="C742" i="1"/>
  <c r="D742" i="1" s="1"/>
  <c r="I742" i="1" s="1"/>
  <c r="B742" i="1"/>
  <c r="A742" i="1"/>
  <c r="T741" i="1"/>
  <c r="S741" i="1"/>
  <c r="R741" i="1"/>
  <c r="Q741" i="1"/>
  <c r="M741" i="1"/>
  <c r="N741" i="1" s="1"/>
  <c r="L741" i="1"/>
  <c r="K741" i="1"/>
  <c r="J741" i="1"/>
  <c r="H741" i="1"/>
  <c r="G741" i="1"/>
  <c r="F741" i="1"/>
  <c r="E741" i="1"/>
  <c r="C741" i="1"/>
  <c r="D741" i="1" s="1"/>
  <c r="I741" i="1" s="1"/>
  <c r="B741" i="1"/>
  <c r="A741" i="1"/>
  <c r="T740" i="1"/>
  <c r="S740" i="1"/>
  <c r="Q740" i="1"/>
  <c r="N740" i="1"/>
  <c r="M740" i="1"/>
  <c r="L740" i="1"/>
  <c r="K740" i="1"/>
  <c r="J740" i="1"/>
  <c r="H740" i="1"/>
  <c r="G740" i="1"/>
  <c r="F740" i="1"/>
  <c r="E740" i="1"/>
  <c r="C740" i="1"/>
  <c r="D740" i="1" s="1"/>
  <c r="I740" i="1" s="1"/>
  <c r="B740" i="1"/>
  <c r="A740" i="1"/>
  <c r="T739" i="1"/>
  <c r="S739" i="1"/>
  <c r="R739" i="1"/>
  <c r="Q739" i="1"/>
  <c r="M739" i="1"/>
  <c r="N739" i="1" s="1"/>
  <c r="L739" i="1"/>
  <c r="K739" i="1"/>
  <c r="J739" i="1"/>
  <c r="H739" i="1"/>
  <c r="G739" i="1"/>
  <c r="F739" i="1"/>
  <c r="E739" i="1"/>
  <c r="C739" i="1"/>
  <c r="D739" i="1" s="1"/>
  <c r="I739" i="1" s="1"/>
  <c r="B739" i="1"/>
  <c r="A739" i="1"/>
  <c r="T738" i="1"/>
  <c r="S738" i="1"/>
  <c r="Q738" i="1"/>
  <c r="N738" i="1"/>
  <c r="M738" i="1"/>
  <c r="L738" i="1"/>
  <c r="K738" i="1"/>
  <c r="R738" i="1" s="1"/>
  <c r="J738" i="1"/>
  <c r="H738" i="1"/>
  <c r="G738" i="1"/>
  <c r="F738" i="1"/>
  <c r="E738" i="1"/>
  <c r="C738" i="1"/>
  <c r="D738" i="1" s="1"/>
  <c r="I738" i="1" s="1"/>
  <c r="B738" i="1"/>
  <c r="A738" i="1"/>
  <c r="T737" i="1"/>
  <c r="S737" i="1"/>
  <c r="R737" i="1"/>
  <c r="Q737" i="1"/>
  <c r="M737" i="1"/>
  <c r="N737" i="1" s="1"/>
  <c r="L737" i="1"/>
  <c r="K737" i="1"/>
  <c r="J737" i="1"/>
  <c r="H737" i="1"/>
  <c r="G737" i="1"/>
  <c r="F737" i="1"/>
  <c r="E737" i="1"/>
  <c r="C737" i="1"/>
  <c r="D737" i="1" s="1"/>
  <c r="I737" i="1" s="1"/>
  <c r="B737" i="1"/>
  <c r="A737" i="1"/>
  <c r="T736" i="1"/>
  <c r="S736" i="1"/>
  <c r="Q736" i="1"/>
  <c r="N736" i="1"/>
  <c r="M736" i="1"/>
  <c r="L736" i="1"/>
  <c r="K736" i="1"/>
  <c r="J736" i="1"/>
  <c r="H736" i="1"/>
  <c r="G736" i="1"/>
  <c r="F736" i="1"/>
  <c r="E736" i="1"/>
  <c r="C736" i="1"/>
  <c r="D736" i="1" s="1"/>
  <c r="I736" i="1" s="1"/>
  <c r="B736" i="1"/>
  <c r="A736" i="1"/>
  <c r="T735" i="1"/>
  <c r="S735" i="1"/>
  <c r="R735" i="1"/>
  <c r="Q735" i="1"/>
  <c r="M735" i="1"/>
  <c r="N735" i="1" s="1"/>
  <c r="L735" i="1"/>
  <c r="K735" i="1"/>
  <c r="J735" i="1"/>
  <c r="H735" i="1"/>
  <c r="G735" i="1"/>
  <c r="F735" i="1"/>
  <c r="E735" i="1"/>
  <c r="C735" i="1"/>
  <c r="D735" i="1" s="1"/>
  <c r="I735" i="1" s="1"/>
  <c r="B735" i="1"/>
  <c r="A735" i="1"/>
  <c r="T734" i="1"/>
  <c r="S734" i="1"/>
  <c r="Q734" i="1"/>
  <c r="N734" i="1"/>
  <c r="M734" i="1"/>
  <c r="L734" i="1"/>
  <c r="K734" i="1"/>
  <c r="R734" i="1" s="1"/>
  <c r="J734" i="1"/>
  <c r="H734" i="1"/>
  <c r="G734" i="1"/>
  <c r="F734" i="1"/>
  <c r="E734" i="1"/>
  <c r="C734" i="1"/>
  <c r="D734" i="1" s="1"/>
  <c r="I734" i="1" s="1"/>
  <c r="B734" i="1"/>
  <c r="A734" i="1"/>
  <c r="T733" i="1"/>
  <c r="S733" i="1"/>
  <c r="R733" i="1"/>
  <c r="Q733" i="1"/>
  <c r="M733" i="1"/>
  <c r="N733" i="1" s="1"/>
  <c r="L733" i="1"/>
  <c r="K733" i="1"/>
  <c r="J733" i="1"/>
  <c r="H733" i="1"/>
  <c r="G733" i="1"/>
  <c r="F733" i="1"/>
  <c r="E733" i="1"/>
  <c r="D733" i="1"/>
  <c r="I733" i="1" s="1"/>
  <c r="C733" i="1"/>
  <c r="B733" i="1"/>
  <c r="A733" i="1"/>
  <c r="T732" i="1"/>
  <c r="S732" i="1"/>
  <c r="Q732" i="1"/>
  <c r="P732" i="1"/>
  <c r="M732" i="1"/>
  <c r="N732" i="1" s="1"/>
  <c r="L732" i="1"/>
  <c r="K732" i="1"/>
  <c r="J732" i="1"/>
  <c r="R732" i="1" s="1"/>
  <c r="H732" i="1"/>
  <c r="G732" i="1"/>
  <c r="F732" i="1"/>
  <c r="E732" i="1"/>
  <c r="D732" i="1"/>
  <c r="I732" i="1" s="1"/>
  <c r="C732" i="1"/>
  <c r="B732" i="1"/>
  <c r="A732" i="1"/>
  <c r="T731" i="1"/>
  <c r="S731" i="1"/>
  <c r="Q731" i="1"/>
  <c r="P731" i="1"/>
  <c r="M731" i="1"/>
  <c r="N731" i="1" s="1"/>
  <c r="O731" i="1" s="1"/>
  <c r="L731" i="1"/>
  <c r="K731" i="1"/>
  <c r="J731" i="1"/>
  <c r="R731" i="1" s="1"/>
  <c r="H731" i="1"/>
  <c r="G731" i="1"/>
  <c r="F731" i="1"/>
  <c r="E731" i="1"/>
  <c r="D731" i="1"/>
  <c r="I731" i="1" s="1"/>
  <c r="C731" i="1"/>
  <c r="B731" i="1"/>
  <c r="A731" i="1"/>
  <c r="T730" i="1"/>
  <c r="S730" i="1"/>
  <c r="Q730" i="1"/>
  <c r="P730" i="1"/>
  <c r="M730" i="1"/>
  <c r="N730" i="1" s="1"/>
  <c r="O730" i="1" s="1"/>
  <c r="L730" i="1"/>
  <c r="K730" i="1"/>
  <c r="J730" i="1"/>
  <c r="R730" i="1" s="1"/>
  <c r="H730" i="1"/>
  <c r="G730" i="1"/>
  <c r="F730" i="1"/>
  <c r="E730" i="1"/>
  <c r="D730" i="1"/>
  <c r="I730" i="1" s="1"/>
  <c r="C730" i="1"/>
  <c r="B730" i="1"/>
  <c r="A730" i="1"/>
  <c r="T729" i="1"/>
  <c r="S729" i="1"/>
  <c r="Q729" i="1"/>
  <c r="P729" i="1"/>
  <c r="M729" i="1"/>
  <c r="N729" i="1" s="1"/>
  <c r="O729" i="1" s="1"/>
  <c r="L729" i="1"/>
  <c r="K729" i="1"/>
  <c r="J729" i="1"/>
  <c r="R729" i="1" s="1"/>
  <c r="H729" i="1"/>
  <c r="G729" i="1"/>
  <c r="F729" i="1"/>
  <c r="E729" i="1"/>
  <c r="D729" i="1"/>
  <c r="I729" i="1" s="1"/>
  <c r="C729" i="1"/>
  <c r="B729" i="1"/>
  <c r="A729" i="1"/>
  <c r="T728" i="1"/>
  <c r="S728" i="1"/>
  <c r="Q728" i="1"/>
  <c r="P728" i="1"/>
  <c r="M728" i="1"/>
  <c r="N728" i="1" s="1"/>
  <c r="O728" i="1" s="1"/>
  <c r="L728" i="1"/>
  <c r="K728" i="1"/>
  <c r="J728" i="1"/>
  <c r="R728" i="1" s="1"/>
  <c r="H728" i="1"/>
  <c r="G728" i="1"/>
  <c r="F728" i="1"/>
  <c r="E728" i="1"/>
  <c r="D728" i="1"/>
  <c r="I728" i="1" s="1"/>
  <c r="C728" i="1"/>
  <c r="B728" i="1"/>
  <c r="A728" i="1"/>
  <c r="T727" i="1"/>
  <c r="S727" i="1"/>
  <c r="Q727" i="1"/>
  <c r="P727" i="1"/>
  <c r="M727" i="1"/>
  <c r="N727" i="1" s="1"/>
  <c r="O727" i="1" s="1"/>
  <c r="L727" i="1"/>
  <c r="K727" i="1"/>
  <c r="J727" i="1"/>
  <c r="R727" i="1" s="1"/>
  <c r="H727" i="1"/>
  <c r="G727" i="1"/>
  <c r="F727" i="1"/>
  <c r="E727" i="1"/>
  <c r="D727" i="1"/>
  <c r="I727" i="1" s="1"/>
  <c r="C727" i="1"/>
  <c r="B727" i="1"/>
  <c r="A727" i="1"/>
  <c r="T726" i="1"/>
  <c r="S726" i="1"/>
  <c r="Q726" i="1"/>
  <c r="P726" i="1"/>
  <c r="M726" i="1"/>
  <c r="N726" i="1" s="1"/>
  <c r="O726" i="1" s="1"/>
  <c r="L726" i="1"/>
  <c r="K726" i="1"/>
  <c r="J726" i="1"/>
  <c r="R726" i="1" s="1"/>
  <c r="H726" i="1"/>
  <c r="G726" i="1"/>
  <c r="F726" i="1"/>
  <c r="E726" i="1"/>
  <c r="D726" i="1"/>
  <c r="I726" i="1" s="1"/>
  <c r="C726" i="1"/>
  <c r="B726" i="1"/>
  <c r="A726" i="1"/>
  <c r="T725" i="1"/>
  <c r="S725" i="1"/>
  <c r="Q725" i="1"/>
  <c r="P725" i="1"/>
  <c r="M725" i="1"/>
  <c r="N725" i="1" s="1"/>
  <c r="O725" i="1" s="1"/>
  <c r="L725" i="1"/>
  <c r="K725" i="1"/>
  <c r="J725" i="1"/>
  <c r="R725" i="1" s="1"/>
  <c r="H725" i="1"/>
  <c r="G725" i="1"/>
  <c r="F725" i="1"/>
  <c r="E725" i="1"/>
  <c r="D725" i="1"/>
  <c r="I725" i="1" s="1"/>
  <c r="C725" i="1"/>
  <c r="B725" i="1"/>
  <c r="A725" i="1"/>
  <c r="T724" i="1"/>
  <c r="S724" i="1"/>
  <c r="Q724" i="1"/>
  <c r="P724" i="1"/>
  <c r="M724" i="1"/>
  <c r="N724" i="1" s="1"/>
  <c r="O724" i="1" s="1"/>
  <c r="L724" i="1"/>
  <c r="K724" i="1"/>
  <c r="J724" i="1"/>
  <c r="R724" i="1" s="1"/>
  <c r="H724" i="1"/>
  <c r="G724" i="1"/>
  <c r="F724" i="1"/>
  <c r="E724" i="1"/>
  <c r="D724" i="1"/>
  <c r="I724" i="1" s="1"/>
  <c r="C724" i="1"/>
  <c r="B724" i="1"/>
  <c r="A724" i="1"/>
  <c r="T723" i="1"/>
  <c r="S723" i="1"/>
  <c r="Q723" i="1"/>
  <c r="P723" i="1"/>
  <c r="M723" i="1"/>
  <c r="N723" i="1" s="1"/>
  <c r="O723" i="1" s="1"/>
  <c r="L723" i="1"/>
  <c r="K723" i="1"/>
  <c r="J723" i="1"/>
  <c r="R723" i="1" s="1"/>
  <c r="H723" i="1"/>
  <c r="G723" i="1"/>
  <c r="F723" i="1"/>
  <c r="E723" i="1"/>
  <c r="D723" i="1"/>
  <c r="I723" i="1" s="1"/>
  <c r="C723" i="1"/>
  <c r="B723" i="1"/>
  <c r="A723" i="1"/>
  <c r="T722" i="1"/>
  <c r="S722" i="1"/>
  <c r="Q722" i="1"/>
  <c r="P722" i="1"/>
  <c r="M722" i="1"/>
  <c r="N722" i="1" s="1"/>
  <c r="O722" i="1" s="1"/>
  <c r="L722" i="1"/>
  <c r="K722" i="1"/>
  <c r="J722" i="1"/>
  <c r="R722" i="1" s="1"/>
  <c r="H722" i="1"/>
  <c r="G722" i="1"/>
  <c r="F722" i="1"/>
  <c r="E722" i="1"/>
  <c r="D722" i="1"/>
  <c r="I722" i="1" s="1"/>
  <c r="C722" i="1"/>
  <c r="B722" i="1"/>
  <c r="A722" i="1"/>
  <c r="T721" i="1"/>
  <c r="S721" i="1"/>
  <c r="Q721" i="1"/>
  <c r="P721" i="1"/>
  <c r="M721" i="1"/>
  <c r="N721" i="1" s="1"/>
  <c r="O721" i="1" s="1"/>
  <c r="L721" i="1"/>
  <c r="K721" i="1"/>
  <c r="J721" i="1"/>
  <c r="R721" i="1" s="1"/>
  <c r="H721" i="1"/>
  <c r="G721" i="1"/>
  <c r="F721" i="1"/>
  <c r="E721" i="1"/>
  <c r="D721" i="1"/>
  <c r="I721" i="1" s="1"/>
  <c r="C721" i="1"/>
  <c r="B721" i="1"/>
  <c r="A721" i="1"/>
  <c r="T720" i="1"/>
  <c r="S720" i="1"/>
  <c r="Q720" i="1"/>
  <c r="P720" i="1"/>
  <c r="M720" i="1"/>
  <c r="N720" i="1" s="1"/>
  <c r="O720" i="1" s="1"/>
  <c r="L720" i="1"/>
  <c r="K720" i="1"/>
  <c r="J720" i="1"/>
  <c r="R720" i="1" s="1"/>
  <c r="H720" i="1"/>
  <c r="G720" i="1"/>
  <c r="F720" i="1"/>
  <c r="E720" i="1"/>
  <c r="D720" i="1"/>
  <c r="I720" i="1" s="1"/>
  <c r="C720" i="1"/>
  <c r="B720" i="1"/>
  <c r="A720" i="1"/>
  <c r="T719" i="1"/>
  <c r="S719" i="1"/>
  <c r="Q719" i="1"/>
  <c r="P719" i="1"/>
  <c r="M719" i="1"/>
  <c r="N719" i="1" s="1"/>
  <c r="O719" i="1" s="1"/>
  <c r="L719" i="1"/>
  <c r="K719" i="1"/>
  <c r="J719" i="1"/>
  <c r="R719" i="1" s="1"/>
  <c r="H719" i="1"/>
  <c r="G719" i="1"/>
  <c r="F719" i="1"/>
  <c r="E719" i="1"/>
  <c r="D719" i="1"/>
  <c r="I719" i="1" s="1"/>
  <c r="C719" i="1"/>
  <c r="B719" i="1"/>
  <c r="A719" i="1"/>
  <c r="T718" i="1"/>
  <c r="S718" i="1"/>
  <c r="Q718" i="1"/>
  <c r="P718" i="1"/>
  <c r="M718" i="1"/>
  <c r="N718" i="1" s="1"/>
  <c r="O718" i="1" s="1"/>
  <c r="L718" i="1"/>
  <c r="K718" i="1"/>
  <c r="J718" i="1"/>
  <c r="R718" i="1" s="1"/>
  <c r="H718" i="1"/>
  <c r="G718" i="1"/>
  <c r="F718" i="1"/>
  <c r="E718" i="1"/>
  <c r="D718" i="1"/>
  <c r="I718" i="1" s="1"/>
  <c r="C718" i="1"/>
  <c r="B718" i="1"/>
  <c r="A718" i="1"/>
  <c r="T717" i="1"/>
  <c r="S717" i="1"/>
  <c r="Q717" i="1"/>
  <c r="P717" i="1"/>
  <c r="M717" i="1"/>
  <c r="N717" i="1" s="1"/>
  <c r="O717" i="1" s="1"/>
  <c r="L717" i="1"/>
  <c r="K717" i="1"/>
  <c r="J717" i="1"/>
  <c r="R717" i="1" s="1"/>
  <c r="H717" i="1"/>
  <c r="G717" i="1"/>
  <c r="F717" i="1"/>
  <c r="E717" i="1"/>
  <c r="D717" i="1"/>
  <c r="I717" i="1" s="1"/>
  <c r="C717" i="1"/>
  <c r="B717" i="1"/>
  <c r="A717" i="1"/>
  <c r="T716" i="1"/>
  <c r="S716" i="1"/>
  <c r="Q716" i="1"/>
  <c r="P716" i="1"/>
  <c r="M716" i="1"/>
  <c r="N716" i="1" s="1"/>
  <c r="O716" i="1" s="1"/>
  <c r="L716" i="1"/>
  <c r="K716" i="1"/>
  <c r="J716" i="1"/>
  <c r="R716" i="1" s="1"/>
  <c r="H716" i="1"/>
  <c r="G716" i="1"/>
  <c r="F716" i="1"/>
  <c r="E716" i="1"/>
  <c r="D716" i="1"/>
  <c r="I716" i="1" s="1"/>
  <c r="C716" i="1"/>
  <c r="B716" i="1"/>
  <c r="A716" i="1"/>
  <c r="T715" i="1"/>
  <c r="S715" i="1"/>
  <c r="Q715" i="1"/>
  <c r="P715" i="1"/>
  <c r="M715" i="1"/>
  <c r="N715" i="1" s="1"/>
  <c r="O715" i="1" s="1"/>
  <c r="L715" i="1"/>
  <c r="K715" i="1"/>
  <c r="J715" i="1"/>
  <c r="R715" i="1" s="1"/>
  <c r="H715" i="1"/>
  <c r="G715" i="1"/>
  <c r="F715" i="1"/>
  <c r="E715" i="1"/>
  <c r="D715" i="1"/>
  <c r="I715" i="1" s="1"/>
  <c r="C715" i="1"/>
  <c r="B715" i="1"/>
  <c r="A715" i="1"/>
  <c r="T714" i="1"/>
  <c r="S714" i="1"/>
  <c r="Q714" i="1"/>
  <c r="P714" i="1"/>
  <c r="M714" i="1"/>
  <c r="N714" i="1" s="1"/>
  <c r="O714" i="1" s="1"/>
  <c r="L714" i="1"/>
  <c r="K714" i="1"/>
  <c r="J714" i="1"/>
  <c r="R714" i="1" s="1"/>
  <c r="H714" i="1"/>
  <c r="G714" i="1"/>
  <c r="F714" i="1"/>
  <c r="E714" i="1"/>
  <c r="D714" i="1"/>
  <c r="I714" i="1" s="1"/>
  <c r="C714" i="1"/>
  <c r="B714" i="1"/>
  <c r="A714" i="1"/>
  <c r="T713" i="1"/>
  <c r="S713" i="1"/>
  <c r="Q713" i="1"/>
  <c r="P713" i="1"/>
  <c r="M713" i="1"/>
  <c r="N713" i="1" s="1"/>
  <c r="O713" i="1" s="1"/>
  <c r="L713" i="1"/>
  <c r="K713" i="1"/>
  <c r="J713" i="1"/>
  <c r="R713" i="1" s="1"/>
  <c r="H713" i="1"/>
  <c r="G713" i="1"/>
  <c r="F713" i="1"/>
  <c r="E713" i="1"/>
  <c r="D713" i="1"/>
  <c r="I713" i="1" s="1"/>
  <c r="C713" i="1"/>
  <c r="B713" i="1"/>
  <c r="A713" i="1"/>
  <c r="T712" i="1"/>
  <c r="S712" i="1"/>
  <c r="Q712" i="1"/>
  <c r="P712" i="1"/>
  <c r="M712" i="1"/>
  <c r="N712" i="1" s="1"/>
  <c r="O712" i="1" s="1"/>
  <c r="L712" i="1"/>
  <c r="K712" i="1"/>
  <c r="J712" i="1"/>
  <c r="R712" i="1" s="1"/>
  <c r="H712" i="1"/>
  <c r="G712" i="1"/>
  <c r="F712" i="1"/>
  <c r="E712" i="1"/>
  <c r="D712" i="1"/>
  <c r="I712" i="1" s="1"/>
  <c r="C712" i="1"/>
  <c r="B712" i="1"/>
  <c r="A712" i="1"/>
  <c r="T711" i="1"/>
  <c r="S711" i="1"/>
  <c r="Q711" i="1"/>
  <c r="P711" i="1"/>
  <c r="M711" i="1"/>
  <c r="N711" i="1" s="1"/>
  <c r="O711" i="1" s="1"/>
  <c r="L711" i="1"/>
  <c r="K711" i="1"/>
  <c r="J711" i="1"/>
  <c r="R711" i="1" s="1"/>
  <c r="H711" i="1"/>
  <c r="G711" i="1"/>
  <c r="F711" i="1"/>
  <c r="E711" i="1"/>
  <c r="D711" i="1"/>
  <c r="I711" i="1" s="1"/>
  <c r="C711" i="1"/>
  <c r="B711" i="1"/>
  <c r="A711" i="1"/>
  <c r="T710" i="1"/>
  <c r="S710" i="1"/>
  <c r="Q710" i="1"/>
  <c r="P710" i="1"/>
  <c r="M710" i="1"/>
  <c r="N710" i="1" s="1"/>
  <c r="O710" i="1" s="1"/>
  <c r="L710" i="1"/>
  <c r="K710" i="1"/>
  <c r="J710" i="1"/>
  <c r="R710" i="1" s="1"/>
  <c r="H710" i="1"/>
  <c r="G710" i="1"/>
  <c r="F710" i="1"/>
  <c r="E710" i="1"/>
  <c r="D710" i="1"/>
  <c r="I710" i="1" s="1"/>
  <c r="C710" i="1"/>
  <c r="B710" i="1"/>
  <c r="A710" i="1"/>
  <c r="T709" i="1"/>
  <c r="S709" i="1"/>
  <c r="Q709" i="1"/>
  <c r="P709" i="1"/>
  <c r="M709" i="1"/>
  <c r="N709" i="1" s="1"/>
  <c r="O709" i="1" s="1"/>
  <c r="L709" i="1"/>
  <c r="K709" i="1"/>
  <c r="J709" i="1"/>
  <c r="R709" i="1" s="1"/>
  <c r="H709" i="1"/>
  <c r="G709" i="1"/>
  <c r="F709" i="1"/>
  <c r="E709" i="1"/>
  <c r="D709" i="1"/>
  <c r="I709" i="1" s="1"/>
  <c r="C709" i="1"/>
  <c r="B709" i="1"/>
  <c r="A709" i="1"/>
  <c r="T708" i="1"/>
  <c r="S708" i="1"/>
  <c r="Q708" i="1"/>
  <c r="P708" i="1"/>
  <c r="M708" i="1"/>
  <c r="N708" i="1" s="1"/>
  <c r="O708" i="1" s="1"/>
  <c r="L708" i="1"/>
  <c r="K708" i="1"/>
  <c r="J708" i="1"/>
  <c r="R708" i="1" s="1"/>
  <c r="H708" i="1"/>
  <c r="G708" i="1"/>
  <c r="F708" i="1"/>
  <c r="E708" i="1"/>
  <c r="D708" i="1"/>
  <c r="I708" i="1" s="1"/>
  <c r="C708" i="1"/>
  <c r="B708" i="1"/>
  <c r="A708" i="1"/>
  <c r="T707" i="1"/>
  <c r="S707" i="1"/>
  <c r="Q707" i="1"/>
  <c r="P707" i="1"/>
  <c r="M707" i="1"/>
  <c r="N707" i="1" s="1"/>
  <c r="O707" i="1" s="1"/>
  <c r="L707" i="1"/>
  <c r="K707" i="1"/>
  <c r="J707" i="1"/>
  <c r="R707" i="1" s="1"/>
  <c r="H707" i="1"/>
  <c r="G707" i="1"/>
  <c r="F707" i="1"/>
  <c r="E707" i="1"/>
  <c r="D707" i="1"/>
  <c r="I707" i="1" s="1"/>
  <c r="C707" i="1"/>
  <c r="B707" i="1"/>
  <c r="A707" i="1"/>
  <c r="T706" i="1"/>
  <c r="S706" i="1"/>
  <c r="Q706" i="1"/>
  <c r="P706" i="1"/>
  <c r="M706" i="1"/>
  <c r="N706" i="1" s="1"/>
  <c r="O706" i="1" s="1"/>
  <c r="L706" i="1"/>
  <c r="K706" i="1"/>
  <c r="J706" i="1"/>
  <c r="R706" i="1" s="1"/>
  <c r="H706" i="1"/>
  <c r="G706" i="1"/>
  <c r="F706" i="1"/>
  <c r="E706" i="1"/>
  <c r="D706" i="1"/>
  <c r="I706" i="1" s="1"/>
  <c r="C706" i="1"/>
  <c r="B706" i="1"/>
  <c r="A706" i="1"/>
  <c r="T705" i="1"/>
  <c r="S705" i="1"/>
  <c r="Q705" i="1"/>
  <c r="P705" i="1"/>
  <c r="M705" i="1"/>
  <c r="N705" i="1" s="1"/>
  <c r="O705" i="1" s="1"/>
  <c r="L705" i="1"/>
  <c r="K705" i="1"/>
  <c r="J705" i="1"/>
  <c r="R705" i="1" s="1"/>
  <c r="H705" i="1"/>
  <c r="G705" i="1"/>
  <c r="F705" i="1"/>
  <c r="E705" i="1"/>
  <c r="D705" i="1"/>
  <c r="I705" i="1" s="1"/>
  <c r="C705" i="1"/>
  <c r="B705" i="1"/>
  <c r="A705" i="1"/>
  <c r="T704" i="1"/>
  <c r="S704" i="1"/>
  <c r="Q704" i="1"/>
  <c r="P704" i="1"/>
  <c r="M704" i="1"/>
  <c r="N704" i="1" s="1"/>
  <c r="O704" i="1" s="1"/>
  <c r="L704" i="1"/>
  <c r="K704" i="1"/>
  <c r="J704" i="1"/>
  <c r="R704" i="1" s="1"/>
  <c r="H704" i="1"/>
  <c r="G704" i="1"/>
  <c r="F704" i="1"/>
  <c r="E704" i="1"/>
  <c r="D704" i="1"/>
  <c r="I704" i="1" s="1"/>
  <c r="C704" i="1"/>
  <c r="B704" i="1"/>
  <c r="A704" i="1"/>
  <c r="T703" i="1"/>
  <c r="S703" i="1"/>
  <c r="Q703" i="1"/>
  <c r="P703" i="1"/>
  <c r="M703" i="1"/>
  <c r="N703" i="1" s="1"/>
  <c r="O703" i="1" s="1"/>
  <c r="L703" i="1"/>
  <c r="K703" i="1"/>
  <c r="J703" i="1"/>
  <c r="R703" i="1" s="1"/>
  <c r="H703" i="1"/>
  <c r="G703" i="1"/>
  <c r="F703" i="1"/>
  <c r="E703" i="1"/>
  <c r="D703" i="1"/>
  <c r="I703" i="1" s="1"/>
  <c r="C703" i="1"/>
  <c r="B703" i="1"/>
  <c r="A703" i="1"/>
  <c r="T702" i="1"/>
  <c r="S702" i="1"/>
  <c r="Q702" i="1"/>
  <c r="P702" i="1"/>
  <c r="M702" i="1"/>
  <c r="N702" i="1" s="1"/>
  <c r="O702" i="1" s="1"/>
  <c r="L702" i="1"/>
  <c r="K702" i="1"/>
  <c r="J702" i="1"/>
  <c r="R702" i="1" s="1"/>
  <c r="H702" i="1"/>
  <c r="G702" i="1"/>
  <c r="F702" i="1"/>
  <c r="E702" i="1"/>
  <c r="D702" i="1"/>
  <c r="I702" i="1" s="1"/>
  <c r="C702" i="1"/>
  <c r="B702" i="1"/>
  <c r="A702" i="1"/>
  <c r="T701" i="1"/>
  <c r="S701" i="1"/>
  <c r="Q701" i="1"/>
  <c r="P701" i="1"/>
  <c r="M701" i="1"/>
  <c r="N701" i="1" s="1"/>
  <c r="O701" i="1" s="1"/>
  <c r="L701" i="1"/>
  <c r="K701" i="1"/>
  <c r="J701" i="1"/>
  <c r="R701" i="1" s="1"/>
  <c r="H701" i="1"/>
  <c r="G701" i="1"/>
  <c r="F701" i="1"/>
  <c r="E701" i="1"/>
  <c r="D701" i="1"/>
  <c r="I701" i="1" s="1"/>
  <c r="C701" i="1"/>
  <c r="B701" i="1"/>
  <c r="A701" i="1"/>
  <c r="T700" i="1"/>
  <c r="S700" i="1"/>
  <c r="Q700" i="1"/>
  <c r="P700" i="1"/>
  <c r="M700" i="1"/>
  <c r="N700" i="1" s="1"/>
  <c r="O700" i="1" s="1"/>
  <c r="L700" i="1"/>
  <c r="K700" i="1"/>
  <c r="J700" i="1"/>
  <c r="R700" i="1" s="1"/>
  <c r="H700" i="1"/>
  <c r="G700" i="1"/>
  <c r="F700" i="1"/>
  <c r="E700" i="1"/>
  <c r="D700" i="1"/>
  <c r="I700" i="1" s="1"/>
  <c r="C700" i="1"/>
  <c r="B700" i="1"/>
  <c r="A700" i="1"/>
  <c r="T699" i="1"/>
  <c r="S699" i="1"/>
  <c r="Q699" i="1"/>
  <c r="P699" i="1"/>
  <c r="M699" i="1"/>
  <c r="N699" i="1" s="1"/>
  <c r="O699" i="1" s="1"/>
  <c r="L699" i="1"/>
  <c r="K699" i="1"/>
  <c r="J699" i="1"/>
  <c r="R699" i="1" s="1"/>
  <c r="H699" i="1"/>
  <c r="G699" i="1"/>
  <c r="F699" i="1"/>
  <c r="E699" i="1"/>
  <c r="D699" i="1"/>
  <c r="I699" i="1" s="1"/>
  <c r="C699" i="1"/>
  <c r="B699" i="1"/>
  <c r="A699" i="1"/>
  <c r="T698" i="1"/>
  <c r="S698" i="1"/>
  <c r="Q698" i="1"/>
  <c r="P698" i="1"/>
  <c r="M698" i="1"/>
  <c r="N698" i="1" s="1"/>
  <c r="O698" i="1" s="1"/>
  <c r="L698" i="1"/>
  <c r="K698" i="1"/>
  <c r="J698" i="1"/>
  <c r="R698" i="1" s="1"/>
  <c r="H698" i="1"/>
  <c r="G698" i="1"/>
  <c r="F698" i="1"/>
  <c r="E698" i="1"/>
  <c r="D698" i="1"/>
  <c r="I698" i="1" s="1"/>
  <c r="C698" i="1"/>
  <c r="B698" i="1"/>
  <c r="A698" i="1"/>
  <c r="T697" i="1"/>
  <c r="S697" i="1"/>
  <c r="Q697" i="1"/>
  <c r="P697" i="1"/>
  <c r="M697" i="1"/>
  <c r="N697" i="1" s="1"/>
  <c r="O697" i="1" s="1"/>
  <c r="L697" i="1"/>
  <c r="K697" i="1"/>
  <c r="J697" i="1"/>
  <c r="R697" i="1" s="1"/>
  <c r="H697" i="1"/>
  <c r="G697" i="1"/>
  <c r="F697" i="1"/>
  <c r="E697" i="1"/>
  <c r="D697" i="1"/>
  <c r="I697" i="1" s="1"/>
  <c r="C697" i="1"/>
  <c r="B697" i="1"/>
  <c r="A697" i="1"/>
  <c r="T696" i="1"/>
  <c r="S696" i="1"/>
  <c r="Q696" i="1"/>
  <c r="P696" i="1"/>
  <c r="M696" i="1"/>
  <c r="N696" i="1" s="1"/>
  <c r="O696" i="1" s="1"/>
  <c r="L696" i="1"/>
  <c r="K696" i="1"/>
  <c r="J696" i="1"/>
  <c r="R696" i="1" s="1"/>
  <c r="H696" i="1"/>
  <c r="G696" i="1"/>
  <c r="F696" i="1"/>
  <c r="E696" i="1"/>
  <c r="D696" i="1"/>
  <c r="I696" i="1" s="1"/>
  <c r="C696" i="1"/>
  <c r="B696" i="1"/>
  <c r="A696" i="1"/>
  <c r="T695" i="1"/>
  <c r="S695" i="1"/>
  <c r="Q695" i="1"/>
  <c r="P695" i="1"/>
  <c r="M695" i="1"/>
  <c r="N695" i="1" s="1"/>
  <c r="O695" i="1" s="1"/>
  <c r="L695" i="1"/>
  <c r="K695" i="1"/>
  <c r="J695" i="1"/>
  <c r="R695" i="1" s="1"/>
  <c r="H695" i="1"/>
  <c r="G695" i="1"/>
  <c r="F695" i="1"/>
  <c r="E695" i="1"/>
  <c r="D695" i="1"/>
  <c r="I695" i="1" s="1"/>
  <c r="C695" i="1"/>
  <c r="B695" i="1"/>
  <c r="A695" i="1"/>
  <c r="T694" i="1"/>
  <c r="S694" i="1"/>
  <c r="Q694" i="1"/>
  <c r="P694" i="1"/>
  <c r="M694" i="1"/>
  <c r="N694" i="1" s="1"/>
  <c r="O694" i="1" s="1"/>
  <c r="L694" i="1"/>
  <c r="K694" i="1"/>
  <c r="J694" i="1"/>
  <c r="R694" i="1" s="1"/>
  <c r="H694" i="1"/>
  <c r="G694" i="1"/>
  <c r="F694" i="1"/>
  <c r="E694" i="1"/>
  <c r="D694" i="1"/>
  <c r="I694" i="1" s="1"/>
  <c r="C694" i="1"/>
  <c r="B694" i="1"/>
  <c r="A694" i="1"/>
  <c r="T693" i="1"/>
  <c r="S693" i="1"/>
  <c r="Q693" i="1"/>
  <c r="P693" i="1"/>
  <c r="M693" i="1"/>
  <c r="N693" i="1" s="1"/>
  <c r="O693" i="1" s="1"/>
  <c r="L693" i="1"/>
  <c r="K693" i="1"/>
  <c r="J693" i="1"/>
  <c r="R693" i="1" s="1"/>
  <c r="H693" i="1"/>
  <c r="G693" i="1"/>
  <c r="F693" i="1"/>
  <c r="E693" i="1"/>
  <c r="D693" i="1"/>
  <c r="I693" i="1" s="1"/>
  <c r="C693" i="1"/>
  <c r="B693" i="1"/>
  <c r="A693" i="1"/>
  <c r="T692" i="1"/>
  <c r="S692" i="1"/>
  <c r="Q692" i="1"/>
  <c r="P692" i="1"/>
  <c r="M692" i="1"/>
  <c r="N692" i="1" s="1"/>
  <c r="O692" i="1" s="1"/>
  <c r="L692" i="1"/>
  <c r="K692" i="1"/>
  <c r="J692" i="1"/>
  <c r="R692" i="1" s="1"/>
  <c r="H692" i="1"/>
  <c r="G692" i="1"/>
  <c r="F692" i="1"/>
  <c r="E692" i="1"/>
  <c r="D692" i="1"/>
  <c r="I692" i="1" s="1"/>
  <c r="C692" i="1"/>
  <c r="B692" i="1"/>
  <c r="A692" i="1"/>
  <c r="T691" i="1"/>
  <c r="S691" i="1"/>
  <c r="Q691" i="1"/>
  <c r="P691" i="1"/>
  <c r="M691" i="1"/>
  <c r="N691" i="1" s="1"/>
  <c r="O691" i="1" s="1"/>
  <c r="L691" i="1"/>
  <c r="K691" i="1"/>
  <c r="J691" i="1"/>
  <c r="R691" i="1" s="1"/>
  <c r="H691" i="1"/>
  <c r="G691" i="1"/>
  <c r="F691" i="1"/>
  <c r="E691" i="1"/>
  <c r="D691" i="1"/>
  <c r="I691" i="1" s="1"/>
  <c r="C691" i="1"/>
  <c r="B691" i="1"/>
  <c r="A691" i="1"/>
  <c r="T690" i="1"/>
  <c r="S690" i="1"/>
  <c r="Q690" i="1"/>
  <c r="P690" i="1"/>
  <c r="M690" i="1"/>
  <c r="N690" i="1" s="1"/>
  <c r="O690" i="1" s="1"/>
  <c r="L690" i="1"/>
  <c r="K690" i="1"/>
  <c r="J690" i="1"/>
  <c r="R690" i="1" s="1"/>
  <c r="H690" i="1"/>
  <c r="G690" i="1"/>
  <c r="F690" i="1"/>
  <c r="E690" i="1"/>
  <c r="D690" i="1"/>
  <c r="I690" i="1" s="1"/>
  <c r="C690" i="1"/>
  <c r="B690" i="1"/>
  <c r="A690" i="1"/>
  <c r="T689" i="1"/>
  <c r="S689" i="1"/>
  <c r="Q689" i="1"/>
  <c r="P689" i="1"/>
  <c r="M689" i="1"/>
  <c r="N689" i="1" s="1"/>
  <c r="O689" i="1" s="1"/>
  <c r="L689" i="1"/>
  <c r="K689" i="1"/>
  <c r="J689" i="1"/>
  <c r="R689" i="1" s="1"/>
  <c r="H689" i="1"/>
  <c r="G689" i="1"/>
  <c r="F689" i="1"/>
  <c r="E689" i="1"/>
  <c r="D689" i="1"/>
  <c r="I689" i="1" s="1"/>
  <c r="C689" i="1"/>
  <c r="B689" i="1"/>
  <c r="A689" i="1"/>
  <c r="T688" i="1"/>
  <c r="S688" i="1"/>
  <c r="Q688" i="1"/>
  <c r="P688" i="1"/>
  <c r="M688" i="1"/>
  <c r="N688" i="1" s="1"/>
  <c r="O688" i="1" s="1"/>
  <c r="L688" i="1"/>
  <c r="K688" i="1"/>
  <c r="J688" i="1"/>
  <c r="R688" i="1" s="1"/>
  <c r="H688" i="1"/>
  <c r="G688" i="1"/>
  <c r="F688" i="1"/>
  <c r="E688" i="1"/>
  <c r="D688" i="1"/>
  <c r="I688" i="1" s="1"/>
  <c r="C688" i="1"/>
  <c r="B688" i="1"/>
  <c r="A688" i="1"/>
  <c r="T687" i="1"/>
  <c r="S687" i="1"/>
  <c r="Q687" i="1"/>
  <c r="P687" i="1"/>
  <c r="M687" i="1"/>
  <c r="N687" i="1" s="1"/>
  <c r="O687" i="1" s="1"/>
  <c r="L687" i="1"/>
  <c r="K687" i="1"/>
  <c r="J687" i="1"/>
  <c r="R687" i="1" s="1"/>
  <c r="H687" i="1"/>
  <c r="G687" i="1"/>
  <c r="F687" i="1"/>
  <c r="E687" i="1"/>
  <c r="D687" i="1"/>
  <c r="I687" i="1" s="1"/>
  <c r="C687" i="1"/>
  <c r="B687" i="1"/>
  <c r="A687" i="1"/>
  <c r="T686" i="1"/>
  <c r="S686" i="1"/>
  <c r="Q686" i="1"/>
  <c r="P686" i="1"/>
  <c r="M686" i="1"/>
  <c r="N686" i="1" s="1"/>
  <c r="O686" i="1" s="1"/>
  <c r="L686" i="1"/>
  <c r="K686" i="1"/>
  <c r="J686" i="1"/>
  <c r="R686" i="1" s="1"/>
  <c r="H686" i="1"/>
  <c r="G686" i="1"/>
  <c r="F686" i="1"/>
  <c r="E686" i="1"/>
  <c r="D686" i="1"/>
  <c r="I686" i="1" s="1"/>
  <c r="C686" i="1"/>
  <c r="B686" i="1"/>
  <c r="A686" i="1"/>
  <c r="T685" i="1"/>
  <c r="S685" i="1"/>
  <c r="Q685" i="1"/>
  <c r="P685" i="1"/>
  <c r="M685" i="1"/>
  <c r="N685" i="1" s="1"/>
  <c r="O685" i="1" s="1"/>
  <c r="L685" i="1"/>
  <c r="K685" i="1"/>
  <c r="J685" i="1"/>
  <c r="R685" i="1" s="1"/>
  <c r="H685" i="1"/>
  <c r="G685" i="1"/>
  <c r="F685" i="1"/>
  <c r="E685" i="1"/>
  <c r="D685" i="1"/>
  <c r="I685" i="1" s="1"/>
  <c r="C685" i="1"/>
  <c r="B685" i="1"/>
  <c r="A685" i="1"/>
  <c r="T684" i="1"/>
  <c r="S684" i="1"/>
  <c r="Q684" i="1"/>
  <c r="P684" i="1"/>
  <c r="M684" i="1"/>
  <c r="N684" i="1" s="1"/>
  <c r="O684" i="1" s="1"/>
  <c r="L684" i="1"/>
  <c r="K684" i="1"/>
  <c r="J684" i="1"/>
  <c r="R684" i="1" s="1"/>
  <c r="H684" i="1"/>
  <c r="G684" i="1"/>
  <c r="F684" i="1"/>
  <c r="E684" i="1"/>
  <c r="D684" i="1"/>
  <c r="I684" i="1" s="1"/>
  <c r="C684" i="1"/>
  <c r="B684" i="1"/>
  <c r="A684" i="1"/>
  <c r="T683" i="1"/>
  <c r="S683" i="1"/>
  <c r="Q683" i="1"/>
  <c r="P683" i="1"/>
  <c r="M683" i="1"/>
  <c r="N683" i="1" s="1"/>
  <c r="O683" i="1" s="1"/>
  <c r="L683" i="1"/>
  <c r="K683" i="1"/>
  <c r="J683" i="1"/>
  <c r="R683" i="1" s="1"/>
  <c r="H683" i="1"/>
  <c r="G683" i="1"/>
  <c r="F683" i="1"/>
  <c r="E683" i="1"/>
  <c r="D683" i="1"/>
  <c r="I683" i="1" s="1"/>
  <c r="C683" i="1"/>
  <c r="B683" i="1"/>
  <c r="A683" i="1"/>
  <c r="T682" i="1"/>
  <c r="S682" i="1"/>
  <c r="Q682" i="1"/>
  <c r="P682" i="1"/>
  <c r="M682" i="1"/>
  <c r="N682" i="1" s="1"/>
  <c r="O682" i="1" s="1"/>
  <c r="L682" i="1"/>
  <c r="K682" i="1"/>
  <c r="J682" i="1"/>
  <c r="R682" i="1" s="1"/>
  <c r="H682" i="1"/>
  <c r="G682" i="1"/>
  <c r="F682" i="1"/>
  <c r="E682" i="1"/>
  <c r="D682" i="1"/>
  <c r="I682" i="1" s="1"/>
  <c r="C682" i="1"/>
  <c r="B682" i="1"/>
  <c r="A682" i="1"/>
  <c r="T681" i="1"/>
  <c r="S681" i="1"/>
  <c r="Q681" i="1"/>
  <c r="P681" i="1"/>
  <c r="M681" i="1"/>
  <c r="N681" i="1" s="1"/>
  <c r="O681" i="1" s="1"/>
  <c r="L681" i="1"/>
  <c r="K681" i="1"/>
  <c r="J681" i="1"/>
  <c r="R681" i="1" s="1"/>
  <c r="H681" i="1"/>
  <c r="G681" i="1"/>
  <c r="F681" i="1"/>
  <c r="E681" i="1"/>
  <c r="D681" i="1"/>
  <c r="I681" i="1" s="1"/>
  <c r="C681" i="1"/>
  <c r="B681" i="1"/>
  <c r="A681" i="1"/>
  <c r="T680" i="1"/>
  <c r="S680" i="1"/>
  <c r="Q680" i="1"/>
  <c r="P680" i="1"/>
  <c r="M680" i="1"/>
  <c r="N680" i="1" s="1"/>
  <c r="O680" i="1" s="1"/>
  <c r="L680" i="1"/>
  <c r="K680" i="1"/>
  <c r="J680" i="1"/>
  <c r="R680" i="1" s="1"/>
  <c r="H680" i="1"/>
  <c r="G680" i="1"/>
  <c r="F680" i="1"/>
  <c r="E680" i="1"/>
  <c r="D680" i="1"/>
  <c r="I680" i="1" s="1"/>
  <c r="C680" i="1"/>
  <c r="B680" i="1"/>
  <c r="A680" i="1"/>
  <c r="T679" i="1"/>
  <c r="S679" i="1"/>
  <c r="Q679" i="1"/>
  <c r="P679" i="1"/>
  <c r="M679" i="1"/>
  <c r="N679" i="1" s="1"/>
  <c r="O679" i="1" s="1"/>
  <c r="L679" i="1"/>
  <c r="K679" i="1"/>
  <c r="J679" i="1"/>
  <c r="R679" i="1" s="1"/>
  <c r="H679" i="1"/>
  <c r="G679" i="1"/>
  <c r="F679" i="1"/>
  <c r="E679" i="1"/>
  <c r="D679" i="1"/>
  <c r="I679" i="1" s="1"/>
  <c r="C679" i="1"/>
  <c r="B679" i="1"/>
  <c r="A679" i="1"/>
  <c r="T678" i="1"/>
  <c r="S678" i="1"/>
  <c r="Q678" i="1"/>
  <c r="P678" i="1"/>
  <c r="M678" i="1"/>
  <c r="N678" i="1" s="1"/>
  <c r="O678" i="1" s="1"/>
  <c r="L678" i="1"/>
  <c r="K678" i="1"/>
  <c r="J678" i="1"/>
  <c r="R678" i="1" s="1"/>
  <c r="H678" i="1"/>
  <c r="G678" i="1"/>
  <c r="F678" i="1"/>
  <c r="E678" i="1"/>
  <c r="D678" i="1"/>
  <c r="I678" i="1" s="1"/>
  <c r="C678" i="1"/>
  <c r="B678" i="1"/>
  <c r="A678" i="1"/>
  <c r="T677" i="1"/>
  <c r="S677" i="1"/>
  <c r="Q677" i="1"/>
  <c r="P677" i="1"/>
  <c r="M677" i="1"/>
  <c r="N677" i="1" s="1"/>
  <c r="O677" i="1" s="1"/>
  <c r="L677" i="1"/>
  <c r="K677" i="1"/>
  <c r="J677" i="1"/>
  <c r="R677" i="1" s="1"/>
  <c r="H677" i="1"/>
  <c r="G677" i="1"/>
  <c r="F677" i="1"/>
  <c r="E677" i="1"/>
  <c r="D677" i="1"/>
  <c r="I677" i="1" s="1"/>
  <c r="C677" i="1"/>
  <c r="B677" i="1"/>
  <c r="A677" i="1"/>
  <c r="T676" i="1"/>
  <c r="S676" i="1"/>
  <c r="Q676" i="1"/>
  <c r="P676" i="1"/>
  <c r="M676" i="1"/>
  <c r="N676" i="1" s="1"/>
  <c r="O676" i="1" s="1"/>
  <c r="L676" i="1"/>
  <c r="K676" i="1"/>
  <c r="J676" i="1"/>
  <c r="R676" i="1" s="1"/>
  <c r="H676" i="1"/>
  <c r="G676" i="1"/>
  <c r="F676" i="1"/>
  <c r="E676" i="1"/>
  <c r="D676" i="1"/>
  <c r="I676" i="1" s="1"/>
  <c r="C676" i="1"/>
  <c r="B676" i="1"/>
  <c r="A676" i="1"/>
  <c r="T675" i="1"/>
  <c r="S675" i="1"/>
  <c r="Q675" i="1"/>
  <c r="P675" i="1"/>
  <c r="M675" i="1"/>
  <c r="N675" i="1" s="1"/>
  <c r="O675" i="1" s="1"/>
  <c r="L675" i="1"/>
  <c r="K675" i="1"/>
  <c r="J675" i="1"/>
  <c r="R675" i="1" s="1"/>
  <c r="H675" i="1"/>
  <c r="G675" i="1"/>
  <c r="F675" i="1"/>
  <c r="E675" i="1"/>
  <c r="D675" i="1"/>
  <c r="I675" i="1" s="1"/>
  <c r="C675" i="1"/>
  <c r="B675" i="1"/>
  <c r="A675" i="1"/>
  <c r="T674" i="1"/>
  <c r="S674" i="1"/>
  <c r="Q674" i="1"/>
  <c r="P674" i="1"/>
  <c r="M674" i="1"/>
  <c r="N674" i="1" s="1"/>
  <c r="O674" i="1" s="1"/>
  <c r="L674" i="1"/>
  <c r="K674" i="1"/>
  <c r="J674" i="1"/>
  <c r="R674" i="1" s="1"/>
  <c r="H674" i="1"/>
  <c r="G674" i="1"/>
  <c r="F674" i="1"/>
  <c r="E674" i="1"/>
  <c r="D674" i="1"/>
  <c r="I674" i="1" s="1"/>
  <c r="C674" i="1"/>
  <c r="B674" i="1"/>
  <c r="A674" i="1"/>
  <c r="T673" i="1"/>
  <c r="S673" i="1"/>
  <c r="Q673" i="1"/>
  <c r="P673" i="1"/>
  <c r="M673" i="1"/>
  <c r="N673" i="1" s="1"/>
  <c r="O673" i="1" s="1"/>
  <c r="L673" i="1"/>
  <c r="K673" i="1"/>
  <c r="J673" i="1"/>
  <c r="R673" i="1" s="1"/>
  <c r="H673" i="1"/>
  <c r="G673" i="1"/>
  <c r="F673" i="1"/>
  <c r="E673" i="1"/>
  <c r="D673" i="1"/>
  <c r="I673" i="1" s="1"/>
  <c r="C673" i="1"/>
  <c r="B673" i="1"/>
  <c r="A673" i="1"/>
  <c r="T672" i="1"/>
  <c r="S672" i="1"/>
  <c r="Q672" i="1"/>
  <c r="P672" i="1"/>
  <c r="M672" i="1"/>
  <c r="N672" i="1" s="1"/>
  <c r="O672" i="1" s="1"/>
  <c r="L672" i="1"/>
  <c r="K672" i="1"/>
  <c r="J672" i="1"/>
  <c r="R672" i="1" s="1"/>
  <c r="H672" i="1"/>
  <c r="G672" i="1"/>
  <c r="F672" i="1"/>
  <c r="E672" i="1"/>
  <c r="D672" i="1"/>
  <c r="I672" i="1" s="1"/>
  <c r="C672" i="1"/>
  <c r="B672" i="1"/>
  <c r="A672" i="1"/>
  <c r="T671" i="1"/>
  <c r="S671" i="1"/>
  <c r="Q671" i="1"/>
  <c r="P671" i="1"/>
  <c r="M671" i="1"/>
  <c r="N671" i="1" s="1"/>
  <c r="O671" i="1" s="1"/>
  <c r="L671" i="1"/>
  <c r="K671" i="1"/>
  <c r="J671" i="1"/>
  <c r="R671" i="1" s="1"/>
  <c r="H671" i="1"/>
  <c r="G671" i="1"/>
  <c r="F671" i="1"/>
  <c r="E671" i="1"/>
  <c r="D671" i="1"/>
  <c r="I671" i="1" s="1"/>
  <c r="C671" i="1"/>
  <c r="B671" i="1"/>
  <c r="A671" i="1"/>
  <c r="T670" i="1"/>
  <c r="S670" i="1"/>
  <c r="Q670" i="1"/>
  <c r="P670" i="1"/>
  <c r="M670" i="1"/>
  <c r="N670" i="1" s="1"/>
  <c r="O670" i="1" s="1"/>
  <c r="L670" i="1"/>
  <c r="K670" i="1"/>
  <c r="J670" i="1"/>
  <c r="R670" i="1" s="1"/>
  <c r="H670" i="1"/>
  <c r="G670" i="1"/>
  <c r="F670" i="1"/>
  <c r="E670" i="1"/>
  <c r="D670" i="1"/>
  <c r="I670" i="1" s="1"/>
  <c r="C670" i="1"/>
  <c r="B670" i="1"/>
  <c r="A670" i="1"/>
  <c r="T669" i="1"/>
  <c r="S669" i="1"/>
  <c r="Q669" i="1"/>
  <c r="P669" i="1"/>
  <c r="M669" i="1"/>
  <c r="N669" i="1" s="1"/>
  <c r="O669" i="1" s="1"/>
  <c r="L669" i="1"/>
  <c r="K669" i="1"/>
  <c r="J669" i="1"/>
  <c r="R669" i="1" s="1"/>
  <c r="H669" i="1"/>
  <c r="G669" i="1"/>
  <c r="F669" i="1"/>
  <c r="E669" i="1"/>
  <c r="D669" i="1"/>
  <c r="I669" i="1" s="1"/>
  <c r="C669" i="1"/>
  <c r="B669" i="1"/>
  <c r="A669" i="1"/>
  <c r="T668" i="1"/>
  <c r="S668" i="1"/>
  <c r="Q668" i="1"/>
  <c r="P668" i="1"/>
  <c r="M668" i="1"/>
  <c r="N668" i="1" s="1"/>
  <c r="O668" i="1" s="1"/>
  <c r="L668" i="1"/>
  <c r="K668" i="1"/>
  <c r="J668" i="1"/>
  <c r="R668" i="1" s="1"/>
  <c r="H668" i="1"/>
  <c r="G668" i="1"/>
  <c r="F668" i="1"/>
  <c r="E668" i="1"/>
  <c r="D668" i="1"/>
  <c r="I668" i="1" s="1"/>
  <c r="C668" i="1"/>
  <c r="B668" i="1"/>
  <c r="A668" i="1"/>
  <c r="T667" i="1"/>
  <c r="S667" i="1"/>
  <c r="Q667" i="1"/>
  <c r="P667" i="1"/>
  <c r="M667" i="1"/>
  <c r="N667" i="1" s="1"/>
  <c r="O667" i="1" s="1"/>
  <c r="L667" i="1"/>
  <c r="K667" i="1"/>
  <c r="J667" i="1"/>
  <c r="R667" i="1" s="1"/>
  <c r="H667" i="1"/>
  <c r="G667" i="1"/>
  <c r="F667" i="1"/>
  <c r="E667" i="1"/>
  <c r="D667" i="1"/>
  <c r="I667" i="1" s="1"/>
  <c r="C667" i="1"/>
  <c r="B667" i="1"/>
  <c r="A667" i="1"/>
  <c r="T666" i="1"/>
  <c r="S666" i="1"/>
  <c r="Q666" i="1"/>
  <c r="P666" i="1"/>
  <c r="M666" i="1"/>
  <c r="N666" i="1" s="1"/>
  <c r="O666" i="1" s="1"/>
  <c r="L666" i="1"/>
  <c r="K666" i="1"/>
  <c r="J666" i="1"/>
  <c r="R666" i="1" s="1"/>
  <c r="H666" i="1"/>
  <c r="G666" i="1"/>
  <c r="F666" i="1"/>
  <c r="E666" i="1"/>
  <c r="D666" i="1"/>
  <c r="I666" i="1" s="1"/>
  <c r="C666" i="1"/>
  <c r="B666" i="1"/>
  <c r="A666" i="1"/>
  <c r="T665" i="1"/>
  <c r="S665" i="1"/>
  <c r="Q665" i="1"/>
  <c r="P665" i="1"/>
  <c r="M665" i="1"/>
  <c r="N665" i="1" s="1"/>
  <c r="O665" i="1" s="1"/>
  <c r="L665" i="1"/>
  <c r="K665" i="1"/>
  <c r="J665" i="1"/>
  <c r="R665" i="1" s="1"/>
  <c r="H665" i="1"/>
  <c r="G665" i="1"/>
  <c r="F665" i="1"/>
  <c r="E665" i="1"/>
  <c r="D665" i="1"/>
  <c r="I665" i="1" s="1"/>
  <c r="C665" i="1"/>
  <c r="B665" i="1"/>
  <c r="A665" i="1"/>
  <c r="T664" i="1"/>
  <c r="S664" i="1"/>
  <c r="Q664" i="1"/>
  <c r="P664" i="1"/>
  <c r="M664" i="1"/>
  <c r="N664" i="1" s="1"/>
  <c r="O664" i="1" s="1"/>
  <c r="L664" i="1"/>
  <c r="K664" i="1"/>
  <c r="J664" i="1"/>
  <c r="R664" i="1" s="1"/>
  <c r="H664" i="1"/>
  <c r="G664" i="1"/>
  <c r="F664" i="1"/>
  <c r="E664" i="1"/>
  <c r="D664" i="1"/>
  <c r="I664" i="1" s="1"/>
  <c r="C664" i="1"/>
  <c r="B664" i="1"/>
  <c r="A664" i="1"/>
  <c r="T663" i="1"/>
  <c r="S663" i="1"/>
  <c r="Q663" i="1"/>
  <c r="P663" i="1"/>
  <c r="M663" i="1"/>
  <c r="N663" i="1" s="1"/>
  <c r="O663" i="1" s="1"/>
  <c r="L663" i="1"/>
  <c r="K663" i="1"/>
  <c r="J663" i="1"/>
  <c r="R663" i="1" s="1"/>
  <c r="H663" i="1"/>
  <c r="G663" i="1"/>
  <c r="F663" i="1"/>
  <c r="E663" i="1"/>
  <c r="D663" i="1"/>
  <c r="I663" i="1" s="1"/>
  <c r="C663" i="1"/>
  <c r="B663" i="1"/>
  <c r="A663" i="1"/>
  <c r="T662" i="1"/>
  <c r="S662" i="1"/>
  <c r="Q662" i="1"/>
  <c r="P662" i="1"/>
  <c r="M662" i="1"/>
  <c r="N662" i="1" s="1"/>
  <c r="O662" i="1" s="1"/>
  <c r="L662" i="1"/>
  <c r="K662" i="1"/>
  <c r="J662" i="1"/>
  <c r="R662" i="1" s="1"/>
  <c r="H662" i="1"/>
  <c r="G662" i="1"/>
  <c r="F662" i="1"/>
  <c r="E662" i="1"/>
  <c r="D662" i="1"/>
  <c r="I662" i="1" s="1"/>
  <c r="C662" i="1"/>
  <c r="B662" i="1"/>
  <c r="A662" i="1"/>
  <c r="T661" i="1"/>
  <c r="S661" i="1"/>
  <c r="Q661" i="1"/>
  <c r="P661" i="1"/>
  <c r="M661" i="1"/>
  <c r="N661" i="1" s="1"/>
  <c r="O661" i="1" s="1"/>
  <c r="L661" i="1"/>
  <c r="K661" i="1"/>
  <c r="J661" i="1"/>
  <c r="R661" i="1" s="1"/>
  <c r="H661" i="1"/>
  <c r="G661" i="1"/>
  <c r="F661" i="1"/>
  <c r="E661" i="1"/>
  <c r="D661" i="1"/>
  <c r="I661" i="1" s="1"/>
  <c r="C661" i="1"/>
  <c r="B661" i="1"/>
  <c r="A661" i="1"/>
  <c r="T660" i="1"/>
  <c r="S660" i="1"/>
  <c r="Q660" i="1"/>
  <c r="P660" i="1"/>
  <c r="M660" i="1"/>
  <c r="N660" i="1" s="1"/>
  <c r="O660" i="1" s="1"/>
  <c r="L660" i="1"/>
  <c r="K660" i="1"/>
  <c r="J660" i="1"/>
  <c r="R660" i="1" s="1"/>
  <c r="H660" i="1"/>
  <c r="G660" i="1"/>
  <c r="F660" i="1"/>
  <c r="E660" i="1"/>
  <c r="D660" i="1"/>
  <c r="I660" i="1" s="1"/>
  <c r="C660" i="1"/>
  <c r="B660" i="1"/>
  <c r="A660" i="1"/>
  <c r="T659" i="1"/>
  <c r="S659" i="1"/>
  <c r="Q659" i="1"/>
  <c r="P659" i="1"/>
  <c r="M659" i="1"/>
  <c r="N659" i="1" s="1"/>
  <c r="O659" i="1" s="1"/>
  <c r="L659" i="1"/>
  <c r="K659" i="1"/>
  <c r="J659" i="1"/>
  <c r="R659" i="1" s="1"/>
  <c r="H659" i="1"/>
  <c r="G659" i="1"/>
  <c r="F659" i="1"/>
  <c r="E659" i="1"/>
  <c r="D659" i="1"/>
  <c r="I659" i="1" s="1"/>
  <c r="C659" i="1"/>
  <c r="B659" i="1"/>
  <c r="A659" i="1"/>
  <c r="T658" i="1"/>
  <c r="S658" i="1"/>
  <c r="Q658" i="1"/>
  <c r="P658" i="1"/>
  <c r="M658" i="1"/>
  <c r="N658" i="1" s="1"/>
  <c r="O658" i="1" s="1"/>
  <c r="L658" i="1"/>
  <c r="K658" i="1"/>
  <c r="J658" i="1"/>
  <c r="R658" i="1" s="1"/>
  <c r="H658" i="1"/>
  <c r="G658" i="1"/>
  <c r="F658" i="1"/>
  <c r="E658" i="1"/>
  <c r="D658" i="1"/>
  <c r="I658" i="1" s="1"/>
  <c r="C658" i="1"/>
  <c r="B658" i="1"/>
  <c r="A658" i="1"/>
  <c r="T657" i="1"/>
  <c r="S657" i="1"/>
  <c r="Q657" i="1"/>
  <c r="P657" i="1"/>
  <c r="M657" i="1"/>
  <c r="N657" i="1" s="1"/>
  <c r="O657" i="1" s="1"/>
  <c r="L657" i="1"/>
  <c r="K657" i="1"/>
  <c r="J657" i="1"/>
  <c r="R657" i="1" s="1"/>
  <c r="H657" i="1"/>
  <c r="G657" i="1"/>
  <c r="F657" i="1"/>
  <c r="E657" i="1"/>
  <c r="D657" i="1"/>
  <c r="I657" i="1" s="1"/>
  <c r="C657" i="1"/>
  <c r="B657" i="1"/>
  <c r="A657" i="1"/>
  <c r="T656" i="1"/>
  <c r="S656" i="1"/>
  <c r="Q656" i="1"/>
  <c r="P656" i="1"/>
  <c r="M656" i="1"/>
  <c r="N656" i="1" s="1"/>
  <c r="O656" i="1" s="1"/>
  <c r="L656" i="1"/>
  <c r="K656" i="1"/>
  <c r="J656" i="1"/>
  <c r="R656" i="1" s="1"/>
  <c r="H656" i="1"/>
  <c r="G656" i="1"/>
  <c r="F656" i="1"/>
  <c r="E656" i="1"/>
  <c r="D656" i="1"/>
  <c r="I656" i="1" s="1"/>
  <c r="C656" i="1"/>
  <c r="B656" i="1"/>
  <c r="A656" i="1"/>
  <c r="T655" i="1"/>
  <c r="S655" i="1"/>
  <c r="Q655" i="1"/>
  <c r="P655" i="1"/>
  <c r="M655" i="1"/>
  <c r="N655" i="1" s="1"/>
  <c r="O655" i="1" s="1"/>
  <c r="L655" i="1"/>
  <c r="K655" i="1"/>
  <c r="J655" i="1"/>
  <c r="R655" i="1" s="1"/>
  <c r="H655" i="1"/>
  <c r="G655" i="1"/>
  <c r="F655" i="1"/>
  <c r="E655" i="1"/>
  <c r="D655" i="1"/>
  <c r="I655" i="1" s="1"/>
  <c r="C655" i="1"/>
  <c r="B655" i="1"/>
  <c r="A655" i="1"/>
  <c r="T654" i="1"/>
  <c r="S654" i="1"/>
  <c r="Q654" i="1"/>
  <c r="P654" i="1"/>
  <c r="M654" i="1"/>
  <c r="N654" i="1" s="1"/>
  <c r="O654" i="1" s="1"/>
  <c r="L654" i="1"/>
  <c r="K654" i="1"/>
  <c r="J654" i="1"/>
  <c r="R654" i="1" s="1"/>
  <c r="H654" i="1"/>
  <c r="G654" i="1"/>
  <c r="F654" i="1"/>
  <c r="E654" i="1"/>
  <c r="D654" i="1"/>
  <c r="I654" i="1" s="1"/>
  <c r="C654" i="1"/>
  <c r="B654" i="1"/>
  <c r="A654" i="1"/>
  <c r="T653" i="1"/>
  <c r="S653" i="1"/>
  <c r="Q653" i="1"/>
  <c r="P653" i="1"/>
  <c r="M653" i="1"/>
  <c r="N653" i="1" s="1"/>
  <c r="O653" i="1" s="1"/>
  <c r="L653" i="1"/>
  <c r="K653" i="1"/>
  <c r="J653" i="1"/>
  <c r="R653" i="1" s="1"/>
  <c r="H653" i="1"/>
  <c r="G653" i="1"/>
  <c r="F653" i="1"/>
  <c r="E653" i="1"/>
  <c r="D653" i="1"/>
  <c r="I653" i="1" s="1"/>
  <c r="C653" i="1"/>
  <c r="B653" i="1"/>
  <c r="A653" i="1"/>
  <c r="T652" i="1"/>
  <c r="S652" i="1"/>
  <c r="Q652" i="1"/>
  <c r="P652" i="1"/>
  <c r="M652" i="1"/>
  <c r="N652" i="1" s="1"/>
  <c r="O652" i="1" s="1"/>
  <c r="L652" i="1"/>
  <c r="K652" i="1"/>
  <c r="J652" i="1"/>
  <c r="R652" i="1" s="1"/>
  <c r="H652" i="1"/>
  <c r="G652" i="1"/>
  <c r="F652" i="1"/>
  <c r="E652" i="1"/>
  <c r="D652" i="1"/>
  <c r="I652" i="1" s="1"/>
  <c r="C652" i="1"/>
  <c r="B652" i="1"/>
  <c r="A652" i="1"/>
  <c r="T651" i="1"/>
  <c r="S651" i="1"/>
  <c r="Q651" i="1"/>
  <c r="P651" i="1"/>
  <c r="M651" i="1"/>
  <c r="N651" i="1" s="1"/>
  <c r="O651" i="1" s="1"/>
  <c r="L651" i="1"/>
  <c r="K651" i="1"/>
  <c r="J651" i="1"/>
  <c r="R651" i="1" s="1"/>
  <c r="H651" i="1"/>
  <c r="G651" i="1"/>
  <c r="F651" i="1"/>
  <c r="E651" i="1"/>
  <c r="D651" i="1"/>
  <c r="I651" i="1" s="1"/>
  <c r="C651" i="1"/>
  <c r="B651" i="1"/>
  <c r="A651" i="1"/>
  <c r="T650" i="1"/>
  <c r="S650" i="1"/>
  <c r="Q650" i="1"/>
  <c r="P650" i="1"/>
  <c r="M650" i="1"/>
  <c r="N650" i="1" s="1"/>
  <c r="O650" i="1" s="1"/>
  <c r="L650" i="1"/>
  <c r="K650" i="1"/>
  <c r="J650" i="1"/>
  <c r="R650" i="1" s="1"/>
  <c r="H650" i="1"/>
  <c r="G650" i="1"/>
  <c r="F650" i="1"/>
  <c r="E650" i="1"/>
  <c r="D650" i="1"/>
  <c r="I650" i="1" s="1"/>
  <c r="C650" i="1"/>
  <c r="B650" i="1"/>
  <c r="A650" i="1"/>
  <c r="T649" i="1"/>
  <c r="S649" i="1"/>
  <c r="Q649" i="1"/>
  <c r="P649" i="1"/>
  <c r="M649" i="1"/>
  <c r="N649" i="1" s="1"/>
  <c r="O649" i="1" s="1"/>
  <c r="L649" i="1"/>
  <c r="K649" i="1"/>
  <c r="J649" i="1"/>
  <c r="R649" i="1" s="1"/>
  <c r="H649" i="1"/>
  <c r="G649" i="1"/>
  <c r="F649" i="1"/>
  <c r="E649" i="1"/>
  <c r="D649" i="1"/>
  <c r="I649" i="1" s="1"/>
  <c r="C649" i="1"/>
  <c r="B649" i="1"/>
  <c r="A649" i="1"/>
  <c r="T648" i="1"/>
  <c r="S648" i="1"/>
  <c r="Q648" i="1"/>
  <c r="P648" i="1"/>
  <c r="M648" i="1"/>
  <c r="N648" i="1" s="1"/>
  <c r="O648" i="1" s="1"/>
  <c r="L648" i="1"/>
  <c r="K648" i="1"/>
  <c r="J648" i="1"/>
  <c r="R648" i="1" s="1"/>
  <c r="H648" i="1"/>
  <c r="G648" i="1"/>
  <c r="F648" i="1"/>
  <c r="E648" i="1"/>
  <c r="D648" i="1"/>
  <c r="I648" i="1" s="1"/>
  <c r="C648" i="1"/>
  <c r="B648" i="1"/>
  <c r="A648" i="1"/>
  <c r="T647" i="1"/>
  <c r="S647" i="1"/>
  <c r="Q647" i="1"/>
  <c r="P647" i="1"/>
  <c r="M647" i="1"/>
  <c r="N647" i="1" s="1"/>
  <c r="O647" i="1" s="1"/>
  <c r="L647" i="1"/>
  <c r="K647" i="1"/>
  <c r="J647" i="1"/>
  <c r="R647" i="1" s="1"/>
  <c r="H647" i="1"/>
  <c r="G647" i="1"/>
  <c r="F647" i="1"/>
  <c r="E647" i="1"/>
  <c r="D647" i="1"/>
  <c r="I647" i="1" s="1"/>
  <c r="C647" i="1"/>
  <c r="B647" i="1"/>
  <c r="A647" i="1"/>
  <c r="T646" i="1"/>
  <c r="S646" i="1"/>
  <c r="Q646" i="1"/>
  <c r="P646" i="1"/>
  <c r="M646" i="1"/>
  <c r="N646" i="1" s="1"/>
  <c r="O646" i="1" s="1"/>
  <c r="L646" i="1"/>
  <c r="K646" i="1"/>
  <c r="J646" i="1"/>
  <c r="R646" i="1" s="1"/>
  <c r="H646" i="1"/>
  <c r="G646" i="1"/>
  <c r="F646" i="1"/>
  <c r="E646" i="1"/>
  <c r="D646" i="1"/>
  <c r="I646" i="1" s="1"/>
  <c r="C646" i="1"/>
  <c r="B646" i="1"/>
  <c r="A646" i="1"/>
  <c r="T645" i="1"/>
  <c r="S645" i="1"/>
  <c r="Q645" i="1"/>
  <c r="P645" i="1"/>
  <c r="M645" i="1"/>
  <c r="N645" i="1" s="1"/>
  <c r="O645" i="1" s="1"/>
  <c r="L645" i="1"/>
  <c r="K645" i="1"/>
  <c r="J645" i="1"/>
  <c r="R645" i="1" s="1"/>
  <c r="H645" i="1"/>
  <c r="G645" i="1"/>
  <c r="F645" i="1"/>
  <c r="E645" i="1"/>
  <c r="D645" i="1"/>
  <c r="I645" i="1" s="1"/>
  <c r="C645" i="1"/>
  <c r="B645" i="1"/>
  <c r="A645" i="1"/>
  <c r="T644" i="1"/>
  <c r="S644" i="1"/>
  <c r="Q644" i="1"/>
  <c r="P644" i="1"/>
  <c r="M644" i="1"/>
  <c r="N644" i="1" s="1"/>
  <c r="O644" i="1" s="1"/>
  <c r="L644" i="1"/>
  <c r="K644" i="1"/>
  <c r="J644" i="1"/>
  <c r="R644" i="1" s="1"/>
  <c r="H644" i="1"/>
  <c r="G644" i="1"/>
  <c r="F644" i="1"/>
  <c r="E644" i="1"/>
  <c r="D644" i="1"/>
  <c r="I644" i="1" s="1"/>
  <c r="C644" i="1"/>
  <c r="B644" i="1"/>
  <c r="A644" i="1"/>
  <c r="T643" i="1"/>
  <c r="S643" i="1"/>
  <c r="Q643" i="1"/>
  <c r="P643" i="1"/>
  <c r="M643" i="1"/>
  <c r="N643" i="1" s="1"/>
  <c r="O643" i="1" s="1"/>
  <c r="L643" i="1"/>
  <c r="K643" i="1"/>
  <c r="J643" i="1"/>
  <c r="R643" i="1" s="1"/>
  <c r="H643" i="1"/>
  <c r="G643" i="1"/>
  <c r="F643" i="1"/>
  <c r="E643" i="1"/>
  <c r="D643" i="1"/>
  <c r="I643" i="1" s="1"/>
  <c r="C643" i="1"/>
  <c r="B643" i="1"/>
  <c r="A643" i="1"/>
  <c r="T642" i="1"/>
  <c r="S642" i="1"/>
  <c r="Q642" i="1"/>
  <c r="P642" i="1"/>
  <c r="M642" i="1"/>
  <c r="N642" i="1" s="1"/>
  <c r="O642" i="1" s="1"/>
  <c r="L642" i="1"/>
  <c r="K642" i="1"/>
  <c r="J642" i="1"/>
  <c r="R642" i="1" s="1"/>
  <c r="H642" i="1"/>
  <c r="G642" i="1"/>
  <c r="F642" i="1"/>
  <c r="E642" i="1"/>
  <c r="D642" i="1"/>
  <c r="I642" i="1" s="1"/>
  <c r="C642" i="1"/>
  <c r="B642" i="1"/>
  <c r="A642" i="1"/>
  <c r="T641" i="1"/>
  <c r="S641" i="1"/>
  <c r="Q641" i="1"/>
  <c r="P641" i="1"/>
  <c r="M641" i="1"/>
  <c r="N641" i="1" s="1"/>
  <c r="O641" i="1" s="1"/>
  <c r="L641" i="1"/>
  <c r="K641" i="1"/>
  <c r="J641" i="1"/>
  <c r="R641" i="1" s="1"/>
  <c r="H641" i="1"/>
  <c r="G641" i="1"/>
  <c r="F641" i="1"/>
  <c r="E641" i="1"/>
  <c r="D641" i="1"/>
  <c r="I641" i="1" s="1"/>
  <c r="C641" i="1"/>
  <c r="B641" i="1"/>
  <c r="A641" i="1"/>
  <c r="T640" i="1"/>
  <c r="S640" i="1"/>
  <c r="Q640" i="1"/>
  <c r="P640" i="1"/>
  <c r="M640" i="1"/>
  <c r="N640" i="1" s="1"/>
  <c r="O640" i="1" s="1"/>
  <c r="L640" i="1"/>
  <c r="K640" i="1"/>
  <c r="J640" i="1"/>
  <c r="R640" i="1" s="1"/>
  <c r="H640" i="1"/>
  <c r="G640" i="1"/>
  <c r="F640" i="1"/>
  <c r="E640" i="1"/>
  <c r="D640" i="1"/>
  <c r="I640" i="1" s="1"/>
  <c r="C640" i="1"/>
  <c r="B640" i="1"/>
  <c r="A640" i="1"/>
  <c r="T639" i="1"/>
  <c r="S639" i="1"/>
  <c r="Q639" i="1"/>
  <c r="P639" i="1"/>
  <c r="M639" i="1"/>
  <c r="N639" i="1" s="1"/>
  <c r="O639" i="1" s="1"/>
  <c r="L639" i="1"/>
  <c r="K639" i="1"/>
  <c r="J639" i="1"/>
  <c r="R639" i="1" s="1"/>
  <c r="H639" i="1"/>
  <c r="G639" i="1"/>
  <c r="F639" i="1"/>
  <c r="E639" i="1"/>
  <c r="D639" i="1"/>
  <c r="I639" i="1" s="1"/>
  <c r="C639" i="1"/>
  <c r="B639" i="1"/>
  <c r="A639" i="1"/>
  <c r="T638" i="1"/>
  <c r="S638" i="1"/>
  <c r="Q638" i="1"/>
  <c r="P638" i="1"/>
  <c r="M638" i="1"/>
  <c r="N638" i="1" s="1"/>
  <c r="O638" i="1" s="1"/>
  <c r="L638" i="1"/>
  <c r="K638" i="1"/>
  <c r="J638" i="1"/>
  <c r="R638" i="1" s="1"/>
  <c r="H638" i="1"/>
  <c r="G638" i="1"/>
  <c r="F638" i="1"/>
  <c r="E638" i="1"/>
  <c r="D638" i="1"/>
  <c r="I638" i="1" s="1"/>
  <c r="C638" i="1"/>
  <c r="B638" i="1"/>
  <c r="A638" i="1"/>
  <c r="T637" i="1"/>
  <c r="S637" i="1"/>
  <c r="Q637" i="1"/>
  <c r="P637" i="1"/>
  <c r="M637" i="1"/>
  <c r="N637" i="1" s="1"/>
  <c r="O637" i="1" s="1"/>
  <c r="L637" i="1"/>
  <c r="K637" i="1"/>
  <c r="J637" i="1"/>
  <c r="R637" i="1" s="1"/>
  <c r="H637" i="1"/>
  <c r="G637" i="1"/>
  <c r="F637" i="1"/>
  <c r="E637" i="1"/>
  <c r="D637" i="1"/>
  <c r="I637" i="1" s="1"/>
  <c r="C637" i="1"/>
  <c r="B637" i="1"/>
  <c r="A637" i="1"/>
  <c r="T636" i="1"/>
  <c r="S636" i="1"/>
  <c r="Q636" i="1"/>
  <c r="P636" i="1"/>
  <c r="M636" i="1"/>
  <c r="N636" i="1" s="1"/>
  <c r="O636" i="1" s="1"/>
  <c r="L636" i="1"/>
  <c r="K636" i="1"/>
  <c r="J636" i="1"/>
  <c r="R636" i="1" s="1"/>
  <c r="H636" i="1"/>
  <c r="G636" i="1"/>
  <c r="F636" i="1"/>
  <c r="E636" i="1"/>
  <c r="D636" i="1"/>
  <c r="I636" i="1" s="1"/>
  <c r="C636" i="1"/>
  <c r="B636" i="1"/>
  <c r="A636" i="1"/>
  <c r="T635" i="1"/>
  <c r="S635" i="1"/>
  <c r="Q635" i="1"/>
  <c r="P635" i="1"/>
  <c r="M635" i="1"/>
  <c r="N635" i="1" s="1"/>
  <c r="O635" i="1" s="1"/>
  <c r="L635" i="1"/>
  <c r="K635" i="1"/>
  <c r="J635" i="1"/>
  <c r="R635" i="1" s="1"/>
  <c r="H635" i="1"/>
  <c r="G635" i="1"/>
  <c r="F635" i="1"/>
  <c r="E635" i="1"/>
  <c r="D635" i="1"/>
  <c r="I635" i="1" s="1"/>
  <c r="C635" i="1"/>
  <c r="B635" i="1"/>
  <c r="A635" i="1"/>
  <c r="T634" i="1"/>
  <c r="S634" i="1"/>
  <c r="Q634" i="1"/>
  <c r="P634" i="1"/>
  <c r="M634" i="1"/>
  <c r="N634" i="1" s="1"/>
  <c r="O634" i="1" s="1"/>
  <c r="L634" i="1"/>
  <c r="K634" i="1"/>
  <c r="J634" i="1"/>
  <c r="R634" i="1" s="1"/>
  <c r="H634" i="1"/>
  <c r="G634" i="1"/>
  <c r="F634" i="1"/>
  <c r="E634" i="1"/>
  <c r="D634" i="1"/>
  <c r="I634" i="1" s="1"/>
  <c r="C634" i="1"/>
  <c r="B634" i="1"/>
  <c r="A634" i="1"/>
  <c r="T633" i="1"/>
  <c r="S633" i="1"/>
  <c r="Q633" i="1"/>
  <c r="P633" i="1"/>
  <c r="M633" i="1"/>
  <c r="N633" i="1" s="1"/>
  <c r="O633" i="1" s="1"/>
  <c r="L633" i="1"/>
  <c r="K633" i="1"/>
  <c r="J633" i="1"/>
  <c r="R633" i="1" s="1"/>
  <c r="H633" i="1"/>
  <c r="G633" i="1"/>
  <c r="F633" i="1"/>
  <c r="E633" i="1"/>
  <c r="D633" i="1"/>
  <c r="I633" i="1" s="1"/>
  <c r="C633" i="1"/>
  <c r="B633" i="1"/>
  <c r="A633" i="1"/>
  <c r="T632" i="1"/>
  <c r="S632" i="1"/>
  <c r="Q632" i="1"/>
  <c r="P632" i="1"/>
  <c r="M632" i="1"/>
  <c r="N632" i="1" s="1"/>
  <c r="O632" i="1" s="1"/>
  <c r="L632" i="1"/>
  <c r="K632" i="1"/>
  <c r="J632" i="1"/>
  <c r="R632" i="1" s="1"/>
  <c r="H632" i="1"/>
  <c r="G632" i="1"/>
  <c r="F632" i="1"/>
  <c r="E632" i="1"/>
  <c r="D632" i="1"/>
  <c r="I632" i="1" s="1"/>
  <c r="C632" i="1"/>
  <c r="B632" i="1"/>
  <c r="A632" i="1"/>
  <c r="T631" i="1"/>
  <c r="S631" i="1"/>
  <c r="Q631" i="1"/>
  <c r="P631" i="1"/>
  <c r="M631" i="1"/>
  <c r="N631" i="1" s="1"/>
  <c r="O631" i="1" s="1"/>
  <c r="L631" i="1"/>
  <c r="K631" i="1"/>
  <c r="J631" i="1"/>
  <c r="R631" i="1" s="1"/>
  <c r="H631" i="1"/>
  <c r="G631" i="1"/>
  <c r="F631" i="1"/>
  <c r="E631" i="1"/>
  <c r="D631" i="1"/>
  <c r="I631" i="1" s="1"/>
  <c r="C631" i="1"/>
  <c r="B631" i="1"/>
  <c r="A631" i="1"/>
  <c r="T630" i="1"/>
  <c r="S630" i="1"/>
  <c r="Q630" i="1"/>
  <c r="P630" i="1"/>
  <c r="M630" i="1"/>
  <c r="N630" i="1" s="1"/>
  <c r="O630" i="1" s="1"/>
  <c r="L630" i="1"/>
  <c r="K630" i="1"/>
  <c r="J630" i="1"/>
  <c r="R630" i="1" s="1"/>
  <c r="H630" i="1"/>
  <c r="G630" i="1"/>
  <c r="F630" i="1"/>
  <c r="E630" i="1"/>
  <c r="D630" i="1"/>
  <c r="I630" i="1" s="1"/>
  <c r="C630" i="1"/>
  <c r="B630" i="1"/>
  <c r="A630" i="1"/>
  <c r="T629" i="1"/>
  <c r="S629" i="1"/>
  <c r="Q629" i="1"/>
  <c r="P629" i="1"/>
  <c r="M629" i="1"/>
  <c r="N629" i="1" s="1"/>
  <c r="O629" i="1" s="1"/>
  <c r="L629" i="1"/>
  <c r="K629" i="1"/>
  <c r="J629" i="1"/>
  <c r="R629" i="1" s="1"/>
  <c r="H629" i="1"/>
  <c r="G629" i="1"/>
  <c r="F629" i="1"/>
  <c r="E629" i="1"/>
  <c r="D629" i="1"/>
  <c r="I629" i="1" s="1"/>
  <c r="C629" i="1"/>
  <c r="B629" i="1"/>
  <c r="A629" i="1"/>
  <c r="T628" i="1"/>
  <c r="S628" i="1"/>
  <c r="Q628" i="1"/>
  <c r="P628" i="1"/>
  <c r="M628" i="1"/>
  <c r="N628" i="1" s="1"/>
  <c r="O628" i="1" s="1"/>
  <c r="L628" i="1"/>
  <c r="K628" i="1"/>
  <c r="J628" i="1"/>
  <c r="R628" i="1" s="1"/>
  <c r="H628" i="1"/>
  <c r="G628" i="1"/>
  <c r="F628" i="1"/>
  <c r="E628" i="1"/>
  <c r="D628" i="1"/>
  <c r="I628" i="1" s="1"/>
  <c r="C628" i="1"/>
  <c r="B628" i="1"/>
  <c r="A628" i="1"/>
  <c r="T627" i="1"/>
  <c r="S627" i="1"/>
  <c r="Q627" i="1"/>
  <c r="P627" i="1"/>
  <c r="M627" i="1"/>
  <c r="N627" i="1" s="1"/>
  <c r="O627" i="1" s="1"/>
  <c r="L627" i="1"/>
  <c r="K627" i="1"/>
  <c r="J627" i="1"/>
  <c r="R627" i="1" s="1"/>
  <c r="H627" i="1"/>
  <c r="G627" i="1"/>
  <c r="F627" i="1"/>
  <c r="E627" i="1"/>
  <c r="D627" i="1"/>
  <c r="I627" i="1" s="1"/>
  <c r="C627" i="1"/>
  <c r="B627" i="1"/>
  <c r="A627" i="1"/>
  <c r="T626" i="1"/>
  <c r="S626" i="1"/>
  <c r="Q626" i="1"/>
  <c r="P626" i="1"/>
  <c r="M626" i="1"/>
  <c r="N626" i="1" s="1"/>
  <c r="O626" i="1" s="1"/>
  <c r="L626" i="1"/>
  <c r="K626" i="1"/>
  <c r="J626" i="1"/>
  <c r="R626" i="1" s="1"/>
  <c r="H626" i="1"/>
  <c r="G626" i="1"/>
  <c r="F626" i="1"/>
  <c r="E626" i="1"/>
  <c r="D626" i="1"/>
  <c r="I626" i="1" s="1"/>
  <c r="C626" i="1"/>
  <c r="B626" i="1"/>
  <c r="A626" i="1"/>
  <c r="T625" i="1"/>
  <c r="S625" i="1"/>
  <c r="Q625" i="1"/>
  <c r="P625" i="1"/>
  <c r="M625" i="1"/>
  <c r="N625" i="1" s="1"/>
  <c r="O625" i="1" s="1"/>
  <c r="L625" i="1"/>
  <c r="K625" i="1"/>
  <c r="J625" i="1"/>
  <c r="R625" i="1" s="1"/>
  <c r="H625" i="1"/>
  <c r="G625" i="1"/>
  <c r="F625" i="1"/>
  <c r="E625" i="1"/>
  <c r="D625" i="1"/>
  <c r="I625" i="1" s="1"/>
  <c r="C625" i="1"/>
  <c r="B625" i="1"/>
  <c r="A625" i="1"/>
  <c r="T624" i="1"/>
  <c r="S624" i="1"/>
  <c r="Q624" i="1"/>
  <c r="P624" i="1"/>
  <c r="M624" i="1"/>
  <c r="N624" i="1" s="1"/>
  <c r="O624" i="1" s="1"/>
  <c r="L624" i="1"/>
  <c r="K624" i="1"/>
  <c r="J624" i="1"/>
  <c r="R624" i="1" s="1"/>
  <c r="H624" i="1"/>
  <c r="G624" i="1"/>
  <c r="F624" i="1"/>
  <c r="E624" i="1"/>
  <c r="D624" i="1"/>
  <c r="I624" i="1" s="1"/>
  <c r="C624" i="1"/>
  <c r="B624" i="1"/>
  <c r="A624" i="1"/>
  <c r="T623" i="1"/>
  <c r="S623" i="1"/>
  <c r="Q623" i="1"/>
  <c r="P623" i="1"/>
  <c r="M623" i="1"/>
  <c r="N623" i="1" s="1"/>
  <c r="O623" i="1" s="1"/>
  <c r="L623" i="1"/>
  <c r="K623" i="1"/>
  <c r="J623" i="1"/>
  <c r="R623" i="1" s="1"/>
  <c r="H623" i="1"/>
  <c r="G623" i="1"/>
  <c r="F623" i="1"/>
  <c r="E623" i="1"/>
  <c r="D623" i="1"/>
  <c r="I623" i="1" s="1"/>
  <c r="C623" i="1"/>
  <c r="B623" i="1"/>
  <c r="A623" i="1"/>
  <c r="T622" i="1"/>
  <c r="S622" i="1"/>
  <c r="Q622" i="1"/>
  <c r="P622" i="1"/>
  <c r="M622" i="1"/>
  <c r="N622" i="1" s="1"/>
  <c r="O622" i="1" s="1"/>
  <c r="L622" i="1"/>
  <c r="K622" i="1"/>
  <c r="J622" i="1"/>
  <c r="R622" i="1" s="1"/>
  <c r="H622" i="1"/>
  <c r="G622" i="1"/>
  <c r="F622" i="1"/>
  <c r="E622" i="1"/>
  <c r="D622" i="1"/>
  <c r="I622" i="1" s="1"/>
  <c r="C622" i="1"/>
  <c r="B622" i="1"/>
  <c r="A622" i="1"/>
  <c r="T621" i="1"/>
  <c r="S621" i="1"/>
  <c r="Q621" i="1"/>
  <c r="P621" i="1"/>
  <c r="M621" i="1"/>
  <c r="N621" i="1" s="1"/>
  <c r="O621" i="1" s="1"/>
  <c r="L621" i="1"/>
  <c r="K621" i="1"/>
  <c r="J621" i="1"/>
  <c r="R621" i="1" s="1"/>
  <c r="H621" i="1"/>
  <c r="G621" i="1"/>
  <c r="F621" i="1"/>
  <c r="E621" i="1"/>
  <c r="D621" i="1"/>
  <c r="I621" i="1" s="1"/>
  <c r="C621" i="1"/>
  <c r="B621" i="1"/>
  <c r="A621" i="1"/>
  <c r="T620" i="1"/>
  <c r="S620" i="1"/>
  <c r="Q620" i="1"/>
  <c r="P620" i="1"/>
  <c r="M620" i="1"/>
  <c r="N620" i="1" s="1"/>
  <c r="O620" i="1" s="1"/>
  <c r="L620" i="1"/>
  <c r="K620" i="1"/>
  <c r="J620" i="1"/>
  <c r="R620" i="1" s="1"/>
  <c r="H620" i="1"/>
  <c r="G620" i="1"/>
  <c r="F620" i="1"/>
  <c r="E620" i="1"/>
  <c r="D620" i="1"/>
  <c r="I620" i="1" s="1"/>
  <c r="C620" i="1"/>
  <c r="B620" i="1"/>
  <c r="A620" i="1"/>
  <c r="T619" i="1"/>
  <c r="S619" i="1"/>
  <c r="Q619" i="1"/>
  <c r="P619" i="1"/>
  <c r="M619" i="1"/>
  <c r="N619" i="1" s="1"/>
  <c r="O619" i="1" s="1"/>
  <c r="L619" i="1"/>
  <c r="K619" i="1"/>
  <c r="J619" i="1"/>
  <c r="R619" i="1" s="1"/>
  <c r="H619" i="1"/>
  <c r="G619" i="1"/>
  <c r="F619" i="1"/>
  <c r="E619" i="1"/>
  <c r="D619" i="1"/>
  <c r="I619" i="1" s="1"/>
  <c r="C619" i="1"/>
  <c r="B619" i="1"/>
  <c r="A619" i="1"/>
  <c r="T618" i="1"/>
  <c r="S618" i="1"/>
  <c r="Q618" i="1"/>
  <c r="P618" i="1"/>
  <c r="M618" i="1"/>
  <c r="N618" i="1" s="1"/>
  <c r="O618" i="1" s="1"/>
  <c r="L618" i="1"/>
  <c r="K618" i="1"/>
  <c r="J618" i="1"/>
  <c r="R618" i="1" s="1"/>
  <c r="H618" i="1"/>
  <c r="G618" i="1"/>
  <c r="F618" i="1"/>
  <c r="E618" i="1"/>
  <c r="D618" i="1"/>
  <c r="I618" i="1" s="1"/>
  <c r="C618" i="1"/>
  <c r="B618" i="1"/>
  <c r="A618" i="1"/>
  <c r="T617" i="1"/>
  <c r="S617" i="1"/>
  <c r="Q617" i="1"/>
  <c r="P617" i="1"/>
  <c r="M617" i="1"/>
  <c r="N617" i="1" s="1"/>
  <c r="O617" i="1" s="1"/>
  <c r="L617" i="1"/>
  <c r="K617" i="1"/>
  <c r="J617" i="1"/>
  <c r="R617" i="1" s="1"/>
  <c r="H617" i="1"/>
  <c r="G617" i="1"/>
  <c r="F617" i="1"/>
  <c r="E617" i="1"/>
  <c r="D617" i="1"/>
  <c r="I617" i="1" s="1"/>
  <c r="C617" i="1"/>
  <c r="B617" i="1"/>
  <c r="A617" i="1"/>
  <c r="T616" i="1"/>
  <c r="S616" i="1"/>
  <c r="Q616" i="1"/>
  <c r="P616" i="1"/>
  <c r="M616" i="1"/>
  <c r="N616" i="1" s="1"/>
  <c r="O616" i="1" s="1"/>
  <c r="L616" i="1"/>
  <c r="K616" i="1"/>
  <c r="J616" i="1"/>
  <c r="R616" i="1" s="1"/>
  <c r="H616" i="1"/>
  <c r="G616" i="1"/>
  <c r="F616" i="1"/>
  <c r="E616" i="1"/>
  <c r="D616" i="1"/>
  <c r="I616" i="1" s="1"/>
  <c r="C616" i="1"/>
  <c r="B616" i="1"/>
  <c r="A616" i="1"/>
  <c r="T615" i="1"/>
  <c r="S615" i="1"/>
  <c r="Q615" i="1"/>
  <c r="P615" i="1"/>
  <c r="M615" i="1"/>
  <c r="N615" i="1" s="1"/>
  <c r="O615" i="1" s="1"/>
  <c r="L615" i="1"/>
  <c r="K615" i="1"/>
  <c r="J615" i="1"/>
  <c r="R615" i="1" s="1"/>
  <c r="H615" i="1"/>
  <c r="G615" i="1"/>
  <c r="F615" i="1"/>
  <c r="E615" i="1"/>
  <c r="D615" i="1"/>
  <c r="I615" i="1" s="1"/>
  <c r="C615" i="1"/>
  <c r="B615" i="1"/>
  <c r="A615" i="1"/>
  <c r="T614" i="1"/>
  <c r="S614" i="1"/>
  <c r="Q614" i="1"/>
  <c r="P614" i="1"/>
  <c r="M614" i="1"/>
  <c r="N614" i="1" s="1"/>
  <c r="O614" i="1" s="1"/>
  <c r="L614" i="1"/>
  <c r="K614" i="1"/>
  <c r="J614" i="1"/>
  <c r="R614" i="1" s="1"/>
  <c r="H614" i="1"/>
  <c r="G614" i="1"/>
  <c r="F614" i="1"/>
  <c r="E614" i="1"/>
  <c r="D614" i="1"/>
  <c r="I614" i="1" s="1"/>
  <c r="C614" i="1"/>
  <c r="B614" i="1"/>
  <c r="A614" i="1"/>
  <c r="T613" i="1"/>
  <c r="S613" i="1"/>
  <c r="Q613" i="1"/>
  <c r="P613" i="1"/>
  <c r="M613" i="1"/>
  <c r="N613" i="1" s="1"/>
  <c r="O613" i="1" s="1"/>
  <c r="L613" i="1"/>
  <c r="K613" i="1"/>
  <c r="J613" i="1"/>
  <c r="R613" i="1" s="1"/>
  <c r="H613" i="1"/>
  <c r="G613" i="1"/>
  <c r="F613" i="1"/>
  <c r="E613" i="1"/>
  <c r="D613" i="1"/>
  <c r="I613" i="1" s="1"/>
  <c r="C613" i="1"/>
  <c r="B613" i="1"/>
  <c r="A613" i="1"/>
  <c r="T612" i="1"/>
  <c r="S612" i="1"/>
  <c r="Q612" i="1"/>
  <c r="P612" i="1"/>
  <c r="M612" i="1"/>
  <c r="N612" i="1" s="1"/>
  <c r="O612" i="1" s="1"/>
  <c r="L612" i="1"/>
  <c r="K612" i="1"/>
  <c r="J612" i="1"/>
  <c r="R612" i="1" s="1"/>
  <c r="H612" i="1"/>
  <c r="G612" i="1"/>
  <c r="F612" i="1"/>
  <c r="E612" i="1"/>
  <c r="D612" i="1"/>
  <c r="I612" i="1" s="1"/>
  <c r="C612" i="1"/>
  <c r="B612" i="1"/>
  <c r="A612" i="1"/>
  <c r="T611" i="1"/>
  <c r="S611" i="1"/>
  <c r="Q611" i="1"/>
  <c r="P611" i="1"/>
  <c r="M611" i="1"/>
  <c r="N611" i="1" s="1"/>
  <c r="O611" i="1" s="1"/>
  <c r="L611" i="1"/>
  <c r="K611" i="1"/>
  <c r="J611" i="1"/>
  <c r="R611" i="1" s="1"/>
  <c r="H611" i="1"/>
  <c r="G611" i="1"/>
  <c r="F611" i="1"/>
  <c r="E611" i="1"/>
  <c r="D611" i="1"/>
  <c r="I611" i="1" s="1"/>
  <c r="C611" i="1"/>
  <c r="B611" i="1"/>
  <c r="A611" i="1"/>
  <c r="T610" i="1"/>
  <c r="S610" i="1"/>
  <c r="Q610" i="1"/>
  <c r="P610" i="1"/>
  <c r="M610" i="1"/>
  <c r="N610" i="1" s="1"/>
  <c r="O610" i="1" s="1"/>
  <c r="L610" i="1"/>
  <c r="K610" i="1"/>
  <c r="J610" i="1"/>
  <c r="R610" i="1" s="1"/>
  <c r="H610" i="1"/>
  <c r="G610" i="1"/>
  <c r="F610" i="1"/>
  <c r="E610" i="1"/>
  <c r="D610" i="1"/>
  <c r="I610" i="1" s="1"/>
  <c r="C610" i="1"/>
  <c r="B610" i="1"/>
  <c r="A610" i="1"/>
  <c r="T609" i="1"/>
  <c r="S609" i="1"/>
  <c r="Q609" i="1"/>
  <c r="P609" i="1"/>
  <c r="M609" i="1"/>
  <c r="N609" i="1" s="1"/>
  <c r="O609" i="1" s="1"/>
  <c r="L609" i="1"/>
  <c r="K609" i="1"/>
  <c r="J609" i="1"/>
  <c r="R609" i="1" s="1"/>
  <c r="H609" i="1"/>
  <c r="G609" i="1"/>
  <c r="F609" i="1"/>
  <c r="E609" i="1"/>
  <c r="D609" i="1"/>
  <c r="I609" i="1" s="1"/>
  <c r="C609" i="1"/>
  <c r="B609" i="1"/>
  <c r="A609" i="1"/>
  <c r="T608" i="1"/>
  <c r="S608" i="1"/>
  <c r="Q608" i="1"/>
  <c r="P608" i="1"/>
  <c r="M608" i="1"/>
  <c r="N608" i="1" s="1"/>
  <c r="O608" i="1" s="1"/>
  <c r="L608" i="1"/>
  <c r="K608" i="1"/>
  <c r="J608" i="1"/>
  <c r="R608" i="1" s="1"/>
  <c r="H608" i="1"/>
  <c r="G608" i="1"/>
  <c r="F608" i="1"/>
  <c r="E608" i="1"/>
  <c r="D608" i="1"/>
  <c r="I608" i="1" s="1"/>
  <c r="C608" i="1"/>
  <c r="B608" i="1"/>
  <c r="A608" i="1"/>
  <c r="T607" i="1"/>
  <c r="S607" i="1"/>
  <c r="Q607" i="1"/>
  <c r="P607" i="1"/>
  <c r="M607" i="1"/>
  <c r="N607" i="1" s="1"/>
  <c r="O607" i="1" s="1"/>
  <c r="L607" i="1"/>
  <c r="K607" i="1"/>
  <c r="J607" i="1"/>
  <c r="R607" i="1" s="1"/>
  <c r="H607" i="1"/>
  <c r="G607" i="1"/>
  <c r="F607" i="1"/>
  <c r="E607" i="1"/>
  <c r="D607" i="1"/>
  <c r="I607" i="1" s="1"/>
  <c r="C607" i="1"/>
  <c r="B607" i="1"/>
  <c r="A607" i="1"/>
  <c r="T606" i="1"/>
  <c r="S606" i="1"/>
  <c r="Q606" i="1"/>
  <c r="P606" i="1"/>
  <c r="M606" i="1"/>
  <c r="N606" i="1" s="1"/>
  <c r="O606" i="1" s="1"/>
  <c r="L606" i="1"/>
  <c r="K606" i="1"/>
  <c r="J606" i="1"/>
  <c r="R606" i="1" s="1"/>
  <c r="H606" i="1"/>
  <c r="G606" i="1"/>
  <c r="F606" i="1"/>
  <c r="E606" i="1"/>
  <c r="D606" i="1"/>
  <c r="I606" i="1" s="1"/>
  <c r="C606" i="1"/>
  <c r="B606" i="1"/>
  <c r="A606" i="1"/>
  <c r="T605" i="1"/>
  <c r="S605" i="1"/>
  <c r="Q605" i="1"/>
  <c r="P605" i="1"/>
  <c r="M605" i="1"/>
  <c r="N605" i="1" s="1"/>
  <c r="O605" i="1" s="1"/>
  <c r="L605" i="1"/>
  <c r="K605" i="1"/>
  <c r="J605" i="1"/>
  <c r="R605" i="1" s="1"/>
  <c r="H605" i="1"/>
  <c r="G605" i="1"/>
  <c r="F605" i="1"/>
  <c r="E605" i="1"/>
  <c r="D605" i="1"/>
  <c r="I605" i="1" s="1"/>
  <c r="C605" i="1"/>
  <c r="B605" i="1"/>
  <c r="A605" i="1"/>
  <c r="T604" i="1"/>
  <c r="S604" i="1"/>
  <c r="Q604" i="1"/>
  <c r="P604" i="1"/>
  <c r="M604" i="1"/>
  <c r="N604" i="1" s="1"/>
  <c r="O604" i="1" s="1"/>
  <c r="L604" i="1"/>
  <c r="K604" i="1"/>
  <c r="J604" i="1"/>
  <c r="R604" i="1" s="1"/>
  <c r="H604" i="1"/>
  <c r="G604" i="1"/>
  <c r="F604" i="1"/>
  <c r="E604" i="1"/>
  <c r="D604" i="1"/>
  <c r="I604" i="1" s="1"/>
  <c r="C604" i="1"/>
  <c r="B604" i="1"/>
  <c r="A604" i="1"/>
  <c r="T603" i="1"/>
  <c r="S603" i="1"/>
  <c r="Q603" i="1"/>
  <c r="P603" i="1"/>
  <c r="M603" i="1"/>
  <c r="N603" i="1" s="1"/>
  <c r="O603" i="1" s="1"/>
  <c r="L603" i="1"/>
  <c r="K603" i="1"/>
  <c r="J603" i="1"/>
  <c r="R603" i="1" s="1"/>
  <c r="H603" i="1"/>
  <c r="G603" i="1"/>
  <c r="F603" i="1"/>
  <c r="E603" i="1"/>
  <c r="D603" i="1"/>
  <c r="I603" i="1" s="1"/>
  <c r="C603" i="1"/>
  <c r="B603" i="1"/>
  <c r="A603" i="1"/>
  <c r="T602" i="1"/>
  <c r="S602" i="1"/>
  <c r="Q602" i="1"/>
  <c r="P602" i="1"/>
  <c r="M602" i="1"/>
  <c r="N602" i="1" s="1"/>
  <c r="O602" i="1" s="1"/>
  <c r="L602" i="1"/>
  <c r="K602" i="1"/>
  <c r="J602" i="1"/>
  <c r="R602" i="1" s="1"/>
  <c r="H602" i="1"/>
  <c r="G602" i="1"/>
  <c r="F602" i="1"/>
  <c r="E602" i="1"/>
  <c r="D602" i="1"/>
  <c r="I602" i="1" s="1"/>
  <c r="C602" i="1"/>
  <c r="B602" i="1"/>
  <c r="A602" i="1"/>
  <c r="T601" i="1"/>
  <c r="S601" i="1"/>
  <c r="Q601" i="1"/>
  <c r="P601" i="1"/>
  <c r="M601" i="1"/>
  <c r="N601" i="1" s="1"/>
  <c r="O601" i="1" s="1"/>
  <c r="L601" i="1"/>
  <c r="K601" i="1"/>
  <c r="J601" i="1"/>
  <c r="R601" i="1" s="1"/>
  <c r="H601" i="1"/>
  <c r="G601" i="1"/>
  <c r="F601" i="1"/>
  <c r="E601" i="1"/>
  <c r="D601" i="1"/>
  <c r="I601" i="1" s="1"/>
  <c r="C601" i="1"/>
  <c r="B601" i="1"/>
  <c r="A601" i="1"/>
  <c r="T600" i="1"/>
  <c r="S600" i="1"/>
  <c r="Q600" i="1"/>
  <c r="P600" i="1"/>
  <c r="M600" i="1"/>
  <c r="N600" i="1" s="1"/>
  <c r="O600" i="1" s="1"/>
  <c r="L600" i="1"/>
  <c r="K600" i="1"/>
  <c r="J600" i="1"/>
  <c r="R600" i="1" s="1"/>
  <c r="H600" i="1"/>
  <c r="G600" i="1"/>
  <c r="F600" i="1"/>
  <c r="E600" i="1"/>
  <c r="D600" i="1"/>
  <c r="I600" i="1" s="1"/>
  <c r="C600" i="1"/>
  <c r="B600" i="1"/>
  <c r="A600" i="1"/>
  <c r="T599" i="1"/>
  <c r="S599" i="1"/>
  <c r="Q599" i="1"/>
  <c r="P599" i="1"/>
  <c r="M599" i="1"/>
  <c r="N599" i="1" s="1"/>
  <c r="O599" i="1" s="1"/>
  <c r="L599" i="1"/>
  <c r="K599" i="1"/>
  <c r="J599" i="1"/>
  <c r="R599" i="1" s="1"/>
  <c r="H599" i="1"/>
  <c r="G599" i="1"/>
  <c r="F599" i="1"/>
  <c r="E599" i="1"/>
  <c r="D599" i="1"/>
  <c r="I599" i="1" s="1"/>
  <c r="C599" i="1"/>
  <c r="B599" i="1"/>
  <c r="A599" i="1"/>
  <c r="T598" i="1"/>
  <c r="S598" i="1"/>
  <c r="Q598" i="1"/>
  <c r="P598" i="1"/>
  <c r="M598" i="1"/>
  <c r="N598" i="1" s="1"/>
  <c r="O598" i="1" s="1"/>
  <c r="L598" i="1"/>
  <c r="K598" i="1"/>
  <c r="J598" i="1"/>
  <c r="R598" i="1" s="1"/>
  <c r="H598" i="1"/>
  <c r="G598" i="1"/>
  <c r="F598" i="1"/>
  <c r="E598" i="1"/>
  <c r="D598" i="1"/>
  <c r="I598" i="1" s="1"/>
  <c r="C598" i="1"/>
  <c r="B598" i="1"/>
  <c r="A598" i="1"/>
  <c r="T597" i="1"/>
  <c r="S597" i="1"/>
  <c r="Q597" i="1"/>
  <c r="P597" i="1"/>
  <c r="M597" i="1"/>
  <c r="N597" i="1" s="1"/>
  <c r="O597" i="1" s="1"/>
  <c r="L597" i="1"/>
  <c r="K597" i="1"/>
  <c r="J597" i="1"/>
  <c r="R597" i="1" s="1"/>
  <c r="H597" i="1"/>
  <c r="G597" i="1"/>
  <c r="F597" i="1"/>
  <c r="E597" i="1"/>
  <c r="D597" i="1"/>
  <c r="I597" i="1" s="1"/>
  <c r="C597" i="1"/>
  <c r="B597" i="1"/>
  <c r="A597" i="1"/>
  <c r="T596" i="1"/>
  <c r="S596" i="1"/>
  <c r="Q596" i="1"/>
  <c r="P596" i="1"/>
  <c r="M596" i="1"/>
  <c r="N596" i="1" s="1"/>
  <c r="O596" i="1" s="1"/>
  <c r="L596" i="1"/>
  <c r="K596" i="1"/>
  <c r="J596" i="1"/>
  <c r="R596" i="1" s="1"/>
  <c r="H596" i="1"/>
  <c r="G596" i="1"/>
  <c r="F596" i="1"/>
  <c r="E596" i="1"/>
  <c r="D596" i="1"/>
  <c r="I596" i="1" s="1"/>
  <c r="C596" i="1"/>
  <c r="B596" i="1"/>
  <c r="A596" i="1"/>
  <c r="T595" i="1"/>
  <c r="S595" i="1"/>
  <c r="Q595" i="1"/>
  <c r="P595" i="1"/>
  <c r="M595" i="1"/>
  <c r="N595" i="1" s="1"/>
  <c r="O595" i="1" s="1"/>
  <c r="L595" i="1"/>
  <c r="K595" i="1"/>
  <c r="J595" i="1"/>
  <c r="R595" i="1" s="1"/>
  <c r="H595" i="1"/>
  <c r="G595" i="1"/>
  <c r="F595" i="1"/>
  <c r="E595" i="1"/>
  <c r="D595" i="1"/>
  <c r="I595" i="1" s="1"/>
  <c r="C595" i="1"/>
  <c r="B595" i="1"/>
  <c r="A595" i="1"/>
  <c r="T594" i="1"/>
  <c r="S594" i="1"/>
  <c r="Q594" i="1"/>
  <c r="P594" i="1"/>
  <c r="M594" i="1"/>
  <c r="N594" i="1" s="1"/>
  <c r="O594" i="1" s="1"/>
  <c r="L594" i="1"/>
  <c r="K594" i="1"/>
  <c r="J594" i="1"/>
  <c r="R594" i="1" s="1"/>
  <c r="H594" i="1"/>
  <c r="G594" i="1"/>
  <c r="F594" i="1"/>
  <c r="E594" i="1"/>
  <c r="D594" i="1"/>
  <c r="I594" i="1" s="1"/>
  <c r="C594" i="1"/>
  <c r="B594" i="1"/>
  <c r="A594" i="1"/>
  <c r="T593" i="1"/>
  <c r="S593" i="1"/>
  <c r="Q593" i="1"/>
  <c r="P593" i="1"/>
  <c r="M593" i="1"/>
  <c r="N593" i="1" s="1"/>
  <c r="O593" i="1" s="1"/>
  <c r="L593" i="1"/>
  <c r="K593" i="1"/>
  <c r="J593" i="1"/>
  <c r="R593" i="1" s="1"/>
  <c r="H593" i="1"/>
  <c r="G593" i="1"/>
  <c r="F593" i="1"/>
  <c r="E593" i="1"/>
  <c r="D593" i="1"/>
  <c r="I593" i="1" s="1"/>
  <c r="C593" i="1"/>
  <c r="B593" i="1"/>
  <c r="A593" i="1"/>
  <c r="T592" i="1"/>
  <c r="S592" i="1"/>
  <c r="Q592" i="1"/>
  <c r="P592" i="1"/>
  <c r="M592" i="1"/>
  <c r="N592" i="1" s="1"/>
  <c r="O592" i="1" s="1"/>
  <c r="L592" i="1"/>
  <c r="K592" i="1"/>
  <c r="J592" i="1"/>
  <c r="R592" i="1" s="1"/>
  <c r="H592" i="1"/>
  <c r="G592" i="1"/>
  <c r="F592" i="1"/>
  <c r="E592" i="1"/>
  <c r="D592" i="1"/>
  <c r="I592" i="1" s="1"/>
  <c r="C592" i="1"/>
  <c r="B592" i="1"/>
  <c r="A592" i="1"/>
  <c r="T591" i="1"/>
  <c r="S591" i="1"/>
  <c r="Q591" i="1"/>
  <c r="P591" i="1"/>
  <c r="M591" i="1"/>
  <c r="N591" i="1" s="1"/>
  <c r="O591" i="1" s="1"/>
  <c r="L591" i="1"/>
  <c r="K591" i="1"/>
  <c r="J591" i="1"/>
  <c r="R591" i="1" s="1"/>
  <c r="H591" i="1"/>
  <c r="G591" i="1"/>
  <c r="F591" i="1"/>
  <c r="E591" i="1"/>
  <c r="D591" i="1"/>
  <c r="I591" i="1" s="1"/>
  <c r="C591" i="1"/>
  <c r="B591" i="1"/>
  <c r="A591" i="1"/>
  <c r="T590" i="1"/>
  <c r="S590" i="1"/>
  <c r="Q590" i="1"/>
  <c r="P590" i="1"/>
  <c r="M590" i="1"/>
  <c r="N590" i="1" s="1"/>
  <c r="O590" i="1" s="1"/>
  <c r="L590" i="1"/>
  <c r="K590" i="1"/>
  <c r="J590" i="1"/>
  <c r="R590" i="1" s="1"/>
  <c r="H590" i="1"/>
  <c r="G590" i="1"/>
  <c r="F590" i="1"/>
  <c r="E590" i="1"/>
  <c r="D590" i="1"/>
  <c r="I590" i="1" s="1"/>
  <c r="C590" i="1"/>
  <c r="B590" i="1"/>
  <c r="A590" i="1"/>
  <c r="T589" i="1"/>
  <c r="S589" i="1"/>
  <c r="Q589" i="1"/>
  <c r="P589" i="1"/>
  <c r="M589" i="1"/>
  <c r="N589" i="1" s="1"/>
  <c r="O589" i="1" s="1"/>
  <c r="L589" i="1"/>
  <c r="K589" i="1"/>
  <c r="J589" i="1"/>
  <c r="R589" i="1" s="1"/>
  <c r="H589" i="1"/>
  <c r="G589" i="1"/>
  <c r="F589" i="1"/>
  <c r="E589" i="1"/>
  <c r="D589" i="1"/>
  <c r="I589" i="1" s="1"/>
  <c r="C589" i="1"/>
  <c r="B589" i="1"/>
  <c r="A589" i="1"/>
  <c r="T588" i="1"/>
  <c r="S588" i="1"/>
  <c r="Q588" i="1"/>
  <c r="P588" i="1"/>
  <c r="M588" i="1"/>
  <c r="N588" i="1" s="1"/>
  <c r="O588" i="1" s="1"/>
  <c r="L588" i="1"/>
  <c r="K588" i="1"/>
  <c r="J588" i="1"/>
  <c r="R588" i="1" s="1"/>
  <c r="H588" i="1"/>
  <c r="G588" i="1"/>
  <c r="F588" i="1"/>
  <c r="E588" i="1"/>
  <c r="D588" i="1"/>
  <c r="I588" i="1" s="1"/>
  <c r="C588" i="1"/>
  <c r="B588" i="1"/>
  <c r="A588" i="1"/>
  <c r="T587" i="1"/>
  <c r="S587" i="1"/>
  <c r="Q587" i="1"/>
  <c r="P587" i="1"/>
  <c r="M587" i="1"/>
  <c r="N587" i="1" s="1"/>
  <c r="O587" i="1" s="1"/>
  <c r="L587" i="1"/>
  <c r="K587" i="1"/>
  <c r="J587" i="1"/>
  <c r="R587" i="1" s="1"/>
  <c r="H587" i="1"/>
  <c r="G587" i="1"/>
  <c r="F587" i="1"/>
  <c r="E587" i="1"/>
  <c r="D587" i="1"/>
  <c r="I587" i="1" s="1"/>
  <c r="C587" i="1"/>
  <c r="B587" i="1"/>
  <c r="A587" i="1"/>
  <c r="T586" i="1"/>
  <c r="S586" i="1"/>
  <c r="Q586" i="1"/>
  <c r="P586" i="1"/>
  <c r="M586" i="1"/>
  <c r="N586" i="1" s="1"/>
  <c r="O586" i="1" s="1"/>
  <c r="L586" i="1"/>
  <c r="K586" i="1"/>
  <c r="J586" i="1"/>
  <c r="R586" i="1" s="1"/>
  <c r="H586" i="1"/>
  <c r="G586" i="1"/>
  <c r="F586" i="1"/>
  <c r="E586" i="1"/>
  <c r="D586" i="1"/>
  <c r="I586" i="1" s="1"/>
  <c r="C586" i="1"/>
  <c r="B586" i="1"/>
  <c r="A586" i="1"/>
  <c r="T585" i="1"/>
  <c r="S585" i="1"/>
  <c r="Q585" i="1"/>
  <c r="P585" i="1"/>
  <c r="M585" i="1"/>
  <c r="N585" i="1" s="1"/>
  <c r="O585" i="1" s="1"/>
  <c r="L585" i="1"/>
  <c r="K585" i="1"/>
  <c r="J585" i="1"/>
  <c r="R585" i="1" s="1"/>
  <c r="H585" i="1"/>
  <c r="G585" i="1"/>
  <c r="F585" i="1"/>
  <c r="E585" i="1"/>
  <c r="D585" i="1"/>
  <c r="I585" i="1" s="1"/>
  <c r="C585" i="1"/>
  <c r="B585" i="1"/>
  <c r="A585" i="1"/>
  <c r="T584" i="1"/>
  <c r="S584" i="1"/>
  <c r="Q584" i="1"/>
  <c r="P584" i="1"/>
  <c r="M584" i="1"/>
  <c r="N584" i="1" s="1"/>
  <c r="O584" i="1" s="1"/>
  <c r="L584" i="1"/>
  <c r="K584" i="1"/>
  <c r="J584" i="1"/>
  <c r="R584" i="1" s="1"/>
  <c r="H584" i="1"/>
  <c r="G584" i="1"/>
  <c r="F584" i="1"/>
  <c r="E584" i="1"/>
  <c r="D584" i="1"/>
  <c r="I584" i="1" s="1"/>
  <c r="C584" i="1"/>
  <c r="B584" i="1"/>
  <c r="A584" i="1"/>
  <c r="T583" i="1"/>
  <c r="S583" i="1"/>
  <c r="Q583" i="1"/>
  <c r="P583" i="1"/>
  <c r="M583" i="1"/>
  <c r="N583" i="1" s="1"/>
  <c r="O583" i="1" s="1"/>
  <c r="L583" i="1"/>
  <c r="K583" i="1"/>
  <c r="J583" i="1"/>
  <c r="R583" i="1" s="1"/>
  <c r="H583" i="1"/>
  <c r="G583" i="1"/>
  <c r="F583" i="1"/>
  <c r="E583" i="1"/>
  <c r="D583" i="1"/>
  <c r="I583" i="1" s="1"/>
  <c r="C583" i="1"/>
  <c r="B583" i="1"/>
  <c r="A583" i="1"/>
  <c r="T582" i="1"/>
  <c r="S582" i="1"/>
  <c r="Q582" i="1"/>
  <c r="P582" i="1"/>
  <c r="M582" i="1"/>
  <c r="N582" i="1" s="1"/>
  <c r="O582" i="1" s="1"/>
  <c r="L582" i="1"/>
  <c r="K582" i="1"/>
  <c r="J582" i="1"/>
  <c r="R582" i="1" s="1"/>
  <c r="H582" i="1"/>
  <c r="G582" i="1"/>
  <c r="F582" i="1"/>
  <c r="E582" i="1"/>
  <c r="D582" i="1"/>
  <c r="I582" i="1" s="1"/>
  <c r="C582" i="1"/>
  <c r="B582" i="1"/>
  <c r="A582" i="1"/>
  <c r="T581" i="1"/>
  <c r="S581" i="1"/>
  <c r="Q581" i="1"/>
  <c r="P581" i="1"/>
  <c r="M581" i="1"/>
  <c r="N581" i="1" s="1"/>
  <c r="O581" i="1" s="1"/>
  <c r="L581" i="1"/>
  <c r="K581" i="1"/>
  <c r="J581" i="1"/>
  <c r="R581" i="1" s="1"/>
  <c r="H581" i="1"/>
  <c r="G581" i="1"/>
  <c r="F581" i="1"/>
  <c r="E581" i="1"/>
  <c r="D581" i="1"/>
  <c r="I581" i="1" s="1"/>
  <c r="C581" i="1"/>
  <c r="B581" i="1"/>
  <c r="A581" i="1"/>
  <c r="T580" i="1"/>
  <c r="S580" i="1"/>
  <c r="Q580" i="1"/>
  <c r="P580" i="1"/>
  <c r="M580" i="1"/>
  <c r="N580" i="1" s="1"/>
  <c r="O580" i="1" s="1"/>
  <c r="L580" i="1"/>
  <c r="K580" i="1"/>
  <c r="J580" i="1"/>
  <c r="R580" i="1" s="1"/>
  <c r="H580" i="1"/>
  <c r="G580" i="1"/>
  <c r="F580" i="1"/>
  <c r="E580" i="1"/>
  <c r="D580" i="1"/>
  <c r="I580" i="1" s="1"/>
  <c r="C580" i="1"/>
  <c r="B580" i="1"/>
  <c r="A580" i="1"/>
  <c r="T579" i="1"/>
  <c r="S579" i="1"/>
  <c r="Q579" i="1"/>
  <c r="P579" i="1"/>
  <c r="M579" i="1"/>
  <c r="N579" i="1" s="1"/>
  <c r="O579" i="1" s="1"/>
  <c r="L579" i="1"/>
  <c r="K579" i="1"/>
  <c r="J579" i="1"/>
  <c r="R579" i="1" s="1"/>
  <c r="H579" i="1"/>
  <c r="G579" i="1"/>
  <c r="F579" i="1"/>
  <c r="E579" i="1"/>
  <c r="D579" i="1"/>
  <c r="I579" i="1" s="1"/>
  <c r="C579" i="1"/>
  <c r="B579" i="1"/>
  <c r="A579" i="1"/>
  <c r="T578" i="1"/>
  <c r="S578" i="1"/>
  <c r="Q578" i="1"/>
  <c r="P578" i="1"/>
  <c r="M578" i="1"/>
  <c r="N578" i="1" s="1"/>
  <c r="O578" i="1" s="1"/>
  <c r="L578" i="1"/>
  <c r="K578" i="1"/>
  <c r="J578" i="1"/>
  <c r="R578" i="1" s="1"/>
  <c r="H578" i="1"/>
  <c r="G578" i="1"/>
  <c r="F578" i="1"/>
  <c r="E578" i="1"/>
  <c r="D578" i="1"/>
  <c r="I578" i="1" s="1"/>
  <c r="C578" i="1"/>
  <c r="B578" i="1"/>
  <c r="A578" i="1"/>
  <c r="T577" i="1"/>
  <c r="S577" i="1"/>
  <c r="Q577" i="1"/>
  <c r="P577" i="1"/>
  <c r="M577" i="1"/>
  <c r="N577" i="1" s="1"/>
  <c r="O577" i="1" s="1"/>
  <c r="L577" i="1"/>
  <c r="K577" i="1"/>
  <c r="J577" i="1"/>
  <c r="R577" i="1" s="1"/>
  <c r="H577" i="1"/>
  <c r="G577" i="1"/>
  <c r="F577" i="1"/>
  <c r="E577" i="1"/>
  <c r="D577" i="1"/>
  <c r="I577" i="1" s="1"/>
  <c r="C577" i="1"/>
  <c r="B577" i="1"/>
  <c r="A577" i="1"/>
  <c r="T576" i="1"/>
  <c r="S576" i="1"/>
  <c r="Q576" i="1"/>
  <c r="P576" i="1"/>
  <c r="M576" i="1"/>
  <c r="N576" i="1" s="1"/>
  <c r="O576" i="1" s="1"/>
  <c r="L576" i="1"/>
  <c r="K576" i="1"/>
  <c r="J576" i="1"/>
  <c r="R576" i="1" s="1"/>
  <c r="H576" i="1"/>
  <c r="G576" i="1"/>
  <c r="F576" i="1"/>
  <c r="E576" i="1"/>
  <c r="D576" i="1"/>
  <c r="I576" i="1" s="1"/>
  <c r="C576" i="1"/>
  <c r="B576" i="1"/>
  <c r="A576" i="1"/>
  <c r="T575" i="1"/>
  <c r="S575" i="1"/>
  <c r="Q575" i="1"/>
  <c r="P575" i="1"/>
  <c r="M575" i="1"/>
  <c r="N575" i="1" s="1"/>
  <c r="O575" i="1" s="1"/>
  <c r="L575" i="1"/>
  <c r="K575" i="1"/>
  <c r="J575" i="1"/>
  <c r="R575" i="1" s="1"/>
  <c r="H575" i="1"/>
  <c r="G575" i="1"/>
  <c r="F575" i="1"/>
  <c r="E575" i="1"/>
  <c r="D575" i="1"/>
  <c r="I575" i="1" s="1"/>
  <c r="C575" i="1"/>
  <c r="B575" i="1"/>
  <c r="A575" i="1"/>
  <c r="T574" i="1"/>
  <c r="S574" i="1"/>
  <c r="Q574" i="1"/>
  <c r="P574" i="1"/>
  <c r="M574" i="1"/>
  <c r="N574" i="1" s="1"/>
  <c r="O574" i="1" s="1"/>
  <c r="L574" i="1"/>
  <c r="K574" i="1"/>
  <c r="J574" i="1"/>
  <c r="R574" i="1" s="1"/>
  <c r="H574" i="1"/>
  <c r="G574" i="1"/>
  <c r="F574" i="1"/>
  <c r="E574" i="1"/>
  <c r="D574" i="1"/>
  <c r="I574" i="1" s="1"/>
  <c r="C574" i="1"/>
  <c r="B574" i="1"/>
  <c r="A574" i="1"/>
  <c r="T573" i="1"/>
  <c r="S573" i="1"/>
  <c r="Q573" i="1"/>
  <c r="P573" i="1"/>
  <c r="M573" i="1"/>
  <c r="N573" i="1" s="1"/>
  <c r="O573" i="1" s="1"/>
  <c r="L573" i="1"/>
  <c r="K573" i="1"/>
  <c r="J573" i="1"/>
  <c r="R573" i="1" s="1"/>
  <c r="H573" i="1"/>
  <c r="G573" i="1"/>
  <c r="F573" i="1"/>
  <c r="E573" i="1"/>
  <c r="D573" i="1"/>
  <c r="I573" i="1" s="1"/>
  <c r="C573" i="1"/>
  <c r="B573" i="1"/>
  <c r="A573" i="1"/>
  <c r="T572" i="1"/>
  <c r="S572" i="1"/>
  <c r="Q572" i="1"/>
  <c r="P572" i="1"/>
  <c r="M572" i="1"/>
  <c r="N572" i="1" s="1"/>
  <c r="O572" i="1" s="1"/>
  <c r="L572" i="1"/>
  <c r="K572" i="1"/>
  <c r="J572" i="1"/>
  <c r="R572" i="1" s="1"/>
  <c r="H572" i="1"/>
  <c r="G572" i="1"/>
  <c r="F572" i="1"/>
  <c r="E572" i="1"/>
  <c r="D572" i="1"/>
  <c r="I572" i="1" s="1"/>
  <c r="C572" i="1"/>
  <c r="B572" i="1"/>
  <c r="A572" i="1"/>
  <c r="T571" i="1"/>
  <c r="S571" i="1"/>
  <c r="Q571" i="1"/>
  <c r="P571" i="1"/>
  <c r="M571" i="1"/>
  <c r="N571" i="1" s="1"/>
  <c r="O571" i="1" s="1"/>
  <c r="L571" i="1"/>
  <c r="K571" i="1"/>
  <c r="J571" i="1"/>
  <c r="R571" i="1" s="1"/>
  <c r="H571" i="1"/>
  <c r="G571" i="1"/>
  <c r="F571" i="1"/>
  <c r="E571" i="1"/>
  <c r="D571" i="1"/>
  <c r="I571" i="1" s="1"/>
  <c r="C571" i="1"/>
  <c r="B571" i="1"/>
  <c r="A571" i="1"/>
  <c r="T570" i="1"/>
  <c r="S570" i="1"/>
  <c r="Q570" i="1"/>
  <c r="P570" i="1"/>
  <c r="M570" i="1"/>
  <c r="N570" i="1" s="1"/>
  <c r="O570" i="1" s="1"/>
  <c r="L570" i="1"/>
  <c r="K570" i="1"/>
  <c r="J570" i="1"/>
  <c r="R570" i="1" s="1"/>
  <c r="H570" i="1"/>
  <c r="G570" i="1"/>
  <c r="F570" i="1"/>
  <c r="E570" i="1"/>
  <c r="D570" i="1"/>
  <c r="I570" i="1" s="1"/>
  <c r="C570" i="1"/>
  <c r="B570" i="1"/>
  <c r="A570" i="1"/>
  <c r="T569" i="1"/>
  <c r="S569" i="1"/>
  <c r="Q569" i="1"/>
  <c r="P569" i="1"/>
  <c r="M569" i="1"/>
  <c r="N569" i="1" s="1"/>
  <c r="O569" i="1" s="1"/>
  <c r="L569" i="1"/>
  <c r="K569" i="1"/>
  <c r="J569" i="1"/>
  <c r="R569" i="1" s="1"/>
  <c r="H569" i="1"/>
  <c r="G569" i="1"/>
  <c r="F569" i="1"/>
  <c r="E569" i="1"/>
  <c r="D569" i="1"/>
  <c r="I569" i="1" s="1"/>
  <c r="C569" i="1"/>
  <c r="B569" i="1"/>
  <c r="A569" i="1"/>
  <c r="T568" i="1"/>
  <c r="S568" i="1"/>
  <c r="Q568" i="1"/>
  <c r="P568" i="1"/>
  <c r="M568" i="1"/>
  <c r="N568" i="1" s="1"/>
  <c r="O568" i="1" s="1"/>
  <c r="L568" i="1"/>
  <c r="K568" i="1"/>
  <c r="J568" i="1"/>
  <c r="R568" i="1" s="1"/>
  <c r="H568" i="1"/>
  <c r="G568" i="1"/>
  <c r="F568" i="1"/>
  <c r="E568" i="1"/>
  <c r="D568" i="1"/>
  <c r="I568" i="1" s="1"/>
  <c r="C568" i="1"/>
  <c r="B568" i="1"/>
  <c r="A568" i="1"/>
  <c r="T567" i="1"/>
  <c r="S567" i="1"/>
  <c r="Q567" i="1"/>
  <c r="P567" i="1"/>
  <c r="M567" i="1"/>
  <c r="N567" i="1" s="1"/>
  <c r="O567" i="1" s="1"/>
  <c r="L567" i="1"/>
  <c r="K567" i="1"/>
  <c r="J567" i="1"/>
  <c r="R567" i="1" s="1"/>
  <c r="H567" i="1"/>
  <c r="G567" i="1"/>
  <c r="F567" i="1"/>
  <c r="E567" i="1"/>
  <c r="D567" i="1"/>
  <c r="I567" i="1" s="1"/>
  <c r="C567" i="1"/>
  <c r="B567" i="1"/>
  <c r="A567" i="1"/>
  <c r="T566" i="1"/>
  <c r="S566" i="1"/>
  <c r="Q566" i="1"/>
  <c r="P566" i="1"/>
  <c r="M566" i="1"/>
  <c r="N566" i="1" s="1"/>
  <c r="O566" i="1" s="1"/>
  <c r="L566" i="1"/>
  <c r="K566" i="1"/>
  <c r="J566" i="1"/>
  <c r="R566" i="1" s="1"/>
  <c r="H566" i="1"/>
  <c r="G566" i="1"/>
  <c r="F566" i="1"/>
  <c r="E566" i="1"/>
  <c r="D566" i="1"/>
  <c r="I566" i="1" s="1"/>
  <c r="C566" i="1"/>
  <c r="B566" i="1"/>
  <c r="A566" i="1"/>
  <c r="T565" i="1"/>
  <c r="S565" i="1"/>
  <c r="Q565" i="1"/>
  <c r="P565" i="1"/>
  <c r="M565" i="1"/>
  <c r="N565" i="1" s="1"/>
  <c r="O565" i="1" s="1"/>
  <c r="L565" i="1"/>
  <c r="K565" i="1"/>
  <c r="J565" i="1"/>
  <c r="R565" i="1" s="1"/>
  <c r="H565" i="1"/>
  <c r="G565" i="1"/>
  <c r="F565" i="1"/>
  <c r="E565" i="1"/>
  <c r="D565" i="1"/>
  <c r="I565" i="1" s="1"/>
  <c r="C565" i="1"/>
  <c r="B565" i="1"/>
  <c r="A565" i="1"/>
  <c r="T564" i="1"/>
  <c r="S564" i="1"/>
  <c r="Q564" i="1"/>
  <c r="P564" i="1"/>
  <c r="M564" i="1"/>
  <c r="N564" i="1" s="1"/>
  <c r="O564" i="1" s="1"/>
  <c r="L564" i="1"/>
  <c r="K564" i="1"/>
  <c r="J564" i="1"/>
  <c r="R564" i="1" s="1"/>
  <c r="H564" i="1"/>
  <c r="G564" i="1"/>
  <c r="F564" i="1"/>
  <c r="E564" i="1"/>
  <c r="D564" i="1"/>
  <c r="I564" i="1" s="1"/>
  <c r="C564" i="1"/>
  <c r="B564" i="1"/>
  <c r="A564" i="1"/>
  <c r="T563" i="1"/>
  <c r="S563" i="1"/>
  <c r="Q563" i="1"/>
  <c r="P563" i="1"/>
  <c r="M563" i="1"/>
  <c r="N563" i="1" s="1"/>
  <c r="O563" i="1" s="1"/>
  <c r="L563" i="1"/>
  <c r="K563" i="1"/>
  <c r="J563" i="1"/>
  <c r="R563" i="1" s="1"/>
  <c r="H563" i="1"/>
  <c r="G563" i="1"/>
  <c r="F563" i="1"/>
  <c r="E563" i="1"/>
  <c r="D563" i="1"/>
  <c r="I563" i="1" s="1"/>
  <c r="C563" i="1"/>
  <c r="B563" i="1"/>
  <c r="A563" i="1"/>
  <c r="T562" i="1"/>
  <c r="S562" i="1"/>
  <c r="Q562" i="1"/>
  <c r="P562" i="1"/>
  <c r="M562" i="1"/>
  <c r="N562" i="1" s="1"/>
  <c r="O562" i="1" s="1"/>
  <c r="L562" i="1"/>
  <c r="K562" i="1"/>
  <c r="J562" i="1"/>
  <c r="R562" i="1" s="1"/>
  <c r="H562" i="1"/>
  <c r="G562" i="1"/>
  <c r="F562" i="1"/>
  <c r="E562" i="1"/>
  <c r="D562" i="1"/>
  <c r="I562" i="1" s="1"/>
  <c r="C562" i="1"/>
  <c r="B562" i="1"/>
  <c r="A562" i="1"/>
  <c r="T561" i="1"/>
  <c r="S561" i="1"/>
  <c r="Q561" i="1"/>
  <c r="P561" i="1"/>
  <c r="M561" i="1"/>
  <c r="N561" i="1" s="1"/>
  <c r="O561" i="1" s="1"/>
  <c r="L561" i="1"/>
  <c r="K561" i="1"/>
  <c r="J561" i="1"/>
  <c r="R561" i="1" s="1"/>
  <c r="H561" i="1"/>
  <c r="G561" i="1"/>
  <c r="F561" i="1"/>
  <c r="E561" i="1"/>
  <c r="D561" i="1"/>
  <c r="I561" i="1" s="1"/>
  <c r="C561" i="1"/>
  <c r="B561" i="1"/>
  <c r="A561" i="1"/>
  <c r="T560" i="1"/>
  <c r="S560" i="1"/>
  <c r="Q560" i="1"/>
  <c r="P560" i="1"/>
  <c r="M560" i="1"/>
  <c r="N560" i="1" s="1"/>
  <c r="O560" i="1" s="1"/>
  <c r="L560" i="1"/>
  <c r="K560" i="1"/>
  <c r="J560" i="1"/>
  <c r="R560" i="1" s="1"/>
  <c r="H560" i="1"/>
  <c r="G560" i="1"/>
  <c r="F560" i="1"/>
  <c r="E560" i="1"/>
  <c r="D560" i="1"/>
  <c r="I560" i="1" s="1"/>
  <c r="C560" i="1"/>
  <c r="B560" i="1"/>
  <c r="A560" i="1"/>
  <c r="T559" i="1"/>
  <c r="S559" i="1"/>
  <c r="Q559" i="1"/>
  <c r="P559" i="1"/>
  <c r="M559" i="1"/>
  <c r="N559" i="1" s="1"/>
  <c r="O559" i="1" s="1"/>
  <c r="L559" i="1"/>
  <c r="K559" i="1"/>
  <c r="J559" i="1"/>
  <c r="R559" i="1" s="1"/>
  <c r="H559" i="1"/>
  <c r="G559" i="1"/>
  <c r="F559" i="1"/>
  <c r="E559" i="1"/>
  <c r="D559" i="1"/>
  <c r="I559" i="1" s="1"/>
  <c r="C559" i="1"/>
  <c r="B559" i="1"/>
  <c r="A559" i="1"/>
  <c r="T558" i="1"/>
  <c r="S558" i="1"/>
  <c r="Q558" i="1"/>
  <c r="P558" i="1"/>
  <c r="M558" i="1"/>
  <c r="N558" i="1" s="1"/>
  <c r="O558" i="1" s="1"/>
  <c r="L558" i="1"/>
  <c r="K558" i="1"/>
  <c r="J558" i="1"/>
  <c r="R558" i="1" s="1"/>
  <c r="H558" i="1"/>
  <c r="G558" i="1"/>
  <c r="F558" i="1"/>
  <c r="E558" i="1"/>
  <c r="D558" i="1"/>
  <c r="I558" i="1" s="1"/>
  <c r="C558" i="1"/>
  <c r="B558" i="1"/>
  <c r="A558" i="1"/>
  <c r="T557" i="1"/>
  <c r="S557" i="1"/>
  <c r="Q557" i="1"/>
  <c r="P557" i="1"/>
  <c r="M557" i="1"/>
  <c r="N557" i="1" s="1"/>
  <c r="O557" i="1" s="1"/>
  <c r="L557" i="1"/>
  <c r="K557" i="1"/>
  <c r="J557" i="1"/>
  <c r="R557" i="1" s="1"/>
  <c r="H557" i="1"/>
  <c r="G557" i="1"/>
  <c r="F557" i="1"/>
  <c r="E557" i="1"/>
  <c r="D557" i="1"/>
  <c r="I557" i="1" s="1"/>
  <c r="C557" i="1"/>
  <c r="B557" i="1"/>
  <c r="A557" i="1"/>
  <c r="T556" i="1"/>
  <c r="S556" i="1"/>
  <c r="Q556" i="1"/>
  <c r="P556" i="1"/>
  <c r="M556" i="1"/>
  <c r="N556" i="1" s="1"/>
  <c r="O556" i="1" s="1"/>
  <c r="L556" i="1"/>
  <c r="K556" i="1"/>
  <c r="J556" i="1"/>
  <c r="R556" i="1" s="1"/>
  <c r="H556" i="1"/>
  <c r="G556" i="1"/>
  <c r="F556" i="1"/>
  <c r="E556" i="1"/>
  <c r="D556" i="1"/>
  <c r="I556" i="1" s="1"/>
  <c r="C556" i="1"/>
  <c r="B556" i="1"/>
  <c r="A556" i="1"/>
  <c r="T555" i="1"/>
  <c r="S555" i="1"/>
  <c r="Q555" i="1"/>
  <c r="P555" i="1"/>
  <c r="M555" i="1"/>
  <c r="N555" i="1" s="1"/>
  <c r="O555" i="1" s="1"/>
  <c r="L555" i="1"/>
  <c r="K555" i="1"/>
  <c r="J555" i="1"/>
  <c r="R555" i="1" s="1"/>
  <c r="H555" i="1"/>
  <c r="G555" i="1"/>
  <c r="F555" i="1"/>
  <c r="E555" i="1"/>
  <c r="D555" i="1"/>
  <c r="I555" i="1" s="1"/>
  <c r="C555" i="1"/>
  <c r="B555" i="1"/>
  <c r="A555" i="1"/>
  <c r="T554" i="1"/>
  <c r="S554" i="1"/>
  <c r="Q554" i="1"/>
  <c r="P554" i="1"/>
  <c r="M554" i="1"/>
  <c r="N554" i="1" s="1"/>
  <c r="O554" i="1" s="1"/>
  <c r="L554" i="1"/>
  <c r="K554" i="1"/>
  <c r="J554" i="1"/>
  <c r="R554" i="1" s="1"/>
  <c r="H554" i="1"/>
  <c r="G554" i="1"/>
  <c r="F554" i="1"/>
  <c r="E554" i="1"/>
  <c r="D554" i="1"/>
  <c r="I554" i="1" s="1"/>
  <c r="C554" i="1"/>
  <c r="B554" i="1"/>
  <c r="A554" i="1"/>
  <c r="T553" i="1"/>
  <c r="S553" i="1"/>
  <c r="Q553" i="1"/>
  <c r="P553" i="1"/>
  <c r="M553" i="1"/>
  <c r="N553" i="1" s="1"/>
  <c r="O553" i="1" s="1"/>
  <c r="L553" i="1"/>
  <c r="K553" i="1"/>
  <c r="J553" i="1"/>
  <c r="R553" i="1" s="1"/>
  <c r="H553" i="1"/>
  <c r="G553" i="1"/>
  <c r="F553" i="1"/>
  <c r="E553" i="1"/>
  <c r="D553" i="1"/>
  <c r="I553" i="1" s="1"/>
  <c r="C553" i="1"/>
  <c r="B553" i="1"/>
  <c r="A553" i="1"/>
  <c r="T552" i="1"/>
  <c r="S552" i="1"/>
  <c r="Q552" i="1"/>
  <c r="P552" i="1"/>
  <c r="M552" i="1"/>
  <c r="N552" i="1" s="1"/>
  <c r="O552" i="1" s="1"/>
  <c r="L552" i="1"/>
  <c r="K552" i="1"/>
  <c r="J552" i="1"/>
  <c r="R552" i="1" s="1"/>
  <c r="H552" i="1"/>
  <c r="G552" i="1"/>
  <c r="F552" i="1"/>
  <c r="E552" i="1"/>
  <c r="D552" i="1"/>
  <c r="I552" i="1" s="1"/>
  <c r="C552" i="1"/>
  <c r="B552" i="1"/>
  <c r="A552" i="1"/>
  <c r="T551" i="1"/>
  <c r="S551" i="1"/>
  <c r="Q551" i="1"/>
  <c r="P551" i="1"/>
  <c r="M551" i="1"/>
  <c r="N551" i="1" s="1"/>
  <c r="O551" i="1" s="1"/>
  <c r="L551" i="1"/>
  <c r="K551" i="1"/>
  <c r="J551" i="1"/>
  <c r="R551" i="1" s="1"/>
  <c r="H551" i="1"/>
  <c r="G551" i="1"/>
  <c r="F551" i="1"/>
  <c r="E551" i="1"/>
  <c r="D551" i="1"/>
  <c r="I551" i="1" s="1"/>
  <c r="C551" i="1"/>
  <c r="B551" i="1"/>
  <c r="A551" i="1"/>
  <c r="T550" i="1"/>
  <c r="S550" i="1"/>
  <c r="Q550" i="1"/>
  <c r="P550" i="1"/>
  <c r="M550" i="1"/>
  <c r="N550" i="1" s="1"/>
  <c r="O550" i="1" s="1"/>
  <c r="L550" i="1"/>
  <c r="K550" i="1"/>
  <c r="J550" i="1"/>
  <c r="R550" i="1" s="1"/>
  <c r="H550" i="1"/>
  <c r="G550" i="1"/>
  <c r="F550" i="1"/>
  <c r="E550" i="1"/>
  <c r="D550" i="1"/>
  <c r="I550" i="1" s="1"/>
  <c r="C550" i="1"/>
  <c r="B550" i="1"/>
  <c r="A550" i="1"/>
  <c r="T549" i="1"/>
  <c r="S549" i="1"/>
  <c r="Q549" i="1"/>
  <c r="P549" i="1"/>
  <c r="M549" i="1"/>
  <c r="N549" i="1" s="1"/>
  <c r="O549" i="1" s="1"/>
  <c r="L549" i="1"/>
  <c r="K549" i="1"/>
  <c r="J549" i="1"/>
  <c r="R549" i="1" s="1"/>
  <c r="H549" i="1"/>
  <c r="G549" i="1"/>
  <c r="F549" i="1"/>
  <c r="E549" i="1"/>
  <c r="D549" i="1"/>
  <c r="I549" i="1" s="1"/>
  <c r="C549" i="1"/>
  <c r="B549" i="1"/>
  <c r="A549" i="1"/>
  <c r="T548" i="1"/>
  <c r="S548" i="1"/>
  <c r="Q548" i="1"/>
  <c r="P548" i="1"/>
  <c r="M548" i="1"/>
  <c r="N548" i="1" s="1"/>
  <c r="O548" i="1" s="1"/>
  <c r="L548" i="1"/>
  <c r="K548" i="1"/>
  <c r="J548" i="1"/>
  <c r="R548" i="1" s="1"/>
  <c r="H548" i="1"/>
  <c r="G548" i="1"/>
  <c r="F548" i="1"/>
  <c r="E548" i="1"/>
  <c r="D548" i="1"/>
  <c r="I548" i="1" s="1"/>
  <c r="C548" i="1"/>
  <c r="B548" i="1"/>
  <c r="A548" i="1"/>
  <c r="T547" i="1"/>
  <c r="S547" i="1"/>
  <c r="Q547" i="1"/>
  <c r="P547" i="1"/>
  <c r="M547" i="1"/>
  <c r="N547" i="1" s="1"/>
  <c r="O547" i="1" s="1"/>
  <c r="L547" i="1"/>
  <c r="K547" i="1"/>
  <c r="J547" i="1"/>
  <c r="R547" i="1" s="1"/>
  <c r="H547" i="1"/>
  <c r="G547" i="1"/>
  <c r="F547" i="1"/>
  <c r="E547" i="1"/>
  <c r="D547" i="1"/>
  <c r="I547" i="1" s="1"/>
  <c r="C547" i="1"/>
  <c r="B547" i="1"/>
  <c r="A547" i="1"/>
  <c r="T546" i="1"/>
  <c r="S546" i="1"/>
  <c r="Q546" i="1"/>
  <c r="P546" i="1"/>
  <c r="M546" i="1"/>
  <c r="N546" i="1" s="1"/>
  <c r="O546" i="1" s="1"/>
  <c r="L546" i="1"/>
  <c r="K546" i="1"/>
  <c r="J546" i="1"/>
  <c r="R546" i="1" s="1"/>
  <c r="H546" i="1"/>
  <c r="G546" i="1"/>
  <c r="F546" i="1"/>
  <c r="E546" i="1"/>
  <c r="D546" i="1"/>
  <c r="I546" i="1" s="1"/>
  <c r="C546" i="1"/>
  <c r="B546" i="1"/>
  <c r="A546" i="1"/>
  <c r="T545" i="1"/>
  <c r="S545" i="1"/>
  <c r="Q545" i="1"/>
  <c r="P545" i="1"/>
  <c r="M545" i="1"/>
  <c r="N545" i="1" s="1"/>
  <c r="O545" i="1" s="1"/>
  <c r="L545" i="1"/>
  <c r="K545" i="1"/>
  <c r="J545" i="1"/>
  <c r="R545" i="1" s="1"/>
  <c r="H545" i="1"/>
  <c r="G545" i="1"/>
  <c r="F545" i="1"/>
  <c r="E545" i="1"/>
  <c r="D545" i="1"/>
  <c r="I545" i="1" s="1"/>
  <c r="C545" i="1"/>
  <c r="B545" i="1"/>
  <c r="A545" i="1"/>
  <c r="T544" i="1"/>
  <c r="S544" i="1"/>
  <c r="Q544" i="1"/>
  <c r="P544" i="1"/>
  <c r="M544" i="1"/>
  <c r="N544" i="1" s="1"/>
  <c r="O544" i="1" s="1"/>
  <c r="L544" i="1"/>
  <c r="K544" i="1"/>
  <c r="J544" i="1"/>
  <c r="R544" i="1" s="1"/>
  <c r="H544" i="1"/>
  <c r="G544" i="1"/>
  <c r="F544" i="1"/>
  <c r="E544" i="1"/>
  <c r="D544" i="1"/>
  <c r="I544" i="1" s="1"/>
  <c r="C544" i="1"/>
  <c r="B544" i="1"/>
  <c r="A544" i="1"/>
  <c r="T543" i="1"/>
  <c r="S543" i="1"/>
  <c r="Q543" i="1"/>
  <c r="P543" i="1"/>
  <c r="M543" i="1"/>
  <c r="N543" i="1" s="1"/>
  <c r="O543" i="1" s="1"/>
  <c r="L543" i="1"/>
  <c r="K543" i="1"/>
  <c r="J543" i="1"/>
  <c r="R543" i="1" s="1"/>
  <c r="H543" i="1"/>
  <c r="G543" i="1"/>
  <c r="F543" i="1"/>
  <c r="E543" i="1"/>
  <c r="D543" i="1"/>
  <c r="I543" i="1" s="1"/>
  <c r="C543" i="1"/>
  <c r="B543" i="1"/>
  <c r="A543" i="1"/>
  <c r="T542" i="1"/>
  <c r="S542" i="1"/>
  <c r="Q542" i="1"/>
  <c r="P542" i="1"/>
  <c r="M542" i="1"/>
  <c r="N542" i="1" s="1"/>
  <c r="O542" i="1" s="1"/>
  <c r="L542" i="1"/>
  <c r="K542" i="1"/>
  <c r="J542" i="1"/>
  <c r="R542" i="1" s="1"/>
  <c r="H542" i="1"/>
  <c r="G542" i="1"/>
  <c r="F542" i="1"/>
  <c r="E542" i="1"/>
  <c r="D542" i="1"/>
  <c r="I542" i="1" s="1"/>
  <c r="C542" i="1"/>
  <c r="B542" i="1"/>
  <c r="A542" i="1"/>
  <c r="T541" i="1"/>
  <c r="S541" i="1"/>
  <c r="Q541" i="1"/>
  <c r="P541" i="1"/>
  <c r="M541" i="1"/>
  <c r="N541" i="1" s="1"/>
  <c r="O541" i="1" s="1"/>
  <c r="L541" i="1"/>
  <c r="K541" i="1"/>
  <c r="J541" i="1"/>
  <c r="R541" i="1" s="1"/>
  <c r="H541" i="1"/>
  <c r="G541" i="1"/>
  <c r="F541" i="1"/>
  <c r="E541" i="1"/>
  <c r="D541" i="1"/>
  <c r="I541" i="1" s="1"/>
  <c r="C541" i="1"/>
  <c r="B541" i="1"/>
  <c r="A541" i="1"/>
  <c r="T540" i="1"/>
  <c r="S540" i="1"/>
  <c r="Q540" i="1"/>
  <c r="P540" i="1"/>
  <c r="M540" i="1"/>
  <c r="N540" i="1" s="1"/>
  <c r="O540" i="1" s="1"/>
  <c r="L540" i="1"/>
  <c r="K540" i="1"/>
  <c r="J540" i="1"/>
  <c r="R540" i="1" s="1"/>
  <c r="H540" i="1"/>
  <c r="G540" i="1"/>
  <c r="F540" i="1"/>
  <c r="E540" i="1"/>
  <c r="D540" i="1"/>
  <c r="I540" i="1" s="1"/>
  <c r="C540" i="1"/>
  <c r="B540" i="1"/>
  <c r="A540" i="1"/>
  <c r="T539" i="1"/>
  <c r="S539" i="1"/>
  <c r="Q539" i="1"/>
  <c r="P539" i="1"/>
  <c r="M539" i="1"/>
  <c r="N539" i="1" s="1"/>
  <c r="O539" i="1" s="1"/>
  <c r="L539" i="1"/>
  <c r="K539" i="1"/>
  <c r="J539" i="1"/>
  <c r="R539" i="1" s="1"/>
  <c r="H539" i="1"/>
  <c r="G539" i="1"/>
  <c r="F539" i="1"/>
  <c r="E539" i="1"/>
  <c r="D539" i="1"/>
  <c r="I539" i="1" s="1"/>
  <c r="C539" i="1"/>
  <c r="B539" i="1"/>
  <c r="A539" i="1"/>
  <c r="T538" i="1"/>
  <c r="S538" i="1"/>
  <c r="Q538" i="1"/>
  <c r="P538" i="1"/>
  <c r="M538" i="1"/>
  <c r="N538" i="1" s="1"/>
  <c r="O538" i="1" s="1"/>
  <c r="L538" i="1"/>
  <c r="K538" i="1"/>
  <c r="J538" i="1"/>
  <c r="R538" i="1" s="1"/>
  <c r="H538" i="1"/>
  <c r="G538" i="1"/>
  <c r="F538" i="1"/>
  <c r="E538" i="1"/>
  <c r="D538" i="1"/>
  <c r="I538" i="1" s="1"/>
  <c r="C538" i="1"/>
  <c r="B538" i="1"/>
  <c r="A538" i="1"/>
  <c r="T537" i="1"/>
  <c r="S537" i="1"/>
  <c r="Q537" i="1"/>
  <c r="P537" i="1"/>
  <c r="M537" i="1"/>
  <c r="N537" i="1" s="1"/>
  <c r="O537" i="1" s="1"/>
  <c r="L537" i="1"/>
  <c r="K537" i="1"/>
  <c r="J537" i="1"/>
  <c r="R537" i="1" s="1"/>
  <c r="H537" i="1"/>
  <c r="G537" i="1"/>
  <c r="F537" i="1"/>
  <c r="E537" i="1"/>
  <c r="D537" i="1"/>
  <c r="I537" i="1" s="1"/>
  <c r="C537" i="1"/>
  <c r="B537" i="1"/>
  <c r="A537" i="1"/>
  <c r="T536" i="1"/>
  <c r="S536" i="1"/>
  <c r="Q536" i="1"/>
  <c r="P536" i="1"/>
  <c r="M536" i="1"/>
  <c r="N536" i="1" s="1"/>
  <c r="O536" i="1" s="1"/>
  <c r="L536" i="1"/>
  <c r="K536" i="1"/>
  <c r="J536" i="1"/>
  <c r="R536" i="1" s="1"/>
  <c r="H536" i="1"/>
  <c r="G536" i="1"/>
  <c r="F536" i="1"/>
  <c r="E536" i="1"/>
  <c r="D536" i="1"/>
  <c r="I536" i="1" s="1"/>
  <c r="C536" i="1"/>
  <c r="B536" i="1"/>
  <c r="A536" i="1"/>
  <c r="T535" i="1"/>
  <c r="S535" i="1"/>
  <c r="Q535" i="1"/>
  <c r="P535" i="1"/>
  <c r="M535" i="1"/>
  <c r="N535" i="1" s="1"/>
  <c r="O535" i="1" s="1"/>
  <c r="L535" i="1"/>
  <c r="K535" i="1"/>
  <c r="J535" i="1"/>
  <c r="R535" i="1" s="1"/>
  <c r="H535" i="1"/>
  <c r="G535" i="1"/>
  <c r="F535" i="1"/>
  <c r="E535" i="1"/>
  <c r="D535" i="1"/>
  <c r="I535" i="1" s="1"/>
  <c r="C535" i="1"/>
  <c r="B535" i="1"/>
  <c r="A535" i="1"/>
  <c r="T534" i="1"/>
  <c r="S534" i="1"/>
  <c r="Q534" i="1"/>
  <c r="P534" i="1"/>
  <c r="M534" i="1"/>
  <c r="N534" i="1" s="1"/>
  <c r="O534" i="1" s="1"/>
  <c r="L534" i="1"/>
  <c r="K534" i="1"/>
  <c r="J534" i="1"/>
  <c r="R534" i="1" s="1"/>
  <c r="H534" i="1"/>
  <c r="G534" i="1"/>
  <c r="F534" i="1"/>
  <c r="E534" i="1"/>
  <c r="D534" i="1"/>
  <c r="I534" i="1" s="1"/>
  <c r="C534" i="1"/>
  <c r="B534" i="1"/>
  <c r="A534" i="1"/>
  <c r="T533" i="1"/>
  <c r="S533" i="1"/>
  <c r="Q533" i="1"/>
  <c r="P533" i="1"/>
  <c r="M533" i="1"/>
  <c r="N533" i="1" s="1"/>
  <c r="O533" i="1" s="1"/>
  <c r="L533" i="1"/>
  <c r="K533" i="1"/>
  <c r="J533" i="1"/>
  <c r="R533" i="1" s="1"/>
  <c r="H533" i="1"/>
  <c r="G533" i="1"/>
  <c r="F533" i="1"/>
  <c r="E533" i="1"/>
  <c r="D533" i="1"/>
  <c r="I533" i="1" s="1"/>
  <c r="C533" i="1"/>
  <c r="B533" i="1"/>
  <c r="A533" i="1"/>
  <c r="T532" i="1"/>
  <c r="S532" i="1"/>
  <c r="Q532" i="1"/>
  <c r="P532" i="1"/>
  <c r="M532" i="1"/>
  <c r="N532" i="1" s="1"/>
  <c r="O532" i="1" s="1"/>
  <c r="L532" i="1"/>
  <c r="K532" i="1"/>
  <c r="J532" i="1"/>
  <c r="R532" i="1" s="1"/>
  <c r="H532" i="1"/>
  <c r="G532" i="1"/>
  <c r="F532" i="1"/>
  <c r="E532" i="1"/>
  <c r="D532" i="1"/>
  <c r="I532" i="1" s="1"/>
  <c r="C532" i="1"/>
  <c r="B532" i="1"/>
  <c r="A532" i="1"/>
  <c r="T531" i="1"/>
  <c r="S531" i="1"/>
  <c r="Q531" i="1"/>
  <c r="P531" i="1"/>
  <c r="M531" i="1"/>
  <c r="N531" i="1" s="1"/>
  <c r="O531" i="1" s="1"/>
  <c r="L531" i="1"/>
  <c r="K531" i="1"/>
  <c r="J531" i="1"/>
  <c r="R531" i="1" s="1"/>
  <c r="H531" i="1"/>
  <c r="G531" i="1"/>
  <c r="F531" i="1"/>
  <c r="E531" i="1"/>
  <c r="D531" i="1"/>
  <c r="I531" i="1" s="1"/>
  <c r="C531" i="1"/>
  <c r="B531" i="1"/>
  <c r="A531" i="1"/>
  <c r="T530" i="1"/>
  <c r="S530" i="1"/>
  <c r="Q530" i="1"/>
  <c r="P530" i="1"/>
  <c r="M530" i="1"/>
  <c r="N530" i="1" s="1"/>
  <c r="O530" i="1" s="1"/>
  <c r="L530" i="1"/>
  <c r="K530" i="1"/>
  <c r="J530" i="1"/>
  <c r="R530" i="1" s="1"/>
  <c r="H530" i="1"/>
  <c r="G530" i="1"/>
  <c r="F530" i="1"/>
  <c r="E530" i="1"/>
  <c r="D530" i="1"/>
  <c r="I530" i="1" s="1"/>
  <c r="C530" i="1"/>
  <c r="B530" i="1"/>
  <c r="A530" i="1"/>
  <c r="T529" i="1"/>
  <c r="S529" i="1"/>
  <c r="Q529" i="1"/>
  <c r="P529" i="1"/>
  <c r="M529" i="1"/>
  <c r="N529" i="1" s="1"/>
  <c r="O529" i="1" s="1"/>
  <c r="L529" i="1"/>
  <c r="K529" i="1"/>
  <c r="J529" i="1"/>
  <c r="R529" i="1" s="1"/>
  <c r="H529" i="1"/>
  <c r="G529" i="1"/>
  <c r="F529" i="1"/>
  <c r="E529" i="1"/>
  <c r="D529" i="1"/>
  <c r="I529" i="1" s="1"/>
  <c r="C529" i="1"/>
  <c r="B529" i="1"/>
  <c r="A529" i="1"/>
  <c r="T528" i="1"/>
  <c r="S528" i="1"/>
  <c r="Q528" i="1"/>
  <c r="P528" i="1"/>
  <c r="M528" i="1"/>
  <c r="N528" i="1" s="1"/>
  <c r="O528" i="1" s="1"/>
  <c r="L528" i="1"/>
  <c r="K528" i="1"/>
  <c r="J528" i="1"/>
  <c r="R528" i="1" s="1"/>
  <c r="H528" i="1"/>
  <c r="G528" i="1"/>
  <c r="F528" i="1"/>
  <c r="E528" i="1"/>
  <c r="D528" i="1"/>
  <c r="I528" i="1" s="1"/>
  <c r="C528" i="1"/>
  <c r="B528" i="1"/>
  <c r="A528" i="1"/>
  <c r="T527" i="1"/>
  <c r="S527" i="1"/>
  <c r="Q527" i="1"/>
  <c r="P527" i="1"/>
  <c r="M527" i="1"/>
  <c r="N527" i="1" s="1"/>
  <c r="O527" i="1" s="1"/>
  <c r="L527" i="1"/>
  <c r="K527" i="1"/>
  <c r="J527" i="1"/>
  <c r="R527" i="1" s="1"/>
  <c r="H527" i="1"/>
  <c r="G527" i="1"/>
  <c r="F527" i="1"/>
  <c r="E527" i="1"/>
  <c r="D527" i="1"/>
  <c r="I527" i="1" s="1"/>
  <c r="C527" i="1"/>
  <c r="B527" i="1"/>
  <c r="A527" i="1"/>
  <c r="T526" i="1"/>
  <c r="S526" i="1"/>
  <c r="Q526" i="1"/>
  <c r="P526" i="1"/>
  <c r="M526" i="1"/>
  <c r="N526" i="1" s="1"/>
  <c r="O526" i="1" s="1"/>
  <c r="L526" i="1"/>
  <c r="K526" i="1"/>
  <c r="J526" i="1"/>
  <c r="R526" i="1" s="1"/>
  <c r="H526" i="1"/>
  <c r="G526" i="1"/>
  <c r="F526" i="1"/>
  <c r="E526" i="1"/>
  <c r="D526" i="1"/>
  <c r="I526" i="1" s="1"/>
  <c r="C526" i="1"/>
  <c r="B526" i="1"/>
  <c r="A526" i="1"/>
  <c r="T525" i="1"/>
  <c r="S525" i="1"/>
  <c r="Q525" i="1"/>
  <c r="P525" i="1"/>
  <c r="M525" i="1"/>
  <c r="N525" i="1" s="1"/>
  <c r="O525" i="1" s="1"/>
  <c r="L525" i="1"/>
  <c r="K525" i="1"/>
  <c r="J525" i="1"/>
  <c r="R525" i="1" s="1"/>
  <c r="H525" i="1"/>
  <c r="G525" i="1"/>
  <c r="F525" i="1"/>
  <c r="E525" i="1"/>
  <c r="D525" i="1"/>
  <c r="I525" i="1" s="1"/>
  <c r="C525" i="1"/>
  <c r="B525" i="1"/>
  <c r="A525" i="1"/>
  <c r="T524" i="1"/>
  <c r="S524" i="1"/>
  <c r="Q524" i="1"/>
  <c r="P524" i="1"/>
  <c r="M524" i="1"/>
  <c r="N524" i="1" s="1"/>
  <c r="O524" i="1" s="1"/>
  <c r="L524" i="1"/>
  <c r="K524" i="1"/>
  <c r="J524" i="1"/>
  <c r="R524" i="1" s="1"/>
  <c r="H524" i="1"/>
  <c r="G524" i="1"/>
  <c r="F524" i="1"/>
  <c r="E524" i="1"/>
  <c r="D524" i="1"/>
  <c r="I524" i="1" s="1"/>
  <c r="C524" i="1"/>
  <c r="B524" i="1"/>
  <c r="A524" i="1"/>
  <c r="T523" i="1"/>
  <c r="S523" i="1"/>
  <c r="Q523" i="1"/>
  <c r="P523" i="1"/>
  <c r="M523" i="1"/>
  <c r="N523" i="1" s="1"/>
  <c r="O523" i="1" s="1"/>
  <c r="L523" i="1"/>
  <c r="K523" i="1"/>
  <c r="J523" i="1"/>
  <c r="R523" i="1" s="1"/>
  <c r="H523" i="1"/>
  <c r="G523" i="1"/>
  <c r="F523" i="1"/>
  <c r="E523" i="1"/>
  <c r="D523" i="1"/>
  <c r="I523" i="1" s="1"/>
  <c r="C523" i="1"/>
  <c r="B523" i="1"/>
  <c r="A523" i="1"/>
  <c r="T522" i="1"/>
  <c r="S522" i="1"/>
  <c r="Q522" i="1"/>
  <c r="P522" i="1"/>
  <c r="M522" i="1"/>
  <c r="N522" i="1" s="1"/>
  <c r="O522" i="1" s="1"/>
  <c r="L522" i="1"/>
  <c r="K522" i="1"/>
  <c r="J522" i="1"/>
  <c r="R522" i="1" s="1"/>
  <c r="H522" i="1"/>
  <c r="G522" i="1"/>
  <c r="F522" i="1"/>
  <c r="E522" i="1"/>
  <c r="D522" i="1"/>
  <c r="I522" i="1" s="1"/>
  <c r="C522" i="1"/>
  <c r="B522" i="1"/>
  <c r="A522" i="1"/>
  <c r="T521" i="1"/>
  <c r="S521" i="1"/>
  <c r="Q521" i="1"/>
  <c r="P521" i="1"/>
  <c r="M521" i="1"/>
  <c r="N521" i="1" s="1"/>
  <c r="O521" i="1" s="1"/>
  <c r="L521" i="1"/>
  <c r="K521" i="1"/>
  <c r="J521" i="1"/>
  <c r="R521" i="1" s="1"/>
  <c r="H521" i="1"/>
  <c r="G521" i="1"/>
  <c r="F521" i="1"/>
  <c r="E521" i="1"/>
  <c r="D521" i="1"/>
  <c r="I521" i="1" s="1"/>
  <c r="C521" i="1"/>
  <c r="B521" i="1"/>
  <c r="A521" i="1"/>
  <c r="T520" i="1"/>
  <c r="S520" i="1"/>
  <c r="Q520" i="1"/>
  <c r="P520" i="1"/>
  <c r="M520" i="1"/>
  <c r="N520" i="1" s="1"/>
  <c r="O520" i="1" s="1"/>
  <c r="L520" i="1"/>
  <c r="K520" i="1"/>
  <c r="J520" i="1"/>
  <c r="R520" i="1" s="1"/>
  <c r="H520" i="1"/>
  <c r="G520" i="1"/>
  <c r="F520" i="1"/>
  <c r="E520" i="1"/>
  <c r="D520" i="1"/>
  <c r="I520" i="1" s="1"/>
  <c r="C520" i="1"/>
  <c r="B520" i="1"/>
  <c r="A520" i="1"/>
  <c r="T519" i="1"/>
  <c r="S519" i="1"/>
  <c r="Q519" i="1"/>
  <c r="P519" i="1"/>
  <c r="M519" i="1"/>
  <c r="N519" i="1" s="1"/>
  <c r="O519" i="1" s="1"/>
  <c r="L519" i="1"/>
  <c r="K519" i="1"/>
  <c r="J519" i="1"/>
  <c r="R519" i="1" s="1"/>
  <c r="H519" i="1"/>
  <c r="G519" i="1"/>
  <c r="F519" i="1"/>
  <c r="E519" i="1"/>
  <c r="D519" i="1"/>
  <c r="I519" i="1" s="1"/>
  <c r="C519" i="1"/>
  <c r="B519" i="1"/>
  <c r="A519" i="1"/>
  <c r="T518" i="1"/>
  <c r="S518" i="1"/>
  <c r="Q518" i="1"/>
  <c r="P518" i="1"/>
  <c r="M518" i="1"/>
  <c r="N518" i="1" s="1"/>
  <c r="O518" i="1" s="1"/>
  <c r="L518" i="1"/>
  <c r="K518" i="1"/>
  <c r="J518" i="1"/>
  <c r="R518" i="1" s="1"/>
  <c r="H518" i="1"/>
  <c r="G518" i="1"/>
  <c r="F518" i="1"/>
  <c r="E518" i="1"/>
  <c r="D518" i="1"/>
  <c r="I518" i="1" s="1"/>
  <c r="C518" i="1"/>
  <c r="B518" i="1"/>
  <c r="A518" i="1"/>
  <c r="T517" i="1"/>
  <c r="S517" i="1"/>
  <c r="Q517" i="1"/>
  <c r="P517" i="1"/>
  <c r="M517" i="1"/>
  <c r="N517" i="1" s="1"/>
  <c r="O517" i="1" s="1"/>
  <c r="L517" i="1"/>
  <c r="K517" i="1"/>
  <c r="J517" i="1"/>
  <c r="R517" i="1" s="1"/>
  <c r="H517" i="1"/>
  <c r="G517" i="1"/>
  <c r="F517" i="1"/>
  <c r="E517" i="1"/>
  <c r="D517" i="1"/>
  <c r="I517" i="1" s="1"/>
  <c r="C517" i="1"/>
  <c r="B517" i="1"/>
  <c r="A517" i="1"/>
  <c r="T516" i="1"/>
  <c r="S516" i="1"/>
  <c r="Q516" i="1"/>
  <c r="P516" i="1"/>
  <c r="M516" i="1"/>
  <c r="N516" i="1" s="1"/>
  <c r="O516" i="1" s="1"/>
  <c r="L516" i="1"/>
  <c r="K516" i="1"/>
  <c r="J516" i="1"/>
  <c r="R516" i="1" s="1"/>
  <c r="H516" i="1"/>
  <c r="G516" i="1"/>
  <c r="F516" i="1"/>
  <c r="E516" i="1"/>
  <c r="D516" i="1"/>
  <c r="I516" i="1" s="1"/>
  <c r="C516" i="1"/>
  <c r="B516" i="1"/>
  <c r="A516" i="1"/>
  <c r="T515" i="1"/>
  <c r="S515" i="1"/>
  <c r="Q515" i="1"/>
  <c r="P515" i="1"/>
  <c r="M515" i="1"/>
  <c r="N515" i="1" s="1"/>
  <c r="O515" i="1" s="1"/>
  <c r="L515" i="1"/>
  <c r="K515" i="1"/>
  <c r="J515" i="1"/>
  <c r="R515" i="1" s="1"/>
  <c r="H515" i="1"/>
  <c r="G515" i="1"/>
  <c r="F515" i="1"/>
  <c r="E515" i="1"/>
  <c r="D515" i="1"/>
  <c r="I515" i="1" s="1"/>
  <c r="C515" i="1"/>
  <c r="B515" i="1"/>
  <c r="A515" i="1"/>
  <c r="T514" i="1"/>
  <c r="S514" i="1"/>
  <c r="Q514" i="1"/>
  <c r="P514" i="1"/>
  <c r="M514" i="1"/>
  <c r="N514" i="1" s="1"/>
  <c r="O514" i="1" s="1"/>
  <c r="L514" i="1"/>
  <c r="K514" i="1"/>
  <c r="J514" i="1"/>
  <c r="R514" i="1" s="1"/>
  <c r="H514" i="1"/>
  <c r="G514" i="1"/>
  <c r="F514" i="1"/>
  <c r="E514" i="1"/>
  <c r="D514" i="1"/>
  <c r="I514" i="1" s="1"/>
  <c r="C514" i="1"/>
  <c r="B514" i="1"/>
  <c r="A514" i="1"/>
  <c r="T513" i="1"/>
  <c r="S513" i="1"/>
  <c r="Q513" i="1"/>
  <c r="P513" i="1"/>
  <c r="M513" i="1"/>
  <c r="N513" i="1" s="1"/>
  <c r="O513" i="1" s="1"/>
  <c r="L513" i="1"/>
  <c r="K513" i="1"/>
  <c r="J513" i="1"/>
  <c r="R513" i="1" s="1"/>
  <c r="H513" i="1"/>
  <c r="G513" i="1"/>
  <c r="F513" i="1"/>
  <c r="E513" i="1"/>
  <c r="D513" i="1"/>
  <c r="I513" i="1" s="1"/>
  <c r="C513" i="1"/>
  <c r="B513" i="1"/>
  <c r="A513" i="1"/>
  <c r="T512" i="1"/>
  <c r="S512" i="1"/>
  <c r="Q512" i="1"/>
  <c r="P512" i="1"/>
  <c r="M512" i="1"/>
  <c r="N512" i="1" s="1"/>
  <c r="O512" i="1" s="1"/>
  <c r="L512" i="1"/>
  <c r="K512" i="1"/>
  <c r="J512" i="1"/>
  <c r="R512" i="1" s="1"/>
  <c r="H512" i="1"/>
  <c r="G512" i="1"/>
  <c r="F512" i="1"/>
  <c r="E512" i="1"/>
  <c r="D512" i="1"/>
  <c r="I512" i="1" s="1"/>
  <c r="C512" i="1"/>
  <c r="B512" i="1"/>
  <c r="A512" i="1"/>
  <c r="T511" i="1"/>
  <c r="S511" i="1"/>
  <c r="Q511" i="1"/>
  <c r="P511" i="1"/>
  <c r="M511" i="1"/>
  <c r="N511" i="1" s="1"/>
  <c r="O511" i="1" s="1"/>
  <c r="L511" i="1"/>
  <c r="K511" i="1"/>
  <c r="J511" i="1"/>
  <c r="R511" i="1" s="1"/>
  <c r="H511" i="1"/>
  <c r="G511" i="1"/>
  <c r="F511" i="1"/>
  <c r="E511" i="1"/>
  <c r="D511" i="1"/>
  <c r="I511" i="1" s="1"/>
  <c r="C511" i="1"/>
  <c r="B511" i="1"/>
  <c r="A511" i="1"/>
  <c r="T510" i="1"/>
  <c r="S510" i="1"/>
  <c r="Q510" i="1"/>
  <c r="P510" i="1"/>
  <c r="M510" i="1"/>
  <c r="N510" i="1" s="1"/>
  <c r="O510" i="1" s="1"/>
  <c r="L510" i="1"/>
  <c r="K510" i="1"/>
  <c r="J510" i="1"/>
  <c r="R510" i="1" s="1"/>
  <c r="H510" i="1"/>
  <c r="G510" i="1"/>
  <c r="F510" i="1"/>
  <c r="E510" i="1"/>
  <c r="D510" i="1"/>
  <c r="I510" i="1" s="1"/>
  <c r="C510" i="1"/>
  <c r="B510" i="1"/>
  <c r="A510" i="1"/>
  <c r="T509" i="1"/>
  <c r="S509" i="1"/>
  <c r="Q509" i="1"/>
  <c r="P509" i="1"/>
  <c r="M509" i="1"/>
  <c r="N509" i="1" s="1"/>
  <c r="O509" i="1" s="1"/>
  <c r="L509" i="1"/>
  <c r="K509" i="1"/>
  <c r="J509" i="1"/>
  <c r="R509" i="1" s="1"/>
  <c r="H509" i="1"/>
  <c r="G509" i="1"/>
  <c r="F509" i="1"/>
  <c r="E509" i="1"/>
  <c r="D509" i="1"/>
  <c r="I509" i="1" s="1"/>
  <c r="C509" i="1"/>
  <c r="B509" i="1"/>
  <c r="A509" i="1"/>
  <c r="T508" i="1"/>
  <c r="S508" i="1"/>
  <c r="Q508" i="1"/>
  <c r="P508" i="1"/>
  <c r="M508" i="1"/>
  <c r="N508" i="1" s="1"/>
  <c r="O508" i="1" s="1"/>
  <c r="L508" i="1"/>
  <c r="K508" i="1"/>
  <c r="J508" i="1"/>
  <c r="R508" i="1" s="1"/>
  <c r="H508" i="1"/>
  <c r="G508" i="1"/>
  <c r="F508" i="1"/>
  <c r="E508" i="1"/>
  <c r="D508" i="1"/>
  <c r="I508" i="1" s="1"/>
  <c r="C508" i="1"/>
  <c r="B508" i="1"/>
  <c r="A508" i="1"/>
  <c r="T507" i="1"/>
  <c r="S507" i="1"/>
  <c r="Q507" i="1"/>
  <c r="P507" i="1"/>
  <c r="M507" i="1"/>
  <c r="N507" i="1" s="1"/>
  <c r="O507" i="1" s="1"/>
  <c r="L507" i="1"/>
  <c r="K507" i="1"/>
  <c r="J507" i="1"/>
  <c r="R507" i="1" s="1"/>
  <c r="H507" i="1"/>
  <c r="G507" i="1"/>
  <c r="F507" i="1"/>
  <c r="E507" i="1"/>
  <c r="D507" i="1"/>
  <c r="I507" i="1" s="1"/>
  <c r="C507" i="1"/>
  <c r="B507" i="1"/>
  <c r="A507" i="1"/>
  <c r="T506" i="1"/>
  <c r="S506" i="1"/>
  <c r="Q506" i="1"/>
  <c r="P506" i="1"/>
  <c r="M506" i="1"/>
  <c r="N506" i="1" s="1"/>
  <c r="O506" i="1" s="1"/>
  <c r="L506" i="1"/>
  <c r="K506" i="1"/>
  <c r="J506" i="1"/>
  <c r="R506" i="1" s="1"/>
  <c r="H506" i="1"/>
  <c r="G506" i="1"/>
  <c r="F506" i="1"/>
  <c r="E506" i="1"/>
  <c r="D506" i="1"/>
  <c r="I506" i="1" s="1"/>
  <c r="C506" i="1"/>
  <c r="B506" i="1"/>
  <c r="A506" i="1"/>
  <c r="T505" i="1"/>
  <c r="S505" i="1"/>
  <c r="Q505" i="1"/>
  <c r="P505" i="1"/>
  <c r="M505" i="1"/>
  <c r="N505" i="1" s="1"/>
  <c r="O505" i="1" s="1"/>
  <c r="L505" i="1"/>
  <c r="K505" i="1"/>
  <c r="J505" i="1"/>
  <c r="R505" i="1" s="1"/>
  <c r="H505" i="1"/>
  <c r="G505" i="1"/>
  <c r="F505" i="1"/>
  <c r="E505" i="1"/>
  <c r="D505" i="1"/>
  <c r="I505" i="1" s="1"/>
  <c r="C505" i="1"/>
  <c r="B505" i="1"/>
  <c r="A505" i="1"/>
  <c r="T504" i="1"/>
  <c r="S504" i="1"/>
  <c r="Q504" i="1"/>
  <c r="P504" i="1"/>
  <c r="M504" i="1"/>
  <c r="N504" i="1" s="1"/>
  <c r="O504" i="1" s="1"/>
  <c r="L504" i="1"/>
  <c r="K504" i="1"/>
  <c r="J504" i="1"/>
  <c r="R504" i="1" s="1"/>
  <c r="H504" i="1"/>
  <c r="G504" i="1"/>
  <c r="F504" i="1"/>
  <c r="E504" i="1"/>
  <c r="D504" i="1"/>
  <c r="I504" i="1" s="1"/>
  <c r="C504" i="1"/>
  <c r="B504" i="1"/>
  <c r="A504" i="1"/>
  <c r="T503" i="1"/>
  <c r="S503" i="1"/>
  <c r="Q503" i="1"/>
  <c r="P503" i="1"/>
  <c r="M503" i="1"/>
  <c r="N503" i="1" s="1"/>
  <c r="O503" i="1" s="1"/>
  <c r="L503" i="1"/>
  <c r="K503" i="1"/>
  <c r="J503" i="1"/>
  <c r="R503" i="1" s="1"/>
  <c r="H503" i="1"/>
  <c r="G503" i="1"/>
  <c r="F503" i="1"/>
  <c r="E503" i="1"/>
  <c r="D503" i="1"/>
  <c r="I503" i="1" s="1"/>
  <c r="C503" i="1"/>
  <c r="B503" i="1"/>
  <c r="A503" i="1"/>
  <c r="T502" i="1"/>
  <c r="S502" i="1"/>
  <c r="Q502" i="1"/>
  <c r="P502" i="1"/>
  <c r="M502" i="1"/>
  <c r="N502" i="1" s="1"/>
  <c r="O502" i="1" s="1"/>
  <c r="L502" i="1"/>
  <c r="K502" i="1"/>
  <c r="J502" i="1"/>
  <c r="R502" i="1" s="1"/>
  <c r="H502" i="1"/>
  <c r="G502" i="1"/>
  <c r="F502" i="1"/>
  <c r="E502" i="1"/>
  <c r="D502" i="1"/>
  <c r="I502" i="1" s="1"/>
  <c r="C502" i="1"/>
  <c r="B502" i="1"/>
  <c r="A502" i="1"/>
  <c r="T501" i="1"/>
  <c r="S501" i="1"/>
  <c r="Q501" i="1"/>
  <c r="P501" i="1"/>
  <c r="M501" i="1"/>
  <c r="N501" i="1" s="1"/>
  <c r="O501" i="1" s="1"/>
  <c r="L501" i="1"/>
  <c r="K501" i="1"/>
  <c r="J501" i="1"/>
  <c r="R501" i="1" s="1"/>
  <c r="H501" i="1"/>
  <c r="G501" i="1"/>
  <c r="F501" i="1"/>
  <c r="E501" i="1"/>
  <c r="D501" i="1"/>
  <c r="I501" i="1" s="1"/>
  <c r="C501" i="1"/>
  <c r="B501" i="1"/>
  <c r="A501" i="1"/>
  <c r="T500" i="1"/>
  <c r="S500" i="1"/>
  <c r="Q500" i="1"/>
  <c r="P500" i="1"/>
  <c r="M500" i="1"/>
  <c r="N500" i="1" s="1"/>
  <c r="O500" i="1" s="1"/>
  <c r="L500" i="1"/>
  <c r="K500" i="1"/>
  <c r="J500" i="1"/>
  <c r="R500" i="1" s="1"/>
  <c r="H500" i="1"/>
  <c r="G500" i="1"/>
  <c r="F500" i="1"/>
  <c r="E500" i="1"/>
  <c r="D500" i="1"/>
  <c r="I500" i="1" s="1"/>
  <c r="C500" i="1"/>
  <c r="B500" i="1"/>
  <c r="A500" i="1"/>
  <c r="T499" i="1"/>
  <c r="S499" i="1"/>
  <c r="Q499" i="1"/>
  <c r="P499" i="1"/>
  <c r="M499" i="1"/>
  <c r="N499" i="1" s="1"/>
  <c r="O499" i="1" s="1"/>
  <c r="L499" i="1"/>
  <c r="K499" i="1"/>
  <c r="J499" i="1"/>
  <c r="R499" i="1" s="1"/>
  <c r="H499" i="1"/>
  <c r="G499" i="1"/>
  <c r="F499" i="1"/>
  <c r="E499" i="1"/>
  <c r="D499" i="1"/>
  <c r="I499" i="1" s="1"/>
  <c r="C499" i="1"/>
  <c r="B499" i="1"/>
  <c r="A499" i="1"/>
  <c r="T498" i="1"/>
  <c r="S498" i="1"/>
  <c r="Q498" i="1"/>
  <c r="P498" i="1"/>
  <c r="M498" i="1"/>
  <c r="N498" i="1" s="1"/>
  <c r="O498" i="1" s="1"/>
  <c r="L498" i="1"/>
  <c r="K498" i="1"/>
  <c r="J498" i="1"/>
  <c r="R498" i="1" s="1"/>
  <c r="H498" i="1"/>
  <c r="G498" i="1"/>
  <c r="F498" i="1"/>
  <c r="E498" i="1"/>
  <c r="D498" i="1"/>
  <c r="I498" i="1" s="1"/>
  <c r="C498" i="1"/>
  <c r="B498" i="1"/>
  <c r="A498" i="1"/>
  <c r="T497" i="1"/>
  <c r="S497" i="1"/>
  <c r="Q497" i="1"/>
  <c r="P497" i="1"/>
  <c r="M497" i="1"/>
  <c r="N497" i="1" s="1"/>
  <c r="O497" i="1" s="1"/>
  <c r="L497" i="1"/>
  <c r="K497" i="1"/>
  <c r="J497" i="1"/>
  <c r="R497" i="1" s="1"/>
  <c r="H497" i="1"/>
  <c r="G497" i="1"/>
  <c r="F497" i="1"/>
  <c r="E497" i="1"/>
  <c r="D497" i="1"/>
  <c r="I497" i="1" s="1"/>
  <c r="C497" i="1"/>
  <c r="B497" i="1"/>
  <c r="A497" i="1"/>
  <c r="T496" i="1"/>
  <c r="S496" i="1"/>
  <c r="Q496" i="1"/>
  <c r="P496" i="1"/>
  <c r="M496" i="1"/>
  <c r="N496" i="1" s="1"/>
  <c r="O496" i="1" s="1"/>
  <c r="L496" i="1"/>
  <c r="K496" i="1"/>
  <c r="J496" i="1"/>
  <c r="R496" i="1" s="1"/>
  <c r="H496" i="1"/>
  <c r="G496" i="1"/>
  <c r="F496" i="1"/>
  <c r="E496" i="1"/>
  <c r="D496" i="1"/>
  <c r="I496" i="1" s="1"/>
  <c r="C496" i="1"/>
  <c r="B496" i="1"/>
  <c r="A496" i="1"/>
  <c r="T495" i="1"/>
  <c r="S495" i="1"/>
  <c r="Q495" i="1"/>
  <c r="P495" i="1"/>
  <c r="M495" i="1"/>
  <c r="N495" i="1" s="1"/>
  <c r="O495" i="1" s="1"/>
  <c r="L495" i="1"/>
  <c r="K495" i="1"/>
  <c r="J495" i="1"/>
  <c r="R495" i="1" s="1"/>
  <c r="H495" i="1"/>
  <c r="G495" i="1"/>
  <c r="F495" i="1"/>
  <c r="E495" i="1"/>
  <c r="D495" i="1"/>
  <c r="I495" i="1" s="1"/>
  <c r="C495" i="1"/>
  <c r="B495" i="1"/>
  <c r="A495" i="1"/>
  <c r="T494" i="1"/>
  <c r="S494" i="1"/>
  <c r="Q494" i="1"/>
  <c r="P494" i="1"/>
  <c r="M494" i="1"/>
  <c r="N494" i="1" s="1"/>
  <c r="O494" i="1" s="1"/>
  <c r="L494" i="1"/>
  <c r="K494" i="1"/>
  <c r="J494" i="1"/>
  <c r="R494" i="1" s="1"/>
  <c r="H494" i="1"/>
  <c r="G494" i="1"/>
  <c r="F494" i="1"/>
  <c r="E494" i="1"/>
  <c r="D494" i="1"/>
  <c r="I494" i="1" s="1"/>
  <c r="C494" i="1"/>
  <c r="B494" i="1"/>
  <c r="A494" i="1"/>
  <c r="T493" i="1"/>
  <c r="S493" i="1"/>
  <c r="Q493" i="1"/>
  <c r="P493" i="1"/>
  <c r="M493" i="1"/>
  <c r="N493" i="1" s="1"/>
  <c r="O493" i="1" s="1"/>
  <c r="L493" i="1"/>
  <c r="K493" i="1"/>
  <c r="J493" i="1"/>
  <c r="R493" i="1" s="1"/>
  <c r="H493" i="1"/>
  <c r="G493" i="1"/>
  <c r="F493" i="1"/>
  <c r="E493" i="1"/>
  <c r="D493" i="1"/>
  <c r="I493" i="1" s="1"/>
  <c r="C493" i="1"/>
  <c r="B493" i="1"/>
  <c r="A493" i="1"/>
  <c r="T492" i="1"/>
  <c r="S492" i="1"/>
  <c r="Q492" i="1"/>
  <c r="P492" i="1"/>
  <c r="M492" i="1"/>
  <c r="N492" i="1" s="1"/>
  <c r="O492" i="1" s="1"/>
  <c r="L492" i="1"/>
  <c r="K492" i="1"/>
  <c r="J492" i="1"/>
  <c r="R492" i="1" s="1"/>
  <c r="H492" i="1"/>
  <c r="G492" i="1"/>
  <c r="F492" i="1"/>
  <c r="E492" i="1"/>
  <c r="D492" i="1"/>
  <c r="I492" i="1" s="1"/>
  <c r="C492" i="1"/>
  <c r="B492" i="1"/>
  <c r="A492" i="1"/>
  <c r="T491" i="1"/>
  <c r="S491" i="1"/>
  <c r="Q491" i="1"/>
  <c r="P491" i="1"/>
  <c r="M491" i="1"/>
  <c r="N491" i="1" s="1"/>
  <c r="O491" i="1" s="1"/>
  <c r="L491" i="1"/>
  <c r="K491" i="1"/>
  <c r="J491" i="1"/>
  <c r="R491" i="1" s="1"/>
  <c r="H491" i="1"/>
  <c r="G491" i="1"/>
  <c r="F491" i="1"/>
  <c r="E491" i="1"/>
  <c r="D491" i="1"/>
  <c r="I491" i="1" s="1"/>
  <c r="C491" i="1"/>
  <c r="B491" i="1"/>
  <c r="A491" i="1"/>
  <c r="T490" i="1"/>
  <c r="S490" i="1"/>
  <c r="Q490" i="1"/>
  <c r="P490" i="1"/>
  <c r="M490" i="1"/>
  <c r="N490" i="1" s="1"/>
  <c r="O490" i="1" s="1"/>
  <c r="L490" i="1"/>
  <c r="K490" i="1"/>
  <c r="J490" i="1"/>
  <c r="R490" i="1" s="1"/>
  <c r="H490" i="1"/>
  <c r="G490" i="1"/>
  <c r="F490" i="1"/>
  <c r="E490" i="1"/>
  <c r="D490" i="1"/>
  <c r="I490" i="1" s="1"/>
  <c r="C490" i="1"/>
  <c r="B490" i="1"/>
  <c r="A490" i="1"/>
  <c r="T489" i="1"/>
  <c r="S489" i="1"/>
  <c r="Q489" i="1"/>
  <c r="P489" i="1"/>
  <c r="M489" i="1"/>
  <c r="N489" i="1" s="1"/>
  <c r="O489" i="1" s="1"/>
  <c r="L489" i="1"/>
  <c r="K489" i="1"/>
  <c r="J489" i="1"/>
  <c r="R489" i="1" s="1"/>
  <c r="H489" i="1"/>
  <c r="G489" i="1"/>
  <c r="F489" i="1"/>
  <c r="E489" i="1"/>
  <c r="D489" i="1"/>
  <c r="I489" i="1" s="1"/>
  <c r="C489" i="1"/>
  <c r="B489" i="1"/>
  <c r="A489" i="1"/>
  <c r="T488" i="1"/>
  <c r="S488" i="1"/>
  <c r="Q488" i="1"/>
  <c r="P488" i="1"/>
  <c r="M488" i="1"/>
  <c r="N488" i="1" s="1"/>
  <c r="O488" i="1" s="1"/>
  <c r="L488" i="1"/>
  <c r="K488" i="1"/>
  <c r="J488" i="1"/>
  <c r="R488" i="1" s="1"/>
  <c r="H488" i="1"/>
  <c r="G488" i="1"/>
  <c r="F488" i="1"/>
  <c r="E488" i="1"/>
  <c r="D488" i="1"/>
  <c r="I488" i="1" s="1"/>
  <c r="C488" i="1"/>
  <c r="B488" i="1"/>
  <c r="A488" i="1"/>
  <c r="T487" i="1"/>
  <c r="S487" i="1"/>
  <c r="Q487" i="1"/>
  <c r="P487" i="1"/>
  <c r="M487" i="1"/>
  <c r="N487" i="1" s="1"/>
  <c r="O487" i="1" s="1"/>
  <c r="L487" i="1"/>
  <c r="K487" i="1"/>
  <c r="J487" i="1"/>
  <c r="R487" i="1" s="1"/>
  <c r="H487" i="1"/>
  <c r="G487" i="1"/>
  <c r="F487" i="1"/>
  <c r="E487" i="1"/>
  <c r="D487" i="1"/>
  <c r="I487" i="1" s="1"/>
  <c r="C487" i="1"/>
  <c r="B487" i="1"/>
  <c r="A487" i="1"/>
  <c r="T486" i="1"/>
  <c r="S486" i="1"/>
  <c r="Q486" i="1"/>
  <c r="P486" i="1"/>
  <c r="M486" i="1"/>
  <c r="N486" i="1" s="1"/>
  <c r="O486" i="1" s="1"/>
  <c r="L486" i="1"/>
  <c r="K486" i="1"/>
  <c r="J486" i="1"/>
  <c r="R486" i="1" s="1"/>
  <c r="H486" i="1"/>
  <c r="G486" i="1"/>
  <c r="F486" i="1"/>
  <c r="E486" i="1"/>
  <c r="D486" i="1"/>
  <c r="I486" i="1" s="1"/>
  <c r="C486" i="1"/>
  <c r="B486" i="1"/>
  <c r="A486" i="1"/>
  <c r="T485" i="1"/>
  <c r="S485" i="1"/>
  <c r="Q485" i="1"/>
  <c r="P485" i="1"/>
  <c r="M485" i="1"/>
  <c r="N485" i="1" s="1"/>
  <c r="O485" i="1" s="1"/>
  <c r="L485" i="1"/>
  <c r="K485" i="1"/>
  <c r="J485" i="1"/>
  <c r="R485" i="1" s="1"/>
  <c r="H485" i="1"/>
  <c r="G485" i="1"/>
  <c r="F485" i="1"/>
  <c r="E485" i="1"/>
  <c r="D485" i="1"/>
  <c r="I485" i="1" s="1"/>
  <c r="C485" i="1"/>
  <c r="B485" i="1"/>
  <c r="A485" i="1"/>
  <c r="T484" i="1"/>
  <c r="S484" i="1"/>
  <c r="Q484" i="1"/>
  <c r="P484" i="1"/>
  <c r="M484" i="1"/>
  <c r="N484" i="1" s="1"/>
  <c r="O484" i="1" s="1"/>
  <c r="L484" i="1"/>
  <c r="K484" i="1"/>
  <c r="J484" i="1"/>
  <c r="R484" i="1" s="1"/>
  <c r="H484" i="1"/>
  <c r="G484" i="1"/>
  <c r="F484" i="1"/>
  <c r="E484" i="1"/>
  <c r="D484" i="1"/>
  <c r="I484" i="1" s="1"/>
  <c r="C484" i="1"/>
  <c r="B484" i="1"/>
  <c r="A484" i="1"/>
  <c r="T483" i="1"/>
  <c r="S483" i="1"/>
  <c r="Q483" i="1"/>
  <c r="P483" i="1"/>
  <c r="M483" i="1"/>
  <c r="N483" i="1" s="1"/>
  <c r="O483" i="1" s="1"/>
  <c r="L483" i="1"/>
  <c r="K483" i="1"/>
  <c r="J483" i="1"/>
  <c r="R483" i="1" s="1"/>
  <c r="H483" i="1"/>
  <c r="G483" i="1"/>
  <c r="F483" i="1"/>
  <c r="E483" i="1"/>
  <c r="D483" i="1"/>
  <c r="I483" i="1" s="1"/>
  <c r="C483" i="1"/>
  <c r="B483" i="1"/>
  <c r="A483" i="1"/>
  <c r="T482" i="1"/>
  <c r="S482" i="1"/>
  <c r="Q482" i="1"/>
  <c r="P482" i="1"/>
  <c r="M482" i="1"/>
  <c r="N482" i="1" s="1"/>
  <c r="O482" i="1" s="1"/>
  <c r="L482" i="1"/>
  <c r="K482" i="1"/>
  <c r="J482" i="1"/>
  <c r="R482" i="1" s="1"/>
  <c r="H482" i="1"/>
  <c r="G482" i="1"/>
  <c r="F482" i="1"/>
  <c r="E482" i="1"/>
  <c r="D482" i="1"/>
  <c r="I482" i="1" s="1"/>
  <c r="C482" i="1"/>
  <c r="B482" i="1"/>
  <c r="A482" i="1"/>
  <c r="T481" i="1"/>
  <c r="S481" i="1"/>
  <c r="Q481" i="1"/>
  <c r="P481" i="1"/>
  <c r="M481" i="1"/>
  <c r="N481" i="1" s="1"/>
  <c r="O481" i="1" s="1"/>
  <c r="L481" i="1"/>
  <c r="K481" i="1"/>
  <c r="J481" i="1"/>
  <c r="R481" i="1" s="1"/>
  <c r="H481" i="1"/>
  <c r="G481" i="1"/>
  <c r="F481" i="1"/>
  <c r="E481" i="1"/>
  <c r="D481" i="1"/>
  <c r="I481" i="1" s="1"/>
  <c r="C481" i="1"/>
  <c r="B481" i="1"/>
  <c r="A481" i="1"/>
  <c r="T480" i="1"/>
  <c r="S480" i="1"/>
  <c r="Q480" i="1"/>
  <c r="P480" i="1"/>
  <c r="M480" i="1"/>
  <c r="N480" i="1" s="1"/>
  <c r="O480" i="1" s="1"/>
  <c r="L480" i="1"/>
  <c r="K480" i="1"/>
  <c r="J480" i="1"/>
  <c r="R480" i="1" s="1"/>
  <c r="H480" i="1"/>
  <c r="G480" i="1"/>
  <c r="F480" i="1"/>
  <c r="E480" i="1"/>
  <c r="D480" i="1"/>
  <c r="I480" i="1" s="1"/>
  <c r="C480" i="1"/>
  <c r="B480" i="1"/>
  <c r="A480" i="1"/>
  <c r="T479" i="1"/>
  <c r="S479" i="1"/>
  <c r="Q479" i="1"/>
  <c r="P479" i="1"/>
  <c r="M479" i="1"/>
  <c r="L479" i="1"/>
  <c r="K479" i="1"/>
  <c r="J479" i="1"/>
  <c r="R479" i="1" s="1"/>
  <c r="H479" i="1"/>
  <c r="G479" i="1"/>
  <c r="F479" i="1"/>
  <c r="E479" i="1"/>
  <c r="D479" i="1"/>
  <c r="I479" i="1" s="1"/>
  <c r="C479" i="1"/>
  <c r="B479" i="1"/>
  <c r="N479" i="1" s="1"/>
  <c r="O479" i="1" s="1"/>
  <c r="A479" i="1"/>
  <c r="T478" i="1"/>
  <c r="S478" i="1"/>
  <c r="Q478" i="1"/>
  <c r="P478" i="1"/>
  <c r="M478" i="1"/>
  <c r="N478" i="1" s="1"/>
  <c r="O478" i="1" s="1"/>
  <c r="L478" i="1"/>
  <c r="K478" i="1"/>
  <c r="J478" i="1"/>
  <c r="R478" i="1" s="1"/>
  <c r="H478" i="1"/>
  <c r="G478" i="1"/>
  <c r="F478" i="1"/>
  <c r="E478" i="1"/>
  <c r="D478" i="1"/>
  <c r="I478" i="1" s="1"/>
  <c r="C478" i="1"/>
  <c r="B478" i="1"/>
  <c r="A478" i="1"/>
  <c r="T477" i="1"/>
  <c r="S477" i="1"/>
  <c r="Q477" i="1"/>
  <c r="P477" i="1"/>
  <c r="M477" i="1"/>
  <c r="N477" i="1" s="1"/>
  <c r="O477" i="1" s="1"/>
  <c r="L477" i="1"/>
  <c r="K477" i="1"/>
  <c r="J477" i="1"/>
  <c r="R477" i="1" s="1"/>
  <c r="H477" i="1"/>
  <c r="G477" i="1"/>
  <c r="F477" i="1"/>
  <c r="E477" i="1"/>
  <c r="D477" i="1"/>
  <c r="I477" i="1" s="1"/>
  <c r="C477" i="1"/>
  <c r="B477" i="1"/>
  <c r="A477" i="1"/>
  <c r="T476" i="1"/>
  <c r="S476" i="1"/>
  <c r="Q476" i="1"/>
  <c r="P476" i="1"/>
  <c r="M476" i="1"/>
  <c r="N476" i="1" s="1"/>
  <c r="O476" i="1" s="1"/>
  <c r="L476" i="1"/>
  <c r="K476" i="1"/>
  <c r="J476" i="1"/>
  <c r="R476" i="1" s="1"/>
  <c r="H476" i="1"/>
  <c r="G476" i="1"/>
  <c r="F476" i="1"/>
  <c r="E476" i="1"/>
  <c r="D476" i="1"/>
  <c r="I476" i="1" s="1"/>
  <c r="C476" i="1"/>
  <c r="B476" i="1"/>
  <c r="A476" i="1"/>
  <c r="T475" i="1"/>
  <c r="S475" i="1"/>
  <c r="Q475" i="1"/>
  <c r="P475" i="1"/>
  <c r="M475" i="1"/>
  <c r="N475" i="1" s="1"/>
  <c r="O475" i="1" s="1"/>
  <c r="L475" i="1"/>
  <c r="K475" i="1"/>
  <c r="J475" i="1"/>
  <c r="R475" i="1" s="1"/>
  <c r="H475" i="1"/>
  <c r="G475" i="1"/>
  <c r="F475" i="1"/>
  <c r="E475" i="1"/>
  <c r="D475" i="1"/>
  <c r="I475" i="1" s="1"/>
  <c r="C475" i="1"/>
  <c r="B475" i="1"/>
  <c r="A475" i="1"/>
  <c r="T474" i="1"/>
  <c r="S474" i="1"/>
  <c r="Q474" i="1"/>
  <c r="P474" i="1"/>
  <c r="M474" i="1"/>
  <c r="N474" i="1" s="1"/>
  <c r="O474" i="1" s="1"/>
  <c r="L474" i="1"/>
  <c r="K474" i="1"/>
  <c r="J474" i="1"/>
  <c r="R474" i="1" s="1"/>
  <c r="H474" i="1"/>
  <c r="G474" i="1"/>
  <c r="F474" i="1"/>
  <c r="E474" i="1"/>
  <c r="D474" i="1"/>
  <c r="I474" i="1" s="1"/>
  <c r="C474" i="1"/>
  <c r="B474" i="1"/>
  <c r="A474" i="1"/>
  <c r="T473" i="1"/>
  <c r="S473" i="1"/>
  <c r="Q473" i="1"/>
  <c r="P473" i="1"/>
  <c r="M473" i="1"/>
  <c r="N473" i="1" s="1"/>
  <c r="O473" i="1" s="1"/>
  <c r="L473" i="1"/>
  <c r="K473" i="1"/>
  <c r="J473" i="1"/>
  <c r="R473" i="1" s="1"/>
  <c r="H473" i="1"/>
  <c r="G473" i="1"/>
  <c r="F473" i="1"/>
  <c r="E473" i="1"/>
  <c r="D473" i="1"/>
  <c r="I473" i="1" s="1"/>
  <c r="C473" i="1"/>
  <c r="B473" i="1"/>
  <c r="A473" i="1"/>
  <c r="T472" i="1"/>
  <c r="S472" i="1"/>
  <c r="Q472" i="1"/>
  <c r="P472" i="1"/>
  <c r="M472" i="1"/>
  <c r="N472" i="1" s="1"/>
  <c r="O472" i="1" s="1"/>
  <c r="L472" i="1"/>
  <c r="K472" i="1"/>
  <c r="J472" i="1"/>
  <c r="R472" i="1" s="1"/>
  <c r="H472" i="1"/>
  <c r="G472" i="1"/>
  <c r="F472" i="1"/>
  <c r="E472" i="1"/>
  <c r="D472" i="1"/>
  <c r="I472" i="1" s="1"/>
  <c r="C472" i="1"/>
  <c r="B472" i="1"/>
  <c r="A472" i="1"/>
  <c r="T471" i="1"/>
  <c r="S471" i="1"/>
  <c r="Q471" i="1"/>
  <c r="P471" i="1"/>
  <c r="M471" i="1"/>
  <c r="N471" i="1" s="1"/>
  <c r="O471" i="1" s="1"/>
  <c r="L471" i="1"/>
  <c r="K471" i="1"/>
  <c r="J471" i="1"/>
  <c r="R471" i="1" s="1"/>
  <c r="H471" i="1"/>
  <c r="G471" i="1"/>
  <c r="F471" i="1"/>
  <c r="E471" i="1"/>
  <c r="D471" i="1"/>
  <c r="I471" i="1" s="1"/>
  <c r="C471" i="1"/>
  <c r="B471" i="1"/>
  <c r="A471" i="1"/>
  <c r="T470" i="1"/>
  <c r="S470" i="1"/>
  <c r="Q470" i="1"/>
  <c r="P470" i="1"/>
  <c r="M470" i="1"/>
  <c r="N470" i="1" s="1"/>
  <c r="O470" i="1" s="1"/>
  <c r="L470" i="1"/>
  <c r="K470" i="1"/>
  <c r="J470" i="1"/>
  <c r="R470" i="1" s="1"/>
  <c r="H470" i="1"/>
  <c r="G470" i="1"/>
  <c r="F470" i="1"/>
  <c r="E470" i="1"/>
  <c r="D470" i="1"/>
  <c r="I470" i="1" s="1"/>
  <c r="C470" i="1"/>
  <c r="B470" i="1"/>
  <c r="A470" i="1"/>
  <c r="T469" i="1"/>
  <c r="S469" i="1"/>
  <c r="Q469" i="1"/>
  <c r="P469" i="1"/>
  <c r="M469" i="1"/>
  <c r="N469" i="1" s="1"/>
  <c r="O469" i="1" s="1"/>
  <c r="L469" i="1"/>
  <c r="K469" i="1"/>
  <c r="J469" i="1"/>
  <c r="R469" i="1" s="1"/>
  <c r="H469" i="1"/>
  <c r="G469" i="1"/>
  <c r="F469" i="1"/>
  <c r="E469" i="1"/>
  <c r="D469" i="1"/>
  <c r="I469" i="1" s="1"/>
  <c r="C469" i="1"/>
  <c r="B469" i="1"/>
  <c r="A469" i="1"/>
  <c r="T468" i="1"/>
  <c r="S468" i="1"/>
  <c r="Q468" i="1"/>
  <c r="P468" i="1"/>
  <c r="M468" i="1"/>
  <c r="N468" i="1" s="1"/>
  <c r="O468" i="1" s="1"/>
  <c r="L468" i="1"/>
  <c r="K468" i="1"/>
  <c r="J468" i="1"/>
  <c r="R468" i="1" s="1"/>
  <c r="H468" i="1"/>
  <c r="G468" i="1"/>
  <c r="F468" i="1"/>
  <c r="E468" i="1"/>
  <c r="D468" i="1"/>
  <c r="I468" i="1" s="1"/>
  <c r="C468" i="1"/>
  <c r="B468" i="1"/>
  <c r="A468" i="1"/>
  <c r="T467" i="1"/>
  <c r="S467" i="1"/>
  <c r="Q467" i="1"/>
  <c r="P467" i="1"/>
  <c r="M467" i="1"/>
  <c r="N467" i="1" s="1"/>
  <c r="O467" i="1" s="1"/>
  <c r="L467" i="1"/>
  <c r="K467" i="1"/>
  <c r="J467" i="1"/>
  <c r="R467" i="1" s="1"/>
  <c r="H467" i="1"/>
  <c r="G467" i="1"/>
  <c r="F467" i="1"/>
  <c r="E467" i="1"/>
  <c r="D467" i="1"/>
  <c r="I467" i="1" s="1"/>
  <c r="C467" i="1"/>
  <c r="B467" i="1"/>
  <c r="A467" i="1"/>
  <c r="T466" i="1"/>
  <c r="S466" i="1"/>
  <c r="Q466" i="1"/>
  <c r="P466" i="1"/>
  <c r="M466" i="1"/>
  <c r="N466" i="1" s="1"/>
  <c r="O466" i="1" s="1"/>
  <c r="L466" i="1"/>
  <c r="K466" i="1"/>
  <c r="J466" i="1"/>
  <c r="R466" i="1" s="1"/>
  <c r="H466" i="1"/>
  <c r="G466" i="1"/>
  <c r="F466" i="1"/>
  <c r="E466" i="1"/>
  <c r="D466" i="1"/>
  <c r="I466" i="1" s="1"/>
  <c r="C466" i="1"/>
  <c r="B466" i="1"/>
  <c r="A466" i="1"/>
  <c r="T465" i="1"/>
  <c r="S465" i="1"/>
  <c r="Q465" i="1"/>
  <c r="P465" i="1"/>
  <c r="M465" i="1"/>
  <c r="N465" i="1" s="1"/>
  <c r="O465" i="1" s="1"/>
  <c r="L465" i="1"/>
  <c r="K465" i="1"/>
  <c r="J465" i="1"/>
  <c r="R465" i="1" s="1"/>
  <c r="H465" i="1"/>
  <c r="G465" i="1"/>
  <c r="F465" i="1"/>
  <c r="E465" i="1"/>
  <c r="D465" i="1"/>
  <c r="I465" i="1" s="1"/>
  <c r="C465" i="1"/>
  <c r="B465" i="1"/>
  <c r="A465" i="1"/>
  <c r="T464" i="1"/>
  <c r="S464" i="1"/>
  <c r="Q464" i="1"/>
  <c r="P464" i="1"/>
  <c r="M464" i="1"/>
  <c r="N464" i="1" s="1"/>
  <c r="O464" i="1" s="1"/>
  <c r="L464" i="1"/>
  <c r="K464" i="1"/>
  <c r="J464" i="1"/>
  <c r="R464" i="1" s="1"/>
  <c r="H464" i="1"/>
  <c r="G464" i="1"/>
  <c r="F464" i="1"/>
  <c r="E464" i="1"/>
  <c r="D464" i="1"/>
  <c r="I464" i="1" s="1"/>
  <c r="C464" i="1"/>
  <c r="B464" i="1"/>
  <c r="A464" i="1"/>
  <c r="T463" i="1"/>
  <c r="S463" i="1"/>
  <c r="Q463" i="1"/>
  <c r="P463" i="1"/>
  <c r="M463" i="1"/>
  <c r="N463" i="1" s="1"/>
  <c r="O463" i="1" s="1"/>
  <c r="L463" i="1"/>
  <c r="K463" i="1"/>
  <c r="J463" i="1"/>
  <c r="R463" i="1" s="1"/>
  <c r="H463" i="1"/>
  <c r="G463" i="1"/>
  <c r="F463" i="1"/>
  <c r="E463" i="1"/>
  <c r="D463" i="1"/>
  <c r="I463" i="1" s="1"/>
  <c r="C463" i="1"/>
  <c r="B463" i="1"/>
  <c r="A463" i="1"/>
  <c r="T462" i="1"/>
  <c r="S462" i="1"/>
  <c r="Q462" i="1"/>
  <c r="P462" i="1"/>
  <c r="M462" i="1"/>
  <c r="N462" i="1" s="1"/>
  <c r="O462" i="1" s="1"/>
  <c r="L462" i="1"/>
  <c r="K462" i="1"/>
  <c r="J462" i="1"/>
  <c r="R462" i="1" s="1"/>
  <c r="H462" i="1"/>
  <c r="G462" i="1"/>
  <c r="F462" i="1"/>
  <c r="E462" i="1"/>
  <c r="D462" i="1"/>
  <c r="I462" i="1" s="1"/>
  <c r="C462" i="1"/>
  <c r="B462" i="1"/>
  <c r="A462" i="1"/>
  <c r="T461" i="1"/>
  <c r="S461" i="1"/>
  <c r="Q461" i="1"/>
  <c r="P461" i="1"/>
  <c r="M461" i="1"/>
  <c r="N461" i="1" s="1"/>
  <c r="O461" i="1" s="1"/>
  <c r="L461" i="1"/>
  <c r="K461" i="1"/>
  <c r="J461" i="1"/>
  <c r="R461" i="1" s="1"/>
  <c r="H461" i="1"/>
  <c r="G461" i="1"/>
  <c r="F461" i="1"/>
  <c r="E461" i="1"/>
  <c r="D461" i="1"/>
  <c r="I461" i="1" s="1"/>
  <c r="C461" i="1"/>
  <c r="B461" i="1"/>
  <c r="A461" i="1"/>
  <c r="T460" i="1"/>
  <c r="S460" i="1"/>
  <c r="Q460" i="1"/>
  <c r="P460" i="1"/>
  <c r="M460" i="1"/>
  <c r="N460" i="1" s="1"/>
  <c r="O460" i="1" s="1"/>
  <c r="L460" i="1"/>
  <c r="K460" i="1"/>
  <c r="J460" i="1"/>
  <c r="R460" i="1" s="1"/>
  <c r="H460" i="1"/>
  <c r="G460" i="1"/>
  <c r="F460" i="1"/>
  <c r="E460" i="1"/>
  <c r="D460" i="1"/>
  <c r="I460" i="1" s="1"/>
  <c r="C460" i="1"/>
  <c r="B460" i="1"/>
  <c r="A460" i="1"/>
  <c r="T459" i="1"/>
  <c r="S459" i="1"/>
  <c r="Q459" i="1"/>
  <c r="P459" i="1"/>
  <c r="M459" i="1"/>
  <c r="N459" i="1" s="1"/>
  <c r="O459" i="1" s="1"/>
  <c r="L459" i="1"/>
  <c r="K459" i="1"/>
  <c r="J459" i="1"/>
  <c r="R459" i="1" s="1"/>
  <c r="H459" i="1"/>
  <c r="G459" i="1"/>
  <c r="F459" i="1"/>
  <c r="E459" i="1"/>
  <c r="D459" i="1"/>
  <c r="I459" i="1" s="1"/>
  <c r="C459" i="1"/>
  <c r="B459" i="1"/>
  <c r="A459" i="1"/>
  <c r="T458" i="1"/>
  <c r="S458" i="1"/>
  <c r="Q458" i="1"/>
  <c r="P458" i="1"/>
  <c r="M458" i="1"/>
  <c r="N458" i="1" s="1"/>
  <c r="O458" i="1" s="1"/>
  <c r="L458" i="1"/>
  <c r="K458" i="1"/>
  <c r="J458" i="1"/>
  <c r="R458" i="1" s="1"/>
  <c r="H458" i="1"/>
  <c r="G458" i="1"/>
  <c r="F458" i="1"/>
  <c r="E458" i="1"/>
  <c r="D458" i="1"/>
  <c r="I458" i="1" s="1"/>
  <c r="C458" i="1"/>
  <c r="B458" i="1"/>
  <c r="A458" i="1"/>
  <c r="T457" i="1"/>
  <c r="S457" i="1"/>
  <c r="Q457" i="1"/>
  <c r="P457" i="1"/>
  <c r="M457" i="1"/>
  <c r="N457" i="1" s="1"/>
  <c r="O457" i="1" s="1"/>
  <c r="L457" i="1"/>
  <c r="K457" i="1"/>
  <c r="J457" i="1"/>
  <c r="R457" i="1" s="1"/>
  <c r="H457" i="1"/>
  <c r="G457" i="1"/>
  <c r="F457" i="1"/>
  <c r="E457" i="1"/>
  <c r="D457" i="1"/>
  <c r="I457" i="1" s="1"/>
  <c r="C457" i="1"/>
  <c r="B457" i="1"/>
  <c r="A457" i="1"/>
  <c r="T456" i="1"/>
  <c r="S456" i="1"/>
  <c r="Q456" i="1"/>
  <c r="P456" i="1"/>
  <c r="M456" i="1"/>
  <c r="N456" i="1" s="1"/>
  <c r="O456" i="1" s="1"/>
  <c r="L456" i="1"/>
  <c r="K456" i="1"/>
  <c r="J456" i="1"/>
  <c r="R456" i="1" s="1"/>
  <c r="H456" i="1"/>
  <c r="G456" i="1"/>
  <c r="F456" i="1"/>
  <c r="E456" i="1"/>
  <c r="D456" i="1"/>
  <c r="I456" i="1" s="1"/>
  <c r="C456" i="1"/>
  <c r="B456" i="1"/>
  <c r="A456" i="1"/>
  <c r="T455" i="1"/>
  <c r="S455" i="1"/>
  <c r="Q455" i="1"/>
  <c r="P455" i="1"/>
  <c r="M455" i="1"/>
  <c r="N455" i="1" s="1"/>
  <c r="O455" i="1" s="1"/>
  <c r="L455" i="1"/>
  <c r="K455" i="1"/>
  <c r="J455" i="1"/>
  <c r="R455" i="1" s="1"/>
  <c r="H455" i="1"/>
  <c r="G455" i="1"/>
  <c r="F455" i="1"/>
  <c r="E455" i="1"/>
  <c r="D455" i="1"/>
  <c r="I455" i="1" s="1"/>
  <c r="C455" i="1"/>
  <c r="B455" i="1"/>
  <c r="A455" i="1"/>
  <c r="T454" i="1"/>
  <c r="S454" i="1"/>
  <c r="Q454" i="1"/>
  <c r="P454" i="1"/>
  <c r="M454" i="1"/>
  <c r="N454" i="1" s="1"/>
  <c r="O454" i="1" s="1"/>
  <c r="L454" i="1"/>
  <c r="K454" i="1"/>
  <c r="J454" i="1"/>
  <c r="R454" i="1" s="1"/>
  <c r="H454" i="1"/>
  <c r="G454" i="1"/>
  <c r="F454" i="1"/>
  <c r="E454" i="1"/>
  <c r="D454" i="1"/>
  <c r="I454" i="1" s="1"/>
  <c r="C454" i="1"/>
  <c r="B454" i="1"/>
  <c r="A454" i="1"/>
  <c r="T453" i="1"/>
  <c r="S453" i="1"/>
  <c r="Q453" i="1"/>
  <c r="P453" i="1"/>
  <c r="M453" i="1"/>
  <c r="N453" i="1" s="1"/>
  <c r="O453" i="1" s="1"/>
  <c r="L453" i="1"/>
  <c r="K453" i="1"/>
  <c r="J453" i="1"/>
  <c r="R453" i="1" s="1"/>
  <c r="H453" i="1"/>
  <c r="G453" i="1"/>
  <c r="F453" i="1"/>
  <c r="E453" i="1"/>
  <c r="D453" i="1"/>
  <c r="I453" i="1" s="1"/>
  <c r="C453" i="1"/>
  <c r="B453" i="1"/>
  <c r="A453" i="1"/>
  <c r="T452" i="1"/>
  <c r="S452" i="1"/>
  <c r="Q452" i="1"/>
  <c r="P452" i="1"/>
  <c r="M452" i="1"/>
  <c r="N452" i="1" s="1"/>
  <c r="O452" i="1" s="1"/>
  <c r="L452" i="1"/>
  <c r="K452" i="1"/>
  <c r="J452" i="1"/>
  <c r="R452" i="1" s="1"/>
  <c r="H452" i="1"/>
  <c r="G452" i="1"/>
  <c r="F452" i="1"/>
  <c r="E452" i="1"/>
  <c r="D452" i="1"/>
  <c r="I452" i="1" s="1"/>
  <c r="C452" i="1"/>
  <c r="B452" i="1"/>
  <c r="A452" i="1"/>
  <c r="T451" i="1"/>
  <c r="S451" i="1"/>
  <c r="Q451" i="1"/>
  <c r="P451" i="1"/>
  <c r="M451" i="1"/>
  <c r="N451" i="1" s="1"/>
  <c r="O451" i="1" s="1"/>
  <c r="L451" i="1"/>
  <c r="K451" i="1"/>
  <c r="J451" i="1"/>
  <c r="R451" i="1" s="1"/>
  <c r="H451" i="1"/>
  <c r="G451" i="1"/>
  <c r="F451" i="1"/>
  <c r="E451" i="1"/>
  <c r="D451" i="1"/>
  <c r="I451" i="1" s="1"/>
  <c r="C451" i="1"/>
  <c r="B451" i="1"/>
  <c r="A451" i="1"/>
  <c r="T450" i="1"/>
  <c r="S450" i="1"/>
  <c r="Q450" i="1"/>
  <c r="P450" i="1"/>
  <c r="M450" i="1"/>
  <c r="N450" i="1" s="1"/>
  <c r="O450" i="1" s="1"/>
  <c r="L450" i="1"/>
  <c r="K450" i="1"/>
  <c r="J450" i="1"/>
  <c r="R450" i="1" s="1"/>
  <c r="H450" i="1"/>
  <c r="G450" i="1"/>
  <c r="F450" i="1"/>
  <c r="E450" i="1"/>
  <c r="D450" i="1"/>
  <c r="I450" i="1" s="1"/>
  <c r="C450" i="1"/>
  <c r="B450" i="1"/>
  <c r="A450" i="1"/>
  <c r="T449" i="1"/>
  <c r="S449" i="1"/>
  <c r="Q449" i="1"/>
  <c r="P449" i="1"/>
  <c r="M449" i="1"/>
  <c r="N449" i="1" s="1"/>
  <c r="O449" i="1" s="1"/>
  <c r="L449" i="1"/>
  <c r="K449" i="1"/>
  <c r="J449" i="1"/>
  <c r="R449" i="1" s="1"/>
  <c r="H449" i="1"/>
  <c r="G449" i="1"/>
  <c r="F449" i="1"/>
  <c r="E449" i="1"/>
  <c r="D449" i="1"/>
  <c r="I449" i="1" s="1"/>
  <c r="C449" i="1"/>
  <c r="B449" i="1"/>
  <c r="A449" i="1"/>
  <c r="T448" i="1"/>
  <c r="S448" i="1"/>
  <c r="Q448" i="1"/>
  <c r="P448" i="1"/>
  <c r="M448" i="1"/>
  <c r="N448" i="1" s="1"/>
  <c r="O448" i="1" s="1"/>
  <c r="L448" i="1"/>
  <c r="K448" i="1"/>
  <c r="J448" i="1"/>
  <c r="R448" i="1" s="1"/>
  <c r="H448" i="1"/>
  <c r="G448" i="1"/>
  <c r="F448" i="1"/>
  <c r="E448" i="1"/>
  <c r="D448" i="1"/>
  <c r="I448" i="1" s="1"/>
  <c r="C448" i="1"/>
  <c r="B448" i="1"/>
  <c r="A448" i="1"/>
  <c r="T447" i="1"/>
  <c r="S447" i="1"/>
  <c r="Q447" i="1"/>
  <c r="P447" i="1"/>
  <c r="M447" i="1"/>
  <c r="N447" i="1" s="1"/>
  <c r="O447" i="1" s="1"/>
  <c r="L447" i="1"/>
  <c r="K447" i="1"/>
  <c r="J447" i="1"/>
  <c r="R447" i="1" s="1"/>
  <c r="H447" i="1"/>
  <c r="G447" i="1"/>
  <c r="F447" i="1"/>
  <c r="E447" i="1"/>
  <c r="D447" i="1"/>
  <c r="I447" i="1" s="1"/>
  <c r="C447" i="1"/>
  <c r="B447" i="1"/>
  <c r="A447" i="1"/>
  <c r="T446" i="1"/>
  <c r="S446" i="1"/>
  <c r="Q446" i="1"/>
  <c r="P446" i="1"/>
  <c r="M446" i="1"/>
  <c r="N446" i="1" s="1"/>
  <c r="O446" i="1" s="1"/>
  <c r="L446" i="1"/>
  <c r="K446" i="1"/>
  <c r="J446" i="1"/>
  <c r="R446" i="1" s="1"/>
  <c r="H446" i="1"/>
  <c r="G446" i="1"/>
  <c r="F446" i="1"/>
  <c r="E446" i="1"/>
  <c r="D446" i="1"/>
  <c r="I446" i="1" s="1"/>
  <c r="C446" i="1"/>
  <c r="B446" i="1"/>
  <c r="A446" i="1"/>
  <c r="T445" i="1"/>
  <c r="S445" i="1"/>
  <c r="Q445" i="1"/>
  <c r="P445" i="1"/>
  <c r="M445" i="1"/>
  <c r="N445" i="1" s="1"/>
  <c r="O445" i="1" s="1"/>
  <c r="L445" i="1"/>
  <c r="K445" i="1"/>
  <c r="J445" i="1"/>
  <c r="R445" i="1" s="1"/>
  <c r="H445" i="1"/>
  <c r="G445" i="1"/>
  <c r="F445" i="1"/>
  <c r="E445" i="1"/>
  <c r="D445" i="1"/>
  <c r="I445" i="1" s="1"/>
  <c r="C445" i="1"/>
  <c r="B445" i="1"/>
  <c r="A445" i="1"/>
  <c r="T444" i="1"/>
  <c r="S444" i="1"/>
  <c r="Q444" i="1"/>
  <c r="P444" i="1"/>
  <c r="M444" i="1"/>
  <c r="N444" i="1" s="1"/>
  <c r="O444" i="1" s="1"/>
  <c r="L444" i="1"/>
  <c r="K444" i="1"/>
  <c r="J444" i="1"/>
  <c r="R444" i="1" s="1"/>
  <c r="H444" i="1"/>
  <c r="G444" i="1"/>
  <c r="F444" i="1"/>
  <c r="E444" i="1"/>
  <c r="D444" i="1"/>
  <c r="I444" i="1" s="1"/>
  <c r="C444" i="1"/>
  <c r="B444" i="1"/>
  <c r="A444" i="1"/>
  <c r="T443" i="1"/>
  <c r="S443" i="1"/>
  <c r="Q443" i="1"/>
  <c r="P443" i="1"/>
  <c r="M443" i="1"/>
  <c r="N443" i="1" s="1"/>
  <c r="O443" i="1" s="1"/>
  <c r="L443" i="1"/>
  <c r="K443" i="1"/>
  <c r="J443" i="1"/>
  <c r="R443" i="1" s="1"/>
  <c r="H443" i="1"/>
  <c r="G443" i="1"/>
  <c r="F443" i="1"/>
  <c r="E443" i="1"/>
  <c r="D443" i="1"/>
  <c r="I443" i="1" s="1"/>
  <c r="C443" i="1"/>
  <c r="B443" i="1"/>
  <c r="A443" i="1"/>
  <c r="T442" i="1"/>
  <c r="S442" i="1"/>
  <c r="Q442" i="1"/>
  <c r="P442" i="1"/>
  <c r="M442" i="1"/>
  <c r="N442" i="1" s="1"/>
  <c r="O442" i="1" s="1"/>
  <c r="L442" i="1"/>
  <c r="K442" i="1"/>
  <c r="J442" i="1"/>
  <c r="R442" i="1" s="1"/>
  <c r="H442" i="1"/>
  <c r="G442" i="1"/>
  <c r="F442" i="1"/>
  <c r="E442" i="1"/>
  <c r="D442" i="1"/>
  <c r="I442" i="1" s="1"/>
  <c r="C442" i="1"/>
  <c r="B442" i="1"/>
  <c r="A442" i="1"/>
  <c r="T441" i="1"/>
  <c r="S441" i="1"/>
  <c r="Q441" i="1"/>
  <c r="P441" i="1"/>
  <c r="M441" i="1"/>
  <c r="N441" i="1" s="1"/>
  <c r="O441" i="1" s="1"/>
  <c r="L441" i="1"/>
  <c r="K441" i="1"/>
  <c r="J441" i="1"/>
  <c r="R441" i="1" s="1"/>
  <c r="H441" i="1"/>
  <c r="G441" i="1"/>
  <c r="F441" i="1"/>
  <c r="E441" i="1"/>
  <c r="D441" i="1"/>
  <c r="I441" i="1" s="1"/>
  <c r="C441" i="1"/>
  <c r="B441" i="1"/>
  <c r="A441" i="1"/>
  <c r="T440" i="1"/>
  <c r="S440" i="1"/>
  <c r="Q440" i="1"/>
  <c r="P440" i="1"/>
  <c r="M440" i="1"/>
  <c r="N440" i="1" s="1"/>
  <c r="O440" i="1" s="1"/>
  <c r="L440" i="1"/>
  <c r="K440" i="1"/>
  <c r="J440" i="1"/>
  <c r="R440" i="1" s="1"/>
  <c r="H440" i="1"/>
  <c r="G440" i="1"/>
  <c r="F440" i="1"/>
  <c r="E440" i="1"/>
  <c r="D440" i="1"/>
  <c r="I440" i="1" s="1"/>
  <c r="C440" i="1"/>
  <c r="B440" i="1"/>
  <c r="A440" i="1"/>
  <c r="T439" i="1"/>
  <c r="S439" i="1"/>
  <c r="Q439" i="1"/>
  <c r="P439" i="1"/>
  <c r="M439" i="1"/>
  <c r="N439" i="1" s="1"/>
  <c r="O439" i="1" s="1"/>
  <c r="L439" i="1"/>
  <c r="K439" i="1"/>
  <c r="J439" i="1"/>
  <c r="R439" i="1" s="1"/>
  <c r="H439" i="1"/>
  <c r="G439" i="1"/>
  <c r="F439" i="1"/>
  <c r="E439" i="1"/>
  <c r="D439" i="1"/>
  <c r="I439" i="1" s="1"/>
  <c r="C439" i="1"/>
  <c r="B439" i="1"/>
  <c r="A439" i="1"/>
  <c r="T438" i="1"/>
  <c r="S438" i="1"/>
  <c r="Q438" i="1"/>
  <c r="P438" i="1"/>
  <c r="M438" i="1"/>
  <c r="N438" i="1" s="1"/>
  <c r="O438" i="1" s="1"/>
  <c r="L438" i="1"/>
  <c r="K438" i="1"/>
  <c r="J438" i="1"/>
  <c r="R438" i="1" s="1"/>
  <c r="H438" i="1"/>
  <c r="G438" i="1"/>
  <c r="F438" i="1"/>
  <c r="E438" i="1"/>
  <c r="D438" i="1"/>
  <c r="I438" i="1" s="1"/>
  <c r="C438" i="1"/>
  <c r="B438" i="1"/>
  <c r="A438" i="1"/>
  <c r="T437" i="1"/>
  <c r="S437" i="1"/>
  <c r="Q437" i="1"/>
  <c r="P437" i="1"/>
  <c r="M437" i="1"/>
  <c r="N437" i="1" s="1"/>
  <c r="O437" i="1" s="1"/>
  <c r="L437" i="1"/>
  <c r="K437" i="1"/>
  <c r="J437" i="1"/>
  <c r="R437" i="1" s="1"/>
  <c r="H437" i="1"/>
  <c r="G437" i="1"/>
  <c r="F437" i="1"/>
  <c r="E437" i="1"/>
  <c r="D437" i="1"/>
  <c r="I437" i="1" s="1"/>
  <c r="C437" i="1"/>
  <c r="B437" i="1"/>
  <c r="A437" i="1"/>
  <c r="T436" i="1"/>
  <c r="S436" i="1"/>
  <c r="Q436" i="1"/>
  <c r="P436" i="1"/>
  <c r="M436" i="1"/>
  <c r="N436" i="1" s="1"/>
  <c r="O436" i="1" s="1"/>
  <c r="L436" i="1"/>
  <c r="K436" i="1"/>
  <c r="J436" i="1"/>
  <c r="R436" i="1" s="1"/>
  <c r="H436" i="1"/>
  <c r="G436" i="1"/>
  <c r="F436" i="1"/>
  <c r="E436" i="1"/>
  <c r="D436" i="1"/>
  <c r="I436" i="1" s="1"/>
  <c r="C436" i="1"/>
  <c r="B436" i="1"/>
  <c r="A436" i="1"/>
  <c r="T435" i="1"/>
  <c r="S435" i="1"/>
  <c r="Q435" i="1"/>
  <c r="P435" i="1"/>
  <c r="M435" i="1"/>
  <c r="N435" i="1" s="1"/>
  <c r="O435" i="1" s="1"/>
  <c r="L435" i="1"/>
  <c r="K435" i="1"/>
  <c r="J435" i="1"/>
  <c r="R435" i="1" s="1"/>
  <c r="H435" i="1"/>
  <c r="G435" i="1"/>
  <c r="F435" i="1"/>
  <c r="E435" i="1"/>
  <c r="D435" i="1"/>
  <c r="I435" i="1" s="1"/>
  <c r="C435" i="1"/>
  <c r="B435" i="1"/>
  <c r="A435" i="1"/>
  <c r="T434" i="1"/>
  <c r="S434" i="1"/>
  <c r="Q434" i="1"/>
  <c r="P434" i="1"/>
  <c r="M434" i="1"/>
  <c r="N434" i="1" s="1"/>
  <c r="O434" i="1" s="1"/>
  <c r="L434" i="1"/>
  <c r="K434" i="1"/>
  <c r="J434" i="1"/>
  <c r="R434" i="1" s="1"/>
  <c r="H434" i="1"/>
  <c r="G434" i="1"/>
  <c r="F434" i="1"/>
  <c r="E434" i="1"/>
  <c r="D434" i="1"/>
  <c r="I434" i="1" s="1"/>
  <c r="C434" i="1"/>
  <c r="B434" i="1"/>
  <c r="A434" i="1"/>
  <c r="T433" i="1"/>
  <c r="S433" i="1"/>
  <c r="Q433" i="1"/>
  <c r="P433" i="1"/>
  <c r="M433" i="1"/>
  <c r="N433" i="1" s="1"/>
  <c r="O433" i="1" s="1"/>
  <c r="L433" i="1"/>
  <c r="K433" i="1"/>
  <c r="J433" i="1"/>
  <c r="R433" i="1" s="1"/>
  <c r="H433" i="1"/>
  <c r="G433" i="1"/>
  <c r="F433" i="1"/>
  <c r="E433" i="1"/>
  <c r="D433" i="1"/>
  <c r="I433" i="1" s="1"/>
  <c r="C433" i="1"/>
  <c r="B433" i="1"/>
  <c r="A433" i="1"/>
  <c r="T432" i="1"/>
  <c r="S432" i="1"/>
  <c r="Q432" i="1"/>
  <c r="P432" i="1"/>
  <c r="M432" i="1"/>
  <c r="N432" i="1" s="1"/>
  <c r="O432" i="1" s="1"/>
  <c r="L432" i="1"/>
  <c r="K432" i="1"/>
  <c r="J432" i="1"/>
  <c r="R432" i="1" s="1"/>
  <c r="H432" i="1"/>
  <c r="G432" i="1"/>
  <c r="F432" i="1"/>
  <c r="E432" i="1"/>
  <c r="D432" i="1"/>
  <c r="I432" i="1" s="1"/>
  <c r="C432" i="1"/>
  <c r="B432" i="1"/>
  <c r="A432" i="1"/>
  <c r="T431" i="1"/>
  <c r="S431" i="1"/>
  <c r="Q431" i="1"/>
  <c r="P431" i="1"/>
  <c r="M431" i="1"/>
  <c r="N431" i="1" s="1"/>
  <c r="O431" i="1" s="1"/>
  <c r="L431" i="1"/>
  <c r="K431" i="1"/>
  <c r="J431" i="1"/>
  <c r="R431" i="1" s="1"/>
  <c r="H431" i="1"/>
  <c r="G431" i="1"/>
  <c r="F431" i="1"/>
  <c r="E431" i="1"/>
  <c r="D431" i="1"/>
  <c r="I431" i="1" s="1"/>
  <c r="C431" i="1"/>
  <c r="B431" i="1"/>
  <c r="A431" i="1"/>
  <c r="T430" i="1"/>
  <c r="S430" i="1"/>
  <c r="Q430" i="1"/>
  <c r="P430" i="1"/>
  <c r="M430" i="1"/>
  <c r="N430" i="1" s="1"/>
  <c r="O430" i="1" s="1"/>
  <c r="L430" i="1"/>
  <c r="K430" i="1"/>
  <c r="J430" i="1"/>
  <c r="R430" i="1" s="1"/>
  <c r="H430" i="1"/>
  <c r="G430" i="1"/>
  <c r="F430" i="1"/>
  <c r="E430" i="1"/>
  <c r="D430" i="1"/>
  <c r="I430" i="1" s="1"/>
  <c r="C430" i="1"/>
  <c r="B430" i="1"/>
  <c r="A430" i="1"/>
  <c r="T429" i="1"/>
  <c r="S429" i="1"/>
  <c r="Q429" i="1"/>
  <c r="P429" i="1"/>
  <c r="M429" i="1"/>
  <c r="N429" i="1" s="1"/>
  <c r="O429" i="1" s="1"/>
  <c r="L429" i="1"/>
  <c r="K429" i="1"/>
  <c r="J429" i="1"/>
  <c r="R429" i="1" s="1"/>
  <c r="H429" i="1"/>
  <c r="G429" i="1"/>
  <c r="F429" i="1"/>
  <c r="E429" i="1"/>
  <c r="D429" i="1"/>
  <c r="I429" i="1" s="1"/>
  <c r="C429" i="1"/>
  <c r="B429" i="1"/>
  <c r="A429" i="1"/>
  <c r="T428" i="1"/>
  <c r="S428" i="1"/>
  <c r="Q428" i="1"/>
  <c r="P428" i="1"/>
  <c r="M428" i="1"/>
  <c r="N428" i="1" s="1"/>
  <c r="O428" i="1" s="1"/>
  <c r="L428" i="1"/>
  <c r="K428" i="1"/>
  <c r="J428" i="1"/>
  <c r="R428" i="1" s="1"/>
  <c r="H428" i="1"/>
  <c r="G428" i="1"/>
  <c r="F428" i="1"/>
  <c r="E428" i="1"/>
  <c r="D428" i="1"/>
  <c r="I428" i="1" s="1"/>
  <c r="C428" i="1"/>
  <c r="B428" i="1"/>
  <c r="A428" i="1"/>
  <c r="T427" i="1"/>
  <c r="S427" i="1"/>
  <c r="Q427" i="1"/>
  <c r="P427" i="1"/>
  <c r="M427" i="1"/>
  <c r="N427" i="1" s="1"/>
  <c r="O427" i="1" s="1"/>
  <c r="L427" i="1"/>
  <c r="K427" i="1"/>
  <c r="J427" i="1"/>
  <c r="R427" i="1" s="1"/>
  <c r="H427" i="1"/>
  <c r="G427" i="1"/>
  <c r="F427" i="1"/>
  <c r="E427" i="1"/>
  <c r="D427" i="1"/>
  <c r="I427" i="1" s="1"/>
  <c r="C427" i="1"/>
  <c r="B427" i="1"/>
  <c r="A427" i="1"/>
  <c r="T426" i="1"/>
  <c r="S426" i="1"/>
  <c r="Q426" i="1"/>
  <c r="P426" i="1"/>
  <c r="M426" i="1"/>
  <c r="N426" i="1" s="1"/>
  <c r="O426" i="1" s="1"/>
  <c r="L426" i="1"/>
  <c r="K426" i="1"/>
  <c r="J426" i="1"/>
  <c r="R426" i="1" s="1"/>
  <c r="H426" i="1"/>
  <c r="G426" i="1"/>
  <c r="F426" i="1"/>
  <c r="E426" i="1"/>
  <c r="D426" i="1"/>
  <c r="I426" i="1" s="1"/>
  <c r="C426" i="1"/>
  <c r="B426" i="1"/>
  <c r="A426" i="1"/>
  <c r="T425" i="1"/>
  <c r="S425" i="1"/>
  <c r="Q425" i="1"/>
  <c r="P425" i="1"/>
  <c r="M425" i="1"/>
  <c r="N425" i="1" s="1"/>
  <c r="O425" i="1" s="1"/>
  <c r="L425" i="1"/>
  <c r="K425" i="1"/>
  <c r="J425" i="1"/>
  <c r="R425" i="1" s="1"/>
  <c r="H425" i="1"/>
  <c r="G425" i="1"/>
  <c r="F425" i="1"/>
  <c r="E425" i="1"/>
  <c r="D425" i="1"/>
  <c r="I425" i="1" s="1"/>
  <c r="C425" i="1"/>
  <c r="B425" i="1"/>
  <c r="A425" i="1"/>
  <c r="T424" i="1"/>
  <c r="S424" i="1"/>
  <c r="Q424" i="1"/>
  <c r="P424" i="1"/>
  <c r="M424" i="1"/>
  <c r="N424" i="1" s="1"/>
  <c r="O424" i="1" s="1"/>
  <c r="L424" i="1"/>
  <c r="K424" i="1"/>
  <c r="J424" i="1"/>
  <c r="R424" i="1" s="1"/>
  <c r="H424" i="1"/>
  <c r="G424" i="1"/>
  <c r="F424" i="1"/>
  <c r="E424" i="1"/>
  <c r="D424" i="1"/>
  <c r="I424" i="1" s="1"/>
  <c r="C424" i="1"/>
  <c r="B424" i="1"/>
  <c r="A424" i="1"/>
  <c r="T423" i="1"/>
  <c r="S423" i="1"/>
  <c r="Q423" i="1"/>
  <c r="P423" i="1"/>
  <c r="M423" i="1"/>
  <c r="N423" i="1" s="1"/>
  <c r="O423" i="1" s="1"/>
  <c r="L423" i="1"/>
  <c r="K423" i="1"/>
  <c r="J423" i="1"/>
  <c r="R423" i="1" s="1"/>
  <c r="H423" i="1"/>
  <c r="G423" i="1"/>
  <c r="F423" i="1"/>
  <c r="E423" i="1"/>
  <c r="D423" i="1"/>
  <c r="I423" i="1" s="1"/>
  <c r="C423" i="1"/>
  <c r="B423" i="1"/>
  <c r="A423" i="1"/>
  <c r="T422" i="1"/>
  <c r="S422" i="1"/>
  <c r="Q422" i="1"/>
  <c r="P422" i="1"/>
  <c r="M422" i="1"/>
  <c r="N422" i="1" s="1"/>
  <c r="O422" i="1" s="1"/>
  <c r="L422" i="1"/>
  <c r="K422" i="1"/>
  <c r="J422" i="1"/>
  <c r="R422" i="1" s="1"/>
  <c r="H422" i="1"/>
  <c r="G422" i="1"/>
  <c r="F422" i="1"/>
  <c r="E422" i="1"/>
  <c r="D422" i="1"/>
  <c r="I422" i="1" s="1"/>
  <c r="C422" i="1"/>
  <c r="B422" i="1"/>
  <c r="A422" i="1"/>
  <c r="T421" i="1"/>
  <c r="S421" i="1"/>
  <c r="Q421" i="1"/>
  <c r="P421" i="1"/>
  <c r="M421" i="1"/>
  <c r="N421" i="1" s="1"/>
  <c r="O421" i="1" s="1"/>
  <c r="L421" i="1"/>
  <c r="K421" i="1"/>
  <c r="J421" i="1"/>
  <c r="R421" i="1" s="1"/>
  <c r="H421" i="1"/>
  <c r="G421" i="1"/>
  <c r="F421" i="1"/>
  <c r="E421" i="1"/>
  <c r="D421" i="1"/>
  <c r="I421" i="1" s="1"/>
  <c r="C421" i="1"/>
  <c r="B421" i="1"/>
  <c r="A421" i="1"/>
  <c r="T420" i="1"/>
  <c r="S420" i="1"/>
  <c r="Q420" i="1"/>
  <c r="P420" i="1"/>
  <c r="M420" i="1"/>
  <c r="N420" i="1" s="1"/>
  <c r="O420" i="1" s="1"/>
  <c r="L420" i="1"/>
  <c r="K420" i="1"/>
  <c r="J420" i="1"/>
  <c r="R420" i="1" s="1"/>
  <c r="H420" i="1"/>
  <c r="G420" i="1"/>
  <c r="F420" i="1"/>
  <c r="E420" i="1"/>
  <c r="D420" i="1"/>
  <c r="I420" i="1" s="1"/>
  <c r="C420" i="1"/>
  <c r="B420" i="1"/>
  <c r="A420" i="1"/>
  <c r="T419" i="1"/>
  <c r="S419" i="1"/>
  <c r="Q419" i="1"/>
  <c r="P419" i="1"/>
  <c r="M419" i="1"/>
  <c r="N419" i="1" s="1"/>
  <c r="O419" i="1" s="1"/>
  <c r="L419" i="1"/>
  <c r="K419" i="1"/>
  <c r="J419" i="1"/>
  <c r="R419" i="1" s="1"/>
  <c r="H419" i="1"/>
  <c r="G419" i="1"/>
  <c r="F419" i="1"/>
  <c r="E419" i="1"/>
  <c r="D419" i="1"/>
  <c r="I419" i="1" s="1"/>
  <c r="C419" i="1"/>
  <c r="B419" i="1"/>
  <c r="A419" i="1"/>
  <c r="T418" i="1"/>
  <c r="S418" i="1"/>
  <c r="Q418" i="1"/>
  <c r="P418" i="1"/>
  <c r="M418" i="1"/>
  <c r="N418" i="1" s="1"/>
  <c r="O418" i="1" s="1"/>
  <c r="L418" i="1"/>
  <c r="K418" i="1"/>
  <c r="J418" i="1"/>
  <c r="R418" i="1" s="1"/>
  <c r="H418" i="1"/>
  <c r="G418" i="1"/>
  <c r="F418" i="1"/>
  <c r="E418" i="1"/>
  <c r="D418" i="1"/>
  <c r="I418" i="1" s="1"/>
  <c r="C418" i="1"/>
  <c r="B418" i="1"/>
  <c r="A418" i="1"/>
  <c r="T417" i="1"/>
  <c r="S417" i="1"/>
  <c r="Q417" i="1"/>
  <c r="P417" i="1"/>
  <c r="M417" i="1"/>
  <c r="N417" i="1" s="1"/>
  <c r="O417" i="1" s="1"/>
  <c r="L417" i="1"/>
  <c r="K417" i="1"/>
  <c r="J417" i="1"/>
  <c r="R417" i="1" s="1"/>
  <c r="I417" i="1"/>
  <c r="H417" i="1"/>
  <c r="G417" i="1"/>
  <c r="F417" i="1"/>
  <c r="E417" i="1"/>
  <c r="D417" i="1"/>
  <c r="C417" i="1"/>
  <c r="B417" i="1"/>
  <c r="A417" i="1"/>
  <c r="T416" i="1"/>
  <c r="S416" i="1"/>
  <c r="Q416" i="1"/>
  <c r="P416" i="1"/>
  <c r="M416" i="1"/>
  <c r="N416" i="1" s="1"/>
  <c r="L416" i="1"/>
  <c r="K416" i="1"/>
  <c r="J416" i="1"/>
  <c r="R416" i="1" s="1"/>
  <c r="H416" i="1"/>
  <c r="G416" i="1"/>
  <c r="F416" i="1"/>
  <c r="E416" i="1"/>
  <c r="D416" i="1"/>
  <c r="I416" i="1" s="1"/>
  <c r="C416" i="1"/>
  <c r="B416" i="1"/>
  <c r="A416" i="1"/>
  <c r="T415" i="1"/>
  <c r="S415" i="1"/>
  <c r="Q415" i="1"/>
  <c r="M415" i="1"/>
  <c r="N415" i="1" s="1"/>
  <c r="L415" i="1"/>
  <c r="K415" i="1"/>
  <c r="J415" i="1"/>
  <c r="R415" i="1" s="1"/>
  <c r="H415" i="1"/>
  <c r="G415" i="1"/>
  <c r="F415" i="1"/>
  <c r="E415" i="1"/>
  <c r="D415" i="1"/>
  <c r="I415" i="1" s="1"/>
  <c r="C415" i="1"/>
  <c r="B415" i="1"/>
  <c r="A415" i="1"/>
  <c r="T414" i="1"/>
  <c r="S414" i="1"/>
  <c r="Q414" i="1"/>
  <c r="M414" i="1"/>
  <c r="N414" i="1" s="1"/>
  <c r="L414" i="1"/>
  <c r="K414" i="1"/>
  <c r="J414" i="1"/>
  <c r="R414" i="1" s="1"/>
  <c r="I414" i="1"/>
  <c r="H414" i="1"/>
  <c r="G414" i="1"/>
  <c r="F414" i="1"/>
  <c r="E414" i="1"/>
  <c r="D414" i="1"/>
  <c r="C414" i="1"/>
  <c r="B414" i="1"/>
  <c r="A414" i="1"/>
  <c r="T413" i="1"/>
  <c r="S413" i="1"/>
  <c r="Q413" i="1"/>
  <c r="P413" i="1"/>
  <c r="M413" i="1"/>
  <c r="N413" i="1" s="1"/>
  <c r="O413" i="1" s="1"/>
  <c r="L413" i="1"/>
  <c r="K413" i="1"/>
  <c r="J413" i="1"/>
  <c r="R413" i="1" s="1"/>
  <c r="I413" i="1"/>
  <c r="H413" i="1"/>
  <c r="G413" i="1"/>
  <c r="F413" i="1"/>
  <c r="E413" i="1"/>
  <c r="D413" i="1"/>
  <c r="C413" i="1"/>
  <c r="B413" i="1"/>
  <c r="A413" i="1"/>
  <c r="T412" i="1"/>
  <c r="S412" i="1"/>
  <c r="Q412" i="1"/>
  <c r="P412" i="1"/>
  <c r="M412" i="1"/>
  <c r="N412" i="1" s="1"/>
  <c r="L412" i="1"/>
  <c r="K412" i="1"/>
  <c r="J412" i="1"/>
  <c r="R412" i="1" s="1"/>
  <c r="H412" i="1"/>
  <c r="G412" i="1"/>
  <c r="F412" i="1"/>
  <c r="E412" i="1"/>
  <c r="D412" i="1"/>
  <c r="I412" i="1" s="1"/>
  <c r="C412" i="1"/>
  <c r="B412" i="1"/>
  <c r="A412" i="1"/>
  <c r="T411" i="1"/>
  <c r="S411" i="1"/>
  <c r="Q411" i="1"/>
  <c r="M411" i="1"/>
  <c r="N411" i="1" s="1"/>
  <c r="L411" i="1"/>
  <c r="K411" i="1"/>
  <c r="J411" i="1"/>
  <c r="R411" i="1" s="1"/>
  <c r="H411" i="1"/>
  <c r="G411" i="1"/>
  <c r="F411" i="1"/>
  <c r="E411" i="1"/>
  <c r="D411" i="1"/>
  <c r="I411" i="1" s="1"/>
  <c r="C411" i="1"/>
  <c r="B411" i="1"/>
  <c r="A411" i="1"/>
  <c r="T410" i="1"/>
  <c r="S410" i="1"/>
  <c r="Q410" i="1"/>
  <c r="M410" i="1"/>
  <c r="N410" i="1" s="1"/>
  <c r="L410" i="1"/>
  <c r="K410" i="1"/>
  <c r="J410" i="1"/>
  <c r="R410" i="1" s="1"/>
  <c r="I410" i="1"/>
  <c r="H410" i="1"/>
  <c r="G410" i="1"/>
  <c r="F410" i="1"/>
  <c r="E410" i="1"/>
  <c r="D410" i="1"/>
  <c r="C410" i="1"/>
  <c r="B410" i="1"/>
  <c r="A410" i="1"/>
  <c r="T409" i="1"/>
  <c r="S409" i="1"/>
  <c r="Q409" i="1"/>
  <c r="P409" i="1"/>
  <c r="M409" i="1"/>
  <c r="N409" i="1" s="1"/>
  <c r="O409" i="1" s="1"/>
  <c r="L409" i="1"/>
  <c r="K409" i="1"/>
  <c r="J409" i="1"/>
  <c r="R409" i="1" s="1"/>
  <c r="I409" i="1"/>
  <c r="H409" i="1"/>
  <c r="G409" i="1"/>
  <c r="F409" i="1"/>
  <c r="E409" i="1"/>
  <c r="D409" i="1"/>
  <c r="C409" i="1"/>
  <c r="B409" i="1"/>
  <c r="A409" i="1"/>
  <c r="T408" i="1"/>
  <c r="S408" i="1"/>
  <c r="Q408" i="1"/>
  <c r="P408" i="1"/>
  <c r="M408" i="1"/>
  <c r="N408" i="1" s="1"/>
  <c r="L408" i="1"/>
  <c r="K408" i="1"/>
  <c r="J408" i="1"/>
  <c r="R408" i="1" s="1"/>
  <c r="H408" i="1"/>
  <c r="G408" i="1"/>
  <c r="F408" i="1"/>
  <c r="E408" i="1"/>
  <c r="D408" i="1"/>
  <c r="I408" i="1" s="1"/>
  <c r="C408" i="1"/>
  <c r="B408" i="1"/>
  <c r="A408" i="1"/>
  <c r="T407" i="1"/>
  <c r="S407" i="1"/>
  <c r="Q407" i="1"/>
  <c r="M407" i="1"/>
  <c r="N407" i="1" s="1"/>
  <c r="L407" i="1"/>
  <c r="K407" i="1"/>
  <c r="J407" i="1"/>
  <c r="R407" i="1" s="1"/>
  <c r="H407" i="1"/>
  <c r="G407" i="1"/>
  <c r="F407" i="1"/>
  <c r="E407" i="1"/>
  <c r="D407" i="1"/>
  <c r="I407" i="1" s="1"/>
  <c r="C407" i="1"/>
  <c r="B407" i="1"/>
  <c r="A407" i="1"/>
  <c r="T406" i="1"/>
  <c r="S406" i="1"/>
  <c r="Q406" i="1"/>
  <c r="M406" i="1"/>
  <c r="N406" i="1" s="1"/>
  <c r="L406" i="1"/>
  <c r="K406" i="1"/>
  <c r="J406" i="1"/>
  <c r="R406" i="1" s="1"/>
  <c r="I406" i="1"/>
  <c r="H406" i="1"/>
  <c r="G406" i="1"/>
  <c r="F406" i="1"/>
  <c r="E406" i="1"/>
  <c r="D406" i="1"/>
  <c r="C406" i="1"/>
  <c r="B406" i="1"/>
  <c r="A406" i="1"/>
  <c r="T405" i="1"/>
  <c r="S405" i="1"/>
  <c r="Q405" i="1"/>
  <c r="P405" i="1"/>
  <c r="M405" i="1"/>
  <c r="N405" i="1" s="1"/>
  <c r="O405" i="1" s="1"/>
  <c r="L405" i="1"/>
  <c r="K405" i="1"/>
  <c r="J405" i="1"/>
  <c r="R405" i="1" s="1"/>
  <c r="I405" i="1"/>
  <c r="H405" i="1"/>
  <c r="G405" i="1"/>
  <c r="F405" i="1"/>
  <c r="E405" i="1"/>
  <c r="D405" i="1"/>
  <c r="C405" i="1"/>
  <c r="B405" i="1"/>
  <c r="A405" i="1"/>
  <c r="T404" i="1"/>
  <c r="S404" i="1"/>
  <c r="Q404" i="1"/>
  <c r="P404" i="1"/>
  <c r="M404" i="1"/>
  <c r="N404" i="1" s="1"/>
  <c r="L404" i="1"/>
  <c r="K404" i="1"/>
  <c r="J404" i="1"/>
  <c r="R404" i="1" s="1"/>
  <c r="H404" i="1"/>
  <c r="G404" i="1"/>
  <c r="F404" i="1"/>
  <c r="E404" i="1"/>
  <c r="D404" i="1"/>
  <c r="I404" i="1" s="1"/>
  <c r="C404" i="1"/>
  <c r="B404" i="1"/>
  <c r="A404" i="1"/>
  <c r="T403" i="1"/>
  <c r="S403" i="1"/>
  <c r="Q403" i="1"/>
  <c r="M403" i="1"/>
  <c r="N403" i="1" s="1"/>
  <c r="L403" i="1"/>
  <c r="K403" i="1"/>
  <c r="J403" i="1"/>
  <c r="R403" i="1" s="1"/>
  <c r="I403" i="1"/>
  <c r="H403" i="1"/>
  <c r="G403" i="1"/>
  <c r="F403" i="1"/>
  <c r="E403" i="1"/>
  <c r="D403" i="1"/>
  <c r="C403" i="1"/>
  <c r="B403" i="1"/>
  <c r="A403" i="1"/>
  <c r="T402" i="1"/>
  <c r="S402" i="1"/>
  <c r="R402" i="1"/>
  <c r="Q402" i="1"/>
  <c r="M402" i="1"/>
  <c r="N402" i="1" s="1"/>
  <c r="L402" i="1"/>
  <c r="K402" i="1"/>
  <c r="J402" i="1"/>
  <c r="H402" i="1"/>
  <c r="G402" i="1"/>
  <c r="F402" i="1"/>
  <c r="E402" i="1"/>
  <c r="D402" i="1"/>
  <c r="I402" i="1" s="1"/>
  <c r="C402" i="1"/>
  <c r="B402" i="1"/>
  <c r="A402" i="1"/>
  <c r="T401" i="1"/>
  <c r="S401" i="1"/>
  <c r="Q401" i="1"/>
  <c r="M401" i="1"/>
  <c r="L401" i="1"/>
  <c r="K401" i="1"/>
  <c r="J401" i="1"/>
  <c r="R401" i="1" s="1"/>
  <c r="H401" i="1"/>
  <c r="G401" i="1"/>
  <c r="F401" i="1"/>
  <c r="E401" i="1"/>
  <c r="D401" i="1"/>
  <c r="I401" i="1" s="1"/>
  <c r="C401" i="1"/>
  <c r="B401" i="1"/>
  <c r="N401" i="1" s="1"/>
  <c r="O401" i="1" s="1"/>
  <c r="A401" i="1"/>
  <c r="T400" i="1"/>
  <c r="S400" i="1"/>
  <c r="Q400" i="1"/>
  <c r="M400" i="1"/>
  <c r="L400" i="1"/>
  <c r="K400" i="1"/>
  <c r="J400" i="1"/>
  <c r="R400" i="1" s="1"/>
  <c r="I400" i="1"/>
  <c r="H400" i="1"/>
  <c r="G400" i="1"/>
  <c r="F400" i="1"/>
  <c r="E400" i="1"/>
  <c r="D400" i="1"/>
  <c r="C400" i="1"/>
  <c r="B400" i="1"/>
  <c r="N400" i="1" s="1"/>
  <c r="A400" i="1"/>
  <c r="T399" i="1"/>
  <c r="S399" i="1"/>
  <c r="R399" i="1"/>
  <c r="Q399" i="1"/>
  <c r="M399" i="1"/>
  <c r="N399" i="1" s="1"/>
  <c r="L399" i="1"/>
  <c r="K399" i="1"/>
  <c r="J399" i="1"/>
  <c r="I399" i="1"/>
  <c r="H399" i="1"/>
  <c r="G399" i="1"/>
  <c r="F399" i="1"/>
  <c r="E399" i="1"/>
  <c r="D399" i="1"/>
  <c r="C399" i="1"/>
  <c r="B399" i="1"/>
  <c r="A399" i="1"/>
  <c r="T398" i="1"/>
  <c r="S398" i="1"/>
  <c r="R398" i="1"/>
  <c r="Q398" i="1"/>
  <c r="M398" i="1"/>
  <c r="N398" i="1" s="1"/>
  <c r="L398" i="1"/>
  <c r="K398" i="1"/>
  <c r="J398" i="1"/>
  <c r="H398" i="1"/>
  <c r="G398" i="1"/>
  <c r="F398" i="1"/>
  <c r="E398" i="1"/>
  <c r="D398" i="1"/>
  <c r="I398" i="1" s="1"/>
  <c r="C398" i="1"/>
  <c r="B398" i="1"/>
  <c r="A398" i="1"/>
  <c r="T397" i="1"/>
  <c r="S397" i="1"/>
  <c r="Q397" i="1"/>
  <c r="P397" i="1"/>
  <c r="N397" i="1"/>
  <c r="O397" i="1" s="1"/>
  <c r="M397" i="1"/>
  <c r="L397" i="1"/>
  <c r="K397" i="1"/>
  <c r="J397" i="1"/>
  <c r="R397" i="1" s="1"/>
  <c r="H397" i="1"/>
  <c r="G397" i="1"/>
  <c r="F397" i="1"/>
  <c r="E397" i="1"/>
  <c r="D397" i="1"/>
  <c r="I397" i="1" s="1"/>
  <c r="C397" i="1"/>
  <c r="B397" i="1"/>
  <c r="A397" i="1"/>
  <c r="T396" i="1"/>
  <c r="S396" i="1"/>
  <c r="Q396" i="1"/>
  <c r="M396" i="1"/>
  <c r="L396" i="1"/>
  <c r="K396" i="1"/>
  <c r="J396" i="1"/>
  <c r="R396" i="1" s="1"/>
  <c r="I396" i="1"/>
  <c r="H396" i="1"/>
  <c r="G396" i="1"/>
  <c r="F396" i="1"/>
  <c r="E396" i="1"/>
  <c r="D396" i="1"/>
  <c r="C396" i="1"/>
  <c r="B396" i="1"/>
  <c r="N396" i="1" s="1"/>
  <c r="A396" i="1"/>
  <c r="T395" i="1"/>
  <c r="S395" i="1"/>
  <c r="R395" i="1"/>
  <c r="Q395" i="1"/>
  <c r="M395" i="1"/>
  <c r="N395" i="1" s="1"/>
  <c r="L395" i="1"/>
  <c r="K395" i="1"/>
  <c r="J395" i="1"/>
  <c r="I395" i="1"/>
  <c r="H395" i="1"/>
  <c r="G395" i="1"/>
  <c r="F395" i="1"/>
  <c r="E395" i="1"/>
  <c r="D395" i="1"/>
  <c r="C395" i="1"/>
  <c r="B395" i="1"/>
  <c r="A395" i="1"/>
  <c r="T394" i="1"/>
  <c r="S394" i="1"/>
  <c r="R394" i="1"/>
  <c r="Q394" i="1"/>
  <c r="M394" i="1"/>
  <c r="N394" i="1" s="1"/>
  <c r="L394" i="1"/>
  <c r="K394" i="1"/>
  <c r="J394" i="1"/>
  <c r="H394" i="1"/>
  <c r="G394" i="1"/>
  <c r="F394" i="1"/>
  <c r="E394" i="1"/>
  <c r="D394" i="1"/>
  <c r="I394" i="1" s="1"/>
  <c r="C394" i="1"/>
  <c r="B394" i="1"/>
  <c r="A394" i="1"/>
  <c r="T393" i="1"/>
  <c r="S393" i="1"/>
  <c r="Q393" i="1"/>
  <c r="M393" i="1"/>
  <c r="L393" i="1"/>
  <c r="K393" i="1"/>
  <c r="J393" i="1"/>
  <c r="R393" i="1" s="1"/>
  <c r="H393" i="1"/>
  <c r="G393" i="1"/>
  <c r="F393" i="1"/>
  <c r="E393" i="1"/>
  <c r="D393" i="1"/>
  <c r="I393" i="1" s="1"/>
  <c r="C393" i="1"/>
  <c r="B393" i="1"/>
  <c r="N393" i="1" s="1"/>
  <c r="O393" i="1" s="1"/>
  <c r="A393" i="1"/>
  <c r="T392" i="1"/>
  <c r="S392" i="1"/>
  <c r="Q392" i="1"/>
  <c r="M392" i="1"/>
  <c r="L392" i="1"/>
  <c r="K392" i="1"/>
  <c r="J392" i="1"/>
  <c r="R392" i="1" s="1"/>
  <c r="I392" i="1"/>
  <c r="H392" i="1"/>
  <c r="G392" i="1"/>
  <c r="F392" i="1"/>
  <c r="E392" i="1"/>
  <c r="D392" i="1"/>
  <c r="C392" i="1"/>
  <c r="B392" i="1"/>
  <c r="N392" i="1" s="1"/>
  <c r="A392" i="1"/>
  <c r="T391" i="1"/>
  <c r="S391" i="1"/>
  <c r="R391" i="1"/>
  <c r="Q391" i="1"/>
  <c r="M391" i="1"/>
  <c r="N391" i="1" s="1"/>
  <c r="L391" i="1"/>
  <c r="K391" i="1"/>
  <c r="J391" i="1"/>
  <c r="I391" i="1"/>
  <c r="H391" i="1"/>
  <c r="G391" i="1"/>
  <c r="F391" i="1"/>
  <c r="E391" i="1"/>
  <c r="D391" i="1"/>
  <c r="C391" i="1"/>
  <c r="B391" i="1"/>
  <c r="A391" i="1"/>
  <c r="T390" i="1"/>
  <c r="S390" i="1"/>
  <c r="R390" i="1"/>
  <c r="Q390" i="1"/>
  <c r="M390" i="1"/>
  <c r="N390" i="1" s="1"/>
  <c r="L390" i="1"/>
  <c r="K390" i="1"/>
  <c r="J390" i="1"/>
  <c r="H390" i="1"/>
  <c r="G390" i="1"/>
  <c r="F390" i="1"/>
  <c r="E390" i="1"/>
  <c r="D390" i="1"/>
  <c r="I390" i="1" s="1"/>
  <c r="C390" i="1"/>
  <c r="B390" i="1"/>
  <c r="A390" i="1"/>
  <c r="T389" i="1"/>
  <c r="S389" i="1"/>
  <c r="Q389" i="1"/>
  <c r="P389" i="1"/>
  <c r="M389" i="1"/>
  <c r="L389" i="1"/>
  <c r="K389" i="1"/>
  <c r="J389" i="1"/>
  <c r="R389" i="1" s="1"/>
  <c r="H389" i="1"/>
  <c r="G389" i="1"/>
  <c r="F389" i="1"/>
  <c r="E389" i="1"/>
  <c r="D389" i="1"/>
  <c r="I389" i="1" s="1"/>
  <c r="C389" i="1"/>
  <c r="B389" i="1"/>
  <c r="N389" i="1" s="1"/>
  <c r="O389" i="1" s="1"/>
  <c r="A389" i="1"/>
  <c r="T388" i="1"/>
  <c r="S388" i="1"/>
  <c r="Q388" i="1"/>
  <c r="M388" i="1"/>
  <c r="L388" i="1"/>
  <c r="K388" i="1"/>
  <c r="J388" i="1"/>
  <c r="R388" i="1" s="1"/>
  <c r="I388" i="1"/>
  <c r="H388" i="1"/>
  <c r="G388" i="1"/>
  <c r="F388" i="1"/>
  <c r="E388" i="1"/>
  <c r="D388" i="1"/>
  <c r="C388" i="1"/>
  <c r="B388" i="1"/>
  <c r="N388" i="1" s="1"/>
  <c r="A388" i="1"/>
  <c r="T387" i="1"/>
  <c r="S387" i="1"/>
  <c r="R387" i="1"/>
  <c r="Q387" i="1"/>
  <c r="M387" i="1"/>
  <c r="N387" i="1" s="1"/>
  <c r="L387" i="1"/>
  <c r="K387" i="1"/>
  <c r="J387" i="1"/>
  <c r="I387" i="1"/>
  <c r="H387" i="1"/>
  <c r="G387" i="1"/>
  <c r="F387" i="1"/>
  <c r="E387" i="1"/>
  <c r="D387" i="1"/>
  <c r="C387" i="1"/>
  <c r="B387" i="1"/>
  <c r="A387" i="1"/>
  <c r="T386" i="1"/>
  <c r="S386" i="1"/>
  <c r="R386" i="1"/>
  <c r="Q386" i="1"/>
  <c r="M386" i="1"/>
  <c r="N386" i="1" s="1"/>
  <c r="L386" i="1"/>
  <c r="K386" i="1"/>
  <c r="J386" i="1"/>
  <c r="H386" i="1"/>
  <c r="G386" i="1"/>
  <c r="F386" i="1"/>
  <c r="E386" i="1"/>
  <c r="D386" i="1"/>
  <c r="I386" i="1" s="1"/>
  <c r="C386" i="1"/>
  <c r="B386" i="1"/>
  <c r="A386" i="1"/>
  <c r="T385" i="1"/>
  <c r="S385" i="1"/>
  <c r="Q385" i="1"/>
  <c r="M385" i="1"/>
  <c r="L385" i="1"/>
  <c r="K385" i="1"/>
  <c r="J385" i="1"/>
  <c r="R385" i="1" s="1"/>
  <c r="H385" i="1"/>
  <c r="G385" i="1"/>
  <c r="F385" i="1"/>
  <c r="E385" i="1"/>
  <c r="D385" i="1"/>
  <c r="I385" i="1" s="1"/>
  <c r="C385" i="1"/>
  <c r="B385" i="1"/>
  <c r="N385" i="1" s="1"/>
  <c r="O385" i="1" s="1"/>
  <c r="A385" i="1"/>
  <c r="T384" i="1"/>
  <c r="S384" i="1"/>
  <c r="Q384" i="1"/>
  <c r="M384" i="1"/>
  <c r="L384" i="1"/>
  <c r="K384" i="1"/>
  <c r="J384" i="1"/>
  <c r="R384" i="1" s="1"/>
  <c r="I384" i="1"/>
  <c r="H384" i="1"/>
  <c r="G384" i="1"/>
  <c r="F384" i="1"/>
  <c r="E384" i="1"/>
  <c r="D384" i="1"/>
  <c r="C384" i="1"/>
  <c r="B384" i="1"/>
  <c r="N384" i="1" s="1"/>
  <c r="A384" i="1"/>
  <c r="T383" i="1"/>
  <c r="S383" i="1"/>
  <c r="R383" i="1"/>
  <c r="Q383" i="1"/>
  <c r="M383" i="1"/>
  <c r="N383" i="1" s="1"/>
  <c r="L383" i="1"/>
  <c r="K383" i="1"/>
  <c r="J383" i="1"/>
  <c r="I383" i="1"/>
  <c r="H383" i="1"/>
  <c r="G383" i="1"/>
  <c r="F383" i="1"/>
  <c r="E383" i="1"/>
  <c r="D383" i="1"/>
  <c r="C383" i="1"/>
  <c r="B383" i="1"/>
  <c r="A383" i="1"/>
  <c r="T382" i="1"/>
  <c r="S382" i="1"/>
  <c r="R382" i="1"/>
  <c r="Q382" i="1"/>
  <c r="M382" i="1"/>
  <c r="N382" i="1" s="1"/>
  <c r="L382" i="1"/>
  <c r="K382" i="1"/>
  <c r="J382" i="1"/>
  <c r="H382" i="1"/>
  <c r="G382" i="1"/>
  <c r="F382" i="1"/>
  <c r="E382" i="1"/>
  <c r="D382" i="1"/>
  <c r="I382" i="1" s="1"/>
  <c r="C382" i="1"/>
  <c r="B382" i="1"/>
  <c r="A382" i="1"/>
  <c r="T381" i="1"/>
  <c r="S381" i="1"/>
  <c r="Q381" i="1"/>
  <c r="P381" i="1"/>
  <c r="M381" i="1"/>
  <c r="L381" i="1"/>
  <c r="K381" i="1"/>
  <c r="J381" i="1"/>
  <c r="R381" i="1" s="1"/>
  <c r="H381" i="1"/>
  <c r="G381" i="1"/>
  <c r="F381" i="1"/>
  <c r="E381" i="1"/>
  <c r="D381" i="1"/>
  <c r="I381" i="1" s="1"/>
  <c r="C381" i="1"/>
  <c r="B381" i="1"/>
  <c r="N381" i="1" s="1"/>
  <c r="O381" i="1" s="1"/>
  <c r="A381" i="1"/>
  <c r="T380" i="1"/>
  <c r="S380" i="1"/>
  <c r="Q380" i="1"/>
  <c r="M380" i="1"/>
  <c r="L380" i="1"/>
  <c r="K380" i="1"/>
  <c r="J380" i="1"/>
  <c r="R380" i="1" s="1"/>
  <c r="I380" i="1"/>
  <c r="H380" i="1"/>
  <c r="G380" i="1"/>
  <c r="F380" i="1"/>
  <c r="E380" i="1"/>
  <c r="D380" i="1"/>
  <c r="C380" i="1"/>
  <c r="B380" i="1"/>
  <c r="N380" i="1" s="1"/>
  <c r="A380" i="1"/>
  <c r="T379" i="1"/>
  <c r="S379" i="1"/>
  <c r="R379" i="1"/>
  <c r="Q379" i="1"/>
  <c r="M379" i="1"/>
  <c r="N379" i="1" s="1"/>
  <c r="L379" i="1"/>
  <c r="K379" i="1"/>
  <c r="J379" i="1"/>
  <c r="I379" i="1"/>
  <c r="H379" i="1"/>
  <c r="G379" i="1"/>
  <c r="F379" i="1"/>
  <c r="E379" i="1"/>
  <c r="D379" i="1"/>
  <c r="C379" i="1"/>
  <c r="B379" i="1"/>
  <c r="A379" i="1"/>
  <c r="T378" i="1"/>
  <c r="S378" i="1"/>
  <c r="R378" i="1"/>
  <c r="Q378" i="1"/>
  <c r="M378" i="1"/>
  <c r="N378" i="1" s="1"/>
  <c r="L378" i="1"/>
  <c r="K378" i="1"/>
  <c r="J378" i="1"/>
  <c r="H378" i="1"/>
  <c r="G378" i="1"/>
  <c r="F378" i="1"/>
  <c r="E378" i="1"/>
  <c r="D378" i="1"/>
  <c r="I378" i="1" s="1"/>
  <c r="C378" i="1"/>
  <c r="B378" i="1"/>
  <c r="A378" i="1"/>
  <c r="T377" i="1"/>
  <c r="S377" i="1"/>
  <c r="Q377" i="1"/>
  <c r="P377" i="1"/>
  <c r="M377" i="1"/>
  <c r="L377" i="1"/>
  <c r="K377" i="1"/>
  <c r="J377" i="1"/>
  <c r="R377" i="1" s="1"/>
  <c r="H377" i="1"/>
  <c r="G377" i="1"/>
  <c r="F377" i="1"/>
  <c r="E377" i="1"/>
  <c r="D377" i="1"/>
  <c r="I377" i="1" s="1"/>
  <c r="C377" i="1"/>
  <c r="B377" i="1"/>
  <c r="N377" i="1" s="1"/>
  <c r="O377" i="1" s="1"/>
  <c r="A377" i="1"/>
  <c r="T376" i="1"/>
  <c r="S376" i="1"/>
  <c r="Q376" i="1"/>
  <c r="M376" i="1"/>
  <c r="L376" i="1"/>
  <c r="K376" i="1"/>
  <c r="J376" i="1"/>
  <c r="R376" i="1" s="1"/>
  <c r="I376" i="1"/>
  <c r="H376" i="1"/>
  <c r="G376" i="1"/>
  <c r="F376" i="1"/>
  <c r="E376" i="1"/>
  <c r="D376" i="1"/>
  <c r="C376" i="1"/>
  <c r="B376" i="1"/>
  <c r="N376" i="1" s="1"/>
  <c r="A376" i="1"/>
  <c r="T375" i="1"/>
  <c r="S375" i="1"/>
  <c r="R375" i="1"/>
  <c r="Q375" i="1"/>
  <c r="M375" i="1"/>
  <c r="N375" i="1" s="1"/>
  <c r="L375" i="1"/>
  <c r="K375" i="1"/>
  <c r="J375" i="1"/>
  <c r="I375" i="1"/>
  <c r="H375" i="1"/>
  <c r="G375" i="1"/>
  <c r="F375" i="1"/>
  <c r="E375" i="1"/>
  <c r="D375" i="1"/>
  <c r="C375" i="1"/>
  <c r="B375" i="1"/>
  <c r="A375" i="1"/>
  <c r="T374" i="1"/>
  <c r="S374" i="1"/>
  <c r="R374" i="1"/>
  <c r="Q374" i="1"/>
  <c r="M374" i="1"/>
  <c r="N374" i="1" s="1"/>
  <c r="L374" i="1"/>
  <c r="K374" i="1"/>
  <c r="J374" i="1"/>
  <c r="H374" i="1"/>
  <c r="G374" i="1"/>
  <c r="F374" i="1"/>
  <c r="E374" i="1"/>
  <c r="D374" i="1"/>
  <c r="I374" i="1" s="1"/>
  <c r="C374" i="1"/>
  <c r="B374" i="1"/>
  <c r="A374" i="1"/>
  <c r="T373" i="1"/>
  <c r="S373" i="1"/>
  <c r="Q373" i="1"/>
  <c r="P373" i="1"/>
  <c r="M373" i="1"/>
  <c r="L373" i="1"/>
  <c r="K373" i="1"/>
  <c r="J373" i="1"/>
  <c r="R373" i="1" s="1"/>
  <c r="H373" i="1"/>
  <c r="G373" i="1"/>
  <c r="F373" i="1"/>
  <c r="E373" i="1"/>
  <c r="D373" i="1"/>
  <c r="I373" i="1" s="1"/>
  <c r="C373" i="1"/>
  <c r="B373" i="1"/>
  <c r="N373" i="1" s="1"/>
  <c r="O373" i="1" s="1"/>
  <c r="A373" i="1"/>
  <c r="T372" i="1"/>
  <c r="S372" i="1"/>
  <c r="Q372" i="1"/>
  <c r="M372" i="1"/>
  <c r="L372" i="1"/>
  <c r="K372" i="1"/>
  <c r="J372" i="1"/>
  <c r="R372" i="1" s="1"/>
  <c r="I372" i="1"/>
  <c r="H372" i="1"/>
  <c r="G372" i="1"/>
  <c r="F372" i="1"/>
  <c r="E372" i="1"/>
  <c r="D372" i="1"/>
  <c r="C372" i="1"/>
  <c r="B372" i="1"/>
  <c r="N372" i="1" s="1"/>
  <c r="A372" i="1"/>
  <c r="T371" i="1"/>
  <c r="S371" i="1"/>
  <c r="R371" i="1"/>
  <c r="Q371" i="1"/>
  <c r="M371" i="1"/>
  <c r="N371" i="1" s="1"/>
  <c r="L371" i="1"/>
  <c r="K371" i="1"/>
  <c r="J371" i="1"/>
  <c r="I371" i="1"/>
  <c r="H371" i="1"/>
  <c r="G371" i="1"/>
  <c r="F371" i="1"/>
  <c r="E371" i="1"/>
  <c r="D371" i="1"/>
  <c r="C371" i="1"/>
  <c r="B371" i="1"/>
  <c r="A371" i="1"/>
  <c r="T370" i="1"/>
  <c r="S370" i="1"/>
  <c r="R370" i="1"/>
  <c r="Q370" i="1"/>
  <c r="M370" i="1"/>
  <c r="N370" i="1" s="1"/>
  <c r="L370" i="1"/>
  <c r="K370" i="1"/>
  <c r="J370" i="1"/>
  <c r="H370" i="1"/>
  <c r="G370" i="1"/>
  <c r="F370" i="1"/>
  <c r="E370" i="1"/>
  <c r="D370" i="1"/>
  <c r="I370" i="1" s="1"/>
  <c r="C370" i="1"/>
  <c r="B370" i="1"/>
  <c r="A370" i="1"/>
  <c r="T369" i="1"/>
  <c r="S369" i="1"/>
  <c r="Q369" i="1"/>
  <c r="P369" i="1"/>
  <c r="M369" i="1"/>
  <c r="L369" i="1"/>
  <c r="K369" i="1"/>
  <c r="J369" i="1"/>
  <c r="R369" i="1" s="1"/>
  <c r="H369" i="1"/>
  <c r="G369" i="1"/>
  <c r="F369" i="1"/>
  <c r="E369" i="1"/>
  <c r="D369" i="1"/>
  <c r="I369" i="1" s="1"/>
  <c r="C369" i="1"/>
  <c r="B369" i="1"/>
  <c r="N369" i="1" s="1"/>
  <c r="O369" i="1" s="1"/>
  <c r="A369" i="1"/>
  <c r="T368" i="1"/>
  <c r="S368" i="1"/>
  <c r="Q368" i="1"/>
  <c r="M368" i="1"/>
  <c r="L368" i="1"/>
  <c r="K368" i="1"/>
  <c r="J368" i="1"/>
  <c r="R368" i="1" s="1"/>
  <c r="I368" i="1"/>
  <c r="H368" i="1"/>
  <c r="G368" i="1"/>
  <c r="F368" i="1"/>
  <c r="E368" i="1"/>
  <c r="D368" i="1"/>
  <c r="C368" i="1"/>
  <c r="B368" i="1"/>
  <c r="N368" i="1" s="1"/>
  <c r="A368" i="1"/>
  <c r="T367" i="1"/>
  <c r="S367" i="1"/>
  <c r="R367" i="1"/>
  <c r="Q367" i="1"/>
  <c r="M367" i="1"/>
  <c r="N367" i="1" s="1"/>
  <c r="L367" i="1"/>
  <c r="K367" i="1"/>
  <c r="J367" i="1"/>
  <c r="I367" i="1"/>
  <c r="H367" i="1"/>
  <c r="G367" i="1"/>
  <c r="F367" i="1"/>
  <c r="E367" i="1"/>
  <c r="D367" i="1"/>
  <c r="C367" i="1"/>
  <c r="B367" i="1"/>
  <c r="A367" i="1"/>
  <c r="T366" i="1"/>
  <c r="S366" i="1"/>
  <c r="R366" i="1"/>
  <c r="Q366" i="1"/>
  <c r="M366" i="1"/>
  <c r="N366" i="1" s="1"/>
  <c r="L366" i="1"/>
  <c r="K366" i="1"/>
  <c r="J366" i="1"/>
  <c r="H366" i="1"/>
  <c r="G366" i="1"/>
  <c r="F366" i="1"/>
  <c r="E366" i="1"/>
  <c r="D366" i="1"/>
  <c r="I366" i="1" s="1"/>
  <c r="C366" i="1"/>
  <c r="B366" i="1"/>
  <c r="A366" i="1"/>
  <c r="T365" i="1"/>
  <c r="S365" i="1"/>
  <c r="Q365" i="1"/>
  <c r="P365" i="1"/>
  <c r="M365" i="1"/>
  <c r="L365" i="1"/>
  <c r="K365" i="1"/>
  <c r="J365" i="1"/>
  <c r="R365" i="1" s="1"/>
  <c r="H365" i="1"/>
  <c r="G365" i="1"/>
  <c r="F365" i="1"/>
  <c r="E365" i="1"/>
  <c r="D365" i="1"/>
  <c r="I365" i="1" s="1"/>
  <c r="C365" i="1"/>
  <c r="B365" i="1"/>
  <c r="N365" i="1" s="1"/>
  <c r="O365" i="1" s="1"/>
  <c r="A365" i="1"/>
  <c r="T364" i="1"/>
  <c r="S364" i="1"/>
  <c r="Q364" i="1"/>
  <c r="M364" i="1"/>
  <c r="L364" i="1"/>
  <c r="K364" i="1"/>
  <c r="J364" i="1"/>
  <c r="R364" i="1" s="1"/>
  <c r="I364" i="1"/>
  <c r="H364" i="1"/>
  <c r="G364" i="1"/>
  <c r="F364" i="1"/>
  <c r="E364" i="1"/>
  <c r="D364" i="1"/>
  <c r="C364" i="1"/>
  <c r="B364" i="1"/>
  <c r="N364" i="1" s="1"/>
  <c r="A364" i="1"/>
  <c r="T363" i="1"/>
  <c r="S363" i="1"/>
  <c r="R363" i="1"/>
  <c r="Q363" i="1"/>
  <c r="M363" i="1"/>
  <c r="N363" i="1" s="1"/>
  <c r="L363" i="1"/>
  <c r="K363" i="1"/>
  <c r="J363" i="1"/>
  <c r="I363" i="1"/>
  <c r="H363" i="1"/>
  <c r="G363" i="1"/>
  <c r="F363" i="1"/>
  <c r="E363" i="1"/>
  <c r="D363" i="1"/>
  <c r="C363" i="1"/>
  <c r="B363" i="1"/>
  <c r="A363" i="1"/>
  <c r="T362" i="1"/>
  <c r="S362" i="1"/>
  <c r="R362" i="1"/>
  <c r="Q362" i="1"/>
  <c r="M362" i="1"/>
  <c r="N362" i="1" s="1"/>
  <c r="L362" i="1"/>
  <c r="K362" i="1"/>
  <c r="J362" i="1"/>
  <c r="H362" i="1"/>
  <c r="G362" i="1"/>
  <c r="F362" i="1"/>
  <c r="E362" i="1"/>
  <c r="D362" i="1"/>
  <c r="I362" i="1" s="1"/>
  <c r="C362" i="1"/>
  <c r="B362" i="1"/>
  <c r="A362" i="1"/>
  <c r="T361" i="1"/>
  <c r="S361" i="1"/>
  <c r="Q361" i="1"/>
  <c r="P361" i="1"/>
  <c r="M361" i="1"/>
  <c r="L361" i="1"/>
  <c r="K361" i="1"/>
  <c r="J361" i="1"/>
  <c r="R361" i="1" s="1"/>
  <c r="H361" i="1"/>
  <c r="G361" i="1"/>
  <c r="F361" i="1"/>
  <c r="E361" i="1"/>
  <c r="D361" i="1"/>
  <c r="I361" i="1" s="1"/>
  <c r="C361" i="1"/>
  <c r="B361" i="1"/>
  <c r="N361" i="1" s="1"/>
  <c r="O361" i="1" s="1"/>
  <c r="A361" i="1"/>
  <c r="T360" i="1"/>
  <c r="S360" i="1"/>
  <c r="Q360" i="1"/>
  <c r="M360" i="1"/>
  <c r="L360" i="1"/>
  <c r="K360" i="1"/>
  <c r="J360" i="1"/>
  <c r="R360" i="1" s="1"/>
  <c r="I360" i="1"/>
  <c r="H360" i="1"/>
  <c r="G360" i="1"/>
  <c r="F360" i="1"/>
  <c r="E360" i="1"/>
  <c r="D360" i="1"/>
  <c r="C360" i="1"/>
  <c r="B360" i="1"/>
  <c r="N360" i="1" s="1"/>
  <c r="A360" i="1"/>
  <c r="T359" i="1"/>
  <c r="S359" i="1"/>
  <c r="R359" i="1"/>
  <c r="Q359" i="1"/>
  <c r="M359" i="1"/>
  <c r="N359" i="1" s="1"/>
  <c r="L359" i="1"/>
  <c r="K359" i="1"/>
  <c r="J359" i="1"/>
  <c r="I359" i="1"/>
  <c r="H359" i="1"/>
  <c r="G359" i="1"/>
  <c r="F359" i="1"/>
  <c r="E359" i="1"/>
  <c r="D359" i="1"/>
  <c r="C359" i="1"/>
  <c r="B359" i="1"/>
  <c r="A359" i="1"/>
  <c r="T358" i="1"/>
  <c r="S358" i="1"/>
  <c r="R358" i="1"/>
  <c r="Q358" i="1"/>
  <c r="M358" i="1"/>
  <c r="N358" i="1" s="1"/>
  <c r="L358" i="1"/>
  <c r="K358" i="1"/>
  <c r="J358" i="1"/>
  <c r="H358" i="1"/>
  <c r="G358" i="1"/>
  <c r="F358" i="1"/>
  <c r="E358" i="1"/>
  <c r="D358" i="1"/>
  <c r="I358" i="1" s="1"/>
  <c r="C358" i="1"/>
  <c r="B358" i="1"/>
  <c r="A358" i="1"/>
  <c r="T357" i="1"/>
  <c r="S357" i="1"/>
  <c r="Q357" i="1"/>
  <c r="P357" i="1"/>
  <c r="M357" i="1"/>
  <c r="L357" i="1"/>
  <c r="K357" i="1"/>
  <c r="J357" i="1"/>
  <c r="R357" i="1" s="1"/>
  <c r="H357" i="1"/>
  <c r="G357" i="1"/>
  <c r="F357" i="1"/>
  <c r="E357" i="1"/>
  <c r="D357" i="1"/>
  <c r="I357" i="1" s="1"/>
  <c r="C357" i="1"/>
  <c r="B357" i="1"/>
  <c r="N357" i="1" s="1"/>
  <c r="O357" i="1" s="1"/>
  <c r="A357" i="1"/>
  <c r="T356" i="1"/>
  <c r="S356" i="1"/>
  <c r="Q356" i="1"/>
  <c r="M356" i="1"/>
  <c r="L356" i="1"/>
  <c r="K356" i="1"/>
  <c r="J356" i="1"/>
  <c r="R356" i="1" s="1"/>
  <c r="I356" i="1"/>
  <c r="H356" i="1"/>
  <c r="G356" i="1"/>
  <c r="F356" i="1"/>
  <c r="E356" i="1"/>
  <c r="D356" i="1"/>
  <c r="C356" i="1"/>
  <c r="B356" i="1"/>
  <c r="N356" i="1" s="1"/>
  <c r="A356" i="1"/>
  <c r="T355" i="1"/>
  <c r="S355" i="1"/>
  <c r="R355" i="1"/>
  <c r="Q355" i="1"/>
  <c r="M355" i="1"/>
  <c r="N355" i="1" s="1"/>
  <c r="L355" i="1"/>
  <c r="K355" i="1"/>
  <c r="J355" i="1"/>
  <c r="I355" i="1"/>
  <c r="H355" i="1"/>
  <c r="G355" i="1"/>
  <c r="F355" i="1"/>
  <c r="E355" i="1"/>
  <c r="D355" i="1"/>
  <c r="C355" i="1"/>
  <c r="B355" i="1"/>
  <c r="A355" i="1"/>
  <c r="T354" i="1"/>
  <c r="S354" i="1"/>
  <c r="R354" i="1"/>
  <c r="Q354" i="1"/>
  <c r="M354" i="1"/>
  <c r="N354" i="1" s="1"/>
  <c r="L354" i="1"/>
  <c r="K354" i="1"/>
  <c r="J354" i="1"/>
  <c r="H354" i="1"/>
  <c r="G354" i="1"/>
  <c r="F354" i="1"/>
  <c r="E354" i="1"/>
  <c r="D354" i="1"/>
  <c r="I354" i="1" s="1"/>
  <c r="C354" i="1"/>
  <c r="B354" i="1"/>
  <c r="A354" i="1"/>
  <c r="T353" i="1"/>
  <c r="S353" i="1"/>
  <c r="Q353" i="1"/>
  <c r="P353" i="1"/>
  <c r="M353" i="1"/>
  <c r="L353" i="1"/>
  <c r="K353" i="1"/>
  <c r="J353" i="1"/>
  <c r="R353" i="1" s="1"/>
  <c r="H353" i="1"/>
  <c r="G353" i="1"/>
  <c r="F353" i="1"/>
  <c r="E353" i="1"/>
  <c r="D353" i="1"/>
  <c r="I353" i="1" s="1"/>
  <c r="C353" i="1"/>
  <c r="B353" i="1"/>
  <c r="N353" i="1" s="1"/>
  <c r="O353" i="1" s="1"/>
  <c r="A353" i="1"/>
  <c r="T352" i="1"/>
  <c r="S352" i="1"/>
  <c r="Q352" i="1"/>
  <c r="M352" i="1"/>
  <c r="L352" i="1"/>
  <c r="K352" i="1"/>
  <c r="J352" i="1"/>
  <c r="R352" i="1" s="1"/>
  <c r="I352" i="1"/>
  <c r="H352" i="1"/>
  <c r="G352" i="1"/>
  <c r="F352" i="1"/>
  <c r="E352" i="1"/>
  <c r="D352" i="1"/>
  <c r="C352" i="1"/>
  <c r="B352" i="1"/>
  <c r="N352" i="1" s="1"/>
  <c r="A352" i="1"/>
  <c r="T351" i="1"/>
  <c r="S351" i="1"/>
  <c r="R351" i="1"/>
  <c r="Q351" i="1"/>
  <c r="M351" i="1"/>
  <c r="N351" i="1" s="1"/>
  <c r="L351" i="1"/>
  <c r="K351" i="1"/>
  <c r="J351" i="1"/>
  <c r="I351" i="1"/>
  <c r="H351" i="1"/>
  <c r="G351" i="1"/>
  <c r="F351" i="1"/>
  <c r="E351" i="1"/>
  <c r="D351" i="1"/>
  <c r="C351" i="1"/>
  <c r="B351" i="1"/>
  <c r="A351" i="1"/>
  <c r="T350" i="1"/>
  <c r="S350" i="1"/>
  <c r="R350" i="1"/>
  <c r="Q350" i="1"/>
  <c r="M350" i="1"/>
  <c r="N350" i="1" s="1"/>
  <c r="L350" i="1"/>
  <c r="K350" i="1"/>
  <c r="J350" i="1"/>
  <c r="H350" i="1"/>
  <c r="G350" i="1"/>
  <c r="F350" i="1"/>
  <c r="E350" i="1"/>
  <c r="D350" i="1"/>
  <c r="I350" i="1" s="1"/>
  <c r="C350" i="1"/>
  <c r="B350" i="1"/>
  <c r="A350" i="1"/>
  <c r="T349" i="1"/>
  <c r="S349" i="1"/>
  <c r="Q349" i="1"/>
  <c r="P349" i="1"/>
  <c r="M349" i="1"/>
  <c r="L349" i="1"/>
  <c r="K349" i="1"/>
  <c r="J349" i="1"/>
  <c r="R349" i="1" s="1"/>
  <c r="H349" i="1"/>
  <c r="G349" i="1"/>
  <c r="F349" i="1"/>
  <c r="E349" i="1"/>
  <c r="D349" i="1"/>
  <c r="I349" i="1" s="1"/>
  <c r="C349" i="1"/>
  <c r="B349" i="1"/>
  <c r="N349" i="1" s="1"/>
  <c r="O349" i="1" s="1"/>
  <c r="A349" i="1"/>
  <c r="T348" i="1"/>
  <c r="S348" i="1"/>
  <c r="Q348" i="1"/>
  <c r="M348" i="1"/>
  <c r="L348" i="1"/>
  <c r="K348" i="1"/>
  <c r="J348" i="1"/>
  <c r="R348" i="1" s="1"/>
  <c r="I348" i="1"/>
  <c r="H348" i="1"/>
  <c r="G348" i="1"/>
  <c r="F348" i="1"/>
  <c r="E348" i="1"/>
  <c r="D348" i="1"/>
  <c r="C348" i="1"/>
  <c r="B348" i="1"/>
  <c r="N348" i="1" s="1"/>
  <c r="A348" i="1"/>
  <c r="T347" i="1"/>
  <c r="S347" i="1"/>
  <c r="R347" i="1"/>
  <c r="Q347" i="1"/>
  <c r="M347" i="1"/>
  <c r="N347" i="1" s="1"/>
  <c r="L347" i="1"/>
  <c r="K347" i="1"/>
  <c r="J347" i="1"/>
  <c r="I347" i="1"/>
  <c r="H347" i="1"/>
  <c r="G347" i="1"/>
  <c r="F347" i="1"/>
  <c r="E347" i="1"/>
  <c r="D347" i="1"/>
  <c r="C347" i="1"/>
  <c r="B347" i="1"/>
  <c r="A347" i="1"/>
  <c r="T346" i="1"/>
  <c r="S346" i="1"/>
  <c r="R346" i="1"/>
  <c r="Q346" i="1"/>
  <c r="M346" i="1"/>
  <c r="N346" i="1" s="1"/>
  <c r="L346" i="1"/>
  <c r="K346" i="1"/>
  <c r="J346" i="1"/>
  <c r="H346" i="1"/>
  <c r="G346" i="1"/>
  <c r="F346" i="1"/>
  <c r="E346" i="1"/>
  <c r="D346" i="1"/>
  <c r="I346" i="1" s="1"/>
  <c r="C346" i="1"/>
  <c r="B346" i="1"/>
  <c r="A346" i="1"/>
  <c r="T345" i="1"/>
  <c r="S345" i="1"/>
  <c r="Q345" i="1"/>
  <c r="P345" i="1"/>
  <c r="M345" i="1"/>
  <c r="L345" i="1"/>
  <c r="K345" i="1"/>
  <c r="J345" i="1"/>
  <c r="R345" i="1" s="1"/>
  <c r="H345" i="1"/>
  <c r="G345" i="1"/>
  <c r="F345" i="1"/>
  <c r="E345" i="1"/>
  <c r="D345" i="1"/>
  <c r="I345" i="1" s="1"/>
  <c r="C345" i="1"/>
  <c r="B345" i="1"/>
  <c r="N345" i="1" s="1"/>
  <c r="O345" i="1" s="1"/>
  <c r="A345" i="1"/>
  <c r="T344" i="1"/>
  <c r="S344" i="1"/>
  <c r="Q344" i="1"/>
  <c r="M344" i="1"/>
  <c r="L344" i="1"/>
  <c r="K344" i="1"/>
  <c r="J344" i="1"/>
  <c r="R344" i="1" s="1"/>
  <c r="I344" i="1"/>
  <c r="H344" i="1"/>
  <c r="G344" i="1"/>
  <c r="F344" i="1"/>
  <c r="E344" i="1"/>
  <c r="D344" i="1"/>
  <c r="C344" i="1"/>
  <c r="B344" i="1"/>
  <c r="N344" i="1" s="1"/>
  <c r="A344" i="1"/>
  <c r="T343" i="1"/>
  <c r="S343" i="1"/>
  <c r="R343" i="1"/>
  <c r="Q343" i="1"/>
  <c r="M343" i="1"/>
  <c r="N343" i="1" s="1"/>
  <c r="L343" i="1"/>
  <c r="K343" i="1"/>
  <c r="J343" i="1"/>
  <c r="I343" i="1"/>
  <c r="H343" i="1"/>
  <c r="G343" i="1"/>
  <c r="F343" i="1"/>
  <c r="E343" i="1"/>
  <c r="D343" i="1"/>
  <c r="C343" i="1"/>
  <c r="B343" i="1"/>
  <c r="A343" i="1"/>
  <c r="T342" i="1"/>
  <c r="S342" i="1"/>
  <c r="R342" i="1"/>
  <c r="Q342" i="1"/>
  <c r="M342" i="1"/>
  <c r="N342" i="1" s="1"/>
  <c r="L342" i="1"/>
  <c r="K342" i="1"/>
  <c r="J342" i="1"/>
  <c r="H342" i="1"/>
  <c r="G342" i="1"/>
  <c r="F342" i="1"/>
  <c r="E342" i="1"/>
  <c r="D342" i="1"/>
  <c r="I342" i="1" s="1"/>
  <c r="C342" i="1"/>
  <c r="B342" i="1"/>
  <c r="A342" i="1"/>
  <c r="T341" i="1"/>
  <c r="S341" i="1"/>
  <c r="Q341" i="1"/>
  <c r="P341" i="1"/>
  <c r="M341" i="1"/>
  <c r="L341" i="1"/>
  <c r="K341" i="1"/>
  <c r="J341" i="1"/>
  <c r="R341" i="1" s="1"/>
  <c r="H341" i="1"/>
  <c r="G341" i="1"/>
  <c r="F341" i="1"/>
  <c r="E341" i="1"/>
  <c r="D341" i="1"/>
  <c r="I341" i="1" s="1"/>
  <c r="C341" i="1"/>
  <c r="B341" i="1"/>
  <c r="N341" i="1" s="1"/>
  <c r="O341" i="1" s="1"/>
  <c r="A341" i="1"/>
  <c r="T340" i="1"/>
  <c r="S340" i="1"/>
  <c r="Q340" i="1"/>
  <c r="M340" i="1"/>
  <c r="L340" i="1"/>
  <c r="K340" i="1"/>
  <c r="J340" i="1"/>
  <c r="R340" i="1" s="1"/>
  <c r="I340" i="1"/>
  <c r="H340" i="1"/>
  <c r="G340" i="1"/>
  <c r="F340" i="1"/>
  <c r="E340" i="1"/>
  <c r="D340" i="1"/>
  <c r="C340" i="1"/>
  <c r="B340" i="1"/>
  <c r="N340" i="1" s="1"/>
  <c r="A340" i="1"/>
  <c r="T339" i="1"/>
  <c r="S339" i="1"/>
  <c r="R339" i="1"/>
  <c r="Q339" i="1"/>
  <c r="M339" i="1"/>
  <c r="N339" i="1" s="1"/>
  <c r="L339" i="1"/>
  <c r="K339" i="1"/>
  <c r="J339" i="1"/>
  <c r="I339" i="1"/>
  <c r="H339" i="1"/>
  <c r="G339" i="1"/>
  <c r="F339" i="1"/>
  <c r="E339" i="1"/>
  <c r="D339" i="1"/>
  <c r="C339" i="1"/>
  <c r="B339" i="1"/>
  <c r="A339" i="1"/>
  <c r="T338" i="1"/>
  <c r="S338" i="1"/>
  <c r="R338" i="1"/>
  <c r="Q338" i="1"/>
  <c r="M338" i="1"/>
  <c r="N338" i="1" s="1"/>
  <c r="L338" i="1"/>
  <c r="K338" i="1"/>
  <c r="J338" i="1"/>
  <c r="H338" i="1"/>
  <c r="G338" i="1"/>
  <c r="F338" i="1"/>
  <c r="E338" i="1"/>
  <c r="D338" i="1"/>
  <c r="I338" i="1" s="1"/>
  <c r="C338" i="1"/>
  <c r="B338" i="1"/>
  <c r="A338" i="1"/>
  <c r="T337" i="1"/>
  <c r="S337" i="1"/>
  <c r="Q337" i="1"/>
  <c r="P337" i="1"/>
  <c r="M337" i="1"/>
  <c r="L337" i="1"/>
  <c r="K337" i="1"/>
  <c r="J337" i="1"/>
  <c r="R337" i="1" s="1"/>
  <c r="H337" i="1"/>
  <c r="G337" i="1"/>
  <c r="F337" i="1"/>
  <c r="E337" i="1"/>
  <c r="D337" i="1"/>
  <c r="I337" i="1" s="1"/>
  <c r="C337" i="1"/>
  <c r="B337" i="1"/>
  <c r="N337" i="1" s="1"/>
  <c r="O337" i="1" s="1"/>
  <c r="A337" i="1"/>
  <c r="T336" i="1"/>
  <c r="S336" i="1"/>
  <c r="Q336" i="1"/>
  <c r="M336" i="1"/>
  <c r="L336" i="1"/>
  <c r="K336" i="1"/>
  <c r="J336" i="1"/>
  <c r="R336" i="1" s="1"/>
  <c r="I336" i="1"/>
  <c r="H336" i="1"/>
  <c r="G336" i="1"/>
  <c r="F336" i="1"/>
  <c r="E336" i="1"/>
  <c r="D336" i="1"/>
  <c r="C336" i="1"/>
  <c r="B336" i="1"/>
  <c r="N336" i="1" s="1"/>
  <c r="A336" i="1"/>
  <c r="T335" i="1"/>
  <c r="S335" i="1"/>
  <c r="R335" i="1"/>
  <c r="Q335" i="1"/>
  <c r="M335" i="1"/>
  <c r="N335" i="1" s="1"/>
  <c r="L335" i="1"/>
  <c r="K335" i="1"/>
  <c r="J335" i="1"/>
  <c r="I335" i="1"/>
  <c r="H335" i="1"/>
  <c r="G335" i="1"/>
  <c r="F335" i="1"/>
  <c r="E335" i="1"/>
  <c r="D335" i="1"/>
  <c r="C335" i="1"/>
  <c r="B335" i="1"/>
  <c r="A335" i="1"/>
  <c r="T334" i="1"/>
  <c r="S334" i="1"/>
  <c r="R334" i="1"/>
  <c r="Q334" i="1"/>
  <c r="M334" i="1"/>
  <c r="N334" i="1" s="1"/>
  <c r="L334" i="1"/>
  <c r="K334" i="1"/>
  <c r="J334" i="1"/>
  <c r="H334" i="1"/>
  <c r="G334" i="1"/>
  <c r="F334" i="1"/>
  <c r="E334" i="1"/>
  <c r="D334" i="1"/>
  <c r="I334" i="1" s="1"/>
  <c r="C334" i="1"/>
  <c r="B334" i="1"/>
  <c r="A334" i="1"/>
  <c r="T333" i="1"/>
  <c r="S333" i="1"/>
  <c r="Q333" i="1"/>
  <c r="P333" i="1"/>
  <c r="M333" i="1"/>
  <c r="L333" i="1"/>
  <c r="K333" i="1"/>
  <c r="J333" i="1"/>
  <c r="R333" i="1" s="1"/>
  <c r="H333" i="1"/>
  <c r="G333" i="1"/>
  <c r="F333" i="1"/>
  <c r="E333" i="1"/>
  <c r="D333" i="1"/>
  <c r="I333" i="1" s="1"/>
  <c r="C333" i="1"/>
  <c r="B333" i="1"/>
  <c r="N333" i="1" s="1"/>
  <c r="O333" i="1" s="1"/>
  <c r="A333" i="1"/>
  <c r="T332" i="1"/>
  <c r="S332" i="1"/>
  <c r="Q332" i="1"/>
  <c r="M332" i="1"/>
  <c r="L332" i="1"/>
  <c r="K332" i="1"/>
  <c r="J332" i="1"/>
  <c r="R332" i="1" s="1"/>
  <c r="I332" i="1"/>
  <c r="H332" i="1"/>
  <c r="G332" i="1"/>
  <c r="F332" i="1"/>
  <c r="E332" i="1"/>
  <c r="D332" i="1"/>
  <c r="C332" i="1"/>
  <c r="B332" i="1"/>
  <c r="N332" i="1" s="1"/>
  <c r="A332" i="1"/>
  <c r="T331" i="1"/>
  <c r="S331" i="1"/>
  <c r="R331" i="1"/>
  <c r="Q331" i="1"/>
  <c r="M331" i="1"/>
  <c r="N331" i="1" s="1"/>
  <c r="L331" i="1"/>
  <c r="K331" i="1"/>
  <c r="J331" i="1"/>
  <c r="I331" i="1"/>
  <c r="H331" i="1"/>
  <c r="G331" i="1"/>
  <c r="F331" i="1"/>
  <c r="E331" i="1"/>
  <c r="D331" i="1"/>
  <c r="C331" i="1"/>
  <c r="B331" i="1"/>
  <c r="A331" i="1"/>
  <c r="T330" i="1"/>
  <c r="S330" i="1"/>
  <c r="R330" i="1"/>
  <c r="Q330" i="1"/>
  <c r="M330" i="1"/>
  <c r="N330" i="1" s="1"/>
  <c r="L330" i="1"/>
  <c r="K330" i="1"/>
  <c r="J330" i="1"/>
  <c r="H330" i="1"/>
  <c r="G330" i="1"/>
  <c r="F330" i="1"/>
  <c r="E330" i="1"/>
  <c r="D330" i="1"/>
  <c r="I330" i="1" s="1"/>
  <c r="C330" i="1"/>
  <c r="B330" i="1"/>
  <c r="A330" i="1"/>
  <c r="T329" i="1"/>
  <c r="S329" i="1"/>
  <c r="Q329" i="1"/>
  <c r="P329" i="1"/>
  <c r="M329" i="1"/>
  <c r="L329" i="1"/>
  <c r="K329" i="1"/>
  <c r="J329" i="1"/>
  <c r="R329" i="1" s="1"/>
  <c r="H329" i="1"/>
  <c r="G329" i="1"/>
  <c r="F329" i="1"/>
  <c r="E329" i="1"/>
  <c r="D329" i="1"/>
  <c r="I329" i="1" s="1"/>
  <c r="C329" i="1"/>
  <c r="B329" i="1"/>
  <c r="N329" i="1" s="1"/>
  <c r="O329" i="1" s="1"/>
  <c r="A329" i="1"/>
  <c r="T328" i="1"/>
  <c r="S328" i="1"/>
  <c r="Q328" i="1"/>
  <c r="M328" i="1"/>
  <c r="L328" i="1"/>
  <c r="K328" i="1"/>
  <c r="J328" i="1"/>
  <c r="R328" i="1" s="1"/>
  <c r="I328" i="1"/>
  <c r="H328" i="1"/>
  <c r="G328" i="1"/>
  <c r="F328" i="1"/>
  <c r="E328" i="1"/>
  <c r="D328" i="1"/>
  <c r="C328" i="1"/>
  <c r="B328" i="1"/>
  <c r="N328" i="1" s="1"/>
  <c r="A328" i="1"/>
  <c r="T327" i="1"/>
  <c r="S327" i="1"/>
  <c r="R327" i="1"/>
  <c r="Q327" i="1"/>
  <c r="M327" i="1"/>
  <c r="N327" i="1" s="1"/>
  <c r="L327" i="1"/>
  <c r="K327" i="1"/>
  <c r="J327" i="1"/>
  <c r="I327" i="1"/>
  <c r="H327" i="1"/>
  <c r="G327" i="1"/>
  <c r="F327" i="1"/>
  <c r="E327" i="1"/>
  <c r="D327" i="1"/>
  <c r="C327" i="1"/>
  <c r="B327" i="1"/>
  <c r="A327" i="1"/>
  <c r="T326" i="1"/>
  <c r="S326" i="1"/>
  <c r="R326" i="1"/>
  <c r="Q326" i="1"/>
  <c r="M326" i="1"/>
  <c r="N326" i="1" s="1"/>
  <c r="L326" i="1"/>
  <c r="K326" i="1"/>
  <c r="J326" i="1"/>
  <c r="H326" i="1"/>
  <c r="G326" i="1"/>
  <c r="F326" i="1"/>
  <c r="E326" i="1"/>
  <c r="D326" i="1"/>
  <c r="I326" i="1" s="1"/>
  <c r="C326" i="1"/>
  <c r="B326" i="1"/>
  <c r="A326" i="1"/>
  <c r="T325" i="1"/>
  <c r="S325" i="1"/>
  <c r="Q325" i="1"/>
  <c r="P325" i="1"/>
  <c r="M325" i="1"/>
  <c r="L325" i="1"/>
  <c r="K325" i="1"/>
  <c r="J325" i="1"/>
  <c r="R325" i="1" s="1"/>
  <c r="H325" i="1"/>
  <c r="G325" i="1"/>
  <c r="F325" i="1"/>
  <c r="E325" i="1"/>
  <c r="D325" i="1"/>
  <c r="I325" i="1" s="1"/>
  <c r="C325" i="1"/>
  <c r="B325" i="1"/>
  <c r="N325" i="1" s="1"/>
  <c r="O325" i="1" s="1"/>
  <c r="A325" i="1"/>
  <c r="T324" i="1"/>
  <c r="S324" i="1"/>
  <c r="Q324" i="1"/>
  <c r="M324" i="1"/>
  <c r="L324" i="1"/>
  <c r="K324" i="1"/>
  <c r="J324" i="1"/>
  <c r="R324" i="1" s="1"/>
  <c r="I324" i="1"/>
  <c r="H324" i="1"/>
  <c r="G324" i="1"/>
  <c r="F324" i="1"/>
  <c r="E324" i="1"/>
  <c r="D324" i="1"/>
  <c r="C324" i="1"/>
  <c r="B324" i="1"/>
  <c r="N324" i="1" s="1"/>
  <c r="A324" i="1"/>
  <c r="T323" i="1"/>
  <c r="S323" i="1"/>
  <c r="R323" i="1"/>
  <c r="Q323" i="1"/>
  <c r="M323" i="1"/>
  <c r="N323" i="1" s="1"/>
  <c r="L323" i="1"/>
  <c r="K323" i="1"/>
  <c r="J323" i="1"/>
  <c r="I323" i="1"/>
  <c r="H323" i="1"/>
  <c r="G323" i="1"/>
  <c r="F323" i="1"/>
  <c r="E323" i="1"/>
  <c r="D323" i="1"/>
  <c r="C323" i="1"/>
  <c r="B323" i="1"/>
  <c r="A323" i="1"/>
  <c r="T322" i="1"/>
  <c r="S322" i="1"/>
  <c r="R322" i="1"/>
  <c r="Q322" i="1"/>
  <c r="M322" i="1"/>
  <c r="N322" i="1" s="1"/>
  <c r="L322" i="1"/>
  <c r="K322" i="1"/>
  <c r="J322" i="1"/>
  <c r="H322" i="1"/>
  <c r="G322" i="1"/>
  <c r="F322" i="1"/>
  <c r="E322" i="1"/>
  <c r="D322" i="1"/>
  <c r="I322" i="1" s="1"/>
  <c r="C322" i="1"/>
  <c r="B322" i="1"/>
  <c r="A322" i="1"/>
  <c r="T321" i="1"/>
  <c r="S321" i="1"/>
  <c r="Q321" i="1"/>
  <c r="P321" i="1"/>
  <c r="M321" i="1"/>
  <c r="L321" i="1"/>
  <c r="K321" i="1"/>
  <c r="J321" i="1"/>
  <c r="R321" i="1" s="1"/>
  <c r="H321" i="1"/>
  <c r="G321" i="1"/>
  <c r="F321" i="1"/>
  <c r="E321" i="1"/>
  <c r="D321" i="1"/>
  <c r="I321" i="1" s="1"/>
  <c r="C321" i="1"/>
  <c r="B321" i="1"/>
  <c r="N321" i="1" s="1"/>
  <c r="O321" i="1" s="1"/>
  <c r="A321" i="1"/>
  <c r="T320" i="1"/>
  <c r="S320" i="1"/>
  <c r="Q320" i="1"/>
  <c r="N320" i="1"/>
  <c r="M320" i="1"/>
  <c r="L320" i="1"/>
  <c r="K320" i="1"/>
  <c r="J320" i="1"/>
  <c r="R320" i="1" s="1"/>
  <c r="I320" i="1"/>
  <c r="H320" i="1"/>
  <c r="G320" i="1"/>
  <c r="F320" i="1"/>
  <c r="E320" i="1"/>
  <c r="D320" i="1"/>
  <c r="C320" i="1"/>
  <c r="B320" i="1"/>
  <c r="A320" i="1"/>
  <c r="T319" i="1"/>
  <c r="S319" i="1"/>
  <c r="R319" i="1"/>
  <c r="Q319" i="1"/>
  <c r="M319" i="1"/>
  <c r="N319" i="1" s="1"/>
  <c r="L319" i="1"/>
  <c r="K319" i="1"/>
  <c r="J319" i="1"/>
  <c r="I319" i="1"/>
  <c r="H319" i="1"/>
  <c r="G319" i="1"/>
  <c r="F319" i="1"/>
  <c r="E319" i="1"/>
  <c r="D319" i="1"/>
  <c r="C319" i="1"/>
  <c r="B319" i="1"/>
  <c r="A319" i="1"/>
  <c r="T318" i="1"/>
  <c r="S318" i="1"/>
  <c r="Q318" i="1"/>
  <c r="M318" i="1"/>
  <c r="N318" i="1" s="1"/>
  <c r="L318" i="1"/>
  <c r="K318" i="1"/>
  <c r="J318" i="1"/>
  <c r="R318" i="1" s="1"/>
  <c r="I318" i="1"/>
  <c r="H318" i="1"/>
  <c r="G318" i="1"/>
  <c r="F318" i="1"/>
  <c r="E318" i="1"/>
  <c r="D318" i="1"/>
  <c r="C318" i="1"/>
  <c r="B318" i="1"/>
  <c r="A318" i="1"/>
  <c r="T317" i="1"/>
  <c r="S317" i="1"/>
  <c r="Q317" i="1"/>
  <c r="M317" i="1"/>
  <c r="N317" i="1" s="1"/>
  <c r="L317" i="1"/>
  <c r="K317" i="1"/>
  <c r="J317" i="1"/>
  <c r="R317" i="1" s="1"/>
  <c r="I317" i="1"/>
  <c r="H317" i="1"/>
  <c r="G317" i="1"/>
  <c r="F317" i="1"/>
  <c r="E317" i="1"/>
  <c r="D317" i="1"/>
  <c r="C317" i="1"/>
  <c r="B317" i="1"/>
  <c r="A317" i="1"/>
  <c r="T316" i="1"/>
  <c r="S316" i="1"/>
  <c r="Q316" i="1"/>
  <c r="M316" i="1"/>
  <c r="N316" i="1" s="1"/>
  <c r="L316" i="1"/>
  <c r="K316" i="1"/>
  <c r="J316" i="1"/>
  <c r="R316" i="1" s="1"/>
  <c r="I316" i="1"/>
  <c r="H316" i="1"/>
  <c r="G316" i="1"/>
  <c r="F316" i="1"/>
  <c r="E316" i="1"/>
  <c r="D316" i="1"/>
  <c r="C316" i="1"/>
  <c r="B316" i="1"/>
  <c r="A316" i="1"/>
  <c r="T315" i="1"/>
  <c r="S315" i="1"/>
  <c r="Q315" i="1"/>
  <c r="M315" i="1"/>
  <c r="N315" i="1" s="1"/>
  <c r="L315" i="1"/>
  <c r="K315" i="1"/>
  <c r="J315" i="1"/>
  <c r="R315" i="1" s="1"/>
  <c r="I315" i="1"/>
  <c r="H315" i="1"/>
  <c r="G315" i="1"/>
  <c r="F315" i="1"/>
  <c r="E315" i="1"/>
  <c r="D315" i="1"/>
  <c r="C315" i="1"/>
  <c r="B315" i="1"/>
  <c r="A315" i="1"/>
  <c r="T314" i="1"/>
  <c r="S314" i="1"/>
  <c r="Q314" i="1"/>
  <c r="M314" i="1"/>
  <c r="N314" i="1" s="1"/>
  <c r="L314" i="1"/>
  <c r="K314" i="1"/>
  <c r="J314" i="1"/>
  <c r="R314" i="1" s="1"/>
  <c r="I314" i="1"/>
  <c r="H314" i="1"/>
  <c r="G314" i="1"/>
  <c r="F314" i="1"/>
  <c r="E314" i="1"/>
  <c r="D314" i="1"/>
  <c r="C314" i="1"/>
  <c r="B314" i="1"/>
  <c r="A314" i="1"/>
  <c r="T313" i="1"/>
  <c r="S313" i="1"/>
  <c r="Q313" i="1"/>
  <c r="M313" i="1"/>
  <c r="N313" i="1" s="1"/>
  <c r="L313" i="1"/>
  <c r="K313" i="1"/>
  <c r="J313" i="1"/>
  <c r="R313" i="1" s="1"/>
  <c r="I313" i="1"/>
  <c r="H313" i="1"/>
  <c r="G313" i="1"/>
  <c r="F313" i="1"/>
  <c r="E313" i="1"/>
  <c r="D313" i="1"/>
  <c r="C313" i="1"/>
  <c r="B313" i="1"/>
  <c r="A313" i="1"/>
  <c r="T312" i="1"/>
  <c r="S312" i="1"/>
  <c r="Q312" i="1"/>
  <c r="M312" i="1"/>
  <c r="N312" i="1" s="1"/>
  <c r="L312" i="1"/>
  <c r="K312" i="1"/>
  <c r="J312" i="1"/>
  <c r="R312" i="1" s="1"/>
  <c r="I312" i="1"/>
  <c r="H312" i="1"/>
  <c r="G312" i="1"/>
  <c r="F312" i="1"/>
  <c r="E312" i="1"/>
  <c r="D312" i="1"/>
  <c r="C312" i="1"/>
  <c r="B312" i="1"/>
  <c r="A312" i="1"/>
  <c r="T311" i="1"/>
  <c r="S311" i="1"/>
  <c r="Q311" i="1"/>
  <c r="M311" i="1"/>
  <c r="N311" i="1" s="1"/>
  <c r="L311" i="1"/>
  <c r="K311" i="1"/>
  <c r="J311" i="1"/>
  <c r="R311" i="1" s="1"/>
  <c r="I311" i="1"/>
  <c r="H311" i="1"/>
  <c r="G311" i="1"/>
  <c r="F311" i="1"/>
  <c r="E311" i="1"/>
  <c r="D311" i="1"/>
  <c r="C311" i="1"/>
  <c r="B311" i="1"/>
  <c r="A311" i="1"/>
  <c r="T310" i="1"/>
  <c r="S310" i="1"/>
  <c r="Q310" i="1"/>
  <c r="M310" i="1"/>
  <c r="N310" i="1" s="1"/>
  <c r="L310" i="1"/>
  <c r="K310" i="1"/>
  <c r="J310" i="1"/>
  <c r="R310" i="1" s="1"/>
  <c r="I310" i="1"/>
  <c r="H310" i="1"/>
  <c r="G310" i="1"/>
  <c r="F310" i="1"/>
  <c r="E310" i="1"/>
  <c r="D310" i="1"/>
  <c r="C310" i="1"/>
  <c r="B310" i="1"/>
  <c r="A310" i="1"/>
  <c r="T309" i="1"/>
  <c r="S309" i="1"/>
  <c r="Q309" i="1"/>
  <c r="M309" i="1"/>
  <c r="N309" i="1" s="1"/>
  <c r="L309" i="1"/>
  <c r="K309" i="1"/>
  <c r="J309" i="1"/>
  <c r="R309" i="1" s="1"/>
  <c r="I309" i="1"/>
  <c r="H309" i="1"/>
  <c r="G309" i="1"/>
  <c r="F309" i="1"/>
  <c r="E309" i="1"/>
  <c r="D309" i="1"/>
  <c r="C309" i="1"/>
  <c r="B309" i="1"/>
  <c r="A309" i="1"/>
  <c r="T308" i="1"/>
  <c r="S308" i="1"/>
  <c r="Q308" i="1"/>
  <c r="M308" i="1"/>
  <c r="N308" i="1" s="1"/>
  <c r="L308" i="1"/>
  <c r="K308" i="1"/>
  <c r="J308" i="1"/>
  <c r="R308" i="1" s="1"/>
  <c r="I308" i="1"/>
  <c r="H308" i="1"/>
  <c r="G308" i="1"/>
  <c r="F308" i="1"/>
  <c r="E308" i="1"/>
  <c r="D308" i="1"/>
  <c r="C308" i="1"/>
  <c r="B308" i="1"/>
  <c r="A308" i="1"/>
  <c r="T307" i="1"/>
  <c r="S307" i="1"/>
  <c r="Q307" i="1"/>
  <c r="M307" i="1"/>
  <c r="N307" i="1" s="1"/>
  <c r="L307" i="1"/>
  <c r="K307" i="1"/>
  <c r="J307" i="1"/>
  <c r="R307" i="1" s="1"/>
  <c r="I307" i="1"/>
  <c r="H307" i="1"/>
  <c r="G307" i="1"/>
  <c r="F307" i="1"/>
  <c r="E307" i="1"/>
  <c r="D307" i="1"/>
  <c r="C307" i="1"/>
  <c r="B307" i="1"/>
  <c r="A307" i="1"/>
  <c r="T306" i="1"/>
  <c r="S306" i="1"/>
  <c r="Q306" i="1"/>
  <c r="M306" i="1"/>
  <c r="N306" i="1" s="1"/>
  <c r="L306" i="1"/>
  <c r="K306" i="1"/>
  <c r="J306" i="1"/>
  <c r="R306" i="1" s="1"/>
  <c r="I306" i="1"/>
  <c r="H306" i="1"/>
  <c r="G306" i="1"/>
  <c r="F306" i="1"/>
  <c r="E306" i="1"/>
  <c r="D306" i="1"/>
  <c r="C306" i="1"/>
  <c r="B306" i="1"/>
  <c r="A306" i="1"/>
  <c r="T305" i="1"/>
  <c r="S305" i="1"/>
  <c r="Q305" i="1"/>
  <c r="M305" i="1"/>
  <c r="N305" i="1" s="1"/>
  <c r="L305" i="1"/>
  <c r="K305" i="1"/>
  <c r="J305" i="1"/>
  <c r="R305" i="1" s="1"/>
  <c r="I305" i="1"/>
  <c r="H305" i="1"/>
  <c r="G305" i="1"/>
  <c r="F305" i="1"/>
  <c r="E305" i="1"/>
  <c r="D305" i="1"/>
  <c r="C305" i="1"/>
  <c r="B305" i="1"/>
  <c r="A305" i="1"/>
  <c r="T304" i="1"/>
  <c r="S304" i="1"/>
  <c r="Q304" i="1"/>
  <c r="M304" i="1"/>
  <c r="N304" i="1" s="1"/>
  <c r="L304" i="1"/>
  <c r="K304" i="1"/>
  <c r="J304" i="1"/>
  <c r="R304" i="1" s="1"/>
  <c r="I304" i="1"/>
  <c r="H304" i="1"/>
  <c r="G304" i="1"/>
  <c r="F304" i="1"/>
  <c r="E304" i="1"/>
  <c r="D304" i="1"/>
  <c r="C304" i="1"/>
  <c r="B304" i="1"/>
  <c r="A304" i="1"/>
  <c r="T303" i="1"/>
  <c r="S303" i="1"/>
  <c r="Q303" i="1"/>
  <c r="M303" i="1"/>
  <c r="N303" i="1" s="1"/>
  <c r="L303" i="1"/>
  <c r="K303" i="1"/>
  <c r="J303" i="1"/>
  <c r="R303" i="1" s="1"/>
  <c r="I303" i="1"/>
  <c r="H303" i="1"/>
  <c r="G303" i="1"/>
  <c r="F303" i="1"/>
  <c r="E303" i="1"/>
  <c r="D303" i="1"/>
  <c r="C303" i="1"/>
  <c r="B303" i="1"/>
  <c r="A303" i="1"/>
  <c r="T302" i="1"/>
  <c r="S302" i="1"/>
  <c r="Q302" i="1"/>
  <c r="M302" i="1"/>
  <c r="N302" i="1" s="1"/>
  <c r="L302" i="1"/>
  <c r="K302" i="1"/>
  <c r="J302" i="1"/>
  <c r="R302" i="1" s="1"/>
  <c r="I302" i="1"/>
  <c r="H302" i="1"/>
  <c r="G302" i="1"/>
  <c r="F302" i="1"/>
  <c r="E302" i="1"/>
  <c r="D302" i="1"/>
  <c r="C302" i="1"/>
  <c r="B302" i="1"/>
  <c r="A302" i="1"/>
  <c r="T301" i="1"/>
  <c r="S301" i="1"/>
  <c r="Q301" i="1"/>
  <c r="M301" i="1"/>
  <c r="N301" i="1" s="1"/>
  <c r="L301" i="1"/>
  <c r="K301" i="1"/>
  <c r="J301" i="1"/>
  <c r="R301" i="1" s="1"/>
  <c r="I301" i="1"/>
  <c r="H301" i="1"/>
  <c r="G301" i="1"/>
  <c r="F301" i="1"/>
  <c r="E301" i="1"/>
  <c r="D301" i="1"/>
  <c r="C301" i="1"/>
  <c r="B301" i="1"/>
  <c r="A301" i="1"/>
  <c r="T300" i="1"/>
  <c r="S300" i="1"/>
  <c r="Q300" i="1"/>
  <c r="M300" i="1"/>
  <c r="N300" i="1" s="1"/>
  <c r="L300" i="1"/>
  <c r="K300" i="1"/>
  <c r="J300" i="1"/>
  <c r="R300" i="1" s="1"/>
  <c r="I300" i="1"/>
  <c r="H300" i="1"/>
  <c r="G300" i="1"/>
  <c r="F300" i="1"/>
  <c r="E300" i="1"/>
  <c r="D300" i="1"/>
  <c r="C300" i="1"/>
  <c r="B300" i="1"/>
  <c r="A300" i="1"/>
  <c r="T299" i="1"/>
  <c r="S299" i="1"/>
  <c r="Q299" i="1"/>
  <c r="M299" i="1"/>
  <c r="N299" i="1" s="1"/>
  <c r="L299" i="1"/>
  <c r="K299" i="1"/>
  <c r="J299" i="1"/>
  <c r="R299" i="1" s="1"/>
  <c r="I299" i="1"/>
  <c r="H299" i="1"/>
  <c r="G299" i="1"/>
  <c r="F299" i="1"/>
  <c r="E299" i="1"/>
  <c r="D299" i="1"/>
  <c r="C299" i="1"/>
  <c r="B299" i="1"/>
  <c r="A299" i="1"/>
  <c r="T298" i="1"/>
  <c r="S298" i="1"/>
  <c r="Q298" i="1"/>
  <c r="M298" i="1"/>
  <c r="N298" i="1" s="1"/>
  <c r="L298" i="1"/>
  <c r="K298" i="1"/>
  <c r="J298" i="1"/>
  <c r="R298" i="1" s="1"/>
  <c r="I298" i="1"/>
  <c r="H298" i="1"/>
  <c r="G298" i="1"/>
  <c r="F298" i="1"/>
  <c r="E298" i="1"/>
  <c r="D298" i="1"/>
  <c r="C298" i="1"/>
  <c r="B298" i="1"/>
  <c r="A298" i="1"/>
  <c r="T297" i="1"/>
  <c r="S297" i="1"/>
  <c r="Q297" i="1"/>
  <c r="M297" i="1"/>
  <c r="N297" i="1" s="1"/>
  <c r="L297" i="1"/>
  <c r="K297" i="1"/>
  <c r="J297" i="1"/>
  <c r="R297" i="1" s="1"/>
  <c r="I297" i="1"/>
  <c r="H297" i="1"/>
  <c r="G297" i="1"/>
  <c r="F297" i="1"/>
  <c r="E297" i="1"/>
  <c r="D297" i="1"/>
  <c r="C297" i="1"/>
  <c r="B297" i="1"/>
  <c r="A297" i="1"/>
  <c r="T296" i="1"/>
  <c r="S296" i="1"/>
  <c r="Q296" i="1"/>
  <c r="M296" i="1"/>
  <c r="N296" i="1" s="1"/>
  <c r="L296" i="1"/>
  <c r="K296" i="1"/>
  <c r="J296" i="1"/>
  <c r="R296" i="1" s="1"/>
  <c r="I296" i="1"/>
  <c r="H296" i="1"/>
  <c r="G296" i="1"/>
  <c r="F296" i="1"/>
  <c r="E296" i="1"/>
  <c r="D296" i="1"/>
  <c r="C296" i="1"/>
  <c r="B296" i="1"/>
  <c r="A296" i="1"/>
  <c r="T295" i="1"/>
  <c r="S295" i="1"/>
  <c r="Q295" i="1"/>
  <c r="M295" i="1"/>
  <c r="N295" i="1" s="1"/>
  <c r="L295" i="1"/>
  <c r="K295" i="1"/>
  <c r="J295" i="1"/>
  <c r="R295" i="1" s="1"/>
  <c r="I295" i="1"/>
  <c r="H295" i="1"/>
  <c r="G295" i="1"/>
  <c r="F295" i="1"/>
  <c r="E295" i="1"/>
  <c r="D295" i="1"/>
  <c r="C295" i="1"/>
  <c r="B295" i="1"/>
  <c r="A295" i="1"/>
  <c r="T294" i="1"/>
  <c r="S294" i="1"/>
  <c r="Q294" i="1"/>
  <c r="M294" i="1"/>
  <c r="N294" i="1" s="1"/>
  <c r="L294" i="1"/>
  <c r="K294" i="1"/>
  <c r="J294" i="1"/>
  <c r="R294" i="1" s="1"/>
  <c r="I294" i="1"/>
  <c r="H294" i="1"/>
  <c r="G294" i="1"/>
  <c r="F294" i="1"/>
  <c r="E294" i="1"/>
  <c r="D294" i="1"/>
  <c r="C294" i="1"/>
  <c r="B294" i="1"/>
  <c r="A294" i="1"/>
  <c r="T293" i="1"/>
  <c r="S293" i="1"/>
  <c r="Q293" i="1"/>
  <c r="M293" i="1"/>
  <c r="N293" i="1" s="1"/>
  <c r="L293" i="1"/>
  <c r="K293" i="1"/>
  <c r="J293" i="1"/>
  <c r="R293" i="1" s="1"/>
  <c r="I293" i="1"/>
  <c r="H293" i="1"/>
  <c r="G293" i="1"/>
  <c r="F293" i="1"/>
  <c r="E293" i="1"/>
  <c r="D293" i="1"/>
  <c r="C293" i="1"/>
  <c r="B293" i="1"/>
  <c r="A293" i="1"/>
  <c r="T292" i="1"/>
  <c r="S292" i="1"/>
  <c r="Q292" i="1"/>
  <c r="M292" i="1"/>
  <c r="N292" i="1" s="1"/>
  <c r="L292" i="1"/>
  <c r="K292" i="1"/>
  <c r="J292" i="1"/>
  <c r="R292" i="1" s="1"/>
  <c r="I292" i="1"/>
  <c r="H292" i="1"/>
  <c r="G292" i="1"/>
  <c r="F292" i="1"/>
  <c r="E292" i="1"/>
  <c r="D292" i="1"/>
  <c r="C292" i="1"/>
  <c r="B292" i="1"/>
  <c r="A292" i="1"/>
  <c r="T291" i="1"/>
  <c r="S291" i="1"/>
  <c r="Q291" i="1"/>
  <c r="M291" i="1"/>
  <c r="N291" i="1" s="1"/>
  <c r="L291" i="1"/>
  <c r="K291" i="1"/>
  <c r="J291" i="1"/>
  <c r="R291" i="1" s="1"/>
  <c r="I291" i="1"/>
  <c r="H291" i="1"/>
  <c r="G291" i="1"/>
  <c r="F291" i="1"/>
  <c r="E291" i="1"/>
  <c r="D291" i="1"/>
  <c r="C291" i="1"/>
  <c r="B291" i="1"/>
  <c r="A291" i="1"/>
  <c r="T290" i="1"/>
  <c r="S290" i="1"/>
  <c r="Q290" i="1"/>
  <c r="M290" i="1"/>
  <c r="N290" i="1" s="1"/>
  <c r="L290" i="1"/>
  <c r="K290" i="1"/>
  <c r="J290" i="1"/>
  <c r="R290" i="1" s="1"/>
  <c r="I290" i="1"/>
  <c r="H290" i="1"/>
  <c r="G290" i="1"/>
  <c r="F290" i="1"/>
  <c r="E290" i="1"/>
  <c r="D290" i="1"/>
  <c r="C290" i="1"/>
  <c r="B290" i="1"/>
  <c r="A290" i="1"/>
  <c r="T289" i="1"/>
  <c r="S289" i="1"/>
  <c r="Q289" i="1"/>
  <c r="M289" i="1"/>
  <c r="N289" i="1" s="1"/>
  <c r="L289" i="1"/>
  <c r="K289" i="1"/>
  <c r="J289" i="1"/>
  <c r="R289" i="1" s="1"/>
  <c r="I289" i="1"/>
  <c r="H289" i="1"/>
  <c r="G289" i="1"/>
  <c r="F289" i="1"/>
  <c r="E289" i="1"/>
  <c r="D289" i="1"/>
  <c r="C289" i="1"/>
  <c r="B289" i="1"/>
  <c r="A289" i="1"/>
  <c r="T288" i="1"/>
  <c r="S288" i="1"/>
  <c r="Q288" i="1"/>
  <c r="M288" i="1"/>
  <c r="N288" i="1" s="1"/>
  <c r="L288" i="1"/>
  <c r="K288" i="1"/>
  <c r="J288" i="1"/>
  <c r="R288" i="1" s="1"/>
  <c r="I288" i="1"/>
  <c r="H288" i="1"/>
  <c r="G288" i="1"/>
  <c r="F288" i="1"/>
  <c r="E288" i="1"/>
  <c r="D288" i="1"/>
  <c r="C288" i="1"/>
  <c r="B288" i="1"/>
  <c r="A288" i="1"/>
  <c r="T287" i="1"/>
  <c r="S287" i="1"/>
  <c r="Q287" i="1"/>
  <c r="M287" i="1"/>
  <c r="N287" i="1" s="1"/>
  <c r="L287" i="1"/>
  <c r="K287" i="1"/>
  <c r="J287" i="1"/>
  <c r="R287" i="1" s="1"/>
  <c r="I287" i="1"/>
  <c r="H287" i="1"/>
  <c r="G287" i="1"/>
  <c r="F287" i="1"/>
  <c r="E287" i="1"/>
  <c r="D287" i="1"/>
  <c r="C287" i="1"/>
  <c r="B287" i="1"/>
  <c r="A287" i="1"/>
  <c r="T286" i="1"/>
  <c r="S286" i="1"/>
  <c r="Q286" i="1"/>
  <c r="M286" i="1"/>
  <c r="N286" i="1" s="1"/>
  <c r="L286" i="1"/>
  <c r="K286" i="1"/>
  <c r="J286" i="1"/>
  <c r="R286" i="1" s="1"/>
  <c r="I286" i="1"/>
  <c r="H286" i="1"/>
  <c r="G286" i="1"/>
  <c r="F286" i="1"/>
  <c r="E286" i="1"/>
  <c r="D286" i="1"/>
  <c r="C286" i="1"/>
  <c r="B286" i="1"/>
  <c r="A286" i="1"/>
  <c r="T285" i="1"/>
  <c r="S285" i="1"/>
  <c r="Q285" i="1"/>
  <c r="M285" i="1"/>
  <c r="N285" i="1" s="1"/>
  <c r="L285" i="1"/>
  <c r="K285" i="1"/>
  <c r="J285" i="1"/>
  <c r="R285" i="1" s="1"/>
  <c r="I285" i="1"/>
  <c r="H285" i="1"/>
  <c r="G285" i="1"/>
  <c r="F285" i="1"/>
  <c r="E285" i="1"/>
  <c r="D285" i="1"/>
  <c r="C285" i="1"/>
  <c r="B285" i="1"/>
  <c r="A285" i="1"/>
  <c r="T284" i="1"/>
  <c r="S284" i="1"/>
  <c r="Q284" i="1"/>
  <c r="M284" i="1"/>
  <c r="N284" i="1" s="1"/>
  <c r="L284" i="1"/>
  <c r="K284" i="1"/>
  <c r="J284" i="1"/>
  <c r="R284" i="1" s="1"/>
  <c r="I284" i="1"/>
  <c r="H284" i="1"/>
  <c r="G284" i="1"/>
  <c r="F284" i="1"/>
  <c r="E284" i="1"/>
  <c r="D284" i="1"/>
  <c r="C284" i="1"/>
  <c r="B284" i="1"/>
  <c r="A284" i="1"/>
  <c r="T283" i="1"/>
  <c r="S283" i="1"/>
  <c r="Q283" i="1"/>
  <c r="M283" i="1"/>
  <c r="N283" i="1" s="1"/>
  <c r="L283" i="1"/>
  <c r="K283" i="1"/>
  <c r="J283" i="1"/>
  <c r="R283" i="1" s="1"/>
  <c r="I283" i="1"/>
  <c r="H283" i="1"/>
  <c r="G283" i="1"/>
  <c r="F283" i="1"/>
  <c r="E283" i="1"/>
  <c r="D283" i="1"/>
  <c r="C283" i="1"/>
  <c r="B283" i="1"/>
  <c r="A283" i="1"/>
  <c r="T282" i="1"/>
  <c r="S282" i="1"/>
  <c r="Q282" i="1"/>
  <c r="M282" i="1"/>
  <c r="N282" i="1" s="1"/>
  <c r="L282" i="1"/>
  <c r="K282" i="1"/>
  <c r="J282" i="1"/>
  <c r="R282" i="1" s="1"/>
  <c r="I282" i="1"/>
  <c r="H282" i="1"/>
  <c r="G282" i="1"/>
  <c r="F282" i="1"/>
  <c r="E282" i="1"/>
  <c r="D282" i="1"/>
  <c r="C282" i="1"/>
  <c r="B282" i="1"/>
  <c r="A282" i="1"/>
  <c r="T281" i="1"/>
  <c r="S281" i="1"/>
  <c r="Q281" i="1"/>
  <c r="M281" i="1"/>
  <c r="N281" i="1" s="1"/>
  <c r="L281" i="1"/>
  <c r="K281" i="1"/>
  <c r="J281" i="1"/>
  <c r="R281" i="1" s="1"/>
  <c r="I281" i="1"/>
  <c r="H281" i="1"/>
  <c r="G281" i="1"/>
  <c r="F281" i="1"/>
  <c r="E281" i="1"/>
  <c r="D281" i="1"/>
  <c r="C281" i="1"/>
  <c r="B281" i="1"/>
  <c r="A281" i="1"/>
  <c r="T280" i="1"/>
  <c r="S280" i="1"/>
  <c r="Q280" i="1"/>
  <c r="M280" i="1"/>
  <c r="N280" i="1" s="1"/>
  <c r="L280" i="1"/>
  <c r="K280" i="1"/>
  <c r="J280" i="1"/>
  <c r="R280" i="1" s="1"/>
  <c r="I280" i="1"/>
  <c r="H280" i="1"/>
  <c r="G280" i="1"/>
  <c r="F280" i="1"/>
  <c r="E280" i="1"/>
  <c r="D280" i="1"/>
  <c r="C280" i="1"/>
  <c r="B280" i="1"/>
  <c r="A280" i="1"/>
  <c r="T279" i="1"/>
  <c r="S279" i="1"/>
  <c r="Q279" i="1"/>
  <c r="M279" i="1"/>
  <c r="N279" i="1" s="1"/>
  <c r="L279" i="1"/>
  <c r="K279" i="1"/>
  <c r="J279" i="1"/>
  <c r="R279" i="1" s="1"/>
  <c r="I279" i="1"/>
  <c r="H279" i="1"/>
  <c r="G279" i="1"/>
  <c r="F279" i="1"/>
  <c r="E279" i="1"/>
  <c r="D279" i="1"/>
  <c r="C279" i="1"/>
  <c r="B279" i="1"/>
  <c r="A279" i="1"/>
  <c r="T278" i="1"/>
  <c r="S278" i="1"/>
  <c r="Q278" i="1"/>
  <c r="M278" i="1"/>
  <c r="N278" i="1" s="1"/>
  <c r="L278" i="1"/>
  <c r="K278" i="1"/>
  <c r="J278" i="1"/>
  <c r="R278" i="1" s="1"/>
  <c r="I278" i="1"/>
  <c r="H278" i="1"/>
  <c r="G278" i="1"/>
  <c r="F278" i="1"/>
  <c r="E278" i="1"/>
  <c r="D278" i="1"/>
  <c r="C278" i="1"/>
  <c r="B278" i="1"/>
  <c r="A278" i="1"/>
  <c r="T277" i="1"/>
  <c r="S277" i="1"/>
  <c r="Q277" i="1"/>
  <c r="M277" i="1"/>
  <c r="N277" i="1" s="1"/>
  <c r="L277" i="1"/>
  <c r="K277" i="1"/>
  <c r="J277" i="1"/>
  <c r="R277" i="1" s="1"/>
  <c r="I277" i="1"/>
  <c r="H277" i="1"/>
  <c r="G277" i="1"/>
  <c r="F277" i="1"/>
  <c r="E277" i="1"/>
  <c r="D277" i="1"/>
  <c r="C277" i="1"/>
  <c r="B277" i="1"/>
  <c r="A277" i="1"/>
  <c r="T276" i="1"/>
  <c r="S276" i="1"/>
  <c r="Q276" i="1"/>
  <c r="M276" i="1"/>
  <c r="N276" i="1" s="1"/>
  <c r="L276" i="1"/>
  <c r="K276" i="1"/>
  <c r="J276" i="1"/>
  <c r="R276" i="1" s="1"/>
  <c r="I276" i="1"/>
  <c r="H276" i="1"/>
  <c r="G276" i="1"/>
  <c r="F276" i="1"/>
  <c r="E276" i="1"/>
  <c r="D276" i="1"/>
  <c r="C276" i="1"/>
  <c r="B276" i="1"/>
  <c r="A276" i="1"/>
  <c r="T275" i="1"/>
  <c r="S275" i="1"/>
  <c r="Q275" i="1"/>
  <c r="M275" i="1"/>
  <c r="N275" i="1" s="1"/>
  <c r="L275" i="1"/>
  <c r="K275" i="1"/>
  <c r="J275" i="1"/>
  <c r="R275" i="1" s="1"/>
  <c r="I275" i="1"/>
  <c r="H275" i="1"/>
  <c r="G275" i="1"/>
  <c r="F275" i="1"/>
  <c r="E275" i="1"/>
  <c r="D275" i="1"/>
  <c r="C275" i="1"/>
  <c r="B275" i="1"/>
  <c r="A275" i="1"/>
  <c r="T274" i="1"/>
  <c r="S274" i="1"/>
  <c r="Q274" i="1"/>
  <c r="M274" i="1"/>
  <c r="N274" i="1" s="1"/>
  <c r="L274" i="1"/>
  <c r="K274" i="1"/>
  <c r="J274" i="1"/>
  <c r="R274" i="1" s="1"/>
  <c r="I274" i="1"/>
  <c r="H274" i="1"/>
  <c r="G274" i="1"/>
  <c r="F274" i="1"/>
  <c r="E274" i="1"/>
  <c r="D274" i="1"/>
  <c r="C274" i="1"/>
  <c r="B274" i="1"/>
  <c r="A274" i="1"/>
  <c r="T273" i="1"/>
  <c r="S273" i="1"/>
  <c r="Q273" i="1"/>
  <c r="M273" i="1"/>
  <c r="N273" i="1" s="1"/>
  <c r="L273" i="1"/>
  <c r="K273" i="1"/>
  <c r="J273" i="1"/>
  <c r="R273" i="1" s="1"/>
  <c r="I273" i="1"/>
  <c r="H273" i="1"/>
  <c r="G273" i="1"/>
  <c r="F273" i="1"/>
  <c r="E273" i="1"/>
  <c r="D273" i="1"/>
  <c r="C273" i="1"/>
  <c r="B273" i="1"/>
  <c r="A273" i="1"/>
  <c r="T272" i="1"/>
  <c r="S272" i="1"/>
  <c r="Q272" i="1"/>
  <c r="M272" i="1"/>
  <c r="N272" i="1" s="1"/>
  <c r="L272" i="1"/>
  <c r="K272" i="1"/>
  <c r="J272" i="1"/>
  <c r="R272" i="1" s="1"/>
  <c r="I272" i="1"/>
  <c r="H272" i="1"/>
  <c r="G272" i="1"/>
  <c r="F272" i="1"/>
  <c r="E272" i="1"/>
  <c r="D272" i="1"/>
  <c r="C272" i="1"/>
  <c r="B272" i="1"/>
  <c r="A272" i="1"/>
  <c r="T271" i="1"/>
  <c r="S271" i="1"/>
  <c r="Q271" i="1"/>
  <c r="M271" i="1"/>
  <c r="N271" i="1" s="1"/>
  <c r="L271" i="1"/>
  <c r="K271" i="1"/>
  <c r="J271" i="1"/>
  <c r="R271" i="1" s="1"/>
  <c r="I271" i="1"/>
  <c r="H271" i="1"/>
  <c r="G271" i="1"/>
  <c r="F271" i="1"/>
  <c r="E271" i="1"/>
  <c r="D271" i="1"/>
  <c r="C271" i="1"/>
  <c r="B271" i="1"/>
  <c r="A271" i="1"/>
  <c r="T270" i="1"/>
  <c r="S270" i="1"/>
  <c r="Q270" i="1"/>
  <c r="M270" i="1"/>
  <c r="N270" i="1" s="1"/>
  <c r="L270" i="1"/>
  <c r="K270" i="1"/>
  <c r="J270" i="1"/>
  <c r="R270" i="1" s="1"/>
  <c r="I270" i="1"/>
  <c r="H270" i="1"/>
  <c r="G270" i="1"/>
  <c r="F270" i="1"/>
  <c r="E270" i="1"/>
  <c r="D270" i="1"/>
  <c r="C270" i="1"/>
  <c r="B270" i="1"/>
  <c r="A270" i="1"/>
  <c r="T269" i="1"/>
  <c r="S269" i="1"/>
  <c r="Q269" i="1"/>
  <c r="M269" i="1"/>
  <c r="N269" i="1" s="1"/>
  <c r="L269" i="1"/>
  <c r="K269" i="1"/>
  <c r="J269" i="1"/>
  <c r="R269" i="1" s="1"/>
  <c r="I269" i="1"/>
  <c r="H269" i="1"/>
  <c r="G269" i="1"/>
  <c r="F269" i="1"/>
  <c r="E269" i="1"/>
  <c r="D269" i="1"/>
  <c r="C269" i="1"/>
  <c r="B269" i="1"/>
  <c r="A269" i="1"/>
  <c r="T268" i="1"/>
  <c r="S268" i="1"/>
  <c r="Q268" i="1"/>
  <c r="M268" i="1"/>
  <c r="N268" i="1" s="1"/>
  <c r="L268" i="1"/>
  <c r="K268" i="1"/>
  <c r="J268" i="1"/>
  <c r="R268" i="1" s="1"/>
  <c r="I268" i="1"/>
  <c r="H268" i="1"/>
  <c r="G268" i="1"/>
  <c r="F268" i="1"/>
  <c r="E268" i="1"/>
  <c r="D268" i="1"/>
  <c r="C268" i="1"/>
  <c r="B268" i="1"/>
  <c r="A268" i="1"/>
  <c r="T267" i="1"/>
  <c r="S267" i="1"/>
  <c r="Q267" i="1"/>
  <c r="M267" i="1"/>
  <c r="N267" i="1" s="1"/>
  <c r="L267" i="1"/>
  <c r="K267" i="1"/>
  <c r="J267" i="1"/>
  <c r="R267" i="1" s="1"/>
  <c r="I267" i="1"/>
  <c r="H267" i="1"/>
  <c r="G267" i="1"/>
  <c r="F267" i="1"/>
  <c r="E267" i="1"/>
  <c r="D267" i="1"/>
  <c r="C267" i="1"/>
  <c r="B267" i="1"/>
  <c r="A267" i="1"/>
  <c r="T266" i="1"/>
  <c r="S266" i="1"/>
  <c r="Q266" i="1"/>
  <c r="M266" i="1"/>
  <c r="N266" i="1" s="1"/>
  <c r="L266" i="1"/>
  <c r="K266" i="1"/>
  <c r="J266" i="1"/>
  <c r="R266" i="1" s="1"/>
  <c r="I266" i="1"/>
  <c r="H266" i="1"/>
  <c r="G266" i="1"/>
  <c r="F266" i="1"/>
  <c r="E266" i="1"/>
  <c r="D266" i="1"/>
  <c r="C266" i="1"/>
  <c r="B266" i="1"/>
  <c r="A266" i="1"/>
  <c r="T265" i="1"/>
  <c r="S265" i="1"/>
  <c r="Q265" i="1"/>
  <c r="M265" i="1"/>
  <c r="N265" i="1" s="1"/>
  <c r="L265" i="1"/>
  <c r="K265" i="1"/>
  <c r="J265" i="1"/>
  <c r="R265" i="1" s="1"/>
  <c r="I265" i="1"/>
  <c r="H265" i="1"/>
  <c r="G265" i="1"/>
  <c r="F265" i="1"/>
  <c r="E265" i="1"/>
  <c r="D265" i="1"/>
  <c r="C265" i="1"/>
  <c r="B265" i="1"/>
  <c r="A265" i="1"/>
  <c r="T264" i="1"/>
  <c r="S264" i="1"/>
  <c r="Q264" i="1"/>
  <c r="M264" i="1"/>
  <c r="N264" i="1" s="1"/>
  <c r="L264" i="1"/>
  <c r="K264" i="1"/>
  <c r="J264" i="1"/>
  <c r="R264" i="1" s="1"/>
  <c r="I264" i="1"/>
  <c r="H264" i="1"/>
  <c r="G264" i="1"/>
  <c r="F264" i="1"/>
  <c r="E264" i="1"/>
  <c r="D264" i="1"/>
  <c r="C264" i="1"/>
  <c r="B264" i="1"/>
  <c r="A264" i="1"/>
  <c r="T263" i="1"/>
  <c r="S263" i="1"/>
  <c r="Q263" i="1"/>
  <c r="M263" i="1"/>
  <c r="N263" i="1" s="1"/>
  <c r="L263" i="1"/>
  <c r="K263" i="1"/>
  <c r="J263" i="1"/>
  <c r="R263" i="1" s="1"/>
  <c r="I263" i="1"/>
  <c r="H263" i="1"/>
  <c r="G263" i="1"/>
  <c r="F263" i="1"/>
  <c r="E263" i="1"/>
  <c r="D263" i="1"/>
  <c r="C263" i="1"/>
  <c r="B263" i="1"/>
  <c r="A263" i="1"/>
  <c r="T262" i="1"/>
  <c r="S262" i="1"/>
  <c r="Q262" i="1"/>
  <c r="M262" i="1"/>
  <c r="N262" i="1" s="1"/>
  <c r="L262" i="1"/>
  <c r="K262" i="1"/>
  <c r="J262" i="1"/>
  <c r="R262" i="1" s="1"/>
  <c r="I262" i="1"/>
  <c r="H262" i="1"/>
  <c r="G262" i="1"/>
  <c r="F262" i="1"/>
  <c r="E262" i="1"/>
  <c r="D262" i="1"/>
  <c r="C262" i="1"/>
  <c r="B262" i="1"/>
  <c r="A262" i="1"/>
  <c r="T261" i="1"/>
  <c r="S261" i="1"/>
  <c r="Q261" i="1"/>
  <c r="M261" i="1"/>
  <c r="N261" i="1" s="1"/>
  <c r="L261" i="1"/>
  <c r="K261" i="1"/>
  <c r="J261" i="1"/>
  <c r="R261" i="1" s="1"/>
  <c r="I261" i="1"/>
  <c r="H261" i="1"/>
  <c r="G261" i="1"/>
  <c r="F261" i="1"/>
  <c r="E261" i="1"/>
  <c r="D261" i="1"/>
  <c r="C261" i="1"/>
  <c r="B261" i="1"/>
  <c r="A261" i="1"/>
  <c r="T260" i="1"/>
  <c r="S260" i="1"/>
  <c r="Q260" i="1"/>
  <c r="M260" i="1"/>
  <c r="N260" i="1" s="1"/>
  <c r="L260" i="1"/>
  <c r="K260" i="1"/>
  <c r="J260" i="1"/>
  <c r="R260" i="1" s="1"/>
  <c r="I260" i="1"/>
  <c r="H260" i="1"/>
  <c r="G260" i="1"/>
  <c r="F260" i="1"/>
  <c r="E260" i="1"/>
  <c r="D260" i="1"/>
  <c r="C260" i="1"/>
  <c r="B260" i="1"/>
  <c r="A260" i="1"/>
  <c r="T259" i="1"/>
  <c r="S259" i="1"/>
  <c r="Q259" i="1"/>
  <c r="M259" i="1"/>
  <c r="N259" i="1" s="1"/>
  <c r="L259" i="1"/>
  <c r="K259" i="1"/>
  <c r="J259" i="1"/>
  <c r="R259" i="1" s="1"/>
  <c r="I259" i="1"/>
  <c r="H259" i="1"/>
  <c r="G259" i="1"/>
  <c r="F259" i="1"/>
  <c r="E259" i="1"/>
  <c r="D259" i="1"/>
  <c r="C259" i="1"/>
  <c r="B259" i="1"/>
  <c r="A259" i="1"/>
  <c r="T258" i="1"/>
  <c r="S258" i="1"/>
  <c r="Q258" i="1"/>
  <c r="M258" i="1"/>
  <c r="N258" i="1" s="1"/>
  <c r="L258" i="1"/>
  <c r="K258" i="1"/>
  <c r="J258" i="1"/>
  <c r="R258" i="1" s="1"/>
  <c r="I258" i="1"/>
  <c r="H258" i="1"/>
  <c r="G258" i="1"/>
  <c r="F258" i="1"/>
  <c r="E258" i="1"/>
  <c r="D258" i="1"/>
  <c r="C258" i="1"/>
  <c r="B258" i="1"/>
  <c r="A258" i="1"/>
  <c r="T257" i="1"/>
  <c r="S257" i="1"/>
  <c r="Q257" i="1"/>
  <c r="M257" i="1"/>
  <c r="N257" i="1" s="1"/>
  <c r="L257" i="1"/>
  <c r="K257" i="1"/>
  <c r="J257" i="1"/>
  <c r="R257" i="1" s="1"/>
  <c r="I257" i="1"/>
  <c r="H257" i="1"/>
  <c r="G257" i="1"/>
  <c r="F257" i="1"/>
  <c r="E257" i="1"/>
  <c r="D257" i="1"/>
  <c r="C257" i="1"/>
  <c r="B257" i="1"/>
  <c r="A257" i="1"/>
  <c r="T256" i="1"/>
  <c r="S256" i="1"/>
  <c r="Q256" i="1"/>
  <c r="M256" i="1"/>
  <c r="N256" i="1" s="1"/>
  <c r="L256" i="1"/>
  <c r="K256" i="1"/>
  <c r="J256" i="1"/>
  <c r="R256" i="1" s="1"/>
  <c r="I256" i="1"/>
  <c r="H256" i="1"/>
  <c r="G256" i="1"/>
  <c r="F256" i="1"/>
  <c r="E256" i="1"/>
  <c r="D256" i="1"/>
  <c r="C256" i="1"/>
  <c r="B256" i="1"/>
  <c r="A256" i="1"/>
  <c r="T255" i="1"/>
  <c r="S255" i="1"/>
  <c r="Q255" i="1"/>
  <c r="M255" i="1"/>
  <c r="N255" i="1" s="1"/>
  <c r="L255" i="1"/>
  <c r="K255" i="1"/>
  <c r="J255" i="1"/>
  <c r="R255" i="1" s="1"/>
  <c r="I255" i="1"/>
  <c r="H255" i="1"/>
  <c r="G255" i="1"/>
  <c r="F255" i="1"/>
  <c r="E255" i="1"/>
  <c r="D255" i="1"/>
  <c r="C255" i="1"/>
  <c r="B255" i="1"/>
  <c r="A255" i="1"/>
  <c r="T254" i="1"/>
  <c r="S254" i="1"/>
  <c r="Q254" i="1"/>
  <c r="M254" i="1"/>
  <c r="N254" i="1" s="1"/>
  <c r="L254" i="1"/>
  <c r="K254" i="1"/>
  <c r="J254" i="1"/>
  <c r="R254" i="1" s="1"/>
  <c r="I254" i="1"/>
  <c r="H254" i="1"/>
  <c r="G254" i="1"/>
  <c r="F254" i="1"/>
  <c r="E254" i="1"/>
  <c r="D254" i="1"/>
  <c r="C254" i="1"/>
  <c r="B254" i="1"/>
  <c r="A254" i="1"/>
  <c r="T253" i="1"/>
  <c r="S253" i="1"/>
  <c r="Q253" i="1"/>
  <c r="M253" i="1"/>
  <c r="N253" i="1" s="1"/>
  <c r="L253" i="1"/>
  <c r="K253" i="1"/>
  <c r="J253" i="1"/>
  <c r="R253" i="1" s="1"/>
  <c r="I253" i="1"/>
  <c r="H253" i="1"/>
  <c r="G253" i="1"/>
  <c r="F253" i="1"/>
  <c r="E253" i="1"/>
  <c r="D253" i="1"/>
  <c r="C253" i="1"/>
  <c r="B253" i="1"/>
  <c r="A253" i="1"/>
  <c r="T252" i="1"/>
  <c r="S252" i="1"/>
  <c r="Q252" i="1"/>
  <c r="M252" i="1"/>
  <c r="N252" i="1" s="1"/>
  <c r="L252" i="1"/>
  <c r="K252" i="1"/>
  <c r="J252" i="1"/>
  <c r="R252" i="1" s="1"/>
  <c r="I252" i="1"/>
  <c r="H252" i="1"/>
  <c r="G252" i="1"/>
  <c r="F252" i="1"/>
  <c r="E252" i="1"/>
  <c r="D252" i="1"/>
  <c r="C252" i="1"/>
  <c r="B252" i="1"/>
  <c r="A252" i="1"/>
  <c r="T251" i="1"/>
  <c r="S251" i="1"/>
  <c r="Q251" i="1"/>
  <c r="M251" i="1"/>
  <c r="N251" i="1" s="1"/>
  <c r="L251" i="1"/>
  <c r="K251" i="1"/>
  <c r="J251" i="1"/>
  <c r="R251" i="1" s="1"/>
  <c r="I251" i="1"/>
  <c r="H251" i="1"/>
  <c r="G251" i="1"/>
  <c r="F251" i="1"/>
  <c r="E251" i="1"/>
  <c r="D251" i="1"/>
  <c r="C251" i="1"/>
  <c r="B251" i="1"/>
  <c r="A251" i="1"/>
  <c r="T250" i="1"/>
  <c r="S250" i="1"/>
  <c r="Q250" i="1"/>
  <c r="M250" i="1"/>
  <c r="N250" i="1" s="1"/>
  <c r="L250" i="1"/>
  <c r="K250" i="1"/>
  <c r="J250" i="1"/>
  <c r="R250" i="1" s="1"/>
  <c r="I250" i="1"/>
  <c r="H250" i="1"/>
  <c r="G250" i="1"/>
  <c r="F250" i="1"/>
  <c r="E250" i="1"/>
  <c r="D250" i="1"/>
  <c r="C250" i="1"/>
  <c r="B250" i="1"/>
  <c r="A250" i="1"/>
  <c r="T249" i="1"/>
  <c r="S249" i="1"/>
  <c r="Q249" i="1"/>
  <c r="M249" i="1"/>
  <c r="N249" i="1" s="1"/>
  <c r="L249" i="1"/>
  <c r="K249" i="1"/>
  <c r="J249" i="1"/>
  <c r="R249" i="1" s="1"/>
  <c r="I249" i="1"/>
  <c r="H249" i="1"/>
  <c r="G249" i="1"/>
  <c r="F249" i="1"/>
  <c r="E249" i="1"/>
  <c r="D249" i="1"/>
  <c r="C249" i="1"/>
  <c r="B249" i="1"/>
  <c r="A249" i="1"/>
  <c r="T248" i="1"/>
  <c r="S248" i="1"/>
  <c r="Q248" i="1"/>
  <c r="M248" i="1"/>
  <c r="N248" i="1" s="1"/>
  <c r="L248" i="1"/>
  <c r="K248" i="1"/>
  <c r="J248" i="1"/>
  <c r="R248" i="1" s="1"/>
  <c r="I248" i="1"/>
  <c r="H248" i="1"/>
  <c r="G248" i="1"/>
  <c r="F248" i="1"/>
  <c r="E248" i="1"/>
  <c r="D248" i="1"/>
  <c r="C248" i="1"/>
  <c r="B248" i="1"/>
  <c r="A248" i="1"/>
  <c r="T247" i="1"/>
  <c r="S247" i="1"/>
  <c r="Q247" i="1"/>
  <c r="M247" i="1"/>
  <c r="N247" i="1" s="1"/>
  <c r="L247" i="1"/>
  <c r="K247" i="1"/>
  <c r="J247" i="1"/>
  <c r="R247" i="1" s="1"/>
  <c r="I247" i="1"/>
  <c r="H247" i="1"/>
  <c r="G247" i="1"/>
  <c r="F247" i="1"/>
  <c r="E247" i="1"/>
  <c r="D247" i="1"/>
  <c r="C247" i="1"/>
  <c r="B247" i="1"/>
  <c r="A247" i="1"/>
  <c r="T246" i="1"/>
  <c r="S246" i="1"/>
  <c r="Q246" i="1"/>
  <c r="M246" i="1"/>
  <c r="N246" i="1" s="1"/>
  <c r="L246" i="1"/>
  <c r="K246" i="1"/>
  <c r="J246" i="1"/>
  <c r="R246" i="1" s="1"/>
  <c r="I246" i="1"/>
  <c r="H246" i="1"/>
  <c r="G246" i="1"/>
  <c r="F246" i="1"/>
  <c r="E246" i="1"/>
  <c r="D246" i="1"/>
  <c r="C246" i="1"/>
  <c r="B246" i="1"/>
  <c r="A246" i="1"/>
  <c r="T245" i="1"/>
  <c r="S245" i="1"/>
  <c r="Q245" i="1"/>
  <c r="M245" i="1"/>
  <c r="N245" i="1" s="1"/>
  <c r="L245" i="1"/>
  <c r="K245" i="1"/>
  <c r="J245" i="1"/>
  <c r="R245" i="1" s="1"/>
  <c r="I245" i="1"/>
  <c r="H245" i="1"/>
  <c r="G245" i="1"/>
  <c r="F245" i="1"/>
  <c r="E245" i="1"/>
  <c r="D245" i="1"/>
  <c r="C245" i="1"/>
  <c r="B245" i="1"/>
  <c r="A245" i="1"/>
  <c r="T244" i="1"/>
  <c r="S244" i="1"/>
  <c r="Q244" i="1"/>
  <c r="M244" i="1"/>
  <c r="N244" i="1" s="1"/>
  <c r="L244" i="1"/>
  <c r="K244" i="1"/>
  <c r="J244" i="1"/>
  <c r="R244" i="1" s="1"/>
  <c r="I244" i="1"/>
  <c r="H244" i="1"/>
  <c r="G244" i="1"/>
  <c r="F244" i="1"/>
  <c r="E244" i="1"/>
  <c r="D244" i="1"/>
  <c r="C244" i="1"/>
  <c r="B244" i="1"/>
  <c r="A244" i="1"/>
  <c r="T243" i="1"/>
  <c r="S243" i="1"/>
  <c r="Q243" i="1"/>
  <c r="M243" i="1"/>
  <c r="N243" i="1" s="1"/>
  <c r="L243" i="1"/>
  <c r="K243" i="1"/>
  <c r="J243" i="1"/>
  <c r="R243" i="1" s="1"/>
  <c r="I243" i="1"/>
  <c r="H243" i="1"/>
  <c r="G243" i="1"/>
  <c r="F243" i="1"/>
  <c r="E243" i="1"/>
  <c r="D243" i="1"/>
  <c r="C243" i="1"/>
  <c r="B243" i="1"/>
  <c r="A243" i="1"/>
  <c r="T242" i="1"/>
  <c r="S242" i="1"/>
  <c r="Q242" i="1"/>
  <c r="M242" i="1"/>
  <c r="N242" i="1" s="1"/>
  <c r="L242" i="1"/>
  <c r="K242" i="1"/>
  <c r="J242" i="1"/>
  <c r="R242" i="1" s="1"/>
  <c r="I242" i="1"/>
  <c r="H242" i="1"/>
  <c r="G242" i="1"/>
  <c r="F242" i="1"/>
  <c r="E242" i="1"/>
  <c r="D242" i="1"/>
  <c r="C242" i="1"/>
  <c r="B242" i="1"/>
  <c r="A242" i="1"/>
  <c r="T241" i="1"/>
  <c r="S241" i="1"/>
  <c r="Q241" i="1"/>
  <c r="M241" i="1"/>
  <c r="N241" i="1" s="1"/>
  <c r="L241" i="1"/>
  <c r="K241" i="1"/>
  <c r="J241" i="1"/>
  <c r="R241" i="1" s="1"/>
  <c r="I241" i="1"/>
  <c r="H241" i="1"/>
  <c r="G241" i="1"/>
  <c r="F241" i="1"/>
  <c r="E241" i="1"/>
  <c r="D241" i="1"/>
  <c r="C241" i="1"/>
  <c r="B241" i="1"/>
  <c r="A241" i="1"/>
  <c r="T240" i="1"/>
  <c r="S240" i="1"/>
  <c r="Q240" i="1"/>
  <c r="M240" i="1"/>
  <c r="N240" i="1" s="1"/>
  <c r="L240" i="1"/>
  <c r="K240" i="1"/>
  <c r="J240" i="1"/>
  <c r="R240" i="1" s="1"/>
  <c r="I240" i="1"/>
  <c r="H240" i="1"/>
  <c r="G240" i="1"/>
  <c r="F240" i="1"/>
  <c r="E240" i="1"/>
  <c r="D240" i="1"/>
  <c r="C240" i="1"/>
  <c r="B240" i="1"/>
  <c r="A240" i="1"/>
  <c r="T239" i="1"/>
  <c r="S239" i="1"/>
  <c r="Q239" i="1"/>
  <c r="M239" i="1"/>
  <c r="N239" i="1" s="1"/>
  <c r="L239" i="1"/>
  <c r="K239" i="1"/>
  <c r="J239" i="1"/>
  <c r="R239" i="1" s="1"/>
  <c r="I239" i="1"/>
  <c r="H239" i="1"/>
  <c r="G239" i="1"/>
  <c r="F239" i="1"/>
  <c r="E239" i="1"/>
  <c r="D239" i="1"/>
  <c r="C239" i="1"/>
  <c r="B239" i="1"/>
  <c r="A239" i="1"/>
  <c r="T238" i="1"/>
  <c r="S238" i="1"/>
  <c r="Q238" i="1"/>
  <c r="M238" i="1"/>
  <c r="N238" i="1" s="1"/>
  <c r="L238" i="1"/>
  <c r="K238" i="1"/>
  <c r="J238" i="1"/>
  <c r="R238" i="1" s="1"/>
  <c r="I238" i="1"/>
  <c r="H238" i="1"/>
  <c r="G238" i="1"/>
  <c r="F238" i="1"/>
  <c r="E238" i="1"/>
  <c r="D238" i="1"/>
  <c r="C238" i="1"/>
  <c r="B238" i="1"/>
  <c r="A238" i="1"/>
  <c r="T237" i="1"/>
  <c r="S237" i="1"/>
  <c r="Q237" i="1"/>
  <c r="M237" i="1"/>
  <c r="N237" i="1" s="1"/>
  <c r="L237" i="1"/>
  <c r="K237" i="1"/>
  <c r="J237" i="1"/>
  <c r="R237" i="1" s="1"/>
  <c r="I237" i="1"/>
  <c r="H237" i="1"/>
  <c r="G237" i="1"/>
  <c r="F237" i="1"/>
  <c r="E237" i="1"/>
  <c r="D237" i="1"/>
  <c r="C237" i="1"/>
  <c r="B237" i="1"/>
  <c r="A237" i="1"/>
  <c r="T236" i="1"/>
  <c r="S236" i="1"/>
  <c r="Q236" i="1"/>
  <c r="M236" i="1"/>
  <c r="N236" i="1" s="1"/>
  <c r="L236" i="1"/>
  <c r="K236" i="1"/>
  <c r="J236" i="1"/>
  <c r="R236" i="1" s="1"/>
  <c r="I236" i="1"/>
  <c r="H236" i="1"/>
  <c r="G236" i="1"/>
  <c r="F236" i="1"/>
  <c r="E236" i="1"/>
  <c r="D236" i="1"/>
  <c r="C236" i="1"/>
  <c r="B236" i="1"/>
  <c r="A236" i="1"/>
  <c r="T235" i="1"/>
  <c r="S235" i="1"/>
  <c r="Q235" i="1"/>
  <c r="M235" i="1"/>
  <c r="N235" i="1" s="1"/>
  <c r="L235" i="1"/>
  <c r="K235" i="1"/>
  <c r="J235" i="1"/>
  <c r="R235" i="1" s="1"/>
  <c r="I235" i="1"/>
  <c r="H235" i="1"/>
  <c r="G235" i="1"/>
  <c r="F235" i="1"/>
  <c r="E235" i="1"/>
  <c r="D235" i="1"/>
  <c r="C235" i="1"/>
  <c r="B235" i="1"/>
  <c r="A235" i="1"/>
  <c r="T234" i="1"/>
  <c r="S234" i="1"/>
  <c r="Q234" i="1"/>
  <c r="M234" i="1"/>
  <c r="N234" i="1" s="1"/>
  <c r="L234" i="1"/>
  <c r="K234" i="1"/>
  <c r="J234" i="1"/>
  <c r="R234" i="1" s="1"/>
  <c r="I234" i="1"/>
  <c r="H234" i="1"/>
  <c r="G234" i="1"/>
  <c r="F234" i="1"/>
  <c r="E234" i="1"/>
  <c r="D234" i="1"/>
  <c r="C234" i="1"/>
  <c r="B234" i="1"/>
  <c r="A234" i="1"/>
  <c r="T233" i="1"/>
  <c r="S233" i="1"/>
  <c r="Q233" i="1"/>
  <c r="M233" i="1"/>
  <c r="N233" i="1" s="1"/>
  <c r="L233" i="1"/>
  <c r="K233" i="1"/>
  <c r="J233" i="1"/>
  <c r="R233" i="1" s="1"/>
  <c r="I233" i="1"/>
  <c r="H233" i="1"/>
  <c r="G233" i="1"/>
  <c r="F233" i="1"/>
  <c r="E233" i="1"/>
  <c r="D233" i="1"/>
  <c r="C233" i="1"/>
  <c r="B233" i="1"/>
  <c r="A233" i="1"/>
  <c r="T232" i="1"/>
  <c r="S232" i="1"/>
  <c r="Q232" i="1"/>
  <c r="M232" i="1"/>
  <c r="N232" i="1" s="1"/>
  <c r="L232" i="1"/>
  <c r="K232" i="1"/>
  <c r="J232" i="1"/>
  <c r="R232" i="1" s="1"/>
  <c r="I232" i="1"/>
  <c r="H232" i="1"/>
  <c r="G232" i="1"/>
  <c r="F232" i="1"/>
  <c r="E232" i="1"/>
  <c r="D232" i="1"/>
  <c r="C232" i="1"/>
  <c r="B232" i="1"/>
  <c r="A232" i="1"/>
  <c r="T231" i="1"/>
  <c r="S231" i="1"/>
  <c r="Q231" i="1"/>
  <c r="M231" i="1"/>
  <c r="N231" i="1" s="1"/>
  <c r="L231" i="1"/>
  <c r="K231" i="1"/>
  <c r="J231" i="1"/>
  <c r="R231" i="1" s="1"/>
  <c r="I231" i="1"/>
  <c r="H231" i="1"/>
  <c r="G231" i="1"/>
  <c r="F231" i="1"/>
  <c r="E231" i="1"/>
  <c r="D231" i="1"/>
  <c r="C231" i="1"/>
  <c r="B231" i="1"/>
  <c r="A231" i="1"/>
  <c r="T230" i="1"/>
  <c r="S230" i="1"/>
  <c r="Q230" i="1"/>
  <c r="M230" i="1"/>
  <c r="N230" i="1" s="1"/>
  <c r="L230" i="1"/>
  <c r="K230" i="1"/>
  <c r="J230" i="1"/>
  <c r="R230" i="1" s="1"/>
  <c r="I230" i="1"/>
  <c r="H230" i="1"/>
  <c r="G230" i="1"/>
  <c r="F230" i="1"/>
  <c r="E230" i="1"/>
  <c r="D230" i="1"/>
  <c r="C230" i="1"/>
  <c r="B230" i="1"/>
  <c r="A230" i="1"/>
  <c r="T229" i="1"/>
  <c r="S229" i="1"/>
  <c r="Q229" i="1"/>
  <c r="M229" i="1"/>
  <c r="N229" i="1" s="1"/>
  <c r="L229" i="1"/>
  <c r="K229" i="1"/>
  <c r="J229" i="1"/>
  <c r="R229" i="1" s="1"/>
  <c r="I229" i="1"/>
  <c r="H229" i="1"/>
  <c r="G229" i="1"/>
  <c r="F229" i="1"/>
  <c r="E229" i="1"/>
  <c r="D229" i="1"/>
  <c r="C229" i="1"/>
  <c r="B229" i="1"/>
  <c r="A229" i="1"/>
  <c r="T228" i="1"/>
  <c r="S228" i="1"/>
  <c r="Q228" i="1"/>
  <c r="M228" i="1"/>
  <c r="N228" i="1" s="1"/>
  <c r="L228" i="1"/>
  <c r="K228" i="1"/>
  <c r="J228" i="1"/>
  <c r="R228" i="1" s="1"/>
  <c r="I228" i="1"/>
  <c r="H228" i="1"/>
  <c r="G228" i="1"/>
  <c r="F228" i="1"/>
  <c r="E228" i="1"/>
  <c r="D228" i="1"/>
  <c r="C228" i="1"/>
  <c r="B228" i="1"/>
  <c r="A228" i="1"/>
  <c r="T227" i="1"/>
  <c r="S227" i="1"/>
  <c r="Q227" i="1"/>
  <c r="M227" i="1"/>
  <c r="N227" i="1" s="1"/>
  <c r="L227" i="1"/>
  <c r="K227" i="1"/>
  <c r="J227" i="1"/>
  <c r="R227" i="1" s="1"/>
  <c r="I227" i="1"/>
  <c r="H227" i="1"/>
  <c r="G227" i="1"/>
  <c r="F227" i="1"/>
  <c r="E227" i="1"/>
  <c r="D227" i="1"/>
  <c r="C227" i="1"/>
  <c r="B227" i="1"/>
  <c r="A227" i="1"/>
  <c r="T226" i="1"/>
  <c r="S226" i="1"/>
  <c r="Q226" i="1"/>
  <c r="M226" i="1"/>
  <c r="N226" i="1" s="1"/>
  <c r="L226" i="1"/>
  <c r="K226" i="1"/>
  <c r="J226" i="1"/>
  <c r="R226" i="1" s="1"/>
  <c r="I226" i="1"/>
  <c r="H226" i="1"/>
  <c r="G226" i="1"/>
  <c r="F226" i="1"/>
  <c r="E226" i="1"/>
  <c r="D226" i="1"/>
  <c r="C226" i="1"/>
  <c r="B226" i="1"/>
  <c r="A226" i="1"/>
  <c r="T225" i="1"/>
  <c r="S225" i="1"/>
  <c r="Q225" i="1"/>
  <c r="M225" i="1"/>
  <c r="N225" i="1" s="1"/>
  <c r="L225" i="1"/>
  <c r="K225" i="1"/>
  <c r="J225" i="1"/>
  <c r="R225" i="1" s="1"/>
  <c r="I225" i="1"/>
  <c r="H225" i="1"/>
  <c r="G225" i="1"/>
  <c r="F225" i="1"/>
  <c r="E225" i="1"/>
  <c r="D225" i="1"/>
  <c r="C225" i="1"/>
  <c r="B225" i="1"/>
  <c r="A225" i="1"/>
  <c r="T224" i="1"/>
  <c r="S224" i="1"/>
  <c r="Q224" i="1"/>
  <c r="M224" i="1"/>
  <c r="N224" i="1" s="1"/>
  <c r="L224" i="1"/>
  <c r="K224" i="1"/>
  <c r="J224" i="1"/>
  <c r="R224" i="1" s="1"/>
  <c r="I224" i="1"/>
  <c r="H224" i="1"/>
  <c r="G224" i="1"/>
  <c r="F224" i="1"/>
  <c r="E224" i="1"/>
  <c r="D224" i="1"/>
  <c r="C224" i="1"/>
  <c r="B224" i="1"/>
  <c r="A224" i="1"/>
  <c r="T223" i="1"/>
  <c r="S223" i="1"/>
  <c r="Q223" i="1"/>
  <c r="M223" i="1"/>
  <c r="N223" i="1" s="1"/>
  <c r="L223" i="1"/>
  <c r="K223" i="1"/>
  <c r="J223" i="1"/>
  <c r="R223" i="1" s="1"/>
  <c r="I223" i="1"/>
  <c r="H223" i="1"/>
  <c r="G223" i="1"/>
  <c r="F223" i="1"/>
  <c r="E223" i="1"/>
  <c r="D223" i="1"/>
  <c r="C223" i="1"/>
  <c r="B223" i="1"/>
  <c r="A223" i="1"/>
  <c r="T222" i="1"/>
  <c r="S222" i="1"/>
  <c r="Q222" i="1"/>
  <c r="M222" i="1"/>
  <c r="N222" i="1" s="1"/>
  <c r="L222" i="1"/>
  <c r="K222" i="1"/>
  <c r="J222" i="1"/>
  <c r="R222" i="1" s="1"/>
  <c r="I222" i="1"/>
  <c r="H222" i="1"/>
  <c r="G222" i="1"/>
  <c r="F222" i="1"/>
  <c r="E222" i="1"/>
  <c r="D222" i="1"/>
  <c r="C222" i="1"/>
  <c r="B222" i="1"/>
  <c r="A222" i="1"/>
  <c r="T221" i="1"/>
  <c r="S221" i="1"/>
  <c r="Q221" i="1"/>
  <c r="M221" i="1"/>
  <c r="N221" i="1" s="1"/>
  <c r="L221" i="1"/>
  <c r="K221" i="1"/>
  <c r="J221" i="1"/>
  <c r="R221" i="1" s="1"/>
  <c r="I221" i="1"/>
  <c r="H221" i="1"/>
  <c r="G221" i="1"/>
  <c r="F221" i="1"/>
  <c r="E221" i="1"/>
  <c r="D221" i="1"/>
  <c r="C221" i="1"/>
  <c r="B221" i="1"/>
  <c r="A221" i="1"/>
  <c r="T220" i="1"/>
  <c r="S220" i="1"/>
  <c r="Q220" i="1"/>
  <c r="M220" i="1"/>
  <c r="N220" i="1" s="1"/>
  <c r="L220" i="1"/>
  <c r="K220" i="1"/>
  <c r="J220" i="1"/>
  <c r="R220" i="1" s="1"/>
  <c r="I220" i="1"/>
  <c r="H220" i="1"/>
  <c r="G220" i="1"/>
  <c r="F220" i="1"/>
  <c r="E220" i="1"/>
  <c r="D220" i="1"/>
  <c r="C220" i="1"/>
  <c r="B220" i="1"/>
  <c r="A220" i="1"/>
  <c r="T219" i="1"/>
  <c r="S219" i="1"/>
  <c r="Q219" i="1"/>
  <c r="M219" i="1"/>
  <c r="N219" i="1" s="1"/>
  <c r="L219" i="1"/>
  <c r="K219" i="1"/>
  <c r="J219" i="1"/>
  <c r="R219" i="1" s="1"/>
  <c r="I219" i="1"/>
  <c r="H219" i="1"/>
  <c r="G219" i="1"/>
  <c r="F219" i="1"/>
  <c r="E219" i="1"/>
  <c r="D219" i="1"/>
  <c r="C219" i="1"/>
  <c r="B219" i="1"/>
  <c r="A219" i="1"/>
  <c r="T218" i="1"/>
  <c r="S218" i="1"/>
  <c r="Q218" i="1"/>
  <c r="M218" i="1"/>
  <c r="N218" i="1" s="1"/>
  <c r="L218" i="1"/>
  <c r="K218" i="1"/>
  <c r="J218" i="1"/>
  <c r="R218" i="1" s="1"/>
  <c r="I218" i="1"/>
  <c r="H218" i="1"/>
  <c r="G218" i="1"/>
  <c r="F218" i="1"/>
  <c r="E218" i="1"/>
  <c r="D218" i="1"/>
  <c r="C218" i="1"/>
  <c r="B218" i="1"/>
  <c r="A218" i="1"/>
  <c r="T217" i="1"/>
  <c r="S217" i="1"/>
  <c r="Q217" i="1"/>
  <c r="M217" i="1"/>
  <c r="N217" i="1" s="1"/>
  <c r="L217" i="1"/>
  <c r="K217" i="1"/>
  <c r="J217" i="1"/>
  <c r="R217" i="1" s="1"/>
  <c r="I217" i="1"/>
  <c r="H217" i="1"/>
  <c r="G217" i="1"/>
  <c r="F217" i="1"/>
  <c r="E217" i="1"/>
  <c r="D217" i="1"/>
  <c r="C217" i="1"/>
  <c r="B217" i="1"/>
  <c r="A217" i="1"/>
  <c r="T216" i="1"/>
  <c r="S216" i="1"/>
  <c r="Q216" i="1"/>
  <c r="M216" i="1"/>
  <c r="N216" i="1" s="1"/>
  <c r="L216" i="1"/>
  <c r="K216" i="1"/>
  <c r="J216" i="1"/>
  <c r="R216" i="1" s="1"/>
  <c r="I216" i="1"/>
  <c r="H216" i="1"/>
  <c r="G216" i="1"/>
  <c r="F216" i="1"/>
  <c r="E216" i="1"/>
  <c r="D216" i="1"/>
  <c r="C216" i="1"/>
  <c r="B216" i="1"/>
  <c r="A216" i="1"/>
  <c r="T215" i="1"/>
  <c r="S215" i="1"/>
  <c r="Q215" i="1"/>
  <c r="M215" i="1"/>
  <c r="N215" i="1" s="1"/>
  <c r="L215" i="1"/>
  <c r="K215" i="1"/>
  <c r="J215" i="1"/>
  <c r="R215" i="1" s="1"/>
  <c r="I215" i="1"/>
  <c r="H215" i="1"/>
  <c r="G215" i="1"/>
  <c r="F215" i="1"/>
  <c r="E215" i="1"/>
  <c r="D215" i="1"/>
  <c r="C215" i="1"/>
  <c r="B215" i="1"/>
  <c r="A215" i="1"/>
  <c r="T214" i="1"/>
  <c r="S214" i="1"/>
  <c r="Q214" i="1"/>
  <c r="M214" i="1"/>
  <c r="N214" i="1" s="1"/>
  <c r="L214" i="1"/>
  <c r="K214" i="1"/>
  <c r="J214" i="1"/>
  <c r="R214" i="1" s="1"/>
  <c r="I214" i="1"/>
  <c r="H214" i="1"/>
  <c r="G214" i="1"/>
  <c r="F214" i="1"/>
  <c r="E214" i="1"/>
  <c r="D214" i="1"/>
  <c r="C214" i="1"/>
  <c r="B214" i="1"/>
  <c r="A214" i="1"/>
  <c r="T213" i="1"/>
  <c r="S213" i="1"/>
  <c r="Q213" i="1"/>
  <c r="M213" i="1"/>
  <c r="N213" i="1" s="1"/>
  <c r="L213" i="1"/>
  <c r="K213" i="1"/>
  <c r="J213" i="1"/>
  <c r="R213" i="1" s="1"/>
  <c r="I213" i="1"/>
  <c r="H213" i="1"/>
  <c r="G213" i="1"/>
  <c r="F213" i="1"/>
  <c r="E213" i="1"/>
  <c r="D213" i="1"/>
  <c r="C213" i="1"/>
  <c r="B213" i="1"/>
  <c r="A213" i="1"/>
  <c r="T212" i="1"/>
  <c r="S212" i="1"/>
  <c r="Q212" i="1"/>
  <c r="M212" i="1"/>
  <c r="N212" i="1" s="1"/>
  <c r="L212" i="1"/>
  <c r="K212" i="1"/>
  <c r="J212" i="1"/>
  <c r="R212" i="1" s="1"/>
  <c r="I212" i="1"/>
  <c r="H212" i="1"/>
  <c r="G212" i="1"/>
  <c r="F212" i="1"/>
  <c r="E212" i="1"/>
  <c r="D212" i="1"/>
  <c r="C212" i="1"/>
  <c r="B212" i="1"/>
  <c r="A212" i="1"/>
  <c r="T211" i="1"/>
  <c r="S211" i="1"/>
  <c r="Q211" i="1"/>
  <c r="M211" i="1"/>
  <c r="N211" i="1" s="1"/>
  <c r="L211" i="1"/>
  <c r="K211" i="1"/>
  <c r="J211" i="1"/>
  <c r="R211" i="1" s="1"/>
  <c r="I211" i="1"/>
  <c r="H211" i="1"/>
  <c r="G211" i="1"/>
  <c r="F211" i="1"/>
  <c r="E211" i="1"/>
  <c r="D211" i="1"/>
  <c r="C211" i="1"/>
  <c r="B211" i="1"/>
  <c r="A211" i="1"/>
  <c r="T210" i="1"/>
  <c r="S210" i="1"/>
  <c r="Q210" i="1"/>
  <c r="M210" i="1"/>
  <c r="N210" i="1" s="1"/>
  <c r="L210" i="1"/>
  <c r="K210" i="1"/>
  <c r="J210" i="1"/>
  <c r="R210" i="1" s="1"/>
  <c r="I210" i="1"/>
  <c r="H210" i="1"/>
  <c r="G210" i="1"/>
  <c r="F210" i="1"/>
  <c r="E210" i="1"/>
  <c r="D210" i="1"/>
  <c r="C210" i="1"/>
  <c r="B210" i="1"/>
  <c r="A210" i="1"/>
  <c r="T209" i="1"/>
  <c r="S209" i="1"/>
  <c r="Q209" i="1"/>
  <c r="M209" i="1"/>
  <c r="N209" i="1" s="1"/>
  <c r="L209" i="1"/>
  <c r="K209" i="1"/>
  <c r="J209" i="1"/>
  <c r="R209" i="1" s="1"/>
  <c r="I209" i="1"/>
  <c r="H209" i="1"/>
  <c r="G209" i="1"/>
  <c r="F209" i="1"/>
  <c r="E209" i="1"/>
  <c r="D209" i="1"/>
  <c r="C209" i="1"/>
  <c r="B209" i="1"/>
  <c r="A209" i="1"/>
  <c r="T208" i="1"/>
  <c r="S208" i="1"/>
  <c r="Q208" i="1"/>
  <c r="M208" i="1"/>
  <c r="N208" i="1" s="1"/>
  <c r="L208" i="1"/>
  <c r="K208" i="1"/>
  <c r="J208" i="1"/>
  <c r="R208" i="1" s="1"/>
  <c r="I208" i="1"/>
  <c r="H208" i="1"/>
  <c r="G208" i="1"/>
  <c r="F208" i="1"/>
  <c r="E208" i="1"/>
  <c r="D208" i="1"/>
  <c r="C208" i="1"/>
  <c r="B208" i="1"/>
  <c r="A208" i="1"/>
  <c r="T207" i="1"/>
  <c r="S207" i="1"/>
  <c r="Q207" i="1"/>
  <c r="M207" i="1"/>
  <c r="N207" i="1" s="1"/>
  <c r="L207" i="1"/>
  <c r="K207" i="1"/>
  <c r="J207" i="1"/>
  <c r="R207" i="1" s="1"/>
  <c r="I207" i="1"/>
  <c r="H207" i="1"/>
  <c r="G207" i="1"/>
  <c r="F207" i="1"/>
  <c r="E207" i="1"/>
  <c r="D207" i="1"/>
  <c r="C207" i="1"/>
  <c r="B207" i="1"/>
  <c r="A207" i="1"/>
  <c r="T206" i="1"/>
  <c r="S206" i="1"/>
  <c r="Q206" i="1"/>
  <c r="M206" i="1"/>
  <c r="N206" i="1" s="1"/>
  <c r="L206" i="1"/>
  <c r="K206" i="1"/>
  <c r="J206" i="1"/>
  <c r="R206" i="1" s="1"/>
  <c r="I206" i="1"/>
  <c r="H206" i="1"/>
  <c r="G206" i="1"/>
  <c r="F206" i="1"/>
  <c r="E206" i="1"/>
  <c r="D206" i="1"/>
  <c r="C206" i="1"/>
  <c r="B206" i="1"/>
  <c r="A206" i="1"/>
  <c r="T205" i="1"/>
  <c r="S205" i="1"/>
  <c r="Q205" i="1"/>
  <c r="M205" i="1"/>
  <c r="N205" i="1" s="1"/>
  <c r="L205" i="1"/>
  <c r="K205" i="1"/>
  <c r="J205" i="1"/>
  <c r="R205" i="1" s="1"/>
  <c r="I205" i="1"/>
  <c r="H205" i="1"/>
  <c r="G205" i="1"/>
  <c r="F205" i="1"/>
  <c r="E205" i="1"/>
  <c r="D205" i="1"/>
  <c r="C205" i="1"/>
  <c r="B205" i="1"/>
  <c r="A205" i="1"/>
  <c r="T204" i="1"/>
  <c r="S204" i="1"/>
  <c r="Q204" i="1"/>
  <c r="M204" i="1"/>
  <c r="N204" i="1" s="1"/>
  <c r="L204" i="1"/>
  <c r="K204" i="1"/>
  <c r="J204" i="1"/>
  <c r="R204" i="1" s="1"/>
  <c r="I204" i="1"/>
  <c r="H204" i="1"/>
  <c r="G204" i="1"/>
  <c r="F204" i="1"/>
  <c r="E204" i="1"/>
  <c r="D204" i="1"/>
  <c r="C204" i="1"/>
  <c r="B204" i="1"/>
  <c r="A204" i="1"/>
  <c r="T203" i="1"/>
  <c r="S203" i="1"/>
  <c r="Q203" i="1"/>
  <c r="M203" i="1"/>
  <c r="N203" i="1" s="1"/>
  <c r="L203" i="1"/>
  <c r="K203" i="1"/>
  <c r="J203" i="1"/>
  <c r="R203" i="1" s="1"/>
  <c r="I203" i="1"/>
  <c r="H203" i="1"/>
  <c r="G203" i="1"/>
  <c r="F203" i="1"/>
  <c r="E203" i="1"/>
  <c r="D203" i="1"/>
  <c r="C203" i="1"/>
  <c r="B203" i="1"/>
  <c r="A203" i="1"/>
  <c r="T202" i="1"/>
  <c r="S202" i="1"/>
  <c r="Q202" i="1"/>
  <c r="M202" i="1"/>
  <c r="N202" i="1" s="1"/>
  <c r="L202" i="1"/>
  <c r="K202" i="1"/>
  <c r="J202" i="1"/>
  <c r="R202" i="1" s="1"/>
  <c r="I202" i="1"/>
  <c r="H202" i="1"/>
  <c r="G202" i="1"/>
  <c r="F202" i="1"/>
  <c r="E202" i="1"/>
  <c r="D202" i="1"/>
  <c r="C202" i="1"/>
  <c r="B202" i="1"/>
  <c r="A202" i="1"/>
  <c r="T201" i="1"/>
  <c r="S201" i="1"/>
  <c r="Q201" i="1"/>
  <c r="M201" i="1"/>
  <c r="N201" i="1" s="1"/>
  <c r="L201" i="1"/>
  <c r="K201" i="1"/>
  <c r="J201" i="1"/>
  <c r="R201" i="1" s="1"/>
  <c r="I201" i="1"/>
  <c r="H201" i="1"/>
  <c r="G201" i="1"/>
  <c r="F201" i="1"/>
  <c r="E201" i="1"/>
  <c r="D201" i="1"/>
  <c r="C201" i="1"/>
  <c r="B201" i="1"/>
  <c r="A201" i="1"/>
  <c r="T200" i="1"/>
  <c r="S200" i="1"/>
  <c r="Q200" i="1"/>
  <c r="M200" i="1"/>
  <c r="N200" i="1" s="1"/>
  <c r="L200" i="1"/>
  <c r="K200" i="1"/>
  <c r="J200" i="1"/>
  <c r="R200" i="1" s="1"/>
  <c r="I200" i="1"/>
  <c r="H200" i="1"/>
  <c r="G200" i="1"/>
  <c r="F200" i="1"/>
  <c r="E200" i="1"/>
  <c r="D200" i="1"/>
  <c r="C200" i="1"/>
  <c r="B200" i="1"/>
  <c r="A200" i="1"/>
  <c r="T199" i="1"/>
  <c r="S199" i="1"/>
  <c r="Q199" i="1"/>
  <c r="M199" i="1"/>
  <c r="N199" i="1" s="1"/>
  <c r="L199" i="1"/>
  <c r="K199" i="1"/>
  <c r="J199" i="1"/>
  <c r="R199" i="1" s="1"/>
  <c r="I199" i="1"/>
  <c r="H199" i="1"/>
  <c r="G199" i="1"/>
  <c r="F199" i="1"/>
  <c r="E199" i="1"/>
  <c r="D199" i="1"/>
  <c r="C199" i="1"/>
  <c r="B199" i="1"/>
  <c r="A199" i="1"/>
  <c r="T198" i="1"/>
  <c r="S198" i="1"/>
  <c r="Q198" i="1"/>
  <c r="M198" i="1"/>
  <c r="N198" i="1" s="1"/>
  <c r="L198" i="1"/>
  <c r="K198" i="1"/>
  <c r="J198" i="1"/>
  <c r="R198" i="1" s="1"/>
  <c r="I198" i="1"/>
  <c r="H198" i="1"/>
  <c r="G198" i="1"/>
  <c r="F198" i="1"/>
  <c r="E198" i="1"/>
  <c r="D198" i="1"/>
  <c r="C198" i="1"/>
  <c r="B198" i="1"/>
  <c r="A198" i="1"/>
  <c r="T197" i="1"/>
  <c r="S197" i="1"/>
  <c r="Q197" i="1"/>
  <c r="M197" i="1"/>
  <c r="N197" i="1" s="1"/>
  <c r="L197" i="1"/>
  <c r="K197" i="1"/>
  <c r="J197" i="1"/>
  <c r="R197" i="1" s="1"/>
  <c r="I197" i="1"/>
  <c r="H197" i="1"/>
  <c r="G197" i="1"/>
  <c r="F197" i="1"/>
  <c r="E197" i="1"/>
  <c r="D197" i="1"/>
  <c r="C197" i="1"/>
  <c r="B197" i="1"/>
  <c r="A197" i="1"/>
  <c r="T196" i="1"/>
  <c r="S196" i="1"/>
  <c r="Q196" i="1"/>
  <c r="M196" i="1"/>
  <c r="N196" i="1" s="1"/>
  <c r="L196" i="1"/>
  <c r="K196" i="1"/>
  <c r="J196" i="1"/>
  <c r="R196" i="1" s="1"/>
  <c r="I196" i="1"/>
  <c r="H196" i="1"/>
  <c r="G196" i="1"/>
  <c r="F196" i="1"/>
  <c r="E196" i="1"/>
  <c r="D196" i="1"/>
  <c r="C196" i="1"/>
  <c r="B196" i="1"/>
  <c r="A196" i="1"/>
  <c r="T195" i="1"/>
  <c r="S195" i="1"/>
  <c r="Q195" i="1"/>
  <c r="M195" i="1"/>
  <c r="N195" i="1" s="1"/>
  <c r="L195" i="1"/>
  <c r="K195" i="1"/>
  <c r="J195" i="1"/>
  <c r="R195" i="1" s="1"/>
  <c r="I195" i="1"/>
  <c r="H195" i="1"/>
  <c r="G195" i="1"/>
  <c r="F195" i="1"/>
  <c r="E195" i="1"/>
  <c r="D195" i="1"/>
  <c r="C195" i="1"/>
  <c r="B195" i="1"/>
  <c r="A195" i="1"/>
  <c r="T194" i="1"/>
  <c r="S194" i="1"/>
  <c r="Q194" i="1"/>
  <c r="M194" i="1"/>
  <c r="N194" i="1" s="1"/>
  <c r="L194" i="1"/>
  <c r="K194" i="1"/>
  <c r="J194" i="1"/>
  <c r="R194" i="1" s="1"/>
  <c r="I194" i="1"/>
  <c r="H194" i="1"/>
  <c r="G194" i="1"/>
  <c r="F194" i="1"/>
  <c r="E194" i="1"/>
  <c r="D194" i="1"/>
  <c r="C194" i="1"/>
  <c r="B194" i="1"/>
  <c r="A194" i="1"/>
  <c r="T193" i="1"/>
  <c r="S193" i="1"/>
  <c r="Q193" i="1"/>
  <c r="M193" i="1"/>
  <c r="N193" i="1" s="1"/>
  <c r="L193" i="1"/>
  <c r="K193" i="1"/>
  <c r="J193" i="1"/>
  <c r="R193" i="1" s="1"/>
  <c r="I193" i="1"/>
  <c r="H193" i="1"/>
  <c r="G193" i="1"/>
  <c r="F193" i="1"/>
  <c r="E193" i="1"/>
  <c r="D193" i="1"/>
  <c r="C193" i="1"/>
  <c r="B193" i="1"/>
  <c r="A193" i="1"/>
  <c r="T192" i="1"/>
  <c r="S192" i="1"/>
  <c r="Q192" i="1"/>
  <c r="M192" i="1"/>
  <c r="N192" i="1" s="1"/>
  <c r="L192" i="1"/>
  <c r="K192" i="1"/>
  <c r="J192" i="1"/>
  <c r="R192" i="1" s="1"/>
  <c r="I192" i="1"/>
  <c r="H192" i="1"/>
  <c r="G192" i="1"/>
  <c r="F192" i="1"/>
  <c r="E192" i="1"/>
  <c r="D192" i="1"/>
  <c r="C192" i="1"/>
  <c r="B192" i="1"/>
  <c r="A192" i="1"/>
  <c r="T191" i="1"/>
  <c r="S191" i="1"/>
  <c r="Q191" i="1"/>
  <c r="M191" i="1"/>
  <c r="N191" i="1" s="1"/>
  <c r="L191" i="1"/>
  <c r="K191" i="1"/>
  <c r="J191" i="1"/>
  <c r="R191" i="1" s="1"/>
  <c r="I191" i="1"/>
  <c r="H191" i="1"/>
  <c r="G191" i="1"/>
  <c r="F191" i="1"/>
  <c r="E191" i="1"/>
  <c r="D191" i="1"/>
  <c r="C191" i="1"/>
  <c r="B191" i="1"/>
  <c r="A191" i="1"/>
  <c r="T190" i="1"/>
  <c r="S190" i="1"/>
  <c r="Q190" i="1"/>
  <c r="M190" i="1"/>
  <c r="N190" i="1" s="1"/>
  <c r="L190" i="1"/>
  <c r="K190" i="1"/>
  <c r="J190" i="1"/>
  <c r="R190" i="1" s="1"/>
  <c r="I190" i="1"/>
  <c r="H190" i="1"/>
  <c r="G190" i="1"/>
  <c r="F190" i="1"/>
  <c r="E190" i="1"/>
  <c r="D190" i="1"/>
  <c r="C190" i="1"/>
  <c r="B190" i="1"/>
  <c r="A190" i="1"/>
  <c r="T189" i="1"/>
  <c r="S189" i="1"/>
  <c r="Q189" i="1"/>
  <c r="M189" i="1"/>
  <c r="N189" i="1" s="1"/>
  <c r="L189" i="1"/>
  <c r="K189" i="1"/>
  <c r="J189" i="1"/>
  <c r="R189" i="1" s="1"/>
  <c r="I189" i="1"/>
  <c r="H189" i="1"/>
  <c r="G189" i="1"/>
  <c r="F189" i="1"/>
  <c r="E189" i="1"/>
  <c r="D189" i="1"/>
  <c r="C189" i="1"/>
  <c r="B189" i="1"/>
  <c r="A189" i="1"/>
  <c r="T188" i="1"/>
  <c r="S188" i="1"/>
  <c r="Q188" i="1"/>
  <c r="M188" i="1"/>
  <c r="N188" i="1" s="1"/>
  <c r="L188" i="1"/>
  <c r="K188" i="1"/>
  <c r="J188" i="1"/>
  <c r="R188" i="1" s="1"/>
  <c r="I188" i="1"/>
  <c r="H188" i="1"/>
  <c r="G188" i="1"/>
  <c r="F188" i="1"/>
  <c r="E188" i="1"/>
  <c r="D188" i="1"/>
  <c r="C188" i="1"/>
  <c r="B188" i="1"/>
  <c r="A188" i="1"/>
  <c r="T187" i="1"/>
  <c r="S187" i="1"/>
  <c r="Q187" i="1"/>
  <c r="M187" i="1"/>
  <c r="N187" i="1" s="1"/>
  <c r="L187" i="1"/>
  <c r="K187" i="1"/>
  <c r="J187" i="1"/>
  <c r="R187" i="1" s="1"/>
  <c r="I187" i="1"/>
  <c r="H187" i="1"/>
  <c r="G187" i="1"/>
  <c r="F187" i="1"/>
  <c r="E187" i="1"/>
  <c r="D187" i="1"/>
  <c r="C187" i="1"/>
  <c r="B187" i="1"/>
  <c r="A187" i="1"/>
  <c r="T186" i="1"/>
  <c r="S186" i="1"/>
  <c r="Q186" i="1"/>
  <c r="M186" i="1"/>
  <c r="N186" i="1" s="1"/>
  <c r="L186" i="1"/>
  <c r="K186" i="1"/>
  <c r="J186" i="1"/>
  <c r="R186" i="1" s="1"/>
  <c r="I186" i="1"/>
  <c r="H186" i="1"/>
  <c r="G186" i="1"/>
  <c r="F186" i="1"/>
  <c r="E186" i="1"/>
  <c r="D186" i="1"/>
  <c r="C186" i="1"/>
  <c r="B186" i="1"/>
  <c r="A186" i="1"/>
  <c r="T185" i="1"/>
  <c r="S185" i="1"/>
  <c r="Q185" i="1"/>
  <c r="M185" i="1"/>
  <c r="N185" i="1" s="1"/>
  <c r="L185" i="1"/>
  <c r="K185" i="1"/>
  <c r="J185" i="1"/>
  <c r="R185" i="1" s="1"/>
  <c r="I185" i="1"/>
  <c r="H185" i="1"/>
  <c r="G185" i="1"/>
  <c r="F185" i="1"/>
  <c r="E185" i="1"/>
  <c r="D185" i="1"/>
  <c r="C185" i="1"/>
  <c r="B185" i="1"/>
  <c r="A185" i="1"/>
  <c r="T184" i="1"/>
  <c r="S184" i="1"/>
  <c r="Q184" i="1"/>
  <c r="M184" i="1"/>
  <c r="N184" i="1" s="1"/>
  <c r="L184" i="1"/>
  <c r="K184" i="1"/>
  <c r="J184" i="1"/>
  <c r="R184" i="1" s="1"/>
  <c r="I184" i="1"/>
  <c r="H184" i="1"/>
  <c r="G184" i="1"/>
  <c r="F184" i="1"/>
  <c r="E184" i="1"/>
  <c r="D184" i="1"/>
  <c r="C184" i="1"/>
  <c r="B184" i="1"/>
  <c r="A184" i="1"/>
  <c r="T183" i="1"/>
  <c r="S183" i="1"/>
  <c r="Q183" i="1"/>
  <c r="M183" i="1"/>
  <c r="N183" i="1" s="1"/>
  <c r="L183" i="1"/>
  <c r="K183" i="1"/>
  <c r="J183" i="1"/>
  <c r="R183" i="1" s="1"/>
  <c r="I183" i="1"/>
  <c r="H183" i="1"/>
  <c r="G183" i="1"/>
  <c r="F183" i="1"/>
  <c r="E183" i="1"/>
  <c r="D183" i="1"/>
  <c r="C183" i="1"/>
  <c r="B183" i="1"/>
  <c r="A183" i="1"/>
  <c r="T182" i="1"/>
  <c r="S182" i="1"/>
  <c r="Q182" i="1"/>
  <c r="M182" i="1"/>
  <c r="N182" i="1" s="1"/>
  <c r="L182" i="1"/>
  <c r="K182" i="1"/>
  <c r="J182" i="1"/>
  <c r="R182" i="1" s="1"/>
  <c r="I182" i="1"/>
  <c r="H182" i="1"/>
  <c r="G182" i="1"/>
  <c r="F182" i="1"/>
  <c r="E182" i="1"/>
  <c r="D182" i="1"/>
  <c r="C182" i="1"/>
  <c r="B182" i="1"/>
  <c r="A182" i="1"/>
  <c r="T181" i="1"/>
  <c r="S181" i="1"/>
  <c r="Q181" i="1"/>
  <c r="M181" i="1"/>
  <c r="N181" i="1" s="1"/>
  <c r="L181" i="1"/>
  <c r="K181" i="1"/>
  <c r="J181" i="1"/>
  <c r="R181" i="1" s="1"/>
  <c r="I181" i="1"/>
  <c r="H181" i="1"/>
  <c r="G181" i="1"/>
  <c r="F181" i="1"/>
  <c r="E181" i="1"/>
  <c r="D181" i="1"/>
  <c r="C181" i="1"/>
  <c r="B181" i="1"/>
  <c r="A181" i="1"/>
  <c r="T180" i="1"/>
  <c r="S180" i="1"/>
  <c r="Q180" i="1"/>
  <c r="M180" i="1"/>
  <c r="N180" i="1" s="1"/>
  <c r="L180" i="1"/>
  <c r="K180" i="1"/>
  <c r="J180" i="1"/>
  <c r="R180" i="1" s="1"/>
  <c r="I180" i="1"/>
  <c r="H180" i="1"/>
  <c r="G180" i="1"/>
  <c r="F180" i="1"/>
  <c r="E180" i="1"/>
  <c r="D180" i="1"/>
  <c r="C180" i="1"/>
  <c r="B180" i="1"/>
  <c r="A180" i="1"/>
  <c r="T179" i="1"/>
  <c r="S179" i="1"/>
  <c r="Q179" i="1"/>
  <c r="M179" i="1"/>
  <c r="N179" i="1" s="1"/>
  <c r="L179" i="1"/>
  <c r="K179" i="1"/>
  <c r="J179" i="1"/>
  <c r="R179" i="1" s="1"/>
  <c r="I179" i="1"/>
  <c r="H179" i="1"/>
  <c r="G179" i="1"/>
  <c r="F179" i="1"/>
  <c r="E179" i="1"/>
  <c r="D179" i="1"/>
  <c r="C179" i="1"/>
  <c r="B179" i="1"/>
  <c r="A179" i="1"/>
  <c r="T178" i="1"/>
  <c r="S178" i="1"/>
  <c r="Q178" i="1"/>
  <c r="M178" i="1"/>
  <c r="N178" i="1" s="1"/>
  <c r="L178" i="1"/>
  <c r="K178" i="1"/>
  <c r="J178" i="1"/>
  <c r="R178" i="1" s="1"/>
  <c r="I178" i="1"/>
  <c r="H178" i="1"/>
  <c r="G178" i="1"/>
  <c r="F178" i="1"/>
  <c r="E178" i="1"/>
  <c r="D178" i="1"/>
  <c r="C178" i="1"/>
  <c r="B178" i="1"/>
  <c r="A178" i="1"/>
  <c r="T177" i="1"/>
  <c r="S177" i="1"/>
  <c r="Q177" i="1"/>
  <c r="M177" i="1"/>
  <c r="N177" i="1" s="1"/>
  <c r="L177" i="1"/>
  <c r="K177" i="1"/>
  <c r="J177" i="1"/>
  <c r="R177" i="1" s="1"/>
  <c r="I177" i="1"/>
  <c r="H177" i="1"/>
  <c r="G177" i="1"/>
  <c r="F177" i="1"/>
  <c r="E177" i="1"/>
  <c r="D177" i="1"/>
  <c r="C177" i="1"/>
  <c r="B177" i="1"/>
  <c r="A177" i="1"/>
  <c r="T176" i="1"/>
  <c r="S176" i="1"/>
  <c r="Q176" i="1"/>
  <c r="M176" i="1"/>
  <c r="N176" i="1" s="1"/>
  <c r="L176" i="1"/>
  <c r="K176" i="1"/>
  <c r="J176" i="1"/>
  <c r="R176" i="1" s="1"/>
  <c r="I176" i="1"/>
  <c r="H176" i="1"/>
  <c r="G176" i="1"/>
  <c r="F176" i="1"/>
  <c r="E176" i="1"/>
  <c r="D176" i="1"/>
  <c r="C176" i="1"/>
  <c r="B176" i="1"/>
  <c r="A176" i="1"/>
  <c r="T175" i="1"/>
  <c r="S175" i="1"/>
  <c r="Q175" i="1"/>
  <c r="M175" i="1"/>
  <c r="N175" i="1" s="1"/>
  <c r="L175" i="1"/>
  <c r="K175" i="1"/>
  <c r="J175" i="1"/>
  <c r="R175" i="1" s="1"/>
  <c r="I175" i="1"/>
  <c r="H175" i="1"/>
  <c r="G175" i="1"/>
  <c r="F175" i="1"/>
  <c r="E175" i="1"/>
  <c r="D175" i="1"/>
  <c r="C175" i="1"/>
  <c r="B175" i="1"/>
  <c r="A175" i="1"/>
  <c r="T174" i="1"/>
  <c r="S174" i="1"/>
  <c r="Q174" i="1"/>
  <c r="M174" i="1"/>
  <c r="N174" i="1" s="1"/>
  <c r="L174" i="1"/>
  <c r="K174" i="1"/>
  <c r="J174" i="1"/>
  <c r="R174" i="1" s="1"/>
  <c r="I174" i="1"/>
  <c r="H174" i="1"/>
  <c r="G174" i="1"/>
  <c r="F174" i="1"/>
  <c r="E174" i="1"/>
  <c r="D174" i="1"/>
  <c r="C174" i="1"/>
  <c r="B174" i="1"/>
  <c r="A174" i="1"/>
  <c r="T173" i="1"/>
  <c r="S173" i="1"/>
  <c r="Q173" i="1"/>
  <c r="M173" i="1"/>
  <c r="N173" i="1" s="1"/>
  <c r="L173" i="1"/>
  <c r="K173" i="1"/>
  <c r="J173" i="1"/>
  <c r="R173" i="1" s="1"/>
  <c r="I173" i="1"/>
  <c r="H173" i="1"/>
  <c r="G173" i="1"/>
  <c r="F173" i="1"/>
  <c r="E173" i="1"/>
  <c r="D173" i="1"/>
  <c r="C173" i="1"/>
  <c r="B173" i="1"/>
  <c r="A173" i="1"/>
  <c r="T172" i="1"/>
  <c r="S172" i="1"/>
  <c r="Q172" i="1"/>
  <c r="M172" i="1"/>
  <c r="N172" i="1" s="1"/>
  <c r="L172" i="1"/>
  <c r="K172" i="1"/>
  <c r="J172" i="1"/>
  <c r="R172" i="1" s="1"/>
  <c r="I172" i="1"/>
  <c r="H172" i="1"/>
  <c r="G172" i="1"/>
  <c r="F172" i="1"/>
  <c r="E172" i="1"/>
  <c r="D172" i="1"/>
  <c r="C172" i="1"/>
  <c r="B172" i="1"/>
  <c r="A172" i="1"/>
  <c r="T171" i="1"/>
  <c r="S171" i="1"/>
  <c r="Q171" i="1"/>
  <c r="M171" i="1"/>
  <c r="N171" i="1" s="1"/>
  <c r="L171" i="1"/>
  <c r="K171" i="1"/>
  <c r="J171" i="1"/>
  <c r="R171" i="1" s="1"/>
  <c r="I171" i="1"/>
  <c r="H171" i="1"/>
  <c r="G171" i="1"/>
  <c r="F171" i="1"/>
  <c r="E171" i="1"/>
  <c r="D171" i="1"/>
  <c r="C171" i="1"/>
  <c r="B171" i="1"/>
  <c r="A171" i="1"/>
  <c r="T170" i="1"/>
  <c r="S170" i="1"/>
  <c r="Q170" i="1"/>
  <c r="M170" i="1"/>
  <c r="N170" i="1" s="1"/>
  <c r="L170" i="1"/>
  <c r="K170" i="1"/>
  <c r="J170" i="1"/>
  <c r="R170" i="1" s="1"/>
  <c r="I170" i="1"/>
  <c r="H170" i="1"/>
  <c r="G170" i="1"/>
  <c r="F170" i="1"/>
  <c r="E170" i="1"/>
  <c r="D170" i="1"/>
  <c r="C170" i="1"/>
  <c r="B170" i="1"/>
  <c r="A170" i="1"/>
  <c r="T169" i="1"/>
  <c r="S169" i="1"/>
  <c r="Q169" i="1"/>
  <c r="M169" i="1"/>
  <c r="N169" i="1" s="1"/>
  <c r="L169" i="1"/>
  <c r="K169" i="1"/>
  <c r="J169" i="1"/>
  <c r="R169" i="1" s="1"/>
  <c r="I169" i="1"/>
  <c r="H169" i="1"/>
  <c r="G169" i="1"/>
  <c r="F169" i="1"/>
  <c r="E169" i="1"/>
  <c r="D169" i="1"/>
  <c r="C169" i="1"/>
  <c r="B169" i="1"/>
  <c r="A169" i="1"/>
  <c r="T168" i="1"/>
  <c r="S168" i="1"/>
  <c r="Q168" i="1"/>
  <c r="M168" i="1"/>
  <c r="N168" i="1" s="1"/>
  <c r="L168" i="1"/>
  <c r="K168" i="1"/>
  <c r="J168" i="1"/>
  <c r="R168" i="1" s="1"/>
  <c r="I168" i="1"/>
  <c r="H168" i="1"/>
  <c r="G168" i="1"/>
  <c r="F168" i="1"/>
  <c r="E168" i="1"/>
  <c r="D168" i="1"/>
  <c r="C168" i="1"/>
  <c r="B168" i="1"/>
  <c r="A168" i="1"/>
  <c r="T167" i="1"/>
  <c r="S167" i="1"/>
  <c r="Q167" i="1"/>
  <c r="M167" i="1"/>
  <c r="N167" i="1" s="1"/>
  <c r="L167" i="1"/>
  <c r="K167" i="1"/>
  <c r="J167" i="1"/>
  <c r="R167" i="1" s="1"/>
  <c r="I167" i="1"/>
  <c r="H167" i="1"/>
  <c r="G167" i="1"/>
  <c r="F167" i="1"/>
  <c r="E167" i="1"/>
  <c r="D167" i="1"/>
  <c r="C167" i="1"/>
  <c r="B167" i="1"/>
  <c r="A167" i="1"/>
  <c r="T166" i="1"/>
  <c r="S166" i="1"/>
  <c r="Q166" i="1"/>
  <c r="M166" i="1"/>
  <c r="N166" i="1" s="1"/>
  <c r="L166" i="1"/>
  <c r="K166" i="1"/>
  <c r="J166" i="1"/>
  <c r="R166" i="1" s="1"/>
  <c r="I166" i="1"/>
  <c r="H166" i="1"/>
  <c r="G166" i="1"/>
  <c r="F166" i="1"/>
  <c r="E166" i="1"/>
  <c r="D166" i="1"/>
  <c r="C166" i="1"/>
  <c r="B166" i="1"/>
  <c r="A166" i="1"/>
  <c r="T165" i="1"/>
  <c r="S165" i="1"/>
  <c r="Q165" i="1"/>
  <c r="M165" i="1"/>
  <c r="N165" i="1" s="1"/>
  <c r="L165" i="1"/>
  <c r="K165" i="1"/>
  <c r="J165" i="1"/>
  <c r="R165" i="1" s="1"/>
  <c r="I165" i="1"/>
  <c r="H165" i="1"/>
  <c r="G165" i="1"/>
  <c r="F165" i="1"/>
  <c r="E165" i="1"/>
  <c r="D165" i="1"/>
  <c r="C165" i="1"/>
  <c r="B165" i="1"/>
  <c r="A165" i="1"/>
  <c r="T164" i="1"/>
  <c r="S164" i="1"/>
  <c r="Q164" i="1"/>
  <c r="M164" i="1"/>
  <c r="N164" i="1" s="1"/>
  <c r="L164" i="1"/>
  <c r="K164" i="1"/>
  <c r="J164" i="1"/>
  <c r="R164" i="1" s="1"/>
  <c r="I164" i="1"/>
  <c r="H164" i="1"/>
  <c r="G164" i="1"/>
  <c r="F164" i="1"/>
  <c r="E164" i="1"/>
  <c r="D164" i="1"/>
  <c r="C164" i="1"/>
  <c r="B164" i="1"/>
  <c r="A164" i="1"/>
  <c r="T163" i="1"/>
  <c r="S163" i="1"/>
  <c r="Q163" i="1"/>
  <c r="M163" i="1"/>
  <c r="N163" i="1" s="1"/>
  <c r="L163" i="1"/>
  <c r="K163" i="1"/>
  <c r="J163" i="1"/>
  <c r="R163" i="1" s="1"/>
  <c r="I163" i="1"/>
  <c r="H163" i="1"/>
  <c r="G163" i="1"/>
  <c r="F163" i="1"/>
  <c r="E163" i="1"/>
  <c r="D163" i="1"/>
  <c r="C163" i="1"/>
  <c r="B163" i="1"/>
  <c r="A163" i="1"/>
  <c r="T162" i="1"/>
  <c r="S162" i="1"/>
  <c r="Q162" i="1"/>
  <c r="M162" i="1"/>
  <c r="N162" i="1" s="1"/>
  <c r="L162" i="1"/>
  <c r="K162" i="1"/>
  <c r="J162" i="1"/>
  <c r="R162" i="1" s="1"/>
  <c r="I162" i="1"/>
  <c r="H162" i="1"/>
  <c r="G162" i="1"/>
  <c r="F162" i="1"/>
  <c r="E162" i="1"/>
  <c r="D162" i="1"/>
  <c r="C162" i="1"/>
  <c r="B162" i="1"/>
  <c r="A162" i="1"/>
  <c r="T161" i="1"/>
  <c r="S161" i="1"/>
  <c r="Q161" i="1"/>
  <c r="M161" i="1"/>
  <c r="N161" i="1" s="1"/>
  <c r="L161" i="1"/>
  <c r="K161" i="1"/>
  <c r="J161" i="1"/>
  <c r="R161" i="1" s="1"/>
  <c r="I161" i="1"/>
  <c r="H161" i="1"/>
  <c r="G161" i="1"/>
  <c r="F161" i="1"/>
  <c r="E161" i="1"/>
  <c r="D161" i="1"/>
  <c r="C161" i="1"/>
  <c r="B161" i="1"/>
  <c r="A161" i="1"/>
  <c r="T160" i="1"/>
  <c r="S160" i="1"/>
  <c r="Q160" i="1"/>
  <c r="M160" i="1"/>
  <c r="N160" i="1" s="1"/>
  <c r="L160" i="1"/>
  <c r="K160" i="1"/>
  <c r="J160" i="1"/>
  <c r="R160" i="1" s="1"/>
  <c r="I160" i="1"/>
  <c r="H160" i="1"/>
  <c r="G160" i="1"/>
  <c r="F160" i="1"/>
  <c r="E160" i="1"/>
  <c r="D160" i="1"/>
  <c r="C160" i="1"/>
  <c r="B160" i="1"/>
  <c r="A160" i="1"/>
  <c r="T159" i="1"/>
  <c r="S159" i="1"/>
  <c r="Q159" i="1"/>
  <c r="M159" i="1"/>
  <c r="N159" i="1" s="1"/>
  <c r="L159" i="1"/>
  <c r="K159" i="1"/>
  <c r="J159" i="1"/>
  <c r="R159" i="1" s="1"/>
  <c r="I159" i="1"/>
  <c r="H159" i="1"/>
  <c r="G159" i="1"/>
  <c r="F159" i="1"/>
  <c r="E159" i="1"/>
  <c r="D159" i="1"/>
  <c r="C159" i="1"/>
  <c r="B159" i="1"/>
  <c r="A159" i="1"/>
  <c r="T158" i="1"/>
  <c r="S158" i="1"/>
  <c r="Q158" i="1"/>
  <c r="M158" i="1"/>
  <c r="N158" i="1" s="1"/>
  <c r="L158" i="1"/>
  <c r="K158" i="1"/>
  <c r="J158" i="1"/>
  <c r="R158" i="1" s="1"/>
  <c r="I158" i="1"/>
  <c r="H158" i="1"/>
  <c r="G158" i="1"/>
  <c r="F158" i="1"/>
  <c r="E158" i="1"/>
  <c r="D158" i="1"/>
  <c r="C158" i="1"/>
  <c r="B158" i="1"/>
  <c r="A158" i="1"/>
  <c r="T157" i="1"/>
  <c r="S157" i="1"/>
  <c r="Q157" i="1"/>
  <c r="M157" i="1"/>
  <c r="N157" i="1" s="1"/>
  <c r="L157" i="1"/>
  <c r="K157" i="1"/>
  <c r="J157" i="1"/>
  <c r="R157" i="1" s="1"/>
  <c r="I157" i="1"/>
  <c r="H157" i="1"/>
  <c r="G157" i="1"/>
  <c r="F157" i="1"/>
  <c r="E157" i="1"/>
  <c r="D157" i="1"/>
  <c r="C157" i="1"/>
  <c r="B157" i="1"/>
  <c r="A157" i="1"/>
  <c r="T156" i="1"/>
  <c r="S156" i="1"/>
  <c r="Q156" i="1"/>
  <c r="M156" i="1"/>
  <c r="N156" i="1" s="1"/>
  <c r="L156" i="1"/>
  <c r="K156" i="1"/>
  <c r="J156" i="1"/>
  <c r="R156" i="1" s="1"/>
  <c r="I156" i="1"/>
  <c r="H156" i="1"/>
  <c r="G156" i="1"/>
  <c r="F156" i="1"/>
  <c r="E156" i="1"/>
  <c r="D156" i="1"/>
  <c r="C156" i="1"/>
  <c r="B156" i="1"/>
  <c r="A156" i="1"/>
  <c r="T155" i="1"/>
  <c r="S155" i="1"/>
  <c r="Q155" i="1"/>
  <c r="M155" i="1"/>
  <c r="N155" i="1" s="1"/>
  <c r="L155" i="1"/>
  <c r="K155" i="1"/>
  <c r="J155" i="1"/>
  <c r="R155" i="1" s="1"/>
  <c r="I155" i="1"/>
  <c r="H155" i="1"/>
  <c r="G155" i="1"/>
  <c r="F155" i="1"/>
  <c r="E155" i="1"/>
  <c r="D155" i="1"/>
  <c r="C155" i="1"/>
  <c r="B155" i="1"/>
  <c r="A155" i="1"/>
  <c r="T154" i="1"/>
  <c r="S154" i="1"/>
  <c r="Q154" i="1"/>
  <c r="M154" i="1"/>
  <c r="N154" i="1" s="1"/>
  <c r="L154" i="1"/>
  <c r="K154" i="1"/>
  <c r="J154" i="1"/>
  <c r="R154" i="1" s="1"/>
  <c r="I154" i="1"/>
  <c r="H154" i="1"/>
  <c r="G154" i="1"/>
  <c r="F154" i="1"/>
  <c r="E154" i="1"/>
  <c r="D154" i="1"/>
  <c r="C154" i="1"/>
  <c r="B154" i="1"/>
  <c r="A154" i="1"/>
  <c r="T153" i="1"/>
  <c r="S153" i="1"/>
  <c r="Q153" i="1"/>
  <c r="M153" i="1"/>
  <c r="N153" i="1" s="1"/>
  <c r="L153" i="1"/>
  <c r="K153" i="1"/>
  <c r="J153" i="1"/>
  <c r="R153" i="1" s="1"/>
  <c r="I153" i="1"/>
  <c r="H153" i="1"/>
  <c r="G153" i="1"/>
  <c r="F153" i="1"/>
  <c r="E153" i="1"/>
  <c r="D153" i="1"/>
  <c r="C153" i="1"/>
  <c r="B153" i="1"/>
  <c r="A153" i="1"/>
  <c r="T152" i="1"/>
  <c r="S152" i="1"/>
  <c r="Q152" i="1"/>
  <c r="M152" i="1"/>
  <c r="N152" i="1" s="1"/>
  <c r="L152" i="1"/>
  <c r="K152" i="1"/>
  <c r="J152" i="1"/>
  <c r="R152" i="1" s="1"/>
  <c r="I152" i="1"/>
  <c r="H152" i="1"/>
  <c r="G152" i="1"/>
  <c r="F152" i="1"/>
  <c r="E152" i="1"/>
  <c r="D152" i="1"/>
  <c r="C152" i="1"/>
  <c r="B152" i="1"/>
  <c r="A152" i="1"/>
  <c r="T151" i="1"/>
  <c r="S151" i="1"/>
  <c r="Q151" i="1"/>
  <c r="M151" i="1"/>
  <c r="N151" i="1" s="1"/>
  <c r="L151" i="1"/>
  <c r="K151" i="1"/>
  <c r="J151" i="1"/>
  <c r="R151" i="1" s="1"/>
  <c r="I151" i="1"/>
  <c r="H151" i="1"/>
  <c r="G151" i="1"/>
  <c r="F151" i="1"/>
  <c r="E151" i="1"/>
  <c r="D151" i="1"/>
  <c r="C151" i="1"/>
  <c r="B151" i="1"/>
  <c r="A151" i="1"/>
  <c r="T150" i="1"/>
  <c r="S150" i="1"/>
  <c r="Q150" i="1"/>
  <c r="M150" i="1"/>
  <c r="N150" i="1" s="1"/>
  <c r="L150" i="1"/>
  <c r="K150" i="1"/>
  <c r="J150" i="1"/>
  <c r="R150" i="1" s="1"/>
  <c r="I150" i="1"/>
  <c r="H150" i="1"/>
  <c r="G150" i="1"/>
  <c r="F150" i="1"/>
  <c r="E150" i="1"/>
  <c r="D150" i="1"/>
  <c r="C150" i="1"/>
  <c r="B150" i="1"/>
  <c r="A150" i="1"/>
  <c r="T149" i="1"/>
  <c r="S149" i="1"/>
  <c r="Q149" i="1"/>
  <c r="M149" i="1"/>
  <c r="N149" i="1" s="1"/>
  <c r="L149" i="1"/>
  <c r="K149" i="1"/>
  <c r="J149" i="1"/>
  <c r="R149" i="1" s="1"/>
  <c r="I149" i="1"/>
  <c r="H149" i="1"/>
  <c r="G149" i="1"/>
  <c r="F149" i="1"/>
  <c r="E149" i="1"/>
  <c r="D149" i="1"/>
  <c r="C149" i="1"/>
  <c r="B149" i="1"/>
  <c r="A149" i="1"/>
  <c r="T148" i="1"/>
  <c r="S148" i="1"/>
  <c r="Q148" i="1"/>
  <c r="M148" i="1"/>
  <c r="N148" i="1" s="1"/>
  <c r="L148" i="1"/>
  <c r="K148" i="1"/>
  <c r="J148" i="1"/>
  <c r="R148" i="1" s="1"/>
  <c r="I148" i="1"/>
  <c r="H148" i="1"/>
  <c r="G148" i="1"/>
  <c r="F148" i="1"/>
  <c r="E148" i="1"/>
  <c r="D148" i="1"/>
  <c r="C148" i="1"/>
  <c r="B148" i="1"/>
  <c r="A148" i="1"/>
  <c r="T147" i="1"/>
  <c r="S147" i="1"/>
  <c r="Q147" i="1"/>
  <c r="M147" i="1"/>
  <c r="N147" i="1" s="1"/>
  <c r="L147" i="1"/>
  <c r="K147" i="1"/>
  <c r="J147" i="1"/>
  <c r="R147" i="1" s="1"/>
  <c r="I147" i="1"/>
  <c r="H147" i="1"/>
  <c r="G147" i="1"/>
  <c r="F147" i="1"/>
  <c r="E147" i="1"/>
  <c r="D147" i="1"/>
  <c r="C147" i="1"/>
  <c r="B147" i="1"/>
  <c r="A147" i="1"/>
  <c r="T146" i="1"/>
  <c r="S146" i="1"/>
  <c r="Q146" i="1"/>
  <c r="M146" i="1"/>
  <c r="N146" i="1" s="1"/>
  <c r="L146" i="1"/>
  <c r="K146" i="1"/>
  <c r="J146" i="1"/>
  <c r="R146" i="1" s="1"/>
  <c r="I146" i="1"/>
  <c r="H146" i="1"/>
  <c r="G146" i="1"/>
  <c r="F146" i="1"/>
  <c r="E146" i="1"/>
  <c r="D146" i="1"/>
  <c r="C146" i="1"/>
  <c r="B146" i="1"/>
  <c r="A146" i="1"/>
  <c r="T145" i="1"/>
  <c r="S145" i="1"/>
  <c r="Q145" i="1"/>
  <c r="M145" i="1"/>
  <c r="N145" i="1" s="1"/>
  <c r="L145" i="1"/>
  <c r="K145" i="1"/>
  <c r="J145" i="1"/>
  <c r="R145" i="1" s="1"/>
  <c r="I145" i="1"/>
  <c r="H145" i="1"/>
  <c r="G145" i="1"/>
  <c r="F145" i="1"/>
  <c r="E145" i="1"/>
  <c r="D145" i="1"/>
  <c r="C145" i="1"/>
  <c r="B145" i="1"/>
  <c r="A145" i="1"/>
  <c r="T144" i="1"/>
  <c r="S144" i="1"/>
  <c r="Q144" i="1"/>
  <c r="M144" i="1"/>
  <c r="N144" i="1" s="1"/>
  <c r="L144" i="1"/>
  <c r="K144" i="1"/>
  <c r="J144" i="1"/>
  <c r="R144" i="1" s="1"/>
  <c r="I144" i="1"/>
  <c r="H144" i="1"/>
  <c r="G144" i="1"/>
  <c r="F144" i="1"/>
  <c r="E144" i="1"/>
  <c r="D144" i="1"/>
  <c r="C144" i="1"/>
  <c r="B144" i="1"/>
  <c r="A144" i="1"/>
  <c r="T143" i="1"/>
  <c r="S143" i="1"/>
  <c r="Q143" i="1"/>
  <c r="M143" i="1"/>
  <c r="N143" i="1" s="1"/>
  <c r="L143" i="1"/>
  <c r="K143" i="1"/>
  <c r="J143" i="1"/>
  <c r="R143" i="1" s="1"/>
  <c r="I143" i="1"/>
  <c r="H143" i="1"/>
  <c r="G143" i="1"/>
  <c r="F143" i="1"/>
  <c r="E143" i="1"/>
  <c r="D143" i="1"/>
  <c r="C143" i="1"/>
  <c r="B143" i="1"/>
  <c r="A143" i="1"/>
  <c r="T142" i="1"/>
  <c r="S142" i="1"/>
  <c r="Q142" i="1"/>
  <c r="M142" i="1"/>
  <c r="N142" i="1" s="1"/>
  <c r="L142" i="1"/>
  <c r="K142" i="1"/>
  <c r="J142" i="1"/>
  <c r="R142" i="1" s="1"/>
  <c r="I142" i="1"/>
  <c r="H142" i="1"/>
  <c r="G142" i="1"/>
  <c r="F142" i="1"/>
  <c r="E142" i="1"/>
  <c r="D142" i="1"/>
  <c r="C142" i="1"/>
  <c r="B142" i="1"/>
  <c r="A142" i="1"/>
  <c r="T141" i="1"/>
  <c r="S141" i="1"/>
  <c r="Q141" i="1"/>
  <c r="M141" i="1"/>
  <c r="N141" i="1" s="1"/>
  <c r="L141" i="1"/>
  <c r="K141" i="1"/>
  <c r="J141" i="1"/>
  <c r="R141" i="1" s="1"/>
  <c r="I141" i="1"/>
  <c r="H141" i="1"/>
  <c r="G141" i="1"/>
  <c r="F141" i="1"/>
  <c r="E141" i="1"/>
  <c r="D141" i="1"/>
  <c r="C141" i="1"/>
  <c r="B141" i="1"/>
  <c r="A141" i="1"/>
  <c r="T140" i="1"/>
  <c r="S140" i="1"/>
  <c r="Q140" i="1"/>
  <c r="M140" i="1"/>
  <c r="N140" i="1" s="1"/>
  <c r="L140" i="1"/>
  <c r="K140" i="1"/>
  <c r="J140" i="1"/>
  <c r="R140" i="1" s="1"/>
  <c r="I140" i="1"/>
  <c r="H140" i="1"/>
  <c r="G140" i="1"/>
  <c r="F140" i="1"/>
  <c r="E140" i="1"/>
  <c r="D140" i="1"/>
  <c r="C140" i="1"/>
  <c r="B140" i="1"/>
  <c r="A140" i="1"/>
  <c r="T139" i="1"/>
  <c r="S139" i="1"/>
  <c r="Q139" i="1"/>
  <c r="M139" i="1"/>
  <c r="N139" i="1" s="1"/>
  <c r="L139" i="1"/>
  <c r="K139" i="1"/>
  <c r="J139" i="1"/>
  <c r="R139" i="1" s="1"/>
  <c r="I139" i="1"/>
  <c r="H139" i="1"/>
  <c r="G139" i="1"/>
  <c r="F139" i="1"/>
  <c r="E139" i="1"/>
  <c r="D139" i="1"/>
  <c r="C139" i="1"/>
  <c r="B139" i="1"/>
  <c r="A139" i="1"/>
  <c r="T138" i="1"/>
  <c r="S138" i="1"/>
  <c r="Q138" i="1"/>
  <c r="M138" i="1"/>
  <c r="N138" i="1" s="1"/>
  <c r="L138" i="1"/>
  <c r="K138" i="1"/>
  <c r="J138" i="1"/>
  <c r="R138" i="1" s="1"/>
  <c r="I138" i="1"/>
  <c r="H138" i="1"/>
  <c r="G138" i="1"/>
  <c r="F138" i="1"/>
  <c r="E138" i="1"/>
  <c r="D138" i="1"/>
  <c r="C138" i="1"/>
  <c r="B138" i="1"/>
  <c r="A138" i="1"/>
  <c r="T137" i="1"/>
  <c r="S137" i="1"/>
  <c r="Q137" i="1"/>
  <c r="M137" i="1"/>
  <c r="N137" i="1" s="1"/>
  <c r="L137" i="1"/>
  <c r="K137" i="1"/>
  <c r="J137" i="1"/>
  <c r="R137" i="1" s="1"/>
  <c r="I137" i="1"/>
  <c r="H137" i="1"/>
  <c r="G137" i="1"/>
  <c r="F137" i="1"/>
  <c r="E137" i="1"/>
  <c r="D137" i="1"/>
  <c r="C137" i="1"/>
  <c r="B137" i="1"/>
  <c r="A137" i="1"/>
  <c r="T136" i="1"/>
  <c r="S136" i="1"/>
  <c r="Q136" i="1"/>
  <c r="M136" i="1"/>
  <c r="N136" i="1" s="1"/>
  <c r="L136" i="1"/>
  <c r="K136" i="1"/>
  <c r="J136" i="1"/>
  <c r="R136" i="1" s="1"/>
  <c r="I136" i="1"/>
  <c r="H136" i="1"/>
  <c r="G136" i="1"/>
  <c r="F136" i="1"/>
  <c r="E136" i="1"/>
  <c r="D136" i="1"/>
  <c r="C136" i="1"/>
  <c r="B136" i="1"/>
  <c r="A136" i="1"/>
  <c r="T135" i="1"/>
  <c r="S135" i="1"/>
  <c r="Q135" i="1"/>
  <c r="M135" i="1"/>
  <c r="N135" i="1" s="1"/>
  <c r="L135" i="1"/>
  <c r="K135" i="1"/>
  <c r="J135" i="1"/>
  <c r="R135" i="1" s="1"/>
  <c r="I135" i="1"/>
  <c r="H135" i="1"/>
  <c r="G135" i="1"/>
  <c r="F135" i="1"/>
  <c r="E135" i="1"/>
  <c r="D135" i="1"/>
  <c r="C135" i="1"/>
  <c r="B135" i="1"/>
  <c r="A135" i="1"/>
  <c r="T134" i="1"/>
  <c r="S134" i="1"/>
  <c r="Q134" i="1"/>
  <c r="M134" i="1"/>
  <c r="N134" i="1" s="1"/>
  <c r="L134" i="1"/>
  <c r="K134" i="1"/>
  <c r="J134" i="1"/>
  <c r="R134" i="1" s="1"/>
  <c r="I134" i="1"/>
  <c r="H134" i="1"/>
  <c r="G134" i="1"/>
  <c r="F134" i="1"/>
  <c r="E134" i="1"/>
  <c r="D134" i="1"/>
  <c r="C134" i="1"/>
  <c r="B134" i="1"/>
  <c r="A134" i="1"/>
  <c r="T133" i="1"/>
  <c r="S133" i="1"/>
  <c r="Q133" i="1"/>
  <c r="M133" i="1"/>
  <c r="N133" i="1" s="1"/>
  <c r="L133" i="1"/>
  <c r="K133" i="1"/>
  <c r="J133" i="1"/>
  <c r="R133" i="1" s="1"/>
  <c r="I133" i="1"/>
  <c r="H133" i="1"/>
  <c r="G133" i="1"/>
  <c r="F133" i="1"/>
  <c r="E133" i="1"/>
  <c r="D133" i="1"/>
  <c r="C133" i="1"/>
  <c r="B133" i="1"/>
  <c r="A133" i="1"/>
  <c r="T132" i="1"/>
  <c r="S132" i="1"/>
  <c r="Q132" i="1"/>
  <c r="M132" i="1"/>
  <c r="N132" i="1" s="1"/>
  <c r="L132" i="1"/>
  <c r="K132" i="1"/>
  <c r="J132" i="1"/>
  <c r="R132" i="1" s="1"/>
  <c r="I132" i="1"/>
  <c r="H132" i="1"/>
  <c r="G132" i="1"/>
  <c r="F132" i="1"/>
  <c r="E132" i="1"/>
  <c r="D132" i="1"/>
  <c r="C132" i="1"/>
  <c r="B132" i="1"/>
  <c r="A132" i="1"/>
  <c r="T131" i="1"/>
  <c r="S131" i="1"/>
  <c r="Q131" i="1"/>
  <c r="M131" i="1"/>
  <c r="N131" i="1" s="1"/>
  <c r="L131" i="1"/>
  <c r="K131" i="1"/>
  <c r="J131" i="1"/>
  <c r="R131" i="1" s="1"/>
  <c r="I131" i="1"/>
  <c r="H131" i="1"/>
  <c r="G131" i="1"/>
  <c r="F131" i="1"/>
  <c r="E131" i="1"/>
  <c r="D131" i="1"/>
  <c r="C131" i="1"/>
  <c r="B131" i="1"/>
  <c r="A131" i="1"/>
  <c r="T130" i="1"/>
  <c r="S130" i="1"/>
  <c r="Q130" i="1"/>
  <c r="M130" i="1"/>
  <c r="N130" i="1" s="1"/>
  <c r="L130" i="1"/>
  <c r="K130" i="1"/>
  <c r="J130" i="1"/>
  <c r="R130" i="1" s="1"/>
  <c r="I130" i="1"/>
  <c r="H130" i="1"/>
  <c r="G130" i="1"/>
  <c r="F130" i="1"/>
  <c r="E130" i="1"/>
  <c r="D130" i="1"/>
  <c r="C130" i="1"/>
  <c r="B130" i="1"/>
  <c r="A130" i="1"/>
  <c r="T129" i="1"/>
  <c r="S129" i="1"/>
  <c r="Q129" i="1"/>
  <c r="M129" i="1"/>
  <c r="N129" i="1" s="1"/>
  <c r="L129" i="1"/>
  <c r="K129" i="1"/>
  <c r="J129" i="1"/>
  <c r="R129" i="1" s="1"/>
  <c r="I129" i="1"/>
  <c r="H129" i="1"/>
  <c r="G129" i="1"/>
  <c r="F129" i="1"/>
  <c r="E129" i="1"/>
  <c r="D129" i="1"/>
  <c r="C129" i="1"/>
  <c r="B129" i="1"/>
  <c r="A129" i="1"/>
  <c r="T128" i="1"/>
  <c r="S128" i="1"/>
  <c r="Q128" i="1"/>
  <c r="M128" i="1"/>
  <c r="N128" i="1" s="1"/>
  <c r="L128" i="1"/>
  <c r="K128" i="1"/>
  <c r="J128" i="1"/>
  <c r="R128" i="1" s="1"/>
  <c r="I128" i="1"/>
  <c r="H128" i="1"/>
  <c r="G128" i="1"/>
  <c r="F128" i="1"/>
  <c r="E128" i="1"/>
  <c r="D128" i="1"/>
  <c r="C128" i="1"/>
  <c r="B128" i="1"/>
  <c r="A128" i="1"/>
  <c r="T127" i="1"/>
  <c r="S127" i="1"/>
  <c r="Q127" i="1"/>
  <c r="M127" i="1"/>
  <c r="N127" i="1" s="1"/>
  <c r="L127" i="1"/>
  <c r="K127" i="1"/>
  <c r="J127" i="1"/>
  <c r="R127" i="1" s="1"/>
  <c r="I127" i="1"/>
  <c r="H127" i="1"/>
  <c r="G127" i="1"/>
  <c r="F127" i="1"/>
  <c r="E127" i="1"/>
  <c r="D127" i="1"/>
  <c r="C127" i="1"/>
  <c r="B127" i="1"/>
  <c r="A127" i="1"/>
  <c r="T126" i="1"/>
  <c r="S126" i="1"/>
  <c r="Q126" i="1"/>
  <c r="M126" i="1"/>
  <c r="N126" i="1" s="1"/>
  <c r="L126" i="1"/>
  <c r="K126" i="1"/>
  <c r="J126" i="1"/>
  <c r="R126" i="1" s="1"/>
  <c r="I126" i="1"/>
  <c r="H126" i="1"/>
  <c r="G126" i="1"/>
  <c r="F126" i="1"/>
  <c r="E126" i="1"/>
  <c r="D126" i="1"/>
  <c r="C126" i="1"/>
  <c r="B126" i="1"/>
  <c r="A126" i="1"/>
  <c r="T125" i="1"/>
  <c r="S125" i="1"/>
  <c r="Q125" i="1"/>
  <c r="M125" i="1"/>
  <c r="N125" i="1" s="1"/>
  <c r="L125" i="1"/>
  <c r="K125" i="1"/>
  <c r="J125" i="1"/>
  <c r="R125" i="1" s="1"/>
  <c r="I125" i="1"/>
  <c r="H125" i="1"/>
  <c r="G125" i="1"/>
  <c r="F125" i="1"/>
  <c r="E125" i="1"/>
  <c r="D125" i="1"/>
  <c r="C125" i="1"/>
  <c r="B125" i="1"/>
  <c r="A125" i="1"/>
  <c r="T124" i="1"/>
  <c r="S124" i="1"/>
  <c r="Q124" i="1"/>
  <c r="M124" i="1"/>
  <c r="N124" i="1" s="1"/>
  <c r="L124" i="1"/>
  <c r="K124" i="1"/>
  <c r="J124" i="1"/>
  <c r="R124" i="1" s="1"/>
  <c r="I124" i="1"/>
  <c r="H124" i="1"/>
  <c r="G124" i="1"/>
  <c r="F124" i="1"/>
  <c r="E124" i="1"/>
  <c r="D124" i="1"/>
  <c r="C124" i="1"/>
  <c r="B124" i="1"/>
  <c r="A124" i="1"/>
  <c r="T123" i="1"/>
  <c r="S123" i="1"/>
  <c r="Q123" i="1"/>
  <c r="M123" i="1"/>
  <c r="N123" i="1" s="1"/>
  <c r="L123" i="1"/>
  <c r="K123" i="1"/>
  <c r="J123" i="1"/>
  <c r="R123" i="1" s="1"/>
  <c r="I123" i="1"/>
  <c r="H123" i="1"/>
  <c r="G123" i="1"/>
  <c r="F123" i="1"/>
  <c r="E123" i="1"/>
  <c r="D123" i="1"/>
  <c r="C123" i="1"/>
  <c r="B123" i="1"/>
  <c r="A123" i="1"/>
  <c r="T122" i="1"/>
  <c r="S122" i="1"/>
  <c r="Q122" i="1"/>
  <c r="M122" i="1"/>
  <c r="N122" i="1" s="1"/>
  <c r="L122" i="1"/>
  <c r="K122" i="1"/>
  <c r="J122" i="1"/>
  <c r="R122" i="1" s="1"/>
  <c r="I122" i="1"/>
  <c r="H122" i="1"/>
  <c r="G122" i="1"/>
  <c r="F122" i="1"/>
  <c r="E122" i="1"/>
  <c r="D122" i="1"/>
  <c r="C122" i="1"/>
  <c r="B122" i="1"/>
  <c r="A122" i="1"/>
  <c r="T121" i="1"/>
  <c r="S121" i="1"/>
  <c r="Q121" i="1"/>
  <c r="M121" i="1"/>
  <c r="N121" i="1" s="1"/>
  <c r="L121" i="1"/>
  <c r="K121" i="1"/>
  <c r="J121" i="1"/>
  <c r="R121" i="1" s="1"/>
  <c r="I121" i="1"/>
  <c r="H121" i="1"/>
  <c r="G121" i="1"/>
  <c r="F121" i="1"/>
  <c r="E121" i="1"/>
  <c r="D121" i="1"/>
  <c r="C121" i="1"/>
  <c r="B121" i="1"/>
  <c r="A121" i="1"/>
  <c r="T120" i="1"/>
  <c r="S120" i="1"/>
  <c r="Q120" i="1"/>
  <c r="M120" i="1"/>
  <c r="N120" i="1" s="1"/>
  <c r="L120" i="1"/>
  <c r="K120" i="1"/>
  <c r="J120" i="1"/>
  <c r="R120" i="1" s="1"/>
  <c r="I120" i="1"/>
  <c r="H120" i="1"/>
  <c r="G120" i="1"/>
  <c r="F120" i="1"/>
  <c r="E120" i="1"/>
  <c r="D120" i="1"/>
  <c r="C120" i="1"/>
  <c r="B120" i="1"/>
  <c r="A120" i="1"/>
  <c r="T119" i="1"/>
  <c r="S119" i="1"/>
  <c r="Q119" i="1"/>
  <c r="M119" i="1"/>
  <c r="N119" i="1" s="1"/>
  <c r="L119" i="1"/>
  <c r="K119" i="1"/>
  <c r="J119" i="1"/>
  <c r="R119" i="1" s="1"/>
  <c r="I119" i="1"/>
  <c r="H119" i="1"/>
  <c r="G119" i="1"/>
  <c r="F119" i="1"/>
  <c r="E119" i="1"/>
  <c r="D119" i="1"/>
  <c r="C119" i="1"/>
  <c r="B119" i="1"/>
  <c r="A119" i="1"/>
  <c r="T118" i="1"/>
  <c r="S118" i="1"/>
  <c r="Q118" i="1"/>
  <c r="M118" i="1"/>
  <c r="N118" i="1" s="1"/>
  <c r="L118" i="1"/>
  <c r="K118" i="1"/>
  <c r="J118" i="1"/>
  <c r="R118" i="1" s="1"/>
  <c r="I118" i="1"/>
  <c r="H118" i="1"/>
  <c r="G118" i="1"/>
  <c r="F118" i="1"/>
  <c r="E118" i="1"/>
  <c r="D118" i="1"/>
  <c r="C118" i="1"/>
  <c r="B118" i="1"/>
  <c r="A118" i="1"/>
  <c r="T117" i="1"/>
  <c r="S117" i="1"/>
  <c r="Q117" i="1"/>
  <c r="M117" i="1"/>
  <c r="N117" i="1" s="1"/>
  <c r="L117" i="1"/>
  <c r="K117" i="1"/>
  <c r="J117" i="1"/>
  <c r="R117" i="1" s="1"/>
  <c r="I117" i="1"/>
  <c r="H117" i="1"/>
  <c r="G117" i="1"/>
  <c r="F117" i="1"/>
  <c r="E117" i="1"/>
  <c r="D117" i="1"/>
  <c r="C117" i="1"/>
  <c r="B117" i="1"/>
  <c r="A117" i="1"/>
  <c r="T116" i="1"/>
  <c r="S116" i="1"/>
  <c r="Q116" i="1"/>
  <c r="M116" i="1"/>
  <c r="N116" i="1" s="1"/>
  <c r="L116" i="1"/>
  <c r="K116" i="1"/>
  <c r="J116" i="1"/>
  <c r="R116" i="1" s="1"/>
  <c r="I116" i="1"/>
  <c r="H116" i="1"/>
  <c r="G116" i="1"/>
  <c r="F116" i="1"/>
  <c r="E116" i="1"/>
  <c r="D116" i="1"/>
  <c r="C116" i="1"/>
  <c r="B116" i="1"/>
  <c r="A116" i="1"/>
  <c r="T115" i="1"/>
  <c r="S115" i="1"/>
  <c r="Q115" i="1"/>
  <c r="M115" i="1"/>
  <c r="N115" i="1" s="1"/>
  <c r="L115" i="1"/>
  <c r="K115" i="1"/>
  <c r="J115" i="1"/>
  <c r="R115" i="1" s="1"/>
  <c r="I115" i="1"/>
  <c r="H115" i="1"/>
  <c r="G115" i="1"/>
  <c r="F115" i="1"/>
  <c r="E115" i="1"/>
  <c r="D115" i="1"/>
  <c r="C115" i="1"/>
  <c r="B115" i="1"/>
  <c r="A115" i="1"/>
  <c r="T114" i="1"/>
  <c r="S114" i="1"/>
  <c r="Q114" i="1"/>
  <c r="M114" i="1"/>
  <c r="N114" i="1" s="1"/>
  <c r="L114" i="1"/>
  <c r="K114" i="1"/>
  <c r="J114" i="1"/>
  <c r="R114" i="1" s="1"/>
  <c r="I114" i="1"/>
  <c r="H114" i="1"/>
  <c r="G114" i="1"/>
  <c r="F114" i="1"/>
  <c r="E114" i="1"/>
  <c r="D114" i="1"/>
  <c r="C114" i="1"/>
  <c r="B114" i="1"/>
  <c r="A114" i="1"/>
  <c r="T113" i="1"/>
  <c r="S113" i="1"/>
  <c r="Q113" i="1"/>
  <c r="M113" i="1"/>
  <c r="N113" i="1" s="1"/>
  <c r="L113" i="1"/>
  <c r="K113" i="1"/>
  <c r="J113" i="1"/>
  <c r="R113" i="1" s="1"/>
  <c r="I113" i="1"/>
  <c r="H113" i="1"/>
  <c r="G113" i="1"/>
  <c r="F113" i="1"/>
  <c r="E113" i="1"/>
  <c r="D113" i="1"/>
  <c r="C113" i="1"/>
  <c r="B113" i="1"/>
  <c r="A113" i="1"/>
  <c r="T112" i="1"/>
  <c r="S112" i="1"/>
  <c r="Q112" i="1"/>
  <c r="M112" i="1"/>
  <c r="N112" i="1" s="1"/>
  <c r="L112" i="1"/>
  <c r="K112" i="1"/>
  <c r="J112" i="1"/>
  <c r="R112" i="1" s="1"/>
  <c r="I112" i="1"/>
  <c r="H112" i="1"/>
  <c r="G112" i="1"/>
  <c r="F112" i="1"/>
  <c r="E112" i="1"/>
  <c r="D112" i="1"/>
  <c r="C112" i="1"/>
  <c r="B112" i="1"/>
  <c r="A112" i="1"/>
  <c r="T111" i="1"/>
  <c r="S111" i="1"/>
  <c r="Q111" i="1"/>
  <c r="M111" i="1"/>
  <c r="N111" i="1" s="1"/>
  <c r="L111" i="1"/>
  <c r="K111" i="1"/>
  <c r="J111" i="1"/>
  <c r="R111" i="1" s="1"/>
  <c r="I111" i="1"/>
  <c r="H111" i="1"/>
  <c r="G111" i="1"/>
  <c r="F111" i="1"/>
  <c r="E111" i="1"/>
  <c r="D111" i="1"/>
  <c r="C111" i="1"/>
  <c r="B111" i="1"/>
  <c r="A111" i="1"/>
  <c r="T110" i="1"/>
  <c r="S110" i="1"/>
  <c r="Q110" i="1"/>
  <c r="M110" i="1"/>
  <c r="N110" i="1" s="1"/>
  <c r="L110" i="1"/>
  <c r="K110" i="1"/>
  <c r="J110" i="1"/>
  <c r="R110" i="1" s="1"/>
  <c r="I110" i="1"/>
  <c r="H110" i="1"/>
  <c r="G110" i="1"/>
  <c r="F110" i="1"/>
  <c r="E110" i="1"/>
  <c r="D110" i="1"/>
  <c r="C110" i="1"/>
  <c r="B110" i="1"/>
  <c r="A110" i="1"/>
  <c r="T109" i="1"/>
  <c r="S109" i="1"/>
  <c r="Q109" i="1"/>
  <c r="M109" i="1"/>
  <c r="N109" i="1" s="1"/>
  <c r="L109" i="1"/>
  <c r="K109" i="1"/>
  <c r="J109" i="1"/>
  <c r="R109" i="1" s="1"/>
  <c r="I109" i="1"/>
  <c r="H109" i="1"/>
  <c r="G109" i="1"/>
  <c r="F109" i="1"/>
  <c r="E109" i="1"/>
  <c r="D109" i="1"/>
  <c r="C109" i="1"/>
  <c r="B109" i="1"/>
  <c r="A109" i="1"/>
  <c r="T108" i="1"/>
  <c r="S108" i="1"/>
  <c r="Q108" i="1"/>
  <c r="M108" i="1"/>
  <c r="N108" i="1" s="1"/>
  <c r="L108" i="1"/>
  <c r="K108" i="1"/>
  <c r="J108" i="1"/>
  <c r="R108" i="1" s="1"/>
  <c r="I108" i="1"/>
  <c r="H108" i="1"/>
  <c r="G108" i="1"/>
  <c r="F108" i="1"/>
  <c r="E108" i="1"/>
  <c r="D108" i="1"/>
  <c r="C108" i="1"/>
  <c r="B108" i="1"/>
  <c r="A108" i="1"/>
  <c r="T107" i="1"/>
  <c r="S107" i="1"/>
  <c r="Q107" i="1"/>
  <c r="M107" i="1"/>
  <c r="N107" i="1" s="1"/>
  <c r="L107" i="1"/>
  <c r="K107" i="1"/>
  <c r="J107" i="1"/>
  <c r="R107" i="1" s="1"/>
  <c r="I107" i="1"/>
  <c r="H107" i="1"/>
  <c r="G107" i="1"/>
  <c r="F107" i="1"/>
  <c r="E107" i="1"/>
  <c r="D107" i="1"/>
  <c r="C107" i="1"/>
  <c r="B107" i="1"/>
  <c r="A107" i="1"/>
  <c r="T106" i="1"/>
  <c r="S106" i="1"/>
  <c r="Q106" i="1"/>
  <c r="M106" i="1"/>
  <c r="N106" i="1" s="1"/>
  <c r="L106" i="1"/>
  <c r="K106" i="1"/>
  <c r="J106" i="1"/>
  <c r="R106" i="1" s="1"/>
  <c r="I106" i="1"/>
  <c r="H106" i="1"/>
  <c r="G106" i="1"/>
  <c r="F106" i="1"/>
  <c r="E106" i="1"/>
  <c r="D106" i="1"/>
  <c r="C106" i="1"/>
  <c r="B106" i="1"/>
  <c r="A106" i="1"/>
  <c r="T105" i="1"/>
  <c r="S105" i="1"/>
  <c r="Q105" i="1"/>
  <c r="M105" i="1"/>
  <c r="N105" i="1" s="1"/>
  <c r="L105" i="1"/>
  <c r="K105" i="1"/>
  <c r="J105" i="1"/>
  <c r="R105" i="1" s="1"/>
  <c r="I105" i="1"/>
  <c r="H105" i="1"/>
  <c r="G105" i="1"/>
  <c r="F105" i="1"/>
  <c r="E105" i="1"/>
  <c r="D105" i="1"/>
  <c r="C105" i="1"/>
  <c r="B105" i="1"/>
  <c r="A105" i="1"/>
  <c r="T104" i="1"/>
  <c r="S104" i="1"/>
  <c r="Q104" i="1"/>
  <c r="M104" i="1"/>
  <c r="N104" i="1" s="1"/>
  <c r="L104" i="1"/>
  <c r="K104" i="1"/>
  <c r="J104" i="1"/>
  <c r="R104" i="1" s="1"/>
  <c r="I104" i="1"/>
  <c r="H104" i="1"/>
  <c r="G104" i="1"/>
  <c r="F104" i="1"/>
  <c r="E104" i="1"/>
  <c r="D104" i="1"/>
  <c r="C104" i="1"/>
  <c r="B104" i="1"/>
  <c r="A104" i="1"/>
  <c r="T103" i="1"/>
  <c r="S103" i="1"/>
  <c r="Q103" i="1"/>
  <c r="M103" i="1"/>
  <c r="N103" i="1" s="1"/>
  <c r="L103" i="1"/>
  <c r="K103" i="1"/>
  <c r="J103" i="1"/>
  <c r="R103" i="1" s="1"/>
  <c r="I103" i="1"/>
  <c r="H103" i="1"/>
  <c r="G103" i="1"/>
  <c r="F103" i="1"/>
  <c r="E103" i="1"/>
  <c r="D103" i="1"/>
  <c r="C103" i="1"/>
  <c r="B103" i="1"/>
  <c r="A103" i="1"/>
  <c r="T102" i="1"/>
  <c r="S102" i="1"/>
  <c r="Q102" i="1"/>
  <c r="M102" i="1"/>
  <c r="N102" i="1" s="1"/>
  <c r="L102" i="1"/>
  <c r="K102" i="1"/>
  <c r="J102" i="1"/>
  <c r="R102" i="1" s="1"/>
  <c r="I102" i="1"/>
  <c r="H102" i="1"/>
  <c r="G102" i="1"/>
  <c r="F102" i="1"/>
  <c r="E102" i="1"/>
  <c r="D102" i="1"/>
  <c r="C102" i="1"/>
  <c r="B102" i="1"/>
  <c r="A102" i="1"/>
  <c r="T101" i="1"/>
  <c r="S101" i="1"/>
  <c r="Q101" i="1"/>
  <c r="M101" i="1"/>
  <c r="N101" i="1" s="1"/>
  <c r="L101" i="1"/>
  <c r="K101" i="1"/>
  <c r="J101" i="1"/>
  <c r="R101" i="1" s="1"/>
  <c r="I101" i="1"/>
  <c r="H101" i="1"/>
  <c r="G101" i="1"/>
  <c r="F101" i="1"/>
  <c r="E101" i="1"/>
  <c r="D101" i="1"/>
  <c r="C101" i="1"/>
  <c r="B101" i="1"/>
  <c r="A101" i="1"/>
  <c r="T100" i="1"/>
  <c r="S100" i="1"/>
  <c r="Q100" i="1"/>
  <c r="M100" i="1"/>
  <c r="N100" i="1" s="1"/>
  <c r="L100" i="1"/>
  <c r="K100" i="1"/>
  <c r="J100" i="1"/>
  <c r="R100" i="1" s="1"/>
  <c r="I100" i="1"/>
  <c r="H100" i="1"/>
  <c r="G100" i="1"/>
  <c r="F100" i="1"/>
  <c r="E100" i="1"/>
  <c r="D100" i="1"/>
  <c r="C100" i="1"/>
  <c r="B100" i="1"/>
  <c r="A100" i="1"/>
  <c r="T99" i="1"/>
  <c r="S99" i="1"/>
  <c r="Q99" i="1"/>
  <c r="M99" i="1"/>
  <c r="N99" i="1" s="1"/>
  <c r="L99" i="1"/>
  <c r="K99" i="1"/>
  <c r="J99" i="1"/>
  <c r="R99" i="1" s="1"/>
  <c r="I99" i="1"/>
  <c r="H99" i="1"/>
  <c r="G99" i="1"/>
  <c r="F99" i="1"/>
  <c r="E99" i="1"/>
  <c r="D99" i="1"/>
  <c r="C99" i="1"/>
  <c r="B99" i="1"/>
  <c r="A99" i="1"/>
  <c r="T98" i="1"/>
  <c r="S98" i="1"/>
  <c r="Q98" i="1"/>
  <c r="M98" i="1"/>
  <c r="N98" i="1" s="1"/>
  <c r="L98" i="1"/>
  <c r="K98" i="1"/>
  <c r="J98" i="1"/>
  <c r="R98" i="1" s="1"/>
  <c r="I98" i="1"/>
  <c r="H98" i="1"/>
  <c r="G98" i="1"/>
  <c r="F98" i="1"/>
  <c r="E98" i="1"/>
  <c r="D98" i="1"/>
  <c r="C98" i="1"/>
  <c r="B98" i="1"/>
  <c r="A98" i="1"/>
  <c r="T97" i="1"/>
  <c r="S97" i="1"/>
  <c r="Q97" i="1"/>
  <c r="M97" i="1"/>
  <c r="N97" i="1" s="1"/>
  <c r="L97" i="1"/>
  <c r="K97" i="1"/>
  <c r="J97" i="1"/>
  <c r="R97" i="1" s="1"/>
  <c r="I97" i="1"/>
  <c r="H97" i="1"/>
  <c r="G97" i="1"/>
  <c r="F97" i="1"/>
  <c r="E97" i="1"/>
  <c r="D97" i="1"/>
  <c r="C97" i="1"/>
  <c r="B97" i="1"/>
  <c r="A97" i="1"/>
  <c r="T96" i="1"/>
  <c r="S96" i="1"/>
  <c r="Q96" i="1"/>
  <c r="M96" i="1"/>
  <c r="N96" i="1" s="1"/>
  <c r="L96" i="1"/>
  <c r="K96" i="1"/>
  <c r="J96" i="1"/>
  <c r="R96" i="1" s="1"/>
  <c r="I96" i="1"/>
  <c r="H96" i="1"/>
  <c r="G96" i="1"/>
  <c r="F96" i="1"/>
  <c r="E96" i="1"/>
  <c r="D96" i="1"/>
  <c r="C96" i="1"/>
  <c r="B96" i="1"/>
  <c r="A96" i="1"/>
  <c r="T95" i="1"/>
  <c r="S95" i="1"/>
  <c r="Q95" i="1"/>
  <c r="M95" i="1"/>
  <c r="N95" i="1" s="1"/>
  <c r="L95" i="1"/>
  <c r="K95" i="1"/>
  <c r="J95" i="1"/>
  <c r="R95" i="1" s="1"/>
  <c r="I95" i="1"/>
  <c r="H95" i="1"/>
  <c r="G95" i="1"/>
  <c r="F95" i="1"/>
  <c r="E95" i="1"/>
  <c r="D95" i="1"/>
  <c r="C95" i="1"/>
  <c r="B95" i="1"/>
  <c r="A95" i="1"/>
  <c r="T94" i="1"/>
  <c r="S94" i="1"/>
  <c r="Q94" i="1"/>
  <c r="M94" i="1"/>
  <c r="N94" i="1" s="1"/>
  <c r="L94" i="1"/>
  <c r="K94" i="1"/>
  <c r="J94" i="1"/>
  <c r="R94" i="1" s="1"/>
  <c r="I94" i="1"/>
  <c r="H94" i="1"/>
  <c r="G94" i="1"/>
  <c r="F94" i="1"/>
  <c r="E94" i="1"/>
  <c r="D94" i="1"/>
  <c r="C94" i="1"/>
  <c r="B94" i="1"/>
  <c r="A94" i="1"/>
  <c r="T93" i="1"/>
  <c r="S93" i="1"/>
  <c r="Q93" i="1"/>
  <c r="M93" i="1"/>
  <c r="N93" i="1" s="1"/>
  <c r="L93" i="1"/>
  <c r="K93" i="1"/>
  <c r="J93" i="1"/>
  <c r="R93" i="1" s="1"/>
  <c r="I93" i="1"/>
  <c r="H93" i="1"/>
  <c r="G93" i="1"/>
  <c r="F93" i="1"/>
  <c r="E93" i="1"/>
  <c r="D93" i="1"/>
  <c r="C93" i="1"/>
  <c r="B93" i="1"/>
  <c r="A93" i="1"/>
  <c r="T92" i="1"/>
  <c r="S92" i="1"/>
  <c r="Q92" i="1"/>
  <c r="M92" i="1"/>
  <c r="N92" i="1" s="1"/>
  <c r="L92" i="1"/>
  <c r="K92" i="1"/>
  <c r="J92" i="1"/>
  <c r="R92" i="1" s="1"/>
  <c r="I92" i="1"/>
  <c r="H92" i="1"/>
  <c r="G92" i="1"/>
  <c r="F92" i="1"/>
  <c r="E92" i="1"/>
  <c r="D92" i="1"/>
  <c r="C92" i="1"/>
  <c r="B92" i="1"/>
  <c r="A92" i="1"/>
  <c r="T91" i="1"/>
  <c r="S91" i="1"/>
  <c r="Q91" i="1"/>
  <c r="M91" i="1"/>
  <c r="N91" i="1" s="1"/>
  <c r="L91" i="1"/>
  <c r="K91" i="1"/>
  <c r="J91" i="1"/>
  <c r="R91" i="1" s="1"/>
  <c r="I91" i="1"/>
  <c r="H91" i="1"/>
  <c r="G91" i="1"/>
  <c r="F91" i="1"/>
  <c r="E91" i="1"/>
  <c r="D91" i="1"/>
  <c r="C91" i="1"/>
  <c r="B91" i="1"/>
  <c r="A91" i="1"/>
  <c r="T90" i="1"/>
  <c r="S90" i="1"/>
  <c r="Q90" i="1"/>
  <c r="M90" i="1"/>
  <c r="N90" i="1" s="1"/>
  <c r="L90" i="1"/>
  <c r="K90" i="1"/>
  <c r="J90" i="1"/>
  <c r="R90" i="1" s="1"/>
  <c r="I90" i="1"/>
  <c r="H90" i="1"/>
  <c r="G90" i="1"/>
  <c r="F90" i="1"/>
  <c r="E90" i="1"/>
  <c r="D90" i="1"/>
  <c r="C90" i="1"/>
  <c r="B90" i="1"/>
  <c r="A90" i="1"/>
  <c r="T89" i="1"/>
  <c r="S89" i="1"/>
  <c r="Q89" i="1"/>
  <c r="M89" i="1"/>
  <c r="N89" i="1" s="1"/>
  <c r="L89" i="1"/>
  <c r="K89" i="1"/>
  <c r="J89" i="1"/>
  <c r="R89" i="1" s="1"/>
  <c r="I89" i="1"/>
  <c r="H89" i="1"/>
  <c r="G89" i="1"/>
  <c r="F89" i="1"/>
  <c r="E89" i="1"/>
  <c r="D89" i="1"/>
  <c r="C89" i="1"/>
  <c r="B89" i="1"/>
  <c r="A89" i="1"/>
  <c r="T88" i="1"/>
  <c r="S88" i="1"/>
  <c r="Q88" i="1"/>
  <c r="M88" i="1"/>
  <c r="N88" i="1" s="1"/>
  <c r="L88" i="1"/>
  <c r="K88" i="1"/>
  <c r="J88" i="1"/>
  <c r="R88" i="1" s="1"/>
  <c r="I88" i="1"/>
  <c r="H88" i="1"/>
  <c r="G88" i="1"/>
  <c r="F88" i="1"/>
  <c r="E88" i="1"/>
  <c r="D88" i="1"/>
  <c r="C88" i="1"/>
  <c r="B88" i="1"/>
  <c r="A88" i="1"/>
  <c r="T87" i="1"/>
  <c r="S87" i="1"/>
  <c r="Q87" i="1"/>
  <c r="M87" i="1"/>
  <c r="N87" i="1" s="1"/>
  <c r="L87" i="1"/>
  <c r="K87" i="1"/>
  <c r="J87" i="1"/>
  <c r="R87" i="1" s="1"/>
  <c r="I87" i="1"/>
  <c r="H87" i="1"/>
  <c r="G87" i="1"/>
  <c r="F87" i="1"/>
  <c r="E87" i="1"/>
  <c r="D87" i="1"/>
  <c r="C87" i="1"/>
  <c r="B87" i="1"/>
  <c r="A87" i="1"/>
  <c r="T86" i="1"/>
  <c r="S86" i="1"/>
  <c r="Q86" i="1"/>
  <c r="M86" i="1"/>
  <c r="N86" i="1" s="1"/>
  <c r="L86" i="1"/>
  <c r="K86" i="1"/>
  <c r="J86" i="1"/>
  <c r="R86" i="1" s="1"/>
  <c r="I86" i="1"/>
  <c r="H86" i="1"/>
  <c r="G86" i="1"/>
  <c r="F86" i="1"/>
  <c r="E86" i="1"/>
  <c r="D86" i="1"/>
  <c r="C86" i="1"/>
  <c r="B86" i="1"/>
  <c r="A86" i="1"/>
  <c r="T85" i="1"/>
  <c r="S85" i="1"/>
  <c r="Q85" i="1"/>
  <c r="M85" i="1"/>
  <c r="N85" i="1" s="1"/>
  <c r="L85" i="1"/>
  <c r="K85" i="1"/>
  <c r="J85" i="1"/>
  <c r="R85" i="1" s="1"/>
  <c r="I85" i="1"/>
  <c r="H85" i="1"/>
  <c r="G85" i="1"/>
  <c r="F85" i="1"/>
  <c r="E85" i="1"/>
  <c r="D85" i="1"/>
  <c r="C85" i="1"/>
  <c r="B85" i="1"/>
  <c r="A85" i="1"/>
  <c r="T84" i="1"/>
  <c r="S84" i="1"/>
  <c r="Q84" i="1"/>
  <c r="P84" i="1"/>
  <c r="M84" i="1"/>
  <c r="N84" i="1" s="1"/>
  <c r="L84" i="1"/>
  <c r="K84" i="1"/>
  <c r="J84" i="1"/>
  <c r="R84" i="1" s="1"/>
  <c r="H84" i="1"/>
  <c r="G84" i="1"/>
  <c r="F84" i="1"/>
  <c r="E84" i="1"/>
  <c r="D84" i="1"/>
  <c r="I84" i="1" s="1"/>
  <c r="C84" i="1"/>
  <c r="B84" i="1"/>
  <c r="A84" i="1"/>
  <c r="T83" i="1"/>
  <c r="S83" i="1"/>
  <c r="Q83" i="1"/>
  <c r="M83" i="1"/>
  <c r="N83" i="1" s="1"/>
  <c r="L83" i="1"/>
  <c r="K83" i="1"/>
  <c r="J83" i="1"/>
  <c r="R83" i="1" s="1"/>
  <c r="H83" i="1"/>
  <c r="G83" i="1"/>
  <c r="F83" i="1"/>
  <c r="E83" i="1"/>
  <c r="D83" i="1"/>
  <c r="I83" i="1" s="1"/>
  <c r="C83" i="1"/>
  <c r="B83" i="1"/>
  <c r="A83" i="1"/>
  <c r="T82" i="1"/>
  <c r="S82" i="1"/>
  <c r="Q82" i="1"/>
  <c r="M82" i="1"/>
  <c r="N82" i="1" s="1"/>
  <c r="L82" i="1"/>
  <c r="K82" i="1"/>
  <c r="J82" i="1"/>
  <c r="R82" i="1" s="1"/>
  <c r="H82" i="1"/>
  <c r="G82" i="1"/>
  <c r="F82" i="1"/>
  <c r="E82" i="1"/>
  <c r="D82" i="1"/>
  <c r="I82" i="1" s="1"/>
  <c r="C82" i="1"/>
  <c r="B82" i="1"/>
  <c r="A82" i="1"/>
  <c r="T81" i="1"/>
  <c r="S81" i="1"/>
  <c r="Q81" i="1"/>
  <c r="M81" i="1"/>
  <c r="N81" i="1" s="1"/>
  <c r="L81" i="1"/>
  <c r="K81" i="1"/>
  <c r="J81" i="1"/>
  <c r="R81" i="1" s="1"/>
  <c r="I81" i="1"/>
  <c r="H81" i="1"/>
  <c r="G81" i="1"/>
  <c r="F81" i="1"/>
  <c r="E81" i="1"/>
  <c r="D81" i="1"/>
  <c r="C81" i="1"/>
  <c r="B81" i="1"/>
  <c r="A81" i="1"/>
  <c r="T80" i="1"/>
  <c r="S80" i="1"/>
  <c r="Q80" i="1"/>
  <c r="P80" i="1"/>
  <c r="M80" i="1"/>
  <c r="N80" i="1" s="1"/>
  <c r="L80" i="1"/>
  <c r="K80" i="1"/>
  <c r="J80" i="1"/>
  <c r="R80" i="1" s="1"/>
  <c r="H80" i="1"/>
  <c r="G80" i="1"/>
  <c r="F80" i="1"/>
  <c r="E80" i="1"/>
  <c r="D80" i="1"/>
  <c r="I80" i="1" s="1"/>
  <c r="C80" i="1"/>
  <c r="B80" i="1"/>
  <c r="A80" i="1"/>
  <c r="T79" i="1"/>
  <c r="S79" i="1"/>
  <c r="Q79" i="1"/>
  <c r="M79" i="1"/>
  <c r="N79" i="1" s="1"/>
  <c r="L79" i="1"/>
  <c r="K79" i="1"/>
  <c r="J79" i="1"/>
  <c r="R79" i="1" s="1"/>
  <c r="H79" i="1"/>
  <c r="G79" i="1"/>
  <c r="F79" i="1"/>
  <c r="E79" i="1"/>
  <c r="D79" i="1"/>
  <c r="I79" i="1" s="1"/>
  <c r="C79" i="1"/>
  <c r="B79" i="1"/>
  <c r="A79" i="1"/>
  <c r="T78" i="1"/>
  <c r="S78" i="1"/>
  <c r="Q78" i="1"/>
  <c r="M78" i="1"/>
  <c r="N78" i="1" s="1"/>
  <c r="L78" i="1"/>
  <c r="K78" i="1"/>
  <c r="J78" i="1"/>
  <c r="R78" i="1" s="1"/>
  <c r="H78" i="1"/>
  <c r="G78" i="1"/>
  <c r="F78" i="1"/>
  <c r="E78" i="1"/>
  <c r="D78" i="1"/>
  <c r="I78" i="1" s="1"/>
  <c r="C78" i="1"/>
  <c r="B78" i="1"/>
  <c r="A78" i="1"/>
  <c r="T77" i="1"/>
  <c r="S77" i="1"/>
  <c r="Q77" i="1"/>
  <c r="M77" i="1"/>
  <c r="N77" i="1" s="1"/>
  <c r="L77" i="1"/>
  <c r="K77" i="1"/>
  <c r="J77" i="1"/>
  <c r="R77" i="1" s="1"/>
  <c r="I77" i="1"/>
  <c r="H77" i="1"/>
  <c r="G77" i="1"/>
  <c r="F77" i="1"/>
  <c r="E77" i="1"/>
  <c r="D77" i="1"/>
  <c r="C77" i="1"/>
  <c r="B77" i="1"/>
  <c r="A77" i="1"/>
  <c r="T76" i="1"/>
  <c r="S76" i="1"/>
  <c r="Q76" i="1"/>
  <c r="P76" i="1"/>
  <c r="M76" i="1"/>
  <c r="N76" i="1" s="1"/>
  <c r="L76" i="1"/>
  <c r="K76" i="1"/>
  <c r="J76" i="1"/>
  <c r="R76" i="1" s="1"/>
  <c r="H76" i="1"/>
  <c r="G76" i="1"/>
  <c r="F76" i="1"/>
  <c r="E76" i="1"/>
  <c r="D76" i="1"/>
  <c r="I76" i="1" s="1"/>
  <c r="C76" i="1"/>
  <c r="B76" i="1"/>
  <c r="A76" i="1"/>
  <c r="T75" i="1"/>
  <c r="S75" i="1"/>
  <c r="Q75" i="1"/>
  <c r="M75" i="1"/>
  <c r="N75" i="1" s="1"/>
  <c r="L75" i="1"/>
  <c r="K75" i="1"/>
  <c r="J75" i="1"/>
  <c r="R75" i="1" s="1"/>
  <c r="H75" i="1"/>
  <c r="G75" i="1"/>
  <c r="F75" i="1"/>
  <c r="E75" i="1"/>
  <c r="D75" i="1"/>
  <c r="I75" i="1" s="1"/>
  <c r="C75" i="1"/>
  <c r="B75" i="1"/>
  <c r="A75" i="1"/>
  <c r="T74" i="1"/>
  <c r="S74" i="1"/>
  <c r="Q74" i="1"/>
  <c r="M74" i="1"/>
  <c r="N74" i="1" s="1"/>
  <c r="L74" i="1"/>
  <c r="K74" i="1"/>
  <c r="J74" i="1"/>
  <c r="R74" i="1" s="1"/>
  <c r="H74" i="1"/>
  <c r="G74" i="1"/>
  <c r="F74" i="1"/>
  <c r="E74" i="1"/>
  <c r="D74" i="1"/>
  <c r="I74" i="1" s="1"/>
  <c r="C74" i="1"/>
  <c r="B74" i="1"/>
  <c r="A74" i="1"/>
  <c r="T73" i="1"/>
  <c r="S73" i="1"/>
  <c r="Q73" i="1"/>
  <c r="M73" i="1"/>
  <c r="N73" i="1" s="1"/>
  <c r="L73" i="1"/>
  <c r="K73" i="1"/>
  <c r="J73" i="1"/>
  <c r="R73" i="1" s="1"/>
  <c r="I73" i="1"/>
  <c r="H73" i="1"/>
  <c r="G73" i="1"/>
  <c r="F73" i="1"/>
  <c r="E73" i="1"/>
  <c r="D73" i="1"/>
  <c r="C73" i="1"/>
  <c r="B73" i="1"/>
  <c r="A73" i="1"/>
  <c r="T72" i="1"/>
  <c r="S72" i="1"/>
  <c r="Q72" i="1"/>
  <c r="P72" i="1"/>
  <c r="M72" i="1"/>
  <c r="N72" i="1" s="1"/>
  <c r="L72" i="1"/>
  <c r="K72" i="1"/>
  <c r="J72" i="1"/>
  <c r="R72" i="1" s="1"/>
  <c r="H72" i="1"/>
  <c r="G72" i="1"/>
  <c r="F72" i="1"/>
  <c r="E72" i="1"/>
  <c r="D72" i="1"/>
  <c r="I72" i="1" s="1"/>
  <c r="C72" i="1"/>
  <c r="B72" i="1"/>
  <c r="A72" i="1"/>
  <c r="T71" i="1"/>
  <c r="S71" i="1"/>
  <c r="Q71" i="1"/>
  <c r="M71" i="1"/>
  <c r="N71" i="1" s="1"/>
  <c r="L71" i="1"/>
  <c r="K71" i="1"/>
  <c r="J71" i="1"/>
  <c r="R71" i="1" s="1"/>
  <c r="H71" i="1"/>
  <c r="G71" i="1"/>
  <c r="F71" i="1"/>
  <c r="E71" i="1"/>
  <c r="D71" i="1"/>
  <c r="I71" i="1" s="1"/>
  <c r="C71" i="1"/>
  <c r="B71" i="1"/>
  <c r="A71" i="1"/>
  <c r="T70" i="1"/>
  <c r="S70" i="1"/>
  <c r="Q70" i="1"/>
  <c r="M70" i="1"/>
  <c r="N70" i="1" s="1"/>
  <c r="L70" i="1"/>
  <c r="K70" i="1"/>
  <c r="J70" i="1"/>
  <c r="R70" i="1" s="1"/>
  <c r="H70" i="1"/>
  <c r="G70" i="1"/>
  <c r="F70" i="1"/>
  <c r="E70" i="1"/>
  <c r="D70" i="1"/>
  <c r="I70" i="1" s="1"/>
  <c r="C70" i="1"/>
  <c r="B70" i="1"/>
  <c r="A70" i="1"/>
  <c r="T69" i="1"/>
  <c r="S69" i="1"/>
  <c r="Q69" i="1"/>
  <c r="M69" i="1"/>
  <c r="N69" i="1" s="1"/>
  <c r="L69" i="1"/>
  <c r="K69" i="1"/>
  <c r="J69" i="1"/>
  <c r="R69" i="1" s="1"/>
  <c r="I69" i="1"/>
  <c r="H69" i="1"/>
  <c r="G69" i="1"/>
  <c r="F69" i="1"/>
  <c r="E69" i="1"/>
  <c r="D69" i="1"/>
  <c r="C69" i="1"/>
  <c r="B69" i="1"/>
  <c r="A69" i="1"/>
  <c r="T68" i="1"/>
  <c r="S68" i="1"/>
  <c r="Q68" i="1"/>
  <c r="P68" i="1"/>
  <c r="M68" i="1"/>
  <c r="N68" i="1" s="1"/>
  <c r="L68" i="1"/>
  <c r="K68" i="1"/>
  <c r="J68" i="1"/>
  <c r="R68" i="1" s="1"/>
  <c r="H68" i="1"/>
  <c r="G68" i="1"/>
  <c r="F68" i="1"/>
  <c r="E68" i="1"/>
  <c r="D68" i="1"/>
  <c r="I68" i="1" s="1"/>
  <c r="C68" i="1"/>
  <c r="B68" i="1"/>
  <c r="A68" i="1"/>
  <c r="T67" i="1"/>
  <c r="S67" i="1"/>
  <c r="Q67" i="1"/>
  <c r="M67" i="1"/>
  <c r="N67" i="1" s="1"/>
  <c r="L67" i="1"/>
  <c r="K67" i="1"/>
  <c r="J67" i="1"/>
  <c r="R67" i="1" s="1"/>
  <c r="H67" i="1"/>
  <c r="G67" i="1"/>
  <c r="F67" i="1"/>
  <c r="E67" i="1"/>
  <c r="D67" i="1"/>
  <c r="I67" i="1" s="1"/>
  <c r="C67" i="1"/>
  <c r="B67" i="1"/>
  <c r="A67" i="1"/>
  <c r="T66" i="1"/>
  <c r="S66" i="1"/>
  <c r="Q66" i="1"/>
  <c r="M66" i="1"/>
  <c r="N66" i="1" s="1"/>
  <c r="L66" i="1"/>
  <c r="K66" i="1"/>
  <c r="J66" i="1"/>
  <c r="R66" i="1" s="1"/>
  <c r="H66" i="1"/>
  <c r="G66" i="1"/>
  <c r="F66" i="1"/>
  <c r="E66" i="1"/>
  <c r="D66" i="1"/>
  <c r="I66" i="1" s="1"/>
  <c r="C66" i="1"/>
  <c r="B66" i="1"/>
  <c r="A66" i="1"/>
  <c r="T65" i="1"/>
  <c r="S65" i="1"/>
  <c r="Q65" i="1"/>
  <c r="M65" i="1"/>
  <c r="N65" i="1" s="1"/>
  <c r="L65" i="1"/>
  <c r="K65" i="1"/>
  <c r="J65" i="1"/>
  <c r="R65" i="1" s="1"/>
  <c r="I65" i="1"/>
  <c r="H65" i="1"/>
  <c r="G65" i="1"/>
  <c r="F65" i="1"/>
  <c r="E65" i="1"/>
  <c r="D65" i="1"/>
  <c r="C65" i="1"/>
  <c r="B65" i="1"/>
  <c r="A65" i="1"/>
  <c r="T64" i="1"/>
  <c r="S64" i="1"/>
  <c r="Q64" i="1"/>
  <c r="P64" i="1"/>
  <c r="M64" i="1"/>
  <c r="N64" i="1" s="1"/>
  <c r="L64" i="1"/>
  <c r="K64" i="1"/>
  <c r="J64" i="1"/>
  <c r="R64" i="1" s="1"/>
  <c r="H64" i="1"/>
  <c r="G64" i="1"/>
  <c r="F64" i="1"/>
  <c r="E64" i="1"/>
  <c r="D64" i="1"/>
  <c r="I64" i="1" s="1"/>
  <c r="C64" i="1"/>
  <c r="B64" i="1"/>
  <c r="A64" i="1"/>
  <c r="T63" i="1"/>
  <c r="S63" i="1"/>
  <c r="Q63" i="1"/>
  <c r="M63" i="1"/>
  <c r="N63" i="1" s="1"/>
  <c r="L63" i="1"/>
  <c r="K63" i="1"/>
  <c r="J63" i="1"/>
  <c r="R63" i="1" s="1"/>
  <c r="H63" i="1"/>
  <c r="G63" i="1"/>
  <c r="F63" i="1"/>
  <c r="E63" i="1"/>
  <c r="D63" i="1"/>
  <c r="I63" i="1" s="1"/>
  <c r="C63" i="1"/>
  <c r="B63" i="1"/>
  <c r="A63" i="1"/>
  <c r="T62" i="1"/>
  <c r="S62" i="1"/>
  <c r="Q62" i="1"/>
  <c r="M62" i="1"/>
  <c r="N62" i="1" s="1"/>
  <c r="L62" i="1"/>
  <c r="K62" i="1"/>
  <c r="J62" i="1"/>
  <c r="R62" i="1" s="1"/>
  <c r="H62" i="1"/>
  <c r="G62" i="1"/>
  <c r="F62" i="1"/>
  <c r="E62" i="1"/>
  <c r="D62" i="1"/>
  <c r="I62" i="1" s="1"/>
  <c r="C62" i="1"/>
  <c r="B62" i="1"/>
  <c r="A62" i="1"/>
  <c r="T61" i="1"/>
  <c r="S61" i="1"/>
  <c r="Q61" i="1"/>
  <c r="M61" i="1"/>
  <c r="N61" i="1" s="1"/>
  <c r="L61" i="1"/>
  <c r="K61" i="1"/>
  <c r="J61" i="1"/>
  <c r="R61" i="1" s="1"/>
  <c r="I61" i="1"/>
  <c r="H61" i="1"/>
  <c r="G61" i="1"/>
  <c r="F61" i="1"/>
  <c r="E61" i="1"/>
  <c r="D61" i="1"/>
  <c r="C61" i="1"/>
  <c r="B61" i="1"/>
  <c r="A61" i="1"/>
  <c r="T60" i="1"/>
  <c r="S60" i="1"/>
  <c r="Q60" i="1"/>
  <c r="P60" i="1"/>
  <c r="M60" i="1"/>
  <c r="N60" i="1" s="1"/>
  <c r="L60" i="1"/>
  <c r="K60" i="1"/>
  <c r="J60" i="1"/>
  <c r="R60" i="1" s="1"/>
  <c r="H60" i="1"/>
  <c r="G60" i="1"/>
  <c r="F60" i="1"/>
  <c r="E60" i="1"/>
  <c r="D60" i="1"/>
  <c r="I60" i="1" s="1"/>
  <c r="C60" i="1"/>
  <c r="B60" i="1"/>
  <c r="A60" i="1"/>
  <c r="T59" i="1"/>
  <c r="S59" i="1"/>
  <c r="Q59" i="1"/>
  <c r="M59" i="1"/>
  <c r="N59" i="1" s="1"/>
  <c r="L59" i="1"/>
  <c r="K59" i="1"/>
  <c r="J59" i="1"/>
  <c r="R59" i="1" s="1"/>
  <c r="H59" i="1"/>
  <c r="G59" i="1"/>
  <c r="F59" i="1"/>
  <c r="E59" i="1"/>
  <c r="D59" i="1"/>
  <c r="I59" i="1" s="1"/>
  <c r="C59" i="1"/>
  <c r="B59" i="1"/>
  <c r="A59" i="1"/>
  <c r="T58" i="1"/>
  <c r="S58" i="1"/>
  <c r="Q58" i="1"/>
  <c r="M58" i="1"/>
  <c r="N58" i="1" s="1"/>
  <c r="L58" i="1"/>
  <c r="K58" i="1"/>
  <c r="J58" i="1"/>
  <c r="R58" i="1" s="1"/>
  <c r="H58" i="1"/>
  <c r="G58" i="1"/>
  <c r="F58" i="1"/>
  <c r="E58" i="1"/>
  <c r="D58" i="1"/>
  <c r="I58" i="1" s="1"/>
  <c r="C58" i="1"/>
  <c r="B58" i="1"/>
  <c r="A58" i="1"/>
  <c r="T57" i="1"/>
  <c r="S57" i="1"/>
  <c r="Q57" i="1"/>
  <c r="M57" i="1"/>
  <c r="N57" i="1" s="1"/>
  <c r="L57" i="1"/>
  <c r="K57" i="1"/>
  <c r="J57" i="1"/>
  <c r="R57" i="1" s="1"/>
  <c r="I57" i="1"/>
  <c r="H57" i="1"/>
  <c r="G57" i="1"/>
  <c r="F57" i="1"/>
  <c r="E57" i="1"/>
  <c r="D57" i="1"/>
  <c r="C57" i="1"/>
  <c r="B57" i="1"/>
  <c r="A57" i="1"/>
  <c r="T56" i="1"/>
  <c r="S56" i="1"/>
  <c r="Q56" i="1"/>
  <c r="P56" i="1"/>
  <c r="M56" i="1"/>
  <c r="N56" i="1" s="1"/>
  <c r="L56" i="1"/>
  <c r="K56" i="1"/>
  <c r="J56" i="1"/>
  <c r="R56" i="1" s="1"/>
  <c r="H56" i="1"/>
  <c r="G56" i="1"/>
  <c r="F56" i="1"/>
  <c r="E56" i="1"/>
  <c r="D56" i="1"/>
  <c r="I56" i="1" s="1"/>
  <c r="C56" i="1"/>
  <c r="B56" i="1"/>
  <c r="A56" i="1"/>
  <c r="T55" i="1"/>
  <c r="S55" i="1"/>
  <c r="Q55" i="1"/>
  <c r="M55" i="1"/>
  <c r="N55" i="1" s="1"/>
  <c r="L55" i="1"/>
  <c r="K55" i="1"/>
  <c r="J55" i="1"/>
  <c r="R55" i="1" s="1"/>
  <c r="H55" i="1"/>
  <c r="G55" i="1"/>
  <c r="F55" i="1"/>
  <c r="E55" i="1"/>
  <c r="D55" i="1"/>
  <c r="I55" i="1" s="1"/>
  <c r="C55" i="1"/>
  <c r="B55" i="1"/>
  <c r="A55" i="1"/>
  <c r="T54" i="1"/>
  <c r="S54" i="1"/>
  <c r="Q54" i="1"/>
  <c r="M54" i="1"/>
  <c r="N54" i="1" s="1"/>
  <c r="L54" i="1"/>
  <c r="K54" i="1"/>
  <c r="J54" i="1"/>
  <c r="R54" i="1" s="1"/>
  <c r="H54" i="1"/>
  <c r="G54" i="1"/>
  <c r="F54" i="1"/>
  <c r="E54" i="1"/>
  <c r="D54" i="1"/>
  <c r="I54" i="1" s="1"/>
  <c r="C54" i="1"/>
  <c r="B54" i="1"/>
  <c r="A54" i="1"/>
  <c r="T53" i="1"/>
  <c r="S53" i="1"/>
  <c r="Q53" i="1"/>
  <c r="M53" i="1"/>
  <c r="N53" i="1" s="1"/>
  <c r="L53" i="1"/>
  <c r="K53" i="1"/>
  <c r="J53" i="1"/>
  <c r="R53" i="1" s="1"/>
  <c r="I53" i="1"/>
  <c r="H53" i="1"/>
  <c r="G53" i="1"/>
  <c r="F53" i="1"/>
  <c r="E53" i="1"/>
  <c r="D53" i="1"/>
  <c r="C53" i="1"/>
  <c r="B53" i="1"/>
  <c r="A53" i="1"/>
  <c r="T52" i="1"/>
  <c r="S52" i="1"/>
  <c r="Q52" i="1"/>
  <c r="P52" i="1"/>
  <c r="M52" i="1"/>
  <c r="N52" i="1" s="1"/>
  <c r="L52" i="1"/>
  <c r="K52" i="1"/>
  <c r="J52" i="1"/>
  <c r="R52" i="1" s="1"/>
  <c r="H52" i="1"/>
  <c r="G52" i="1"/>
  <c r="F52" i="1"/>
  <c r="E52" i="1"/>
  <c r="D52" i="1"/>
  <c r="I52" i="1" s="1"/>
  <c r="C52" i="1"/>
  <c r="B52" i="1"/>
  <c r="A52" i="1"/>
  <c r="T51" i="1"/>
  <c r="S51" i="1"/>
  <c r="Q51" i="1"/>
  <c r="M51" i="1"/>
  <c r="N51" i="1" s="1"/>
  <c r="L51" i="1"/>
  <c r="K51" i="1"/>
  <c r="J51" i="1"/>
  <c r="R51" i="1" s="1"/>
  <c r="H51" i="1"/>
  <c r="G51" i="1"/>
  <c r="F51" i="1"/>
  <c r="E51" i="1"/>
  <c r="D51" i="1"/>
  <c r="I51" i="1" s="1"/>
  <c r="C51" i="1"/>
  <c r="B51" i="1"/>
  <c r="A51" i="1"/>
  <c r="T50" i="1"/>
  <c r="S50" i="1"/>
  <c r="Q50" i="1"/>
  <c r="M50" i="1"/>
  <c r="N50" i="1" s="1"/>
  <c r="L50" i="1"/>
  <c r="K50" i="1"/>
  <c r="J50" i="1"/>
  <c r="R50" i="1" s="1"/>
  <c r="H50" i="1"/>
  <c r="G50" i="1"/>
  <c r="F50" i="1"/>
  <c r="E50" i="1"/>
  <c r="D50" i="1"/>
  <c r="I50" i="1" s="1"/>
  <c r="C50" i="1"/>
  <c r="B50" i="1"/>
  <c r="A50" i="1"/>
  <c r="T49" i="1"/>
  <c r="S49" i="1"/>
  <c r="Q49" i="1"/>
  <c r="M49" i="1"/>
  <c r="N49" i="1" s="1"/>
  <c r="L49" i="1"/>
  <c r="K49" i="1"/>
  <c r="J49" i="1"/>
  <c r="R49" i="1" s="1"/>
  <c r="I49" i="1"/>
  <c r="H49" i="1"/>
  <c r="G49" i="1"/>
  <c r="F49" i="1"/>
  <c r="E49" i="1"/>
  <c r="D49" i="1"/>
  <c r="C49" i="1"/>
  <c r="B49" i="1"/>
  <c r="A49" i="1"/>
  <c r="T48" i="1"/>
  <c r="S48" i="1"/>
  <c r="Q48" i="1"/>
  <c r="P48" i="1"/>
  <c r="M48" i="1"/>
  <c r="N48" i="1" s="1"/>
  <c r="L48" i="1"/>
  <c r="K48" i="1"/>
  <c r="J48" i="1"/>
  <c r="R48" i="1" s="1"/>
  <c r="H48" i="1"/>
  <c r="G48" i="1"/>
  <c r="F48" i="1"/>
  <c r="E48" i="1"/>
  <c r="D48" i="1"/>
  <c r="I48" i="1" s="1"/>
  <c r="C48" i="1"/>
  <c r="B48" i="1"/>
  <c r="A48" i="1"/>
  <c r="T47" i="1"/>
  <c r="S47" i="1"/>
  <c r="Q47" i="1"/>
  <c r="M47" i="1"/>
  <c r="N47" i="1" s="1"/>
  <c r="L47" i="1"/>
  <c r="K47" i="1"/>
  <c r="J47" i="1"/>
  <c r="R47" i="1" s="1"/>
  <c r="H47" i="1"/>
  <c r="G47" i="1"/>
  <c r="F47" i="1"/>
  <c r="E47" i="1"/>
  <c r="D47" i="1"/>
  <c r="I47" i="1" s="1"/>
  <c r="C47" i="1"/>
  <c r="B47" i="1"/>
  <c r="A47" i="1"/>
  <c r="T46" i="1"/>
  <c r="S46" i="1"/>
  <c r="Q46" i="1"/>
  <c r="M46" i="1"/>
  <c r="N46" i="1" s="1"/>
  <c r="L46" i="1"/>
  <c r="K46" i="1"/>
  <c r="J46" i="1"/>
  <c r="R46" i="1" s="1"/>
  <c r="H46" i="1"/>
  <c r="G46" i="1"/>
  <c r="F46" i="1"/>
  <c r="E46" i="1"/>
  <c r="D46" i="1"/>
  <c r="I46" i="1" s="1"/>
  <c r="C46" i="1"/>
  <c r="B46" i="1"/>
  <c r="A46" i="1"/>
  <c r="T45" i="1"/>
  <c r="S45" i="1"/>
  <c r="Q45" i="1"/>
  <c r="M45" i="1"/>
  <c r="N45" i="1" s="1"/>
  <c r="L45" i="1"/>
  <c r="K45" i="1"/>
  <c r="J45" i="1"/>
  <c r="R45" i="1" s="1"/>
  <c r="I45" i="1"/>
  <c r="H45" i="1"/>
  <c r="G45" i="1"/>
  <c r="F45" i="1"/>
  <c r="E45" i="1"/>
  <c r="D45" i="1"/>
  <c r="C45" i="1"/>
  <c r="B45" i="1"/>
  <c r="A45" i="1"/>
  <c r="T44" i="1"/>
  <c r="S44" i="1"/>
  <c r="Q44" i="1"/>
  <c r="P44" i="1"/>
  <c r="M44" i="1"/>
  <c r="N44" i="1" s="1"/>
  <c r="L44" i="1"/>
  <c r="K44" i="1"/>
  <c r="J44" i="1"/>
  <c r="R44" i="1" s="1"/>
  <c r="H44" i="1"/>
  <c r="G44" i="1"/>
  <c r="F44" i="1"/>
  <c r="E44" i="1"/>
  <c r="D44" i="1"/>
  <c r="I44" i="1" s="1"/>
  <c r="C44" i="1"/>
  <c r="B44" i="1"/>
  <c r="A44" i="1"/>
  <c r="T43" i="1"/>
  <c r="S43" i="1"/>
  <c r="Q43" i="1"/>
  <c r="M43" i="1"/>
  <c r="N43" i="1" s="1"/>
  <c r="L43" i="1"/>
  <c r="K43" i="1"/>
  <c r="J43" i="1"/>
  <c r="R43" i="1" s="1"/>
  <c r="H43" i="1"/>
  <c r="G43" i="1"/>
  <c r="F43" i="1"/>
  <c r="E43" i="1"/>
  <c r="D43" i="1"/>
  <c r="I43" i="1" s="1"/>
  <c r="C43" i="1"/>
  <c r="B43" i="1"/>
  <c r="A43" i="1"/>
  <c r="T42" i="1"/>
  <c r="S42" i="1"/>
  <c r="Q42" i="1"/>
  <c r="M42" i="1"/>
  <c r="N42" i="1" s="1"/>
  <c r="L42" i="1"/>
  <c r="K42" i="1"/>
  <c r="J42" i="1"/>
  <c r="R42" i="1" s="1"/>
  <c r="H42" i="1"/>
  <c r="G42" i="1"/>
  <c r="F42" i="1"/>
  <c r="E42" i="1"/>
  <c r="D42" i="1"/>
  <c r="I42" i="1" s="1"/>
  <c r="C42" i="1"/>
  <c r="B42" i="1"/>
  <c r="A42" i="1"/>
  <c r="T41" i="1"/>
  <c r="S41" i="1"/>
  <c r="Q41" i="1"/>
  <c r="M41" i="1"/>
  <c r="N41" i="1" s="1"/>
  <c r="L41" i="1"/>
  <c r="K41" i="1"/>
  <c r="J41" i="1"/>
  <c r="R41" i="1" s="1"/>
  <c r="I41" i="1"/>
  <c r="H41" i="1"/>
  <c r="G41" i="1"/>
  <c r="F41" i="1"/>
  <c r="E41" i="1"/>
  <c r="D41" i="1"/>
  <c r="C41" i="1"/>
  <c r="B41" i="1"/>
  <c r="A41" i="1"/>
  <c r="T40" i="1"/>
  <c r="S40" i="1"/>
  <c r="Q40" i="1"/>
  <c r="P40" i="1"/>
  <c r="M40" i="1"/>
  <c r="N40" i="1" s="1"/>
  <c r="L40" i="1"/>
  <c r="K40" i="1"/>
  <c r="J40" i="1"/>
  <c r="R40" i="1" s="1"/>
  <c r="H40" i="1"/>
  <c r="G40" i="1"/>
  <c r="F40" i="1"/>
  <c r="E40" i="1"/>
  <c r="D40" i="1"/>
  <c r="I40" i="1" s="1"/>
  <c r="C40" i="1"/>
  <c r="B40" i="1"/>
  <c r="A40" i="1"/>
  <c r="T39" i="1"/>
  <c r="S39" i="1"/>
  <c r="Q39" i="1"/>
  <c r="M39" i="1"/>
  <c r="N39" i="1" s="1"/>
  <c r="L39" i="1"/>
  <c r="K39" i="1"/>
  <c r="J39" i="1"/>
  <c r="R39" i="1" s="1"/>
  <c r="H39" i="1"/>
  <c r="G39" i="1"/>
  <c r="F39" i="1"/>
  <c r="E39" i="1"/>
  <c r="D39" i="1"/>
  <c r="I39" i="1" s="1"/>
  <c r="C39" i="1"/>
  <c r="B39" i="1"/>
  <c r="A39" i="1"/>
  <c r="T38" i="1"/>
  <c r="S38" i="1"/>
  <c r="Q38" i="1"/>
  <c r="M38" i="1"/>
  <c r="N38" i="1" s="1"/>
  <c r="L38" i="1"/>
  <c r="K38" i="1"/>
  <c r="J38" i="1"/>
  <c r="R38" i="1" s="1"/>
  <c r="H38" i="1"/>
  <c r="G38" i="1"/>
  <c r="F38" i="1"/>
  <c r="E38" i="1"/>
  <c r="D38" i="1"/>
  <c r="I38" i="1" s="1"/>
  <c r="C38" i="1"/>
  <c r="B38" i="1"/>
  <c r="A38" i="1"/>
  <c r="T37" i="1"/>
  <c r="S37" i="1"/>
  <c r="Q37" i="1"/>
  <c r="M37" i="1"/>
  <c r="N37" i="1" s="1"/>
  <c r="L37" i="1"/>
  <c r="K37" i="1"/>
  <c r="J37" i="1"/>
  <c r="R37" i="1" s="1"/>
  <c r="I37" i="1"/>
  <c r="H37" i="1"/>
  <c r="G37" i="1"/>
  <c r="F37" i="1"/>
  <c r="E37" i="1"/>
  <c r="D37" i="1"/>
  <c r="C37" i="1"/>
  <c r="B37" i="1"/>
  <c r="A37" i="1"/>
  <c r="T36" i="1"/>
  <c r="S36" i="1"/>
  <c r="Q36" i="1"/>
  <c r="P36" i="1"/>
  <c r="M36" i="1"/>
  <c r="N36" i="1" s="1"/>
  <c r="O36" i="1" s="1"/>
  <c r="L36" i="1"/>
  <c r="K36" i="1"/>
  <c r="J36" i="1"/>
  <c r="R36" i="1" s="1"/>
  <c r="I36" i="1"/>
  <c r="H36" i="1"/>
  <c r="G36" i="1"/>
  <c r="F36" i="1"/>
  <c r="E36" i="1"/>
  <c r="D36" i="1"/>
  <c r="C36" i="1"/>
  <c r="B36" i="1"/>
  <c r="A36" i="1"/>
  <c r="T35" i="1"/>
  <c r="S35" i="1"/>
  <c r="Q35" i="1"/>
  <c r="M35" i="1"/>
  <c r="N35" i="1" s="1"/>
  <c r="L35" i="1"/>
  <c r="K35" i="1"/>
  <c r="J35" i="1"/>
  <c r="R35" i="1" s="1"/>
  <c r="H35" i="1"/>
  <c r="G35" i="1"/>
  <c r="F35" i="1"/>
  <c r="E35" i="1"/>
  <c r="D35" i="1"/>
  <c r="I35" i="1" s="1"/>
  <c r="C35" i="1"/>
  <c r="B35" i="1"/>
  <c r="A35" i="1"/>
  <c r="T34" i="1"/>
  <c r="S34" i="1"/>
  <c r="Q34" i="1"/>
  <c r="M34" i="1"/>
  <c r="N34" i="1" s="1"/>
  <c r="L34" i="1"/>
  <c r="K34" i="1"/>
  <c r="J34" i="1"/>
  <c r="R34" i="1" s="1"/>
  <c r="H34" i="1"/>
  <c r="G34" i="1"/>
  <c r="F34" i="1"/>
  <c r="E34" i="1"/>
  <c r="D34" i="1"/>
  <c r="I34" i="1" s="1"/>
  <c r="C34" i="1"/>
  <c r="B34" i="1"/>
  <c r="A34" i="1"/>
  <c r="T33" i="1"/>
  <c r="S33" i="1"/>
  <c r="Q33" i="1"/>
  <c r="M33" i="1"/>
  <c r="N33" i="1" s="1"/>
  <c r="L33" i="1"/>
  <c r="K33" i="1"/>
  <c r="J33" i="1"/>
  <c r="R33" i="1" s="1"/>
  <c r="I33" i="1"/>
  <c r="H33" i="1"/>
  <c r="G33" i="1"/>
  <c r="F33" i="1"/>
  <c r="E33" i="1"/>
  <c r="D33" i="1"/>
  <c r="C33" i="1"/>
  <c r="B33" i="1"/>
  <c r="A33" i="1"/>
  <c r="T32" i="1"/>
  <c r="S32" i="1"/>
  <c r="Q32" i="1"/>
  <c r="P32" i="1"/>
  <c r="M32" i="1"/>
  <c r="N32" i="1" s="1"/>
  <c r="O32" i="1" s="1"/>
  <c r="L32" i="1"/>
  <c r="K32" i="1"/>
  <c r="J32" i="1"/>
  <c r="R32" i="1" s="1"/>
  <c r="I32" i="1"/>
  <c r="H32" i="1"/>
  <c r="G32" i="1"/>
  <c r="F32" i="1"/>
  <c r="E32" i="1"/>
  <c r="D32" i="1"/>
  <c r="C32" i="1"/>
  <c r="B32" i="1"/>
  <c r="A32" i="1"/>
  <c r="T31" i="1"/>
  <c r="S31" i="1"/>
  <c r="Q31" i="1"/>
  <c r="M31" i="1"/>
  <c r="N31" i="1" s="1"/>
  <c r="L31" i="1"/>
  <c r="P31" i="1" s="1"/>
  <c r="K31" i="1"/>
  <c r="J31" i="1"/>
  <c r="R31" i="1" s="1"/>
  <c r="H31" i="1"/>
  <c r="G31" i="1"/>
  <c r="F31" i="1"/>
  <c r="E31" i="1"/>
  <c r="D31" i="1"/>
  <c r="I31" i="1" s="1"/>
  <c r="C31" i="1"/>
  <c r="B31" i="1"/>
  <c r="A31" i="1"/>
  <c r="T30" i="1"/>
  <c r="S30" i="1"/>
  <c r="Q30" i="1"/>
  <c r="M30" i="1"/>
  <c r="N30" i="1" s="1"/>
  <c r="L30" i="1"/>
  <c r="K30" i="1"/>
  <c r="J30" i="1"/>
  <c r="R30" i="1" s="1"/>
  <c r="H30" i="1"/>
  <c r="G30" i="1"/>
  <c r="F30" i="1"/>
  <c r="E30" i="1"/>
  <c r="D30" i="1"/>
  <c r="I30" i="1" s="1"/>
  <c r="C30" i="1"/>
  <c r="B30" i="1"/>
  <c r="A30" i="1"/>
  <c r="T29" i="1"/>
  <c r="S29" i="1"/>
  <c r="Q29" i="1"/>
  <c r="M29" i="1"/>
  <c r="N29" i="1" s="1"/>
  <c r="L29" i="1"/>
  <c r="K29" i="1"/>
  <c r="J29" i="1"/>
  <c r="R29" i="1" s="1"/>
  <c r="I29" i="1"/>
  <c r="H29" i="1"/>
  <c r="G29" i="1"/>
  <c r="F29" i="1"/>
  <c r="E29" i="1"/>
  <c r="D29" i="1"/>
  <c r="C29" i="1"/>
  <c r="B29" i="1"/>
  <c r="A29" i="1"/>
  <c r="T28" i="1"/>
  <c r="S28" i="1"/>
  <c r="Q28" i="1"/>
  <c r="P28" i="1"/>
  <c r="M28" i="1"/>
  <c r="N28" i="1" s="1"/>
  <c r="O28" i="1" s="1"/>
  <c r="L28" i="1"/>
  <c r="K28" i="1"/>
  <c r="J28" i="1"/>
  <c r="R28" i="1" s="1"/>
  <c r="I28" i="1"/>
  <c r="H28" i="1"/>
  <c r="G28" i="1"/>
  <c r="F28" i="1"/>
  <c r="E28" i="1"/>
  <c r="D28" i="1"/>
  <c r="C28" i="1"/>
  <c r="B28" i="1"/>
  <c r="A28" i="1"/>
  <c r="T27" i="1"/>
  <c r="S27" i="1"/>
  <c r="Q27" i="1"/>
  <c r="M27" i="1"/>
  <c r="N27" i="1" s="1"/>
  <c r="L27" i="1"/>
  <c r="P27" i="1" s="1"/>
  <c r="K27" i="1"/>
  <c r="J27" i="1"/>
  <c r="R27" i="1" s="1"/>
  <c r="H27" i="1"/>
  <c r="G27" i="1"/>
  <c r="F27" i="1"/>
  <c r="E27" i="1"/>
  <c r="D27" i="1"/>
  <c r="I27" i="1" s="1"/>
  <c r="C27" i="1"/>
  <c r="B27" i="1"/>
  <c r="A27" i="1"/>
  <c r="T26" i="1"/>
  <c r="S26" i="1"/>
  <c r="Q26" i="1"/>
  <c r="M26" i="1"/>
  <c r="N26" i="1" s="1"/>
  <c r="L26" i="1"/>
  <c r="K26" i="1"/>
  <c r="J26" i="1"/>
  <c r="R26" i="1" s="1"/>
  <c r="H26" i="1"/>
  <c r="G26" i="1"/>
  <c r="F26" i="1"/>
  <c r="E26" i="1"/>
  <c r="D26" i="1"/>
  <c r="I26" i="1" s="1"/>
  <c r="C26" i="1"/>
  <c r="B26" i="1"/>
  <c r="A26" i="1"/>
  <c r="T25" i="1"/>
  <c r="S25" i="1"/>
  <c r="Q25" i="1"/>
  <c r="M25" i="1"/>
  <c r="N25" i="1" s="1"/>
  <c r="L25" i="1"/>
  <c r="K25" i="1"/>
  <c r="J25" i="1"/>
  <c r="R25" i="1" s="1"/>
  <c r="I25" i="1"/>
  <c r="H25" i="1"/>
  <c r="G25" i="1"/>
  <c r="F25" i="1"/>
  <c r="E25" i="1"/>
  <c r="D25" i="1"/>
  <c r="C25" i="1"/>
  <c r="B25" i="1"/>
  <c r="A25" i="1"/>
  <c r="T24" i="1"/>
  <c r="S24" i="1"/>
  <c r="Q24" i="1"/>
  <c r="P24" i="1"/>
  <c r="M24" i="1"/>
  <c r="N24" i="1" s="1"/>
  <c r="O24" i="1" s="1"/>
  <c r="L24" i="1"/>
  <c r="K24" i="1"/>
  <c r="J24" i="1"/>
  <c r="R24" i="1" s="1"/>
  <c r="I24" i="1"/>
  <c r="H24" i="1"/>
  <c r="G24" i="1"/>
  <c r="F24" i="1"/>
  <c r="E24" i="1"/>
  <c r="D24" i="1"/>
  <c r="C24" i="1"/>
  <c r="B24" i="1"/>
  <c r="A24" i="1"/>
  <c r="T23" i="1"/>
  <c r="S23" i="1"/>
  <c r="Q23" i="1"/>
  <c r="M23" i="1"/>
  <c r="N23" i="1" s="1"/>
  <c r="L23" i="1"/>
  <c r="P23" i="1" s="1"/>
  <c r="K23" i="1"/>
  <c r="J23" i="1"/>
  <c r="R23" i="1" s="1"/>
  <c r="H23" i="1"/>
  <c r="G23" i="1"/>
  <c r="F23" i="1"/>
  <c r="E23" i="1"/>
  <c r="D23" i="1"/>
  <c r="I23" i="1" s="1"/>
  <c r="C23" i="1"/>
  <c r="B23" i="1"/>
  <c r="A23" i="1"/>
  <c r="T22" i="1"/>
  <c r="S22" i="1"/>
  <c r="Q22" i="1"/>
  <c r="M22" i="1"/>
  <c r="N22" i="1" s="1"/>
  <c r="L22" i="1"/>
  <c r="K22" i="1"/>
  <c r="J22" i="1"/>
  <c r="R22" i="1" s="1"/>
  <c r="H22" i="1"/>
  <c r="G22" i="1"/>
  <c r="F22" i="1"/>
  <c r="E22" i="1"/>
  <c r="D22" i="1"/>
  <c r="I22" i="1" s="1"/>
  <c r="C22" i="1"/>
  <c r="B22" i="1"/>
  <c r="A22" i="1"/>
  <c r="T21" i="1"/>
  <c r="S21" i="1"/>
  <c r="Q21" i="1"/>
  <c r="M21" i="1"/>
  <c r="N21" i="1" s="1"/>
  <c r="L21" i="1"/>
  <c r="K21" i="1"/>
  <c r="J21" i="1"/>
  <c r="R21" i="1" s="1"/>
  <c r="I21" i="1"/>
  <c r="H21" i="1"/>
  <c r="G21" i="1"/>
  <c r="F21" i="1"/>
  <c r="E21" i="1"/>
  <c r="D21" i="1"/>
  <c r="C21" i="1"/>
  <c r="B21" i="1"/>
  <c r="A21" i="1"/>
  <c r="T20" i="1"/>
  <c r="S20" i="1"/>
  <c r="Q20" i="1"/>
  <c r="P20" i="1"/>
  <c r="M20" i="1"/>
  <c r="N20" i="1" s="1"/>
  <c r="O20" i="1" s="1"/>
  <c r="L20" i="1"/>
  <c r="K20" i="1"/>
  <c r="J20" i="1"/>
  <c r="R20" i="1" s="1"/>
  <c r="I20" i="1"/>
  <c r="H20" i="1"/>
  <c r="G20" i="1"/>
  <c r="F20" i="1"/>
  <c r="E20" i="1"/>
  <c r="D20" i="1"/>
  <c r="C20" i="1"/>
  <c r="B20" i="1"/>
  <c r="A20" i="1"/>
  <c r="T19" i="1"/>
  <c r="S19" i="1"/>
  <c r="Q19" i="1"/>
  <c r="M19" i="1"/>
  <c r="N19" i="1" s="1"/>
  <c r="L19" i="1"/>
  <c r="P19" i="1" s="1"/>
  <c r="K19" i="1"/>
  <c r="J19" i="1"/>
  <c r="R19" i="1" s="1"/>
  <c r="H19" i="1"/>
  <c r="G19" i="1"/>
  <c r="F19" i="1"/>
  <c r="E19" i="1"/>
  <c r="D19" i="1"/>
  <c r="I19" i="1" s="1"/>
  <c r="C19" i="1"/>
  <c r="B19" i="1"/>
  <c r="A19" i="1"/>
  <c r="T18" i="1"/>
  <c r="S18" i="1"/>
  <c r="Q18" i="1"/>
  <c r="M18" i="1"/>
  <c r="N18" i="1" s="1"/>
  <c r="L18" i="1"/>
  <c r="K18" i="1"/>
  <c r="J18" i="1"/>
  <c r="R18" i="1" s="1"/>
  <c r="H18" i="1"/>
  <c r="G18" i="1"/>
  <c r="F18" i="1"/>
  <c r="E18" i="1"/>
  <c r="D18" i="1"/>
  <c r="I18" i="1" s="1"/>
  <c r="C18" i="1"/>
  <c r="B18" i="1"/>
  <c r="A18" i="1"/>
  <c r="T17" i="1"/>
  <c r="S17" i="1"/>
  <c r="Q17" i="1"/>
  <c r="M17" i="1"/>
  <c r="L17" i="1"/>
  <c r="K17" i="1"/>
  <c r="J17" i="1"/>
  <c r="R17" i="1" s="1"/>
  <c r="H17" i="1"/>
  <c r="G17" i="1"/>
  <c r="F17" i="1"/>
  <c r="E17" i="1"/>
  <c r="D17" i="1"/>
  <c r="I17" i="1" s="1"/>
  <c r="C17" i="1"/>
  <c r="B17" i="1"/>
  <c r="N17" i="1" s="1"/>
  <c r="O17" i="1" s="1"/>
  <c r="A17" i="1"/>
  <c r="T16" i="1"/>
  <c r="S16" i="1"/>
  <c r="Q16" i="1"/>
  <c r="M16" i="1"/>
  <c r="L16" i="1"/>
  <c r="K16" i="1"/>
  <c r="J16" i="1"/>
  <c r="R16" i="1" s="1"/>
  <c r="I16" i="1"/>
  <c r="H16" i="1"/>
  <c r="G16" i="1"/>
  <c r="F16" i="1"/>
  <c r="E16" i="1"/>
  <c r="D16" i="1"/>
  <c r="C16" i="1"/>
  <c r="B16" i="1"/>
  <c r="N16" i="1" s="1"/>
  <c r="A16" i="1"/>
  <c r="T15" i="1"/>
  <c r="S15" i="1"/>
  <c r="R15" i="1"/>
  <c r="Q15" i="1"/>
  <c r="M15" i="1"/>
  <c r="N15" i="1" s="1"/>
  <c r="L15" i="1"/>
  <c r="K15" i="1"/>
  <c r="J15" i="1"/>
  <c r="I15" i="1"/>
  <c r="H15" i="1"/>
  <c r="G15" i="1"/>
  <c r="F15" i="1"/>
  <c r="E15" i="1"/>
  <c r="D15" i="1"/>
  <c r="C15" i="1"/>
  <c r="B15" i="1"/>
  <c r="A15" i="1"/>
  <c r="T14" i="1"/>
  <c r="S14" i="1"/>
  <c r="R14" i="1"/>
  <c r="Q14" i="1"/>
  <c r="M14" i="1"/>
  <c r="N14" i="1" s="1"/>
  <c r="L14" i="1"/>
  <c r="K14" i="1"/>
  <c r="J14" i="1"/>
  <c r="H14" i="1"/>
  <c r="G14" i="1"/>
  <c r="F14" i="1"/>
  <c r="E14" i="1"/>
  <c r="D14" i="1"/>
  <c r="I14" i="1" s="1"/>
  <c r="C14" i="1"/>
  <c r="B14" i="1"/>
  <c r="A14" i="1"/>
  <c r="T13" i="1"/>
  <c r="S13" i="1"/>
  <c r="Q13" i="1"/>
  <c r="M13" i="1"/>
  <c r="L13" i="1"/>
  <c r="K13" i="1"/>
  <c r="J13" i="1"/>
  <c r="R13" i="1" s="1"/>
  <c r="H13" i="1"/>
  <c r="G13" i="1"/>
  <c r="F13" i="1"/>
  <c r="E13" i="1"/>
  <c r="D13" i="1"/>
  <c r="I13" i="1" s="1"/>
  <c r="C13" i="1"/>
  <c r="B13" i="1"/>
  <c r="N13" i="1" s="1"/>
  <c r="O13" i="1" s="1"/>
  <c r="A13" i="1"/>
  <c r="T12" i="1"/>
  <c r="S12" i="1"/>
  <c r="Q12" i="1"/>
  <c r="M12" i="1"/>
  <c r="L12" i="1"/>
  <c r="K12" i="1"/>
  <c r="J12" i="1"/>
  <c r="R12" i="1" s="1"/>
  <c r="I12" i="1"/>
  <c r="H12" i="1"/>
  <c r="G12" i="1"/>
  <c r="F12" i="1"/>
  <c r="E12" i="1"/>
  <c r="D12" i="1"/>
  <c r="C12" i="1"/>
  <c r="B12" i="1"/>
  <c r="N12" i="1" s="1"/>
  <c r="A12" i="1"/>
  <c r="T11" i="1"/>
  <c r="S11" i="1"/>
  <c r="R11" i="1"/>
  <c r="Q11" i="1"/>
  <c r="M11" i="1"/>
  <c r="N11" i="1" s="1"/>
  <c r="L11" i="1"/>
  <c r="K11" i="1"/>
  <c r="J11" i="1"/>
  <c r="I11" i="1"/>
  <c r="H11" i="1"/>
  <c r="G11" i="1"/>
  <c r="F11" i="1"/>
  <c r="E11" i="1"/>
  <c r="D11" i="1"/>
  <c r="C11" i="1"/>
  <c r="B11" i="1"/>
  <c r="A11" i="1"/>
  <c r="T10" i="1"/>
  <c r="S10" i="1"/>
  <c r="R10" i="1"/>
  <c r="Q10" i="1"/>
  <c r="M10" i="1"/>
  <c r="N10" i="1" s="1"/>
  <c r="L10" i="1"/>
  <c r="K10" i="1"/>
  <c r="J10" i="1"/>
  <c r="H10" i="1"/>
  <c r="G10" i="1"/>
  <c r="F10" i="1"/>
  <c r="E10" i="1"/>
  <c r="D10" i="1"/>
  <c r="I10" i="1" s="1"/>
  <c r="C10" i="1"/>
  <c r="B10" i="1"/>
  <c r="A10" i="1"/>
  <c r="T9" i="1"/>
  <c r="S9" i="1"/>
  <c r="Q9" i="1"/>
  <c r="P9" i="1"/>
  <c r="M9" i="1"/>
  <c r="L9" i="1"/>
  <c r="K9" i="1"/>
  <c r="J9" i="1"/>
  <c r="R9" i="1" s="1"/>
  <c r="H9" i="1"/>
  <c r="G9" i="1"/>
  <c r="F9" i="1"/>
  <c r="E9" i="1"/>
  <c r="D9" i="1"/>
  <c r="I9" i="1" s="1"/>
  <c r="C9" i="1"/>
  <c r="B9" i="1"/>
  <c r="N9" i="1" s="1"/>
  <c r="O9" i="1" s="1"/>
  <c r="A9" i="1"/>
  <c r="T8" i="1"/>
  <c r="S8" i="1"/>
  <c r="Q8" i="1"/>
  <c r="M8" i="1"/>
  <c r="L8" i="1"/>
  <c r="K8" i="1"/>
  <c r="J8" i="1"/>
  <c r="R8" i="1" s="1"/>
  <c r="I8" i="1"/>
  <c r="H8" i="1"/>
  <c r="G8" i="1"/>
  <c r="F8" i="1"/>
  <c r="E8" i="1"/>
  <c r="D8" i="1"/>
  <c r="C8" i="1"/>
  <c r="B8" i="1"/>
  <c r="N8" i="1" s="1"/>
  <c r="A8" i="1"/>
  <c r="T7" i="1"/>
  <c r="S7" i="1"/>
  <c r="R7" i="1"/>
  <c r="Q7" i="1"/>
  <c r="M7" i="1"/>
  <c r="N7" i="1" s="1"/>
  <c r="L7" i="1"/>
  <c r="K7" i="1"/>
  <c r="J7" i="1"/>
  <c r="I7" i="1"/>
  <c r="H7" i="1"/>
  <c r="G7" i="1"/>
  <c r="F7" i="1"/>
  <c r="E7" i="1"/>
  <c r="D7" i="1"/>
  <c r="C7" i="1"/>
  <c r="B7" i="1"/>
  <c r="A7" i="1"/>
  <c r="T6" i="1"/>
  <c r="S6" i="1"/>
  <c r="R6" i="1"/>
  <c r="Q6" i="1"/>
  <c r="M6" i="1"/>
  <c r="N6" i="1" s="1"/>
  <c r="L6" i="1"/>
  <c r="K6" i="1"/>
  <c r="J6" i="1"/>
  <c r="H6" i="1"/>
  <c r="G6" i="1"/>
  <c r="F6" i="1"/>
  <c r="E6" i="1"/>
  <c r="D6" i="1"/>
  <c r="I6" i="1" s="1"/>
  <c r="C6" i="1"/>
  <c r="B6" i="1"/>
  <c r="A6" i="1"/>
  <c r="T5" i="1"/>
  <c r="S5" i="1"/>
  <c r="Q5" i="1"/>
  <c r="M5" i="1"/>
  <c r="L5" i="1"/>
  <c r="K5" i="1"/>
  <c r="J5" i="1"/>
  <c r="R5" i="1" s="1"/>
  <c r="H5" i="1"/>
  <c r="G5" i="1"/>
  <c r="F5" i="1"/>
  <c r="E5" i="1"/>
  <c r="D5" i="1"/>
  <c r="I5" i="1" s="1"/>
  <c r="C5" i="1"/>
  <c r="B5" i="1"/>
  <c r="N5" i="1" s="1"/>
  <c r="O5" i="1" s="1"/>
  <c r="A5" i="1"/>
  <c r="T4" i="1"/>
  <c r="S4" i="1"/>
  <c r="Q4" i="1"/>
  <c r="M4" i="1"/>
  <c r="L4" i="1"/>
  <c r="K4" i="1"/>
  <c r="J4" i="1"/>
  <c r="R4" i="1" s="1"/>
  <c r="I4" i="1"/>
  <c r="H4" i="1"/>
  <c r="G4" i="1"/>
  <c r="F4" i="1"/>
  <c r="E4" i="1"/>
  <c r="D4" i="1"/>
  <c r="C4" i="1"/>
  <c r="B4" i="1"/>
  <c r="N4" i="1" s="1"/>
  <c r="A4" i="1"/>
  <c r="T3" i="1"/>
  <c r="S3" i="1"/>
  <c r="R3" i="1"/>
  <c r="Q3" i="1"/>
  <c r="M3" i="1"/>
  <c r="N3" i="1" s="1"/>
  <c r="L3" i="1"/>
  <c r="K3" i="1"/>
  <c r="J3" i="1"/>
  <c r="I3" i="1"/>
  <c r="H3" i="1"/>
  <c r="G3" i="1"/>
  <c r="F3" i="1"/>
  <c r="E3" i="1"/>
  <c r="D3" i="1"/>
  <c r="C3" i="1"/>
  <c r="B3" i="1"/>
  <c r="A3" i="1"/>
  <c r="T2" i="1"/>
  <c r="S2" i="1"/>
  <c r="R2" i="1"/>
  <c r="Q2" i="1"/>
  <c r="M2" i="1"/>
  <c r="N2" i="1" s="1"/>
  <c r="L2" i="1"/>
  <c r="K2" i="1"/>
  <c r="J2" i="1"/>
  <c r="H2" i="1"/>
  <c r="G2" i="1"/>
  <c r="F2" i="1"/>
  <c r="E2" i="1"/>
  <c r="D2" i="1"/>
  <c r="I2" i="1" s="1"/>
  <c r="C2" i="1"/>
  <c r="B2" i="1"/>
  <c r="A2" i="1"/>
  <c r="O4" i="1" l="1"/>
  <c r="P4" i="1"/>
  <c r="O8" i="1"/>
  <c r="P8" i="1"/>
  <c r="O12" i="1"/>
  <c r="P12" i="1"/>
  <c r="O16" i="1"/>
  <c r="P16" i="1"/>
  <c r="O2" i="1"/>
  <c r="P2" i="1"/>
  <c r="O10" i="1"/>
  <c r="P10" i="1"/>
  <c r="O21" i="1"/>
  <c r="P21" i="1"/>
  <c r="O37" i="1"/>
  <c r="P37" i="1"/>
  <c r="O45" i="1"/>
  <c r="P45" i="1"/>
  <c r="O53" i="1"/>
  <c r="P53" i="1"/>
  <c r="O61" i="1"/>
  <c r="P61" i="1"/>
  <c r="O69" i="1"/>
  <c r="P69" i="1"/>
  <c r="O77" i="1"/>
  <c r="P77" i="1"/>
  <c r="P85" i="1"/>
  <c r="O85" i="1"/>
  <c r="P86" i="1"/>
  <c r="O86" i="1"/>
  <c r="P87" i="1"/>
  <c r="O87" i="1"/>
  <c r="P88" i="1"/>
  <c r="O88" i="1"/>
  <c r="P89" i="1"/>
  <c r="O89" i="1"/>
  <c r="P90" i="1"/>
  <c r="O90" i="1"/>
  <c r="P91" i="1"/>
  <c r="O91" i="1"/>
  <c r="P92" i="1"/>
  <c r="O92" i="1"/>
  <c r="P93" i="1"/>
  <c r="O93" i="1"/>
  <c r="P94" i="1"/>
  <c r="O94" i="1"/>
  <c r="P95" i="1"/>
  <c r="O95" i="1"/>
  <c r="P96" i="1"/>
  <c r="O96" i="1"/>
  <c r="P97" i="1"/>
  <c r="O97" i="1"/>
  <c r="P98" i="1"/>
  <c r="O98" i="1"/>
  <c r="P99" i="1"/>
  <c r="O99" i="1"/>
  <c r="P100" i="1"/>
  <c r="O100" i="1"/>
  <c r="P101" i="1"/>
  <c r="O101" i="1"/>
  <c r="P102" i="1"/>
  <c r="O102" i="1"/>
  <c r="P103" i="1"/>
  <c r="O103" i="1"/>
  <c r="P104" i="1"/>
  <c r="O104" i="1"/>
  <c r="P105" i="1"/>
  <c r="O105" i="1"/>
  <c r="P106" i="1"/>
  <c r="O106" i="1"/>
  <c r="P107" i="1"/>
  <c r="O107" i="1"/>
  <c r="P108" i="1"/>
  <c r="O108" i="1"/>
  <c r="P109" i="1"/>
  <c r="O109" i="1"/>
  <c r="P110" i="1"/>
  <c r="O110" i="1"/>
  <c r="P111" i="1"/>
  <c r="O111" i="1"/>
  <c r="P112" i="1"/>
  <c r="O112" i="1"/>
  <c r="P113" i="1"/>
  <c r="O113" i="1"/>
  <c r="P114" i="1"/>
  <c r="O114" i="1"/>
  <c r="P115" i="1"/>
  <c r="O115" i="1"/>
  <c r="P116" i="1"/>
  <c r="O116" i="1"/>
  <c r="P117" i="1"/>
  <c r="O117" i="1"/>
  <c r="P118" i="1"/>
  <c r="O118" i="1"/>
  <c r="P119" i="1"/>
  <c r="O119" i="1"/>
  <c r="P120" i="1"/>
  <c r="O120" i="1"/>
  <c r="P121" i="1"/>
  <c r="O121" i="1"/>
  <c r="O324" i="1"/>
  <c r="P324" i="1"/>
  <c r="O340" i="1"/>
  <c r="P340" i="1"/>
  <c r="O356" i="1"/>
  <c r="P356" i="1"/>
  <c r="O372" i="1"/>
  <c r="P372" i="1"/>
  <c r="O392" i="1"/>
  <c r="P392" i="1"/>
  <c r="O396" i="1"/>
  <c r="P396" i="1"/>
  <c r="O3" i="1"/>
  <c r="P3" i="1"/>
  <c r="O11" i="1"/>
  <c r="P11" i="1"/>
  <c r="P17" i="1"/>
  <c r="O33" i="1"/>
  <c r="P33" i="1"/>
  <c r="O328" i="1"/>
  <c r="P328" i="1"/>
  <c r="O344" i="1"/>
  <c r="P344" i="1"/>
  <c r="O360" i="1"/>
  <c r="P360" i="1"/>
  <c r="O376" i="1"/>
  <c r="P376" i="1"/>
  <c r="O6" i="1"/>
  <c r="P6" i="1"/>
  <c r="O14" i="1"/>
  <c r="P14" i="1"/>
  <c r="O29" i="1"/>
  <c r="P29" i="1"/>
  <c r="O41" i="1"/>
  <c r="P41" i="1"/>
  <c r="O49" i="1"/>
  <c r="P49" i="1"/>
  <c r="O57" i="1"/>
  <c r="P57" i="1"/>
  <c r="O65" i="1"/>
  <c r="P65" i="1"/>
  <c r="O73" i="1"/>
  <c r="P73" i="1"/>
  <c r="O81" i="1"/>
  <c r="P81" i="1"/>
  <c r="O332" i="1"/>
  <c r="P332" i="1"/>
  <c r="O348" i="1"/>
  <c r="P348" i="1"/>
  <c r="O364" i="1"/>
  <c r="P364" i="1"/>
  <c r="O380" i="1"/>
  <c r="P380" i="1"/>
  <c r="O400" i="1"/>
  <c r="P400" i="1"/>
  <c r="P5" i="1"/>
  <c r="O7" i="1"/>
  <c r="P7" i="1"/>
  <c r="P13" i="1"/>
  <c r="O15" i="1"/>
  <c r="P15" i="1"/>
  <c r="O25" i="1"/>
  <c r="P25" i="1"/>
  <c r="O336" i="1"/>
  <c r="P336" i="1"/>
  <c r="O352" i="1"/>
  <c r="P352" i="1"/>
  <c r="O368" i="1"/>
  <c r="P368" i="1"/>
  <c r="O384" i="1"/>
  <c r="P384" i="1"/>
  <c r="O388" i="1"/>
  <c r="P388" i="1"/>
  <c r="P122" i="1"/>
  <c r="O122" i="1"/>
  <c r="P123" i="1"/>
  <c r="O123" i="1"/>
  <c r="P124" i="1"/>
  <c r="O124" i="1"/>
  <c r="P125" i="1"/>
  <c r="O125" i="1"/>
  <c r="P126" i="1"/>
  <c r="O126" i="1"/>
  <c r="P127" i="1"/>
  <c r="O127" i="1"/>
  <c r="P128" i="1"/>
  <c r="O128" i="1"/>
  <c r="P129" i="1"/>
  <c r="O129" i="1"/>
  <c r="P130" i="1"/>
  <c r="O130" i="1"/>
  <c r="P131" i="1"/>
  <c r="O131" i="1"/>
  <c r="P132" i="1"/>
  <c r="O132" i="1"/>
  <c r="P133" i="1"/>
  <c r="O133" i="1"/>
  <c r="P134" i="1"/>
  <c r="O134" i="1"/>
  <c r="P135" i="1"/>
  <c r="O135" i="1"/>
  <c r="P136" i="1"/>
  <c r="O136" i="1"/>
  <c r="P137" i="1"/>
  <c r="O137" i="1"/>
  <c r="P138" i="1"/>
  <c r="O138" i="1"/>
  <c r="P139" i="1"/>
  <c r="O139" i="1"/>
  <c r="P140" i="1"/>
  <c r="O140" i="1"/>
  <c r="P141" i="1"/>
  <c r="O141" i="1"/>
  <c r="P142" i="1"/>
  <c r="O142" i="1"/>
  <c r="P143" i="1"/>
  <c r="O143" i="1"/>
  <c r="P144" i="1"/>
  <c r="O144" i="1"/>
  <c r="P145" i="1"/>
  <c r="O145" i="1"/>
  <c r="P146" i="1"/>
  <c r="O146" i="1"/>
  <c r="P147" i="1"/>
  <c r="O147" i="1"/>
  <c r="P148" i="1"/>
  <c r="O148" i="1"/>
  <c r="P149" i="1"/>
  <c r="O149" i="1"/>
  <c r="P150" i="1"/>
  <c r="O150" i="1"/>
  <c r="P151" i="1"/>
  <c r="O151" i="1"/>
  <c r="P152" i="1"/>
  <c r="O152" i="1"/>
  <c r="P153" i="1"/>
  <c r="O153" i="1"/>
  <c r="P154" i="1"/>
  <c r="O154" i="1"/>
  <c r="P155" i="1"/>
  <c r="O155" i="1"/>
  <c r="P156" i="1"/>
  <c r="O156" i="1"/>
  <c r="P157" i="1"/>
  <c r="O157" i="1"/>
  <c r="P158" i="1"/>
  <c r="O158" i="1"/>
  <c r="P159" i="1"/>
  <c r="O159" i="1"/>
  <c r="P160" i="1"/>
  <c r="O160" i="1"/>
  <c r="P161" i="1"/>
  <c r="O161" i="1"/>
  <c r="P162" i="1"/>
  <c r="O162" i="1"/>
  <c r="P163" i="1"/>
  <c r="O163" i="1"/>
  <c r="P164" i="1"/>
  <c r="O164" i="1"/>
  <c r="P165" i="1"/>
  <c r="O165" i="1"/>
  <c r="P166" i="1"/>
  <c r="O166" i="1"/>
  <c r="P167" i="1"/>
  <c r="O167" i="1"/>
  <c r="P168" i="1"/>
  <c r="O168" i="1"/>
  <c r="P169" i="1"/>
  <c r="O169" i="1"/>
  <c r="P170" i="1"/>
  <c r="O170" i="1"/>
  <c r="P171" i="1"/>
  <c r="O171" i="1"/>
  <c r="P172" i="1"/>
  <c r="O172" i="1"/>
  <c r="P173" i="1"/>
  <c r="O173" i="1"/>
  <c r="P174" i="1"/>
  <c r="O174" i="1"/>
  <c r="P175" i="1"/>
  <c r="O175" i="1"/>
  <c r="P176" i="1"/>
  <c r="O176" i="1"/>
  <c r="P177" i="1"/>
  <c r="O177" i="1"/>
  <c r="P178" i="1"/>
  <c r="O178" i="1"/>
  <c r="P179" i="1"/>
  <c r="O179" i="1"/>
  <c r="P180" i="1"/>
  <c r="O180" i="1"/>
  <c r="P181" i="1"/>
  <c r="O181" i="1"/>
  <c r="P182" i="1"/>
  <c r="O182" i="1"/>
  <c r="P183" i="1"/>
  <c r="O183" i="1"/>
  <c r="P184" i="1"/>
  <c r="O184" i="1"/>
  <c r="P185" i="1"/>
  <c r="O185" i="1"/>
  <c r="P186" i="1"/>
  <c r="O186" i="1"/>
  <c r="P187" i="1"/>
  <c r="O187" i="1"/>
  <c r="P188" i="1"/>
  <c r="O188" i="1"/>
  <c r="P189" i="1"/>
  <c r="O189" i="1"/>
  <c r="P190" i="1"/>
  <c r="O190" i="1"/>
  <c r="P191" i="1"/>
  <c r="O191" i="1"/>
  <c r="P192" i="1"/>
  <c r="O192" i="1"/>
  <c r="P193" i="1"/>
  <c r="O193" i="1"/>
  <c r="P194" i="1"/>
  <c r="O194" i="1"/>
  <c r="P195" i="1"/>
  <c r="O195" i="1"/>
  <c r="P196" i="1"/>
  <c r="O196" i="1"/>
  <c r="P197" i="1"/>
  <c r="O197" i="1"/>
  <c r="P198" i="1"/>
  <c r="O198" i="1"/>
  <c r="P199" i="1"/>
  <c r="O199" i="1"/>
  <c r="P200" i="1"/>
  <c r="O200" i="1"/>
  <c r="P201" i="1"/>
  <c r="O201" i="1"/>
  <c r="P202" i="1"/>
  <c r="O202" i="1"/>
  <c r="P203" i="1"/>
  <c r="O203" i="1"/>
  <c r="P204" i="1"/>
  <c r="O204" i="1"/>
  <c r="P205" i="1"/>
  <c r="O205" i="1"/>
  <c r="P206" i="1"/>
  <c r="O206" i="1"/>
  <c r="P207" i="1"/>
  <c r="O207" i="1"/>
  <c r="P208" i="1"/>
  <c r="O208" i="1"/>
  <c r="P209" i="1"/>
  <c r="O209" i="1"/>
  <c r="P210" i="1"/>
  <c r="O210" i="1"/>
  <c r="P211" i="1"/>
  <c r="O211" i="1"/>
  <c r="P212" i="1"/>
  <c r="O212" i="1"/>
  <c r="P213" i="1"/>
  <c r="O213" i="1"/>
  <c r="P214" i="1"/>
  <c r="O214" i="1"/>
  <c r="P215" i="1"/>
  <c r="O215" i="1"/>
  <c r="P216" i="1"/>
  <c r="O216" i="1"/>
  <c r="P217" i="1"/>
  <c r="O217" i="1"/>
  <c r="P218" i="1"/>
  <c r="O218" i="1"/>
  <c r="P219" i="1"/>
  <c r="O219" i="1"/>
  <c r="P220" i="1"/>
  <c r="O220" i="1"/>
  <c r="P221" i="1"/>
  <c r="O221" i="1"/>
  <c r="P222" i="1"/>
  <c r="O222" i="1"/>
  <c r="P223" i="1"/>
  <c r="O223" i="1"/>
  <c r="P224" i="1"/>
  <c r="O224" i="1"/>
  <c r="P225" i="1"/>
  <c r="O225" i="1"/>
  <c r="P226" i="1"/>
  <c r="O226" i="1"/>
  <c r="P227" i="1"/>
  <c r="O227" i="1"/>
  <c r="P228" i="1"/>
  <c r="O228" i="1"/>
  <c r="P229" i="1"/>
  <c r="O229" i="1"/>
  <c r="P230" i="1"/>
  <c r="O230" i="1"/>
  <c r="P231" i="1"/>
  <c r="O231" i="1"/>
  <c r="P232" i="1"/>
  <c r="O232" i="1"/>
  <c r="P233" i="1"/>
  <c r="O233" i="1"/>
  <c r="P234" i="1"/>
  <c r="O234" i="1"/>
  <c r="P235" i="1"/>
  <c r="O235" i="1"/>
  <c r="P236" i="1"/>
  <c r="O236" i="1"/>
  <c r="P237" i="1"/>
  <c r="O237" i="1"/>
  <c r="P238" i="1"/>
  <c r="O238" i="1"/>
  <c r="P239" i="1"/>
  <c r="O239" i="1"/>
  <c r="P240" i="1"/>
  <c r="O240" i="1"/>
  <c r="P241" i="1"/>
  <c r="O241" i="1"/>
  <c r="P242" i="1"/>
  <c r="O242" i="1"/>
  <c r="P243" i="1"/>
  <c r="O243" i="1"/>
  <c r="P244" i="1"/>
  <c r="O244" i="1"/>
  <c r="P245" i="1"/>
  <c r="O245" i="1"/>
  <c r="P246" i="1"/>
  <c r="O246" i="1"/>
  <c r="P247" i="1"/>
  <c r="O247" i="1"/>
  <c r="P248" i="1"/>
  <c r="O248" i="1"/>
  <c r="P249" i="1"/>
  <c r="O249" i="1"/>
  <c r="P250" i="1"/>
  <c r="O250" i="1"/>
  <c r="P251" i="1"/>
  <c r="O251" i="1"/>
  <c r="P252" i="1"/>
  <c r="O252" i="1"/>
  <c r="P253" i="1"/>
  <c r="O253" i="1"/>
  <c r="P254" i="1"/>
  <c r="O254" i="1"/>
  <c r="P255" i="1"/>
  <c r="O255" i="1"/>
  <c r="P256" i="1"/>
  <c r="O256" i="1"/>
  <c r="P257" i="1"/>
  <c r="O257" i="1"/>
  <c r="P258" i="1"/>
  <c r="O258" i="1"/>
  <c r="P259" i="1"/>
  <c r="O259" i="1"/>
  <c r="P260" i="1"/>
  <c r="O260" i="1"/>
  <c r="P261" i="1"/>
  <c r="O261" i="1"/>
  <c r="P262" i="1"/>
  <c r="O262" i="1"/>
  <c r="P263" i="1"/>
  <c r="O263" i="1"/>
  <c r="P264" i="1"/>
  <c r="O264" i="1"/>
  <c r="P265" i="1"/>
  <c r="O265" i="1"/>
  <c r="P266" i="1"/>
  <c r="O266" i="1"/>
  <c r="P267" i="1"/>
  <c r="O267" i="1"/>
  <c r="P268" i="1"/>
  <c r="O268" i="1"/>
  <c r="P269" i="1"/>
  <c r="O269" i="1"/>
  <c r="P270" i="1"/>
  <c r="O270" i="1"/>
  <c r="P271" i="1"/>
  <c r="O271" i="1"/>
  <c r="P272" i="1"/>
  <c r="O272" i="1"/>
  <c r="P273" i="1"/>
  <c r="O273" i="1"/>
  <c r="P274" i="1"/>
  <c r="O274" i="1"/>
  <c r="P275" i="1"/>
  <c r="O275" i="1"/>
  <c r="P276" i="1"/>
  <c r="O276" i="1"/>
  <c r="P277" i="1"/>
  <c r="O277" i="1"/>
  <c r="P278" i="1"/>
  <c r="O278" i="1"/>
  <c r="P279" i="1"/>
  <c r="O279" i="1"/>
  <c r="P280" i="1"/>
  <c r="O280" i="1"/>
  <c r="P281" i="1"/>
  <c r="O281" i="1"/>
  <c r="P282" i="1"/>
  <c r="O282" i="1"/>
  <c r="P283" i="1"/>
  <c r="O283" i="1"/>
  <c r="P284" i="1"/>
  <c r="O284" i="1"/>
  <c r="P285" i="1"/>
  <c r="O285" i="1"/>
  <c r="P286" i="1"/>
  <c r="O286" i="1"/>
  <c r="P287" i="1"/>
  <c r="O287" i="1"/>
  <c r="P288" i="1"/>
  <c r="O288" i="1"/>
  <c r="P289" i="1"/>
  <c r="O289" i="1"/>
  <c r="P290" i="1"/>
  <c r="O290" i="1"/>
  <c r="P291" i="1"/>
  <c r="O291" i="1"/>
  <c r="P292" i="1"/>
  <c r="O292" i="1"/>
  <c r="P293" i="1"/>
  <c r="O293" i="1"/>
  <c r="P294" i="1"/>
  <c r="O294" i="1"/>
  <c r="P295" i="1"/>
  <c r="O295" i="1"/>
  <c r="P296" i="1"/>
  <c r="O296" i="1"/>
  <c r="P297" i="1"/>
  <c r="O297" i="1"/>
  <c r="P298" i="1"/>
  <c r="O298" i="1"/>
  <c r="P299" i="1"/>
  <c r="O299" i="1"/>
  <c r="P300" i="1"/>
  <c r="O300" i="1"/>
  <c r="P301" i="1"/>
  <c r="O301" i="1"/>
  <c r="P302" i="1"/>
  <c r="O302" i="1"/>
  <c r="P303" i="1"/>
  <c r="O303" i="1"/>
  <c r="P304" i="1"/>
  <c r="O304" i="1"/>
  <c r="P305" i="1"/>
  <c r="O305" i="1"/>
  <c r="P306" i="1"/>
  <c r="O306" i="1"/>
  <c r="P307" i="1"/>
  <c r="O307" i="1"/>
  <c r="P308" i="1"/>
  <c r="O308" i="1"/>
  <c r="P309" i="1"/>
  <c r="O309" i="1"/>
  <c r="P310" i="1"/>
  <c r="O310" i="1"/>
  <c r="P311" i="1"/>
  <c r="O311" i="1"/>
  <c r="P312" i="1"/>
  <c r="O312" i="1"/>
  <c r="P313" i="1"/>
  <c r="O313" i="1"/>
  <c r="P314" i="1"/>
  <c r="O314" i="1"/>
  <c r="P315" i="1"/>
  <c r="O315" i="1"/>
  <c r="P316" i="1"/>
  <c r="O316" i="1"/>
  <c r="P317" i="1"/>
  <c r="O317" i="1"/>
  <c r="P318" i="1"/>
  <c r="O318" i="1"/>
  <c r="O319" i="1"/>
  <c r="P319" i="1"/>
  <c r="O327" i="1"/>
  <c r="P327" i="1"/>
  <c r="O335" i="1"/>
  <c r="P335" i="1"/>
  <c r="O343" i="1"/>
  <c r="P343" i="1"/>
  <c r="O351" i="1"/>
  <c r="P351" i="1"/>
  <c r="O359" i="1"/>
  <c r="P359" i="1"/>
  <c r="O367" i="1"/>
  <c r="P367" i="1"/>
  <c r="O375" i="1"/>
  <c r="P375" i="1"/>
  <c r="O383" i="1"/>
  <c r="P383" i="1"/>
  <c r="O391" i="1"/>
  <c r="P391" i="1"/>
  <c r="O398" i="1"/>
  <c r="P398" i="1"/>
  <c r="O406" i="1"/>
  <c r="P406" i="1"/>
  <c r="O410" i="1"/>
  <c r="P410" i="1"/>
  <c r="O414" i="1"/>
  <c r="P414" i="1"/>
  <c r="P752" i="1"/>
  <c r="O752" i="1"/>
  <c r="P756" i="1"/>
  <c r="O756" i="1"/>
  <c r="P760" i="1"/>
  <c r="O760" i="1"/>
  <c r="P764" i="1"/>
  <c r="O764" i="1"/>
  <c r="P828" i="1"/>
  <c r="O828" i="1"/>
  <c r="P836" i="1"/>
  <c r="O836" i="1"/>
  <c r="P844" i="1"/>
  <c r="O844" i="1"/>
  <c r="P852" i="1"/>
  <c r="O852" i="1"/>
  <c r="P860" i="1"/>
  <c r="O860" i="1"/>
  <c r="P868" i="1"/>
  <c r="O868" i="1"/>
  <c r="O18" i="1"/>
  <c r="O22" i="1"/>
  <c r="O26" i="1"/>
  <c r="O30" i="1"/>
  <c r="O34" i="1"/>
  <c r="O38" i="1"/>
  <c r="O42" i="1"/>
  <c r="O46" i="1"/>
  <c r="O50" i="1"/>
  <c r="O54" i="1"/>
  <c r="O58" i="1"/>
  <c r="O62" i="1"/>
  <c r="O66" i="1"/>
  <c r="O70" i="1"/>
  <c r="O74" i="1"/>
  <c r="O78" i="1"/>
  <c r="O82" i="1"/>
  <c r="O322" i="1"/>
  <c r="P322" i="1"/>
  <c r="O330" i="1"/>
  <c r="P330" i="1"/>
  <c r="O338" i="1"/>
  <c r="P338" i="1"/>
  <c r="O346" i="1"/>
  <c r="P346" i="1"/>
  <c r="O354" i="1"/>
  <c r="P354" i="1"/>
  <c r="O362" i="1"/>
  <c r="P362" i="1"/>
  <c r="O370" i="1"/>
  <c r="P370" i="1"/>
  <c r="O378" i="1"/>
  <c r="P378" i="1"/>
  <c r="O386" i="1"/>
  <c r="P386" i="1"/>
  <c r="O394" i="1"/>
  <c r="P394" i="1"/>
  <c r="O399" i="1"/>
  <c r="P399" i="1"/>
  <c r="P18" i="1"/>
  <c r="O19" i="1"/>
  <c r="P22" i="1"/>
  <c r="O23" i="1"/>
  <c r="P26" i="1"/>
  <c r="O27" i="1"/>
  <c r="P30" i="1"/>
  <c r="O31" i="1"/>
  <c r="P34" i="1"/>
  <c r="O35" i="1"/>
  <c r="P38" i="1"/>
  <c r="O39" i="1"/>
  <c r="P42" i="1"/>
  <c r="O43" i="1"/>
  <c r="P46" i="1"/>
  <c r="O47" i="1"/>
  <c r="P50" i="1"/>
  <c r="O51" i="1"/>
  <c r="P54" i="1"/>
  <c r="O55" i="1"/>
  <c r="P58" i="1"/>
  <c r="O59" i="1"/>
  <c r="P62" i="1"/>
  <c r="O63" i="1"/>
  <c r="P66" i="1"/>
  <c r="O67" i="1"/>
  <c r="P70" i="1"/>
  <c r="O71" i="1"/>
  <c r="P74" i="1"/>
  <c r="O75" i="1"/>
  <c r="P78" i="1"/>
  <c r="O79" i="1"/>
  <c r="P82" i="1"/>
  <c r="O83" i="1"/>
  <c r="O320" i="1"/>
  <c r="P320" i="1"/>
  <c r="O323" i="1"/>
  <c r="P323" i="1"/>
  <c r="O331" i="1"/>
  <c r="P331" i="1"/>
  <c r="O339" i="1"/>
  <c r="P339" i="1"/>
  <c r="O347" i="1"/>
  <c r="P347" i="1"/>
  <c r="O355" i="1"/>
  <c r="P355" i="1"/>
  <c r="O363" i="1"/>
  <c r="P363" i="1"/>
  <c r="O371" i="1"/>
  <c r="P371" i="1"/>
  <c r="O379" i="1"/>
  <c r="P379" i="1"/>
  <c r="P385" i="1"/>
  <c r="O387" i="1"/>
  <c r="P387" i="1"/>
  <c r="P393" i="1"/>
  <c r="O395" i="1"/>
  <c r="P395" i="1"/>
  <c r="O402" i="1"/>
  <c r="P402" i="1"/>
  <c r="P35" i="1"/>
  <c r="P39" i="1"/>
  <c r="O40" i="1"/>
  <c r="P43" i="1"/>
  <c r="O44" i="1"/>
  <c r="P47" i="1"/>
  <c r="O48" i="1"/>
  <c r="P51" i="1"/>
  <c r="O52" i="1"/>
  <c r="P55" i="1"/>
  <c r="O56" i="1"/>
  <c r="P59" i="1"/>
  <c r="O60" i="1"/>
  <c r="P63" i="1"/>
  <c r="O64" i="1"/>
  <c r="P67" i="1"/>
  <c r="O68" i="1"/>
  <c r="P71" i="1"/>
  <c r="O72" i="1"/>
  <c r="P75" i="1"/>
  <c r="O76" i="1"/>
  <c r="P79" i="1"/>
  <c r="O80" i="1"/>
  <c r="P83" i="1"/>
  <c r="O84" i="1"/>
  <c r="O326" i="1"/>
  <c r="P326" i="1"/>
  <c r="O334" i="1"/>
  <c r="P334" i="1"/>
  <c r="O342" i="1"/>
  <c r="P342" i="1"/>
  <c r="O350" i="1"/>
  <c r="P350" i="1"/>
  <c r="O358" i="1"/>
  <c r="P358" i="1"/>
  <c r="O366" i="1"/>
  <c r="P366" i="1"/>
  <c r="O374" i="1"/>
  <c r="P374" i="1"/>
  <c r="O382" i="1"/>
  <c r="P382" i="1"/>
  <c r="O390" i="1"/>
  <c r="P390" i="1"/>
  <c r="P401" i="1"/>
  <c r="O403" i="1"/>
  <c r="P403" i="1"/>
  <c r="O407" i="1"/>
  <c r="O411" i="1"/>
  <c r="O415" i="1"/>
  <c r="P735" i="1"/>
  <c r="O735" i="1"/>
  <c r="P736" i="1"/>
  <c r="O736" i="1"/>
  <c r="P739" i="1"/>
  <c r="O739" i="1"/>
  <c r="P740" i="1"/>
  <c r="O740" i="1"/>
  <c r="P743" i="1"/>
  <c r="O743" i="1"/>
  <c r="P744" i="1"/>
  <c r="O744" i="1"/>
  <c r="P747" i="1"/>
  <c r="O747" i="1"/>
  <c r="P748" i="1"/>
  <c r="O748" i="1"/>
  <c r="P751" i="1"/>
  <c r="O751" i="1"/>
  <c r="R752" i="1"/>
  <c r="R756" i="1"/>
  <c r="R760" i="1"/>
  <c r="R764" i="1"/>
  <c r="O404" i="1"/>
  <c r="P407" i="1"/>
  <c r="O408" i="1"/>
  <c r="P411" i="1"/>
  <c r="O412" i="1"/>
  <c r="P415" i="1"/>
  <c r="O416" i="1"/>
  <c r="R736" i="1"/>
  <c r="R740" i="1"/>
  <c r="R744" i="1"/>
  <c r="R748" i="1"/>
  <c r="P754" i="1"/>
  <c r="O754" i="1"/>
  <c r="P758" i="1"/>
  <c r="O758" i="1"/>
  <c r="P762" i="1"/>
  <c r="O762" i="1"/>
  <c r="P766" i="1"/>
  <c r="O766" i="1"/>
  <c r="P824" i="1"/>
  <c r="O824" i="1"/>
  <c r="P832" i="1"/>
  <c r="O832" i="1"/>
  <c r="P840" i="1"/>
  <c r="O840" i="1"/>
  <c r="P848" i="1"/>
  <c r="O848" i="1"/>
  <c r="P856" i="1"/>
  <c r="O856" i="1"/>
  <c r="P864" i="1"/>
  <c r="O864" i="1"/>
  <c r="O732" i="1"/>
  <c r="P733" i="1"/>
  <c r="O733" i="1"/>
  <c r="P734" i="1"/>
  <c r="O734" i="1"/>
  <c r="P737" i="1"/>
  <c r="O737" i="1"/>
  <c r="P738" i="1"/>
  <c r="O738" i="1"/>
  <c r="P741" i="1"/>
  <c r="O741" i="1"/>
  <c r="P742" i="1"/>
  <c r="O742" i="1"/>
  <c r="P745" i="1"/>
  <c r="O745" i="1"/>
  <c r="P746" i="1"/>
  <c r="O746" i="1"/>
  <c r="P749" i="1"/>
  <c r="O749" i="1"/>
  <c r="P750" i="1"/>
  <c r="O750" i="1"/>
  <c r="R754" i="1"/>
  <c r="R758" i="1"/>
  <c r="R762" i="1"/>
  <c r="R766" i="1"/>
  <c r="P872" i="1"/>
  <c r="O872" i="1"/>
  <c r="P876" i="1"/>
  <c r="O876" i="1"/>
  <c r="P880" i="1"/>
  <c r="O880" i="1"/>
  <c r="P884" i="1"/>
  <c r="O884" i="1"/>
  <c r="P888" i="1"/>
  <c r="O888" i="1"/>
  <c r="P892" i="1"/>
  <c r="O892" i="1"/>
  <c r="P896" i="1"/>
  <c r="O896" i="1"/>
  <c r="P900" i="1"/>
  <c r="O900" i="1"/>
  <c r="P904" i="1"/>
  <c r="O904" i="1"/>
  <c r="P908" i="1"/>
  <c r="O908" i="1"/>
  <c r="P912" i="1"/>
  <c r="O912" i="1"/>
  <c r="P916" i="1"/>
  <c r="O916" i="1"/>
  <c r="P920" i="1"/>
  <c r="O920" i="1"/>
  <c r="P924" i="1"/>
  <c r="O924" i="1"/>
  <c r="P928" i="1"/>
  <c r="O928" i="1"/>
  <c r="P932" i="1"/>
  <c r="O932" i="1"/>
  <c r="P936" i="1"/>
  <c r="O936" i="1"/>
  <c r="P940" i="1"/>
  <c r="O940" i="1"/>
  <c r="P944" i="1"/>
  <c r="O944" i="1"/>
  <c r="P948" i="1"/>
  <c r="O948" i="1"/>
  <c r="P952" i="1"/>
  <c r="O952" i="1"/>
  <c r="P956" i="1"/>
  <c r="O956" i="1"/>
  <c r="P960" i="1"/>
  <c r="O960" i="1"/>
  <c r="P964" i="1"/>
  <c r="O964" i="1"/>
  <c r="P968" i="1"/>
  <c r="O968" i="1"/>
  <c r="P972" i="1"/>
  <c r="O972" i="1"/>
  <c r="P976" i="1"/>
  <c r="O976" i="1"/>
  <c r="P980" i="1"/>
  <c r="O980" i="1"/>
  <c r="P984" i="1"/>
  <c r="O984" i="1"/>
  <c r="P988" i="1"/>
  <c r="O988" i="1"/>
  <c r="P992" i="1"/>
  <c r="O992" i="1"/>
  <c r="P1000" i="1"/>
  <c r="O1000" i="1"/>
  <c r="P1008" i="1"/>
  <c r="O1008" i="1"/>
  <c r="P1027" i="1"/>
  <c r="O1027" i="1"/>
  <c r="P1036" i="1"/>
  <c r="O1036" i="1"/>
  <c r="P1059" i="1"/>
  <c r="O1059" i="1"/>
  <c r="P1068" i="1"/>
  <c r="O1068" i="1"/>
  <c r="P1072" i="1"/>
  <c r="O1072" i="1"/>
  <c r="P1076" i="1"/>
  <c r="O1076" i="1"/>
  <c r="P1080" i="1"/>
  <c r="O1080" i="1"/>
  <c r="P1084" i="1"/>
  <c r="O1084" i="1"/>
  <c r="P1088" i="1"/>
  <c r="O1088" i="1"/>
  <c r="P1092" i="1"/>
  <c r="O1092" i="1"/>
  <c r="P1100" i="1"/>
  <c r="O1100" i="1"/>
  <c r="P1104" i="1"/>
  <c r="O1104" i="1"/>
  <c r="P1108" i="1"/>
  <c r="O1108" i="1"/>
  <c r="P1112" i="1"/>
  <c r="O1112" i="1"/>
  <c r="P1116" i="1"/>
  <c r="O1116" i="1"/>
  <c r="P1120" i="1"/>
  <c r="O1120" i="1"/>
  <c r="P1124" i="1"/>
  <c r="O1124" i="1"/>
  <c r="P1128" i="1"/>
  <c r="O1128" i="1"/>
  <c r="P1132" i="1"/>
  <c r="O1132" i="1"/>
  <c r="P1136" i="1"/>
  <c r="O1136" i="1"/>
  <c r="P1140" i="1"/>
  <c r="O1140" i="1"/>
  <c r="P1150" i="1"/>
  <c r="O1150" i="1"/>
  <c r="P1166" i="1"/>
  <c r="O1166" i="1"/>
  <c r="P1183" i="1"/>
  <c r="O1183" i="1"/>
  <c r="P1187" i="1"/>
  <c r="O1187" i="1"/>
  <c r="P1191" i="1"/>
  <c r="O1191" i="1"/>
  <c r="P1199" i="1"/>
  <c r="O1199" i="1"/>
  <c r="P1207" i="1"/>
  <c r="O1207" i="1"/>
  <c r="P1215" i="1"/>
  <c r="O1215" i="1"/>
  <c r="P1223" i="1"/>
  <c r="O1223" i="1"/>
  <c r="P1231" i="1"/>
  <c r="O1231" i="1"/>
  <c r="O1248" i="1"/>
  <c r="P1248" i="1"/>
  <c r="O1264" i="1"/>
  <c r="P1264" i="1"/>
  <c r="P1268" i="1"/>
  <c r="O1268" i="1"/>
  <c r="P1276" i="1"/>
  <c r="O1276" i="1"/>
  <c r="P1284" i="1"/>
  <c r="O1284" i="1"/>
  <c r="P1292" i="1"/>
  <c r="O1292" i="1"/>
  <c r="P1302" i="1"/>
  <c r="O1302" i="1"/>
  <c r="P1307" i="1"/>
  <c r="O1307" i="1"/>
  <c r="P1314" i="1"/>
  <c r="O1314" i="1"/>
  <c r="P1319" i="1"/>
  <c r="O1319" i="1"/>
  <c r="P1330" i="1"/>
  <c r="O1330" i="1"/>
  <c r="P1335" i="1"/>
  <c r="O1335" i="1"/>
  <c r="O1355" i="1"/>
  <c r="P1355" i="1"/>
  <c r="O1371" i="1"/>
  <c r="P1371" i="1"/>
  <c r="O1390" i="1"/>
  <c r="P1390" i="1"/>
  <c r="O1391" i="1"/>
  <c r="P1391" i="1"/>
  <c r="O1424" i="1"/>
  <c r="P1424" i="1"/>
  <c r="P1428" i="1"/>
  <c r="O1428" i="1"/>
  <c r="P1432" i="1"/>
  <c r="O1432" i="1"/>
  <c r="P1436" i="1"/>
  <c r="O1436" i="1"/>
  <c r="P1442" i="1"/>
  <c r="O1442" i="1"/>
  <c r="P1446" i="1"/>
  <c r="O1446" i="1"/>
  <c r="P1450" i="1"/>
  <c r="O1450" i="1"/>
  <c r="P1454" i="1"/>
  <c r="O1454" i="1"/>
  <c r="R768" i="1"/>
  <c r="P823" i="1"/>
  <c r="O823" i="1"/>
  <c r="P827" i="1"/>
  <c r="O827" i="1"/>
  <c r="P831" i="1"/>
  <c r="O831" i="1"/>
  <c r="P835" i="1"/>
  <c r="O835" i="1"/>
  <c r="P839" i="1"/>
  <c r="O839" i="1"/>
  <c r="P843" i="1"/>
  <c r="O843" i="1"/>
  <c r="P847" i="1"/>
  <c r="O847" i="1"/>
  <c r="P851" i="1"/>
  <c r="O851" i="1"/>
  <c r="P855" i="1"/>
  <c r="O855" i="1"/>
  <c r="P859" i="1"/>
  <c r="O859" i="1"/>
  <c r="P863" i="1"/>
  <c r="O863" i="1"/>
  <c r="P867" i="1"/>
  <c r="O867" i="1"/>
  <c r="P871" i="1"/>
  <c r="O871" i="1"/>
  <c r="P937" i="1"/>
  <c r="O937" i="1"/>
  <c r="P941" i="1"/>
  <c r="O941" i="1"/>
  <c r="P945" i="1"/>
  <c r="O945" i="1"/>
  <c r="P949" i="1"/>
  <c r="O949" i="1"/>
  <c r="P953" i="1"/>
  <c r="O953" i="1"/>
  <c r="P957" i="1"/>
  <c r="O957" i="1"/>
  <c r="P961" i="1"/>
  <c r="O961" i="1"/>
  <c r="P965" i="1"/>
  <c r="O965" i="1"/>
  <c r="P969" i="1"/>
  <c r="O969" i="1"/>
  <c r="P973" i="1"/>
  <c r="O973" i="1"/>
  <c r="P977" i="1"/>
  <c r="O977" i="1"/>
  <c r="P981" i="1"/>
  <c r="O981" i="1"/>
  <c r="P985" i="1"/>
  <c r="O985" i="1"/>
  <c r="P989" i="1"/>
  <c r="O989" i="1"/>
  <c r="P1035" i="1"/>
  <c r="O1035" i="1"/>
  <c r="P1044" i="1"/>
  <c r="O1044" i="1"/>
  <c r="P1067" i="1"/>
  <c r="O1067" i="1"/>
  <c r="P822" i="1"/>
  <c r="O822" i="1"/>
  <c r="P826" i="1"/>
  <c r="O826" i="1"/>
  <c r="P830" i="1"/>
  <c r="O830" i="1"/>
  <c r="P834" i="1"/>
  <c r="O834" i="1"/>
  <c r="P838" i="1"/>
  <c r="O838" i="1"/>
  <c r="P842" i="1"/>
  <c r="O842" i="1"/>
  <c r="P846" i="1"/>
  <c r="O846" i="1"/>
  <c r="P850" i="1"/>
  <c r="O850" i="1"/>
  <c r="P854" i="1"/>
  <c r="O854" i="1"/>
  <c r="P858" i="1"/>
  <c r="O858" i="1"/>
  <c r="P862" i="1"/>
  <c r="O862" i="1"/>
  <c r="P866" i="1"/>
  <c r="O866" i="1"/>
  <c r="P870" i="1"/>
  <c r="O870" i="1"/>
  <c r="P874" i="1"/>
  <c r="O874" i="1"/>
  <c r="P878" i="1"/>
  <c r="O878" i="1"/>
  <c r="P882" i="1"/>
  <c r="O882" i="1"/>
  <c r="P886" i="1"/>
  <c r="O886" i="1"/>
  <c r="P890" i="1"/>
  <c r="O890" i="1"/>
  <c r="P894" i="1"/>
  <c r="O894" i="1"/>
  <c r="P898" i="1"/>
  <c r="O898" i="1"/>
  <c r="P902" i="1"/>
  <c r="O902" i="1"/>
  <c r="P906" i="1"/>
  <c r="O906" i="1"/>
  <c r="P910" i="1"/>
  <c r="O910" i="1"/>
  <c r="P914" i="1"/>
  <c r="O914" i="1"/>
  <c r="P918" i="1"/>
  <c r="O918" i="1"/>
  <c r="P922" i="1"/>
  <c r="O922" i="1"/>
  <c r="P926" i="1"/>
  <c r="O926" i="1"/>
  <c r="P930" i="1"/>
  <c r="O930" i="1"/>
  <c r="P934" i="1"/>
  <c r="O934" i="1"/>
  <c r="P996" i="1"/>
  <c r="O996" i="1"/>
  <c r="P1004" i="1"/>
  <c r="O1004" i="1"/>
  <c r="P1012" i="1"/>
  <c r="O1012" i="1"/>
  <c r="P1020" i="1"/>
  <c r="O1020" i="1"/>
  <c r="P1043" i="1"/>
  <c r="O1043" i="1"/>
  <c r="P1052" i="1"/>
  <c r="O1052" i="1"/>
  <c r="O753" i="1"/>
  <c r="O755" i="1"/>
  <c r="O757" i="1"/>
  <c r="O759" i="1"/>
  <c r="O761" i="1"/>
  <c r="O763" i="1"/>
  <c r="O765" i="1"/>
  <c r="O767" i="1"/>
  <c r="N768" i="1"/>
  <c r="P821" i="1"/>
  <c r="O821" i="1"/>
  <c r="P825" i="1"/>
  <c r="O825" i="1"/>
  <c r="P829" i="1"/>
  <c r="O829" i="1"/>
  <c r="P833" i="1"/>
  <c r="O833" i="1"/>
  <c r="P837" i="1"/>
  <c r="O837" i="1"/>
  <c r="P841" i="1"/>
  <c r="O841" i="1"/>
  <c r="P845" i="1"/>
  <c r="O845" i="1"/>
  <c r="P849" i="1"/>
  <c r="O849" i="1"/>
  <c r="P853" i="1"/>
  <c r="O853" i="1"/>
  <c r="P857" i="1"/>
  <c r="O857" i="1"/>
  <c r="P861" i="1"/>
  <c r="O861" i="1"/>
  <c r="P865" i="1"/>
  <c r="O865" i="1"/>
  <c r="P869" i="1"/>
  <c r="O869" i="1"/>
  <c r="P1019" i="1"/>
  <c r="O1019" i="1"/>
  <c r="P1028" i="1"/>
  <c r="O1028" i="1"/>
  <c r="P1051" i="1"/>
  <c r="O1051" i="1"/>
  <c r="P1060" i="1"/>
  <c r="O1060" i="1"/>
  <c r="N1017" i="1"/>
  <c r="P1018" i="1"/>
  <c r="O1018" i="1"/>
  <c r="N1025" i="1"/>
  <c r="P1026" i="1"/>
  <c r="O1026" i="1"/>
  <c r="N1033" i="1"/>
  <c r="P1034" i="1"/>
  <c r="O1034" i="1"/>
  <c r="N1041" i="1"/>
  <c r="P1042" i="1"/>
  <c r="O1042" i="1"/>
  <c r="N1049" i="1"/>
  <c r="P1050" i="1"/>
  <c r="O1050" i="1"/>
  <c r="N1057" i="1"/>
  <c r="P1058" i="1"/>
  <c r="O1058" i="1"/>
  <c r="N1065" i="1"/>
  <c r="P1066" i="1"/>
  <c r="O1066" i="1"/>
  <c r="P1099" i="1"/>
  <c r="O1099" i="1"/>
  <c r="P1103" i="1"/>
  <c r="O1103" i="1"/>
  <c r="P1107" i="1"/>
  <c r="O1107" i="1"/>
  <c r="P1111" i="1"/>
  <c r="O1111" i="1"/>
  <c r="P1115" i="1"/>
  <c r="O1115" i="1"/>
  <c r="P1119" i="1"/>
  <c r="O1119" i="1"/>
  <c r="P1123" i="1"/>
  <c r="O1123" i="1"/>
  <c r="P1127" i="1"/>
  <c r="O1127" i="1"/>
  <c r="P1131" i="1"/>
  <c r="O1131" i="1"/>
  <c r="P1135" i="1"/>
  <c r="O1135" i="1"/>
  <c r="P1139" i="1"/>
  <c r="O1139" i="1"/>
  <c r="P1145" i="1"/>
  <c r="O1145" i="1"/>
  <c r="P1161" i="1"/>
  <c r="O1161" i="1"/>
  <c r="P1177" i="1"/>
  <c r="O1177" i="1"/>
  <c r="P1016" i="1"/>
  <c r="O1016" i="1"/>
  <c r="P1024" i="1"/>
  <c r="O1024" i="1"/>
  <c r="P1032" i="1"/>
  <c r="O1032" i="1"/>
  <c r="P1040" i="1"/>
  <c r="O1040" i="1"/>
  <c r="P1048" i="1"/>
  <c r="O1048" i="1"/>
  <c r="P1056" i="1"/>
  <c r="O1056" i="1"/>
  <c r="P1064" i="1"/>
  <c r="O1064" i="1"/>
  <c r="P1071" i="1"/>
  <c r="O1071" i="1"/>
  <c r="P1075" i="1"/>
  <c r="O1075" i="1"/>
  <c r="P1079" i="1"/>
  <c r="O1079" i="1"/>
  <c r="P1083" i="1"/>
  <c r="O1083" i="1"/>
  <c r="P1087" i="1"/>
  <c r="O1087" i="1"/>
  <c r="P1091" i="1"/>
  <c r="O1091" i="1"/>
  <c r="P1095" i="1"/>
  <c r="O1095" i="1"/>
  <c r="P1098" i="1"/>
  <c r="O1098" i="1"/>
  <c r="P1102" i="1"/>
  <c r="O1102" i="1"/>
  <c r="P1106" i="1"/>
  <c r="O1106" i="1"/>
  <c r="P1110" i="1"/>
  <c r="O1110" i="1"/>
  <c r="P1114" i="1"/>
  <c r="O1114" i="1"/>
  <c r="P1118" i="1"/>
  <c r="O1118" i="1"/>
  <c r="P1122" i="1"/>
  <c r="O1122" i="1"/>
  <c r="P1126" i="1"/>
  <c r="O1126" i="1"/>
  <c r="P1130" i="1"/>
  <c r="O1130" i="1"/>
  <c r="P1134" i="1"/>
  <c r="O1134" i="1"/>
  <c r="P1138" i="1"/>
  <c r="O1138" i="1"/>
  <c r="P1142" i="1"/>
  <c r="O1142" i="1"/>
  <c r="P1158" i="1"/>
  <c r="O1158" i="1"/>
  <c r="P1174" i="1"/>
  <c r="O1174" i="1"/>
  <c r="O994" i="1"/>
  <c r="O998" i="1"/>
  <c r="O1002" i="1"/>
  <c r="O1006" i="1"/>
  <c r="O1010" i="1"/>
  <c r="P1014" i="1"/>
  <c r="O1014" i="1"/>
  <c r="O1015" i="1"/>
  <c r="N1021" i="1"/>
  <c r="P1022" i="1"/>
  <c r="O1022" i="1"/>
  <c r="O1023" i="1"/>
  <c r="N1029" i="1"/>
  <c r="P1030" i="1"/>
  <c r="O1030" i="1"/>
  <c r="O1031" i="1"/>
  <c r="N1037" i="1"/>
  <c r="P1038" i="1"/>
  <c r="O1038" i="1"/>
  <c r="O1039" i="1"/>
  <c r="N1045" i="1"/>
  <c r="P1046" i="1"/>
  <c r="O1046" i="1"/>
  <c r="O1047" i="1"/>
  <c r="N1053" i="1"/>
  <c r="P1054" i="1"/>
  <c r="O1054" i="1"/>
  <c r="O1055" i="1"/>
  <c r="N1061" i="1"/>
  <c r="P1062" i="1"/>
  <c r="O1062" i="1"/>
  <c r="O1063" i="1"/>
  <c r="N1069" i="1"/>
  <c r="P1070" i="1"/>
  <c r="O1070" i="1"/>
  <c r="N1073" i="1"/>
  <c r="P1074" i="1"/>
  <c r="O1074" i="1"/>
  <c r="N1077" i="1"/>
  <c r="P1078" i="1"/>
  <c r="O1078" i="1"/>
  <c r="N1081" i="1"/>
  <c r="P1082" i="1"/>
  <c r="O1082" i="1"/>
  <c r="N1085" i="1"/>
  <c r="P1086" i="1"/>
  <c r="O1086" i="1"/>
  <c r="N1089" i="1"/>
  <c r="P1090" i="1"/>
  <c r="O1090" i="1"/>
  <c r="N1093" i="1"/>
  <c r="P1094" i="1"/>
  <c r="O1094" i="1"/>
  <c r="P1097" i="1"/>
  <c r="O1097" i="1"/>
  <c r="P1101" i="1"/>
  <c r="O1101" i="1"/>
  <c r="P1105" i="1"/>
  <c r="O1105" i="1"/>
  <c r="P1109" i="1"/>
  <c r="O1109" i="1"/>
  <c r="P1113" i="1"/>
  <c r="O1113" i="1"/>
  <c r="P1117" i="1"/>
  <c r="O1117" i="1"/>
  <c r="P1121" i="1"/>
  <c r="O1121" i="1"/>
  <c r="P1125" i="1"/>
  <c r="O1125" i="1"/>
  <c r="P1129" i="1"/>
  <c r="O1129" i="1"/>
  <c r="P1133" i="1"/>
  <c r="O1133" i="1"/>
  <c r="P1137" i="1"/>
  <c r="O1137" i="1"/>
  <c r="P1141" i="1"/>
  <c r="O1141" i="1"/>
  <c r="P1153" i="1"/>
  <c r="O1153" i="1"/>
  <c r="P1169" i="1"/>
  <c r="O1169" i="1"/>
  <c r="P1143" i="1"/>
  <c r="O1143" i="1"/>
  <c r="P1151" i="1"/>
  <c r="O1151" i="1"/>
  <c r="P1159" i="1"/>
  <c r="O1159" i="1"/>
  <c r="P1167" i="1"/>
  <c r="O1167" i="1"/>
  <c r="P1175" i="1"/>
  <c r="O1175" i="1"/>
  <c r="P1182" i="1"/>
  <c r="O1182" i="1"/>
  <c r="P1186" i="1"/>
  <c r="O1186" i="1"/>
  <c r="P1190" i="1"/>
  <c r="O1190" i="1"/>
  <c r="O1244" i="1"/>
  <c r="P1244" i="1"/>
  <c r="O1246" i="1"/>
  <c r="P1246" i="1"/>
  <c r="O1260" i="1"/>
  <c r="P1260" i="1"/>
  <c r="O1262" i="1"/>
  <c r="P1262" i="1"/>
  <c r="P1270" i="1"/>
  <c r="O1270" i="1"/>
  <c r="P1278" i="1"/>
  <c r="O1278" i="1"/>
  <c r="P1286" i="1"/>
  <c r="O1286" i="1"/>
  <c r="P1287" i="1"/>
  <c r="O1287" i="1"/>
  <c r="P1294" i="1"/>
  <c r="O1294" i="1"/>
  <c r="P1295" i="1"/>
  <c r="O1295" i="1"/>
  <c r="P1096" i="1"/>
  <c r="O1096" i="1"/>
  <c r="P1149" i="1"/>
  <c r="O1149" i="1"/>
  <c r="P1157" i="1"/>
  <c r="O1157" i="1"/>
  <c r="P1165" i="1"/>
  <c r="O1165" i="1"/>
  <c r="P1173" i="1"/>
  <c r="O1173" i="1"/>
  <c r="P1181" i="1"/>
  <c r="O1181" i="1"/>
  <c r="P1185" i="1"/>
  <c r="O1185" i="1"/>
  <c r="P1189" i="1"/>
  <c r="O1189" i="1"/>
  <c r="P1195" i="1"/>
  <c r="O1195" i="1"/>
  <c r="P1203" i="1"/>
  <c r="O1203" i="1"/>
  <c r="P1211" i="1"/>
  <c r="O1211" i="1"/>
  <c r="P1219" i="1"/>
  <c r="O1219" i="1"/>
  <c r="P1227" i="1"/>
  <c r="O1227" i="1"/>
  <c r="O1240" i="1"/>
  <c r="P1240" i="1"/>
  <c r="O1256" i="1"/>
  <c r="P1256" i="1"/>
  <c r="P1272" i="1"/>
  <c r="O1272" i="1"/>
  <c r="P1280" i="1"/>
  <c r="O1280" i="1"/>
  <c r="P1288" i="1"/>
  <c r="O1288" i="1"/>
  <c r="P1296" i="1"/>
  <c r="O1296" i="1"/>
  <c r="P1147" i="1"/>
  <c r="O1147" i="1"/>
  <c r="O1148" i="1"/>
  <c r="P1155" i="1"/>
  <c r="O1155" i="1"/>
  <c r="O1156" i="1"/>
  <c r="P1163" i="1"/>
  <c r="O1163" i="1"/>
  <c r="O1164" i="1"/>
  <c r="P1171" i="1"/>
  <c r="O1171" i="1"/>
  <c r="O1172" i="1"/>
  <c r="P1179" i="1"/>
  <c r="O1179" i="1"/>
  <c r="O1180" i="1"/>
  <c r="P1184" i="1"/>
  <c r="O1184" i="1"/>
  <c r="P1188" i="1"/>
  <c r="O1188" i="1"/>
  <c r="O1236" i="1"/>
  <c r="P1236" i="1"/>
  <c r="O1238" i="1"/>
  <c r="P1238" i="1"/>
  <c r="O1252" i="1"/>
  <c r="P1252" i="1"/>
  <c r="O1254" i="1"/>
  <c r="P1254" i="1"/>
  <c r="P1274" i="1"/>
  <c r="O1274" i="1"/>
  <c r="P1282" i="1"/>
  <c r="O1282" i="1"/>
  <c r="P1290" i="1"/>
  <c r="O1290" i="1"/>
  <c r="P1291" i="1"/>
  <c r="O1291" i="1"/>
  <c r="O1239" i="1"/>
  <c r="P1239" i="1"/>
  <c r="O1247" i="1"/>
  <c r="P1247" i="1"/>
  <c r="O1255" i="1"/>
  <c r="P1255" i="1"/>
  <c r="O1263" i="1"/>
  <c r="P1263" i="1"/>
  <c r="P1269" i="1"/>
  <c r="O1269" i="1"/>
  <c r="P1273" i="1"/>
  <c r="O1273" i="1"/>
  <c r="P1277" i="1"/>
  <c r="O1277" i="1"/>
  <c r="P1281" i="1"/>
  <c r="O1281" i="1"/>
  <c r="P1306" i="1"/>
  <c r="O1306" i="1"/>
  <c r="P1318" i="1"/>
  <c r="O1318" i="1"/>
  <c r="P1323" i="1"/>
  <c r="O1323" i="1"/>
  <c r="P1334" i="1"/>
  <c r="O1334" i="1"/>
  <c r="P1339" i="1"/>
  <c r="O1339" i="1"/>
  <c r="O1350" i="1"/>
  <c r="P1350" i="1"/>
  <c r="O1352" i="1"/>
  <c r="P1352" i="1"/>
  <c r="O1366" i="1"/>
  <c r="P1366" i="1"/>
  <c r="O1368" i="1"/>
  <c r="P1368" i="1"/>
  <c r="O1382" i="1"/>
  <c r="P1382" i="1"/>
  <c r="O1384" i="1"/>
  <c r="P1384" i="1"/>
  <c r="O1414" i="1"/>
  <c r="P1414" i="1"/>
  <c r="O1415" i="1"/>
  <c r="P1415" i="1"/>
  <c r="R1181" i="1"/>
  <c r="O1194" i="1"/>
  <c r="O1198" i="1"/>
  <c r="O1202" i="1"/>
  <c r="O1206" i="1"/>
  <c r="O1210" i="1"/>
  <c r="O1214" i="1"/>
  <c r="O1218" i="1"/>
  <c r="O1222" i="1"/>
  <c r="O1226" i="1"/>
  <c r="O1230" i="1"/>
  <c r="O1234" i="1"/>
  <c r="P1234" i="1"/>
  <c r="P1241" i="1"/>
  <c r="O1242" i="1"/>
  <c r="P1242" i="1"/>
  <c r="P1249" i="1"/>
  <c r="O1250" i="1"/>
  <c r="P1250" i="1"/>
  <c r="P1257" i="1"/>
  <c r="O1258" i="1"/>
  <c r="P1258" i="1"/>
  <c r="P1265" i="1"/>
  <c r="O1266" i="1"/>
  <c r="P1266" i="1"/>
  <c r="P1285" i="1"/>
  <c r="O1285" i="1"/>
  <c r="P1289" i="1"/>
  <c r="O1289" i="1"/>
  <c r="P1293" i="1"/>
  <c r="O1293" i="1"/>
  <c r="P1297" i="1"/>
  <c r="O1297" i="1"/>
  <c r="P1299" i="1"/>
  <c r="O1299" i="1"/>
  <c r="P1311" i="1"/>
  <c r="O1311" i="1"/>
  <c r="P1322" i="1"/>
  <c r="O1322" i="1"/>
  <c r="P1327" i="1"/>
  <c r="O1327" i="1"/>
  <c r="P1338" i="1"/>
  <c r="O1338" i="1"/>
  <c r="O1347" i="1"/>
  <c r="P1347" i="1"/>
  <c r="O1363" i="1"/>
  <c r="P1363" i="1"/>
  <c r="O1379" i="1"/>
  <c r="P1379" i="1"/>
  <c r="O1406" i="1"/>
  <c r="P1406" i="1"/>
  <c r="O1407" i="1"/>
  <c r="P1407" i="1"/>
  <c r="O1235" i="1"/>
  <c r="P1235" i="1"/>
  <c r="O1243" i="1"/>
  <c r="P1243" i="1"/>
  <c r="O1251" i="1"/>
  <c r="P1251" i="1"/>
  <c r="O1259" i="1"/>
  <c r="P1259" i="1"/>
  <c r="O1267" i="1"/>
  <c r="P1267" i="1"/>
  <c r="P1271" i="1"/>
  <c r="O1271" i="1"/>
  <c r="P1275" i="1"/>
  <c r="O1275" i="1"/>
  <c r="P1279" i="1"/>
  <c r="O1279" i="1"/>
  <c r="P1283" i="1"/>
  <c r="O1283" i="1"/>
  <c r="P1298" i="1"/>
  <c r="O1298" i="1"/>
  <c r="P1303" i="1"/>
  <c r="O1303" i="1"/>
  <c r="P1315" i="1"/>
  <c r="O1315" i="1"/>
  <c r="P1326" i="1"/>
  <c r="O1326" i="1"/>
  <c r="P1331" i="1"/>
  <c r="O1331" i="1"/>
  <c r="O1342" i="1"/>
  <c r="P1342" i="1"/>
  <c r="O1344" i="1"/>
  <c r="P1344" i="1"/>
  <c r="O1358" i="1"/>
  <c r="P1358" i="1"/>
  <c r="O1360" i="1"/>
  <c r="P1360" i="1"/>
  <c r="O1374" i="1"/>
  <c r="P1374" i="1"/>
  <c r="O1376" i="1"/>
  <c r="P1376" i="1"/>
  <c r="O1398" i="1"/>
  <c r="P1398" i="1"/>
  <c r="O1399" i="1"/>
  <c r="P1399" i="1"/>
  <c r="P1300" i="1"/>
  <c r="O1300" i="1"/>
  <c r="P1304" i="1"/>
  <c r="O1304" i="1"/>
  <c r="P1308" i="1"/>
  <c r="O1308" i="1"/>
  <c r="P1312" i="1"/>
  <c r="O1312" i="1"/>
  <c r="P1316" i="1"/>
  <c r="O1316" i="1"/>
  <c r="P1320" i="1"/>
  <c r="O1320" i="1"/>
  <c r="P1324" i="1"/>
  <c r="O1324" i="1"/>
  <c r="P1328" i="1"/>
  <c r="O1328" i="1"/>
  <c r="P1332" i="1"/>
  <c r="O1332" i="1"/>
  <c r="P1336" i="1"/>
  <c r="O1336" i="1"/>
  <c r="O1340" i="1"/>
  <c r="P1340" i="1"/>
  <c r="O1348" i="1"/>
  <c r="P1348" i="1"/>
  <c r="O1356" i="1"/>
  <c r="P1356" i="1"/>
  <c r="O1364" i="1"/>
  <c r="P1364" i="1"/>
  <c r="O1372" i="1"/>
  <c r="P1372" i="1"/>
  <c r="O1380" i="1"/>
  <c r="P1380" i="1"/>
  <c r="O1392" i="1"/>
  <c r="P1392" i="1"/>
  <c r="O1400" i="1"/>
  <c r="P1400" i="1"/>
  <c r="O1408" i="1"/>
  <c r="P1408" i="1"/>
  <c r="O1416" i="1"/>
  <c r="P1416" i="1"/>
  <c r="O1423" i="1"/>
  <c r="P1423" i="1"/>
  <c r="P1301" i="1"/>
  <c r="O1301" i="1"/>
  <c r="P1305" i="1"/>
  <c r="O1305" i="1"/>
  <c r="P1309" i="1"/>
  <c r="O1309" i="1"/>
  <c r="P1313" i="1"/>
  <c r="O1313" i="1"/>
  <c r="P1317" i="1"/>
  <c r="O1317" i="1"/>
  <c r="P1321" i="1"/>
  <c r="O1321" i="1"/>
  <c r="P1325" i="1"/>
  <c r="O1325" i="1"/>
  <c r="P1329" i="1"/>
  <c r="O1329" i="1"/>
  <c r="P1333" i="1"/>
  <c r="O1333" i="1"/>
  <c r="P1337" i="1"/>
  <c r="O1337" i="1"/>
  <c r="P1341" i="1"/>
  <c r="O1343" i="1"/>
  <c r="P1343" i="1"/>
  <c r="O1346" i="1"/>
  <c r="P1346" i="1"/>
  <c r="P1349" i="1"/>
  <c r="O1351" i="1"/>
  <c r="P1351" i="1"/>
  <c r="O1354" i="1"/>
  <c r="P1354" i="1"/>
  <c r="P1357" i="1"/>
  <c r="O1359" i="1"/>
  <c r="P1359" i="1"/>
  <c r="O1362" i="1"/>
  <c r="P1362" i="1"/>
  <c r="P1365" i="1"/>
  <c r="O1367" i="1"/>
  <c r="P1367" i="1"/>
  <c r="O1370" i="1"/>
  <c r="P1370" i="1"/>
  <c r="P1373" i="1"/>
  <c r="O1375" i="1"/>
  <c r="P1375" i="1"/>
  <c r="O1378" i="1"/>
  <c r="P1378" i="1"/>
  <c r="P1381" i="1"/>
  <c r="O1383" i="1"/>
  <c r="P1383" i="1"/>
  <c r="O1386" i="1"/>
  <c r="P1386" i="1"/>
  <c r="O1394" i="1"/>
  <c r="P1394" i="1"/>
  <c r="O1402" i="1"/>
  <c r="P1402" i="1"/>
  <c r="O1410" i="1"/>
  <c r="P1410" i="1"/>
  <c r="O1418" i="1"/>
  <c r="P1418" i="1"/>
  <c r="O1422" i="1"/>
  <c r="P1422" i="1"/>
  <c r="P1310" i="1"/>
  <c r="O1310" i="1"/>
  <c r="O1388" i="1"/>
  <c r="P1388" i="1"/>
  <c r="O1396" i="1"/>
  <c r="P1396" i="1"/>
  <c r="O1404" i="1"/>
  <c r="P1404" i="1"/>
  <c r="O1412" i="1"/>
  <c r="P1412" i="1"/>
  <c r="O1420" i="1"/>
  <c r="P1420" i="1"/>
  <c r="O1421" i="1"/>
  <c r="P1421" i="1"/>
  <c r="O1427" i="1"/>
  <c r="P1427" i="1"/>
  <c r="P1438" i="1"/>
  <c r="O1438" i="1"/>
  <c r="O1426" i="1"/>
  <c r="P1426" i="1"/>
  <c r="P1430" i="1"/>
  <c r="O1430" i="1"/>
  <c r="P1434" i="1"/>
  <c r="O1434" i="1"/>
  <c r="O1529" i="1"/>
  <c r="P1529" i="1"/>
  <c r="O1425" i="1"/>
  <c r="P1425" i="1"/>
  <c r="P1437" i="1"/>
  <c r="O1437" i="1"/>
  <c r="P1439" i="1"/>
  <c r="O1439" i="1"/>
  <c r="P1443" i="1"/>
  <c r="O1443" i="1"/>
  <c r="P1447" i="1"/>
  <c r="O1447" i="1"/>
  <c r="P1451" i="1"/>
  <c r="O1451" i="1"/>
  <c r="P1455" i="1"/>
  <c r="O1455" i="1"/>
  <c r="P1431" i="1"/>
  <c r="P1458" i="1"/>
  <c r="O1458" i="1"/>
  <c r="P1460" i="1"/>
  <c r="O1460" i="1"/>
  <c r="P1462" i="1"/>
  <c r="O1462" i="1"/>
  <c r="P1464" i="1"/>
  <c r="O1464" i="1"/>
  <c r="P1466" i="1"/>
  <c r="O1466" i="1"/>
  <c r="P1468" i="1"/>
  <c r="O1468" i="1"/>
  <c r="P1470" i="1"/>
  <c r="O1470" i="1"/>
  <c r="P1472" i="1"/>
  <c r="O1472" i="1"/>
  <c r="P1480" i="1"/>
  <c r="O1480" i="1"/>
  <c r="P1488" i="1"/>
  <c r="O1488" i="1"/>
  <c r="P1496" i="1"/>
  <c r="O1496" i="1"/>
  <c r="P1504" i="1"/>
  <c r="O1504" i="1"/>
  <c r="P1512" i="1"/>
  <c r="O1512" i="1"/>
  <c r="O1524" i="1"/>
  <c r="P1524" i="1"/>
  <c r="O1532" i="1"/>
  <c r="P1532" i="1"/>
  <c r="O1538" i="1"/>
  <c r="P1538" i="1"/>
  <c r="O1543" i="1"/>
  <c r="P1543" i="1"/>
  <c r="O1551" i="1"/>
  <c r="P1551" i="1"/>
  <c r="O1566" i="1"/>
  <c r="P1566" i="1"/>
  <c r="O1571" i="1"/>
  <c r="P1571" i="1"/>
  <c r="O1578" i="1"/>
  <c r="P1578" i="1"/>
  <c r="O1441" i="1"/>
  <c r="O1445" i="1"/>
  <c r="O1449" i="1"/>
  <c r="O1453" i="1"/>
  <c r="N1477" i="1"/>
  <c r="P1478" i="1"/>
  <c r="O1478" i="1"/>
  <c r="O1479" i="1"/>
  <c r="N1485" i="1"/>
  <c r="P1486" i="1"/>
  <c r="O1486" i="1"/>
  <c r="O1487" i="1"/>
  <c r="N1493" i="1"/>
  <c r="P1494" i="1"/>
  <c r="O1494" i="1"/>
  <c r="O1495" i="1"/>
  <c r="N1501" i="1"/>
  <c r="P1502" i="1"/>
  <c r="O1502" i="1"/>
  <c r="O1503" i="1"/>
  <c r="N1509" i="1"/>
  <c r="P1510" i="1"/>
  <c r="O1510" i="1"/>
  <c r="O1511" i="1"/>
  <c r="N1517" i="1"/>
  <c r="P1525" i="1"/>
  <c r="O1527" i="1"/>
  <c r="P1527" i="1"/>
  <c r="O1542" i="1"/>
  <c r="P1542" i="1"/>
  <c r="O1558" i="1"/>
  <c r="P1558" i="1"/>
  <c r="O1563" i="1"/>
  <c r="P1563" i="1"/>
  <c r="O1570" i="1"/>
  <c r="P1570" i="1"/>
  <c r="P1588" i="1"/>
  <c r="O1590" i="1"/>
  <c r="P1590" i="1"/>
  <c r="O1595" i="1"/>
  <c r="P1595" i="1"/>
  <c r="P1476" i="1"/>
  <c r="O1476" i="1"/>
  <c r="N1483" i="1"/>
  <c r="P1484" i="1"/>
  <c r="O1484" i="1"/>
  <c r="N1491" i="1"/>
  <c r="P1492" i="1"/>
  <c r="O1492" i="1"/>
  <c r="P1500" i="1"/>
  <c r="O1500" i="1"/>
  <c r="N1507" i="1"/>
  <c r="P1508" i="1"/>
  <c r="O1508" i="1"/>
  <c r="N1515" i="1"/>
  <c r="P1516" i="1"/>
  <c r="O1516" i="1"/>
  <c r="O1520" i="1"/>
  <c r="P1520" i="1"/>
  <c r="O1528" i="1"/>
  <c r="P1528" i="1"/>
  <c r="O1533" i="1"/>
  <c r="P1533" i="1"/>
  <c r="O1562" i="1"/>
  <c r="P1562" i="1"/>
  <c r="O1582" i="1"/>
  <c r="P1582" i="1"/>
  <c r="O1587" i="1"/>
  <c r="P1587" i="1"/>
  <c r="O1594" i="1"/>
  <c r="P1594" i="1"/>
  <c r="O1435" i="1"/>
  <c r="N1463" i="1"/>
  <c r="N1465" i="1"/>
  <c r="N1467" i="1"/>
  <c r="N1469" i="1"/>
  <c r="N1471" i="1"/>
  <c r="N1473" i="1"/>
  <c r="P1474" i="1"/>
  <c r="O1474" i="1"/>
  <c r="O1475" i="1"/>
  <c r="N1481" i="1"/>
  <c r="P1482" i="1"/>
  <c r="O1482" i="1"/>
  <c r="N1489" i="1"/>
  <c r="P1490" i="1"/>
  <c r="O1490" i="1"/>
  <c r="N1497" i="1"/>
  <c r="P1498" i="1"/>
  <c r="O1498" i="1"/>
  <c r="O1499" i="1"/>
  <c r="N1505" i="1"/>
  <c r="P1506" i="1"/>
  <c r="O1506" i="1"/>
  <c r="N1513" i="1"/>
  <c r="P1514" i="1"/>
  <c r="O1514" i="1"/>
  <c r="P1544" i="1"/>
  <c r="O1546" i="1"/>
  <c r="P1546" i="1"/>
  <c r="P1552" i="1"/>
  <c r="O1554" i="1"/>
  <c r="P1554" i="1"/>
  <c r="P1572" i="1"/>
  <c r="O1574" i="1"/>
  <c r="P1574" i="1"/>
  <c r="O1579" i="1"/>
  <c r="P1579" i="1"/>
  <c r="O1586" i="1"/>
  <c r="P1586" i="1"/>
  <c r="O1531" i="1"/>
  <c r="P1531" i="1"/>
  <c r="O1537" i="1"/>
  <c r="P1537" i="1"/>
  <c r="O1545" i="1"/>
  <c r="P1545" i="1"/>
  <c r="O1553" i="1"/>
  <c r="P1553" i="1"/>
  <c r="O1565" i="1"/>
  <c r="P1565" i="1"/>
  <c r="O1573" i="1"/>
  <c r="P1573" i="1"/>
  <c r="O1581" i="1"/>
  <c r="P1581" i="1"/>
  <c r="O1589" i="1"/>
  <c r="P1589" i="1"/>
  <c r="O1597" i="1"/>
  <c r="P1597" i="1"/>
  <c r="P1518" i="1"/>
  <c r="O1519" i="1"/>
  <c r="P1522" i="1"/>
  <c r="O1523" i="1"/>
  <c r="O1535" i="1"/>
  <c r="P1535" i="1"/>
  <c r="O1539" i="1"/>
  <c r="P1539" i="1"/>
  <c r="P1540" i="1"/>
  <c r="O1547" i="1"/>
  <c r="P1547" i="1"/>
  <c r="P1548" i="1"/>
  <c r="O1555" i="1"/>
  <c r="P1555" i="1"/>
  <c r="P1556" i="1"/>
  <c r="O1559" i="1"/>
  <c r="P1559" i="1"/>
  <c r="P1560" i="1"/>
  <c r="O1567" i="1"/>
  <c r="P1567" i="1"/>
  <c r="P1568" i="1"/>
  <c r="O1575" i="1"/>
  <c r="P1575" i="1"/>
  <c r="P1576" i="1"/>
  <c r="O1583" i="1"/>
  <c r="P1583" i="1"/>
  <c r="P1584" i="1"/>
  <c r="O1591" i="1"/>
  <c r="P1591" i="1"/>
  <c r="P1592" i="1"/>
  <c r="P1519" i="1"/>
  <c r="O1534" i="1"/>
  <c r="O1541" i="1"/>
  <c r="P1541" i="1"/>
  <c r="O1549" i="1"/>
  <c r="P1549" i="1"/>
  <c r="P1550" i="1"/>
  <c r="O1561" i="1"/>
  <c r="P1561" i="1"/>
  <c r="O1569" i="1"/>
  <c r="P1569" i="1"/>
  <c r="O1577" i="1"/>
  <c r="P1577" i="1"/>
  <c r="O1585" i="1"/>
  <c r="P1585" i="1"/>
  <c r="O1593" i="1"/>
  <c r="P1593" i="1"/>
  <c r="N1598" i="1"/>
  <c r="P1481" i="1" l="1"/>
  <c r="O1481" i="1"/>
  <c r="P1473" i="1"/>
  <c r="O1473" i="1"/>
  <c r="P1465" i="1"/>
  <c r="O1465" i="1"/>
  <c r="P1089" i="1"/>
  <c r="O1089" i="1"/>
  <c r="P1073" i="1"/>
  <c r="O1073" i="1"/>
  <c r="P1049" i="1"/>
  <c r="O1049" i="1"/>
  <c r="P1017" i="1"/>
  <c r="O1017" i="1"/>
  <c r="P1489" i="1"/>
  <c r="O1489" i="1"/>
  <c r="P1471" i="1"/>
  <c r="O1471" i="1"/>
  <c r="P1463" i="1"/>
  <c r="O1463" i="1"/>
  <c r="O1517" i="1"/>
  <c r="P1517" i="1"/>
  <c r="P1509" i="1"/>
  <c r="O1509" i="1"/>
  <c r="P1501" i="1"/>
  <c r="O1501" i="1"/>
  <c r="P1493" i="1"/>
  <c r="O1493" i="1"/>
  <c r="P1485" i="1"/>
  <c r="O1485" i="1"/>
  <c r="P1477" i="1"/>
  <c r="O1477" i="1"/>
  <c r="P1093" i="1"/>
  <c r="O1093" i="1"/>
  <c r="P1077" i="1"/>
  <c r="O1077" i="1"/>
  <c r="P1057" i="1"/>
  <c r="O1057" i="1"/>
  <c r="P1025" i="1"/>
  <c r="O1025" i="1"/>
  <c r="O1598" i="1"/>
  <c r="P1598" i="1"/>
  <c r="P1505" i="1"/>
  <c r="O1505" i="1"/>
  <c r="P1497" i="1"/>
  <c r="O1497" i="1"/>
  <c r="P1469" i="1"/>
  <c r="O1469" i="1"/>
  <c r="P1507" i="1"/>
  <c r="O1507" i="1"/>
  <c r="P1483" i="1"/>
  <c r="O1483" i="1"/>
  <c r="P1081" i="1"/>
  <c r="O1081" i="1"/>
  <c r="P1065" i="1"/>
  <c r="O1065" i="1"/>
  <c r="P1033" i="1"/>
  <c r="O1033" i="1"/>
  <c r="P1513" i="1"/>
  <c r="O1513" i="1"/>
  <c r="P1467" i="1"/>
  <c r="O1467" i="1"/>
  <c r="P1515" i="1"/>
  <c r="O1515" i="1"/>
  <c r="P1491" i="1"/>
  <c r="O1491" i="1"/>
  <c r="P1085" i="1"/>
  <c r="O1085" i="1"/>
  <c r="P1069" i="1"/>
  <c r="O1069" i="1"/>
  <c r="P1061" i="1"/>
  <c r="O1061" i="1"/>
  <c r="P1053" i="1"/>
  <c r="O1053" i="1"/>
  <c r="P1045" i="1"/>
  <c r="O1045" i="1"/>
  <c r="P1037" i="1"/>
  <c r="O1037" i="1"/>
  <c r="P1029" i="1"/>
  <c r="O1029" i="1"/>
  <c r="P1021" i="1"/>
  <c r="O1021" i="1"/>
  <c r="P1041" i="1"/>
  <c r="O1041" i="1"/>
  <c r="P768" i="1"/>
  <c r="O768" i="1"/>
</calcChain>
</file>

<file path=xl/sharedStrings.xml><?xml version="1.0" encoding="utf-8"?>
<sst xmlns="http://schemas.openxmlformats.org/spreadsheetml/2006/main" count="238" uniqueCount="99">
  <si>
    <t>ShipmentID</t>
  </si>
  <si>
    <t>OrderDate</t>
  </si>
  <si>
    <t>OriginHub</t>
  </si>
  <si>
    <t>OriginZone</t>
  </si>
  <si>
    <t>Carrier</t>
  </si>
  <si>
    <t>ShipmentMode</t>
  </si>
  <si>
    <t>ProductCategory</t>
  </si>
  <si>
    <t>DestinationZone</t>
  </si>
  <si>
    <t>IsCrossZone</t>
  </si>
  <si>
    <t>Weight_kg</t>
  </si>
  <si>
    <t>ShipmentCost</t>
  </si>
  <si>
    <t>PromisedDeliveryDays</t>
  </si>
  <si>
    <t>DeliveryDate</t>
  </si>
  <si>
    <t>ActualDeliveryDays</t>
  </si>
  <si>
    <t>DelayDays</t>
  </si>
  <si>
    <t>OnTime/Late</t>
  </si>
  <si>
    <t>DeliveryStatus</t>
  </si>
  <si>
    <t>CostPerKg</t>
  </si>
  <si>
    <t>CustomerRating</t>
  </si>
  <si>
    <t>IsCOD</t>
  </si>
  <si>
    <t>Count of ShipmentID</t>
  </si>
  <si>
    <t>Column Labels</t>
  </si>
  <si>
    <t>Row Labels</t>
  </si>
  <si>
    <t>Late</t>
  </si>
  <si>
    <t>N/A</t>
  </si>
  <si>
    <t>On Time</t>
  </si>
  <si>
    <t>Grand Total</t>
  </si>
  <si>
    <t>Blue Dart</t>
  </si>
  <si>
    <t>Bluedart</t>
  </si>
  <si>
    <t>Delhivery</t>
  </si>
  <si>
    <t>Dtdc</t>
  </si>
  <si>
    <t>Ecom Express</t>
  </si>
  <si>
    <t>Xpress Bees</t>
  </si>
  <si>
    <t>Xpressbees</t>
  </si>
  <si>
    <t>Bengaluru</t>
  </si>
  <si>
    <t>Chennai</t>
  </si>
  <si>
    <t>Delhi</t>
  </si>
  <si>
    <t>Hyderabad</t>
  </si>
  <si>
    <t>Kolkata</t>
  </si>
  <si>
    <t>Mumbai</t>
  </si>
  <si>
    <t>Average of ActualDeliveryDays</t>
  </si>
  <si>
    <t>Air</t>
  </si>
  <si>
    <t>Road</t>
  </si>
  <si>
    <t>Surface</t>
  </si>
  <si>
    <t>Average of DelayDays</t>
  </si>
  <si>
    <t>No</t>
  </si>
  <si>
    <t>Yes</t>
  </si>
  <si>
    <t>Damaged</t>
  </si>
  <si>
    <t>Returned</t>
  </si>
  <si>
    <t>Delayed</t>
  </si>
  <si>
    <t>Delivered</t>
  </si>
  <si>
    <t>In-Transit</t>
  </si>
  <si>
    <t>damaged+returned</t>
  </si>
  <si>
    <t>grand total</t>
  </si>
  <si>
    <t>combined rate</t>
  </si>
  <si>
    <t>Apparel</t>
  </si>
  <si>
    <t>Automotive Parts</t>
  </si>
  <si>
    <t>Electronics</t>
  </si>
  <si>
    <t>Furniture</t>
  </si>
  <si>
    <t>Grocery &amp; Fmcg</t>
  </si>
  <si>
    <t>Pharma</t>
  </si>
  <si>
    <t>Average of CostPerKg</t>
  </si>
  <si>
    <t>total shipment</t>
  </si>
  <si>
    <t>Jan</t>
  </si>
  <si>
    <t>Feb</t>
  </si>
  <si>
    <t>Mar</t>
  </si>
  <si>
    <t>Apr</t>
  </si>
  <si>
    <t>May</t>
  </si>
  <si>
    <t>Jun</t>
  </si>
  <si>
    <t>Bangalore late%</t>
  </si>
  <si>
    <t>On time</t>
  </si>
  <si>
    <t>Total classified</t>
  </si>
  <si>
    <t>Late% by bangalore</t>
  </si>
  <si>
    <t>(All)</t>
  </si>
  <si>
    <t>TRANSGLOBAL LOGISTICS PVT.LTD(SUPPLY CHAIN/LAST-MILE DELIVERY</t>
  </si>
  <si>
    <t>COMPANY</t>
  </si>
  <si>
    <t xml:space="preserve">TransGlobal Logistics Pvt.Ltd is a 3PL (third-pary logistics) company that handles last-mile delivery for e-commerce and enterprise
clients across india,operating through 6 dispatch hubs (Delhi,Mumbai,Bengaluru,Chennai,Kolkata,Hydrabad) and 5 courier partners
(Delhivery,BlueDart,Ecom Express,XpressBees,DTDC)
</t>
  </si>
  <si>
    <t>Business Problem</t>
  </si>
  <si>
    <t xml:space="preserve">TransGlobal Logistics collects shipment data from six dispatch hubs across india .At the end of each month, shipment logs are manually
combined into one master life.This process creates several data quality issues, including inconsistent text formats,different date 
formats,weight stored as text,shipping costs recorded as currency text,duplicate records ,and missing values.
Some missing values are expected for shipments that are still in transit,while others are caused by data-entry errors.these issues make
it difficult to analyze shipment performance accurately and generate reliable reports. 
</t>
  </si>
  <si>
    <t>project objectives</t>
  </si>
  <si>
    <t>1. To analyze the percentage of delayed shipments and identify the hubs, carrier, and zones with the highest delay rates.</t>
  </si>
  <si>
    <t>2. To compare average delivery time by carrier, shipment mode, and zone crossing.</t>
  </si>
  <si>
    <t>3. To identify product categories with the highest damaged and returned shipment rates.</t>
  </si>
  <si>
    <t>4. To analyze the relationship between shipment cost and delivery speed and identify carriers or shipment modes that are expensive
but slow.</t>
  </si>
  <si>
    <t>5. To analyze monthly shipment volume and on-time delivery trends from january to june 2024 and identify hubs or carriers that may
be struggling as shipment volume increasess.</t>
  </si>
  <si>
    <t>key findings</t>
  </si>
  <si>
    <t>Total shipments &amp; Delayed shipments</t>
  </si>
  <si>
    <t>Total shipments:1,600</t>
  </si>
  <si>
    <t>Delayed shipments:748 (46.75%)</t>
  </si>
  <si>
    <t>Highest Late Shipment Rate by Hub: Bengaluru (58.02%)</t>
  </si>
  <si>
    <t>Highest  Late Shipment Rate by Carrier : DTDC (57.82%)</t>
  </si>
  <si>
    <t>Average Delivery Time : 6.71 days</t>
  </si>
  <si>
    <t>Fastest ShipmentMode: Air (4.91 days)</t>
  </si>
  <si>
    <t>Slowest ShipmentMode: Road (8.49 days)</t>
  </si>
  <si>
    <t>Highest Damaged/Returned Rate : Electronics (10.98%)</t>
  </si>
  <si>
    <t>Highest Shipment Volume : March (295 shipments)</t>
  </si>
  <si>
    <t>Lowest On-Time Delivery Rate: March (42.03%)</t>
  </si>
  <si>
    <t>Logistics Analysis Conclusion</t>
  </si>
  <si>
    <t>This project analyzed 1,600 logistics shipments to evaluate delivery performance.carrier efficiency, shipment modes. Product category issues,
shipment costs, and monthly trends. The analysis showed that 46.75% of shipments were classified as delayed. Bengaluru recorded the highest 
late shipment percentage among the hubs at 58.02% . while DTDC had the highest late shipment percentage among the carriers at 57.82%. Air
was the fastest shipment mode. with an average delivery time 4.91 days, whereas Road was the slowest at 8.49 dasys.Shipment crossing zones
also showed a higher average delay than shipments that did not cross zone. Electronics had the highest combined Damaged and Returned 
shipment rate at 10.98%.The cost comparison suggested that higher cost does not necessarily guarantee faster delivery . in the monthly analysis,
March recorded the highest shipment volume and the lowest on-time delivery percentage. Overall, the findings highlight the need to improve
hub and carrier performance,reduce shipment delays, stregthen product handling , monitor shipment costs, and improve on-time delivery to
achieve greater logistics efficiency.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</si>
</sst>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0"/>
  </numFmts>
  <fonts count="9" x14ac:knownFonts="1">
    <font>
      <sz val="11"/>
      <color theme="1"/>
      <name val="Calibri"/>
      <family val="2"/>
      <charset val="1"/>
    </font>
    <font>
      <b/>
      <sz val="10"/>
      <color rgb="FFFFFFFF"/>
      <name val="Arial"/>
      <family val="2"/>
    </font>
    <font>
      <i/>
      <sz val="10"/>
      <color rgb="FF7A4A00"/>
      <name val="Arial"/>
      <family val="2"/>
    </font>
    <font>
      <b/>
      <sz val="11"/>
      <color theme="1"/>
      <name val="Calibri"/>
      <family val="2"/>
      <charset val="1"/>
    </font>
    <font>
      <sz val="20"/>
      <color theme="1"/>
      <name val="Calibri"/>
      <family val="2"/>
    </font>
    <font>
      <b/>
      <sz val="11"/>
      <color theme="1"/>
      <name val="Calibri"/>
      <family val="2"/>
    </font>
    <font>
      <b/>
      <sz val="18"/>
      <color theme="1"/>
      <name val="Calibri"/>
      <family val="2"/>
    </font>
    <font>
      <b/>
      <sz val="14"/>
      <color theme="1"/>
      <name val="Calibri"/>
      <family val="2"/>
    </font>
    <font>
      <b/>
      <sz val="12"/>
      <color theme="1"/>
      <name val="Calibri"/>
      <family val="2"/>
    </font>
  </fonts>
  <fills count="8">
    <fill>
      <patternFill patternType="none"/>
    </fill>
    <fill>
      <patternFill patternType="gray125"/>
    </fill>
    <fill>
      <patternFill patternType="solid">
        <fgColor rgb="FFD98E36"/>
        <bgColor rgb="FFFF8080"/>
      </patternFill>
    </fill>
    <fill>
      <patternFill patternType="solid">
        <fgColor rgb="FFFFF2CC"/>
        <bgColor rgb="FFFBE7CB"/>
      </patternFill>
    </fill>
    <fill>
      <patternFill patternType="solid">
        <fgColor theme="4" tint="0.79998168889431442"/>
        <bgColor theme="4" tint="0.79998168889431442"/>
      </patternFill>
    </fill>
    <fill>
      <patternFill patternType="solid">
        <fgColor rgb="FF92D050"/>
        <bgColor indexed="64"/>
      </patternFill>
    </fill>
    <fill>
      <patternFill patternType="solid">
        <fgColor theme="0"/>
        <bgColor indexed="64"/>
      </patternFill>
    </fill>
    <fill>
      <patternFill patternType="solid">
        <fgColor theme="3" tint="0.39997558519241921"/>
        <bgColor indexed="64"/>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top/>
      <bottom style="thin">
        <color theme="4" tint="0.39997558519241921"/>
      </bottom>
      <diagonal/>
    </border>
    <border>
      <left/>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3">
    <xf numFmtId="0" fontId="0" fillId="0" borderId="0" xfId="0"/>
    <xf numFmtId="0" fontId="1" fillId="2" borderId="1" xfId="0" applyFont="1" applyFill="1" applyBorder="1" applyAlignment="1">
      <alignment vertical="center" wrapText="1"/>
    </xf>
    <xf numFmtId="0" fontId="2" fillId="3" borderId="1" xfId="0" applyFont="1" applyFill="1" applyBorder="1"/>
    <xf numFmtId="164" fontId="2" fillId="3" borderId="1" xfId="0" applyNumberFormat="1" applyFont="1" applyFill="1" applyBorder="1"/>
    <xf numFmtId="165" fontId="2" fillId="3" borderId="1" xfId="0" applyNumberFormat="1" applyFont="1" applyFill="1" applyBorder="1"/>
    <xf numFmtId="0" fontId="0" fillId="0" borderId="0" xfId="0" applyAlignment="1">
      <alignment horizontal="left"/>
    </xf>
    <xf numFmtId="10" fontId="0" fillId="0" borderId="0" xfId="0" applyNumberFormat="1"/>
    <xf numFmtId="2" fontId="0" fillId="0" borderId="0" xfId="0" applyNumberFormat="1"/>
    <xf numFmtId="0" fontId="3" fillId="4" borderId="0" xfId="0" applyFont="1" applyFill="1"/>
    <xf numFmtId="0" fontId="0" fillId="0" borderId="0" xfId="0" applyAlignment="1">
      <alignment horizontal="center"/>
    </xf>
    <xf numFmtId="0" fontId="0" fillId="0" borderId="0" xfId="0"/>
    <xf numFmtId="0" fontId="3" fillId="4" borderId="2" xfId="0" applyFont="1" applyFill="1" applyBorder="1"/>
    <xf numFmtId="2" fontId="3" fillId="4" borderId="2" xfId="0" applyNumberFormat="1" applyFont="1" applyFill="1" applyBorder="1"/>
    <xf numFmtId="0" fontId="3" fillId="4" borderId="3" xfId="0" applyFont="1" applyFill="1" applyBorder="1" applyAlignment="1">
      <alignment horizontal="left"/>
    </xf>
    <xf numFmtId="2" fontId="3" fillId="4" borderId="3" xfId="0" applyNumberFormat="1" applyFont="1" applyFill="1" applyBorder="1"/>
    <xf numFmtId="0" fontId="3" fillId="0" borderId="2" xfId="0" applyFont="1" applyBorder="1" applyAlignment="1">
      <alignment horizontal="left"/>
    </xf>
    <xf numFmtId="10" fontId="3" fillId="0" borderId="2" xfId="0" applyNumberFormat="1" applyFont="1" applyBorder="1"/>
    <xf numFmtId="0" fontId="0" fillId="0" borderId="0" xfId="0" applyAlignment="1">
      <alignment horizontal="left" indent="1"/>
    </xf>
    <xf numFmtId="0" fontId="4" fillId="0" borderId="0" xfId="0" applyFont="1" applyAlignment="1">
      <alignment horizontal="center"/>
    </xf>
    <xf numFmtId="0" fontId="5" fillId="0" borderId="4" xfId="0" applyFont="1" applyBorder="1"/>
    <xf numFmtId="0" fontId="5" fillId="0" borderId="5" xfId="0" applyFont="1" applyBorder="1"/>
    <xf numFmtId="0" fontId="5" fillId="0" borderId="6" xfId="0" applyFont="1" applyBorder="1"/>
    <xf numFmtId="0" fontId="0" fillId="0" borderId="7" xfId="0" applyBorder="1"/>
    <xf numFmtId="2" fontId="0" fillId="0" borderId="8" xfId="0" applyNumberFormat="1" applyBorder="1"/>
    <xf numFmtId="0" fontId="0" fillId="0" borderId="9" xfId="0" applyBorder="1"/>
    <xf numFmtId="0" fontId="0" fillId="0" borderId="10" xfId="0" applyBorder="1"/>
    <xf numFmtId="2" fontId="0" fillId="0" borderId="11" xfId="0" applyNumberFormat="1" applyBorder="1"/>
    <xf numFmtId="2" fontId="0" fillId="5" borderId="0" xfId="0" applyNumberFormat="1" applyFill="1" applyAlignment="1">
      <alignment horizontal="center" vertical="center"/>
    </xf>
    <xf numFmtId="0" fontId="0" fillId="5" borderId="0" xfId="0" applyFill="1" applyAlignment="1">
      <alignment horizontal="center" vertical="center"/>
    </xf>
    <xf numFmtId="0" fontId="0" fillId="6" borderId="0" xfId="0" applyFill="1"/>
    <xf numFmtId="0" fontId="6" fillId="7" borderId="0" xfId="0" applyFont="1" applyFill="1" applyAlignment="1">
      <alignment horizontal="center"/>
    </xf>
    <xf numFmtId="0" fontId="7" fillId="0" borderId="0" xfId="0" applyFont="1" applyAlignment="1">
      <alignment horizontal="left"/>
    </xf>
    <xf numFmtId="0" fontId="0" fillId="0" borderId="0" xfId="0" applyAlignment="1">
      <alignment horizontal="left" vertical="top" wrapText="1"/>
    </xf>
    <xf numFmtId="0" fontId="0" fillId="0" borderId="0" xfId="0" applyAlignment="1">
      <alignment horizontal="left" vertical="top"/>
    </xf>
    <xf numFmtId="0" fontId="7" fillId="0" borderId="0" xfId="0" applyFont="1" applyAlignment="1">
      <alignment vertical="top"/>
    </xf>
    <xf numFmtId="0" fontId="7" fillId="0" borderId="0" xfId="0" applyFont="1" applyAlignment="1">
      <alignment horizontal="left" vertical="top"/>
    </xf>
    <xf numFmtId="0" fontId="0" fillId="0" borderId="0" xfId="0" applyAlignment="1">
      <alignment horizontal="left" wrapText="1"/>
    </xf>
    <xf numFmtId="0" fontId="0" fillId="0" borderId="0" xfId="0" applyAlignment="1">
      <alignment horizontal="left"/>
    </xf>
    <xf numFmtId="0" fontId="7" fillId="0" borderId="0" xfId="0" applyFont="1"/>
    <xf numFmtId="0" fontId="5" fillId="0" borderId="0" xfId="0" applyFont="1"/>
    <xf numFmtId="0" fontId="8" fillId="0" borderId="0" xfId="0" applyFont="1"/>
    <xf numFmtId="0" fontId="0" fillId="0" borderId="0" xfId="0" applyAlignment="1">
      <alignment vertical="top" wrapText="1"/>
    </xf>
    <xf numFmtId="0" fontId="0" fillId="0" borderId="0" xfId="0" applyAlignment="1">
      <alignment vertical="top"/>
    </xf>
  </cellXfs>
  <cellStyles count="1">
    <cellStyle name="Normal" xfId="0" builtinId="0"/>
  </cellStyles>
  <dxfs count="12">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microsoft.com/office/2007/relationships/slicerCache" Target="slicerCaches/slicerCache4.xml"/><Relationship Id="rId5" Type="http://schemas.openxmlformats.org/officeDocument/2006/relationships/externalLink" Target="externalLinks/externalLink1.xml"/><Relationship Id="rId15" Type="http://schemas.openxmlformats.org/officeDocument/2006/relationships/styles" Target="style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[Logistics_Shipment_Analysis.xlsx]pivot table!PivotTable1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Late%</a:t>
            </a:r>
            <a:r>
              <a:rPr lang="en-IN" baseline="0"/>
              <a:t> by carrier</a:t>
            </a:r>
            <a:endParaRPr lang="en-IN"/>
          </a:p>
        </c:rich>
      </c:tx>
      <c:layout>
        <c:manualLayout>
          <c:xMode val="edge"/>
          <c:yMode val="edge"/>
          <c:x val="0.37395122484689419"/>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table'!$B$3:$B$4</c:f>
              <c:strCache>
                <c:ptCount val="1"/>
                <c:pt idx="0">
                  <c:v>Late</c:v>
                </c:pt>
              </c:strCache>
            </c:strRef>
          </c:tx>
          <c:spPr>
            <a:solidFill>
              <a:schemeClr val="accent1"/>
            </a:solidFill>
            <a:ln>
              <a:noFill/>
            </a:ln>
            <a:effectLst/>
          </c:spPr>
          <c:invertIfNegative val="0"/>
          <c:cat>
            <c:strRef>
              <c:f>'pivot table'!$A$5:$A$13</c:f>
              <c:strCache>
                <c:ptCount val="8"/>
                <c:pt idx="1">
                  <c:v>Blue Dart</c:v>
                </c:pt>
                <c:pt idx="2">
                  <c:v>Bluedart</c:v>
                </c:pt>
                <c:pt idx="3">
                  <c:v>Delhivery</c:v>
                </c:pt>
                <c:pt idx="4">
                  <c:v>Dtdc</c:v>
                </c:pt>
                <c:pt idx="5">
                  <c:v>Ecom Express</c:v>
                </c:pt>
                <c:pt idx="6">
                  <c:v>Xpress Bees</c:v>
                </c:pt>
                <c:pt idx="7">
                  <c:v>Xpressbees</c:v>
                </c:pt>
              </c:strCache>
            </c:strRef>
          </c:cat>
          <c:val>
            <c:numRef>
              <c:f>'pivot table'!$B$5:$B$13</c:f>
              <c:numCache>
                <c:formatCode>0.00%</c:formatCode>
                <c:ptCount val="8"/>
                <c:pt idx="0">
                  <c:v>0.5714285714285714</c:v>
                </c:pt>
                <c:pt idx="1">
                  <c:v>0.42253521126760563</c:v>
                </c:pt>
                <c:pt idx="2">
                  <c:v>0.3881856540084388</c:v>
                </c:pt>
                <c:pt idx="3">
                  <c:v>0.46794871794871795</c:v>
                </c:pt>
                <c:pt idx="4">
                  <c:v>0.57817109144542778</c:v>
                </c:pt>
                <c:pt idx="5">
                  <c:v>0.50841750841750843</c:v>
                </c:pt>
                <c:pt idx="6">
                  <c:v>0.54929577464788737</c:v>
                </c:pt>
                <c:pt idx="7">
                  <c:v>0.53007518796992481</c:v>
                </c:pt>
              </c:numCache>
            </c:numRef>
          </c:val>
          <c:extLst>
            <c:ext xmlns:c16="http://schemas.microsoft.com/office/drawing/2014/chart" uri="{C3380CC4-5D6E-409C-BE32-E72D297353CC}">
              <c16:uniqueId val="{00000000-565B-41B5-8F1E-98DEB2B47A42}"/>
            </c:ext>
          </c:extLst>
        </c:ser>
        <c:ser>
          <c:idx val="1"/>
          <c:order val="1"/>
          <c:tx>
            <c:strRef>
              <c:f>'pivot table'!$C$3:$C$4</c:f>
              <c:strCache>
                <c:ptCount val="1"/>
                <c:pt idx="0">
                  <c:v>N/A</c:v>
                </c:pt>
              </c:strCache>
            </c:strRef>
          </c:tx>
          <c:spPr>
            <a:solidFill>
              <a:schemeClr val="accent2"/>
            </a:solidFill>
            <a:ln>
              <a:noFill/>
            </a:ln>
            <a:effectLst/>
          </c:spPr>
          <c:invertIfNegative val="0"/>
          <c:cat>
            <c:strRef>
              <c:f>'pivot table'!$A$5:$A$13</c:f>
              <c:strCache>
                <c:ptCount val="8"/>
                <c:pt idx="1">
                  <c:v>Blue Dart</c:v>
                </c:pt>
                <c:pt idx="2">
                  <c:v>Bluedart</c:v>
                </c:pt>
                <c:pt idx="3">
                  <c:v>Delhivery</c:v>
                </c:pt>
                <c:pt idx="4">
                  <c:v>Dtdc</c:v>
                </c:pt>
                <c:pt idx="5">
                  <c:v>Ecom Express</c:v>
                </c:pt>
                <c:pt idx="6">
                  <c:v>Xpress Bees</c:v>
                </c:pt>
                <c:pt idx="7">
                  <c:v>Xpressbees</c:v>
                </c:pt>
              </c:strCache>
            </c:strRef>
          </c:cat>
          <c:val>
            <c:numRef>
              <c:f>'pivot table'!$C$5:$C$13</c:f>
              <c:numCache>
                <c:formatCode>0.00%</c:formatCode>
                <c:ptCount val="8"/>
                <c:pt idx="0">
                  <c:v>0</c:v>
                </c:pt>
                <c:pt idx="1">
                  <c:v>1.4084507042253521E-2</c:v>
                </c:pt>
                <c:pt idx="2">
                  <c:v>8.4388185654008432E-3</c:v>
                </c:pt>
                <c:pt idx="3">
                  <c:v>3.205128205128205E-3</c:v>
                </c:pt>
                <c:pt idx="4">
                  <c:v>5.8997050147492625E-3</c:v>
                </c:pt>
                <c:pt idx="5">
                  <c:v>1.3468013468013467E-2</c:v>
                </c:pt>
                <c:pt idx="6">
                  <c:v>0</c:v>
                </c:pt>
                <c:pt idx="7">
                  <c:v>1.1278195488721804E-2</c:v>
                </c:pt>
              </c:numCache>
            </c:numRef>
          </c:val>
          <c:extLst>
            <c:ext xmlns:c16="http://schemas.microsoft.com/office/drawing/2014/chart" uri="{C3380CC4-5D6E-409C-BE32-E72D297353CC}">
              <c16:uniqueId val="{00000001-565B-41B5-8F1E-98DEB2B47A42}"/>
            </c:ext>
          </c:extLst>
        </c:ser>
        <c:ser>
          <c:idx val="2"/>
          <c:order val="2"/>
          <c:tx>
            <c:strRef>
              <c:f>'pivot table'!$D$3:$D$4</c:f>
              <c:strCache>
                <c:ptCount val="1"/>
                <c:pt idx="0">
                  <c:v>On Time</c:v>
                </c:pt>
              </c:strCache>
            </c:strRef>
          </c:tx>
          <c:spPr>
            <a:solidFill>
              <a:schemeClr val="accent3"/>
            </a:solidFill>
            <a:ln>
              <a:noFill/>
            </a:ln>
            <a:effectLst/>
          </c:spPr>
          <c:invertIfNegative val="0"/>
          <c:cat>
            <c:strRef>
              <c:f>'pivot table'!$A$5:$A$13</c:f>
              <c:strCache>
                <c:ptCount val="8"/>
                <c:pt idx="1">
                  <c:v>Blue Dart</c:v>
                </c:pt>
                <c:pt idx="2">
                  <c:v>Bluedart</c:v>
                </c:pt>
                <c:pt idx="3">
                  <c:v>Delhivery</c:v>
                </c:pt>
                <c:pt idx="4">
                  <c:v>Dtdc</c:v>
                </c:pt>
                <c:pt idx="5">
                  <c:v>Ecom Express</c:v>
                </c:pt>
                <c:pt idx="6">
                  <c:v>Xpress Bees</c:v>
                </c:pt>
                <c:pt idx="7">
                  <c:v>Xpressbees</c:v>
                </c:pt>
              </c:strCache>
            </c:strRef>
          </c:cat>
          <c:val>
            <c:numRef>
              <c:f>'pivot table'!$D$5:$D$13</c:f>
              <c:numCache>
                <c:formatCode>0.00%</c:formatCode>
                <c:ptCount val="8"/>
                <c:pt idx="0">
                  <c:v>0.42857142857142855</c:v>
                </c:pt>
                <c:pt idx="1">
                  <c:v>0.56338028169014087</c:v>
                </c:pt>
                <c:pt idx="2">
                  <c:v>0.6033755274261603</c:v>
                </c:pt>
                <c:pt idx="3">
                  <c:v>0.52884615384615385</c:v>
                </c:pt>
                <c:pt idx="4">
                  <c:v>0.41592920353982299</c:v>
                </c:pt>
                <c:pt idx="5">
                  <c:v>0.4781144781144781</c:v>
                </c:pt>
                <c:pt idx="6">
                  <c:v>0.45070422535211269</c:v>
                </c:pt>
                <c:pt idx="7">
                  <c:v>0.45864661654135336</c:v>
                </c:pt>
              </c:numCache>
            </c:numRef>
          </c:val>
          <c:extLst>
            <c:ext xmlns:c16="http://schemas.microsoft.com/office/drawing/2014/chart" uri="{C3380CC4-5D6E-409C-BE32-E72D297353CC}">
              <c16:uniqueId val="{00000002-565B-41B5-8F1E-98DEB2B47A42}"/>
            </c:ext>
          </c:extLst>
        </c:ser>
        <c:dLbls>
          <c:showLegendKey val="0"/>
          <c:showVal val="0"/>
          <c:showCatName val="0"/>
          <c:showSerName val="0"/>
          <c:showPercent val="0"/>
          <c:showBubbleSize val="0"/>
        </c:dLbls>
        <c:gapWidth val="182"/>
        <c:axId val="1166582703"/>
        <c:axId val="1166581263"/>
      </c:barChart>
      <c:catAx>
        <c:axId val="1166582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581263"/>
        <c:crosses val="autoZero"/>
        <c:auto val="1"/>
        <c:lblAlgn val="ctr"/>
        <c:lblOffset val="100"/>
        <c:noMultiLvlLbl val="0"/>
      </c:catAx>
      <c:valAx>
        <c:axId val="116658126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582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[Logistics_Shipment_Analysis.xlsx]pivot table!PivotTable2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Late%</a:t>
            </a:r>
            <a:r>
              <a:rPr lang="en-IN" baseline="0"/>
              <a:t> by orgin hub</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table'!$B$19:$B$20</c:f>
              <c:strCache>
                <c:ptCount val="1"/>
                <c:pt idx="0">
                  <c:v>Late</c:v>
                </c:pt>
              </c:strCache>
            </c:strRef>
          </c:tx>
          <c:spPr>
            <a:solidFill>
              <a:schemeClr val="accent1"/>
            </a:solidFill>
            <a:ln>
              <a:noFill/>
            </a:ln>
            <a:effectLst/>
          </c:spPr>
          <c:invertIfNegative val="0"/>
          <c:cat>
            <c:strRef>
              <c:f>'pivot table'!$A$21:$A$28</c:f>
              <c:strCache>
                <c:ptCount val="7"/>
                <c:pt idx="1">
                  <c:v>Bengaluru</c:v>
                </c:pt>
                <c:pt idx="2">
                  <c:v>Chennai</c:v>
                </c:pt>
                <c:pt idx="3">
                  <c:v>Delhi</c:v>
                </c:pt>
                <c:pt idx="4">
                  <c:v>Hyderabad</c:v>
                </c:pt>
                <c:pt idx="5">
                  <c:v>Kolkata</c:v>
                </c:pt>
                <c:pt idx="6">
                  <c:v>Mumbai</c:v>
                </c:pt>
              </c:strCache>
            </c:strRef>
          </c:cat>
          <c:val>
            <c:numRef>
              <c:f>'pivot table'!$B$21:$B$28</c:f>
              <c:numCache>
                <c:formatCode>0.00%</c:formatCode>
                <c:ptCount val="7"/>
                <c:pt idx="0">
                  <c:v>0.375</c:v>
                </c:pt>
                <c:pt idx="1">
                  <c:v>0.58015267175572516</c:v>
                </c:pt>
                <c:pt idx="2">
                  <c:v>0.50370370370370365</c:v>
                </c:pt>
                <c:pt idx="3">
                  <c:v>0.49789029535864981</c:v>
                </c:pt>
                <c:pt idx="4">
                  <c:v>0.52290076335877866</c:v>
                </c:pt>
                <c:pt idx="5">
                  <c:v>0.46808510638297873</c:v>
                </c:pt>
                <c:pt idx="6">
                  <c:v>0.43369175627240142</c:v>
                </c:pt>
              </c:numCache>
            </c:numRef>
          </c:val>
          <c:extLst>
            <c:ext xmlns:c16="http://schemas.microsoft.com/office/drawing/2014/chart" uri="{C3380CC4-5D6E-409C-BE32-E72D297353CC}">
              <c16:uniqueId val="{00000000-4679-470F-93F9-2125B2AD8F0C}"/>
            </c:ext>
          </c:extLst>
        </c:ser>
        <c:ser>
          <c:idx val="1"/>
          <c:order val="1"/>
          <c:tx>
            <c:strRef>
              <c:f>'pivot table'!$C$19:$C$20</c:f>
              <c:strCache>
                <c:ptCount val="1"/>
                <c:pt idx="0">
                  <c:v>N/A</c:v>
                </c:pt>
              </c:strCache>
            </c:strRef>
          </c:tx>
          <c:spPr>
            <a:solidFill>
              <a:schemeClr val="accent2"/>
            </a:solidFill>
            <a:ln>
              <a:noFill/>
            </a:ln>
            <a:effectLst/>
          </c:spPr>
          <c:invertIfNegative val="0"/>
          <c:cat>
            <c:strRef>
              <c:f>'pivot table'!$A$21:$A$28</c:f>
              <c:strCache>
                <c:ptCount val="7"/>
                <c:pt idx="1">
                  <c:v>Bengaluru</c:v>
                </c:pt>
                <c:pt idx="2">
                  <c:v>Chennai</c:v>
                </c:pt>
                <c:pt idx="3">
                  <c:v>Delhi</c:v>
                </c:pt>
                <c:pt idx="4">
                  <c:v>Hyderabad</c:v>
                </c:pt>
                <c:pt idx="5">
                  <c:v>Kolkata</c:v>
                </c:pt>
                <c:pt idx="6">
                  <c:v>Mumbai</c:v>
                </c:pt>
              </c:strCache>
            </c:strRef>
          </c:cat>
          <c:val>
            <c:numRef>
              <c:f>'pivot table'!$C$21:$C$28</c:f>
              <c:numCache>
                <c:formatCode>0.00%</c:formatCode>
                <c:ptCount val="7"/>
                <c:pt idx="0">
                  <c:v>0</c:v>
                </c:pt>
                <c:pt idx="1">
                  <c:v>1.9083969465648856E-2</c:v>
                </c:pt>
                <c:pt idx="2">
                  <c:v>1.1111111111111112E-2</c:v>
                </c:pt>
                <c:pt idx="3">
                  <c:v>4.2194092827004216E-3</c:v>
                </c:pt>
                <c:pt idx="4">
                  <c:v>0</c:v>
                </c:pt>
                <c:pt idx="5">
                  <c:v>3.5460992907801418E-3</c:v>
                </c:pt>
                <c:pt idx="6">
                  <c:v>1.0752688172043012E-2</c:v>
                </c:pt>
              </c:numCache>
            </c:numRef>
          </c:val>
          <c:extLst>
            <c:ext xmlns:c16="http://schemas.microsoft.com/office/drawing/2014/chart" uri="{C3380CC4-5D6E-409C-BE32-E72D297353CC}">
              <c16:uniqueId val="{00000001-4679-470F-93F9-2125B2AD8F0C}"/>
            </c:ext>
          </c:extLst>
        </c:ser>
        <c:ser>
          <c:idx val="2"/>
          <c:order val="2"/>
          <c:tx>
            <c:strRef>
              <c:f>'pivot table'!$D$19:$D$20</c:f>
              <c:strCache>
                <c:ptCount val="1"/>
                <c:pt idx="0">
                  <c:v>On Time</c:v>
                </c:pt>
              </c:strCache>
            </c:strRef>
          </c:tx>
          <c:spPr>
            <a:solidFill>
              <a:schemeClr val="accent3"/>
            </a:solidFill>
            <a:ln>
              <a:noFill/>
            </a:ln>
            <a:effectLst/>
          </c:spPr>
          <c:invertIfNegative val="0"/>
          <c:cat>
            <c:strRef>
              <c:f>'pivot table'!$A$21:$A$28</c:f>
              <c:strCache>
                <c:ptCount val="7"/>
                <c:pt idx="1">
                  <c:v>Bengaluru</c:v>
                </c:pt>
                <c:pt idx="2">
                  <c:v>Chennai</c:v>
                </c:pt>
                <c:pt idx="3">
                  <c:v>Delhi</c:v>
                </c:pt>
                <c:pt idx="4">
                  <c:v>Hyderabad</c:v>
                </c:pt>
                <c:pt idx="5">
                  <c:v>Kolkata</c:v>
                </c:pt>
                <c:pt idx="6">
                  <c:v>Mumbai</c:v>
                </c:pt>
              </c:strCache>
            </c:strRef>
          </c:cat>
          <c:val>
            <c:numRef>
              <c:f>'pivot table'!$D$21:$D$28</c:f>
              <c:numCache>
                <c:formatCode>0.00%</c:formatCode>
                <c:ptCount val="7"/>
                <c:pt idx="0">
                  <c:v>0.625</c:v>
                </c:pt>
                <c:pt idx="1">
                  <c:v>0.40076335877862596</c:v>
                </c:pt>
                <c:pt idx="2">
                  <c:v>0.48518518518518516</c:v>
                </c:pt>
                <c:pt idx="3">
                  <c:v>0.49789029535864981</c:v>
                </c:pt>
                <c:pt idx="4">
                  <c:v>0.47709923664122139</c:v>
                </c:pt>
                <c:pt idx="5">
                  <c:v>0.52836879432624118</c:v>
                </c:pt>
                <c:pt idx="6">
                  <c:v>0.55555555555555558</c:v>
                </c:pt>
              </c:numCache>
            </c:numRef>
          </c:val>
          <c:extLst>
            <c:ext xmlns:c16="http://schemas.microsoft.com/office/drawing/2014/chart" uri="{C3380CC4-5D6E-409C-BE32-E72D297353CC}">
              <c16:uniqueId val="{00000002-4679-470F-93F9-2125B2AD8F0C}"/>
            </c:ext>
          </c:extLst>
        </c:ser>
        <c:dLbls>
          <c:showLegendKey val="0"/>
          <c:showVal val="0"/>
          <c:showCatName val="0"/>
          <c:showSerName val="0"/>
          <c:showPercent val="0"/>
          <c:showBubbleSize val="0"/>
        </c:dLbls>
        <c:gapWidth val="182"/>
        <c:axId val="1179764415"/>
        <c:axId val="1179762495"/>
      </c:barChart>
      <c:catAx>
        <c:axId val="1179764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762495"/>
        <c:crosses val="autoZero"/>
        <c:auto val="1"/>
        <c:lblAlgn val="ctr"/>
        <c:lblOffset val="100"/>
        <c:noMultiLvlLbl val="0"/>
      </c:catAx>
      <c:valAx>
        <c:axId val="117976249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764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[Logistics_Shipment_Analysis.xlsx]pivot table!PivotTable4</c:name>
    <c:fmtId val="1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Average delivery days by carrier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table'!$A$34:$A$42</c:f>
              <c:strCache>
                <c:ptCount val="8"/>
                <c:pt idx="1">
                  <c:v>Blue Dart</c:v>
                </c:pt>
                <c:pt idx="2">
                  <c:v>Bluedart</c:v>
                </c:pt>
                <c:pt idx="3">
                  <c:v>Delhivery</c:v>
                </c:pt>
                <c:pt idx="4">
                  <c:v>Dtdc</c:v>
                </c:pt>
                <c:pt idx="5">
                  <c:v>Ecom Express</c:v>
                </c:pt>
                <c:pt idx="6">
                  <c:v>Xpress Bees</c:v>
                </c:pt>
                <c:pt idx="7">
                  <c:v>Xpressbees</c:v>
                </c:pt>
              </c:strCache>
            </c:strRef>
          </c:cat>
          <c:val>
            <c:numRef>
              <c:f>'pivot table'!$B$34:$B$42</c:f>
              <c:numCache>
                <c:formatCode>0.00</c:formatCode>
                <c:ptCount val="8"/>
                <c:pt idx="0">
                  <c:v>8.7142857142857135</c:v>
                </c:pt>
                <c:pt idx="1">
                  <c:v>5.9714285714285715</c:v>
                </c:pt>
                <c:pt idx="2">
                  <c:v>6.1957446808510639</c:v>
                </c:pt>
                <c:pt idx="3">
                  <c:v>6.270096463022508</c:v>
                </c:pt>
                <c:pt idx="4">
                  <c:v>7.5044510385756675</c:v>
                </c:pt>
                <c:pt idx="5">
                  <c:v>6.7201365187713309</c:v>
                </c:pt>
                <c:pt idx="6">
                  <c:v>6.957746478873239</c:v>
                </c:pt>
                <c:pt idx="7">
                  <c:v>6.7604562737642588</c:v>
                </c:pt>
              </c:numCache>
            </c:numRef>
          </c:val>
          <c:extLst>
            <c:ext xmlns:c16="http://schemas.microsoft.com/office/drawing/2014/chart" uri="{C3380CC4-5D6E-409C-BE32-E72D297353CC}">
              <c16:uniqueId val="{00000000-596E-43A9-808B-39B7F6B39BE1}"/>
            </c:ext>
          </c:extLst>
        </c:ser>
        <c:dLbls>
          <c:showLegendKey val="0"/>
          <c:showVal val="0"/>
          <c:showCatName val="0"/>
          <c:showSerName val="0"/>
          <c:showPercent val="0"/>
          <c:showBubbleSize val="0"/>
        </c:dLbls>
        <c:gapWidth val="315"/>
        <c:overlap val="-40"/>
        <c:axId val="1127295375"/>
        <c:axId val="1166580303"/>
      </c:barChart>
      <c:catAx>
        <c:axId val="112729537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66580303"/>
        <c:crosses val="autoZero"/>
        <c:auto val="1"/>
        <c:lblAlgn val="ctr"/>
        <c:lblOffset val="100"/>
        <c:noMultiLvlLbl val="0"/>
      </c:catAx>
      <c:valAx>
        <c:axId val="116658030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2729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[Logistics_Shipment_Analysis.xlsx]pivot table!PivotTable6</c:name>
    <c:fmtId val="15"/>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Average delivery</a:t>
            </a:r>
            <a:r>
              <a:rPr lang="en-US" baseline="0"/>
              <a:t> days by shipment mode</a:t>
            </a:r>
            <a:endParaRPr lang="en-US"/>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table'!$B$50</c:f>
              <c:strCache>
                <c:ptCount val="1"/>
                <c:pt idx="0">
                  <c:v>Total</c:v>
                </c:pt>
              </c:strCache>
            </c:strRef>
          </c:tx>
          <c:spPr>
            <a:solidFill>
              <a:schemeClr val="accent1"/>
            </a:solidFill>
            <a:ln>
              <a:noFill/>
            </a:ln>
            <a:effectLst/>
          </c:spPr>
          <c:invertIfNegative val="0"/>
          <c:cat>
            <c:strRef>
              <c:f>'pivot table'!$A$51:$A$54</c:f>
              <c:strCache>
                <c:ptCount val="3"/>
                <c:pt idx="0">
                  <c:v>Air</c:v>
                </c:pt>
                <c:pt idx="1">
                  <c:v>Road</c:v>
                </c:pt>
                <c:pt idx="2">
                  <c:v>Surface</c:v>
                </c:pt>
              </c:strCache>
            </c:strRef>
          </c:cat>
          <c:val>
            <c:numRef>
              <c:f>'pivot table'!$B$51:$B$54</c:f>
              <c:numCache>
                <c:formatCode>0.00</c:formatCode>
                <c:ptCount val="3"/>
                <c:pt idx="0">
                  <c:v>4.9123809523809525</c:v>
                </c:pt>
                <c:pt idx="1">
                  <c:v>8.4900900900900904</c:v>
                </c:pt>
                <c:pt idx="2">
                  <c:v>6.6351084812623276</c:v>
                </c:pt>
              </c:numCache>
            </c:numRef>
          </c:val>
          <c:extLst>
            <c:ext xmlns:c16="http://schemas.microsoft.com/office/drawing/2014/chart" uri="{C3380CC4-5D6E-409C-BE32-E72D297353CC}">
              <c16:uniqueId val="{00000000-0671-4C85-9DCF-DCB138ED27C4}"/>
            </c:ext>
          </c:extLst>
        </c:ser>
        <c:dLbls>
          <c:showLegendKey val="0"/>
          <c:showVal val="0"/>
          <c:showCatName val="0"/>
          <c:showSerName val="0"/>
          <c:showPercent val="0"/>
          <c:showBubbleSize val="0"/>
        </c:dLbls>
        <c:gapWidth val="267"/>
        <c:overlap val="-43"/>
        <c:axId val="1300175551"/>
        <c:axId val="1300174591"/>
      </c:barChart>
      <c:catAx>
        <c:axId val="130017555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300174591"/>
        <c:crosses val="autoZero"/>
        <c:auto val="1"/>
        <c:lblAlgn val="ctr"/>
        <c:lblOffset val="100"/>
        <c:noMultiLvlLbl val="0"/>
      </c:catAx>
      <c:valAx>
        <c:axId val="1300174591"/>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300175551"/>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[Logistics_Shipment_Analysis.xlsx]pivot table!PivotTable7</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delay:cross-zone vs same-zone</a:t>
            </a:r>
            <a:endParaRPr lang="en-IN"/>
          </a:p>
        </c:rich>
      </c:tx>
      <c:layout>
        <c:manualLayout>
          <c:xMode val="edge"/>
          <c:yMode val="edge"/>
          <c:x val="0.26848600174978127"/>
          <c:y val="9.62015164771070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table'!$B$64</c:f>
              <c:strCache>
                <c:ptCount val="1"/>
                <c:pt idx="0">
                  <c:v>Total</c:v>
                </c:pt>
              </c:strCache>
            </c:strRef>
          </c:tx>
          <c:spPr>
            <a:solidFill>
              <a:schemeClr val="accent1"/>
            </a:solidFill>
            <a:ln>
              <a:noFill/>
            </a:ln>
            <a:effectLst/>
          </c:spPr>
          <c:invertIfNegative val="0"/>
          <c:cat>
            <c:strRef>
              <c:f>'pivot table'!$A$65:$A$67</c:f>
              <c:strCache>
                <c:ptCount val="2"/>
                <c:pt idx="0">
                  <c:v>No</c:v>
                </c:pt>
                <c:pt idx="1">
                  <c:v>Yes</c:v>
                </c:pt>
              </c:strCache>
            </c:strRef>
          </c:cat>
          <c:val>
            <c:numRef>
              <c:f>'pivot table'!$B$65:$B$67</c:f>
              <c:numCache>
                <c:formatCode>General</c:formatCode>
                <c:ptCount val="2"/>
                <c:pt idx="0">
                  <c:v>1.0075949367088608</c:v>
                </c:pt>
                <c:pt idx="1">
                  <c:v>1.2323825503355705</c:v>
                </c:pt>
              </c:numCache>
            </c:numRef>
          </c:val>
          <c:extLst>
            <c:ext xmlns:c16="http://schemas.microsoft.com/office/drawing/2014/chart" uri="{C3380CC4-5D6E-409C-BE32-E72D297353CC}">
              <c16:uniqueId val="{00000000-2132-415F-B2CC-B31B5784D531}"/>
            </c:ext>
          </c:extLst>
        </c:ser>
        <c:dLbls>
          <c:showLegendKey val="0"/>
          <c:showVal val="0"/>
          <c:showCatName val="0"/>
          <c:showSerName val="0"/>
          <c:showPercent val="0"/>
          <c:showBubbleSize val="0"/>
        </c:dLbls>
        <c:gapWidth val="219"/>
        <c:overlap val="-27"/>
        <c:axId val="1300186591"/>
        <c:axId val="1300187071"/>
      </c:barChart>
      <c:catAx>
        <c:axId val="130018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187071"/>
        <c:crosses val="autoZero"/>
        <c:auto val="1"/>
        <c:lblAlgn val="ctr"/>
        <c:lblOffset val="100"/>
        <c:noMultiLvlLbl val="0"/>
      </c:catAx>
      <c:valAx>
        <c:axId val="1300187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186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Damaged+Returned</a:t>
            </a:r>
            <a:r>
              <a:rPr lang="en-IN" baseline="0"/>
              <a:t> Rate by Product Category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'pivot table'!$I$80:$I$88</c:f>
              <c:strCache>
                <c:ptCount val="9"/>
                <c:pt idx="0">
                  <c:v>Count of ShipmentID</c:v>
                </c:pt>
                <c:pt idx="1">
                  <c:v>Row Labels</c:v>
                </c:pt>
                <c:pt idx="3">
                  <c:v>Apparel</c:v>
                </c:pt>
                <c:pt idx="4">
                  <c:v>Automotive Parts</c:v>
                </c:pt>
                <c:pt idx="5">
                  <c:v>Electronics</c:v>
                </c:pt>
                <c:pt idx="6">
                  <c:v>Furniture</c:v>
                </c:pt>
                <c:pt idx="7">
                  <c:v>Grocery &amp; Fmcg</c:v>
                </c:pt>
                <c:pt idx="8">
                  <c:v>Pharma</c:v>
                </c:pt>
              </c:strCache>
            </c:strRef>
          </c:cat>
          <c:val>
            <c:numRef>
              <c:f>'pivot table'!$J$80:$J$88</c:f>
              <c:numCache>
                <c:formatCode>General</c:formatCode>
                <c:ptCount val="9"/>
                <c:pt idx="0">
                  <c:v>0</c:v>
                </c:pt>
                <c:pt idx="3">
                  <c:v>4</c:v>
                </c:pt>
                <c:pt idx="4">
                  <c:v>7</c:v>
                </c:pt>
                <c:pt idx="5">
                  <c:v>17</c:v>
                </c:pt>
                <c:pt idx="6">
                  <c:v>19</c:v>
                </c:pt>
                <c:pt idx="7">
                  <c:v>4</c:v>
                </c:pt>
                <c:pt idx="8">
                  <c:v>2</c:v>
                </c:pt>
              </c:numCache>
            </c:numRef>
          </c:val>
          <c:extLst>
            <c:ext xmlns:c16="http://schemas.microsoft.com/office/drawing/2014/chart" uri="{C3380CC4-5D6E-409C-BE32-E72D297353CC}">
              <c16:uniqueId val="{00000000-2AAC-40FE-931D-9D8D99D200CA}"/>
            </c:ext>
          </c:extLst>
        </c:ser>
        <c:ser>
          <c:idx val="1"/>
          <c:order val="1"/>
          <c:spPr>
            <a:solidFill>
              <a:schemeClr val="accent2"/>
            </a:solidFill>
            <a:ln>
              <a:noFill/>
            </a:ln>
            <a:effectLst/>
          </c:spPr>
          <c:invertIfNegative val="0"/>
          <c:cat>
            <c:strRef>
              <c:f>'pivot table'!$I$80:$I$88</c:f>
              <c:strCache>
                <c:ptCount val="9"/>
                <c:pt idx="0">
                  <c:v>Count of ShipmentID</c:v>
                </c:pt>
                <c:pt idx="1">
                  <c:v>Row Labels</c:v>
                </c:pt>
                <c:pt idx="3">
                  <c:v>Apparel</c:v>
                </c:pt>
                <c:pt idx="4">
                  <c:v>Automotive Parts</c:v>
                </c:pt>
                <c:pt idx="5">
                  <c:v>Electronics</c:v>
                </c:pt>
                <c:pt idx="6">
                  <c:v>Furniture</c:v>
                </c:pt>
                <c:pt idx="7">
                  <c:v>Grocery &amp; Fmcg</c:v>
                </c:pt>
                <c:pt idx="8">
                  <c:v>Pharma</c:v>
                </c:pt>
              </c:strCache>
            </c:strRef>
          </c:cat>
          <c:val>
            <c:numRef>
              <c:f>'pivot table'!$K$80:$K$88</c:f>
              <c:numCache>
                <c:formatCode>General</c:formatCode>
                <c:ptCount val="9"/>
                <c:pt idx="0">
                  <c:v>0</c:v>
                </c:pt>
                <c:pt idx="3">
                  <c:v>17</c:v>
                </c:pt>
                <c:pt idx="4">
                  <c:v>7</c:v>
                </c:pt>
                <c:pt idx="5">
                  <c:v>11</c:v>
                </c:pt>
                <c:pt idx="6">
                  <c:v>5</c:v>
                </c:pt>
                <c:pt idx="7">
                  <c:v>6</c:v>
                </c:pt>
              </c:numCache>
            </c:numRef>
          </c:val>
          <c:extLst>
            <c:ext xmlns:c16="http://schemas.microsoft.com/office/drawing/2014/chart" uri="{C3380CC4-5D6E-409C-BE32-E72D297353CC}">
              <c16:uniqueId val="{00000001-2AAC-40FE-931D-9D8D99D200CA}"/>
            </c:ext>
          </c:extLst>
        </c:ser>
        <c:ser>
          <c:idx val="2"/>
          <c:order val="2"/>
          <c:spPr>
            <a:solidFill>
              <a:schemeClr val="accent3"/>
            </a:solidFill>
            <a:ln>
              <a:noFill/>
            </a:ln>
            <a:effectLst/>
          </c:spPr>
          <c:invertIfNegative val="0"/>
          <c:cat>
            <c:strRef>
              <c:f>'pivot table'!$I$80:$I$88</c:f>
              <c:strCache>
                <c:ptCount val="9"/>
                <c:pt idx="0">
                  <c:v>Count of ShipmentID</c:v>
                </c:pt>
                <c:pt idx="1">
                  <c:v>Row Labels</c:v>
                </c:pt>
                <c:pt idx="3">
                  <c:v>Apparel</c:v>
                </c:pt>
                <c:pt idx="4">
                  <c:v>Automotive Parts</c:v>
                </c:pt>
                <c:pt idx="5">
                  <c:v>Electronics</c:v>
                </c:pt>
                <c:pt idx="6">
                  <c:v>Furniture</c:v>
                </c:pt>
                <c:pt idx="7">
                  <c:v>Grocery &amp; Fmcg</c:v>
                </c:pt>
                <c:pt idx="8">
                  <c:v>Pharma</c:v>
                </c:pt>
              </c:strCache>
            </c:strRef>
          </c:cat>
          <c:val>
            <c:numRef>
              <c:f>'pivot table'!$L$80:$L$88</c:f>
              <c:numCache>
                <c:formatCode>General</c:formatCode>
                <c:ptCount val="9"/>
                <c:pt idx="1">
                  <c:v>0</c:v>
                </c:pt>
                <c:pt idx="3">
                  <c:v>21</c:v>
                </c:pt>
                <c:pt idx="4">
                  <c:v>14</c:v>
                </c:pt>
                <c:pt idx="5">
                  <c:v>28</c:v>
                </c:pt>
                <c:pt idx="6">
                  <c:v>24</c:v>
                </c:pt>
                <c:pt idx="7">
                  <c:v>10</c:v>
                </c:pt>
                <c:pt idx="8">
                  <c:v>2</c:v>
                </c:pt>
              </c:numCache>
            </c:numRef>
          </c:val>
          <c:extLst>
            <c:ext xmlns:c16="http://schemas.microsoft.com/office/drawing/2014/chart" uri="{C3380CC4-5D6E-409C-BE32-E72D297353CC}">
              <c16:uniqueId val="{00000002-2AAC-40FE-931D-9D8D99D200CA}"/>
            </c:ext>
          </c:extLst>
        </c:ser>
        <c:ser>
          <c:idx val="3"/>
          <c:order val="3"/>
          <c:spPr>
            <a:solidFill>
              <a:schemeClr val="accent4"/>
            </a:solidFill>
            <a:ln>
              <a:noFill/>
            </a:ln>
            <a:effectLst/>
          </c:spPr>
          <c:invertIfNegative val="0"/>
          <c:cat>
            <c:strRef>
              <c:f>'pivot table'!$I$80:$I$88</c:f>
              <c:strCache>
                <c:ptCount val="9"/>
                <c:pt idx="0">
                  <c:v>Count of ShipmentID</c:v>
                </c:pt>
                <c:pt idx="1">
                  <c:v>Row Labels</c:v>
                </c:pt>
                <c:pt idx="3">
                  <c:v>Apparel</c:v>
                </c:pt>
                <c:pt idx="4">
                  <c:v>Automotive Parts</c:v>
                </c:pt>
                <c:pt idx="5">
                  <c:v>Electronics</c:v>
                </c:pt>
                <c:pt idx="6">
                  <c:v>Furniture</c:v>
                </c:pt>
                <c:pt idx="7">
                  <c:v>Grocery &amp; Fmcg</c:v>
                </c:pt>
                <c:pt idx="8">
                  <c:v>Pharma</c:v>
                </c:pt>
              </c:strCache>
            </c:strRef>
          </c:cat>
          <c:val>
            <c:numRef>
              <c:f>'pivot table'!$M$80:$M$88</c:f>
              <c:numCache>
                <c:formatCode>General</c:formatCode>
                <c:ptCount val="9"/>
                <c:pt idx="1">
                  <c:v>0</c:v>
                </c:pt>
                <c:pt idx="3">
                  <c:v>248</c:v>
                </c:pt>
                <c:pt idx="4">
                  <c:v>271</c:v>
                </c:pt>
                <c:pt idx="5">
                  <c:v>255</c:v>
                </c:pt>
                <c:pt idx="6">
                  <c:v>267</c:v>
                </c:pt>
                <c:pt idx="7">
                  <c:v>268</c:v>
                </c:pt>
                <c:pt idx="8">
                  <c:v>283</c:v>
                </c:pt>
              </c:numCache>
            </c:numRef>
          </c:val>
          <c:extLst>
            <c:ext xmlns:c16="http://schemas.microsoft.com/office/drawing/2014/chart" uri="{C3380CC4-5D6E-409C-BE32-E72D297353CC}">
              <c16:uniqueId val="{00000003-2AAC-40FE-931D-9D8D99D200CA}"/>
            </c:ext>
          </c:extLst>
        </c:ser>
        <c:ser>
          <c:idx val="4"/>
          <c:order val="4"/>
          <c:spPr>
            <a:solidFill>
              <a:schemeClr val="accent5"/>
            </a:solidFill>
            <a:ln>
              <a:noFill/>
            </a:ln>
            <a:effectLst/>
          </c:spPr>
          <c:invertIfNegative val="0"/>
          <c:cat>
            <c:strRef>
              <c:f>'pivot table'!$I$80:$I$88</c:f>
              <c:strCache>
                <c:ptCount val="9"/>
                <c:pt idx="0">
                  <c:v>Count of ShipmentID</c:v>
                </c:pt>
                <c:pt idx="1">
                  <c:v>Row Labels</c:v>
                </c:pt>
                <c:pt idx="3">
                  <c:v>Apparel</c:v>
                </c:pt>
                <c:pt idx="4">
                  <c:v>Automotive Parts</c:v>
                </c:pt>
                <c:pt idx="5">
                  <c:v>Electronics</c:v>
                </c:pt>
                <c:pt idx="6">
                  <c:v>Furniture</c:v>
                </c:pt>
                <c:pt idx="7">
                  <c:v>Grocery &amp; Fmcg</c:v>
                </c:pt>
                <c:pt idx="8">
                  <c:v>Pharma</c:v>
                </c:pt>
              </c:strCache>
            </c:strRef>
          </c:cat>
          <c:val>
            <c:numRef>
              <c:f>'pivot table'!$N$80:$N$88</c:f>
              <c:numCache>
                <c:formatCode>0.00</c:formatCode>
                <c:ptCount val="9"/>
                <c:pt idx="1">
                  <c:v>0</c:v>
                </c:pt>
                <c:pt idx="3">
                  <c:v>8.4677419354838701</c:v>
                </c:pt>
                <c:pt idx="4">
                  <c:v>5.1660516605166054</c:v>
                </c:pt>
                <c:pt idx="5">
                  <c:v>10.980392156862745</c:v>
                </c:pt>
                <c:pt idx="6">
                  <c:v>8.9887640449438209</c:v>
                </c:pt>
                <c:pt idx="7">
                  <c:v>3.7313432835820892</c:v>
                </c:pt>
                <c:pt idx="8">
                  <c:v>0.70671378091872794</c:v>
                </c:pt>
              </c:numCache>
            </c:numRef>
          </c:val>
          <c:extLst>
            <c:ext xmlns:c16="http://schemas.microsoft.com/office/drawing/2014/chart" uri="{C3380CC4-5D6E-409C-BE32-E72D297353CC}">
              <c16:uniqueId val="{00000004-2AAC-40FE-931D-9D8D99D200CA}"/>
            </c:ext>
          </c:extLst>
        </c:ser>
        <c:ser>
          <c:idx val="5"/>
          <c:order val="5"/>
          <c:spPr>
            <a:solidFill>
              <a:schemeClr val="accent6"/>
            </a:solidFill>
            <a:ln>
              <a:noFill/>
            </a:ln>
            <a:effectLst/>
          </c:spPr>
          <c:invertIfNegative val="0"/>
          <c:cat>
            <c:strRef>
              <c:f>'pivot table'!$I$80:$I$88</c:f>
              <c:strCache>
                <c:ptCount val="9"/>
                <c:pt idx="0">
                  <c:v>Count of ShipmentID</c:v>
                </c:pt>
                <c:pt idx="1">
                  <c:v>Row Labels</c:v>
                </c:pt>
                <c:pt idx="3">
                  <c:v>Apparel</c:v>
                </c:pt>
                <c:pt idx="4">
                  <c:v>Automotive Parts</c:v>
                </c:pt>
                <c:pt idx="5">
                  <c:v>Electronics</c:v>
                </c:pt>
                <c:pt idx="6">
                  <c:v>Furniture</c:v>
                </c:pt>
                <c:pt idx="7">
                  <c:v>Grocery &amp; Fmcg</c:v>
                </c:pt>
                <c:pt idx="8">
                  <c:v>Pharma</c:v>
                </c:pt>
              </c:strCache>
            </c:strRef>
          </c:cat>
          <c:val>
            <c:numRef>
              <c:f>'pivot table'!$O$80:$O$88</c:f>
              <c:numCache>
                <c:formatCode>General</c:formatCode>
                <c:ptCount val="9"/>
              </c:numCache>
            </c:numRef>
          </c:val>
          <c:extLst>
            <c:ext xmlns:c16="http://schemas.microsoft.com/office/drawing/2014/chart" uri="{C3380CC4-5D6E-409C-BE32-E72D297353CC}">
              <c16:uniqueId val="{00000005-2AAC-40FE-931D-9D8D99D200CA}"/>
            </c:ext>
          </c:extLst>
        </c:ser>
        <c:dLbls>
          <c:showLegendKey val="0"/>
          <c:showVal val="0"/>
          <c:showCatName val="0"/>
          <c:showSerName val="0"/>
          <c:showPercent val="0"/>
          <c:showBubbleSize val="0"/>
        </c:dLbls>
        <c:gapWidth val="182"/>
        <c:axId val="1291817567"/>
        <c:axId val="1291820927"/>
      </c:barChart>
      <c:catAx>
        <c:axId val="12918175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820927"/>
        <c:crosses val="autoZero"/>
        <c:auto val="1"/>
        <c:lblAlgn val="ctr"/>
        <c:lblOffset val="100"/>
        <c:noMultiLvlLbl val="0"/>
      </c:catAx>
      <c:valAx>
        <c:axId val="12918209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8175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costperkg vs Average Delivery days by Carrier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'pivot table'!$G$108</c:f>
              <c:strCache>
                <c:ptCount val="1"/>
                <c:pt idx="0">
                  <c:v>Average of ActualDeliveryDays</c:v>
                </c:pt>
              </c:strCache>
            </c:strRef>
          </c:tx>
          <c:spPr>
            <a:ln w="28575" cap="rnd">
              <a:noFill/>
              <a:round/>
            </a:ln>
            <a:effectLst/>
          </c:spPr>
          <c:marker>
            <c:symbol val="circle"/>
            <c:size val="5"/>
            <c:spPr>
              <a:solidFill>
                <a:schemeClr val="accent1"/>
              </a:solidFill>
              <a:ln w="9525">
                <a:solidFill>
                  <a:schemeClr val="accent1"/>
                </a:solidFill>
              </a:ln>
              <a:effectLst/>
            </c:spPr>
          </c:marker>
          <c:xVal>
            <c:multiLvlStrRef>
              <c:f>'pivot table'!$E$109:$F$117</c:f>
              <c:multiLvlStrCache>
                <c:ptCount val="8"/>
                <c:lvl>
                  <c:pt idx="0">
                    <c:v>55.82</c:v>
                  </c:pt>
                  <c:pt idx="1">
                    <c:v>100.49</c:v>
                  </c:pt>
                  <c:pt idx="2">
                    <c:v>83.97</c:v>
                  </c:pt>
                  <c:pt idx="3">
                    <c:v>108.54</c:v>
                  </c:pt>
                  <c:pt idx="4">
                    <c:v>101.24</c:v>
                  </c:pt>
                  <c:pt idx="5">
                    <c:v>110.95</c:v>
                  </c:pt>
                  <c:pt idx="6">
                    <c:v>106.23</c:v>
                  </c:pt>
                  <c:pt idx="7">
                    <c:v>97.20</c:v>
                  </c:pt>
                </c:lvl>
                <c:lvl>
                  <c:pt idx="1">
                    <c:v>Blue Dart</c:v>
                  </c:pt>
                  <c:pt idx="2">
                    <c:v>Bluedart</c:v>
                  </c:pt>
                  <c:pt idx="3">
                    <c:v>Delhivery</c:v>
                  </c:pt>
                  <c:pt idx="4">
                    <c:v>Dtdc</c:v>
                  </c:pt>
                  <c:pt idx="5">
                    <c:v>Ecom Express</c:v>
                  </c:pt>
                  <c:pt idx="6">
                    <c:v>Xpress Bees</c:v>
                  </c:pt>
                  <c:pt idx="7">
                    <c:v>Xpressbees</c:v>
                  </c:pt>
                </c:lvl>
              </c:multiLvlStrCache>
            </c:multiLvlStrRef>
          </c:xVal>
          <c:yVal>
            <c:numRef>
              <c:f>'pivot table'!$G$109:$G$117</c:f>
              <c:numCache>
                <c:formatCode>0.00</c:formatCode>
                <c:ptCount val="9"/>
                <c:pt idx="0">
                  <c:v>8.7142857142857135</c:v>
                </c:pt>
                <c:pt idx="1">
                  <c:v>5.9714285714285715</c:v>
                </c:pt>
                <c:pt idx="2">
                  <c:v>6.1957446808510639</c:v>
                </c:pt>
                <c:pt idx="3">
                  <c:v>6.270096463022508</c:v>
                </c:pt>
                <c:pt idx="4">
                  <c:v>7.5044510385756675</c:v>
                </c:pt>
                <c:pt idx="5">
                  <c:v>6.7201365187713309</c:v>
                </c:pt>
                <c:pt idx="6">
                  <c:v>6.957746478873239</c:v>
                </c:pt>
                <c:pt idx="7">
                  <c:v>6.7604562737642588</c:v>
                </c:pt>
              </c:numCache>
            </c:numRef>
          </c:yVal>
          <c:smooth val="0"/>
          <c:extLst>
            <c:ext xmlns:c16="http://schemas.microsoft.com/office/drawing/2014/chart" uri="{C3380CC4-5D6E-409C-BE32-E72D297353CC}">
              <c16:uniqueId val="{00000000-D30E-4932-A76F-BDB0B880DF9A}"/>
            </c:ext>
          </c:extLst>
        </c:ser>
        <c:dLbls>
          <c:showLegendKey val="0"/>
          <c:showVal val="0"/>
          <c:showCatName val="0"/>
          <c:showSerName val="0"/>
          <c:showPercent val="0"/>
          <c:showBubbleSize val="0"/>
        </c:dLbls>
        <c:axId val="1179758175"/>
        <c:axId val="1179756735"/>
      </c:scatterChart>
      <c:valAx>
        <c:axId val="11797581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actual delivery days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756735"/>
        <c:crosses val="autoZero"/>
        <c:crossBetween val="midCat"/>
      </c:valAx>
      <c:valAx>
        <c:axId val="11797567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Average</a:t>
                </a:r>
                <a:r>
                  <a:rPr lang="en-IN" baseline="0"/>
                  <a:t> costperkg</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7581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Monthly</a:t>
            </a:r>
            <a:r>
              <a:rPr lang="en-IN" baseline="0"/>
              <a:t> Shipment Volume &amp; On-Time </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'pivot table'!$H$123:$H$124</c:f>
              <c:strCache>
                <c:ptCount val="2"/>
                <c:pt idx="0">
                  <c:v>total shipment</c:v>
                </c:pt>
              </c:strCache>
            </c:strRef>
          </c:tx>
          <c:spPr>
            <a:gradFill rotWithShape="1">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invertIfNegative val="0"/>
          <c:cat>
            <c:strRef>
              <c:f>'pivot table'!$G$125:$G$130</c:f>
              <c:strCache>
                <c:ptCount val="6"/>
                <c:pt idx="0">
                  <c:v>Jan</c:v>
                </c:pt>
                <c:pt idx="1">
                  <c:v>Feb</c:v>
                </c:pt>
                <c:pt idx="2">
                  <c:v>Mar</c:v>
                </c:pt>
                <c:pt idx="3">
                  <c:v>Apr</c:v>
                </c:pt>
                <c:pt idx="4">
                  <c:v>May</c:v>
                </c:pt>
                <c:pt idx="5">
                  <c:v>Jun</c:v>
                </c:pt>
              </c:strCache>
            </c:strRef>
          </c:cat>
          <c:val>
            <c:numRef>
              <c:f>'pivot table'!$H$125:$H$130</c:f>
              <c:numCache>
                <c:formatCode>General</c:formatCode>
                <c:ptCount val="6"/>
                <c:pt idx="0">
                  <c:v>273</c:v>
                </c:pt>
                <c:pt idx="1">
                  <c:v>229</c:v>
                </c:pt>
                <c:pt idx="2">
                  <c:v>295</c:v>
                </c:pt>
                <c:pt idx="3">
                  <c:v>258</c:v>
                </c:pt>
                <c:pt idx="4">
                  <c:v>276</c:v>
                </c:pt>
                <c:pt idx="5">
                  <c:v>269</c:v>
                </c:pt>
              </c:numCache>
            </c:numRef>
          </c:val>
          <c:extLst>
            <c:ext xmlns:c16="http://schemas.microsoft.com/office/drawing/2014/chart" uri="{C3380CC4-5D6E-409C-BE32-E72D297353CC}">
              <c16:uniqueId val="{00000000-B4A1-47AE-906B-1472877AC744}"/>
            </c:ext>
          </c:extLst>
        </c:ser>
        <c:dLbls>
          <c:showLegendKey val="0"/>
          <c:showVal val="0"/>
          <c:showCatName val="0"/>
          <c:showSerName val="0"/>
          <c:showPercent val="0"/>
          <c:showBubbleSize val="0"/>
        </c:dLbls>
        <c:gapWidth val="219"/>
        <c:overlap val="-27"/>
        <c:axId val="1178565903"/>
        <c:axId val="1178569743"/>
      </c:barChart>
      <c:lineChart>
        <c:grouping val="standard"/>
        <c:varyColors val="0"/>
        <c:ser>
          <c:idx val="1"/>
          <c:order val="1"/>
          <c:tx>
            <c:strRef>
              <c:f>'pivot table'!$I$123:$I$124</c:f>
              <c:strCache>
                <c:ptCount val="2"/>
                <c:pt idx="0">
                  <c:v>total shipment</c:v>
                </c:pt>
                <c:pt idx="1">
                  <c:v>On Time</c:v>
                </c:pt>
              </c:strCache>
            </c:strRef>
          </c:tx>
          <c:spPr>
            <a:ln w="31750" cap="rnd">
              <a:solidFill>
                <a:schemeClr val="accent2"/>
              </a:solidFill>
              <a:round/>
            </a:ln>
            <a:effectLst/>
          </c:spPr>
          <c:marker>
            <c:symbol val="none"/>
          </c:marker>
          <c:cat>
            <c:strRef>
              <c:f>'pivot table'!$G$125:$G$130</c:f>
              <c:strCache>
                <c:ptCount val="6"/>
                <c:pt idx="0">
                  <c:v>Jan</c:v>
                </c:pt>
                <c:pt idx="1">
                  <c:v>Feb</c:v>
                </c:pt>
                <c:pt idx="2">
                  <c:v>Mar</c:v>
                </c:pt>
                <c:pt idx="3">
                  <c:v>Apr</c:v>
                </c:pt>
                <c:pt idx="4">
                  <c:v>May</c:v>
                </c:pt>
                <c:pt idx="5">
                  <c:v>Jun</c:v>
                </c:pt>
              </c:strCache>
            </c:strRef>
          </c:cat>
          <c:val>
            <c:numRef>
              <c:f>'pivot table'!$I$125:$I$130</c:f>
              <c:numCache>
                <c:formatCode>0.00%</c:formatCode>
                <c:ptCount val="6"/>
                <c:pt idx="0">
                  <c:v>0.54578754578754574</c:v>
                </c:pt>
                <c:pt idx="1">
                  <c:v>0.54585152838427953</c:v>
                </c:pt>
                <c:pt idx="2">
                  <c:v>0.42033898305084744</c:v>
                </c:pt>
                <c:pt idx="3">
                  <c:v>0.47674418604651164</c:v>
                </c:pt>
                <c:pt idx="4">
                  <c:v>0.48188405797101447</c:v>
                </c:pt>
                <c:pt idx="5">
                  <c:v>0.49814126394052044</c:v>
                </c:pt>
              </c:numCache>
            </c:numRef>
          </c:val>
          <c:smooth val="0"/>
          <c:extLst>
            <c:ext xmlns:c16="http://schemas.microsoft.com/office/drawing/2014/chart" uri="{C3380CC4-5D6E-409C-BE32-E72D297353CC}">
              <c16:uniqueId val="{00000001-B4A1-47AE-906B-1472877AC744}"/>
            </c:ext>
          </c:extLst>
        </c:ser>
        <c:dLbls>
          <c:showLegendKey val="0"/>
          <c:showVal val="0"/>
          <c:showCatName val="0"/>
          <c:showSerName val="0"/>
          <c:showPercent val="0"/>
          <c:showBubbleSize val="0"/>
        </c:dLbls>
        <c:marker val="1"/>
        <c:smooth val="0"/>
        <c:axId val="1178558703"/>
        <c:axId val="1178558223"/>
      </c:lineChart>
      <c:catAx>
        <c:axId val="117856590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78569743"/>
        <c:crosses val="autoZero"/>
        <c:auto val="1"/>
        <c:lblAlgn val="ctr"/>
        <c:lblOffset val="100"/>
        <c:noMultiLvlLbl val="0"/>
      </c:catAx>
      <c:valAx>
        <c:axId val="117856974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78565903"/>
        <c:crosses val="autoZero"/>
        <c:crossBetween val="between"/>
      </c:valAx>
      <c:valAx>
        <c:axId val="1178558223"/>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78558703"/>
        <c:crosses val="max"/>
        <c:crossBetween val="between"/>
      </c:valAx>
      <c:catAx>
        <c:axId val="1178558703"/>
        <c:scaling>
          <c:orientation val="minMax"/>
        </c:scaling>
        <c:delete val="1"/>
        <c:axPos val="b"/>
        <c:numFmt formatCode="General" sourceLinked="1"/>
        <c:majorTickMark val="none"/>
        <c:minorTickMark val="none"/>
        <c:tickLblPos val="nextTo"/>
        <c:crossAx val="117855822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2616189642961296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 table'!$G$173</c:f>
              <c:strCache>
                <c:ptCount val="1"/>
                <c:pt idx="0">
                  <c:v>Late% by bangalore</c:v>
                </c:pt>
              </c:strCache>
            </c:strRef>
          </c:tx>
          <c:spPr>
            <a:solidFill>
              <a:schemeClr val="accent1"/>
            </a:solidFill>
            <a:ln>
              <a:noFill/>
            </a:ln>
            <a:effectLst/>
          </c:spPr>
          <c:invertIfNegative val="0"/>
          <c:cat>
            <c:strRef>
              <c:f>'pivot table'!$F$174:$F$180</c:f>
              <c:strCache>
                <c:ptCount val="7"/>
                <c:pt idx="0">
                  <c:v>Blue Dart</c:v>
                </c:pt>
                <c:pt idx="1">
                  <c:v>Bluedart</c:v>
                </c:pt>
                <c:pt idx="2">
                  <c:v>Delhivery</c:v>
                </c:pt>
                <c:pt idx="3">
                  <c:v>Dtdc</c:v>
                </c:pt>
                <c:pt idx="4">
                  <c:v>Ecom Express</c:v>
                </c:pt>
                <c:pt idx="5">
                  <c:v>Xpress Bees</c:v>
                </c:pt>
                <c:pt idx="6">
                  <c:v>Xpressbees</c:v>
                </c:pt>
              </c:strCache>
            </c:strRef>
          </c:cat>
          <c:val>
            <c:numRef>
              <c:f>'pivot table'!$G$174:$G$180</c:f>
              <c:numCache>
                <c:formatCode>0.00</c:formatCode>
                <c:ptCount val="7"/>
                <c:pt idx="0">
                  <c:v>62.5</c:v>
                </c:pt>
                <c:pt idx="1">
                  <c:v>37.14</c:v>
                </c:pt>
                <c:pt idx="2">
                  <c:v>57.69</c:v>
                </c:pt>
                <c:pt idx="3">
                  <c:v>62.96</c:v>
                </c:pt>
                <c:pt idx="4">
                  <c:v>65.12</c:v>
                </c:pt>
                <c:pt idx="5">
                  <c:v>69.23</c:v>
                </c:pt>
                <c:pt idx="6">
                  <c:v>62.79</c:v>
                </c:pt>
              </c:numCache>
            </c:numRef>
          </c:val>
          <c:extLst>
            <c:ext xmlns:c16="http://schemas.microsoft.com/office/drawing/2014/chart" uri="{C3380CC4-5D6E-409C-BE32-E72D297353CC}">
              <c16:uniqueId val="{00000000-5289-415F-9A47-3E9DDBA1503C}"/>
            </c:ext>
          </c:extLst>
        </c:ser>
        <c:dLbls>
          <c:showLegendKey val="0"/>
          <c:showVal val="0"/>
          <c:showCatName val="0"/>
          <c:showSerName val="0"/>
          <c:showPercent val="0"/>
          <c:showBubbleSize val="0"/>
        </c:dLbls>
        <c:gapWidth val="182"/>
        <c:axId val="1312603743"/>
        <c:axId val="1312592703"/>
      </c:barChart>
      <c:catAx>
        <c:axId val="1312603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592703"/>
        <c:crosses val="autoZero"/>
        <c:auto val="1"/>
        <c:lblAlgn val="ctr"/>
        <c:lblOffset val="100"/>
        <c:noMultiLvlLbl val="0"/>
      </c:catAx>
      <c:valAx>
        <c:axId val="131259270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603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Late%</a:t>
            </a:r>
            <a:r>
              <a:rPr lang="en-IN" baseline="0"/>
              <a:t> by carrier</a:t>
            </a:r>
            <a:endParaRPr lang="en-IN"/>
          </a:p>
        </c:rich>
      </c:tx>
      <c:layout>
        <c:manualLayout>
          <c:xMode val="edge"/>
          <c:yMode val="edge"/>
          <c:x val="0.37586532469832756"/>
          <c:y val="8.303148917579007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Late</c:v>
          </c:tx>
          <c:spPr>
            <a:solidFill>
              <a:schemeClr val="accent1"/>
            </a:solidFill>
            <a:ln>
              <a:noFill/>
            </a:ln>
            <a:effectLst/>
          </c:spPr>
          <c:invertIfNegative val="0"/>
          <c:cat>
            <c:strLit>
              <c:ptCount val="8"/>
              <c:pt idx="1">
                <c:v>Blue Dart</c:v>
              </c:pt>
              <c:pt idx="2">
                <c:v>Bluedart</c:v>
              </c:pt>
              <c:pt idx="3">
                <c:v>Delhivery</c:v>
              </c:pt>
              <c:pt idx="4">
                <c:v>Dtdc</c:v>
              </c:pt>
              <c:pt idx="5">
                <c:v>Ecom Express</c:v>
              </c:pt>
              <c:pt idx="6">
                <c:v>Xpress Bees</c:v>
              </c:pt>
              <c:pt idx="7">
                <c:v>Xpressbees</c:v>
              </c:pt>
            </c:strLit>
          </c:cat>
          <c:val>
            <c:numLit>
              <c:formatCode>General</c:formatCode>
              <c:ptCount val="8"/>
              <c:pt idx="0">
                <c:v>0.5714285714285714</c:v>
              </c:pt>
              <c:pt idx="1">
                <c:v>0.42253521126760563</c:v>
              </c:pt>
              <c:pt idx="2">
                <c:v>0.3881856540084388</c:v>
              </c:pt>
              <c:pt idx="3">
                <c:v>0.46794871794871795</c:v>
              </c:pt>
              <c:pt idx="4">
                <c:v>0.57817109144542778</c:v>
              </c:pt>
              <c:pt idx="5">
                <c:v>0.50841750841750843</c:v>
              </c:pt>
              <c:pt idx="6">
                <c:v>0.54929577464788737</c:v>
              </c:pt>
              <c:pt idx="7">
                <c:v>0.53007518796992481</c:v>
              </c:pt>
            </c:numLit>
          </c:val>
          <c:extLst>
            <c:ext xmlns:c16="http://schemas.microsoft.com/office/drawing/2014/chart" uri="{C3380CC4-5D6E-409C-BE32-E72D297353CC}">
              <c16:uniqueId val="{00000000-591A-4536-BC2F-7886DDB00844}"/>
            </c:ext>
          </c:extLst>
        </c:ser>
        <c:ser>
          <c:idx val="1"/>
          <c:order val="1"/>
          <c:tx>
            <c:v>N/A</c:v>
          </c:tx>
          <c:spPr>
            <a:solidFill>
              <a:schemeClr val="accent2"/>
            </a:solidFill>
            <a:ln>
              <a:noFill/>
            </a:ln>
            <a:effectLst/>
          </c:spPr>
          <c:invertIfNegative val="0"/>
          <c:cat>
            <c:strLit>
              <c:ptCount val="8"/>
              <c:pt idx="1">
                <c:v>Blue Dart</c:v>
              </c:pt>
              <c:pt idx="2">
                <c:v>Bluedart</c:v>
              </c:pt>
              <c:pt idx="3">
                <c:v>Delhivery</c:v>
              </c:pt>
              <c:pt idx="4">
                <c:v>Dtdc</c:v>
              </c:pt>
              <c:pt idx="5">
                <c:v>Ecom Express</c:v>
              </c:pt>
              <c:pt idx="6">
                <c:v>Xpress Bees</c:v>
              </c:pt>
              <c:pt idx="7">
                <c:v>Xpressbees</c:v>
              </c:pt>
            </c:strLit>
          </c:cat>
          <c:val>
            <c:numLit>
              <c:formatCode>General</c:formatCode>
              <c:ptCount val="8"/>
              <c:pt idx="0">
                <c:v>0</c:v>
              </c:pt>
              <c:pt idx="1">
                <c:v>1.4084507042253521E-2</c:v>
              </c:pt>
              <c:pt idx="2">
                <c:v>8.4388185654008432E-3</c:v>
              </c:pt>
              <c:pt idx="3">
                <c:v>3.205128205128205E-3</c:v>
              </c:pt>
              <c:pt idx="4">
                <c:v>5.8997050147492625E-3</c:v>
              </c:pt>
              <c:pt idx="5">
                <c:v>1.3468013468013467E-2</c:v>
              </c:pt>
              <c:pt idx="6">
                <c:v>0</c:v>
              </c:pt>
              <c:pt idx="7">
                <c:v>1.1278195488721804E-2</c:v>
              </c:pt>
            </c:numLit>
          </c:val>
          <c:extLst>
            <c:ext xmlns:c16="http://schemas.microsoft.com/office/drawing/2014/chart" uri="{C3380CC4-5D6E-409C-BE32-E72D297353CC}">
              <c16:uniqueId val="{00000001-591A-4536-BC2F-7886DDB00844}"/>
            </c:ext>
          </c:extLst>
        </c:ser>
        <c:ser>
          <c:idx val="2"/>
          <c:order val="2"/>
          <c:tx>
            <c:v>On Time</c:v>
          </c:tx>
          <c:spPr>
            <a:solidFill>
              <a:schemeClr val="accent3"/>
            </a:solidFill>
            <a:ln>
              <a:noFill/>
            </a:ln>
            <a:effectLst/>
          </c:spPr>
          <c:invertIfNegative val="0"/>
          <c:cat>
            <c:strLit>
              <c:ptCount val="8"/>
              <c:pt idx="1">
                <c:v>Blue Dart</c:v>
              </c:pt>
              <c:pt idx="2">
                <c:v>Bluedart</c:v>
              </c:pt>
              <c:pt idx="3">
                <c:v>Delhivery</c:v>
              </c:pt>
              <c:pt idx="4">
                <c:v>Dtdc</c:v>
              </c:pt>
              <c:pt idx="5">
                <c:v>Ecom Express</c:v>
              </c:pt>
              <c:pt idx="6">
                <c:v>Xpress Bees</c:v>
              </c:pt>
              <c:pt idx="7">
                <c:v>Xpressbees</c:v>
              </c:pt>
            </c:strLit>
          </c:cat>
          <c:val>
            <c:numLit>
              <c:formatCode>General</c:formatCode>
              <c:ptCount val="8"/>
              <c:pt idx="0">
                <c:v>0.42857142857142855</c:v>
              </c:pt>
              <c:pt idx="1">
                <c:v>0.56338028169014087</c:v>
              </c:pt>
              <c:pt idx="2">
                <c:v>0.6033755274261603</c:v>
              </c:pt>
              <c:pt idx="3">
                <c:v>0.52884615384615385</c:v>
              </c:pt>
              <c:pt idx="4">
                <c:v>0.41592920353982299</c:v>
              </c:pt>
              <c:pt idx="5">
                <c:v>0.4781144781144781</c:v>
              </c:pt>
              <c:pt idx="6">
                <c:v>0.45070422535211269</c:v>
              </c:pt>
              <c:pt idx="7">
                <c:v>0.45864661654135336</c:v>
              </c:pt>
            </c:numLit>
          </c:val>
          <c:extLst>
            <c:ext xmlns:c16="http://schemas.microsoft.com/office/drawing/2014/chart" uri="{C3380CC4-5D6E-409C-BE32-E72D297353CC}">
              <c16:uniqueId val="{00000002-591A-4536-BC2F-7886DDB00844}"/>
            </c:ext>
          </c:extLst>
        </c:ser>
        <c:dLbls>
          <c:showLegendKey val="0"/>
          <c:showVal val="0"/>
          <c:showCatName val="0"/>
          <c:showSerName val="0"/>
          <c:showPercent val="0"/>
          <c:showBubbleSize val="0"/>
        </c:dLbls>
        <c:gapWidth val="182"/>
        <c:axId val="1166582703"/>
        <c:axId val="1166581263"/>
      </c:barChart>
      <c:catAx>
        <c:axId val="1166582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581263"/>
        <c:crosses val="autoZero"/>
        <c:auto val="1"/>
        <c:lblAlgn val="ctr"/>
        <c:lblOffset val="100"/>
        <c:noMultiLvlLbl val="0"/>
      </c:catAx>
      <c:valAx>
        <c:axId val="11665812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582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Late%</a:t>
            </a:r>
            <a:r>
              <a:rPr lang="en-IN" baseline="0"/>
              <a:t> by orgin hub</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Late</c:v>
          </c:tx>
          <c:spPr>
            <a:solidFill>
              <a:schemeClr val="accent1"/>
            </a:solidFill>
            <a:ln>
              <a:noFill/>
            </a:ln>
            <a:effectLst/>
          </c:spPr>
          <c:invertIfNegative val="0"/>
          <c:cat>
            <c:strLit>
              <c:ptCount val="7"/>
              <c:pt idx="1">
                <c:v>Bengaluru</c:v>
              </c:pt>
              <c:pt idx="2">
                <c:v>Chennai</c:v>
              </c:pt>
              <c:pt idx="3">
                <c:v>Delhi</c:v>
              </c:pt>
              <c:pt idx="4">
                <c:v>Hyderabad</c:v>
              </c:pt>
              <c:pt idx="5">
                <c:v>Kolkata</c:v>
              </c:pt>
              <c:pt idx="6">
                <c:v>Mumbai</c:v>
              </c:pt>
            </c:strLit>
          </c:cat>
          <c:val>
            <c:numLit>
              <c:formatCode>General</c:formatCode>
              <c:ptCount val="7"/>
              <c:pt idx="0">
                <c:v>0.375</c:v>
              </c:pt>
              <c:pt idx="1">
                <c:v>0.58015267175572516</c:v>
              </c:pt>
              <c:pt idx="2">
                <c:v>0.50370370370370365</c:v>
              </c:pt>
              <c:pt idx="3">
                <c:v>0.49789029535864981</c:v>
              </c:pt>
              <c:pt idx="4">
                <c:v>0.52290076335877866</c:v>
              </c:pt>
              <c:pt idx="5">
                <c:v>0.46808510638297873</c:v>
              </c:pt>
              <c:pt idx="6">
                <c:v>0.43369175627240142</c:v>
              </c:pt>
            </c:numLit>
          </c:val>
          <c:extLst>
            <c:ext xmlns:c16="http://schemas.microsoft.com/office/drawing/2014/chart" uri="{C3380CC4-5D6E-409C-BE32-E72D297353CC}">
              <c16:uniqueId val="{00000000-354A-4BD6-AE74-C869C7A7DF38}"/>
            </c:ext>
          </c:extLst>
        </c:ser>
        <c:ser>
          <c:idx val="1"/>
          <c:order val="1"/>
          <c:tx>
            <c:v>N/A</c:v>
          </c:tx>
          <c:spPr>
            <a:solidFill>
              <a:schemeClr val="accent2"/>
            </a:solidFill>
            <a:ln>
              <a:noFill/>
            </a:ln>
            <a:effectLst/>
          </c:spPr>
          <c:invertIfNegative val="0"/>
          <c:cat>
            <c:strLit>
              <c:ptCount val="7"/>
              <c:pt idx="1">
                <c:v>Bengaluru</c:v>
              </c:pt>
              <c:pt idx="2">
                <c:v>Chennai</c:v>
              </c:pt>
              <c:pt idx="3">
                <c:v>Delhi</c:v>
              </c:pt>
              <c:pt idx="4">
                <c:v>Hyderabad</c:v>
              </c:pt>
              <c:pt idx="5">
                <c:v>Kolkata</c:v>
              </c:pt>
              <c:pt idx="6">
                <c:v>Mumbai</c:v>
              </c:pt>
            </c:strLit>
          </c:cat>
          <c:val>
            <c:numLit>
              <c:formatCode>General</c:formatCode>
              <c:ptCount val="7"/>
              <c:pt idx="0">
                <c:v>0</c:v>
              </c:pt>
              <c:pt idx="1">
                <c:v>1.9083969465648856E-2</c:v>
              </c:pt>
              <c:pt idx="2">
                <c:v>1.1111111111111112E-2</c:v>
              </c:pt>
              <c:pt idx="3">
                <c:v>4.2194092827004216E-3</c:v>
              </c:pt>
              <c:pt idx="4">
                <c:v>0</c:v>
              </c:pt>
              <c:pt idx="5">
                <c:v>3.5460992907801418E-3</c:v>
              </c:pt>
              <c:pt idx="6">
                <c:v>1.0752688172043012E-2</c:v>
              </c:pt>
            </c:numLit>
          </c:val>
          <c:extLst>
            <c:ext xmlns:c16="http://schemas.microsoft.com/office/drawing/2014/chart" uri="{C3380CC4-5D6E-409C-BE32-E72D297353CC}">
              <c16:uniqueId val="{00000001-354A-4BD6-AE74-C869C7A7DF38}"/>
            </c:ext>
          </c:extLst>
        </c:ser>
        <c:ser>
          <c:idx val="2"/>
          <c:order val="2"/>
          <c:tx>
            <c:v>On Time</c:v>
          </c:tx>
          <c:spPr>
            <a:solidFill>
              <a:schemeClr val="accent3"/>
            </a:solidFill>
            <a:ln>
              <a:noFill/>
            </a:ln>
            <a:effectLst/>
          </c:spPr>
          <c:invertIfNegative val="0"/>
          <c:cat>
            <c:strLit>
              <c:ptCount val="7"/>
              <c:pt idx="1">
                <c:v>Bengaluru</c:v>
              </c:pt>
              <c:pt idx="2">
                <c:v>Chennai</c:v>
              </c:pt>
              <c:pt idx="3">
                <c:v>Delhi</c:v>
              </c:pt>
              <c:pt idx="4">
                <c:v>Hyderabad</c:v>
              </c:pt>
              <c:pt idx="5">
                <c:v>Kolkata</c:v>
              </c:pt>
              <c:pt idx="6">
                <c:v>Mumbai</c:v>
              </c:pt>
            </c:strLit>
          </c:cat>
          <c:val>
            <c:numLit>
              <c:formatCode>General</c:formatCode>
              <c:ptCount val="7"/>
              <c:pt idx="0">
                <c:v>0.625</c:v>
              </c:pt>
              <c:pt idx="1">
                <c:v>0.40076335877862596</c:v>
              </c:pt>
              <c:pt idx="2">
                <c:v>0.48518518518518516</c:v>
              </c:pt>
              <c:pt idx="3">
                <c:v>0.49789029535864981</c:v>
              </c:pt>
              <c:pt idx="4">
                <c:v>0.47709923664122139</c:v>
              </c:pt>
              <c:pt idx="5">
                <c:v>0.52836879432624118</c:v>
              </c:pt>
              <c:pt idx="6">
                <c:v>0.55555555555555558</c:v>
              </c:pt>
            </c:numLit>
          </c:val>
          <c:extLst>
            <c:ext xmlns:c16="http://schemas.microsoft.com/office/drawing/2014/chart" uri="{C3380CC4-5D6E-409C-BE32-E72D297353CC}">
              <c16:uniqueId val="{00000002-354A-4BD6-AE74-C869C7A7DF38}"/>
            </c:ext>
          </c:extLst>
        </c:ser>
        <c:dLbls>
          <c:showLegendKey val="0"/>
          <c:showVal val="0"/>
          <c:showCatName val="0"/>
          <c:showSerName val="0"/>
          <c:showPercent val="0"/>
          <c:showBubbleSize val="0"/>
        </c:dLbls>
        <c:gapWidth val="182"/>
        <c:axId val="1179764415"/>
        <c:axId val="1179762495"/>
      </c:barChart>
      <c:catAx>
        <c:axId val="1179764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762495"/>
        <c:crosses val="autoZero"/>
        <c:auto val="1"/>
        <c:lblAlgn val="ctr"/>
        <c:lblOffset val="100"/>
        <c:noMultiLvlLbl val="0"/>
      </c:catAx>
      <c:valAx>
        <c:axId val="11797624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764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Average delivery days by carrier</a:t>
            </a:r>
          </a:p>
        </c:rich>
      </c:tx>
      <c:layout>
        <c:manualLayout>
          <c:xMode val="edge"/>
          <c:yMode val="edge"/>
          <c:x val="0.29635096557938551"/>
          <c:y val="0.16236440869072985"/>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noFill/>
            <a:ln w="9525" cap="flat" cmpd="sng" algn="ctr">
              <a:solidFill>
                <a:schemeClr val="accent1"/>
              </a:solidFill>
              <a:miter lim="800000"/>
            </a:ln>
            <a:effectLst>
              <a:glow rad="63500">
                <a:schemeClr val="accent1">
                  <a:satMod val="175000"/>
                  <a:alpha val="25000"/>
                </a:schemeClr>
              </a:glow>
            </a:effectLst>
          </c:spPr>
          <c:invertIfNegative val="0"/>
          <c:cat>
            <c:strLit>
              <c:ptCount val="8"/>
              <c:pt idx="1">
                <c:v>Blue Dart</c:v>
              </c:pt>
              <c:pt idx="2">
                <c:v>Bluedart</c:v>
              </c:pt>
              <c:pt idx="3">
                <c:v>Delhivery</c:v>
              </c:pt>
              <c:pt idx="4">
                <c:v>Dtdc</c:v>
              </c:pt>
              <c:pt idx="5">
                <c:v>Ecom Express</c:v>
              </c:pt>
              <c:pt idx="6">
                <c:v>Xpress Bees</c:v>
              </c:pt>
              <c:pt idx="7">
                <c:v>Xpressbees</c:v>
              </c:pt>
            </c:strLit>
          </c:cat>
          <c:val>
            <c:numLit>
              <c:formatCode>General</c:formatCode>
              <c:ptCount val="8"/>
              <c:pt idx="0">
                <c:v>8.7142857142857135</c:v>
              </c:pt>
              <c:pt idx="1">
                <c:v>5.9714285714285715</c:v>
              </c:pt>
              <c:pt idx="2">
                <c:v>6.1957446808510639</c:v>
              </c:pt>
              <c:pt idx="3">
                <c:v>6.270096463022508</c:v>
              </c:pt>
              <c:pt idx="4">
                <c:v>7.5044510385756675</c:v>
              </c:pt>
              <c:pt idx="5">
                <c:v>6.7201365187713309</c:v>
              </c:pt>
              <c:pt idx="6">
                <c:v>6.957746478873239</c:v>
              </c:pt>
              <c:pt idx="7">
                <c:v>6.7604562737642588</c:v>
              </c:pt>
            </c:numLit>
          </c:val>
          <c:extLst>
            <c:ext xmlns:c16="http://schemas.microsoft.com/office/drawing/2014/chart" uri="{C3380CC4-5D6E-409C-BE32-E72D297353CC}">
              <c16:uniqueId val="{00000000-5B4A-4687-8ED3-B9A0035CCAE6}"/>
            </c:ext>
          </c:extLst>
        </c:ser>
        <c:dLbls>
          <c:showLegendKey val="0"/>
          <c:showVal val="0"/>
          <c:showCatName val="0"/>
          <c:showSerName val="0"/>
          <c:showPercent val="0"/>
          <c:showBubbleSize val="0"/>
        </c:dLbls>
        <c:gapWidth val="315"/>
        <c:overlap val="-40"/>
        <c:axId val="1127295375"/>
        <c:axId val="1166580303"/>
      </c:barChart>
      <c:catAx>
        <c:axId val="112729537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66580303"/>
        <c:crosses val="autoZero"/>
        <c:auto val="1"/>
        <c:lblAlgn val="ctr"/>
        <c:lblOffset val="100"/>
        <c:noMultiLvlLbl val="0"/>
      </c:catAx>
      <c:valAx>
        <c:axId val="116658030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27295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Average delivery</a:t>
            </a:r>
            <a:r>
              <a:rPr lang="en-US" baseline="0"/>
              <a:t> days by shipment mode</a:t>
            </a:r>
            <a:endParaRPr lang="en-US"/>
          </a:p>
        </c:rich>
      </c:tx>
      <c:layout>
        <c:manualLayout>
          <c:xMode val="edge"/>
          <c:yMode val="edge"/>
          <c:x val="0.15040778876999353"/>
          <c:y val="0.11773794487293182"/>
        </c:manualLayout>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3"/>
              <c:pt idx="0">
                <c:v>Air</c:v>
              </c:pt>
              <c:pt idx="1">
                <c:v>Road</c:v>
              </c:pt>
              <c:pt idx="2">
                <c:v>Surface</c:v>
              </c:pt>
            </c:strLit>
          </c:cat>
          <c:val>
            <c:numLit>
              <c:formatCode>General</c:formatCode>
              <c:ptCount val="3"/>
              <c:pt idx="0">
                <c:v>4.9123809523809525</c:v>
              </c:pt>
              <c:pt idx="1">
                <c:v>8.4900900900900904</c:v>
              </c:pt>
              <c:pt idx="2">
                <c:v>6.6351084812623276</c:v>
              </c:pt>
            </c:numLit>
          </c:val>
          <c:extLst>
            <c:ext xmlns:c16="http://schemas.microsoft.com/office/drawing/2014/chart" uri="{C3380CC4-5D6E-409C-BE32-E72D297353CC}">
              <c16:uniqueId val="{00000000-F0F1-475E-863A-6782D2CE80A4}"/>
            </c:ext>
          </c:extLst>
        </c:ser>
        <c:dLbls>
          <c:showLegendKey val="0"/>
          <c:showVal val="0"/>
          <c:showCatName val="0"/>
          <c:showSerName val="0"/>
          <c:showPercent val="0"/>
          <c:showBubbleSize val="0"/>
        </c:dLbls>
        <c:gapWidth val="267"/>
        <c:overlap val="-43"/>
        <c:axId val="1300175551"/>
        <c:axId val="1300174591"/>
      </c:barChart>
      <c:catAx>
        <c:axId val="1300175551"/>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300174591"/>
        <c:crosses val="autoZero"/>
        <c:auto val="1"/>
        <c:lblAlgn val="ctr"/>
        <c:lblOffset val="100"/>
        <c:noMultiLvlLbl val="0"/>
      </c:catAx>
      <c:valAx>
        <c:axId val="1300174591"/>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300175551"/>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delay:cross-zone vs same-zone</a:t>
            </a:r>
            <a:endParaRPr lang="en-IN"/>
          </a:p>
        </c:rich>
      </c:tx>
      <c:layout>
        <c:manualLayout>
          <c:xMode val="edge"/>
          <c:yMode val="edge"/>
          <c:x val="0.26848600174978127"/>
          <c:y val="9.62015164771070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2"/>
              <c:pt idx="0">
                <c:v>No</c:v>
              </c:pt>
              <c:pt idx="1">
                <c:v>Yes</c:v>
              </c:pt>
            </c:strLit>
          </c:cat>
          <c:val>
            <c:numLit>
              <c:formatCode>General</c:formatCode>
              <c:ptCount val="2"/>
              <c:pt idx="0">
                <c:v>1.0075949367088608</c:v>
              </c:pt>
              <c:pt idx="1">
                <c:v>1.2323825503355705</c:v>
              </c:pt>
            </c:numLit>
          </c:val>
          <c:extLst>
            <c:ext xmlns:c16="http://schemas.microsoft.com/office/drawing/2014/chart" uri="{C3380CC4-5D6E-409C-BE32-E72D297353CC}">
              <c16:uniqueId val="{00000000-97B1-4AF4-BF66-7F41D5B16186}"/>
            </c:ext>
          </c:extLst>
        </c:ser>
        <c:dLbls>
          <c:showLegendKey val="0"/>
          <c:showVal val="0"/>
          <c:showCatName val="0"/>
          <c:showSerName val="0"/>
          <c:showPercent val="0"/>
          <c:showBubbleSize val="0"/>
        </c:dLbls>
        <c:gapWidth val="219"/>
        <c:overlap val="-27"/>
        <c:axId val="1300186591"/>
        <c:axId val="1300187071"/>
      </c:barChart>
      <c:catAx>
        <c:axId val="130018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187071"/>
        <c:crosses val="autoZero"/>
        <c:auto val="1"/>
        <c:lblAlgn val="ctr"/>
        <c:lblOffset val="100"/>
        <c:noMultiLvlLbl val="0"/>
      </c:catAx>
      <c:valAx>
        <c:axId val="1300187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186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Damaged+Returned Rate by Product Category (%)</a:t>
            </a:r>
          </a:p>
        </c:rich>
      </c:tx>
      <c:layout>
        <c:manualLayout>
          <c:xMode val="edge"/>
          <c:yMode val="edge"/>
          <c:x val="8.2152411912262746E-2"/>
          <c:y val="3.428571428571428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spPr>
            <a:gradFill rotWithShape="1">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invertIfNegative val="0"/>
          <c:cat>
            <c:strRef>
              <c:f>'[1]pivot table'!$I$80:$I$88</c:f>
              <c:strCache>
                <c:ptCount val="9"/>
                <c:pt idx="0">
                  <c:v>Count of ShipmentID</c:v>
                </c:pt>
                <c:pt idx="1">
                  <c:v>Row Labels</c:v>
                </c:pt>
                <c:pt idx="3">
                  <c:v>Apparel</c:v>
                </c:pt>
                <c:pt idx="4">
                  <c:v>Automotive Parts</c:v>
                </c:pt>
                <c:pt idx="5">
                  <c:v>Electronics</c:v>
                </c:pt>
                <c:pt idx="6">
                  <c:v>Furniture</c:v>
                </c:pt>
                <c:pt idx="7">
                  <c:v>Grocery &amp; Fmcg</c:v>
                </c:pt>
                <c:pt idx="8">
                  <c:v>Pharma</c:v>
                </c:pt>
              </c:strCache>
            </c:strRef>
          </c:cat>
          <c:val>
            <c:numRef>
              <c:f>'[1]pivot table'!$J$80:$J$88</c:f>
              <c:numCache>
                <c:formatCode>General</c:formatCode>
                <c:ptCount val="9"/>
                <c:pt idx="0">
                  <c:v>0</c:v>
                </c:pt>
                <c:pt idx="3">
                  <c:v>4</c:v>
                </c:pt>
                <c:pt idx="4">
                  <c:v>7</c:v>
                </c:pt>
                <c:pt idx="5">
                  <c:v>17</c:v>
                </c:pt>
                <c:pt idx="6">
                  <c:v>19</c:v>
                </c:pt>
                <c:pt idx="7">
                  <c:v>4</c:v>
                </c:pt>
                <c:pt idx="8">
                  <c:v>2</c:v>
                </c:pt>
              </c:numCache>
            </c:numRef>
          </c:val>
          <c:extLst>
            <c:ext xmlns:c16="http://schemas.microsoft.com/office/drawing/2014/chart" uri="{C3380CC4-5D6E-409C-BE32-E72D297353CC}">
              <c16:uniqueId val="{00000000-7DA3-4A3C-8500-6D901B8ABE62}"/>
            </c:ext>
          </c:extLst>
        </c:ser>
        <c:ser>
          <c:idx val="1"/>
          <c:order val="1"/>
          <c:spPr>
            <a:gradFill rotWithShape="1">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invertIfNegative val="0"/>
          <c:cat>
            <c:strRef>
              <c:f>'[1]pivot table'!$I$80:$I$88</c:f>
              <c:strCache>
                <c:ptCount val="9"/>
                <c:pt idx="0">
                  <c:v>Count of ShipmentID</c:v>
                </c:pt>
                <c:pt idx="1">
                  <c:v>Row Labels</c:v>
                </c:pt>
                <c:pt idx="3">
                  <c:v>Apparel</c:v>
                </c:pt>
                <c:pt idx="4">
                  <c:v>Automotive Parts</c:v>
                </c:pt>
                <c:pt idx="5">
                  <c:v>Electronics</c:v>
                </c:pt>
                <c:pt idx="6">
                  <c:v>Furniture</c:v>
                </c:pt>
                <c:pt idx="7">
                  <c:v>Grocery &amp; Fmcg</c:v>
                </c:pt>
                <c:pt idx="8">
                  <c:v>Pharma</c:v>
                </c:pt>
              </c:strCache>
            </c:strRef>
          </c:cat>
          <c:val>
            <c:numRef>
              <c:f>'[1]pivot table'!$K$80:$K$88</c:f>
              <c:numCache>
                <c:formatCode>General</c:formatCode>
                <c:ptCount val="9"/>
                <c:pt idx="0">
                  <c:v>0</c:v>
                </c:pt>
                <c:pt idx="3">
                  <c:v>17</c:v>
                </c:pt>
                <c:pt idx="4">
                  <c:v>7</c:v>
                </c:pt>
                <c:pt idx="5">
                  <c:v>11</c:v>
                </c:pt>
                <c:pt idx="6">
                  <c:v>5</c:v>
                </c:pt>
                <c:pt idx="7">
                  <c:v>6</c:v>
                </c:pt>
              </c:numCache>
            </c:numRef>
          </c:val>
          <c:extLst>
            <c:ext xmlns:c16="http://schemas.microsoft.com/office/drawing/2014/chart" uri="{C3380CC4-5D6E-409C-BE32-E72D297353CC}">
              <c16:uniqueId val="{00000001-7DA3-4A3C-8500-6D901B8ABE62}"/>
            </c:ext>
          </c:extLst>
        </c:ser>
        <c:ser>
          <c:idx val="2"/>
          <c:order val="2"/>
          <c:spPr>
            <a:gradFill rotWithShape="1">
              <a:gsLst>
                <a:gs pos="0">
                  <a:schemeClr val="accent3">
                    <a:shade val="51000"/>
                  </a:schemeClr>
                </a:gs>
                <a:gs pos="80000">
                  <a:schemeClr val="accent3">
                    <a:shade val="93000"/>
                  </a:schemeClr>
                </a:gs>
                <a:gs pos="100000">
                  <a:schemeClr val="accent3">
                    <a:shade val="94000"/>
                  </a:schemeClr>
                </a:gs>
              </a:gsLst>
              <a:lin ang="16200000" scaled="0"/>
              <a:tileRect/>
            </a:gradFill>
            <a:ln>
              <a:noFill/>
            </a:ln>
            <a:effectLst/>
          </c:spPr>
          <c:invertIfNegative val="0"/>
          <c:cat>
            <c:strRef>
              <c:f>'[1]pivot table'!$I$80:$I$88</c:f>
              <c:strCache>
                <c:ptCount val="9"/>
                <c:pt idx="0">
                  <c:v>Count of ShipmentID</c:v>
                </c:pt>
                <c:pt idx="1">
                  <c:v>Row Labels</c:v>
                </c:pt>
                <c:pt idx="3">
                  <c:v>Apparel</c:v>
                </c:pt>
                <c:pt idx="4">
                  <c:v>Automotive Parts</c:v>
                </c:pt>
                <c:pt idx="5">
                  <c:v>Electronics</c:v>
                </c:pt>
                <c:pt idx="6">
                  <c:v>Furniture</c:v>
                </c:pt>
                <c:pt idx="7">
                  <c:v>Grocery &amp; Fmcg</c:v>
                </c:pt>
                <c:pt idx="8">
                  <c:v>Pharma</c:v>
                </c:pt>
              </c:strCache>
            </c:strRef>
          </c:cat>
          <c:val>
            <c:numRef>
              <c:f>'[1]pivot table'!$L$80:$L$88</c:f>
              <c:numCache>
                <c:formatCode>General</c:formatCode>
                <c:ptCount val="9"/>
                <c:pt idx="1">
                  <c:v>0</c:v>
                </c:pt>
                <c:pt idx="3">
                  <c:v>21</c:v>
                </c:pt>
                <c:pt idx="4">
                  <c:v>14</c:v>
                </c:pt>
                <c:pt idx="5">
                  <c:v>28</c:v>
                </c:pt>
                <c:pt idx="6">
                  <c:v>24</c:v>
                </c:pt>
                <c:pt idx="7">
                  <c:v>10</c:v>
                </c:pt>
                <c:pt idx="8">
                  <c:v>2</c:v>
                </c:pt>
              </c:numCache>
            </c:numRef>
          </c:val>
          <c:extLst>
            <c:ext xmlns:c16="http://schemas.microsoft.com/office/drawing/2014/chart" uri="{C3380CC4-5D6E-409C-BE32-E72D297353CC}">
              <c16:uniqueId val="{00000002-7DA3-4A3C-8500-6D901B8ABE62}"/>
            </c:ext>
          </c:extLst>
        </c:ser>
        <c:ser>
          <c:idx val="3"/>
          <c:order val="3"/>
          <c:spPr>
            <a:gradFill rotWithShape="1">
              <a:gsLst>
                <a:gs pos="0">
                  <a:schemeClr val="accent4">
                    <a:shade val="51000"/>
                  </a:schemeClr>
                </a:gs>
                <a:gs pos="80000">
                  <a:schemeClr val="accent4">
                    <a:shade val="93000"/>
                  </a:schemeClr>
                </a:gs>
                <a:gs pos="100000">
                  <a:schemeClr val="accent4">
                    <a:shade val="94000"/>
                  </a:schemeClr>
                </a:gs>
              </a:gsLst>
              <a:lin ang="16200000" scaled="0"/>
              <a:tileRect/>
            </a:gradFill>
            <a:ln>
              <a:noFill/>
            </a:ln>
            <a:effectLst/>
          </c:spPr>
          <c:invertIfNegative val="0"/>
          <c:cat>
            <c:strRef>
              <c:f>'[1]pivot table'!$I$80:$I$88</c:f>
              <c:strCache>
                <c:ptCount val="9"/>
                <c:pt idx="0">
                  <c:v>Count of ShipmentID</c:v>
                </c:pt>
                <c:pt idx="1">
                  <c:v>Row Labels</c:v>
                </c:pt>
                <c:pt idx="3">
                  <c:v>Apparel</c:v>
                </c:pt>
                <c:pt idx="4">
                  <c:v>Automotive Parts</c:v>
                </c:pt>
                <c:pt idx="5">
                  <c:v>Electronics</c:v>
                </c:pt>
                <c:pt idx="6">
                  <c:v>Furniture</c:v>
                </c:pt>
                <c:pt idx="7">
                  <c:v>Grocery &amp; Fmcg</c:v>
                </c:pt>
                <c:pt idx="8">
                  <c:v>Pharma</c:v>
                </c:pt>
              </c:strCache>
            </c:strRef>
          </c:cat>
          <c:val>
            <c:numRef>
              <c:f>'[1]pivot table'!$M$80:$M$88</c:f>
              <c:numCache>
                <c:formatCode>General</c:formatCode>
                <c:ptCount val="9"/>
                <c:pt idx="1">
                  <c:v>0</c:v>
                </c:pt>
                <c:pt idx="3">
                  <c:v>248</c:v>
                </c:pt>
                <c:pt idx="4">
                  <c:v>271</c:v>
                </c:pt>
                <c:pt idx="5">
                  <c:v>255</c:v>
                </c:pt>
                <c:pt idx="6">
                  <c:v>267</c:v>
                </c:pt>
                <c:pt idx="7">
                  <c:v>268</c:v>
                </c:pt>
                <c:pt idx="8">
                  <c:v>283</c:v>
                </c:pt>
              </c:numCache>
            </c:numRef>
          </c:val>
          <c:extLst>
            <c:ext xmlns:c16="http://schemas.microsoft.com/office/drawing/2014/chart" uri="{C3380CC4-5D6E-409C-BE32-E72D297353CC}">
              <c16:uniqueId val="{00000003-7DA3-4A3C-8500-6D901B8ABE62}"/>
            </c:ext>
          </c:extLst>
        </c:ser>
        <c:ser>
          <c:idx val="4"/>
          <c:order val="4"/>
          <c:spPr>
            <a:gradFill rotWithShape="1">
              <a:gsLst>
                <a:gs pos="0">
                  <a:schemeClr val="accent5">
                    <a:shade val="51000"/>
                  </a:schemeClr>
                </a:gs>
                <a:gs pos="80000">
                  <a:schemeClr val="accent5">
                    <a:shade val="93000"/>
                  </a:schemeClr>
                </a:gs>
                <a:gs pos="100000">
                  <a:schemeClr val="accent5">
                    <a:shade val="94000"/>
                  </a:schemeClr>
                </a:gs>
              </a:gsLst>
              <a:lin ang="16200000" scaled="0"/>
              <a:tileRect/>
            </a:gradFill>
            <a:ln>
              <a:noFill/>
            </a:ln>
            <a:effectLst/>
          </c:spPr>
          <c:invertIfNegative val="0"/>
          <c:cat>
            <c:strRef>
              <c:f>'[1]pivot table'!$I$80:$I$88</c:f>
              <c:strCache>
                <c:ptCount val="9"/>
                <c:pt idx="0">
                  <c:v>Count of ShipmentID</c:v>
                </c:pt>
                <c:pt idx="1">
                  <c:v>Row Labels</c:v>
                </c:pt>
                <c:pt idx="3">
                  <c:v>Apparel</c:v>
                </c:pt>
                <c:pt idx="4">
                  <c:v>Automotive Parts</c:v>
                </c:pt>
                <c:pt idx="5">
                  <c:v>Electronics</c:v>
                </c:pt>
                <c:pt idx="6">
                  <c:v>Furniture</c:v>
                </c:pt>
                <c:pt idx="7">
                  <c:v>Grocery &amp; Fmcg</c:v>
                </c:pt>
                <c:pt idx="8">
                  <c:v>Pharma</c:v>
                </c:pt>
              </c:strCache>
            </c:strRef>
          </c:cat>
          <c:val>
            <c:numRef>
              <c:f>'[1]pivot table'!$N$80:$N$88</c:f>
              <c:numCache>
                <c:formatCode>0.00</c:formatCode>
                <c:ptCount val="9"/>
                <c:pt idx="1">
                  <c:v>0</c:v>
                </c:pt>
                <c:pt idx="3">
                  <c:v>8.4677419354838701</c:v>
                </c:pt>
                <c:pt idx="4">
                  <c:v>5.1660516605166054</c:v>
                </c:pt>
                <c:pt idx="5">
                  <c:v>10.980392156862745</c:v>
                </c:pt>
                <c:pt idx="6">
                  <c:v>8.9887640449438209</c:v>
                </c:pt>
                <c:pt idx="7">
                  <c:v>3.7313432835820892</c:v>
                </c:pt>
                <c:pt idx="8">
                  <c:v>0.70671378091872794</c:v>
                </c:pt>
              </c:numCache>
            </c:numRef>
          </c:val>
          <c:extLst>
            <c:ext xmlns:c16="http://schemas.microsoft.com/office/drawing/2014/chart" uri="{C3380CC4-5D6E-409C-BE32-E72D297353CC}">
              <c16:uniqueId val="{00000004-7DA3-4A3C-8500-6D901B8ABE62}"/>
            </c:ext>
          </c:extLst>
        </c:ser>
        <c:ser>
          <c:idx val="5"/>
          <c:order val="5"/>
          <c:spPr>
            <a:gradFill rotWithShape="1">
              <a:gsLst>
                <a:gs pos="0">
                  <a:schemeClr val="accent6">
                    <a:shade val="51000"/>
                  </a:schemeClr>
                </a:gs>
                <a:gs pos="80000">
                  <a:schemeClr val="accent6">
                    <a:shade val="93000"/>
                  </a:schemeClr>
                </a:gs>
                <a:gs pos="100000">
                  <a:schemeClr val="accent6">
                    <a:shade val="94000"/>
                  </a:schemeClr>
                </a:gs>
              </a:gsLst>
              <a:lin ang="16200000" scaled="0"/>
              <a:tileRect/>
            </a:gradFill>
            <a:ln>
              <a:noFill/>
            </a:ln>
            <a:effectLst/>
          </c:spPr>
          <c:invertIfNegative val="0"/>
          <c:cat>
            <c:strRef>
              <c:f>'[1]pivot table'!$I$80:$I$88</c:f>
              <c:strCache>
                <c:ptCount val="9"/>
                <c:pt idx="0">
                  <c:v>Count of ShipmentID</c:v>
                </c:pt>
                <c:pt idx="1">
                  <c:v>Row Labels</c:v>
                </c:pt>
                <c:pt idx="3">
                  <c:v>Apparel</c:v>
                </c:pt>
                <c:pt idx="4">
                  <c:v>Automotive Parts</c:v>
                </c:pt>
                <c:pt idx="5">
                  <c:v>Electronics</c:v>
                </c:pt>
                <c:pt idx="6">
                  <c:v>Furniture</c:v>
                </c:pt>
                <c:pt idx="7">
                  <c:v>Grocery &amp; Fmcg</c:v>
                </c:pt>
                <c:pt idx="8">
                  <c:v>Pharma</c:v>
                </c:pt>
              </c:strCache>
            </c:strRef>
          </c:cat>
          <c:val>
            <c:numRef>
              <c:f>'[1]pivot table'!$O$80:$O$88</c:f>
              <c:numCache>
                <c:formatCode>General</c:formatCode>
                <c:ptCount val="9"/>
              </c:numCache>
            </c:numRef>
          </c:val>
          <c:extLst>
            <c:ext xmlns:c16="http://schemas.microsoft.com/office/drawing/2014/chart" uri="{C3380CC4-5D6E-409C-BE32-E72D297353CC}">
              <c16:uniqueId val="{00000005-7DA3-4A3C-8500-6D901B8ABE62}"/>
            </c:ext>
          </c:extLst>
        </c:ser>
        <c:dLbls>
          <c:showLegendKey val="0"/>
          <c:showVal val="0"/>
          <c:showCatName val="0"/>
          <c:showSerName val="0"/>
          <c:showPercent val="0"/>
          <c:showBubbleSize val="0"/>
        </c:dLbls>
        <c:gapWidth val="115"/>
        <c:overlap val="-20"/>
        <c:axId val="1291817567"/>
        <c:axId val="1291820927"/>
      </c:barChart>
      <c:catAx>
        <c:axId val="129181756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1820927"/>
        <c:crosses val="autoZero"/>
        <c:auto val="1"/>
        <c:lblAlgn val="ctr"/>
        <c:lblOffset val="100"/>
        <c:noMultiLvlLbl val="0"/>
      </c:catAx>
      <c:valAx>
        <c:axId val="129182092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18175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costperkg vs Average Delivery days by Carrier</a:t>
            </a:r>
          </a:p>
        </c:rich>
      </c:tx>
      <c:layout>
        <c:manualLayout>
          <c:xMode val="edge"/>
          <c:yMode val="edge"/>
          <c:x val="0.2279680577776383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'[1]pivot table'!$G$108</c:f>
              <c:strCache>
                <c:ptCount val="1"/>
                <c:pt idx="0">
                  <c:v>Average of ActualDeliveryDays</c:v>
                </c:pt>
              </c:strCache>
            </c:strRef>
          </c:tx>
          <c:spPr>
            <a:ln w="25400" cap="rnd">
              <a:noFill/>
              <a:round/>
            </a:ln>
            <a:effectLst/>
          </c:spPr>
          <c:marker>
            <c:symbol val="circle"/>
            <c:size val="5"/>
            <c:spPr>
              <a:solidFill>
                <a:schemeClr val="accent1"/>
              </a:solidFill>
              <a:ln w="9525">
                <a:solidFill>
                  <a:schemeClr val="accent1"/>
                </a:solidFill>
              </a:ln>
              <a:effectLst/>
            </c:spPr>
          </c:marker>
          <c:xVal>
            <c:multiLvlStrRef>
              <c:f>'[1]pivot table'!$E$109:$F$117</c:f>
              <c:multiLvlStrCache>
                <c:ptCount val="8"/>
                <c:lvl>
                  <c:pt idx="0">
                    <c:v>55.82</c:v>
                  </c:pt>
                  <c:pt idx="1">
                    <c:v>100.49</c:v>
                  </c:pt>
                  <c:pt idx="2">
                    <c:v>83.97</c:v>
                  </c:pt>
                  <c:pt idx="3">
                    <c:v>108.54</c:v>
                  </c:pt>
                  <c:pt idx="4">
                    <c:v>101.24</c:v>
                  </c:pt>
                  <c:pt idx="5">
                    <c:v>110.95</c:v>
                  </c:pt>
                  <c:pt idx="6">
                    <c:v>106.23</c:v>
                  </c:pt>
                  <c:pt idx="7">
                    <c:v>97.20</c:v>
                  </c:pt>
                </c:lvl>
                <c:lvl>
                  <c:pt idx="1">
                    <c:v>Blue Dart</c:v>
                  </c:pt>
                  <c:pt idx="2">
                    <c:v>Bluedart</c:v>
                  </c:pt>
                  <c:pt idx="3">
                    <c:v>Delhivery</c:v>
                  </c:pt>
                  <c:pt idx="4">
                    <c:v>Dtdc</c:v>
                  </c:pt>
                  <c:pt idx="5">
                    <c:v>Ecom Express</c:v>
                  </c:pt>
                  <c:pt idx="6">
                    <c:v>Xpress Bees</c:v>
                  </c:pt>
                  <c:pt idx="7">
                    <c:v>Xpressbees</c:v>
                  </c:pt>
                </c:lvl>
              </c:multiLvlStrCache>
            </c:multiLvlStrRef>
          </c:xVal>
          <c:yVal>
            <c:numRef>
              <c:f>'[1]pivot table'!$G$109:$G$117</c:f>
              <c:numCache>
                <c:formatCode>0.00</c:formatCode>
                <c:ptCount val="9"/>
                <c:pt idx="0">
                  <c:v>8.7142857142857135</c:v>
                </c:pt>
                <c:pt idx="1">
                  <c:v>5.9714285714285715</c:v>
                </c:pt>
                <c:pt idx="2">
                  <c:v>6.1957446808510639</c:v>
                </c:pt>
                <c:pt idx="3">
                  <c:v>6.270096463022508</c:v>
                </c:pt>
                <c:pt idx="4">
                  <c:v>7.5044510385756675</c:v>
                </c:pt>
                <c:pt idx="5">
                  <c:v>6.7201365187713309</c:v>
                </c:pt>
                <c:pt idx="6">
                  <c:v>6.957746478873239</c:v>
                </c:pt>
                <c:pt idx="7">
                  <c:v>6.7604562737642588</c:v>
                </c:pt>
              </c:numCache>
            </c:numRef>
          </c:yVal>
          <c:smooth val="0"/>
          <c:extLst>
            <c:ext xmlns:c16="http://schemas.microsoft.com/office/drawing/2014/chart" uri="{C3380CC4-5D6E-409C-BE32-E72D297353CC}">
              <c16:uniqueId val="{00000000-BCB1-4474-863A-25B5D6071871}"/>
            </c:ext>
          </c:extLst>
        </c:ser>
        <c:dLbls>
          <c:showLegendKey val="0"/>
          <c:showVal val="0"/>
          <c:showCatName val="0"/>
          <c:showSerName val="0"/>
          <c:showPercent val="0"/>
          <c:showBubbleSize val="0"/>
        </c:dLbls>
        <c:axId val="1179758175"/>
        <c:axId val="1179756735"/>
      </c:scatterChart>
      <c:valAx>
        <c:axId val="11797581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 actual delivery days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756735"/>
        <c:crosses val="autoZero"/>
        <c:crossBetween val="midCat"/>
      </c:valAx>
      <c:valAx>
        <c:axId val="11797567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Average costperkg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7581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Monthly</a:t>
            </a:r>
            <a:r>
              <a:rPr lang="en-IN" baseline="0"/>
              <a:t> Shipment Volume &amp; On-Time </a:t>
            </a:r>
            <a:endParaRPr lang="en-IN"/>
          </a:p>
        </c:rich>
      </c:tx>
      <c:layout>
        <c:manualLayout>
          <c:xMode val="edge"/>
          <c:yMode val="edge"/>
          <c:x val="0.21938189845474615"/>
          <c:y val="3.030303030303030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clustered"/>
        <c:varyColors val="0"/>
        <c:ser>
          <c:idx val="0"/>
          <c:order val="0"/>
          <c:tx>
            <c:strRef>
              <c:f>'[1]pivot table'!$H$123:$H$124</c:f>
              <c:strCache>
                <c:ptCount val="2"/>
                <c:pt idx="0">
                  <c:v>total shipment</c:v>
                </c:pt>
              </c:strCache>
            </c:strRef>
          </c:tx>
          <c:spPr>
            <a:gradFill rotWithShape="1">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invertIfNegative val="0"/>
          <c:cat>
            <c:strRef>
              <c:f>'[1]pivot table'!$G$125:$G$130</c:f>
              <c:strCache>
                <c:ptCount val="6"/>
                <c:pt idx="0">
                  <c:v>Jan</c:v>
                </c:pt>
                <c:pt idx="1">
                  <c:v>Feb</c:v>
                </c:pt>
                <c:pt idx="2">
                  <c:v>Mar</c:v>
                </c:pt>
                <c:pt idx="3">
                  <c:v>Apr</c:v>
                </c:pt>
                <c:pt idx="4">
                  <c:v>May</c:v>
                </c:pt>
                <c:pt idx="5">
                  <c:v>Jun</c:v>
                </c:pt>
              </c:strCache>
            </c:strRef>
          </c:cat>
          <c:val>
            <c:numRef>
              <c:f>'[1]pivot table'!$H$125:$H$130</c:f>
              <c:numCache>
                <c:formatCode>General</c:formatCode>
                <c:ptCount val="6"/>
                <c:pt idx="0">
                  <c:v>273</c:v>
                </c:pt>
                <c:pt idx="1">
                  <c:v>229</c:v>
                </c:pt>
                <c:pt idx="2">
                  <c:v>295</c:v>
                </c:pt>
                <c:pt idx="3">
                  <c:v>258</c:v>
                </c:pt>
                <c:pt idx="4">
                  <c:v>276</c:v>
                </c:pt>
                <c:pt idx="5">
                  <c:v>269</c:v>
                </c:pt>
              </c:numCache>
            </c:numRef>
          </c:val>
          <c:extLst>
            <c:ext xmlns:c16="http://schemas.microsoft.com/office/drawing/2014/chart" uri="{C3380CC4-5D6E-409C-BE32-E72D297353CC}">
              <c16:uniqueId val="{00000000-0CE3-46C9-AE37-65B0ED6D4FC2}"/>
            </c:ext>
          </c:extLst>
        </c:ser>
        <c:dLbls>
          <c:showLegendKey val="0"/>
          <c:showVal val="0"/>
          <c:showCatName val="0"/>
          <c:showSerName val="0"/>
          <c:showPercent val="0"/>
          <c:showBubbleSize val="0"/>
        </c:dLbls>
        <c:gapWidth val="219"/>
        <c:overlap val="-27"/>
        <c:axId val="1178565903"/>
        <c:axId val="1178569743"/>
      </c:barChart>
      <c:lineChart>
        <c:grouping val="standard"/>
        <c:varyColors val="0"/>
        <c:ser>
          <c:idx val="1"/>
          <c:order val="1"/>
          <c:tx>
            <c:strRef>
              <c:f>'[1]pivot table'!$I$123:$I$124</c:f>
              <c:strCache>
                <c:ptCount val="2"/>
                <c:pt idx="0">
                  <c:v>total shipment</c:v>
                </c:pt>
                <c:pt idx="1">
                  <c:v>On Time</c:v>
                </c:pt>
              </c:strCache>
            </c:strRef>
          </c:tx>
          <c:spPr>
            <a:ln w="31750" cap="rnd">
              <a:solidFill>
                <a:schemeClr val="accent2"/>
              </a:solidFill>
              <a:round/>
            </a:ln>
            <a:effectLst/>
          </c:spPr>
          <c:marker>
            <c:symbol val="none"/>
          </c:marker>
          <c:cat>
            <c:strRef>
              <c:f>'[1]pivot table'!$G$125:$G$130</c:f>
              <c:strCache>
                <c:ptCount val="6"/>
                <c:pt idx="0">
                  <c:v>Jan</c:v>
                </c:pt>
                <c:pt idx="1">
                  <c:v>Feb</c:v>
                </c:pt>
                <c:pt idx="2">
                  <c:v>Mar</c:v>
                </c:pt>
                <c:pt idx="3">
                  <c:v>Apr</c:v>
                </c:pt>
                <c:pt idx="4">
                  <c:v>May</c:v>
                </c:pt>
                <c:pt idx="5">
                  <c:v>Jun</c:v>
                </c:pt>
              </c:strCache>
            </c:strRef>
          </c:cat>
          <c:val>
            <c:numRef>
              <c:f>'[1]pivot table'!$I$125:$I$130</c:f>
              <c:numCache>
                <c:formatCode>0.00%</c:formatCode>
                <c:ptCount val="6"/>
                <c:pt idx="0">
                  <c:v>0.54578754578754574</c:v>
                </c:pt>
                <c:pt idx="1">
                  <c:v>0.54585152838427953</c:v>
                </c:pt>
                <c:pt idx="2">
                  <c:v>0.42033898305084744</c:v>
                </c:pt>
                <c:pt idx="3">
                  <c:v>0.47674418604651164</c:v>
                </c:pt>
                <c:pt idx="4">
                  <c:v>0.48188405797101447</c:v>
                </c:pt>
                <c:pt idx="5">
                  <c:v>0.49814126394052044</c:v>
                </c:pt>
              </c:numCache>
            </c:numRef>
          </c:val>
          <c:smooth val="0"/>
          <c:extLst>
            <c:ext xmlns:c16="http://schemas.microsoft.com/office/drawing/2014/chart" uri="{C3380CC4-5D6E-409C-BE32-E72D297353CC}">
              <c16:uniqueId val="{00000001-0CE3-46C9-AE37-65B0ED6D4FC2}"/>
            </c:ext>
          </c:extLst>
        </c:ser>
        <c:dLbls>
          <c:showLegendKey val="0"/>
          <c:showVal val="0"/>
          <c:showCatName val="0"/>
          <c:showSerName val="0"/>
          <c:showPercent val="0"/>
          <c:showBubbleSize val="0"/>
        </c:dLbls>
        <c:marker val="1"/>
        <c:smooth val="0"/>
        <c:axId val="1178558703"/>
        <c:axId val="1178558223"/>
      </c:lineChart>
      <c:catAx>
        <c:axId val="117856590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78569743"/>
        <c:crosses val="autoZero"/>
        <c:auto val="1"/>
        <c:lblAlgn val="ctr"/>
        <c:lblOffset val="100"/>
        <c:noMultiLvlLbl val="0"/>
      </c:catAx>
      <c:valAx>
        <c:axId val="117856974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78565903"/>
        <c:crosses val="autoZero"/>
        <c:crossBetween val="between"/>
      </c:valAx>
      <c:valAx>
        <c:axId val="1178558223"/>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78558703"/>
        <c:crosses val="max"/>
        <c:crossBetween val="between"/>
      </c:valAx>
      <c:catAx>
        <c:axId val="1178558703"/>
        <c:scaling>
          <c:orientation val="minMax"/>
        </c:scaling>
        <c:delete val="1"/>
        <c:axPos val="b"/>
        <c:numFmt formatCode="General" sourceLinked="1"/>
        <c:majorTickMark val="none"/>
        <c:minorTickMark val="none"/>
        <c:tickLblPos val="nextTo"/>
        <c:crossAx val="117855822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'[1]pivot table'!$G$173</c:f>
              <c:strCache>
                <c:ptCount val="1"/>
                <c:pt idx="0">
                  <c:v>Late% by bangalore</c:v>
                </c:pt>
              </c:strCache>
            </c:strRef>
          </c:tx>
          <c:spPr>
            <a:solidFill>
              <a:schemeClr val="accent1"/>
            </a:solidFill>
            <a:ln>
              <a:noFill/>
            </a:ln>
            <a:effectLst/>
          </c:spPr>
          <c:invertIfNegative val="0"/>
          <c:cat>
            <c:strRef>
              <c:f>'[1]pivot table'!$F$174:$F$180</c:f>
              <c:strCache>
                <c:ptCount val="7"/>
                <c:pt idx="0">
                  <c:v>Blue Dart</c:v>
                </c:pt>
                <c:pt idx="1">
                  <c:v>Bluedart</c:v>
                </c:pt>
                <c:pt idx="2">
                  <c:v>Delhivery</c:v>
                </c:pt>
                <c:pt idx="3">
                  <c:v>Dtdc</c:v>
                </c:pt>
                <c:pt idx="4">
                  <c:v>Ecom Express</c:v>
                </c:pt>
                <c:pt idx="5">
                  <c:v>Xpress Bees</c:v>
                </c:pt>
                <c:pt idx="6">
                  <c:v>Xpressbees</c:v>
                </c:pt>
              </c:strCache>
            </c:strRef>
          </c:cat>
          <c:val>
            <c:numRef>
              <c:f>'[1]pivot table'!$G$174:$G$180</c:f>
              <c:numCache>
                <c:formatCode>0.00</c:formatCode>
                <c:ptCount val="7"/>
                <c:pt idx="0">
                  <c:v>62.5</c:v>
                </c:pt>
                <c:pt idx="1">
                  <c:v>37.14</c:v>
                </c:pt>
                <c:pt idx="2">
                  <c:v>57.69</c:v>
                </c:pt>
                <c:pt idx="3">
                  <c:v>62.96</c:v>
                </c:pt>
                <c:pt idx="4">
                  <c:v>65.12</c:v>
                </c:pt>
                <c:pt idx="5">
                  <c:v>69.23</c:v>
                </c:pt>
                <c:pt idx="6">
                  <c:v>62.79</c:v>
                </c:pt>
              </c:numCache>
            </c:numRef>
          </c:val>
          <c:extLst>
            <c:ext xmlns:c16="http://schemas.microsoft.com/office/drawing/2014/chart" uri="{C3380CC4-5D6E-409C-BE32-E72D297353CC}">
              <c16:uniqueId val="{00000000-C54B-4E35-A933-F925992F2E88}"/>
            </c:ext>
          </c:extLst>
        </c:ser>
        <c:dLbls>
          <c:showLegendKey val="0"/>
          <c:showVal val="0"/>
          <c:showCatName val="0"/>
          <c:showSerName val="0"/>
          <c:showPercent val="0"/>
          <c:showBubbleSize val="0"/>
        </c:dLbls>
        <c:gapWidth val="182"/>
        <c:axId val="1312603743"/>
        <c:axId val="1312592703"/>
      </c:barChart>
      <c:catAx>
        <c:axId val="1312603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592703"/>
        <c:crosses val="autoZero"/>
        <c:auto val="1"/>
        <c:lblAlgn val="ctr"/>
        <c:lblOffset val="100"/>
        <c:noMultiLvlLbl val="0"/>
      </c:catAx>
      <c:valAx>
        <c:axId val="131259270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2603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5</xdr:col>
      <xdr:colOff>476250</xdr:colOff>
      <xdr:row>0</xdr:row>
      <xdr:rowOff>128587</xdr:rowOff>
    </xdr:from>
    <xdr:to>
      <xdr:col>13</xdr:col>
      <xdr:colOff>19050</xdr:colOff>
      <xdr:row>15</xdr:row>
      <xdr:rowOff>14287</xdr:rowOff>
    </xdr:to>
    <xdr:graphicFrame macro="">
      <xdr:nvGraphicFramePr>
        <xdr:cNvPr id="2" name="Chart 1">
          <a:extLst>
            <a:ext uri="{FF2B5EF4-FFF2-40B4-BE49-F238E27FC236}">
              <a16:creationId xmlns:a16="http://schemas.microsoft.com/office/drawing/2014/main" id="{BBD8D839-7E28-4295-ABA0-872B3231AF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466725</xdr:colOff>
      <xdr:row>16</xdr:row>
      <xdr:rowOff>14287</xdr:rowOff>
    </xdr:from>
    <xdr:to>
      <xdr:col>13</xdr:col>
      <xdr:colOff>9525</xdr:colOff>
      <xdr:row>30</xdr:row>
      <xdr:rowOff>90487</xdr:rowOff>
    </xdr:to>
    <xdr:graphicFrame macro="">
      <xdr:nvGraphicFramePr>
        <xdr:cNvPr id="3" name="Chart 2">
          <a:extLst>
            <a:ext uri="{FF2B5EF4-FFF2-40B4-BE49-F238E27FC236}">
              <a16:creationId xmlns:a16="http://schemas.microsoft.com/office/drawing/2014/main" id="{4878675B-4881-442B-B70B-3D8F2897EA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304800</xdr:colOff>
      <xdr:row>31</xdr:row>
      <xdr:rowOff>109537</xdr:rowOff>
    </xdr:from>
    <xdr:to>
      <xdr:col>11</xdr:col>
      <xdr:colOff>314325</xdr:colOff>
      <xdr:row>45</xdr:row>
      <xdr:rowOff>185737</xdr:rowOff>
    </xdr:to>
    <xdr:graphicFrame macro="">
      <xdr:nvGraphicFramePr>
        <xdr:cNvPr id="4" name="Chart 3">
          <a:extLst>
            <a:ext uri="{FF2B5EF4-FFF2-40B4-BE49-F238E27FC236}">
              <a16:creationId xmlns:a16="http://schemas.microsoft.com/office/drawing/2014/main" id="{7C5AED60-3E2F-4345-8FBA-95A318AC2F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333375</xdr:colOff>
      <xdr:row>46</xdr:row>
      <xdr:rowOff>147637</xdr:rowOff>
    </xdr:from>
    <xdr:to>
      <xdr:col>11</xdr:col>
      <xdr:colOff>342900</xdr:colOff>
      <xdr:row>61</xdr:row>
      <xdr:rowOff>33337</xdr:rowOff>
    </xdr:to>
    <xdr:graphicFrame macro="">
      <xdr:nvGraphicFramePr>
        <xdr:cNvPr id="5" name="Chart 4">
          <a:extLst>
            <a:ext uri="{FF2B5EF4-FFF2-40B4-BE49-F238E27FC236}">
              <a16:creationId xmlns:a16="http://schemas.microsoft.com/office/drawing/2014/main" id="{24F341D0-C0AE-4CFC-B571-78F01613C3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400050</xdr:colOff>
      <xdr:row>62</xdr:row>
      <xdr:rowOff>90487</xdr:rowOff>
    </xdr:from>
    <xdr:to>
      <xdr:col>10</xdr:col>
      <xdr:colOff>47625</xdr:colOff>
      <xdr:row>76</xdr:row>
      <xdr:rowOff>166687</xdr:rowOff>
    </xdr:to>
    <xdr:graphicFrame macro="">
      <xdr:nvGraphicFramePr>
        <xdr:cNvPr id="6" name="Chart 5">
          <a:extLst>
            <a:ext uri="{FF2B5EF4-FFF2-40B4-BE49-F238E27FC236}">
              <a16:creationId xmlns:a16="http://schemas.microsoft.com/office/drawing/2014/main" id="{C8512B4B-C84A-4D56-9529-0F3FE857DD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485775</xdr:colOff>
      <xdr:row>89</xdr:row>
      <xdr:rowOff>147637</xdr:rowOff>
    </xdr:from>
    <xdr:to>
      <xdr:col>10</xdr:col>
      <xdr:colOff>542925</xdr:colOff>
      <xdr:row>104</xdr:row>
      <xdr:rowOff>33337</xdr:rowOff>
    </xdr:to>
    <xdr:graphicFrame macro="">
      <xdr:nvGraphicFramePr>
        <xdr:cNvPr id="7" name="Chart 6">
          <a:extLst>
            <a:ext uri="{FF2B5EF4-FFF2-40B4-BE49-F238E27FC236}">
              <a16:creationId xmlns:a16="http://schemas.microsoft.com/office/drawing/2014/main" id="{EBC6EAA9-C1FF-4906-98FC-B281544D2A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371475</xdr:colOff>
      <xdr:row>104</xdr:row>
      <xdr:rowOff>157162</xdr:rowOff>
    </xdr:from>
    <xdr:to>
      <xdr:col>11</xdr:col>
      <xdr:colOff>904875</xdr:colOff>
      <xdr:row>119</xdr:row>
      <xdr:rowOff>42862</xdr:rowOff>
    </xdr:to>
    <xdr:graphicFrame macro="">
      <xdr:nvGraphicFramePr>
        <xdr:cNvPr id="8" name="Chart 7">
          <a:extLst>
            <a:ext uri="{FF2B5EF4-FFF2-40B4-BE49-F238E27FC236}">
              <a16:creationId xmlns:a16="http://schemas.microsoft.com/office/drawing/2014/main" id="{2BE380F0-C432-463C-8259-D325B12EC4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533400</xdr:colOff>
      <xdr:row>119</xdr:row>
      <xdr:rowOff>147637</xdr:rowOff>
    </xdr:from>
    <xdr:to>
      <xdr:col>15</xdr:col>
      <xdr:colOff>47625</xdr:colOff>
      <xdr:row>134</xdr:row>
      <xdr:rowOff>33337</xdr:rowOff>
    </xdr:to>
    <xdr:graphicFrame macro="">
      <xdr:nvGraphicFramePr>
        <xdr:cNvPr id="9" name="Chart 8">
          <a:extLst>
            <a:ext uri="{FF2B5EF4-FFF2-40B4-BE49-F238E27FC236}">
              <a16:creationId xmlns:a16="http://schemas.microsoft.com/office/drawing/2014/main" id="{030B5D55-FB80-4BE4-A1D5-F906A36E05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371474</xdr:colOff>
      <xdr:row>170</xdr:row>
      <xdr:rowOff>61912</xdr:rowOff>
    </xdr:from>
    <xdr:to>
      <xdr:col>12</xdr:col>
      <xdr:colOff>142875</xdr:colOff>
      <xdr:row>184</xdr:row>
      <xdr:rowOff>119062</xdr:rowOff>
    </xdr:to>
    <xdr:graphicFrame macro="">
      <xdr:nvGraphicFramePr>
        <xdr:cNvPr id="10" name="Chart 9">
          <a:extLst>
            <a:ext uri="{FF2B5EF4-FFF2-40B4-BE49-F238E27FC236}">
              <a16:creationId xmlns:a16="http://schemas.microsoft.com/office/drawing/2014/main" id="{131CD4BB-97DC-4AEF-8968-A09A84DAD7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885825</xdr:colOff>
      <xdr:row>166</xdr:row>
      <xdr:rowOff>28575</xdr:rowOff>
    </xdr:from>
    <xdr:to>
      <xdr:col>3</xdr:col>
      <xdr:colOff>466725</xdr:colOff>
      <xdr:row>179</xdr:row>
      <xdr:rowOff>57150</xdr:rowOff>
    </xdr:to>
    <mc:AlternateContent xmlns:mc="http://schemas.openxmlformats.org/markup-compatibility/2006">
      <mc:Choice xmlns:a14="http://schemas.microsoft.com/office/drawing/2010/main" Requires="a14">
        <xdr:graphicFrame macro="">
          <xdr:nvGraphicFramePr>
            <xdr:cNvPr id="11" name="Carrier 2">
              <a:extLst>
                <a:ext uri="{FF2B5EF4-FFF2-40B4-BE49-F238E27FC236}">
                  <a16:creationId xmlns:a16="http://schemas.microsoft.com/office/drawing/2014/main" id="{064436B4-A2A7-4E64-9291-FD8060AA9332}"/>
                </a:ext>
              </a:extLst>
            </xdr:cNvPr>
            <xdr:cNvGraphicFramePr/>
          </xdr:nvGraphicFramePr>
          <xdr:xfrm>
            <a:off x="0" y="0"/>
            <a:ext cx="0" cy="0"/>
          </xdr:xfrm>
          <a:graphic>
            <a:graphicData uri="http://schemas.microsoft.com/office/drawing/2010/slicer">
              <sle:slicer xmlns:sle="http://schemas.microsoft.com/office/drawing/2010/slicer" name="Carrier 2"/>
            </a:graphicData>
          </a:graphic>
        </xdr:graphicFrame>
      </mc:Choice>
      <mc:Fallback>
        <xdr:sp macro="" textlink="">
          <xdr:nvSpPr>
            <xdr:cNvPr id="0" name=""/>
            <xdr:cNvSpPr>
              <a:spLocks noTextEdit="1"/>
            </xdr:cNvSpPr>
          </xdr:nvSpPr>
          <xdr:spPr>
            <a:xfrm>
              <a:off x="1762125" y="318039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952500</xdr:colOff>
      <xdr:row>140</xdr:row>
      <xdr:rowOff>95251</xdr:rowOff>
    </xdr:from>
    <xdr:to>
      <xdr:col>12</xdr:col>
      <xdr:colOff>76200</xdr:colOff>
      <xdr:row>146</xdr:row>
      <xdr:rowOff>152401</xdr:rowOff>
    </xdr:to>
    <mc:AlternateContent xmlns:mc="http://schemas.openxmlformats.org/markup-compatibility/2006">
      <mc:Choice xmlns:a14="http://schemas.microsoft.com/office/drawing/2010/main" Requires="a14">
        <xdr:graphicFrame macro="">
          <xdr:nvGraphicFramePr>
            <xdr:cNvPr id="12" name="ShipmentMode 2">
              <a:extLst>
                <a:ext uri="{FF2B5EF4-FFF2-40B4-BE49-F238E27FC236}">
                  <a16:creationId xmlns:a16="http://schemas.microsoft.com/office/drawing/2014/main" id="{EC24F7C8-4355-4A48-9A12-80F7F6ECAE76}"/>
                </a:ext>
              </a:extLst>
            </xdr:cNvPr>
            <xdr:cNvGraphicFramePr/>
          </xdr:nvGraphicFramePr>
          <xdr:xfrm>
            <a:off x="0" y="0"/>
            <a:ext cx="0" cy="0"/>
          </xdr:xfrm>
          <a:graphic>
            <a:graphicData uri="http://schemas.microsoft.com/office/drawing/2010/slicer">
              <sle:slicer xmlns:sle="http://schemas.microsoft.com/office/drawing/2010/slicer" name="ShipmentMode 2"/>
            </a:graphicData>
          </a:graphic>
        </xdr:graphicFrame>
      </mc:Choice>
      <mc:Fallback>
        <xdr:sp macro="" textlink="">
          <xdr:nvSpPr>
            <xdr:cNvPr id="0" name=""/>
            <xdr:cNvSpPr>
              <a:spLocks noTextEdit="1"/>
            </xdr:cNvSpPr>
          </xdr:nvSpPr>
          <xdr:spPr>
            <a:xfrm>
              <a:off x="8820150" y="26765251"/>
              <a:ext cx="1828800" cy="1200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167</xdr:row>
      <xdr:rowOff>38101</xdr:rowOff>
    </xdr:from>
    <xdr:to>
      <xdr:col>1</xdr:col>
      <xdr:colOff>952500</xdr:colOff>
      <xdr:row>175</xdr:row>
      <xdr:rowOff>133351</xdr:rowOff>
    </xdr:to>
    <mc:AlternateContent xmlns:mc="http://schemas.openxmlformats.org/markup-compatibility/2006">
      <mc:Choice xmlns:a14="http://schemas.microsoft.com/office/drawing/2010/main" Requires="a14">
        <xdr:graphicFrame macro="">
          <xdr:nvGraphicFramePr>
            <xdr:cNvPr id="13" name="DeliveryStatus 2">
              <a:extLst>
                <a:ext uri="{FF2B5EF4-FFF2-40B4-BE49-F238E27FC236}">
                  <a16:creationId xmlns:a16="http://schemas.microsoft.com/office/drawing/2014/main" id="{E2A2D22E-DD1E-45C9-8369-9CE6363BC87F}"/>
                </a:ext>
              </a:extLst>
            </xdr:cNvPr>
            <xdr:cNvGraphicFramePr/>
          </xdr:nvGraphicFramePr>
          <xdr:xfrm>
            <a:off x="0" y="0"/>
            <a:ext cx="0" cy="0"/>
          </xdr:xfrm>
          <a:graphic>
            <a:graphicData uri="http://schemas.microsoft.com/office/drawing/2010/slicer">
              <sle:slicer xmlns:sle="http://schemas.microsoft.com/office/drawing/2010/slicer" name="DeliveryStatus 2"/>
            </a:graphicData>
          </a:graphic>
        </xdr:graphicFrame>
      </mc:Choice>
      <mc:Fallback>
        <xdr:sp macro="" textlink="">
          <xdr:nvSpPr>
            <xdr:cNvPr id="0" name=""/>
            <xdr:cNvSpPr>
              <a:spLocks noTextEdit="1"/>
            </xdr:cNvSpPr>
          </xdr:nvSpPr>
          <xdr:spPr>
            <a:xfrm>
              <a:off x="0" y="32004001"/>
              <a:ext cx="1828800" cy="1638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352425</xdr:colOff>
      <xdr:row>1</xdr:row>
      <xdr:rowOff>47625</xdr:rowOff>
    </xdr:from>
    <xdr:to>
      <xdr:col>15</xdr:col>
      <xdr:colOff>342900</xdr:colOff>
      <xdr:row>3</xdr:row>
      <xdr:rowOff>161925</xdr:rowOff>
    </xdr:to>
    <xdr:sp macro="" textlink="">
      <xdr:nvSpPr>
        <xdr:cNvPr id="2" name="TextBox 1">
          <a:extLst>
            <a:ext uri="{FF2B5EF4-FFF2-40B4-BE49-F238E27FC236}">
              <a16:creationId xmlns:a16="http://schemas.microsoft.com/office/drawing/2014/main" id="{C81A2E76-7ADC-4FFF-BF56-468467AC6B91}"/>
            </a:ext>
          </a:extLst>
        </xdr:cNvPr>
        <xdr:cNvSpPr txBox="1"/>
      </xdr:nvSpPr>
      <xdr:spPr>
        <a:xfrm>
          <a:off x="4362450" y="238125"/>
          <a:ext cx="14611350" cy="495300"/>
        </a:xfrm>
        <a:prstGeom prst="rect">
          <a:avLst/>
        </a:prstGeom>
        <a:solidFill>
          <a:srgbClr val="FF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solidFill>
                <a:srgbClr val="FF0000"/>
              </a:solidFill>
            </a:rPr>
            <a:t>        </a:t>
          </a:r>
          <a:r>
            <a:rPr lang="en-IN" sz="2400">
              <a:solidFill>
                <a:schemeClr val="tx1"/>
              </a:solidFill>
            </a:rPr>
            <a:t>LOGISTICS SHIPMENT PERFORMANCE DASHBOARD</a:t>
          </a:r>
        </a:p>
      </xdr:txBody>
    </xdr:sp>
    <xdr:clientData/>
  </xdr:twoCellAnchor>
  <xdr:twoCellAnchor>
    <xdr:from>
      <xdr:col>1</xdr:col>
      <xdr:colOff>219075</xdr:colOff>
      <xdr:row>16</xdr:row>
      <xdr:rowOff>0</xdr:rowOff>
    </xdr:from>
    <xdr:to>
      <xdr:col>6</xdr:col>
      <xdr:colOff>64492</xdr:colOff>
      <xdr:row>27</xdr:row>
      <xdr:rowOff>148828</xdr:rowOff>
    </xdr:to>
    <xdr:graphicFrame macro="">
      <xdr:nvGraphicFramePr>
        <xdr:cNvPr id="3" name="Chart 2">
          <a:extLst>
            <a:ext uri="{FF2B5EF4-FFF2-40B4-BE49-F238E27FC236}">
              <a16:creationId xmlns:a16="http://schemas.microsoft.com/office/drawing/2014/main" id="{4196ABBF-DB03-479A-B099-B098DAE2D4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213120</xdr:colOff>
      <xdr:row>16</xdr:row>
      <xdr:rowOff>27385</xdr:rowOff>
    </xdr:from>
    <xdr:to>
      <xdr:col>10</xdr:col>
      <xdr:colOff>401836</xdr:colOff>
      <xdr:row>27</xdr:row>
      <xdr:rowOff>158750</xdr:rowOff>
    </xdr:to>
    <xdr:graphicFrame macro="">
      <xdr:nvGraphicFramePr>
        <xdr:cNvPr id="4" name="Chart 3">
          <a:extLst>
            <a:ext uri="{FF2B5EF4-FFF2-40B4-BE49-F238E27FC236}">
              <a16:creationId xmlns:a16="http://schemas.microsoft.com/office/drawing/2014/main" id="{2533E353-E0E4-4179-8EB6-459845461B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198637</xdr:colOff>
      <xdr:row>29</xdr:row>
      <xdr:rowOff>29766</xdr:rowOff>
    </xdr:from>
    <xdr:to>
      <xdr:col>6</xdr:col>
      <xdr:colOff>74414</xdr:colOff>
      <xdr:row>42</xdr:row>
      <xdr:rowOff>79374</xdr:rowOff>
    </xdr:to>
    <xdr:graphicFrame macro="">
      <xdr:nvGraphicFramePr>
        <xdr:cNvPr id="5" name="Chart 4">
          <a:extLst>
            <a:ext uri="{FF2B5EF4-FFF2-40B4-BE49-F238E27FC236}">
              <a16:creationId xmlns:a16="http://schemas.microsoft.com/office/drawing/2014/main" id="{4D16F6F0-5AAC-4DCD-80E3-5B52B94D09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203398</xdr:colOff>
      <xdr:row>29</xdr:row>
      <xdr:rowOff>19845</xdr:rowOff>
    </xdr:from>
    <xdr:to>
      <xdr:col>10</xdr:col>
      <xdr:colOff>391914</xdr:colOff>
      <xdr:row>42</xdr:row>
      <xdr:rowOff>59532</xdr:rowOff>
    </xdr:to>
    <xdr:graphicFrame macro="">
      <xdr:nvGraphicFramePr>
        <xdr:cNvPr id="6" name="Chart 5">
          <a:extLst>
            <a:ext uri="{FF2B5EF4-FFF2-40B4-BE49-F238E27FC236}">
              <a16:creationId xmlns:a16="http://schemas.microsoft.com/office/drawing/2014/main" id="{B36BB7D2-4237-4871-80F8-7AE63D7FFA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203398</xdr:colOff>
      <xdr:row>43</xdr:row>
      <xdr:rowOff>158750</xdr:rowOff>
    </xdr:from>
    <xdr:to>
      <xdr:col>6</xdr:col>
      <xdr:colOff>94256</xdr:colOff>
      <xdr:row>55</xdr:row>
      <xdr:rowOff>19843</xdr:rowOff>
    </xdr:to>
    <xdr:graphicFrame macro="">
      <xdr:nvGraphicFramePr>
        <xdr:cNvPr id="7" name="Chart 6">
          <a:extLst>
            <a:ext uri="{FF2B5EF4-FFF2-40B4-BE49-F238E27FC236}">
              <a16:creationId xmlns:a16="http://schemas.microsoft.com/office/drawing/2014/main" id="{A0A04A1A-B9D8-4FF9-BC4A-9A095F8FDA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228203</xdr:colOff>
      <xdr:row>43</xdr:row>
      <xdr:rowOff>119063</xdr:rowOff>
    </xdr:from>
    <xdr:to>
      <xdr:col>10</xdr:col>
      <xdr:colOff>431601</xdr:colOff>
      <xdr:row>55</xdr:row>
      <xdr:rowOff>49610</xdr:rowOff>
    </xdr:to>
    <xdr:graphicFrame macro="">
      <xdr:nvGraphicFramePr>
        <xdr:cNvPr id="8" name="Chart 7">
          <a:extLst>
            <a:ext uri="{FF2B5EF4-FFF2-40B4-BE49-F238E27FC236}">
              <a16:creationId xmlns:a16="http://schemas.microsoft.com/office/drawing/2014/main" id="{75BEDAE3-BFB5-4F22-A9D5-910D0ADDA0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199032</xdr:colOff>
      <xdr:row>56</xdr:row>
      <xdr:rowOff>39687</xdr:rowOff>
    </xdr:from>
    <xdr:to>
      <xdr:col>6</xdr:col>
      <xdr:colOff>89297</xdr:colOff>
      <xdr:row>68</xdr:row>
      <xdr:rowOff>128984</xdr:rowOff>
    </xdr:to>
    <xdr:graphicFrame macro="">
      <xdr:nvGraphicFramePr>
        <xdr:cNvPr id="9" name="Chart 8">
          <a:extLst>
            <a:ext uri="{FF2B5EF4-FFF2-40B4-BE49-F238E27FC236}">
              <a16:creationId xmlns:a16="http://schemas.microsoft.com/office/drawing/2014/main" id="{0FE20A76-5840-45E0-AF0F-E80D64F596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223836</xdr:colOff>
      <xdr:row>56</xdr:row>
      <xdr:rowOff>44450</xdr:rowOff>
    </xdr:from>
    <xdr:to>
      <xdr:col>10</xdr:col>
      <xdr:colOff>451445</xdr:colOff>
      <xdr:row>68</xdr:row>
      <xdr:rowOff>158750</xdr:rowOff>
    </xdr:to>
    <xdr:graphicFrame macro="">
      <xdr:nvGraphicFramePr>
        <xdr:cNvPr id="10" name="Chart 9">
          <a:extLst>
            <a:ext uri="{FF2B5EF4-FFF2-40B4-BE49-F238E27FC236}">
              <a16:creationId xmlns:a16="http://schemas.microsoft.com/office/drawing/2014/main" id="{D4CA6B52-B322-4BAF-8414-660E6DAF1F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526453</xdr:colOff>
      <xdr:row>70</xdr:row>
      <xdr:rowOff>29765</xdr:rowOff>
    </xdr:from>
    <xdr:to>
      <xdr:col>8</xdr:col>
      <xdr:colOff>471288</xdr:colOff>
      <xdr:row>83</xdr:row>
      <xdr:rowOff>119061</xdr:rowOff>
    </xdr:to>
    <xdr:graphicFrame macro="">
      <xdr:nvGraphicFramePr>
        <xdr:cNvPr id="11" name="Chart 10">
          <a:extLst>
            <a:ext uri="{FF2B5EF4-FFF2-40B4-BE49-F238E27FC236}">
              <a16:creationId xmlns:a16="http://schemas.microsoft.com/office/drawing/2014/main" id="{BC463DA7-395F-4812-814A-044055E8C3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180776</xdr:colOff>
      <xdr:row>16</xdr:row>
      <xdr:rowOff>163116</xdr:rowOff>
    </xdr:from>
    <xdr:to>
      <xdr:col>12</xdr:col>
      <xdr:colOff>570507</xdr:colOff>
      <xdr:row>26</xdr:row>
      <xdr:rowOff>119063</xdr:rowOff>
    </xdr:to>
    <mc:AlternateContent xmlns:mc="http://schemas.openxmlformats.org/markup-compatibility/2006">
      <mc:Choice xmlns:a14="http://schemas.microsoft.com/office/drawing/2010/main" Requires="a14">
        <xdr:graphicFrame macro="">
          <xdr:nvGraphicFramePr>
            <xdr:cNvPr id="12" name="DeliveryStatus 3">
              <a:extLst>
                <a:ext uri="{FF2B5EF4-FFF2-40B4-BE49-F238E27FC236}">
                  <a16:creationId xmlns:a16="http://schemas.microsoft.com/office/drawing/2014/main" id="{3F552DAA-FC35-4BF9-A27D-6173D4060904}"/>
                </a:ext>
              </a:extLst>
            </xdr:cNvPr>
            <xdr:cNvGraphicFramePr/>
          </xdr:nvGraphicFramePr>
          <xdr:xfrm>
            <a:off x="0" y="0"/>
            <a:ext cx="0" cy="0"/>
          </xdr:xfrm>
          <a:graphic>
            <a:graphicData uri="http://schemas.microsoft.com/office/drawing/2010/slicer">
              <sle:slicer xmlns:sle="http://schemas.microsoft.com/office/drawing/2010/slicer" name="DeliveryStatus 3"/>
            </a:graphicData>
          </a:graphic>
        </xdr:graphicFrame>
      </mc:Choice>
      <mc:Fallback>
        <xdr:sp macro="" textlink="">
          <xdr:nvSpPr>
            <xdr:cNvPr id="0" name=""/>
            <xdr:cNvSpPr>
              <a:spLocks noTextEdit="1"/>
            </xdr:cNvSpPr>
          </xdr:nvSpPr>
          <xdr:spPr>
            <a:xfrm>
              <a:off x="13785849" y="3179366"/>
              <a:ext cx="1999853" cy="18411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38496</xdr:colOff>
      <xdr:row>28</xdr:row>
      <xdr:rowOff>79374</xdr:rowOff>
    </xdr:from>
    <xdr:to>
      <xdr:col>12</xdr:col>
      <xdr:colOff>233164</xdr:colOff>
      <xdr:row>41</xdr:row>
      <xdr:rowOff>126999</xdr:rowOff>
    </xdr:to>
    <mc:AlternateContent xmlns:mc="http://schemas.openxmlformats.org/markup-compatibility/2006">
      <mc:Choice xmlns:a14="http://schemas.microsoft.com/office/drawing/2010/main" Requires="a14">
        <xdr:graphicFrame macro="">
          <xdr:nvGraphicFramePr>
            <xdr:cNvPr id="13" name="Carrier 3">
              <a:extLst>
                <a:ext uri="{FF2B5EF4-FFF2-40B4-BE49-F238E27FC236}">
                  <a16:creationId xmlns:a16="http://schemas.microsoft.com/office/drawing/2014/main" id="{9A7F2746-F1B9-4140-AB01-259B60FE29A0}"/>
                </a:ext>
              </a:extLst>
            </xdr:cNvPr>
            <xdr:cNvGraphicFramePr/>
          </xdr:nvGraphicFramePr>
          <xdr:xfrm>
            <a:off x="0" y="0"/>
            <a:ext cx="0" cy="0"/>
          </xdr:xfrm>
          <a:graphic>
            <a:graphicData uri="http://schemas.microsoft.com/office/drawing/2010/slicer">
              <sle:slicer xmlns:sle="http://schemas.microsoft.com/office/drawing/2010/slicer" name="Carrier 3"/>
            </a:graphicData>
          </a:graphic>
        </xdr:graphicFrame>
      </mc:Choice>
      <mc:Fallback>
        <xdr:sp macro="" textlink="">
          <xdr:nvSpPr>
            <xdr:cNvPr id="0" name=""/>
            <xdr:cNvSpPr>
              <a:spLocks noTextEdit="1"/>
            </xdr:cNvSpPr>
          </xdr:nvSpPr>
          <xdr:spPr>
            <a:xfrm>
              <a:off x="13501289" y="5357812"/>
              <a:ext cx="1609727" cy="24983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64094</xdr:colOff>
      <xdr:row>44</xdr:row>
      <xdr:rowOff>118267</xdr:rowOff>
    </xdr:from>
    <xdr:to>
      <xdr:col>12</xdr:col>
      <xdr:colOff>178593</xdr:colOff>
      <xdr:row>50</xdr:row>
      <xdr:rowOff>99219</xdr:rowOff>
    </xdr:to>
    <mc:AlternateContent xmlns:mc="http://schemas.openxmlformats.org/markup-compatibility/2006">
      <mc:Choice xmlns:a14="http://schemas.microsoft.com/office/drawing/2010/main" Requires="a14">
        <xdr:graphicFrame macro="">
          <xdr:nvGraphicFramePr>
            <xdr:cNvPr id="14" name="ShipmentMode 3">
              <a:extLst>
                <a:ext uri="{FF2B5EF4-FFF2-40B4-BE49-F238E27FC236}">
                  <a16:creationId xmlns:a16="http://schemas.microsoft.com/office/drawing/2014/main" id="{23DEFA69-7FBC-4F75-A7E6-329069248D36}"/>
                </a:ext>
              </a:extLst>
            </xdr:cNvPr>
            <xdr:cNvGraphicFramePr/>
          </xdr:nvGraphicFramePr>
          <xdr:xfrm>
            <a:off x="0" y="0"/>
            <a:ext cx="0" cy="0"/>
          </xdr:xfrm>
          <a:graphic>
            <a:graphicData uri="http://schemas.microsoft.com/office/drawing/2010/slicer">
              <sle:slicer xmlns:sle="http://schemas.microsoft.com/office/drawing/2010/slicer" name="ShipmentMode 3"/>
            </a:graphicData>
          </a:graphic>
        </xdr:graphicFrame>
      </mc:Choice>
      <mc:Fallback>
        <xdr:sp macro="" textlink="">
          <xdr:nvSpPr>
            <xdr:cNvPr id="0" name=""/>
            <xdr:cNvSpPr>
              <a:spLocks noTextEdit="1"/>
            </xdr:cNvSpPr>
          </xdr:nvSpPr>
          <xdr:spPr>
            <a:xfrm>
              <a:off x="13552485" y="8412955"/>
              <a:ext cx="1449389" cy="11120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70841</xdr:colOff>
      <xdr:row>5</xdr:row>
      <xdr:rowOff>138906</xdr:rowOff>
    </xdr:from>
    <xdr:to>
      <xdr:col>4</xdr:col>
      <xdr:colOff>193476</xdr:colOff>
      <xdr:row>12</xdr:row>
      <xdr:rowOff>76994</xdr:rowOff>
    </xdr:to>
    <xdr:sp macro="" textlink="">
      <xdr:nvSpPr>
        <xdr:cNvPr id="15" name="Rectangle: Rounded Corners 14">
          <a:extLst>
            <a:ext uri="{FF2B5EF4-FFF2-40B4-BE49-F238E27FC236}">
              <a16:creationId xmlns:a16="http://schemas.microsoft.com/office/drawing/2014/main" id="{3126E0BE-DFC3-4724-92B3-DDBF57CFA002}"/>
            </a:ext>
          </a:extLst>
        </xdr:cNvPr>
        <xdr:cNvSpPr/>
      </xdr:nvSpPr>
      <xdr:spPr>
        <a:xfrm>
          <a:off x="1360882" y="1091406"/>
          <a:ext cx="3902870" cy="1271588"/>
        </a:xfrm>
        <a:prstGeom prst="roundRect">
          <a:avLst/>
        </a:prstGeom>
        <a:solidFill>
          <a:srgbClr val="FF0000"/>
        </a:solidFill>
        <a:effectLst>
          <a:outerShdw blurRad="50800" dist="38100" algn="l" rotWithShape="0">
            <a:prstClr val="black">
              <a:alpha val="40000"/>
            </a:prstClr>
          </a:outerShdw>
          <a:softEdge rad="1270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400" baseline="0">
              <a:solidFill>
                <a:schemeClr val="tx1"/>
              </a:solidFill>
            </a:rPr>
            <a:t>TOTAL SHIPMENTS</a:t>
          </a:r>
        </a:p>
        <a:p>
          <a:pPr algn="l"/>
          <a:r>
            <a:rPr lang="en-IN" sz="2800" baseline="0">
              <a:solidFill>
                <a:schemeClr val="tx1"/>
              </a:solidFill>
            </a:rPr>
            <a:t>           </a:t>
          </a:r>
        </a:p>
        <a:p>
          <a:pPr algn="l"/>
          <a:endParaRPr lang="en-IN" sz="2400">
            <a:solidFill>
              <a:schemeClr val="tx1"/>
            </a:solidFill>
          </a:endParaRPr>
        </a:p>
      </xdr:txBody>
    </xdr:sp>
    <xdr:clientData/>
  </xdr:twoCellAnchor>
  <xdr:twoCellAnchor>
    <xdr:from>
      <xdr:col>10</xdr:col>
      <xdr:colOff>604440</xdr:colOff>
      <xdr:row>5</xdr:row>
      <xdr:rowOff>138906</xdr:rowOff>
    </xdr:from>
    <xdr:to>
      <xdr:col>14</xdr:col>
      <xdr:colOff>158750</xdr:colOff>
      <xdr:row>12</xdr:row>
      <xdr:rowOff>98028</xdr:rowOff>
    </xdr:to>
    <xdr:sp macro="" textlink="">
      <xdr:nvSpPr>
        <xdr:cNvPr id="16" name="Rectangle: Rounded Corners 15">
          <a:extLst>
            <a:ext uri="{FF2B5EF4-FFF2-40B4-BE49-F238E27FC236}">
              <a16:creationId xmlns:a16="http://schemas.microsoft.com/office/drawing/2014/main" id="{B180FB1A-B2CE-4079-8E42-9744A37D52AB}"/>
            </a:ext>
          </a:extLst>
        </xdr:cNvPr>
        <xdr:cNvSpPr/>
      </xdr:nvSpPr>
      <xdr:spPr>
        <a:xfrm>
          <a:off x="13400880" y="1091406"/>
          <a:ext cx="3985420" cy="1292622"/>
        </a:xfrm>
        <a:prstGeom prst="roundRect">
          <a:avLst/>
        </a:prstGeom>
        <a:solidFill>
          <a:srgbClr val="FF0000"/>
        </a:solidFill>
        <a:effectLst>
          <a:outerShdw blurRad="50800" dist="38100" algn="l" rotWithShape="0">
            <a:prstClr val="black">
              <a:alpha val="40000"/>
            </a:prstClr>
          </a:outerShdw>
          <a:softEdge rad="1270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400" baseline="0">
              <a:solidFill>
                <a:schemeClr val="tx1"/>
              </a:solidFill>
            </a:rPr>
            <a:t> RETURNED SHIPMENTS</a:t>
          </a:r>
        </a:p>
        <a:p>
          <a:pPr algn="ctr"/>
          <a:endParaRPr lang="en-IN" sz="2400" baseline="0">
            <a:solidFill>
              <a:schemeClr val="tx1"/>
            </a:solidFill>
          </a:endParaRPr>
        </a:p>
      </xdr:txBody>
    </xdr:sp>
    <xdr:clientData/>
  </xdr:twoCellAnchor>
  <xdr:twoCellAnchor>
    <xdr:from>
      <xdr:col>7</xdr:col>
      <xdr:colOff>456406</xdr:colOff>
      <xdr:row>5</xdr:row>
      <xdr:rowOff>128985</xdr:rowOff>
    </xdr:from>
    <xdr:to>
      <xdr:col>10</xdr:col>
      <xdr:colOff>491133</xdr:colOff>
      <xdr:row>12</xdr:row>
      <xdr:rowOff>47228</xdr:rowOff>
    </xdr:to>
    <xdr:sp macro="" textlink="">
      <xdr:nvSpPr>
        <xdr:cNvPr id="17" name="Rectangle: Rounded Corners 16">
          <a:extLst>
            <a:ext uri="{FF2B5EF4-FFF2-40B4-BE49-F238E27FC236}">
              <a16:creationId xmlns:a16="http://schemas.microsoft.com/office/drawing/2014/main" id="{C6580B95-04A4-42FE-B312-640D02B8D140}"/>
            </a:ext>
          </a:extLst>
        </xdr:cNvPr>
        <xdr:cNvSpPr/>
      </xdr:nvSpPr>
      <xdr:spPr>
        <a:xfrm>
          <a:off x="9447212" y="1081485"/>
          <a:ext cx="3727054" cy="1251743"/>
        </a:xfrm>
        <a:prstGeom prst="roundRect">
          <a:avLst/>
        </a:prstGeom>
        <a:solidFill>
          <a:srgbClr val="FF0000"/>
        </a:solidFill>
        <a:effectLst>
          <a:outerShdw blurRad="50800" dist="38100" algn="l" rotWithShape="0">
            <a:prstClr val="black">
              <a:alpha val="40000"/>
            </a:prstClr>
          </a:outerShdw>
          <a:softEdge rad="1270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400" baseline="0">
              <a:solidFill>
                <a:schemeClr val="tx1"/>
              </a:solidFill>
            </a:rPr>
            <a:t>DELAYED</a:t>
          </a:r>
          <a:r>
            <a:rPr lang="en-IN" sz="2800" baseline="0">
              <a:solidFill>
                <a:schemeClr val="tx1"/>
              </a:solidFill>
            </a:rPr>
            <a:t> </a:t>
          </a:r>
          <a:r>
            <a:rPr lang="en-IN" sz="2400" baseline="0">
              <a:solidFill>
                <a:schemeClr val="tx1"/>
              </a:solidFill>
            </a:rPr>
            <a:t>SHIPMENTS</a:t>
          </a:r>
        </a:p>
        <a:p>
          <a:pPr algn="ctr"/>
          <a:endParaRPr lang="en-IN" sz="2400">
            <a:solidFill>
              <a:schemeClr val="tx1"/>
            </a:solidFill>
          </a:endParaRPr>
        </a:p>
      </xdr:txBody>
    </xdr:sp>
    <xdr:clientData/>
  </xdr:twoCellAnchor>
  <xdr:twoCellAnchor>
    <xdr:from>
      <xdr:col>4</xdr:col>
      <xdr:colOff>272851</xdr:colOff>
      <xdr:row>5</xdr:row>
      <xdr:rowOff>138907</xdr:rowOff>
    </xdr:from>
    <xdr:to>
      <xdr:col>7</xdr:col>
      <xdr:colOff>386953</xdr:colOff>
      <xdr:row>12</xdr:row>
      <xdr:rowOff>49610</xdr:rowOff>
    </xdr:to>
    <xdr:sp macro="" textlink="">
      <xdr:nvSpPr>
        <xdr:cNvPr id="18" name="Rectangle: Rounded Corners 17">
          <a:extLst>
            <a:ext uri="{FF2B5EF4-FFF2-40B4-BE49-F238E27FC236}">
              <a16:creationId xmlns:a16="http://schemas.microsoft.com/office/drawing/2014/main" id="{1E68DD92-12A7-47EA-8740-08E0306E2D00}"/>
            </a:ext>
          </a:extLst>
        </xdr:cNvPr>
        <xdr:cNvSpPr/>
      </xdr:nvSpPr>
      <xdr:spPr>
        <a:xfrm>
          <a:off x="5422502" y="1091407"/>
          <a:ext cx="3885804" cy="1244203"/>
        </a:xfrm>
        <a:prstGeom prst="roundRect">
          <a:avLst/>
        </a:prstGeom>
        <a:solidFill>
          <a:srgbClr val="FF0000"/>
        </a:solidFill>
        <a:effectLst>
          <a:outerShdw blurRad="50800" dist="38100" algn="l" rotWithShape="0">
            <a:prstClr val="black">
              <a:alpha val="40000"/>
            </a:prstClr>
          </a:outerShdw>
          <a:softEdge rad="1270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400" baseline="0">
              <a:solidFill>
                <a:schemeClr val="tx1"/>
              </a:solidFill>
            </a:rPr>
            <a:t>DELIVERED  SHIPMENTS</a:t>
          </a:r>
        </a:p>
        <a:p>
          <a:pPr algn="l"/>
          <a:endParaRPr lang="en-IN" sz="2400">
            <a:solidFill>
              <a:schemeClr val="tx1"/>
            </a:solidFill>
          </a:endParaRPr>
        </a:p>
      </xdr:txBody>
    </xdr:sp>
    <xdr:clientData/>
  </xdr:twoCellAnchor>
  <xdr:twoCellAnchor>
    <xdr:from>
      <xdr:col>2</xdr:col>
      <xdr:colOff>120052</xdr:colOff>
      <xdr:row>8</xdr:row>
      <xdr:rowOff>182561</xdr:rowOff>
    </xdr:from>
    <xdr:to>
      <xdr:col>3</xdr:col>
      <xdr:colOff>139103</xdr:colOff>
      <xdr:row>11</xdr:row>
      <xdr:rowOff>49609</xdr:rowOff>
    </xdr:to>
    <xdr:sp macro="" textlink="'[1]pivot table'!B194">
      <xdr:nvSpPr>
        <xdr:cNvPr id="19" name="TextBox 18">
          <a:extLst>
            <a:ext uri="{FF2B5EF4-FFF2-40B4-BE49-F238E27FC236}">
              <a16:creationId xmlns:a16="http://schemas.microsoft.com/office/drawing/2014/main" id="{E8D19B3B-AEEC-42E6-9B2F-1DC324ECD948}"/>
            </a:ext>
          </a:extLst>
        </xdr:cNvPr>
        <xdr:cNvSpPr txBox="1"/>
      </xdr:nvSpPr>
      <xdr:spPr>
        <a:xfrm>
          <a:off x="2678504" y="1706561"/>
          <a:ext cx="1257302" cy="438548"/>
        </a:xfrm>
        <a:prstGeom prst="rect">
          <a:avLst/>
        </a:prstGeom>
        <a:solidFill>
          <a:srgbClr val="00B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3143BFB-67E5-4A9F-84E2-370E9CD61060}" type="TxLink">
            <a:rPr lang="en-US" sz="2400" b="0" i="0" u="none" strike="noStrike">
              <a:solidFill>
                <a:schemeClr val="tx1"/>
              </a:solidFill>
              <a:latin typeface="Calibri"/>
              <a:ea typeface="Calibri"/>
              <a:cs typeface="Calibri"/>
            </a:rPr>
            <a:pPr/>
            <a:t>1600.00</a:t>
          </a:fld>
          <a:endParaRPr lang="en-IN" sz="2400">
            <a:solidFill>
              <a:schemeClr val="tx1"/>
            </a:solidFill>
          </a:endParaRPr>
        </a:p>
      </xdr:txBody>
    </xdr:sp>
    <xdr:clientData/>
  </xdr:twoCellAnchor>
  <xdr:twoCellAnchor>
    <xdr:from>
      <xdr:col>5</xdr:col>
      <xdr:colOff>416915</xdr:colOff>
      <xdr:row>9</xdr:row>
      <xdr:rowOff>48815</xdr:rowOff>
    </xdr:from>
    <xdr:to>
      <xdr:col>6</xdr:col>
      <xdr:colOff>335953</xdr:colOff>
      <xdr:row>11</xdr:row>
      <xdr:rowOff>29765</xdr:rowOff>
    </xdr:to>
    <xdr:sp macro="" textlink="'[1]pivot table'!B191">
      <xdr:nvSpPr>
        <xdr:cNvPr id="20" name="TextBox 19">
          <a:extLst>
            <a:ext uri="{FF2B5EF4-FFF2-40B4-BE49-F238E27FC236}">
              <a16:creationId xmlns:a16="http://schemas.microsoft.com/office/drawing/2014/main" id="{212A9793-82AF-4A1A-9D53-C185DB8086B6}"/>
            </a:ext>
          </a:extLst>
        </xdr:cNvPr>
        <xdr:cNvSpPr txBox="1"/>
      </xdr:nvSpPr>
      <xdr:spPr>
        <a:xfrm>
          <a:off x="6929830" y="1763315"/>
          <a:ext cx="1057276" cy="361950"/>
        </a:xfrm>
        <a:prstGeom prst="rect">
          <a:avLst/>
        </a:prstGeom>
        <a:solidFill>
          <a:srgbClr val="00B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2D943AE-E904-4596-A3AD-D93BD3B5E4BC}" type="TxLink">
            <a:rPr lang="en-US" sz="2400" b="0" i="0" u="none" strike="noStrike">
              <a:solidFill>
                <a:srgbClr val="000000"/>
              </a:solidFill>
              <a:latin typeface="Calibri"/>
              <a:ea typeface="Calibri"/>
              <a:cs typeface="Calibri"/>
            </a:rPr>
            <a:pPr/>
            <a:t>738.00</a:t>
          </a:fld>
          <a:endParaRPr lang="en-IN" sz="2400"/>
        </a:p>
      </xdr:txBody>
    </xdr:sp>
    <xdr:clientData/>
  </xdr:twoCellAnchor>
  <xdr:twoCellAnchor>
    <xdr:from>
      <xdr:col>8</xdr:col>
      <xdr:colOff>516730</xdr:colOff>
      <xdr:row>8</xdr:row>
      <xdr:rowOff>156765</xdr:rowOff>
    </xdr:from>
    <xdr:to>
      <xdr:col>9</xdr:col>
      <xdr:colOff>411954</xdr:colOff>
      <xdr:row>11</xdr:row>
      <xdr:rowOff>34924</xdr:rowOff>
    </xdr:to>
    <xdr:sp macro="" textlink="'[1]pivot table'!B190">
      <xdr:nvSpPr>
        <xdr:cNvPr id="21" name="TextBox 20">
          <a:extLst>
            <a:ext uri="{FF2B5EF4-FFF2-40B4-BE49-F238E27FC236}">
              <a16:creationId xmlns:a16="http://schemas.microsoft.com/office/drawing/2014/main" id="{2957EC26-A0BC-449C-A271-AD8AD747322C}"/>
            </a:ext>
          </a:extLst>
        </xdr:cNvPr>
        <xdr:cNvSpPr txBox="1"/>
      </xdr:nvSpPr>
      <xdr:spPr>
        <a:xfrm>
          <a:off x="10787060" y="1680765"/>
          <a:ext cx="1009648" cy="449659"/>
        </a:xfrm>
        <a:prstGeom prst="rect">
          <a:avLst/>
        </a:prstGeom>
        <a:solidFill>
          <a:srgbClr val="00B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08AE77E-F782-4E18-883A-A0223D3713E7}" type="TxLink">
            <a:rPr lang="en-US" sz="2400" b="0" i="0" u="none" strike="noStrike">
              <a:solidFill>
                <a:srgbClr val="000000"/>
              </a:solidFill>
              <a:latin typeface="Calibri"/>
              <a:ea typeface="Calibri"/>
              <a:cs typeface="Calibri"/>
            </a:rPr>
            <a:pPr/>
            <a:t>748.00</a:t>
          </a:fld>
          <a:endParaRPr lang="en-IN" sz="2400"/>
        </a:p>
      </xdr:txBody>
    </xdr:sp>
    <xdr:clientData/>
  </xdr:twoCellAnchor>
  <xdr:twoCellAnchor>
    <xdr:from>
      <xdr:col>12</xdr:col>
      <xdr:colOff>196253</xdr:colOff>
      <xdr:row>8</xdr:row>
      <xdr:rowOff>103187</xdr:rowOff>
    </xdr:from>
    <xdr:to>
      <xdr:col>13</xdr:col>
      <xdr:colOff>91478</xdr:colOff>
      <xdr:row>11</xdr:row>
      <xdr:rowOff>55562</xdr:rowOff>
    </xdr:to>
    <xdr:sp macro="" textlink="'[1]pivot table'!B193">
      <xdr:nvSpPr>
        <xdr:cNvPr id="22" name="TextBox 21">
          <a:extLst>
            <a:ext uri="{FF2B5EF4-FFF2-40B4-BE49-F238E27FC236}">
              <a16:creationId xmlns:a16="http://schemas.microsoft.com/office/drawing/2014/main" id="{39B7FA7B-8344-49FC-98BF-096E42B1E0FA}"/>
            </a:ext>
          </a:extLst>
        </xdr:cNvPr>
        <xdr:cNvSpPr txBox="1"/>
      </xdr:nvSpPr>
      <xdr:spPr>
        <a:xfrm>
          <a:off x="15022906" y="1627187"/>
          <a:ext cx="1009650" cy="523875"/>
        </a:xfrm>
        <a:prstGeom prst="rect">
          <a:avLst/>
        </a:prstGeom>
        <a:solidFill>
          <a:srgbClr val="00B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E0A60B8-8B74-4933-AC76-F12D78DF3E11}" type="TxLink">
            <a:rPr lang="en-US" sz="2400" b="0" i="0" u="none" strike="noStrike">
              <a:solidFill>
                <a:srgbClr val="000000"/>
              </a:solidFill>
              <a:latin typeface="Calibri"/>
              <a:ea typeface="Calibri"/>
              <a:cs typeface="Calibri"/>
            </a:rPr>
            <a:pPr/>
            <a:t>47.00</a:t>
          </a:fld>
          <a:endParaRPr lang="en-IN" sz="24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AMNAF097\Downloads\Logistics_MiniProject_Cleaning_Analysis_Dataset%20Que%201.xlsx" TargetMode="External"/><Relationship Id="rId1" Type="http://schemas.openxmlformats.org/officeDocument/2006/relationships/externalLinkPath" Target="Logistics_MiniProject_Cleaning_Analysis_Dataset%20Que%201.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Book2"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usiness Problem"/>
      <sheetName val="Data Dictionary"/>
      <sheetName val="HubMaster"/>
      <sheetName val="RawShipmentData"/>
      <sheetName val="Sheet1"/>
      <sheetName val="CleanData_Workspace (2)"/>
      <sheetName val="CleanData_Workspace"/>
      <sheetName val="pivot table (2)"/>
      <sheetName val="pivot table"/>
      <sheetName val="logistics dashboard (2)"/>
      <sheetName val="logistics dashboard"/>
      <sheetName val="REPORT (2)"/>
      <sheetName val="REPORT"/>
      <sheetName val="Questions"/>
    </sheetNames>
    <sheetDataSet>
      <sheetData sheetId="0"/>
      <sheetData sheetId="1"/>
      <sheetData sheetId="2">
        <row r="2">
          <cell r="A2" t="str">
            <v>Delhi</v>
          </cell>
          <cell r="B2" t="str">
            <v>North</v>
          </cell>
        </row>
        <row r="3">
          <cell r="A3" t="str">
            <v>Mumbai</v>
          </cell>
          <cell r="B3" t="str">
            <v>West</v>
          </cell>
        </row>
        <row r="4">
          <cell r="A4" t="str">
            <v>Bengaluru</v>
          </cell>
          <cell r="B4" t="str">
            <v>South</v>
          </cell>
        </row>
        <row r="5">
          <cell r="A5" t="str">
            <v>Chennai</v>
          </cell>
          <cell r="B5" t="str">
            <v>South</v>
          </cell>
        </row>
        <row r="6">
          <cell r="A6" t="str">
            <v>Kolkata</v>
          </cell>
          <cell r="B6" t="str">
            <v>East</v>
          </cell>
        </row>
        <row r="7">
          <cell r="A7" t="str">
            <v>Hyderabad</v>
          </cell>
          <cell r="B7" t="str">
            <v>West</v>
          </cell>
        </row>
      </sheetData>
      <sheetData sheetId="3">
        <row r="2">
          <cell r="A2" t="str">
            <v>SHP-100249</v>
          </cell>
          <cell r="B2" t="str">
            <v xml:space="preserve"> 22/01/2024 </v>
          </cell>
          <cell r="C2" t="str">
            <v>BENGALURU</v>
          </cell>
          <cell r="D2" t="str">
            <v>dtdc</v>
          </cell>
          <cell r="E2" t="str">
            <v>air</v>
          </cell>
          <cell r="F2" t="str">
            <v>electronics</v>
          </cell>
          <cell r="G2" t="str">
            <v xml:space="preserve"> WEST </v>
          </cell>
          <cell r="I2" t="str">
            <v>7.4KG</v>
          </cell>
          <cell r="J2" t="str">
            <v>₹495</v>
          </cell>
          <cell r="K2">
            <v>4</v>
          </cell>
          <cell r="L2" t="str">
            <v>25/01/2024</v>
          </cell>
          <cell r="M2" t="str">
            <v>Delivered</v>
          </cell>
          <cell r="N2">
            <v>4</v>
          </cell>
          <cell r="O2" t="str">
            <v xml:space="preserve">yes </v>
          </cell>
        </row>
        <row r="3">
          <cell r="A3" t="str">
            <v>SHP-101054</v>
          </cell>
          <cell r="B3" t="str">
            <v xml:space="preserve"> 10/06/2024 </v>
          </cell>
          <cell r="C3" t="str">
            <v>hyderabad</v>
          </cell>
          <cell r="D3" t="str">
            <v>BlueDart</v>
          </cell>
          <cell r="E3" t="str">
            <v>SURFACE</v>
          </cell>
          <cell r="F3" t="str">
            <v>grocery &amp; fmcg</v>
          </cell>
          <cell r="G3" t="str">
            <v xml:space="preserve">north </v>
          </cell>
          <cell r="I3" t="str">
            <v>2.2KG</v>
          </cell>
          <cell r="J3" t="str">
            <v xml:space="preserve">Rs 200 </v>
          </cell>
          <cell r="K3">
            <v>6</v>
          </cell>
          <cell r="L3" t="str">
            <v>2024-06-16</v>
          </cell>
          <cell r="M3" t="str">
            <v>delivered</v>
          </cell>
          <cell r="N3">
            <v>5</v>
          </cell>
          <cell r="O3" t="str">
            <v xml:space="preserve"> No</v>
          </cell>
        </row>
        <row r="4">
          <cell r="A4" t="str">
            <v>SHP-100119</v>
          </cell>
          <cell r="B4" t="str">
            <v>23-May-2024</v>
          </cell>
          <cell r="C4" t="str">
            <v xml:space="preserve">delhi </v>
          </cell>
          <cell r="D4" t="str">
            <v>Delhivery</v>
          </cell>
          <cell r="E4" t="str">
            <v>Air</v>
          </cell>
          <cell r="F4" t="str">
            <v>Automotive  Parts</v>
          </cell>
          <cell r="G4" t="str">
            <v>EAST</v>
          </cell>
          <cell r="I4" t="str">
            <v xml:space="preserve">5.7 Kg </v>
          </cell>
          <cell r="J4" t="str">
            <v xml:space="preserve">Rs 444 </v>
          </cell>
          <cell r="K4">
            <v>4</v>
          </cell>
          <cell r="L4" t="str">
            <v>05-Jun-2024</v>
          </cell>
          <cell r="M4" t="str">
            <v>damaged</v>
          </cell>
          <cell r="O4" t="str">
            <v>N</v>
          </cell>
        </row>
        <row r="5">
          <cell r="A5" t="str">
            <v>SHP-100704</v>
          </cell>
          <cell r="B5" t="str">
            <v>13/01/2024</v>
          </cell>
          <cell r="C5" t="str">
            <v xml:space="preserve">hyderabad </v>
          </cell>
          <cell r="D5" t="str">
            <v>Blue Dart</v>
          </cell>
          <cell r="E5" t="str">
            <v>ROAD</v>
          </cell>
          <cell r="F5" t="str">
            <v xml:space="preserve">apparel </v>
          </cell>
          <cell r="G5" t="str">
            <v>NORTH</v>
          </cell>
          <cell r="I5" t="str">
            <v>0.6kg</v>
          </cell>
          <cell r="J5" t="str">
            <v>₹165</v>
          </cell>
          <cell r="K5">
            <v>8</v>
          </cell>
          <cell r="L5" t="str">
            <v>22-Jan-2024</v>
          </cell>
          <cell r="M5" t="str">
            <v>DELAYED</v>
          </cell>
          <cell r="N5">
            <v>3</v>
          </cell>
          <cell r="O5" t="str">
            <v>N</v>
          </cell>
        </row>
        <row r="6">
          <cell r="A6" t="str">
            <v>SHP-101136</v>
          </cell>
          <cell r="B6" t="str">
            <v>16-Apr-2024</v>
          </cell>
          <cell r="C6" t="str">
            <v>hyderabad</v>
          </cell>
          <cell r="D6" t="str">
            <v>Ecom  Express</v>
          </cell>
          <cell r="E6" t="str">
            <v>road</v>
          </cell>
          <cell r="F6" t="str">
            <v xml:space="preserve">electronics </v>
          </cell>
          <cell r="G6" t="str">
            <v>NORTH</v>
          </cell>
          <cell r="I6" t="str">
            <v>8.2KG</v>
          </cell>
          <cell r="J6" t="str">
            <v>282</v>
          </cell>
          <cell r="K6">
            <v>8</v>
          </cell>
          <cell r="L6" t="str">
            <v>25/04/2024</v>
          </cell>
          <cell r="M6" t="str">
            <v>Delayed</v>
          </cell>
          <cell r="N6">
            <v>1</v>
          </cell>
          <cell r="O6" t="str">
            <v>no</v>
          </cell>
        </row>
        <row r="7">
          <cell r="A7" t="str">
            <v>SHP-101187</v>
          </cell>
          <cell r="B7" t="str">
            <v>24/03/2024</v>
          </cell>
          <cell r="C7" t="str">
            <v xml:space="preserve"> CHENNAI </v>
          </cell>
          <cell r="D7" t="str">
            <v>XpressBees</v>
          </cell>
          <cell r="E7" t="str">
            <v xml:space="preserve"> SURFACE </v>
          </cell>
          <cell r="F7" t="str">
            <v>Pharma</v>
          </cell>
          <cell r="G7" t="str">
            <v>SOUTH</v>
          </cell>
          <cell r="I7" t="str">
            <v>1.4kg</v>
          </cell>
          <cell r="J7" t="str">
            <v xml:space="preserve">Rs 80 </v>
          </cell>
          <cell r="K7">
            <v>4</v>
          </cell>
          <cell r="L7" t="str">
            <v xml:space="preserve"> 28/03/2024 </v>
          </cell>
          <cell r="M7" t="str">
            <v xml:space="preserve"> Delivered</v>
          </cell>
          <cell r="N7">
            <v>5</v>
          </cell>
          <cell r="O7" t="str">
            <v xml:space="preserve">yes </v>
          </cell>
        </row>
        <row r="8">
          <cell r="A8" t="str">
            <v>SHP-101200</v>
          </cell>
          <cell r="B8" t="str">
            <v>14-Mar-2024</v>
          </cell>
          <cell r="C8" t="str">
            <v xml:space="preserve">kolkata </v>
          </cell>
          <cell r="D8" t="str">
            <v>Delhivery</v>
          </cell>
          <cell r="E8" t="str">
            <v>ROAD</v>
          </cell>
          <cell r="F8" t="str">
            <v>PHARMA</v>
          </cell>
          <cell r="G8" t="str">
            <v>west</v>
          </cell>
          <cell r="I8" t="str">
            <v xml:space="preserve">0.8 Kg </v>
          </cell>
          <cell r="J8" t="str">
            <v xml:space="preserve">Rs 216 </v>
          </cell>
          <cell r="K8">
            <v>8</v>
          </cell>
          <cell r="L8" t="str">
            <v>23-Mar-2024</v>
          </cell>
          <cell r="M8" t="str">
            <v xml:space="preserve"> Delayed</v>
          </cell>
          <cell r="N8">
            <v>3</v>
          </cell>
          <cell r="O8" t="str">
            <v xml:space="preserve"> No</v>
          </cell>
        </row>
        <row r="9">
          <cell r="A9" t="str">
            <v>SHP-100807</v>
          </cell>
          <cell r="B9" t="str">
            <v>25/01/2024</v>
          </cell>
          <cell r="C9" t="str">
            <v xml:space="preserve"> HYDERABAD </v>
          </cell>
          <cell r="D9" t="str">
            <v>Ecom Express</v>
          </cell>
          <cell r="E9" t="str">
            <v xml:space="preserve"> ROAD </v>
          </cell>
          <cell r="F9" t="str">
            <v xml:space="preserve"> PHARMA </v>
          </cell>
          <cell r="G9" t="str">
            <v>NORTH</v>
          </cell>
          <cell r="I9" t="str">
            <v xml:space="preserve">3.6 Kg </v>
          </cell>
          <cell r="J9" t="str">
            <v>₹181</v>
          </cell>
          <cell r="K9">
            <v>8</v>
          </cell>
          <cell r="L9" t="str">
            <v xml:space="preserve"> 02/02/2024 </v>
          </cell>
          <cell r="M9" t="str">
            <v>Delivered</v>
          </cell>
          <cell r="N9">
            <v>5</v>
          </cell>
          <cell r="O9" t="str">
            <v>Y</v>
          </cell>
        </row>
        <row r="10">
          <cell r="A10" t="str">
            <v>SHP-100405</v>
          </cell>
          <cell r="B10" t="str">
            <v>2024-02-05</v>
          </cell>
          <cell r="C10" t="str">
            <v>hyderabad</v>
          </cell>
          <cell r="D10" t="str">
            <v>ECOM EXPRESS</v>
          </cell>
          <cell r="E10" t="str">
            <v>surface</v>
          </cell>
          <cell r="F10" t="str">
            <v>AUTOMOTIVE PARTS</v>
          </cell>
          <cell r="G10" t="str">
            <v>West</v>
          </cell>
          <cell r="I10" t="str">
            <v>20.0kg</v>
          </cell>
          <cell r="J10" t="str">
            <v xml:space="preserve">Rs 477 </v>
          </cell>
          <cell r="K10">
            <v>4</v>
          </cell>
          <cell r="L10" t="str">
            <v xml:space="preserve"> 14/02/2024 </v>
          </cell>
          <cell r="M10" t="str">
            <v>DELAYED</v>
          </cell>
          <cell r="N10">
            <v>5</v>
          </cell>
          <cell r="O10" t="str">
            <v>No</v>
          </cell>
        </row>
        <row r="11">
          <cell r="A11" t="str">
            <v>SHP-100758</v>
          </cell>
          <cell r="B11" t="str">
            <v>11/06/2024</v>
          </cell>
          <cell r="C11" t="str">
            <v>Bengaluru</v>
          </cell>
          <cell r="D11" t="str">
            <v>xpressbees</v>
          </cell>
          <cell r="E11" t="str">
            <v xml:space="preserve">road </v>
          </cell>
          <cell r="F11" t="str">
            <v xml:space="preserve">  APPAREL </v>
          </cell>
          <cell r="G11" t="str">
            <v>south</v>
          </cell>
          <cell r="I11" t="str">
            <v xml:space="preserve">2.8 Kg </v>
          </cell>
          <cell r="J11" t="str">
            <v xml:space="preserve">Rs 80 </v>
          </cell>
          <cell r="K11">
            <v>6</v>
          </cell>
          <cell r="L11" t="str">
            <v>22/06/2024</v>
          </cell>
          <cell r="M11" t="str">
            <v xml:space="preserve">delayed </v>
          </cell>
          <cell r="N11">
            <v>3</v>
          </cell>
          <cell r="O11" t="str">
            <v>N</v>
          </cell>
        </row>
        <row r="12">
          <cell r="A12" t="str">
            <v>SHP-100042</v>
          </cell>
          <cell r="B12" t="str">
            <v>20/06/2024</v>
          </cell>
          <cell r="C12" t="str">
            <v>MUMBAI</v>
          </cell>
          <cell r="D12" t="str">
            <v>delhivery</v>
          </cell>
          <cell r="E12" t="str">
            <v>SURFACE</v>
          </cell>
          <cell r="F12" t="str">
            <v>FURNITURE</v>
          </cell>
          <cell r="G12" t="str">
            <v>West</v>
          </cell>
          <cell r="I12" t="str">
            <v xml:space="preserve">24.5 Kg </v>
          </cell>
          <cell r="J12" t="str">
            <v xml:space="preserve">Rs 512 </v>
          </cell>
          <cell r="K12">
            <v>4</v>
          </cell>
          <cell r="L12" t="str">
            <v>02/07/2024</v>
          </cell>
          <cell r="M12" t="str">
            <v xml:space="preserve">delayed </v>
          </cell>
          <cell r="N12">
            <v>3</v>
          </cell>
          <cell r="O12" t="str">
            <v xml:space="preserve">yes </v>
          </cell>
        </row>
        <row r="13">
          <cell r="A13" t="str">
            <v>SHP-101596</v>
          </cell>
          <cell r="B13" t="str">
            <v>05-Feb-2024</v>
          </cell>
          <cell r="C13" t="str">
            <v>mumbai</v>
          </cell>
          <cell r="D13" t="str">
            <v>DTDC</v>
          </cell>
          <cell r="E13" t="str">
            <v>road</v>
          </cell>
          <cell r="F13" t="str">
            <v>GROCERY &amp; FMCG</v>
          </cell>
          <cell r="G13" t="str">
            <v>NORTH</v>
          </cell>
          <cell r="I13" t="str">
            <v>8.2kg</v>
          </cell>
          <cell r="J13" t="str">
            <v xml:space="preserve">Rs 301 </v>
          </cell>
          <cell r="K13">
            <v>8</v>
          </cell>
          <cell r="L13" t="str">
            <v>13-Feb-2024</v>
          </cell>
          <cell r="M13" t="str">
            <v>DELIVERED</v>
          </cell>
          <cell r="N13">
            <v>5</v>
          </cell>
          <cell r="O13" t="str">
            <v>Yes</v>
          </cell>
        </row>
        <row r="14">
          <cell r="A14" t="str">
            <v>SHP-101460</v>
          </cell>
          <cell r="B14" t="str">
            <v>03-Feb-2024</v>
          </cell>
          <cell r="C14" t="str">
            <v xml:space="preserve">mumbai </v>
          </cell>
          <cell r="D14" t="str">
            <v xml:space="preserve"> XPRESSBEES</v>
          </cell>
          <cell r="E14" t="str">
            <v xml:space="preserve"> AIR </v>
          </cell>
          <cell r="F14" t="str">
            <v xml:space="preserve"> PHARMA </v>
          </cell>
          <cell r="G14" t="str">
            <v xml:space="preserve">north </v>
          </cell>
          <cell r="I14" t="str">
            <v>4.0kg</v>
          </cell>
          <cell r="J14" t="str">
            <v xml:space="preserve">Rs 387 </v>
          </cell>
          <cell r="K14">
            <v>4</v>
          </cell>
          <cell r="L14" t="str">
            <v>06-Feb-2024</v>
          </cell>
          <cell r="M14" t="str">
            <v>Delivered</v>
          </cell>
          <cell r="N14">
            <v>5</v>
          </cell>
          <cell r="O14" t="str">
            <v xml:space="preserve">yes </v>
          </cell>
        </row>
        <row r="15">
          <cell r="A15" t="str">
            <v>SHP-100719</v>
          </cell>
          <cell r="B15" t="str">
            <v>05/06/2024</v>
          </cell>
          <cell r="C15" t="str">
            <v>hyderabad</v>
          </cell>
          <cell r="D15" t="str">
            <v xml:space="preserve"> DTDC</v>
          </cell>
          <cell r="E15" t="str">
            <v>ROAD</v>
          </cell>
          <cell r="F15" t="str">
            <v>furniture</v>
          </cell>
          <cell r="G15" t="str">
            <v>South</v>
          </cell>
          <cell r="I15" t="str">
            <v>23.9kg</v>
          </cell>
          <cell r="J15" t="str">
            <v>₹538</v>
          </cell>
          <cell r="K15">
            <v>8</v>
          </cell>
          <cell r="L15" t="str">
            <v>18/06/2024</v>
          </cell>
          <cell r="M15" t="str">
            <v xml:space="preserve">delayed </v>
          </cell>
          <cell r="N15">
            <v>1</v>
          </cell>
          <cell r="O15" t="str">
            <v>no</v>
          </cell>
        </row>
        <row r="16">
          <cell r="A16" t="str">
            <v>SHP-101543</v>
          </cell>
          <cell r="B16" t="str">
            <v xml:space="preserve"> 02/01/2024 </v>
          </cell>
          <cell r="C16" t="str">
            <v xml:space="preserve"> CHENNAI </v>
          </cell>
          <cell r="D16" t="str">
            <v>xpressbees</v>
          </cell>
          <cell r="E16" t="str">
            <v xml:space="preserve"> SURFACE </v>
          </cell>
          <cell r="F16" t="str">
            <v xml:space="preserve"> AUTOMOTIVE PARTS </v>
          </cell>
          <cell r="G16" t="str">
            <v xml:space="preserve"> WEST </v>
          </cell>
          <cell r="I16" t="str">
            <v xml:space="preserve">8.9 Kg </v>
          </cell>
          <cell r="J16" t="str">
            <v>₹335</v>
          </cell>
          <cell r="K16">
            <v>6</v>
          </cell>
          <cell r="L16" t="str">
            <v xml:space="preserve"> 07/01/2024 </v>
          </cell>
          <cell r="M16" t="str">
            <v>DELIVERED</v>
          </cell>
          <cell r="N16">
            <v>4</v>
          </cell>
          <cell r="O16" t="str">
            <v>Yes</v>
          </cell>
        </row>
        <row r="17">
          <cell r="A17" t="str">
            <v>SHP-101265</v>
          </cell>
          <cell r="B17" t="str">
            <v>2024-02-21</v>
          </cell>
          <cell r="C17" t="str">
            <v xml:space="preserve">bengaluru </v>
          </cell>
          <cell r="D17" t="str">
            <v>DTDC</v>
          </cell>
          <cell r="E17" t="str">
            <v>AIR</v>
          </cell>
          <cell r="F17" t="str">
            <v xml:space="preserve">  ELECTRONICS </v>
          </cell>
          <cell r="G17" t="str">
            <v>North</v>
          </cell>
          <cell r="I17" t="str">
            <v>8.1kg</v>
          </cell>
          <cell r="J17" t="str">
            <v>₹524</v>
          </cell>
          <cell r="K17">
            <v>4</v>
          </cell>
          <cell r="L17" t="str">
            <v>25-Feb-2024</v>
          </cell>
          <cell r="M17" t="str">
            <v>delivered</v>
          </cell>
          <cell r="N17">
            <v>5</v>
          </cell>
          <cell r="O17" t="str">
            <v>Yes</v>
          </cell>
        </row>
        <row r="18">
          <cell r="A18" t="str">
            <v>SHP-100040</v>
          </cell>
          <cell r="B18" t="str">
            <v xml:space="preserve"> 02/05/2024 </v>
          </cell>
          <cell r="C18" t="str">
            <v>DELHI</v>
          </cell>
          <cell r="D18" t="str">
            <v>Blue Dart</v>
          </cell>
          <cell r="E18" t="str">
            <v>ROAD</v>
          </cell>
          <cell r="F18" t="str">
            <v>Pharma</v>
          </cell>
          <cell r="G18" t="str">
            <v>west</v>
          </cell>
          <cell r="I18" t="str">
            <v>3.8KG</v>
          </cell>
          <cell r="J18" t="str">
            <v>₹225</v>
          </cell>
          <cell r="K18">
            <v>8</v>
          </cell>
          <cell r="L18" t="str">
            <v>2024-05-09</v>
          </cell>
          <cell r="M18" t="str">
            <v>delivered</v>
          </cell>
          <cell r="N18">
            <v>4</v>
          </cell>
          <cell r="O18" t="str">
            <v>no</v>
          </cell>
        </row>
        <row r="19">
          <cell r="A19" t="str">
            <v>SHP-101367</v>
          </cell>
          <cell r="B19" t="str">
            <v>2024-06-04</v>
          </cell>
          <cell r="C19" t="str">
            <v>Hyderabad</v>
          </cell>
          <cell r="D19" t="str">
            <v>Ecom Express</v>
          </cell>
          <cell r="E19" t="str">
            <v>air</v>
          </cell>
          <cell r="F19" t="str">
            <v xml:space="preserve">apparel </v>
          </cell>
          <cell r="G19" t="str">
            <v xml:space="preserve">west </v>
          </cell>
          <cell r="I19" t="str">
            <v>4.6kg</v>
          </cell>
          <cell r="J19" t="str">
            <v xml:space="preserve">Rs 237 </v>
          </cell>
          <cell r="K19">
            <v>2</v>
          </cell>
          <cell r="L19" t="str">
            <v>2024-06-06</v>
          </cell>
          <cell r="M19" t="str">
            <v>delivered</v>
          </cell>
          <cell r="N19">
            <v>5</v>
          </cell>
          <cell r="O19" t="str">
            <v xml:space="preserve">yes </v>
          </cell>
        </row>
        <row r="20">
          <cell r="A20" t="str">
            <v>SHP-101061</v>
          </cell>
          <cell r="B20" t="str">
            <v>02-Jun-2024</v>
          </cell>
          <cell r="C20" t="str">
            <v xml:space="preserve">delhi </v>
          </cell>
          <cell r="D20" t="str">
            <v>XpressBees</v>
          </cell>
          <cell r="E20" t="str">
            <v>ROAD</v>
          </cell>
          <cell r="F20" t="str">
            <v>Apparel</v>
          </cell>
          <cell r="G20" t="str">
            <v>WEST</v>
          </cell>
          <cell r="I20" t="str">
            <v>3.7KG</v>
          </cell>
          <cell r="J20" t="str">
            <v>203</v>
          </cell>
          <cell r="K20">
            <v>8</v>
          </cell>
          <cell r="L20" t="str">
            <v>10-Jun-2024</v>
          </cell>
          <cell r="M20" t="str">
            <v xml:space="preserve"> Delivered</v>
          </cell>
          <cell r="N20">
            <v>5</v>
          </cell>
          <cell r="O20" t="str">
            <v>No</v>
          </cell>
        </row>
        <row r="21">
          <cell r="A21" t="str">
            <v>SHP-101426</v>
          </cell>
          <cell r="B21" t="str">
            <v xml:space="preserve"> 11/01/2024 </v>
          </cell>
          <cell r="C21" t="str">
            <v>Chennai</v>
          </cell>
          <cell r="D21" t="str">
            <v>ecom express</v>
          </cell>
          <cell r="E21" t="str">
            <v xml:space="preserve"> SURFACE </v>
          </cell>
          <cell r="F21" t="str">
            <v>ELECTRONICS</v>
          </cell>
          <cell r="G21" t="str">
            <v>WEST</v>
          </cell>
          <cell r="I21" t="str">
            <v xml:space="preserve">11.0 Kg </v>
          </cell>
          <cell r="J21" t="str">
            <v xml:space="preserve">Rs 375 </v>
          </cell>
          <cell r="K21">
            <v>6</v>
          </cell>
          <cell r="L21" t="str">
            <v>2024-01-18</v>
          </cell>
          <cell r="M21" t="str">
            <v xml:space="preserve">delayed </v>
          </cell>
          <cell r="N21">
            <v>3</v>
          </cell>
          <cell r="O21" t="str">
            <v>N</v>
          </cell>
        </row>
        <row r="22">
          <cell r="A22" t="str">
            <v>SHP-100215</v>
          </cell>
          <cell r="B22" t="str">
            <v>2024-05-13</v>
          </cell>
          <cell r="C22" t="str">
            <v xml:space="preserve">hyderabad </v>
          </cell>
          <cell r="D22" t="str">
            <v>XpressBees</v>
          </cell>
          <cell r="E22" t="str">
            <v>AIR</v>
          </cell>
          <cell r="F22" t="str">
            <v>apparel</v>
          </cell>
          <cell r="G22" t="str">
            <v xml:space="preserve"> WEST </v>
          </cell>
          <cell r="I22" t="str">
            <v>1.8KG</v>
          </cell>
          <cell r="J22" t="str">
            <v xml:space="preserve">Rs 80 </v>
          </cell>
          <cell r="K22">
            <v>2</v>
          </cell>
          <cell r="L22" t="str">
            <v>15/05/2024</v>
          </cell>
          <cell r="M22" t="str">
            <v>DELIVERED</v>
          </cell>
          <cell r="N22">
            <v>4</v>
          </cell>
          <cell r="O22" t="str">
            <v xml:space="preserve"> No</v>
          </cell>
        </row>
        <row r="23">
          <cell r="A23" t="str">
            <v>SHP-100452</v>
          </cell>
          <cell r="B23" t="str">
            <v xml:space="preserve"> 22/01/2024 </v>
          </cell>
          <cell r="C23" t="str">
            <v xml:space="preserve"> MUMBAI </v>
          </cell>
          <cell r="D23" t="str">
            <v>delhivery</v>
          </cell>
          <cell r="E23" t="str">
            <v xml:space="preserve"> SURFACE </v>
          </cell>
          <cell r="F23" t="str">
            <v>pharma</v>
          </cell>
          <cell r="G23" t="str">
            <v>west</v>
          </cell>
          <cell r="I23" t="str">
            <v>1.1</v>
          </cell>
          <cell r="J23" t="str">
            <v xml:space="preserve">Rs 80 </v>
          </cell>
          <cell r="K23">
            <v>4</v>
          </cell>
          <cell r="L23" t="str">
            <v>27/01/2024</v>
          </cell>
          <cell r="M23" t="str">
            <v>DELAYED</v>
          </cell>
          <cell r="N23">
            <v>3</v>
          </cell>
          <cell r="O23" t="str">
            <v>YES</v>
          </cell>
        </row>
        <row r="24">
          <cell r="A24" t="str">
            <v>SHP-100481</v>
          </cell>
          <cell r="B24" t="str">
            <v>07/01/2024</v>
          </cell>
          <cell r="D24" t="str">
            <v>ECOM EXPRESS</v>
          </cell>
          <cell r="E24" t="str">
            <v xml:space="preserve"> SURFACE </v>
          </cell>
          <cell r="F24" t="str">
            <v>apparel</v>
          </cell>
          <cell r="G24" t="str">
            <v>West</v>
          </cell>
          <cell r="I24" t="str">
            <v>4.8</v>
          </cell>
          <cell r="J24" t="str">
            <v>149</v>
          </cell>
          <cell r="K24">
            <v>4</v>
          </cell>
          <cell r="L24" t="str">
            <v>11/01/2024</v>
          </cell>
          <cell r="M24" t="str">
            <v xml:space="preserve"> Delivered</v>
          </cell>
          <cell r="N24">
            <v>5</v>
          </cell>
          <cell r="O24" t="str">
            <v>Yes</v>
          </cell>
        </row>
        <row r="25">
          <cell r="A25" t="str">
            <v>SHP-100835</v>
          </cell>
          <cell r="B25" t="str">
            <v>19/02/2024</v>
          </cell>
          <cell r="C25" t="str">
            <v>Bengaluru</v>
          </cell>
          <cell r="D25" t="str">
            <v>Delhivery</v>
          </cell>
          <cell r="E25" t="str">
            <v>AIR</v>
          </cell>
          <cell r="G25" t="str">
            <v>East</v>
          </cell>
          <cell r="I25" t="str">
            <v>8.3kg</v>
          </cell>
          <cell r="J25" t="str">
            <v>552</v>
          </cell>
          <cell r="K25">
            <v>4</v>
          </cell>
          <cell r="L25" t="str">
            <v>29-Feb-2024</v>
          </cell>
          <cell r="M25" t="str">
            <v>Delayed</v>
          </cell>
          <cell r="N25">
            <v>3</v>
          </cell>
          <cell r="O25" t="str">
            <v>Y</v>
          </cell>
        </row>
        <row r="26">
          <cell r="A26" t="str">
            <v>SHP-100401</v>
          </cell>
          <cell r="B26" t="str">
            <v>2024-03-19</v>
          </cell>
          <cell r="C26" t="str">
            <v xml:space="preserve">chennai </v>
          </cell>
          <cell r="D26" t="str">
            <v>ecom express</v>
          </cell>
          <cell r="E26" t="str">
            <v>road</v>
          </cell>
          <cell r="F26" t="str">
            <v xml:space="preserve">furniture </v>
          </cell>
          <cell r="G26" t="str">
            <v xml:space="preserve">east </v>
          </cell>
          <cell r="I26" t="str">
            <v>15.3KG</v>
          </cell>
          <cell r="J26" t="str">
            <v>₹379</v>
          </cell>
          <cell r="K26">
            <v>8</v>
          </cell>
          <cell r="L26" t="str">
            <v xml:space="preserve"> 28/03/2024 </v>
          </cell>
          <cell r="M26" t="str">
            <v xml:space="preserve"> Delayed</v>
          </cell>
          <cell r="N26">
            <v>2</v>
          </cell>
          <cell r="O26" t="str">
            <v>N</v>
          </cell>
        </row>
        <row r="27">
          <cell r="A27" t="str">
            <v>SHP-101553</v>
          </cell>
          <cell r="B27" t="str">
            <v>28/02/2024</v>
          </cell>
          <cell r="C27" t="str">
            <v>HYDERABAD</v>
          </cell>
          <cell r="D27" t="str">
            <v>DTDC</v>
          </cell>
          <cell r="E27" t="str">
            <v xml:space="preserve">road </v>
          </cell>
          <cell r="F27" t="str">
            <v xml:space="preserve"> PHARMA </v>
          </cell>
          <cell r="G27" t="str">
            <v xml:space="preserve">east </v>
          </cell>
          <cell r="I27" t="str">
            <v>4.8kg</v>
          </cell>
          <cell r="J27" t="str">
            <v>203</v>
          </cell>
          <cell r="K27">
            <v>8</v>
          </cell>
          <cell r="L27" t="str">
            <v xml:space="preserve"> 08/03/2024 </v>
          </cell>
          <cell r="M27" t="str">
            <v xml:space="preserve">delayed </v>
          </cell>
          <cell r="N27">
            <v>2</v>
          </cell>
          <cell r="O27" t="str">
            <v>Y</v>
          </cell>
        </row>
        <row r="28">
          <cell r="A28" t="str">
            <v>SHP-101597</v>
          </cell>
          <cell r="B28" t="str">
            <v>03-Apr-2024</v>
          </cell>
          <cell r="C28" t="str">
            <v xml:space="preserve"> HYDERABAD </v>
          </cell>
          <cell r="D28" t="str">
            <v xml:space="preserve">BLUEDART </v>
          </cell>
          <cell r="E28" t="str">
            <v xml:space="preserve">road </v>
          </cell>
          <cell r="F28" t="str">
            <v>automotive parts</v>
          </cell>
          <cell r="G28" t="str">
            <v>NORTH</v>
          </cell>
          <cell r="I28" t="str">
            <v>17.1</v>
          </cell>
          <cell r="J28" t="str">
            <v>372</v>
          </cell>
          <cell r="K28">
            <v>8</v>
          </cell>
          <cell r="L28" t="str">
            <v xml:space="preserve"> 10/04/2024 </v>
          </cell>
          <cell r="M28" t="str">
            <v xml:space="preserve"> Delivered</v>
          </cell>
          <cell r="N28">
            <v>4</v>
          </cell>
          <cell r="O28" t="str">
            <v>N</v>
          </cell>
        </row>
        <row r="29">
          <cell r="A29" t="str">
            <v>SHP-101375</v>
          </cell>
          <cell r="B29" t="str">
            <v>01-Feb-2024</v>
          </cell>
          <cell r="C29" t="str">
            <v xml:space="preserve">kolkata </v>
          </cell>
          <cell r="D29" t="str">
            <v>DTDC</v>
          </cell>
          <cell r="E29" t="str">
            <v xml:space="preserve">road </v>
          </cell>
          <cell r="F29" t="str">
            <v xml:space="preserve"> ELECTRONICS </v>
          </cell>
          <cell r="G29" t="str">
            <v>EAST</v>
          </cell>
          <cell r="I29" t="str">
            <v xml:space="preserve">11.9 Kg </v>
          </cell>
          <cell r="J29" t="str">
            <v>₹211</v>
          </cell>
          <cell r="K29">
            <v>6</v>
          </cell>
          <cell r="L29" t="str">
            <v>07/02/2024</v>
          </cell>
          <cell r="M29" t="str">
            <v xml:space="preserve"> Delivered</v>
          </cell>
          <cell r="N29">
            <v>2</v>
          </cell>
          <cell r="O29" t="str">
            <v xml:space="preserve"> No</v>
          </cell>
        </row>
        <row r="30">
          <cell r="A30" t="str">
            <v>SHP-101496</v>
          </cell>
          <cell r="B30" t="str">
            <v>26/02/2024</v>
          </cell>
          <cell r="C30" t="str">
            <v>Kolkata</v>
          </cell>
          <cell r="D30" t="str">
            <v>Ecom  Express</v>
          </cell>
          <cell r="E30" t="str">
            <v xml:space="preserve">air </v>
          </cell>
          <cell r="F30" t="str">
            <v xml:space="preserve"> APPAREL </v>
          </cell>
          <cell r="G30" t="str">
            <v>South</v>
          </cell>
          <cell r="I30" t="str">
            <v>5.6</v>
          </cell>
          <cell r="J30" t="str">
            <v>₹433</v>
          </cell>
          <cell r="K30">
            <v>4</v>
          </cell>
          <cell r="L30" t="str">
            <v>01-Mar-2024</v>
          </cell>
          <cell r="M30" t="str">
            <v>delivered</v>
          </cell>
          <cell r="N30">
            <v>5</v>
          </cell>
          <cell r="O30" t="str">
            <v>Y</v>
          </cell>
        </row>
        <row r="31">
          <cell r="A31" t="str">
            <v>SHP-100996</v>
          </cell>
          <cell r="B31" t="str">
            <v xml:space="preserve"> 04/02/2024 </v>
          </cell>
          <cell r="C31" t="str">
            <v>mumbai</v>
          </cell>
          <cell r="D31" t="str">
            <v>DELHIVERY</v>
          </cell>
          <cell r="E31" t="str">
            <v>AIR</v>
          </cell>
          <cell r="F31" t="str">
            <v xml:space="preserve"> APPAREL </v>
          </cell>
          <cell r="G31" t="str">
            <v xml:space="preserve"> NORTH </v>
          </cell>
          <cell r="I31" t="str">
            <v>1.4kg</v>
          </cell>
          <cell r="J31" t="str">
            <v xml:space="preserve">Rs 230 </v>
          </cell>
          <cell r="K31">
            <v>4</v>
          </cell>
          <cell r="L31" t="str">
            <v xml:space="preserve"> 09/02/2024 </v>
          </cell>
          <cell r="M31" t="str">
            <v xml:space="preserve"> DAMAGED</v>
          </cell>
          <cell r="O31" t="str">
            <v>YES</v>
          </cell>
        </row>
        <row r="32">
          <cell r="A32" t="str">
            <v>SHP-100284</v>
          </cell>
          <cell r="B32" t="str">
            <v xml:space="preserve"> 11/04/2024 </v>
          </cell>
          <cell r="C32" t="str">
            <v>delhi</v>
          </cell>
          <cell r="D32" t="str">
            <v xml:space="preserve"> DTDC</v>
          </cell>
          <cell r="E32" t="str">
            <v xml:space="preserve"> SURFACE </v>
          </cell>
          <cell r="F32" t="str">
            <v>electronics</v>
          </cell>
          <cell r="G32" t="str">
            <v xml:space="preserve">west </v>
          </cell>
          <cell r="I32" t="str">
            <v>12.3</v>
          </cell>
          <cell r="J32" t="str">
            <v>₹436</v>
          </cell>
          <cell r="K32">
            <v>6</v>
          </cell>
          <cell r="L32" t="str">
            <v xml:space="preserve"> 21/04/2024 </v>
          </cell>
          <cell r="M32" t="str">
            <v xml:space="preserve"> Delayed</v>
          </cell>
          <cell r="N32">
            <v>4</v>
          </cell>
          <cell r="O32" t="str">
            <v>No</v>
          </cell>
        </row>
        <row r="33">
          <cell r="A33" t="str">
            <v>SHP-100268</v>
          </cell>
          <cell r="B33" t="str">
            <v>2024-06-16</v>
          </cell>
          <cell r="C33" t="str">
            <v xml:space="preserve"> HYDERABAD </v>
          </cell>
          <cell r="D33" t="str">
            <v xml:space="preserve"> DTDC</v>
          </cell>
          <cell r="E33" t="str">
            <v xml:space="preserve">surface </v>
          </cell>
          <cell r="F33" t="str">
            <v xml:space="preserve"> AUTOMOTIVE PARTS </v>
          </cell>
          <cell r="G33" t="str">
            <v>north</v>
          </cell>
          <cell r="I33" t="str">
            <v>29.9kg</v>
          </cell>
          <cell r="J33" t="str">
            <v>783</v>
          </cell>
          <cell r="K33">
            <v>6</v>
          </cell>
          <cell r="L33" t="str">
            <v>2024-06-22</v>
          </cell>
          <cell r="M33" t="str">
            <v>delivered</v>
          </cell>
          <cell r="N33">
            <v>4</v>
          </cell>
          <cell r="O33" t="str">
            <v>Y</v>
          </cell>
        </row>
        <row r="34">
          <cell r="A34" t="str">
            <v>SHP-101231</v>
          </cell>
          <cell r="B34" t="str">
            <v>06/04/2024</v>
          </cell>
          <cell r="C34" t="str">
            <v xml:space="preserve"> HYDERABAD </v>
          </cell>
          <cell r="D34" t="str">
            <v xml:space="preserve"> Delhivery</v>
          </cell>
          <cell r="E34" t="str">
            <v>road</v>
          </cell>
          <cell r="F34" t="str">
            <v xml:space="preserve">automotive parts </v>
          </cell>
          <cell r="G34" t="str">
            <v xml:space="preserve"> NORTH </v>
          </cell>
          <cell r="I34" t="str">
            <v>35.8</v>
          </cell>
          <cell r="J34" t="str">
            <v>₹695</v>
          </cell>
          <cell r="K34">
            <v>8</v>
          </cell>
          <cell r="L34" t="str">
            <v>2024-04-13</v>
          </cell>
          <cell r="M34" t="str">
            <v>delivered</v>
          </cell>
          <cell r="N34">
            <v>4</v>
          </cell>
          <cell r="O34" t="str">
            <v>no</v>
          </cell>
        </row>
        <row r="35">
          <cell r="A35" t="str">
            <v>SHP-100094</v>
          </cell>
          <cell r="B35" t="str">
            <v>2024-03-05</v>
          </cell>
          <cell r="C35" t="str">
            <v>Delhi</v>
          </cell>
          <cell r="D35" t="str">
            <v>Delhivery</v>
          </cell>
          <cell r="E35" t="str">
            <v>air</v>
          </cell>
          <cell r="F35" t="str">
            <v xml:space="preserve">  FURNITURE </v>
          </cell>
          <cell r="G35" t="str">
            <v>NORTH</v>
          </cell>
          <cell r="I35" t="str">
            <v>50.9KG</v>
          </cell>
          <cell r="J35" t="str">
            <v xml:space="preserve">Rs 2274 </v>
          </cell>
          <cell r="K35">
            <v>2</v>
          </cell>
          <cell r="L35" t="str">
            <v xml:space="preserve"> 07/03/2024 </v>
          </cell>
          <cell r="M35" t="str">
            <v>DELIVERED</v>
          </cell>
          <cell r="N35">
            <v>5</v>
          </cell>
          <cell r="O35" t="str">
            <v>Yes</v>
          </cell>
        </row>
        <row r="36">
          <cell r="A36" t="str">
            <v>SHP-101467</v>
          </cell>
          <cell r="B36" t="str">
            <v>2024-04-06</v>
          </cell>
          <cell r="C36" t="str">
            <v>kolkata</v>
          </cell>
          <cell r="D36" t="str">
            <v xml:space="preserve">Dtdc </v>
          </cell>
          <cell r="E36" t="str">
            <v>road</v>
          </cell>
          <cell r="F36" t="str">
            <v>Furniture</v>
          </cell>
          <cell r="G36" t="str">
            <v>west</v>
          </cell>
          <cell r="I36" t="str">
            <v>22.5kg</v>
          </cell>
          <cell r="J36" t="str">
            <v>439</v>
          </cell>
          <cell r="K36">
            <v>8</v>
          </cell>
          <cell r="L36" t="str">
            <v>14-Apr-2024</v>
          </cell>
          <cell r="M36" t="str">
            <v>DELIVERED</v>
          </cell>
          <cell r="N36">
            <v>3</v>
          </cell>
          <cell r="O36" t="str">
            <v>Y</v>
          </cell>
        </row>
        <row r="37">
          <cell r="A37" t="str">
            <v>SHP-101221</v>
          </cell>
          <cell r="B37" t="str">
            <v>28-Feb-2024</v>
          </cell>
          <cell r="C37" t="str">
            <v>CHENNAI</v>
          </cell>
          <cell r="D37" t="str">
            <v xml:space="preserve">BLUEDART </v>
          </cell>
          <cell r="E37" t="str">
            <v>road</v>
          </cell>
          <cell r="F37" t="str">
            <v>furniture</v>
          </cell>
          <cell r="G37" t="str">
            <v>South</v>
          </cell>
          <cell r="I37" t="str">
            <v>58.7KG</v>
          </cell>
          <cell r="J37" t="str">
            <v>860</v>
          </cell>
          <cell r="K37">
            <v>6</v>
          </cell>
          <cell r="L37" t="str">
            <v>04/03/2024</v>
          </cell>
          <cell r="M37" t="str">
            <v xml:space="preserve"> Delivered</v>
          </cell>
          <cell r="N37">
            <v>4</v>
          </cell>
          <cell r="O37" t="str">
            <v>no</v>
          </cell>
        </row>
        <row r="38">
          <cell r="A38" t="str">
            <v>SHP-100468</v>
          </cell>
          <cell r="B38" t="str">
            <v xml:space="preserve"> 21/05/2024 </v>
          </cell>
          <cell r="C38" t="str">
            <v xml:space="preserve"> MUMBAI </v>
          </cell>
          <cell r="D38" t="str">
            <v>DELHIVERY</v>
          </cell>
          <cell r="E38" t="str">
            <v>AIR</v>
          </cell>
          <cell r="F38" t="str">
            <v>FURNITURE</v>
          </cell>
          <cell r="G38" t="str">
            <v>east</v>
          </cell>
          <cell r="I38" t="str">
            <v>36.1KG</v>
          </cell>
          <cell r="J38" t="str">
            <v>1,815</v>
          </cell>
          <cell r="K38">
            <v>4</v>
          </cell>
          <cell r="L38" t="str">
            <v xml:space="preserve"> 24/05/2024 </v>
          </cell>
          <cell r="M38" t="str">
            <v xml:space="preserve"> Delivered</v>
          </cell>
          <cell r="N38">
            <v>4</v>
          </cell>
          <cell r="O38" t="str">
            <v>YES</v>
          </cell>
        </row>
        <row r="39">
          <cell r="A39" t="str">
            <v>SHP-100953</v>
          </cell>
          <cell r="B39" t="str">
            <v>2024-05-13</v>
          </cell>
          <cell r="C39" t="str">
            <v xml:space="preserve">delhi </v>
          </cell>
          <cell r="D39" t="str">
            <v>delhivery</v>
          </cell>
          <cell r="E39" t="str">
            <v xml:space="preserve">road </v>
          </cell>
          <cell r="F39" t="str">
            <v xml:space="preserve"> FURNITURE </v>
          </cell>
          <cell r="G39" t="str">
            <v>East</v>
          </cell>
          <cell r="I39" t="str">
            <v>50.6kg</v>
          </cell>
          <cell r="J39" t="str">
            <v>₹848</v>
          </cell>
          <cell r="K39">
            <v>8</v>
          </cell>
          <cell r="L39" t="str">
            <v>21-May-2024</v>
          </cell>
          <cell r="M39" t="str">
            <v xml:space="preserve"> Delivered</v>
          </cell>
          <cell r="N39">
            <v>5</v>
          </cell>
          <cell r="O39" t="str">
            <v>YES</v>
          </cell>
        </row>
        <row r="40">
          <cell r="A40" t="str">
            <v>SHP-100218</v>
          </cell>
          <cell r="B40" t="str">
            <v>2024-03-13</v>
          </cell>
          <cell r="C40" t="str">
            <v>BENGALURU</v>
          </cell>
          <cell r="D40" t="str">
            <v>Blue Dart</v>
          </cell>
          <cell r="E40" t="str">
            <v xml:space="preserve"> AIR </v>
          </cell>
          <cell r="F40" t="str">
            <v xml:space="preserve"> AUTOMOTIVE PARTS </v>
          </cell>
          <cell r="G40" t="str">
            <v xml:space="preserve"> NORTH </v>
          </cell>
          <cell r="I40" t="str">
            <v>38.3kg</v>
          </cell>
          <cell r="J40" t="str">
            <v>₹1,918</v>
          </cell>
          <cell r="K40">
            <v>4</v>
          </cell>
          <cell r="L40" t="str">
            <v>18/03/2024</v>
          </cell>
          <cell r="M40" t="str">
            <v xml:space="preserve">delayed </v>
          </cell>
          <cell r="N40">
            <v>4</v>
          </cell>
          <cell r="O40" t="str">
            <v>no</v>
          </cell>
        </row>
        <row r="41">
          <cell r="A41" t="str">
            <v>SHP-101056</v>
          </cell>
          <cell r="B41" t="str">
            <v>11/05/2024</v>
          </cell>
          <cell r="C41" t="str">
            <v>hyderabad</v>
          </cell>
          <cell r="D41" t="str">
            <v>XpressBees</v>
          </cell>
          <cell r="E41" t="str">
            <v xml:space="preserve">air </v>
          </cell>
          <cell r="F41" t="str">
            <v>Electronics</v>
          </cell>
          <cell r="G41" t="str">
            <v>east</v>
          </cell>
          <cell r="I41" t="str">
            <v xml:space="preserve">11.0 Kg </v>
          </cell>
          <cell r="J41" t="str">
            <v>634</v>
          </cell>
          <cell r="K41">
            <v>4</v>
          </cell>
          <cell r="L41" t="str">
            <v xml:space="preserve"> 14/05/2024 </v>
          </cell>
          <cell r="M41" t="str">
            <v>DELIVERED</v>
          </cell>
          <cell r="N41">
            <v>4</v>
          </cell>
          <cell r="O41" t="str">
            <v>No</v>
          </cell>
        </row>
        <row r="42">
          <cell r="A42" t="str">
            <v>SHP-101308</v>
          </cell>
          <cell r="B42" t="str">
            <v>21-Jan-2024</v>
          </cell>
          <cell r="C42" t="str">
            <v>DELHI</v>
          </cell>
          <cell r="D42" t="str">
            <v>BlueDart</v>
          </cell>
          <cell r="E42" t="str">
            <v xml:space="preserve">road </v>
          </cell>
          <cell r="F42" t="str">
            <v xml:space="preserve">electronics </v>
          </cell>
          <cell r="G42" t="str">
            <v xml:space="preserve"> SOUTH </v>
          </cell>
          <cell r="I42" t="str">
            <v>14.1</v>
          </cell>
          <cell r="J42" t="str">
            <v xml:space="preserve">Rs 360 </v>
          </cell>
          <cell r="K42">
            <v>8</v>
          </cell>
          <cell r="L42" t="str">
            <v>30/01/2024</v>
          </cell>
          <cell r="M42" t="str">
            <v xml:space="preserve">delayed </v>
          </cell>
          <cell r="N42">
            <v>2</v>
          </cell>
          <cell r="O42" t="str">
            <v>N</v>
          </cell>
        </row>
        <row r="43">
          <cell r="A43" t="str">
            <v>SHP-101014</v>
          </cell>
          <cell r="B43" t="str">
            <v>2024-05-10</v>
          </cell>
          <cell r="C43" t="str">
            <v xml:space="preserve"> KOLKATA </v>
          </cell>
          <cell r="D43" t="str">
            <v xml:space="preserve"> Delhivery</v>
          </cell>
          <cell r="E43" t="str">
            <v xml:space="preserve">air </v>
          </cell>
          <cell r="F43" t="str">
            <v xml:space="preserve">furniture </v>
          </cell>
          <cell r="G43" t="str">
            <v>east</v>
          </cell>
          <cell r="I43" t="str">
            <v>40.9KG</v>
          </cell>
          <cell r="J43" t="str">
            <v>1,837</v>
          </cell>
          <cell r="K43">
            <v>2</v>
          </cell>
          <cell r="L43" t="str">
            <v>12/05/2024</v>
          </cell>
          <cell r="M43" t="str">
            <v>delivered</v>
          </cell>
          <cell r="N43">
            <v>4</v>
          </cell>
          <cell r="O43" t="str">
            <v>N</v>
          </cell>
        </row>
        <row r="44">
          <cell r="A44" t="str">
            <v>SHP-100356</v>
          </cell>
          <cell r="B44" t="str">
            <v>2024-01-08</v>
          </cell>
          <cell r="C44" t="str">
            <v xml:space="preserve">kolkata </v>
          </cell>
          <cell r="D44" t="str">
            <v>delhivery</v>
          </cell>
          <cell r="E44" t="str">
            <v>road</v>
          </cell>
          <cell r="F44" t="str">
            <v>pharma</v>
          </cell>
          <cell r="G44" t="str">
            <v>SOUTH</v>
          </cell>
          <cell r="I44" t="str">
            <v>2.1KG</v>
          </cell>
          <cell r="J44" t="str">
            <v>160</v>
          </cell>
          <cell r="K44">
            <v>8</v>
          </cell>
          <cell r="L44" t="str">
            <v xml:space="preserve"> 15/01/2024 </v>
          </cell>
          <cell r="M44" t="str">
            <v>delivered</v>
          </cell>
          <cell r="N44">
            <v>5</v>
          </cell>
          <cell r="O44" t="str">
            <v>Y</v>
          </cell>
        </row>
        <row r="45">
          <cell r="A45" t="str">
            <v>SHP-100838</v>
          </cell>
          <cell r="B45" t="str">
            <v>2024-03-06</v>
          </cell>
          <cell r="C45" t="str">
            <v>hyderabad</v>
          </cell>
          <cell r="D45" t="str">
            <v>XpressBees</v>
          </cell>
          <cell r="E45" t="str">
            <v>Air</v>
          </cell>
          <cell r="F45" t="str">
            <v xml:space="preserve">electronics </v>
          </cell>
          <cell r="G45" t="str">
            <v xml:space="preserve">south </v>
          </cell>
          <cell r="I45" t="str">
            <v>11.1</v>
          </cell>
          <cell r="J45" t="str">
            <v>678</v>
          </cell>
          <cell r="K45">
            <v>4</v>
          </cell>
          <cell r="L45" t="str">
            <v xml:space="preserve"> 15/03/2024 </v>
          </cell>
          <cell r="M45" t="str">
            <v xml:space="preserve"> Delayed</v>
          </cell>
          <cell r="N45">
            <v>2</v>
          </cell>
          <cell r="O45" t="str">
            <v>Y</v>
          </cell>
        </row>
        <row r="46">
          <cell r="A46" t="str">
            <v>SHP-101025</v>
          </cell>
          <cell r="B46" t="str">
            <v>20-May-2024</v>
          </cell>
          <cell r="C46" t="str">
            <v>chennai</v>
          </cell>
          <cell r="D46" t="str">
            <v xml:space="preserve"> XPRESSBEES</v>
          </cell>
          <cell r="E46" t="str">
            <v>AIR</v>
          </cell>
          <cell r="F46" t="str">
            <v>Automotive Parts</v>
          </cell>
          <cell r="G46" t="str">
            <v xml:space="preserve">east </v>
          </cell>
          <cell r="I46" t="str">
            <v>30.1</v>
          </cell>
          <cell r="J46" t="str">
            <v xml:space="preserve">Rs 1545 </v>
          </cell>
          <cell r="K46">
            <v>4</v>
          </cell>
          <cell r="L46" t="str">
            <v>23-May-2024</v>
          </cell>
          <cell r="M46" t="str">
            <v>DELIVERED</v>
          </cell>
          <cell r="N46">
            <v>5</v>
          </cell>
          <cell r="O46" t="str">
            <v xml:space="preserve"> No</v>
          </cell>
        </row>
        <row r="47">
          <cell r="A47" t="str">
            <v>SHP-100402</v>
          </cell>
          <cell r="B47" t="str">
            <v>2024-06-10</v>
          </cell>
          <cell r="C47" t="str">
            <v>Delhi</v>
          </cell>
          <cell r="D47" t="str">
            <v>Delhivery</v>
          </cell>
          <cell r="E47" t="str">
            <v xml:space="preserve">road </v>
          </cell>
          <cell r="F47" t="str">
            <v xml:space="preserve">pharma </v>
          </cell>
          <cell r="G47" t="str">
            <v xml:space="preserve"> NORTH </v>
          </cell>
          <cell r="I47" t="str">
            <v>1.0KG</v>
          </cell>
          <cell r="J47" t="str">
            <v>80</v>
          </cell>
          <cell r="K47">
            <v>6</v>
          </cell>
          <cell r="L47" t="str">
            <v>2024-06-15</v>
          </cell>
          <cell r="M47" t="str">
            <v>DELIVERED</v>
          </cell>
          <cell r="N47">
            <v>5</v>
          </cell>
          <cell r="O47" t="str">
            <v>N</v>
          </cell>
        </row>
        <row r="48">
          <cell r="A48" t="str">
            <v>SHP-101165</v>
          </cell>
          <cell r="B48" t="str">
            <v>04-May-2024</v>
          </cell>
          <cell r="C48" t="str">
            <v>mumbai</v>
          </cell>
          <cell r="D48" t="str">
            <v xml:space="preserve"> DTDC</v>
          </cell>
          <cell r="E48" t="str">
            <v>SURFACE</v>
          </cell>
          <cell r="F48" t="str">
            <v xml:space="preserve">pharma </v>
          </cell>
          <cell r="G48" t="str">
            <v>North</v>
          </cell>
          <cell r="I48" t="str">
            <v>3.0</v>
          </cell>
          <cell r="J48" t="str">
            <v xml:space="preserve">Rs 247 </v>
          </cell>
          <cell r="K48">
            <v>6</v>
          </cell>
          <cell r="L48" t="str">
            <v>2024-05-09</v>
          </cell>
          <cell r="M48" t="str">
            <v>delivered</v>
          </cell>
          <cell r="N48">
            <v>4</v>
          </cell>
          <cell r="O48" t="str">
            <v xml:space="preserve">yes </v>
          </cell>
        </row>
        <row r="49">
          <cell r="A49" t="str">
            <v>SHP-101414</v>
          </cell>
          <cell r="B49" t="str">
            <v>2024-01-02</v>
          </cell>
          <cell r="C49" t="str">
            <v>BENGALURU</v>
          </cell>
          <cell r="E49" t="str">
            <v>Road</v>
          </cell>
          <cell r="F49" t="str">
            <v>electronics</v>
          </cell>
          <cell r="G49" t="str">
            <v xml:space="preserve">west </v>
          </cell>
          <cell r="I49" t="str">
            <v>10.2kg</v>
          </cell>
          <cell r="J49" t="str">
            <v>₹292</v>
          </cell>
          <cell r="K49">
            <v>8</v>
          </cell>
          <cell r="L49" t="str">
            <v>2024-01-11</v>
          </cell>
          <cell r="M49" t="str">
            <v xml:space="preserve"> Delayed</v>
          </cell>
          <cell r="N49">
            <v>3</v>
          </cell>
          <cell r="O49" t="str">
            <v>N</v>
          </cell>
        </row>
        <row r="50">
          <cell r="A50" t="str">
            <v>SHP-100659</v>
          </cell>
          <cell r="B50" t="str">
            <v>2024-06-25</v>
          </cell>
          <cell r="C50" t="str">
            <v xml:space="preserve">hyderabad </v>
          </cell>
          <cell r="D50" t="str">
            <v>BlueDart</v>
          </cell>
          <cell r="E50" t="str">
            <v>Air</v>
          </cell>
          <cell r="F50" t="str">
            <v xml:space="preserve">apparel </v>
          </cell>
          <cell r="G50" t="str">
            <v>south</v>
          </cell>
          <cell r="I50" t="str">
            <v>1.5</v>
          </cell>
          <cell r="J50" t="str">
            <v>₹234</v>
          </cell>
          <cell r="K50">
            <v>4</v>
          </cell>
          <cell r="L50" t="str">
            <v>2024-07-03</v>
          </cell>
          <cell r="M50" t="str">
            <v>DELAYED</v>
          </cell>
          <cell r="N50">
            <v>1</v>
          </cell>
          <cell r="O50" t="str">
            <v>YES</v>
          </cell>
        </row>
        <row r="51">
          <cell r="A51" t="str">
            <v>SHP-101179</v>
          </cell>
          <cell r="B51" t="str">
            <v>26/05/2024</v>
          </cell>
          <cell r="C51" t="str">
            <v xml:space="preserve"> DELHI </v>
          </cell>
          <cell r="D51" t="str">
            <v xml:space="preserve"> Delhivery</v>
          </cell>
          <cell r="E51" t="str">
            <v>AIR</v>
          </cell>
          <cell r="F51" t="str">
            <v xml:space="preserve">apparel  </v>
          </cell>
          <cell r="G51" t="str">
            <v>SOUTH</v>
          </cell>
          <cell r="I51" t="str">
            <v xml:space="preserve">5.4 Kg </v>
          </cell>
          <cell r="J51" t="str">
            <v>398</v>
          </cell>
          <cell r="K51">
            <v>4</v>
          </cell>
          <cell r="L51" t="str">
            <v xml:space="preserve"> 31/05/2024 </v>
          </cell>
          <cell r="M51" t="str">
            <v xml:space="preserve">delayed </v>
          </cell>
          <cell r="N51">
            <v>2</v>
          </cell>
          <cell r="O51" t="str">
            <v>no</v>
          </cell>
        </row>
        <row r="52">
          <cell r="A52" t="str">
            <v>SHP-100462</v>
          </cell>
          <cell r="B52" t="str">
            <v xml:space="preserve"> 26/04/2024 </v>
          </cell>
          <cell r="C52" t="str">
            <v xml:space="preserve"> KOLKATA </v>
          </cell>
          <cell r="D52" t="str">
            <v>Delhivery</v>
          </cell>
          <cell r="E52" t="str">
            <v xml:space="preserve"> AIR </v>
          </cell>
          <cell r="F52" t="str">
            <v xml:space="preserve">electronics  </v>
          </cell>
          <cell r="G52" t="str">
            <v>North</v>
          </cell>
          <cell r="I52" t="str">
            <v>9.3</v>
          </cell>
          <cell r="J52" t="str">
            <v xml:space="preserve">Rs 606 </v>
          </cell>
          <cell r="K52">
            <v>4</v>
          </cell>
          <cell r="L52" t="str">
            <v xml:space="preserve"> 30/04/2024 </v>
          </cell>
          <cell r="M52" t="str">
            <v xml:space="preserve"> Delivered</v>
          </cell>
          <cell r="N52">
            <v>3</v>
          </cell>
          <cell r="O52" t="str">
            <v>N</v>
          </cell>
        </row>
        <row r="53">
          <cell r="A53" t="str">
            <v>SHP-100557</v>
          </cell>
          <cell r="B53" t="str">
            <v>09/04/2024</v>
          </cell>
          <cell r="C53" t="str">
            <v xml:space="preserve"> CHENNAI </v>
          </cell>
          <cell r="D53" t="str">
            <v>Blue Dart</v>
          </cell>
          <cell r="E53" t="str">
            <v>Surface</v>
          </cell>
          <cell r="F53" t="str">
            <v xml:space="preserve">automotive parts </v>
          </cell>
          <cell r="G53" t="str">
            <v>north</v>
          </cell>
          <cell r="I53" t="str">
            <v>39.5kg</v>
          </cell>
          <cell r="J53" t="str">
            <v>₹1,042</v>
          </cell>
          <cell r="K53">
            <v>6</v>
          </cell>
          <cell r="L53" t="str">
            <v>2024-04-16</v>
          </cell>
          <cell r="M53" t="str">
            <v xml:space="preserve"> Delayed</v>
          </cell>
          <cell r="N53">
            <v>3</v>
          </cell>
          <cell r="O53" t="str">
            <v>no</v>
          </cell>
        </row>
        <row r="54">
          <cell r="A54" t="str">
            <v>SHP-101587</v>
          </cell>
          <cell r="B54" t="str">
            <v xml:space="preserve"> 01/04/2024 </v>
          </cell>
          <cell r="C54" t="str">
            <v>KOLKATA</v>
          </cell>
          <cell r="D54" t="str">
            <v>xpressbees</v>
          </cell>
          <cell r="E54" t="str">
            <v xml:space="preserve"> AIR </v>
          </cell>
          <cell r="G54" t="str">
            <v xml:space="preserve"> EAST </v>
          </cell>
          <cell r="I54" t="str">
            <v>5.9</v>
          </cell>
          <cell r="J54" t="str">
            <v>296</v>
          </cell>
          <cell r="K54">
            <v>2</v>
          </cell>
          <cell r="L54" t="str">
            <v>09/04/2024</v>
          </cell>
          <cell r="M54" t="str">
            <v>DELAYED</v>
          </cell>
          <cell r="N54">
            <v>2</v>
          </cell>
          <cell r="O54" t="str">
            <v>YES</v>
          </cell>
        </row>
        <row r="55">
          <cell r="A55" t="str">
            <v>SHP-100133</v>
          </cell>
          <cell r="B55" t="str">
            <v>03-Jan-2024</v>
          </cell>
          <cell r="C55" t="str">
            <v>Delhi</v>
          </cell>
          <cell r="D55" t="str">
            <v>BlueDart</v>
          </cell>
          <cell r="E55" t="str">
            <v xml:space="preserve">air </v>
          </cell>
          <cell r="F55" t="str">
            <v xml:space="preserve"> AUTOMOTIVE PARTS </v>
          </cell>
          <cell r="G55" t="str">
            <v>SOUTH</v>
          </cell>
          <cell r="I55" t="str">
            <v xml:space="preserve">8.3 Kg </v>
          </cell>
          <cell r="J55" t="str">
            <v>525</v>
          </cell>
          <cell r="K55">
            <v>4</v>
          </cell>
          <cell r="L55" t="str">
            <v>07/01/2024</v>
          </cell>
          <cell r="M55" t="str">
            <v>Delivered</v>
          </cell>
          <cell r="N55">
            <v>4</v>
          </cell>
          <cell r="O55" t="str">
            <v>No</v>
          </cell>
        </row>
        <row r="56">
          <cell r="A56" t="str">
            <v>SHP-100320</v>
          </cell>
          <cell r="B56" t="str">
            <v>01/05/2024</v>
          </cell>
          <cell r="C56" t="str">
            <v xml:space="preserve"> KOLKATA </v>
          </cell>
          <cell r="D56" t="str">
            <v>ECOM EXPRESS</v>
          </cell>
          <cell r="E56" t="str">
            <v>SURFACE</v>
          </cell>
          <cell r="F56" t="str">
            <v xml:space="preserve"> PHARMA </v>
          </cell>
          <cell r="G56" t="str">
            <v xml:space="preserve">west </v>
          </cell>
          <cell r="I56" t="str">
            <v xml:space="preserve">3.9 Kg </v>
          </cell>
          <cell r="J56" t="str">
            <v>248</v>
          </cell>
          <cell r="K56">
            <v>6</v>
          </cell>
          <cell r="L56" t="str">
            <v xml:space="preserve"> 08/05/2024 </v>
          </cell>
          <cell r="M56" t="str">
            <v>Delayed</v>
          </cell>
          <cell r="N56">
            <v>2</v>
          </cell>
          <cell r="O56" t="str">
            <v xml:space="preserve"> No</v>
          </cell>
        </row>
        <row r="57">
          <cell r="A57" t="str">
            <v>SHP-101295</v>
          </cell>
          <cell r="B57" t="str">
            <v>25/03/2024</v>
          </cell>
          <cell r="C57" t="str">
            <v>hyderabad</v>
          </cell>
          <cell r="D57" t="str">
            <v>DELHIVERY</v>
          </cell>
          <cell r="E57" t="str">
            <v>Road</v>
          </cell>
          <cell r="F57" t="str">
            <v>apparel</v>
          </cell>
          <cell r="G57" t="str">
            <v xml:space="preserve">west </v>
          </cell>
          <cell r="I57" t="str">
            <v>5.7</v>
          </cell>
          <cell r="J57" t="str">
            <v xml:space="preserve">Rs 80 </v>
          </cell>
          <cell r="K57">
            <v>6</v>
          </cell>
          <cell r="L57" t="str">
            <v>01-Apr-2024</v>
          </cell>
          <cell r="M57" t="str">
            <v>DELAYED</v>
          </cell>
          <cell r="N57">
            <v>2</v>
          </cell>
          <cell r="O57" t="str">
            <v>N</v>
          </cell>
        </row>
        <row r="58">
          <cell r="A58" t="str">
            <v>SHP-100436</v>
          </cell>
          <cell r="B58" t="str">
            <v xml:space="preserve"> 21/06/2024 </v>
          </cell>
          <cell r="C58" t="str">
            <v xml:space="preserve">hyderabad </v>
          </cell>
          <cell r="D58" t="str">
            <v xml:space="preserve"> XPRESSBEES</v>
          </cell>
          <cell r="E58" t="str">
            <v>ROAD</v>
          </cell>
          <cell r="F58" t="str">
            <v>furniture</v>
          </cell>
          <cell r="G58" t="str">
            <v xml:space="preserve"> SOUTH </v>
          </cell>
          <cell r="I58" t="str">
            <v>39.5</v>
          </cell>
          <cell r="J58" t="str">
            <v>718</v>
          </cell>
          <cell r="K58">
            <v>8</v>
          </cell>
          <cell r="L58" t="str">
            <v>2024-06-29</v>
          </cell>
          <cell r="M58" t="str">
            <v>Delivered</v>
          </cell>
          <cell r="N58">
            <v>4</v>
          </cell>
          <cell r="O58" t="str">
            <v>YES</v>
          </cell>
        </row>
        <row r="59">
          <cell r="A59" t="str">
            <v>SHP-100223</v>
          </cell>
          <cell r="B59" t="str">
            <v>13/02/2024</v>
          </cell>
          <cell r="C59" t="str">
            <v>mumbai</v>
          </cell>
          <cell r="D59" t="str">
            <v xml:space="preserve">Dtdc </v>
          </cell>
          <cell r="E59" t="str">
            <v>surface</v>
          </cell>
          <cell r="F59" t="str">
            <v xml:space="preserve"> PHARMA </v>
          </cell>
          <cell r="G59" t="str">
            <v>South</v>
          </cell>
          <cell r="I59" t="str">
            <v>5.0</v>
          </cell>
          <cell r="J59" t="str">
            <v>245</v>
          </cell>
          <cell r="K59">
            <v>6</v>
          </cell>
          <cell r="L59" t="str">
            <v>2024-02-20</v>
          </cell>
          <cell r="M59" t="str">
            <v xml:space="preserve">delayed </v>
          </cell>
          <cell r="N59">
            <v>3</v>
          </cell>
          <cell r="O59" t="str">
            <v xml:space="preserve">yes </v>
          </cell>
        </row>
        <row r="60">
          <cell r="A60" t="str">
            <v>SHP-101431</v>
          </cell>
          <cell r="B60" t="str">
            <v xml:space="preserve"> 26/02/2024 </v>
          </cell>
          <cell r="C60" t="str">
            <v xml:space="preserve">hyderabad </v>
          </cell>
          <cell r="D60" t="str">
            <v xml:space="preserve">Dtdc </v>
          </cell>
          <cell r="E60" t="str">
            <v>Road</v>
          </cell>
          <cell r="F60" t="str">
            <v>APPAREL</v>
          </cell>
          <cell r="G60" t="str">
            <v xml:space="preserve"> SOUTH </v>
          </cell>
          <cell r="I60" t="str">
            <v xml:space="preserve">5.9 Kg </v>
          </cell>
          <cell r="J60" t="str">
            <v xml:space="preserve">Rs 244 </v>
          </cell>
          <cell r="K60">
            <v>8</v>
          </cell>
          <cell r="L60" t="str">
            <v>06-Mar-2024</v>
          </cell>
          <cell r="M60" t="str">
            <v>Delayed</v>
          </cell>
          <cell r="N60">
            <v>5</v>
          </cell>
          <cell r="O60" t="str">
            <v>Y</v>
          </cell>
        </row>
        <row r="61">
          <cell r="A61" t="str">
            <v>SHP-101504</v>
          </cell>
          <cell r="B61" t="str">
            <v>2024-01-14</v>
          </cell>
          <cell r="C61" t="str">
            <v xml:space="preserve">hyderabad </v>
          </cell>
          <cell r="D61" t="str">
            <v>Ecom  Express</v>
          </cell>
          <cell r="E61" t="str">
            <v xml:space="preserve">surface </v>
          </cell>
          <cell r="F61" t="str">
            <v>Furniture</v>
          </cell>
          <cell r="G61" t="str">
            <v>SOUTH</v>
          </cell>
          <cell r="I61" t="str">
            <v>44.8kg</v>
          </cell>
          <cell r="J61" t="str">
            <v xml:space="preserve">Rs 1171 </v>
          </cell>
          <cell r="K61">
            <v>6</v>
          </cell>
          <cell r="L61" t="str">
            <v>19-Jan-2024</v>
          </cell>
          <cell r="M61" t="str">
            <v>delivered</v>
          </cell>
          <cell r="N61">
            <v>3</v>
          </cell>
          <cell r="O61" t="str">
            <v>No</v>
          </cell>
        </row>
        <row r="62">
          <cell r="A62" t="str">
            <v>SHP-101065</v>
          </cell>
          <cell r="B62" t="str">
            <v>12-Jun-2024</v>
          </cell>
          <cell r="C62" t="str">
            <v>chennai</v>
          </cell>
          <cell r="D62" t="str">
            <v>BlueDart</v>
          </cell>
          <cell r="E62" t="str">
            <v xml:space="preserve"> SURFACE </v>
          </cell>
          <cell r="F62" t="str">
            <v>pharma</v>
          </cell>
          <cell r="G62" t="str">
            <v xml:space="preserve">east </v>
          </cell>
          <cell r="I62" t="str">
            <v xml:space="preserve">2.1 Kg </v>
          </cell>
          <cell r="J62" t="str">
            <v>₹197</v>
          </cell>
          <cell r="K62">
            <v>6</v>
          </cell>
          <cell r="L62" t="str">
            <v xml:space="preserve"> 19/06/2024 </v>
          </cell>
          <cell r="M62" t="str">
            <v>DELAYED</v>
          </cell>
          <cell r="N62">
            <v>3</v>
          </cell>
          <cell r="O62" t="str">
            <v>Yes</v>
          </cell>
        </row>
        <row r="63">
          <cell r="A63" t="str">
            <v>SHP-100022</v>
          </cell>
          <cell r="B63" t="str">
            <v>17/01/2024</v>
          </cell>
          <cell r="C63" t="str">
            <v>hyderabad</v>
          </cell>
          <cell r="D63" t="str">
            <v xml:space="preserve">Dtdc </v>
          </cell>
          <cell r="E63" t="str">
            <v xml:space="preserve"> SURFACE </v>
          </cell>
          <cell r="F63" t="str">
            <v>Furniture</v>
          </cell>
          <cell r="G63" t="str">
            <v>SOUTH</v>
          </cell>
          <cell r="I63" t="str">
            <v>41.7</v>
          </cell>
          <cell r="J63" t="str">
            <v>₹1,061</v>
          </cell>
          <cell r="K63">
            <v>6</v>
          </cell>
          <cell r="L63" t="str">
            <v>31/01/2024</v>
          </cell>
          <cell r="M63" t="str">
            <v>DELAYED</v>
          </cell>
          <cell r="N63">
            <v>2</v>
          </cell>
          <cell r="O63" t="str">
            <v>No</v>
          </cell>
        </row>
        <row r="64">
          <cell r="A64" t="str">
            <v>SHP-101243</v>
          </cell>
          <cell r="B64" t="str">
            <v>09/02/2024</v>
          </cell>
          <cell r="C64" t="str">
            <v xml:space="preserve">kolkata </v>
          </cell>
          <cell r="D64" t="str">
            <v xml:space="preserve"> XPRESSBEES</v>
          </cell>
          <cell r="E64" t="str">
            <v>ROAD</v>
          </cell>
          <cell r="F64" t="str">
            <v>apparel</v>
          </cell>
          <cell r="G64" t="str">
            <v>west</v>
          </cell>
          <cell r="I64" t="str">
            <v xml:space="preserve">3.2 Kg </v>
          </cell>
          <cell r="J64" t="str">
            <v xml:space="preserve">Rs 234 </v>
          </cell>
          <cell r="K64">
            <v>8</v>
          </cell>
          <cell r="L64" t="str">
            <v>2024-02-16</v>
          </cell>
          <cell r="M64" t="str">
            <v>Delivered</v>
          </cell>
          <cell r="N64">
            <v>4</v>
          </cell>
          <cell r="O64" t="str">
            <v xml:space="preserve"> No</v>
          </cell>
        </row>
        <row r="65">
          <cell r="A65" t="str">
            <v>SHP-101401</v>
          </cell>
          <cell r="B65" t="str">
            <v>23/04/2024</v>
          </cell>
          <cell r="C65" t="str">
            <v>chennai</v>
          </cell>
          <cell r="D65" t="str">
            <v xml:space="preserve">Dtdc </v>
          </cell>
          <cell r="E65" t="str">
            <v xml:space="preserve"> AIR </v>
          </cell>
          <cell r="F65" t="str">
            <v xml:space="preserve">furniture </v>
          </cell>
          <cell r="G65" t="str">
            <v>WEST</v>
          </cell>
          <cell r="I65" t="str">
            <v>34.0kg</v>
          </cell>
          <cell r="J65" t="str">
            <v xml:space="preserve">Rs 1694 </v>
          </cell>
          <cell r="K65">
            <v>4</v>
          </cell>
          <cell r="L65" t="str">
            <v>29/04/2024</v>
          </cell>
          <cell r="M65" t="str">
            <v>DELAYED</v>
          </cell>
          <cell r="N65">
            <v>5</v>
          </cell>
          <cell r="O65" t="str">
            <v>No</v>
          </cell>
        </row>
        <row r="66">
          <cell r="A66" t="str">
            <v>SHP-101491</v>
          </cell>
          <cell r="B66" t="str">
            <v>01/06/2024</v>
          </cell>
          <cell r="C66" t="str">
            <v>MUMBAI</v>
          </cell>
          <cell r="D66" t="str">
            <v>BlueDart</v>
          </cell>
          <cell r="E66" t="str">
            <v>air</v>
          </cell>
          <cell r="F66" t="str">
            <v xml:space="preserve">apparel </v>
          </cell>
          <cell r="G66" t="str">
            <v>West</v>
          </cell>
          <cell r="I66" t="str">
            <v>1.6</v>
          </cell>
          <cell r="J66" t="str">
            <v>₹80</v>
          </cell>
          <cell r="K66">
            <v>2</v>
          </cell>
          <cell r="L66" t="str">
            <v xml:space="preserve"> 02/06/2024 </v>
          </cell>
          <cell r="M66" t="str">
            <v xml:space="preserve"> Delivered</v>
          </cell>
          <cell r="N66">
            <v>4</v>
          </cell>
          <cell r="O66" t="str">
            <v>N</v>
          </cell>
        </row>
        <row r="67">
          <cell r="A67" t="str">
            <v>SHP-100266</v>
          </cell>
          <cell r="B67" t="str">
            <v>10-Jun-2024</v>
          </cell>
          <cell r="C67" t="str">
            <v xml:space="preserve">mumbai </v>
          </cell>
          <cell r="D67" t="str">
            <v>delhivery</v>
          </cell>
          <cell r="E67" t="str">
            <v xml:space="preserve"> AIR </v>
          </cell>
          <cell r="F67" t="str">
            <v xml:space="preserve">pharma  </v>
          </cell>
          <cell r="G67" t="str">
            <v xml:space="preserve"> NORTH </v>
          </cell>
          <cell r="I67" t="str">
            <v>3.9</v>
          </cell>
          <cell r="J67" t="str">
            <v>342</v>
          </cell>
          <cell r="K67">
            <v>4</v>
          </cell>
          <cell r="L67" t="str">
            <v>13/06/2024</v>
          </cell>
          <cell r="M67" t="str">
            <v>Delivered</v>
          </cell>
          <cell r="N67">
            <v>4</v>
          </cell>
          <cell r="O67" t="str">
            <v xml:space="preserve"> No</v>
          </cell>
        </row>
        <row r="68">
          <cell r="A68" t="str">
            <v>SHP-100575</v>
          </cell>
          <cell r="B68" t="str">
            <v xml:space="preserve"> 23/06/2024 </v>
          </cell>
          <cell r="C68" t="str">
            <v>BENGALURU</v>
          </cell>
          <cell r="D68" t="str">
            <v xml:space="preserve"> Delhivery</v>
          </cell>
          <cell r="E68" t="str">
            <v xml:space="preserve"> ROAD </v>
          </cell>
          <cell r="F68" t="str">
            <v xml:space="preserve"> PHARMA </v>
          </cell>
          <cell r="G68" t="str">
            <v xml:space="preserve"> SOUTH </v>
          </cell>
          <cell r="I68" t="str">
            <v>3.5</v>
          </cell>
          <cell r="J68" t="str">
            <v xml:space="preserve">Rs 108 </v>
          </cell>
          <cell r="K68">
            <v>6</v>
          </cell>
          <cell r="L68" t="str">
            <v>29/06/2024</v>
          </cell>
          <cell r="M68" t="str">
            <v xml:space="preserve"> Delivered</v>
          </cell>
          <cell r="N68">
            <v>4</v>
          </cell>
          <cell r="O68" t="str">
            <v>no</v>
          </cell>
        </row>
        <row r="69">
          <cell r="A69" t="str">
            <v>SHP-101196</v>
          </cell>
          <cell r="B69" t="str">
            <v>28/03/2024</v>
          </cell>
          <cell r="C69" t="str">
            <v xml:space="preserve"> DELHI </v>
          </cell>
          <cell r="D69" t="str">
            <v>bluedart</v>
          </cell>
          <cell r="E69" t="str">
            <v>Air</v>
          </cell>
          <cell r="F69" t="str">
            <v xml:space="preserve"> ELECTRONICS </v>
          </cell>
          <cell r="G69" t="str">
            <v xml:space="preserve"> WEST </v>
          </cell>
          <cell r="I69" t="str">
            <v>11.4</v>
          </cell>
          <cell r="J69" t="str">
            <v>₹700</v>
          </cell>
          <cell r="K69">
            <v>4</v>
          </cell>
          <cell r="L69" t="str">
            <v>10/04/2024</v>
          </cell>
          <cell r="M69" t="str">
            <v xml:space="preserve"> Delayed</v>
          </cell>
          <cell r="N69">
            <v>2</v>
          </cell>
          <cell r="O69" t="str">
            <v xml:space="preserve"> No</v>
          </cell>
        </row>
        <row r="70">
          <cell r="A70" t="str">
            <v>SHP-100991</v>
          </cell>
          <cell r="B70" t="str">
            <v xml:space="preserve"> 19/05/2024 </v>
          </cell>
          <cell r="C70" t="str">
            <v>delhi</v>
          </cell>
          <cell r="D70" t="str">
            <v xml:space="preserve">BLUEDART </v>
          </cell>
          <cell r="E70" t="str">
            <v>surface</v>
          </cell>
          <cell r="F70" t="str">
            <v>Automotive Parts</v>
          </cell>
          <cell r="G70" t="str">
            <v>NORTH</v>
          </cell>
          <cell r="I70" t="str">
            <v>18.2KG</v>
          </cell>
          <cell r="J70" t="str">
            <v>₹420</v>
          </cell>
          <cell r="K70">
            <v>4</v>
          </cell>
          <cell r="L70" t="str">
            <v>23/05/2024</v>
          </cell>
          <cell r="M70" t="str">
            <v>Delivered</v>
          </cell>
          <cell r="N70">
            <v>5</v>
          </cell>
          <cell r="O70" t="str">
            <v>Y</v>
          </cell>
        </row>
        <row r="71">
          <cell r="A71" t="str">
            <v>SHP-100752</v>
          </cell>
          <cell r="B71" t="str">
            <v xml:space="preserve"> 11/01/2024 </v>
          </cell>
          <cell r="C71" t="str">
            <v>chennai</v>
          </cell>
          <cell r="D71" t="str">
            <v xml:space="preserve"> XPRESSBEES</v>
          </cell>
          <cell r="E71" t="str">
            <v>AIR</v>
          </cell>
          <cell r="F71" t="str">
            <v>furniture</v>
          </cell>
          <cell r="G71" t="str">
            <v>East</v>
          </cell>
          <cell r="I71" t="str">
            <v>20.6</v>
          </cell>
          <cell r="J71" t="str">
            <v>1,099</v>
          </cell>
          <cell r="K71">
            <v>4</v>
          </cell>
          <cell r="L71" t="str">
            <v>20-Jan-2024</v>
          </cell>
          <cell r="M71" t="str">
            <v>Delayed</v>
          </cell>
          <cell r="N71">
            <v>3</v>
          </cell>
          <cell r="O71" t="str">
            <v xml:space="preserve"> No</v>
          </cell>
        </row>
        <row r="72">
          <cell r="A72" t="str">
            <v>SHP-101299</v>
          </cell>
          <cell r="B72" t="str">
            <v>26/02/2024</v>
          </cell>
          <cell r="C72" t="str">
            <v>Mumbai</v>
          </cell>
          <cell r="D72" t="str">
            <v>Ecom Express</v>
          </cell>
          <cell r="E72" t="str">
            <v>ROAD</v>
          </cell>
          <cell r="F72" t="str">
            <v>PHARMA</v>
          </cell>
          <cell r="G72" t="str">
            <v xml:space="preserve">east </v>
          </cell>
          <cell r="I72" t="str">
            <v>0.9KG</v>
          </cell>
          <cell r="J72" t="str">
            <v xml:space="preserve">Rs 222 </v>
          </cell>
          <cell r="K72">
            <v>8</v>
          </cell>
          <cell r="L72" t="str">
            <v xml:space="preserve"> 05/03/2024 </v>
          </cell>
          <cell r="M72" t="str">
            <v>delivered</v>
          </cell>
          <cell r="N72">
            <v>1</v>
          </cell>
          <cell r="O72" t="str">
            <v xml:space="preserve">yes </v>
          </cell>
        </row>
        <row r="73">
          <cell r="A73" t="str">
            <v>SHP-101418</v>
          </cell>
          <cell r="B73" t="str">
            <v>01-Mar-2024</v>
          </cell>
          <cell r="C73" t="str">
            <v>Delhi</v>
          </cell>
          <cell r="E73" t="str">
            <v xml:space="preserve">surface </v>
          </cell>
          <cell r="F73" t="str">
            <v>Electronics</v>
          </cell>
          <cell r="G73" t="str">
            <v>NORTH</v>
          </cell>
          <cell r="I73" t="str">
            <v xml:space="preserve">3.0 Kg </v>
          </cell>
          <cell r="J73" t="str">
            <v>84</v>
          </cell>
          <cell r="K73">
            <v>4</v>
          </cell>
          <cell r="L73" t="str">
            <v>05/03/2024</v>
          </cell>
          <cell r="M73" t="str">
            <v>Delivered</v>
          </cell>
          <cell r="N73">
            <v>4</v>
          </cell>
          <cell r="O73" t="str">
            <v>Y</v>
          </cell>
        </row>
        <row r="74">
          <cell r="A74" t="str">
            <v>SHP-101049</v>
          </cell>
          <cell r="B74" t="str">
            <v>01-Feb-2024</v>
          </cell>
          <cell r="C74" t="str">
            <v xml:space="preserve"> BENGALURU </v>
          </cell>
          <cell r="D74" t="str">
            <v>Ecom Express</v>
          </cell>
          <cell r="E74" t="str">
            <v>AIR</v>
          </cell>
          <cell r="F74" t="str">
            <v xml:space="preserve">apparel </v>
          </cell>
          <cell r="G74" t="str">
            <v xml:space="preserve"> EAST </v>
          </cell>
          <cell r="I74" t="str">
            <v xml:space="preserve">6.9 Kg </v>
          </cell>
          <cell r="J74" t="str">
            <v xml:space="preserve">Rs 506 </v>
          </cell>
          <cell r="K74">
            <v>4</v>
          </cell>
          <cell r="L74" t="str">
            <v>2024-02-06</v>
          </cell>
          <cell r="M74" t="str">
            <v>DELAYED</v>
          </cell>
          <cell r="N74">
            <v>4</v>
          </cell>
          <cell r="O74" t="str">
            <v>no</v>
          </cell>
        </row>
        <row r="75">
          <cell r="A75" t="str">
            <v>SHP-100587</v>
          </cell>
          <cell r="B75" t="str">
            <v>17-Jun-2024</v>
          </cell>
          <cell r="C75" t="str">
            <v xml:space="preserve"> KOLKATA </v>
          </cell>
          <cell r="D75" t="str">
            <v xml:space="preserve">BLUEDART </v>
          </cell>
          <cell r="E75" t="str">
            <v>road</v>
          </cell>
          <cell r="F75" t="str">
            <v xml:space="preserve">electronics  </v>
          </cell>
          <cell r="G75" t="str">
            <v xml:space="preserve"> WEST </v>
          </cell>
          <cell r="I75" t="str">
            <v>5.5kg</v>
          </cell>
          <cell r="J75" t="str">
            <v>₹257</v>
          </cell>
          <cell r="K75">
            <v>8</v>
          </cell>
          <cell r="L75" t="str">
            <v>26-Jun-2024</v>
          </cell>
          <cell r="M75" t="str">
            <v xml:space="preserve"> Delayed</v>
          </cell>
          <cell r="N75">
            <v>4</v>
          </cell>
          <cell r="O75" t="str">
            <v>YES</v>
          </cell>
        </row>
        <row r="76">
          <cell r="A76" t="str">
            <v>SHP-101275</v>
          </cell>
          <cell r="B76" t="str">
            <v>02-Jan-2024</v>
          </cell>
          <cell r="C76" t="str">
            <v>Bengaluru</v>
          </cell>
          <cell r="D76" t="str">
            <v>dtdc</v>
          </cell>
          <cell r="E76" t="str">
            <v>Road</v>
          </cell>
          <cell r="F76" t="str">
            <v>APPAREL</v>
          </cell>
          <cell r="G76" t="str">
            <v>EAST</v>
          </cell>
          <cell r="I76" t="str">
            <v>2.0</v>
          </cell>
          <cell r="J76" t="str">
            <v>₹236</v>
          </cell>
          <cell r="K76">
            <v>8</v>
          </cell>
          <cell r="L76" t="str">
            <v>13-Jan-2024</v>
          </cell>
          <cell r="M76" t="str">
            <v>Delayed</v>
          </cell>
          <cell r="N76">
            <v>4</v>
          </cell>
          <cell r="O76" t="str">
            <v>N</v>
          </cell>
        </row>
        <row r="77">
          <cell r="A77" t="str">
            <v>SHP-101399</v>
          </cell>
          <cell r="B77" t="str">
            <v>2024-06-27</v>
          </cell>
          <cell r="C77" t="str">
            <v>DELHI</v>
          </cell>
          <cell r="D77" t="str">
            <v>ecom express</v>
          </cell>
          <cell r="E77" t="str">
            <v>SURFACE</v>
          </cell>
          <cell r="F77" t="str">
            <v>Grocery &amp; FMCG</v>
          </cell>
          <cell r="G77" t="str">
            <v>NORTH</v>
          </cell>
          <cell r="I77" t="str">
            <v>6.8</v>
          </cell>
          <cell r="J77" t="str">
            <v>₹162</v>
          </cell>
          <cell r="K77">
            <v>4</v>
          </cell>
          <cell r="L77" t="str">
            <v>30/06/2024</v>
          </cell>
          <cell r="M77" t="str">
            <v>DELIVERED</v>
          </cell>
          <cell r="N77">
            <v>3</v>
          </cell>
          <cell r="O77" t="str">
            <v>No</v>
          </cell>
        </row>
        <row r="78">
          <cell r="A78" t="str">
            <v>SHP-101081</v>
          </cell>
          <cell r="B78" t="str">
            <v>18-Apr-2024</v>
          </cell>
          <cell r="C78" t="str">
            <v xml:space="preserve"> HYDERABAD </v>
          </cell>
          <cell r="D78" t="str">
            <v>Blue Dart</v>
          </cell>
          <cell r="E78" t="str">
            <v>AIR</v>
          </cell>
          <cell r="F78" t="str">
            <v xml:space="preserve"> PHARMA </v>
          </cell>
          <cell r="G78" t="str">
            <v xml:space="preserve"> EAST </v>
          </cell>
          <cell r="I78" t="str">
            <v>3.0</v>
          </cell>
          <cell r="J78" t="str">
            <v>₹270</v>
          </cell>
          <cell r="K78">
            <v>4</v>
          </cell>
          <cell r="L78" t="str">
            <v>22/04/2024</v>
          </cell>
          <cell r="M78" t="str">
            <v>delivered</v>
          </cell>
          <cell r="N78">
            <v>4</v>
          </cell>
          <cell r="O78" t="str">
            <v>N</v>
          </cell>
        </row>
        <row r="79">
          <cell r="A79" t="str">
            <v>SHP-100227</v>
          </cell>
          <cell r="B79" t="str">
            <v xml:space="preserve"> 17/05/2024 </v>
          </cell>
          <cell r="C79" t="str">
            <v>Chennai</v>
          </cell>
          <cell r="D79" t="str">
            <v>Delhivery</v>
          </cell>
          <cell r="E79" t="str">
            <v>road</v>
          </cell>
          <cell r="F79" t="str">
            <v>Grocery  &amp; FMCG</v>
          </cell>
          <cell r="G79" t="str">
            <v>South</v>
          </cell>
          <cell r="I79" t="str">
            <v>19.9</v>
          </cell>
          <cell r="J79" t="str">
            <v>313</v>
          </cell>
          <cell r="K79">
            <v>6</v>
          </cell>
          <cell r="L79" t="str">
            <v>2024-05-22</v>
          </cell>
          <cell r="M79" t="str">
            <v>delivered</v>
          </cell>
          <cell r="N79">
            <v>3</v>
          </cell>
          <cell r="O79" t="str">
            <v>N</v>
          </cell>
        </row>
        <row r="80">
          <cell r="A80" t="str">
            <v>SHP-100016</v>
          </cell>
          <cell r="B80" t="str">
            <v>2024-03-20</v>
          </cell>
          <cell r="C80" t="str">
            <v xml:space="preserve">chennai </v>
          </cell>
          <cell r="D80" t="str">
            <v>Blue Dart</v>
          </cell>
          <cell r="E80" t="str">
            <v xml:space="preserve">surface </v>
          </cell>
          <cell r="F80" t="str">
            <v xml:space="preserve"> ELECTRONICS </v>
          </cell>
          <cell r="G80" t="str">
            <v>East</v>
          </cell>
          <cell r="I80" t="str">
            <v>7.8</v>
          </cell>
          <cell r="J80" t="str">
            <v>341</v>
          </cell>
          <cell r="K80">
            <v>6</v>
          </cell>
          <cell r="L80" t="str">
            <v>01/04/2024</v>
          </cell>
          <cell r="M80" t="str">
            <v xml:space="preserve"> Delayed</v>
          </cell>
          <cell r="N80">
            <v>5</v>
          </cell>
          <cell r="O80" t="str">
            <v>No</v>
          </cell>
        </row>
        <row r="81">
          <cell r="A81" t="str">
            <v>SHP-100949</v>
          </cell>
          <cell r="B81" t="str">
            <v xml:space="preserve"> 15/02/2024 </v>
          </cell>
          <cell r="C81" t="str">
            <v>Bengaluru</v>
          </cell>
          <cell r="D81" t="str">
            <v>bluedart</v>
          </cell>
          <cell r="E81" t="str">
            <v xml:space="preserve"> AIR </v>
          </cell>
          <cell r="F81" t="str">
            <v xml:space="preserve">electronics </v>
          </cell>
          <cell r="G81" t="str">
            <v>North</v>
          </cell>
          <cell r="I81" t="str">
            <v>14.1</v>
          </cell>
          <cell r="J81" t="str">
            <v>₹773</v>
          </cell>
          <cell r="K81">
            <v>4</v>
          </cell>
          <cell r="L81" t="str">
            <v xml:space="preserve"> 19/02/2024 </v>
          </cell>
          <cell r="M81" t="str">
            <v>delivered</v>
          </cell>
          <cell r="N81">
            <v>4</v>
          </cell>
          <cell r="O81" t="str">
            <v xml:space="preserve">yes </v>
          </cell>
        </row>
        <row r="82">
          <cell r="A82" t="str">
            <v>SHP-101287</v>
          </cell>
          <cell r="B82" t="str">
            <v>16-Mar-2024</v>
          </cell>
          <cell r="C82" t="str">
            <v xml:space="preserve">kolkata </v>
          </cell>
          <cell r="D82" t="str">
            <v xml:space="preserve"> Delhivery</v>
          </cell>
          <cell r="E82" t="str">
            <v>Road</v>
          </cell>
          <cell r="F82" t="str">
            <v xml:space="preserve"> PHARMA </v>
          </cell>
          <cell r="G82" t="str">
            <v>West</v>
          </cell>
          <cell r="I82" t="str">
            <v xml:space="preserve">2.3 Kg </v>
          </cell>
          <cell r="J82" t="str">
            <v>₹202</v>
          </cell>
          <cell r="K82">
            <v>8</v>
          </cell>
          <cell r="L82" t="str">
            <v>2024-03-26</v>
          </cell>
          <cell r="M82" t="str">
            <v xml:space="preserve">delayed </v>
          </cell>
          <cell r="N82">
            <v>1</v>
          </cell>
          <cell r="O82" t="str">
            <v>YES</v>
          </cell>
        </row>
        <row r="83">
          <cell r="A83" t="str">
            <v>SHP-101474</v>
          </cell>
          <cell r="B83" t="str">
            <v>2024-06-12</v>
          </cell>
          <cell r="C83" t="str">
            <v>Delhi</v>
          </cell>
          <cell r="D83" t="str">
            <v>DTDC</v>
          </cell>
          <cell r="E83" t="str">
            <v>AIR</v>
          </cell>
          <cell r="F83" t="str">
            <v xml:space="preserve">grocery &amp; fmcg </v>
          </cell>
          <cell r="G83" t="str">
            <v xml:space="preserve"> NORTH </v>
          </cell>
          <cell r="I83" t="str">
            <v>3.3</v>
          </cell>
          <cell r="J83" t="str">
            <v xml:space="preserve">Rs 166 </v>
          </cell>
          <cell r="K83">
            <v>2</v>
          </cell>
          <cell r="L83" t="str">
            <v xml:space="preserve"> 14/06/2024 </v>
          </cell>
          <cell r="M83" t="str">
            <v>Delivered</v>
          </cell>
          <cell r="N83">
            <v>4</v>
          </cell>
          <cell r="O83" t="str">
            <v>Yes</v>
          </cell>
        </row>
        <row r="84">
          <cell r="A84" t="str">
            <v>SHP-100532</v>
          </cell>
          <cell r="B84" t="str">
            <v>10-May-2024</v>
          </cell>
          <cell r="C84" t="str">
            <v xml:space="preserve">hyderabad </v>
          </cell>
          <cell r="D84" t="str">
            <v xml:space="preserve"> DTDC</v>
          </cell>
          <cell r="E84" t="str">
            <v xml:space="preserve"> AIR </v>
          </cell>
          <cell r="F84" t="str">
            <v>Furniture</v>
          </cell>
          <cell r="G84" t="str">
            <v xml:space="preserve"> WEST </v>
          </cell>
          <cell r="I84" t="str">
            <v>51.1KG</v>
          </cell>
          <cell r="J84" t="str">
            <v>₹2,322</v>
          </cell>
          <cell r="K84">
            <v>2</v>
          </cell>
          <cell r="L84" t="str">
            <v>11/05/2024</v>
          </cell>
          <cell r="M84" t="str">
            <v>DELIVERED</v>
          </cell>
          <cell r="N84">
            <v>3</v>
          </cell>
          <cell r="O84" t="str">
            <v>YES</v>
          </cell>
        </row>
        <row r="85">
          <cell r="A85" t="str">
            <v>SHP-100387</v>
          </cell>
          <cell r="B85" t="str">
            <v>06/04/2024</v>
          </cell>
          <cell r="C85" t="str">
            <v xml:space="preserve"> KOLKATA </v>
          </cell>
          <cell r="D85" t="str">
            <v>ECOM EXPRESS</v>
          </cell>
          <cell r="E85" t="str">
            <v>Road</v>
          </cell>
          <cell r="F85" t="str">
            <v xml:space="preserve"> AUTOMOTIVE PARTS </v>
          </cell>
          <cell r="G85" t="str">
            <v>NORTH</v>
          </cell>
          <cell r="I85" t="str">
            <v xml:space="preserve">19.8 Kg </v>
          </cell>
          <cell r="J85" t="str">
            <v>₹397</v>
          </cell>
          <cell r="K85">
            <v>8</v>
          </cell>
          <cell r="L85" t="str">
            <v xml:space="preserve"> 13/04/2024 </v>
          </cell>
          <cell r="M85" t="str">
            <v>returned</v>
          </cell>
          <cell r="O85" t="str">
            <v>No</v>
          </cell>
        </row>
        <row r="86">
          <cell r="A86" t="str">
            <v>SHP-100112</v>
          </cell>
          <cell r="B86" t="str">
            <v>21-Jun-2024</v>
          </cell>
          <cell r="C86" t="str">
            <v xml:space="preserve">chennai </v>
          </cell>
          <cell r="D86" t="str">
            <v>BlueDart</v>
          </cell>
          <cell r="E86" t="str">
            <v>SURFACE</v>
          </cell>
          <cell r="F86" t="str">
            <v>Apparel</v>
          </cell>
          <cell r="G86" t="str">
            <v xml:space="preserve">east </v>
          </cell>
          <cell r="I86" t="str">
            <v xml:space="preserve">6.4 Kg </v>
          </cell>
          <cell r="J86" t="str">
            <v>279</v>
          </cell>
          <cell r="K86">
            <v>6</v>
          </cell>
          <cell r="L86" t="str">
            <v xml:space="preserve"> 03/07/2024 </v>
          </cell>
          <cell r="M86" t="str">
            <v>DELAYED</v>
          </cell>
          <cell r="N86">
            <v>3</v>
          </cell>
          <cell r="O86" t="str">
            <v xml:space="preserve">yes </v>
          </cell>
        </row>
        <row r="87">
          <cell r="A87" t="str">
            <v>SHP-100973</v>
          </cell>
          <cell r="B87" t="str">
            <v>09/06/2024</v>
          </cell>
          <cell r="C87" t="str">
            <v>bengaluru</v>
          </cell>
          <cell r="D87" t="str">
            <v xml:space="preserve">Dtdc </v>
          </cell>
          <cell r="E87" t="str">
            <v>AIR</v>
          </cell>
          <cell r="F87" t="str">
            <v>PHARMA</v>
          </cell>
          <cell r="G87" t="str">
            <v xml:space="preserve">north </v>
          </cell>
          <cell r="I87" t="str">
            <v xml:space="preserve">1.7 Kg </v>
          </cell>
          <cell r="J87" t="str">
            <v>₹243</v>
          </cell>
          <cell r="K87">
            <v>4</v>
          </cell>
          <cell r="L87" t="str">
            <v>2024-06-14</v>
          </cell>
          <cell r="M87" t="str">
            <v>DELAYED</v>
          </cell>
          <cell r="N87">
            <v>3</v>
          </cell>
          <cell r="O87" t="str">
            <v xml:space="preserve">yes </v>
          </cell>
        </row>
        <row r="88">
          <cell r="A88" t="str">
            <v>SHP-101207</v>
          </cell>
          <cell r="B88" t="str">
            <v>08-May-2024</v>
          </cell>
          <cell r="C88" t="str">
            <v>Hyderabad</v>
          </cell>
          <cell r="D88" t="str">
            <v>Ecom  Express</v>
          </cell>
          <cell r="E88" t="str">
            <v>road</v>
          </cell>
          <cell r="F88" t="str">
            <v>APPAREL</v>
          </cell>
          <cell r="G88" t="str">
            <v xml:space="preserve">south </v>
          </cell>
          <cell r="I88" t="str">
            <v>3.9kg</v>
          </cell>
          <cell r="J88" t="str">
            <v>₹190</v>
          </cell>
          <cell r="K88">
            <v>8</v>
          </cell>
          <cell r="L88" t="str">
            <v>17/05/2024</v>
          </cell>
          <cell r="M88" t="str">
            <v>Delayed</v>
          </cell>
          <cell r="N88">
            <v>2</v>
          </cell>
          <cell r="O88" t="str">
            <v>YES</v>
          </cell>
        </row>
        <row r="89">
          <cell r="A89" t="str">
            <v>SHP-100202</v>
          </cell>
          <cell r="B89" t="str">
            <v>08/04/2024</v>
          </cell>
          <cell r="C89" t="str">
            <v>Delhi</v>
          </cell>
          <cell r="D89" t="str">
            <v>ECOM EXPRESS</v>
          </cell>
          <cell r="E89" t="str">
            <v>SURFACE</v>
          </cell>
          <cell r="F89" t="str">
            <v>Grocery &amp; FMCG</v>
          </cell>
          <cell r="G89" t="str">
            <v>West</v>
          </cell>
          <cell r="I89" t="str">
            <v>18.5kg</v>
          </cell>
          <cell r="J89" t="str">
            <v>₹564</v>
          </cell>
          <cell r="K89">
            <v>6</v>
          </cell>
          <cell r="L89" t="str">
            <v>13/04/2024</v>
          </cell>
          <cell r="M89" t="str">
            <v xml:space="preserve"> Delivered</v>
          </cell>
          <cell r="N89">
            <v>3</v>
          </cell>
          <cell r="O89" t="str">
            <v xml:space="preserve"> No</v>
          </cell>
        </row>
        <row r="90">
          <cell r="A90" t="str">
            <v>SHP-100888</v>
          </cell>
          <cell r="B90" t="str">
            <v xml:space="preserve"> 14/06/2024 </v>
          </cell>
          <cell r="C90" t="str">
            <v xml:space="preserve">mumbai </v>
          </cell>
          <cell r="D90" t="str">
            <v>XpressBees</v>
          </cell>
          <cell r="E90" t="str">
            <v>SURFACE</v>
          </cell>
          <cell r="F90" t="str">
            <v>furniture</v>
          </cell>
          <cell r="G90" t="str">
            <v xml:space="preserve"> WEST </v>
          </cell>
          <cell r="I90" t="str">
            <v>19.3kg</v>
          </cell>
          <cell r="J90" t="str">
            <v>₹410</v>
          </cell>
          <cell r="K90">
            <v>4</v>
          </cell>
          <cell r="L90" t="str">
            <v>2024-06-19</v>
          </cell>
          <cell r="M90" t="str">
            <v xml:space="preserve"> Delayed</v>
          </cell>
          <cell r="N90">
            <v>3</v>
          </cell>
          <cell r="O90" t="str">
            <v xml:space="preserve"> No</v>
          </cell>
        </row>
        <row r="91">
          <cell r="A91" t="str">
            <v>SHP-100647</v>
          </cell>
          <cell r="B91" t="str">
            <v>08-Jan-2024</v>
          </cell>
          <cell r="C91" t="str">
            <v xml:space="preserve">kolkata </v>
          </cell>
          <cell r="D91" t="str">
            <v>Ecom Express</v>
          </cell>
          <cell r="E91" t="str">
            <v xml:space="preserve">road </v>
          </cell>
          <cell r="F91" t="str">
            <v>Apparel</v>
          </cell>
          <cell r="G91" t="str">
            <v xml:space="preserve"> EAST </v>
          </cell>
          <cell r="I91" t="str">
            <v>2.2KG</v>
          </cell>
          <cell r="J91" t="str">
            <v>₹80</v>
          </cell>
          <cell r="K91">
            <v>6</v>
          </cell>
          <cell r="L91" t="str">
            <v>2024-01-14</v>
          </cell>
          <cell r="M91" t="str">
            <v>DELIVERED</v>
          </cell>
          <cell r="N91">
            <v>5</v>
          </cell>
          <cell r="O91" t="str">
            <v>no</v>
          </cell>
        </row>
        <row r="92">
          <cell r="A92" t="str">
            <v>SHP-101026</v>
          </cell>
          <cell r="B92" t="str">
            <v xml:space="preserve"> 24/06/2024 </v>
          </cell>
          <cell r="C92" t="str">
            <v>KOLKATA</v>
          </cell>
          <cell r="D92" t="str">
            <v>BlueDart</v>
          </cell>
          <cell r="E92" t="str">
            <v>surface</v>
          </cell>
          <cell r="F92" t="str">
            <v>Apparel</v>
          </cell>
          <cell r="G92" t="str">
            <v xml:space="preserve">east </v>
          </cell>
          <cell r="I92" t="str">
            <v>4.6kg</v>
          </cell>
          <cell r="J92" t="str">
            <v>₹84</v>
          </cell>
          <cell r="K92">
            <v>4</v>
          </cell>
          <cell r="L92" t="str">
            <v>28-Jun-2024</v>
          </cell>
          <cell r="M92" t="str">
            <v xml:space="preserve"> Delivered</v>
          </cell>
          <cell r="N92">
            <v>3</v>
          </cell>
          <cell r="O92" t="str">
            <v xml:space="preserve">yes </v>
          </cell>
        </row>
        <row r="93">
          <cell r="A93" t="str">
            <v>SHP-101000</v>
          </cell>
          <cell r="B93" t="str">
            <v xml:space="preserve"> 13/03/2024 </v>
          </cell>
          <cell r="C93" t="str">
            <v>HYDERABAD</v>
          </cell>
          <cell r="D93" t="str">
            <v>delhivery</v>
          </cell>
          <cell r="E93" t="str">
            <v>ROAD</v>
          </cell>
          <cell r="F93" t="str">
            <v xml:space="preserve">furniture </v>
          </cell>
          <cell r="G93" t="str">
            <v>NORTH</v>
          </cell>
          <cell r="I93" t="str">
            <v xml:space="preserve">42.3 Kg </v>
          </cell>
          <cell r="J93" t="str">
            <v xml:space="preserve">Rs 780 </v>
          </cell>
          <cell r="K93">
            <v>8</v>
          </cell>
          <cell r="L93" t="str">
            <v>2024-03-21</v>
          </cell>
          <cell r="M93" t="str">
            <v>delivered</v>
          </cell>
          <cell r="N93">
            <v>5</v>
          </cell>
          <cell r="O93" t="str">
            <v xml:space="preserve">yes </v>
          </cell>
        </row>
        <row r="94">
          <cell r="A94" t="str">
            <v>SHP-100876</v>
          </cell>
          <cell r="B94" t="str">
            <v>10-Mar-2024</v>
          </cell>
          <cell r="C94" t="str">
            <v>kolkata</v>
          </cell>
          <cell r="D94" t="str">
            <v>Ecom  Express</v>
          </cell>
          <cell r="E94" t="str">
            <v>SURFACE</v>
          </cell>
          <cell r="F94" t="str">
            <v xml:space="preserve"> GROCERY &amp; FMCG </v>
          </cell>
          <cell r="G94" t="str">
            <v xml:space="preserve">east </v>
          </cell>
          <cell r="I94" t="str">
            <v>10.3</v>
          </cell>
          <cell r="J94" t="str">
            <v>218</v>
          </cell>
          <cell r="K94">
            <v>4</v>
          </cell>
          <cell r="L94" t="str">
            <v>14/03/2024</v>
          </cell>
          <cell r="M94" t="str">
            <v>DELIVERED</v>
          </cell>
          <cell r="N94">
            <v>5</v>
          </cell>
          <cell r="O94" t="str">
            <v>Yes</v>
          </cell>
        </row>
        <row r="95">
          <cell r="A95" t="str">
            <v>SHP-100625</v>
          </cell>
          <cell r="B95" t="str">
            <v>10-May-2024</v>
          </cell>
          <cell r="C95" t="str">
            <v>mumbai</v>
          </cell>
          <cell r="D95" t="str">
            <v>DTDC</v>
          </cell>
          <cell r="E95" t="str">
            <v>Road</v>
          </cell>
          <cell r="F95" t="str">
            <v>PHARMA</v>
          </cell>
          <cell r="G95" t="str">
            <v>east</v>
          </cell>
          <cell r="I95" t="str">
            <v>4.5</v>
          </cell>
          <cell r="J95" t="str">
            <v>266</v>
          </cell>
          <cell r="K95">
            <v>8</v>
          </cell>
          <cell r="L95" t="str">
            <v xml:space="preserve"> 19/05/2024 </v>
          </cell>
          <cell r="M95" t="str">
            <v xml:space="preserve">delayed </v>
          </cell>
          <cell r="N95">
            <v>1</v>
          </cell>
          <cell r="O95" t="str">
            <v>No</v>
          </cell>
        </row>
        <row r="96">
          <cell r="A96" t="str">
            <v>SHP-101320</v>
          </cell>
          <cell r="B96" t="str">
            <v xml:space="preserve"> 11/02/2024 </v>
          </cell>
          <cell r="C96" t="str">
            <v xml:space="preserve"> HYDERABAD </v>
          </cell>
          <cell r="D96" t="str">
            <v>Blue Dart</v>
          </cell>
          <cell r="E96" t="str">
            <v xml:space="preserve">road </v>
          </cell>
          <cell r="F96" t="str">
            <v>AUTOMOTIVE PARTS</v>
          </cell>
          <cell r="G96" t="str">
            <v>east</v>
          </cell>
          <cell r="I96" t="str">
            <v xml:space="preserve">33.1 Kg </v>
          </cell>
          <cell r="J96" t="str">
            <v>598</v>
          </cell>
          <cell r="K96">
            <v>8</v>
          </cell>
          <cell r="L96" t="str">
            <v>19/02/2024</v>
          </cell>
          <cell r="M96" t="str">
            <v>DELIVERED</v>
          </cell>
          <cell r="N96">
            <v>5</v>
          </cell>
          <cell r="O96" t="str">
            <v xml:space="preserve"> No</v>
          </cell>
        </row>
        <row r="97">
          <cell r="A97" t="str">
            <v>SHP-101156</v>
          </cell>
          <cell r="B97" t="str">
            <v>23/01/2024</v>
          </cell>
          <cell r="C97" t="str">
            <v>DELHI</v>
          </cell>
          <cell r="D97" t="str">
            <v>DTDC</v>
          </cell>
          <cell r="E97" t="str">
            <v xml:space="preserve">surface </v>
          </cell>
          <cell r="F97" t="str">
            <v xml:space="preserve">furniture </v>
          </cell>
          <cell r="G97" t="str">
            <v xml:space="preserve"> EAST </v>
          </cell>
          <cell r="I97" t="str">
            <v xml:space="preserve">76.6 Kg </v>
          </cell>
          <cell r="J97" t="str">
            <v xml:space="preserve">Rs 1820 </v>
          </cell>
          <cell r="K97">
            <v>6</v>
          </cell>
          <cell r="L97" t="str">
            <v xml:space="preserve"> 29/01/2024 </v>
          </cell>
          <cell r="M97" t="str">
            <v xml:space="preserve"> Delivered</v>
          </cell>
          <cell r="N97">
            <v>3</v>
          </cell>
          <cell r="O97" t="str">
            <v>Yes</v>
          </cell>
        </row>
        <row r="98">
          <cell r="A98" t="str">
            <v>SHP-100296</v>
          </cell>
          <cell r="B98" t="str">
            <v>25-Mar-2024</v>
          </cell>
          <cell r="C98" t="str">
            <v>mumbai</v>
          </cell>
          <cell r="D98" t="str">
            <v xml:space="preserve">BLUEDART </v>
          </cell>
          <cell r="E98" t="str">
            <v>ROAD</v>
          </cell>
          <cell r="F98" t="str">
            <v xml:space="preserve">apparel </v>
          </cell>
          <cell r="G98" t="str">
            <v>north</v>
          </cell>
          <cell r="I98" t="str">
            <v>1.8</v>
          </cell>
          <cell r="J98" t="str">
            <v>₹177</v>
          </cell>
          <cell r="K98">
            <v>8</v>
          </cell>
          <cell r="L98" t="str">
            <v>01-Apr-2024</v>
          </cell>
          <cell r="M98" t="str">
            <v xml:space="preserve"> Delivered</v>
          </cell>
          <cell r="N98">
            <v>5</v>
          </cell>
          <cell r="O98" t="str">
            <v>no</v>
          </cell>
        </row>
        <row r="99">
          <cell r="A99" t="str">
            <v>SHP-100240</v>
          </cell>
          <cell r="B99" t="str">
            <v>27-Jan-2024</v>
          </cell>
          <cell r="C99" t="str">
            <v xml:space="preserve"> KOLKATA </v>
          </cell>
          <cell r="D99" t="str">
            <v>xpressbees</v>
          </cell>
          <cell r="E99" t="str">
            <v>ROAD</v>
          </cell>
          <cell r="F99" t="str">
            <v>Electronics</v>
          </cell>
          <cell r="G99" t="str">
            <v xml:space="preserve"> NORTH </v>
          </cell>
          <cell r="I99" t="str">
            <v>7.0KG</v>
          </cell>
          <cell r="J99" t="str">
            <v>₹246</v>
          </cell>
          <cell r="K99">
            <v>8</v>
          </cell>
          <cell r="L99" t="str">
            <v>04/02/2024</v>
          </cell>
          <cell r="M99" t="str">
            <v xml:space="preserve"> Delivered</v>
          </cell>
          <cell r="N99">
            <v>4</v>
          </cell>
          <cell r="O99" t="str">
            <v>YES</v>
          </cell>
        </row>
        <row r="100">
          <cell r="A100" t="str">
            <v>SHP-100797</v>
          </cell>
          <cell r="B100" t="str">
            <v xml:space="preserve"> 18/05/2024 </v>
          </cell>
          <cell r="C100" t="str">
            <v>KOLKATA</v>
          </cell>
          <cell r="D100" t="str">
            <v>bluedart</v>
          </cell>
          <cell r="E100" t="str">
            <v>surface</v>
          </cell>
          <cell r="F100" t="str">
            <v>PHARMA</v>
          </cell>
          <cell r="G100" t="str">
            <v>east</v>
          </cell>
          <cell r="I100" t="str">
            <v xml:space="preserve">1.8 Kg </v>
          </cell>
          <cell r="J100" t="str">
            <v xml:space="preserve">Rs 86 </v>
          </cell>
          <cell r="K100">
            <v>4</v>
          </cell>
          <cell r="L100" t="str">
            <v>23-May-2024</v>
          </cell>
          <cell r="M100" t="str">
            <v>DELAYED</v>
          </cell>
          <cell r="N100">
            <v>2</v>
          </cell>
          <cell r="O100" t="str">
            <v>Yes</v>
          </cell>
        </row>
        <row r="101">
          <cell r="A101" t="str">
            <v>SHP-101385</v>
          </cell>
          <cell r="B101" t="str">
            <v xml:space="preserve"> 26/03/2024 </v>
          </cell>
          <cell r="C101" t="str">
            <v>kolkata</v>
          </cell>
          <cell r="D101" t="str">
            <v xml:space="preserve">Dtdc </v>
          </cell>
          <cell r="E101" t="str">
            <v>Air</v>
          </cell>
          <cell r="F101" t="str">
            <v>pharma</v>
          </cell>
          <cell r="G101" t="str">
            <v xml:space="preserve">east </v>
          </cell>
          <cell r="I101" t="str">
            <v xml:space="preserve">5.0 Kg </v>
          </cell>
          <cell r="J101" t="str">
            <v xml:space="preserve">Rs 254 </v>
          </cell>
          <cell r="K101">
            <v>2</v>
          </cell>
          <cell r="L101" t="str">
            <v>28-Mar-2024</v>
          </cell>
          <cell r="M101" t="str">
            <v>Delivered</v>
          </cell>
          <cell r="N101">
            <v>5</v>
          </cell>
          <cell r="O101" t="str">
            <v>N</v>
          </cell>
        </row>
        <row r="102">
          <cell r="A102" t="str">
            <v>SHP-100299</v>
          </cell>
          <cell r="B102" t="str">
            <v>02/04/2024</v>
          </cell>
          <cell r="C102" t="str">
            <v>Hyderabad</v>
          </cell>
          <cell r="D102" t="str">
            <v>Ecom  Express</v>
          </cell>
          <cell r="E102" t="str">
            <v>road</v>
          </cell>
          <cell r="F102" t="str">
            <v xml:space="preserve">pharma </v>
          </cell>
          <cell r="G102" t="str">
            <v>east</v>
          </cell>
          <cell r="I102" t="str">
            <v>0.7</v>
          </cell>
          <cell r="J102" t="str">
            <v xml:space="preserve">Rs 210 </v>
          </cell>
          <cell r="K102">
            <v>8</v>
          </cell>
          <cell r="L102" t="str">
            <v>2024-04-09</v>
          </cell>
          <cell r="M102" t="str">
            <v>delivered</v>
          </cell>
          <cell r="N102">
            <v>5</v>
          </cell>
          <cell r="O102" t="str">
            <v xml:space="preserve"> No</v>
          </cell>
        </row>
        <row r="103">
          <cell r="A103" t="str">
            <v>SHP-100126</v>
          </cell>
          <cell r="B103" t="str">
            <v xml:space="preserve"> 01/06/2024 </v>
          </cell>
          <cell r="C103" t="str">
            <v>KOLKATA</v>
          </cell>
          <cell r="D103" t="str">
            <v>DTDC</v>
          </cell>
          <cell r="E103" t="str">
            <v>Road</v>
          </cell>
          <cell r="F103" t="str">
            <v>Automotive  Parts</v>
          </cell>
          <cell r="G103" t="str">
            <v>South</v>
          </cell>
          <cell r="I103" t="str">
            <v>19.5kg</v>
          </cell>
          <cell r="J103" t="str">
            <v xml:space="preserve">Rs 472 </v>
          </cell>
          <cell r="K103">
            <v>8</v>
          </cell>
          <cell r="L103" t="str">
            <v>10/06/2024</v>
          </cell>
          <cell r="M103" t="str">
            <v>Delayed</v>
          </cell>
          <cell r="N103">
            <v>2</v>
          </cell>
          <cell r="O103" t="str">
            <v>Yes</v>
          </cell>
        </row>
        <row r="104">
          <cell r="A104" t="str">
            <v>SHP-100330</v>
          </cell>
          <cell r="B104" t="str">
            <v>21/04/2024</v>
          </cell>
          <cell r="C104" t="str">
            <v xml:space="preserve"> DELHI </v>
          </cell>
          <cell r="D104" t="str">
            <v>Ecom  Express</v>
          </cell>
          <cell r="E104" t="str">
            <v xml:space="preserve"> SURFACE </v>
          </cell>
          <cell r="F104" t="str">
            <v>Electronics</v>
          </cell>
          <cell r="G104" t="str">
            <v>north</v>
          </cell>
          <cell r="I104" t="str">
            <v>5.1KG</v>
          </cell>
          <cell r="J104" t="str">
            <v>₹139</v>
          </cell>
          <cell r="K104">
            <v>4</v>
          </cell>
          <cell r="L104" t="str">
            <v>26-Apr-2024</v>
          </cell>
          <cell r="M104" t="str">
            <v>Delayed</v>
          </cell>
          <cell r="N104">
            <v>2</v>
          </cell>
          <cell r="O104" t="str">
            <v>YES</v>
          </cell>
        </row>
        <row r="105">
          <cell r="A105" t="str">
            <v>SHP-100628</v>
          </cell>
          <cell r="B105" t="str">
            <v xml:space="preserve"> 27/05/2024 </v>
          </cell>
          <cell r="C105" t="str">
            <v xml:space="preserve"> MUMBAI </v>
          </cell>
          <cell r="D105" t="str">
            <v xml:space="preserve">BLUEDART </v>
          </cell>
          <cell r="E105" t="str">
            <v>Surface</v>
          </cell>
          <cell r="F105" t="str">
            <v xml:space="preserve"> PHARMA </v>
          </cell>
          <cell r="G105" t="str">
            <v>NORTH</v>
          </cell>
          <cell r="I105" t="str">
            <v>1.1KG</v>
          </cell>
          <cell r="J105" t="str">
            <v>₹211</v>
          </cell>
          <cell r="K105">
            <v>6</v>
          </cell>
          <cell r="L105" t="str">
            <v xml:space="preserve"> 01/06/2024 </v>
          </cell>
          <cell r="M105" t="str">
            <v>DELIVERED</v>
          </cell>
          <cell r="N105">
            <v>2</v>
          </cell>
          <cell r="O105" t="str">
            <v>Yes</v>
          </cell>
        </row>
        <row r="106">
          <cell r="A106" t="str">
            <v>SHP-100877</v>
          </cell>
          <cell r="B106" t="str">
            <v>14/05/2024</v>
          </cell>
          <cell r="C106" t="str">
            <v>delhi</v>
          </cell>
          <cell r="D106" t="str">
            <v>XpressBees</v>
          </cell>
          <cell r="E106" t="str">
            <v xml:space="preserve"> ROAD </v>
          </cell>
          <cell r="F106" t="str">
            <v>grocery &amp; fmcg</v>
          </cell>
          <cell r="G106" t="str">
            <v xml:space="preserve">south </v>
          </cell>
          <cell r="I106" t="str">
            <v>18.7kg</v>
          </cell>
          <cell r="J106" t="str">
            <v>395</v>
          </cell>
          <cell r="K106">
            <v>8</v>
          </cell>
          <cell r="L106" t="str">
            <v>2024-05-21</v>
          </cell>
          <cell r="M106" t="str">
            <v>Delivered</v>
          </cell>
          <cell r="N106">
            <v>4</v>
          </cell>
          <cell r="O106" t="str">
            <v>No</v>
          </cell>
        </row>
        <row r="107">
          <cell r="A107" t="str">
            <v>SHP-100372</v>
          </cell>
          <cell r="B107" t="str">
            <v>12/02/2024</v>
          </cell>
          <cell r="C107" t="str">
            <v>chennai</v>
          </cell>
          <cell r="D107" t="str">
            <v>DELHIVERY</v>
          </cell>
          <cell r="E107" t="str">
            <v>ROAD</v>
          </cell>
          <cell r="F107" t="str">
            <v>PHARMA</v>
          </cell>
          <cell r="G107" t="str">
            <v>West</v>
          </cell>
          <cell r="I107" t="str">
            <v>2.4</v>
          </cell>
          <cell r="J107" t="str">
            <v>₹225</v>
          </cell>
          <cell r="K107">
            <v>8</v>
          </cell>
          <cell r="L107" t="str">
            <v>2024-02-20</v>
          </cell>
          <cell r="M107" t="str">
            <v>DELIVERED</v>
          </cell>
          <cell r="N107">
            <v>4</v>
          </cell>
          <cell r="O107" t="str">
            <v>Y</v>
          </cell>
        </row>
        <row r="108">
          <cell r="A108" t="str">
            <v>SHP-100737</v>
          </cell>
          <cell r="B108" t="str">
            <v>08/02/2024</v>
          </cell>
          <cell r="C108" t="str">
            <v>Hyderabad</v>
          </cell>
          <cell r="D108" t="str">
            <v xml:space="preserve">Dtdc </v>
          </cell>
          <cell r="E108" t="str">
            <v>air</v>
          </cell>
          <cell r="F108" t="str">
            <v>apparel</v>
          </cell>
          <cell r="G108" t="str">
            <v>South</v>
          </cell>
          <cell r="I108" t="str">
            <v>1.4kg</v>
          </cell>
          <cell r="J108" t="str">
            <v>226</v>
          </cell>
          <cell r="K108">
            <v>4</v>
          </cell>
          <cell r="L108" t="str">
            <v>18/02/2024</v>
          </cell>
          <cell r="M108" t="str">
            <v>DELAYED</v>
          </cell>
          <cell r="N108">
            <v>2</v>
          </cell>
          <cell r="O108" t="str">
            <v>Y</v>
          </cell>
        </row>
        <row r="109">
          <cell r="A109" t="str">
            <v>SHP-100025</v>
          </cell>
          <cell r="B109" t="str">
            <v>2024-05-11</v>
          </cell>
          <cell r="C109" t="str">
            <v>mumbai</v>
          </cell>
          <cell r="D109" t="str">
            <v>xpressbees</v>
          </cell>
          <cell r="E109" t="str">
            <v>air</v>
          </cell>
          <cell r="F109" t="str">
            <v xml:space="preserve">pharma </v>
          </cell>
          <cell r="G109" t="str">
            <v>south</v>
          </cell>
          <cell r="I109" t="str">
            <v xml:space="preserve">1.2 Kg </v>
          </cell>
          <cell r="J109" t="str">
            <v>196</v>
          </cell>
          <cell r="K109">
            <v>4</v>
          </cell>
          <cell r="L109" t="str">
            <v>21-May-2024</v>
          </cell>
          <cell r="M109" t="str">
            <v xml:space="preserve"> Delayed</v>
          </cell>
          <cell r="N109">
            <v>1</v>
          </cell>
          <cell r="O109" t="str">
            <v>no</v>
          </cell>
        </row>
        <row r="110">
          <cell r="A110" t="str">
            <v>SHP-100046</v>
          </cell>
          <cell r="B110" t="str">
            <v>11/02/2024</v>
          </cell>
          <cell r="C110" t="str">
            <v>HYDERABAD</v>
          </cell>
          <cell r="D110" t="str">
            <v xml:space="preserve"> Delhivery</v>
          </cell>
          <cell r="E110" t="str">
            <v>surface</v>
          </cell>
          <cell r="F110" t="str">
            <v>grocery  &amp; fmcg</v>
          </cell>
          <cell r="G110" t="str">
            <v xml:space="preserve"> WEST </v>
          </cell>
          <cell r="I110" t="str">
            <v>17.7KG</v>
          </cell>
          <cell r="J110" t="str">
            <v>₹417</v>
          </cell>
          <cell r="K110">
            <v>4</v>
          </cell>
          <cell r="L110" t="str">
            <v>15-Feb-2024</v>
          </cell>
          <cell r="M110" t="str">
            <v>DELIVERED</v>
          </cell>
          <cell r="N110">
            <v>4</v>
          </cell>
          <cell r="O110" t="str">
            <v xml:space="preserve"> No</v>
          </cell>
        </row>
        <row r="111">
          <cell r="A111" t="str">
            <v>SHP-101028</v>
          </cell>
          <cell r="B111" t="str">
            <v xml:space="preserve"> 27/04/2024 </v>
          </cell>
          <cell r="C111" t="str">
            <v xml:space="preserve">chennai </v>
          </cell>
          <cell r="D111" t="str">
            <v>DTDC</v>
          </cell>
          <cell r="E111" t="str">
            <v xml:space="preserve">air </v>
          </cell>
          <cell r="F111" t="str">
            <v>grocery &amp; fmcg</v>
          </cell>
          <cell r="G111" t="str">
            <v>North</v>
          </cell>
          <cell r="I111" t="str">
            <v>17.0kg</v>
          </cell>
          <cell r="J111" t="str">
            <v>910</v>
          </cell>
          <cell r="K111">
            <v>4</v>
          </cell>
          <cell r="L111" t="str">
            <v>2024-05-03</v>
          </cell>
          <cell r="M111" t="str">
            <v>Delayed</v>
          </cell>
          <cell r="N111">
            <v>2</v>
          </cell>
          <cell r="O111" t="str">
            <v>no</v>
          </cell>
        </row>
        <row r="112">
          <cell r="A112" t="str">
            <v>SHP-100024</v>
          </cell>
          <cell r="B112" t="str">
            <v>10-Jan-2024</v>
          </cell>
          <cell r="C112" t="str">
            <v xml:space="preserve">bengaluru </v>
          </cell>
          <cell r="D112" t="str">
            <v>dtdc</v>
          </cell>
          <cell r="E112" t="str">
            <v xml:space="preserve">air </v>
          </cell>
          <cell r="F112" t="str">
            <v>APPAREL</v>
          </cell>
          <cell r="G112" t="str">
            <v xml:space="preserve"> SOUTH </v>
          </cell>
          <cell r="I112" t="str">
            <v>3.4</v>
          </cell>
          <cell r="J112" t="str">
            <v>182</v>
          </cell>
          <cell r="K112">
            <v>2</v>
          </cell>
          <cell r="L112" t="str">
            <v>2024-01-11</v>
          </cell>
          <cell r="M112" t="str">
            <v>Delivered</v>
          </cell>
          <cell r="N112">
            <v>4</v>
          </cell>
          <cell r="O112" t="str">
            <v>no</v>
          </cell>
        </row>
        <row r="113">
          <cell r="A113" t="str">
            <v>SHP-100667</v>
          </cell>
          <cell r="B113" t="str">
            <v>2024-05-11</v>
          </cell>
          <cell r="C113" t="str">
            <v>mumbai</v>
          </cell>
          <cell r="D113" t="str">
            <v>xpressbees</v>
          </cell>
          <cell r="E113" t="str">
            <v xml:space="preserve">surface </v>
          </cell>
          <cell r="F113" t="str">
            <v xml:space="preserve"> AUTOMOTIVE PARTS </v>
          </cell>
          <cell r="G113" t="str">
            <v>north</v>
          </cell>
          <cell r="I113" t="str">
            <v xml:space="preserve">19.3 Kg </v>
          </cell>
          <cell r="J113" t="str">
            <v xml:space="preserve">Rs 574 </v>
          </cell>
          <cell r="K113">
            <v>6</v>
          </cell>
          <cell r="L113" t="str">
            <v>18-May-2024</v>
          </cell>
          <cell r="M113" t="str">
            <v xml:space="preserve">delayed </v>
          </cell>
          <cell r="N113">
            <v>2</v>
          </cell>
          <cell r="O113" t="str">
            <v>Yes</v>
          </cell>
        </row>
        <row r="114">
          <cell r="A114" t="str">
            <v>SHP-100092</v>
          </cell>
          <cell r="B114" t="str">
            <v xml:space="preserve"> 23/04/2024 </v>
          </cell>
          <cell r="C114" t="str">
            <v>BENGALURU</v>
          </cell>
          <cell r="D114" t="str">
            <v>dtdc</v>
          </cell>
          <cell r="E114" t="str">
            <v xml:space="preserve"> ROAD </v>
          </cell>
          <cell r="F114" t="str">
            <v xml:space="preserve"> PHARMA </v>
          </cell>
          <cell r="G114" t="str">
            <v>WEST</v>
          </cell>
          <cell r="I114" t="str">
            <v>4.8kg</v>
          </cell>
          <cell r="J114" t="str">
            <v>191</v>
          </cell>
          <cell r="K114">
            <v>8</v>
          </cell>
          <cell r="L114" t="str">
            <v xml:space="preserve"> 02/05/2024 </v>
          </cell>
          <cell r="M114" t="str">
            <v>DELAYED</v>
          </cell>
          <cell r="N114">
            <v>5</v>
          </cell>
          <cell r="O114" t="str">
            <v xml:space="preserve"> No</v>
          </cell>
        </row>
        <row r="115">
          <cell r="A115" t="str">
            <v>SHP-100757</v>
          </cell>
          <cell r="B115" t="str">
            <v>2024-03-23</v>
          </cell>
          <cell r="C115" t="str">
            <v>kolkata</v>
          </cell>
          <cell r="D115" t="str">
            <v xml:space="preserve"> XPRESSBEES</v>
          </cell>
          <cell r="E115" t="str">
            <v xml:space="preserve"> SURFACE </v>
          </cell>
          <cell r="F115" t="str">
            <v>AUTOMOTIVE PARTS</v>
          </cell>
          <cell r="G115" t="str">
            <v>east</v>
          </cell>
          <cell r="I115" t="str">
            <v>30.9kg</v>
          </cell>
          <cell r="J115" t="str">
            <v xml:space="preserve">Rs 673 </v>
          </cell>
          <cell r="K115">
            <v>4</v>
          </cell>
          <cell r="L115" t="str">
            <v>26/03/2024</v>
          </cell>
          <cell r="M115" t="str">
            <v>damaged</v>
          </cell>
          <cell r="O115" t="str">
            <v xml:space="preserve"> No</v>
          </cell>
        </row>
        <row r="116">
          <cell r="A116" t="str">
            <v>SHP-100271</v>
          </cell>
          <cell r="B116" t="str">
            <v xml:space="preserve"> 18/01/2024 </v>
          </cell>
          <cell r="C116" t="str">
            <v>BENGALURU</v>
          </cell>
          <cell r="D116" t="str">
            <v>Delhivery</v>
          </cell>
          <cell r="E116" t="str">
            <v xml:space="preserve"> SURFACE </v>
          </cell>
          <cell r="F116" t="str">
            <v>PHARMA</v>
          </cell>
          <cell r="G116" t="str">
            <v>South</v>
          </cell>
          <cell r="I116" t="str">
            <v xml:space="preserve">4.4 Kg </v>
          </cell>
          <cell r="J116" t="str">
            <v>80</v>
          </cell>
          <cell r="K116">
            <v>4</v>
          </cell>
          <cell r="L116" t="str">
            <v xml:space="preserve"> 23/01/2024 </v>
          </cell>
          <cell r="M116" t="str">
            <v>DELAYED</v>
          </cell>
          <cell r="N116">
            <v>2</v>
          </cell>
          <cell r="O116" t="str">
            <v xml:space="preserve"> No</v>
          </cell>
        </row>
        <row r="117">
          <cell r="A117" t="str">
            <v>SHP-100681</v>
          </cell>
          <cell r="B117" t="str">
            <v>2024-03-09</v>
          </cell>
          <cell r="C117" t="str">
            <v>DELHI</v>
          </cell>
          <cell r="D117" t="str">
            <v xml:space="preserve"> XPRESSBEES</v>
          </cell>
          <cell r="E117" t="str">
            <v xml:space="preserve"> ROAD </v>
          </cell>
          <cell r="F117" t="str">
            <v xml:space="preserve"> FURNITURE </v>
          </cell>
          <cell r="G117" t="str">
            <v xml:space="preserve"> NORTH </v>
          </cell>
          <cell r="I117" t="str">
            <v xml:space="preserve">44.2 Kg </v>
          </cell>
          <cell r="J117" t="str">
            <v>₹618</v>
          </cell>
          <cell r="K117">
            <v>6</v>
          </cell>
          <cell r="L117" t="str">
            <v>16-Mar-2024</v>
          </cell>
          <cell r="M117" t="str">
            <v>DELAYED</v>
          </cell>
          <cell r="N117">
            <v>2</v>
          </cell>
          <cell r="O117" t="str">
            <v>YES</v>
          </cell>
        </row>
        <row r="118">
          <cell r="A118" t="str">
            <v>SHP-100233</v>
          </cell>
          <cell r="B118" t="str">
            <v>27/06/2024</v>
          </cell>
          <cell r="C118" t="str">
            <v xml:space="preserve">bengaluru </v>
          </cell>
          <cell r="D118" t="str">
            <v>Ecom Express</v>
          </cell>
          <cell r="E118" t="str">
            <v xml:space="preserve"> AIR </v>
          </cell>
          <cell r="F118" t="str">
            <v>furniture</v>
          </cell>
          <cell r="G118" t="str">
            <v>west</v>
          </cell>
          <cell r="I118" t="str">
            <v xml:space="preserve">26.5 Kg </v>
          </cell>
          <cell r="J118" t="str">
            <v>1,389</v>
          </cell>
          <cell r="K118">
            <v>4</v>
          </cell>
          <cell r="L118" t="str">
            <v>03-Jul-2024</v>
          </cell>
          <cell r="M118" t="str">
            <v>DELAYED</v>
          </cell>
          <cell r="N118">
            <v>4</v>
          </cell>
          <cell r="O118" t="str">
            <v>No</v>
          </cell>
        </row>
        <row r="119">
          <cell r="A119" t="str">
            <v>SHP-100668</v>
          </cell>
          <cell r="B119" t="str">
            <v xml:space="preserve"> 13/01/2024 </v>
          </cell>
          <cell r="C119" t="str">
            <v xml:space="preserve"> DELHI </v>
          </cell>
          <cell r="D119" t="str">
            <v>ecom express</v>
          </cell>
          <cell r="E119" t="str">
            <v>Road</v>
          </cell>
          <cell r="F119" t="str">
            <v xml:space="preserve">automotive parts </v>
          </cell>
          <cell r="G119" t="str">
            <v>West</v>
          </cell>
          <cell r="I119" t="str">
            <v>30.3kg</v>
          </cell>
          <cell r="J119" t="str">
            <v>614</v>
          </cell>
          <cell r="K119">
            <v>8</v>
          </cell>
          <cell r="L119" t="str">
            <v>20-Jan-2024</v>
          </cell>
          <cell r="M119" t="str">
            <v>Delivered</v>
          </cell>
          <cell r="N119">
            <v>4</v>
          </cell>
          <cell r="O119" t="str">
            <v xml:space="preserve"> No</v>
          </cell>
        </row>
        <row r="120">
          <cell r="A120" t="str">
            <v>SHP-100315</v>
          </cell>
          <cell r="B120" t="str">
            <v>2024-06-22</v>
          </cell>
          <cell r="C120" t="str">
            <v>Chennai</v>
          </cell>
          <cell r="D120" t="str">
            <v xml:space="preserve"> Delhivery</v>
          </cell>
          <cell r="E120" t="str">
            <v xml:space="preserve"> SURFACE </v>
          </cell>
          <cell r="F120" t="str">
            <v>electronics</v>
          </cell>
          <cell r="G120" t="str">
            <v>South</v>
          </cell>
          <cell r="I120" t="str">
            <v>2.0KG</v>
          </cell>
          <cell r="J120" t="str">
            <v xml:space="preserve">Rs 80 </v>
          </cell>
          <cell r="K120">
            <v>4</v>
          </cell>
          <cell r="L120" t="str">
            <v>2024-06-26</v>
          </cell>
          <cell r="M120" t="str">
            <v>delivered</v>
          </cell>
          <cell r="N120">
            <v>3</v>
          </cell>
          <cell r="O120" t="str">
            <v>no</v>
          </cell>
        </row>
        <row r="121">
          <cell r="A121" t="str">
            <v>SHP-100910</v>
          </cell>
          <cell r="B121" t="str">
            <v>2024-04-12</v>
          </cell>
          <cell r="C121" t="str">
            <v>KOLKATA</v>
          </cell>
          <cell r="D121" t="str">
            <v>XpressBees</v>
          </cell>
          <cell r="E121" t="str">
            <v>Surface</v>
          </cell>
          <cell r="F121" t="str">
            <v>FURNITURE</v>
          </cell>
          <cell r="G121" t="str">
            <v>South</v>
          </cell>
          <cell r="I121" t="str">
            <v>71.4kg</v>
          </cell>
          <cell r="J121" t="str">
            <v xml:space="preserve">Rs 1766 </v>
          </cell>
          <cell r="K121">
            <v>6</v>
          </cell>
          <cell r="L121" t="str">
            <v xml:space="preserve"> 20/04/2024 </v>
          </cell>
          <cell r="M121" t="str">
            <v xml:space="preserve"> Delayed</v>
          </cell>
          <cell r="N121">
            <v>5</v>
          </cell>
          <cell r="O121" t="str">
            <v xml:space="preserve"> No</v>
          </cell>
        </row>
        <row r="122">
          <cell r="A122" t="str">
            <v>SHP-101396</v>
          </cell>
          <cell r="B122" t="str">
            <v>23/02/2024</v>
          </cell>
          <cell r="C122" t="str">
            <v>Delhi</v>
          </cell>
          <cell r="D122" t="str">
            <v>Delhivery</v>
          </cell>
          <cell r="E122" t="str">
            <v>ROAD</v>
          </cell>
          <cell r="F122" t="str">
            <v xml:space="preserve"> PHARMA </v>
          </cell>
          <cell r="G122" t="str">
            <v>WEST</v>
          </cell>
          <cell r="I122" t="str">
            <v>3.3KG</v>
          </cell>
          <cell r="J122" t="str">
            <v>₹175</v>
          </cell>
          <cell r="K122">
            <v>8</v>
          </cell>
          <cell r="L122" t="str">
            <v xml:space="preserve"> 01/03/2024 </v>
          </cell>
          <cell r="M122" t="str">
            <v xml:space="preserve"> Delivered</v>
          </cell>
          <cell r="N122">
            <v>4</v>
          </cell>
          <cell r="O122" t="str">
            <v>N</v>
          </cell>
        </row>
        <row r="123">
          <cell r="A123" t="str">
            <v>SHP-101479</v>
          </cell>
          <cell r="B123" t="str">
            <v>24/01/2024</v>
          </cell>
          <cell r="C123" t="str">
            <v>Kolkata</v>
          </cell>
          <cell r="D123" t="str">
            <v>Ecom Express</v>
          </cell>
          <cell r="E123" t="str">
            <v>Road</v>
          </cell>
          <cell r="F123" t="str">
            <v>Apparel</v>
          </cell>
          <cell r="G123" t="str">
            <v xml:space="preserve"> EAST </v>
          </cell>
          <cell r="I123" t="str">
            <v xml:space="preserve">4.9 Kg </v>
          </cell>
          <cell r="J123" t="str">
            <v xml:space="preserve">Rs 120 </v>
          </cell>
          <cell r="K123">
            <v>6</v>
          </cell>
          <cell r="L123" t="str">
            <v xml:space="preserve"> 30/01/2024 </v>
          </cell>
          <cell r="M123" t="str">
            <v>delivered</v>
          </cell>
          <cell r="N123">
            <v>3</v>
          </cell>
          <cell r="O123" t="str">
            <v>Y</v>
          </cell>
        </row>
        <row r="124">
          <cell r="A124" t="str">
            <v>SHP-101192</v>
          </cell>
          <cell r="B124" t="str">
            <v>2024-05-26</v>
          </cell>
          <cell r="C124" t="str">
            <v xml:space="preserve"> HYDERABAD </v>
          </cell>
          <cell r="D124" t="str">
            <v>XpressBees</v>
          </cell>
          <cell r="E124" t="str">
            <v>AIR</v>
          </cell>
          <cell r="F124" t="str">
            <v>automotive parts</v>
          </cell>
          <cell r="G124" t="str">
            <v>West</v>
          </cell>
          <cell r="I124" t="str">
            <v>12.3kg</v>
          </cell>
          <cell r="J124" t="str">
            <v>₹549</v>
          </cell>
          <cell r="K124">
            <v>2</v>
          </cell>
          <cell r="L124" t="str">
            <v>2024-06-01</v>
          </cell>
          <cell r="M124" t="str">
            <v xml:space="preserve">delayed </v>
          </cell>
          <cell r="N124">
            <v>3</v>
          </cell>
          <cell r="O124" t="str">
            <v>Y</v>
          </cell>
        </row>
        <row r="125">
          <cell r="A125" t="str">
            <v>SHP-100030</v>
          </cell>
          <cell r="B125" t="str">
            <v>05-Apr-2024</v>
          </cell>
          <cell r="C125" t="str">
            <v xml:space="preserve">delhi </v>
          </cell>
          <cell r="D125" t="str">
            <v xml:space="preserve"> XPRESSBEES</v>
          </cell>
          <cell r="E125" t="str">
            <v>Road</v>
          </cell>
          <cell r="F125" t="str">
            <v xml:space="preserve">electronics </v>
          </cell>
          <cell r="G125" t="str">
            <v>EAST</v>
          </cell>
          <cell r="I125" t="str">
            <v xml:space="preserve">1.0 Kg </v>
          </cell>
          <cell r="J125" t="str">
            <v xml:space="preserve">Rs 205 </v>
          </cell>
          <cell r="K125">
            <v>8</v>
          </cell>
          <cell r="L125" t="str">
            <v xml:space="preserve"> 13/04/2024 </v>
          </cell>
          <cell r="M125" t="str">
            <v>Delivered</v>
          </cell>
          <cell r="N125">
            <v>5</v>
          </cell>
          <cell r="O125" t="str">
            <v>YES</v>
          </cell>
        </row>
        <row r="126">
          <cell r="A126" t="str">
            <v>SHP-101242</v>
          </cell>
          <cell r="B126" t="str">
            <v xml:space="preserve"> 10/03/2024 </v>
          </cell>
          <cell r="C126" t="str">
            <v xml:space="preserve">hyderabad </v>
          </cell>
          <cell r="D126" t="str">
            <v xml:space="preserve"> DTDC</v>
          </cell>
          <cell r="E126" t="str">
            <v>AIR</v>
          </cell>
          <cell r="F126" t="str">
            <v>GROCERY &amp; FMCG</v>
          </cell>
          <cell r="G126" t="str">
            <v>South</v>
          </cell>
          <cell r="I126" t="str">
            <v xml:space="preserve">6.1 Kg </v>
          </cell>
          <cell r="J126" t="str">
            <v>472</v>
          </cell>
          <cell r="K126">
            <v>4</v>
          </cell>
          <cell r="L126" t="str">
            <v>2024-03-22</v>
          </cell>
          <cell r="M126" t="str">
            <v>Delayed</v>
          </cell>
          <cell r="N126">
            <v>3</v>
          </cell>
          <cell r="O126" t="str">
            <v>N</v>
          </cell>
        </row>
        <row r="127">
          <cell r="A127" t="str">
            <v>SHP-100930</v>
          </cell>
          <cell r="B127" t="str">
            <v>25/03/2024</v>
          </cell>
          <cell r="C127" t="str">
            <v>chennai</v>
          </cell>
          <cell r="D127" t="str">
            <v>Ecom  Express</v>
          </cell>
          <cell r="E127" t="str">
            <v>AIR</v>
          </cell>
          <cell r="F127" t="str">
            <v xml:space="preserve">  ELECTRONICS </v>
          </cell>
          <cell r="G127" t="str">
            <v xml:space="preserve"> SOUTH </v>
          </cell>
          <cell r="I127" t="str">
            <v>11.3kg</v>
          </cell>
          <cell r="J127" t="str">
            <v>₹546</v>
          </cell>
          <cell r="K127">
            <v>2</v>
          </cell>
          <cell r="L127" t="str">
            <v xml:space="preserve"> 28/03/2024 </v>
          </cell>
          <cell r="M127" t="str">
            <v xml:space="preserve">delayed </v>
          </cell>
          <cell r="N127">
            <v>3</v>
          </cell>
          <cell r="O127" t="str">
            <v>YES</v>
          </cell>
        </row>
        <row r="128">
          <cell r="A128" t="str">
            <v>SHP-100638</v>
          </cell>
          <cell r="B128" t="str">
            <v>2024-02-02</v>
          </cell>
          <cell r="C128" t="str">
            <v>delhi</v>
          </cell>
          <cell r="D128" t="str">
            <v>Ecom  Express</v>
          </cell>
          <cell r="E128" t="str">
            <v>ROAD</v>
          </cell>
          <cell r="F128" t="str">
            <v>grocery &amp; fmcg</v>
          </cell>
          <cell r="G128" t="str">
            <v>East</v>
          </cell>
          <cell r="I128" t="str">
            <v>14.8kg</v>
          </cell>
          <cell r="J128" t="str">
            <v>₹354</v>
          </cell>
          <cell r="K128">
            <v>8</v>
          </cell>
          <cell r="L128" t="str">
            <v xml:space="preserve"> 10/02/2024 </v>
          </cell>
          <cell r="M128" t="str">
            <v xml:space="preserve">RETURNED </v>
          </cell>
          <cell r="O128" t="str">
            <v>no</v>
          </cell>
        </row>
        <row r="129">
          <cell r="A129" t="str">
            <v>SHP-100536</v>
          </cell>
          <cell r="B129" t="str">
            <v>19/01/2024</v>
          </cell>
          <cell r="C129" t="str">
            <v>bengaluru</v>
          </cell>
          <cell r="D129" t="str">
            <v>DELHIVERY</v>
          </cell>
          <cell r="E129" t="str">
            <v>Surface</v>
          </cell>
          <cell r="F129" t="str">
            <v xml:space="preserve">pharma </v>
          </cell>
          <cell r="G129" t="str">
            <v xml:space="preserve"> EAST </v>
          </cell>
          <cell r="I129" t="str">
            <v xml:space="preserve">3.9 Kg </v>
          </cell>
          <cell r="J129" t="str">
            <v>₹248</v>
          </cell>
          <cell r="K129">
            <v>6</v>
          </cell>
          <cell r="L129" t="str">
            <v xml:space="preserve"> 26/01/2024 </v>
          </cell>
          <cell r="M129" t="str">
            <v>Delayed</v>
          </cell>
          <cell r="N129">
            <v>3</v>
          </cell>
          <cell r="O129" t="str">
            <v xml:space="preserve">yes </v>
          </cell>
        </row>
        <row r="130">
          <cell r="A130" t="str">
            <v>SHP-100676</v>
          </cell>
          <cell r="B130" t="str">
            <v>2024-05-21</v>
          </cell>
          <cell r="C130" t="str">
            <v xml:space="preserve"> MUMBAI </v>
          </cell>
          <cell r="D130" t="str">
            <v>ecom express</v>
          </cell>
          <cell r="E130" t="str">
            <v xml:space="preserve">surface </v>
          </cell>
          <cell r="F130" t="str">
            <v>Apparel</v>
          </cell>
          <cell r="G130" t="str">
            <v xml:space="preserve"> SOUTH </v>
          </cell>
          <cell r="I130" t="str">
            <v>3.8</v>
          </cell>
          <cell r="J130" t="str">
            <v>236</v>
          </cell>
          <cell r="K130">
            <v>6</v>
          </cell>
          <cell r="L130" t="str">
            <v>26-May-2024</v>
          </cell>
          <cell r="M130" t="str">
            <v>delivered</v>
          </cell>
          <cell r="N130">
            <v>5</v>
          </cell>
          <cell r="O130" t="str">
            <v xml:space="preserve"> No</v>
          </cell>
        </row>
        <row r="131">
          <cell r="A131" t="str">
            <v>SHP-101566</v>
          </cell>
          <cell r="B131" t="str">
            <v>22/02/2024</v>
          </cell>
          <cell r="C131" t="str">
            <v xml:space="preserve"> HYDERABAD </v>
          </cell>
          <cell r="D131" t="str">
            <v>BlueDart</v>
          </cell>
          <cell r="E131" t="str">
            <v>Surface</v>
          </cell>
          <cell r="F131" t="str">
            <v>Furniture</v>
          </cell>
          <cell r="G131" t="str">
            <v xml:space="preserve">west </v>
          </cell>
          <cell r="I131" t="str">
            <v>52.1kg</v>
          </cell>
          <cell r="J131" t="str">
            <v>₹1,139</v>
          </cell>
          <cell r="K131">
            <v>4</v>
          </cell>
          <cell r="L131" t="str">
            <v xml:space="preserve"> 25/02/2024 </v>
          </cell>
          <cell r="M131" t="str">
            <v>DELIVERED</v>
          </cell>
          <cell r="N131">
            <v>5</v>
          </cell>
          <cell r="O131" t="str">
            <v>No</v>
          </cell>
        </row>
        <row r="132">
          <cell r="A132" t="str">
            <v>SHP-101130</v>
          </cell>
          <cell r="B132" t="str">
            <v>2024-03-06</v>
          </cell>
          <cell r="C132" t="str">
            <v>BENGALURU</v>
          </cell>
          <cell r="D132" t="str">
            <v>dtdc</v>
          </cell>
          <cell r="E132" t="str">
            <v xml:space="preserve">road </v>
          </cell>
          <cell r="F132" t="str">
            <v>Automotive Parts</v>
          </cell>
          <cell r="G132" t="str">
            <v>South</v>
          </cell>
          <cell r="I132" t="str">
            <v>21.4kg</v>
          </cell>
          <cell r="J132" t="str">
            <v xml:space="preserve">Rs 359 </v>
          </cell>
          <cell r="K132">
            <v>6</v>
          </cell>
          <cell r="L132" t="str">
            <v>13/03/2024</v>
          </cell>
          <cell r="M132" t="str">
            <v xml:space="preserve">delayed </v>
          </cell>
          <cell r="N132">
            <v>2</v>
          </cell>
          <cell r="O132" t="str">
            <v>Yes</v>
          </cell>
        </row>
        <row r="133">
          <cell r="A133" t="str">
            <v>SHP-100868</v>
          </cell>
          <cell r="B133" t="str">
            <v xml:space="preserve"> 20/05/2024 </v>
          </cell>
          <cell r="C133" t="str">
            <v>kolkata</v>
          </cell>
          <cell r="D133" t="str">
            <v>bluedart</v>
          </cell>
          <cell r="E133" t="str">
            <v>AIR</v>
          </cell>
          <cell r="F133" t="str">
            <v xml:space="preserve">pharma </v>
          </cell>
          <cell r="G133" t="str">
            <v>north</v>
          </cell>
          <cell r="I133" t="str">
            <v>4.5KG</v>
          </cell>
          <cell r="J133" t="str">
            <v>₹350</v>
          </cell>
          <cell r="K133">
            <v>4</v>
          </cell>
          <cell r="L133" t="str">
            <v xml:space="preserve"> 25/05/2024 </v>
          </cell>
          <cell r="M133" t="str">
            <v>DELAYED</v>
          </cell>
          <cell r="N133">
            <v>2</v>
          </cell>
          <cell r="O133" t="str">
            <v>no</v>
          </cell>
        </row>
        <row r="134">
          <cell r="A134" t="str">
            <v>SHP-100178</v>
          </cell>
          <cell r="B134" t="str">
            <v>01/03/2024</v>
          </cell>
          <cell r="C134" t="str">
            <v>kolkata</v>
          </cell>
          <cell r="D134" t="str">
            <v xml:space="preserve">Dtdc </v>
          </cell>
          <cell r="E134" t="str">
            <v>ROAD</v>
          </cell>
          <cell r="F134" t="str">
            <v xml:space="preserve">automotive  parts </v>
          </cell>
          <cell r="G134" t="str">
            <v>west</v>
          </cell>
          <cell r="I134" t="str">
            <v>20.4KG</v>
          </cell>
          <cell r="J134" t="str">
            <v>₹428</v>
          </cell>
          <cell r="K134">
            <v>8</v>
          </cell>
          <cell r="L134" t="str">
            <v>2024-03-14</v>
          </cell>
          <cell r="M134" t="str">
            <v>Delayed</v>
          </cell>
          <cell r="N134">
            <v>3</v>
          </cell>
          <cell r="O134" t="str">
            <v>no</v>
          </cell>
        </row>
        <row r="135">
          <cell r="A135" t="str">
            <v>SHP-100597</v>
          </cell>
          <cell r="B135" t="str">
            <v>05-Jan-2024</v>
          </cell>
          <cell r="C135" t="str">
            <v xml:space="preserve"> BENGALURU </v>
          </cell>
          <cell r="D135" t="str">
            <v xml:space="preserve"> XPRESSBEES</v>
          </cell>
          <cell r="E135" t="str">
            <v>surface</v>
          </cell>
          <cell r="F135" t="str">
            <v>Pharma</v>
          </cell>
          <cell r="G135" t="str">
            <v>EAST</v>
          </cell>
          <cell r="I135" t="str">
            <v>3.6KG</v>
          </cell>
          <cell r="J135" t="str">
            <v>246</v>
          </cell>
          <cell r="K135">
            <v>6</v>
          </cell>
          <cell r="L135" t="str">
            <v xml:space="preserve"> 10/01/2024 </v>
          </cell>
          <cell r="M135" t="str">
            <v xml:space="preserve"> Delivered</v>
          </cell>
          <cell r="N135">
            <v>4</v>
          </cell>
          <cell r="O135" t="str">
            <v xml:space="preserve"> No</v>
          </cell>
        </row>
        <row r="136">
          <cell r="A136" t="str">
            <v>SHP-101121</v>
          </cell>
          <cell r="B136" t="str">
            <v>2024-06-11</v>
          </cell>
          <cell r="C136" t="str">
            <v>Kolkata</v>
          </cell>
          <cell r="D136" t="str">
            <v>BlueDart</v>
          </cell>
          <cell r="E136" t="str">
            <v>ROAD</v>
          </cell>
          <cell r="F136" t="str">
            <v xml:space="preserve">pharma </v>
          </cell>
          <cell r="G136" t="str">
            <v xml:space="preserve">west </v>
          </cell>
          <cell r="I136" t="str">
            <v>4.8</v>
          </cell>
          <cell r="J136" t="str">
            <v>275</v>
          </cell>
          <cell r="K136">
            <v>8</v>
          </cell>
          <cell r="L136" t="str">
            <v>19/06/2024</v>
          </cell>
          <cell r="M136" t="str">
            <v>Delivered</v>
          </cell>
          <cell r="N136">
            <v>4</v>
          </cell>
          <cell r="O136" t="str">
            <v>Yes</v>
          </cell>
        </row>
        <row r="137">
          <cell r="A137" t="str">
            <v>SHP-101349</v>
          </cell>
          <cell r="B137" t="str">
            <v>28/01/2024</v>
          </cell>
          <cell r="C137" t="str">
            <v xml:space="preserve"> KOLKATA </v>
          </cell>
          <cell r="D137" t="str">
            <v>BlueDart</v>
          </cell>
          <cell r="E137" t="str">
            <v>road</v>
          </cell>
          <cell r="F137" t="str">
            <v xml:space="preserve"> ELECTRONICS </v>
          </cell>
          <cell r="G137" t="str">
            <v>north</v>
          </cell>
          <cell r="I137" t="str">
            <v>1.3</v>
          </cell>
          <cell r="J137" t="str">
            <v>155</v>
          </cell>
          <cell r="K137">
            <v>8</v>
          </cell>
          <cell r="L137" t="str">
            <v xml:space="preserve"> 05/02/2024 </v>
          </cell>
          <cell r="M137" t="str">
            <v>DELIVERED</v>
          </cell>
          <cell r="N137">
            <v>4</v>
          </cell>
          <cell r="O137" t="str">
            <v>No</v>
          </cell>
        </row>
        <row r="138">
          <cell r="A138" t="str">
            <v>SHP-101342</v>
          </cell>
          <cell r="B138" t="str">
            <v>2024-03-24</v>
          </cell>
          <cell r="C138" t="str">
            <v xml:space="preserve">delhi </v>
          </cell>
          <cell r="D138" t="str">
            <v>delhivery</v>
          </cell>
          <cell r="E138" t="str">
            <v xml:space="preserve"> SURFACE </v>
          </cell>
          <cell r="F138" t="str">
            <v xml:space="preserve">grocery &amp; fmcg </v>
          </cell>
          <cell r="G138" t="str">
            <v xml:space="preserve">west </v>
          </cell>
          <cell r="I138" t="str">
            <v xml:space="preserve">2.6 Kg </v>
          </cell>
          <cell r="J138" t="str">
            <v>₹224</v>
          </cell>
          <cell r="K138">
            <v>6</v>
          </cell>
          <cell r="L138" t="str">
            <v>2024-03-29</v>
          </cell>
          <cell r="M138" t="str">
            <v xml:space="preserve"> Delivered</v>
          </cell>
          <cell r="N138">
            <v>3</v>
          </cell>
          <cell r="O138" t="str">
            <v>N</v>
          </cell>
        </row>
        <row r="139">
          <cell r="A139" t="str">
            <v>SHP-101036</v>
          </cell>
          <cell r="B139" t="str">
            <v xml:space="preserve"> 27/03/2024 </v>
          </cell>
          <cell r="C139" t="str">
            <v>hyderabad</v>
          </cell>
          <cell r="D139" t="str">
            <v>DELHIVERY</v>
          </cell>
          <cell r="E139" t="str">
            <v xml:space="preserve">air </v>
          </cell>
          <cell r="F139" t="str">
            <v xml:space="preserve"> GROCERY &amp; FMCG </v>
          </cell>
          <cell r="G139" t="str">
            <v>East</v>
          </cell>
          <cell r="I139" t="str">
            <v>6.9</v>
          </cell>
          <cell r="J139" t="str">
            <v>₹434</v>
          </cell>
          <cell r="K139">
            <v>4</v>
          </cell>
          <cell r="L139" t="str">
            <v>01-Apr-2024</v>
          </cell>
          <cell r="M139" t="str">
            <v xml:space="preserve">delayed </v>
          </cell>
          <cell r="N139">
            <v>3</v>
          </cell>
          <cell r="O139" t="str">
            <v>No</v>
          </cell>
        </row>
        <row r="140">
          <cell r="A140" t="str">
            <v>SHP-101415</v>
          </cell>
          <cell r="B140" t="str">
            <v>20-May-2024</v>
          </cell>
          <cell r="C140" t="str">
            <v xml:space="preserve"> KOLKATA </v>
          </cell>
          <cell r="D140" t="str">
            <v>ecom express</v>
          </cell>
          <cell r="E140" t="str">
            <v>Surface</v>
          </cell>
          <cell r="F140" t="str">
            <v xml:space="preserve">  FURNITURE </v>
          </cell>
          <cell r="G140" t="str">
            <v xml:space="preserve">south </v>
          </cell>
          <cell r="I140" t="str">
            <v>32.7KG</v>
          </cell>
          <cell r="J140" t="str">
            <v>₹897</v>
          </cell>
          <cell r="K140">
            <v>6</v>
          </cell>
          <cell r="L140" t="str">
            <v xml:space="preserve"> 31/05/2024 </v>
          </cell>
          <cell r="M140" t="str">
            <v xml:space="preserve"> Delayed</v>
          </cell>
          <cell r="N140">
            <v>3</v>
          </cell>
          <cell r="O140" t="str">
            <v>no</v>
          </cell>
        </row>
        <row r="141">
          <cell r="A141" t="str">
            <v>SHP-101499</v>
          </cell>
          <cell r="B141" t="str">
            <v>03/05/2024</v>
          </cell>
          <cell r="C141" t="str">
            <v xml:space="preserve">delhi </v>
          </cell>
          <cell r="D141" t="str">
            <v xml:space="preserve">BLUEDART </v>
          </cell>
          <cell r="E141" t="str">
            <v xml:space="preserve">road </v>
          </cell>
          <cell r="F141" t="str">
            <v xml:space="preserve">furniture </v>
          </cell>
          <cell r="G141" t="str">
            <v>West</v>
          </cell>
          <cell r="I141" t="str">
            <v>29.8</v>
          </cell>
          <cell r="J141" t="str">
            <v>₹542</v>
          </cell>
          <cell r="K141">
            <v>8</v>
          </cell>
          <cell r="L141" t="str">
            <v>12-May-2024</v>
          </cell>
          <cell r="M141" t="str">
            <v>Delayed</v>
          </cell>
          <cell r="N141">
            <v>2</v>
          </cell>
          <cell r="O141" t="str">
            <v>Y</v>
          </cell>
        </row>
        <row r="142">
          <cell r="A142" t="str">
            <v>SHP-101159</v>
          </cell>
          <cell r="B142" t="str">
            <v>07-Apr-2024</v>
          </cell>
          <cell r="C142" t="str">
            <v>hyderabad</v>
          </cell>
          <cell r="D142" t="str">
            <v xml:space="preserve"> XPRESSBEES</v>
          </cell>
          <cell r="E142" t="str">
            <v>air</v>
          </cell>
          <cell r="F142" t="str">
            <v>electronics</v>
          </cell>
          <cell r="G142" t="str">
            <v>west</v>
          </cell>
          <cell r="I142" t="str">
            <v>5.5kg</v>
          </cell>
          <cell r="J142" t="str">
            <v>256</v>
          </cell>
          <cell r="K142">
            <v>2</v>
          </cell>
          <cell r="L142" t="str">
            <v>2024-04-09</v>
          </cell>
          <cell r="M142" t="str">
            <v xml:space="preserve"> Delivered</v>
          </cell>
          <cell r="N142">
            <v>5</v>
          </cell>
          <cell r="O142" t="str">
            <v xml:space="preserve"> No</v>
          </cell>
        </row>
        <row r="143">
          <cell r="A143" t="str">
            <v>SHP-101217</v>
          </cell>
          <cell r="B143" t="str">
            <v>25-Jan-2024</v>
          </cell>
          <cell r="C143" t="str">
            <v>BENGALURU</v>
          </cell>
          <cell r="D143" t="str">
            <v xml:space="preserve"> DTDC</v>
          </cell>
          <cell r="E143" t="str">
            <v>SURFACE</v>
          </cell>
          <cell r="F143" t="str">
            <v>automotive parts</v>
          </cell>
          <cell r="G143" t="str">
            <v>south</v>
          </cell>
          <cell r="I143" t="str">
            <v>12.1</v>
          </cell>
          <cell r="J143" t="str">
            <v>₹264</v>
          </cell>
          <cell r="K143">
            <v>4</v>
          </cell>
          <cell r="L143" t="str">
            <v>04/02/2024</v>
          </cell>
          <cell r="M143" t="str">
            <v>Delayed</v>
          </cell>
          <cell r="N143">
            <v>3</v>
          </cell>
          <cell r="O143" t="str">
            <v>No</v>
          </cell>
        </row>
        <row r="144">
          <cell r="A144" t="str">
            <v>SHP-100974</v>
          </cell>
          <cell r="B144" t="str">
            <v>10/06/2024</v>
          </cell>
          <cell r="C144" t="str">
            <v>bengaluru</v>
          </cell>
          <cell r="D144" t="str">
            <v xml:space="preserve">BLUEDART </v>
          </cell>
          <cell r="E144" t="str">
            <v xml:space="preserve">road </v>
          </cell>
          <cell r="F144" t="str">
            <v xml:space="preserve"> AUTOMOTIVE PARTS </v>
          </cell>
          <cell r="G144" t="str">
            <v xml:space="preserve">east </v>
          </cell>
          <cell r="I144" t="str">
            <v>25.7kg</v>
          </cell>
          <cell r="J144" t="str">
            <v>₹525</v>
          </cell>
          <cell r="K144">
            <v>8</v>
          </cell>
          <cell r="L144" t="str">
            <v>19-Jun-2024</v>
          </cell>
          <cell r="M144" t="str">
            <v xml:space="preserve"> Delayed</v>
          </cell>
          <cell r="N144">
            <v>3</v>
          </cell>
          <cell r="O144" t="str">
            <v>No</v>
          </cell>
        </row>
        <row r="145">
          <cell r="A145" t="str">
            <v>SHP-100261</v>
          </cell>
          <cell r="B145" t="str">
            <v>10/04/2024</v>
          </cell>
          <cell r="C145" t="str">
            <v>DELHI</v>
          </cell>
          <cell r="D145" t="str">
            <v xml:space="preserve"> XPRESSBEES</v>
          </cell>
          <cell r="E145" t="str">
            <v xml:space="preserve">surface </v>
          </cell>
          <cell r="F145" t="str">
            <v>Pharma</v>
          </cell>
          <cell r="G145" t="str">
            <v>south</v>
          </cell>
          <cell r="I145" t="str">
            <v>2.0KG</v>
          </cell>
          <cell r="J145" t="str">
            <v>₹216</v>
          </cell>
          <cell r="K145">
            <v>6</v>
          </cell>
          <cell r="L145" t="str">
            <v>20/04/2024</v>
          </cell>
          <cell r="M145" t="str">
            <v xml:space="preserve">delayed </v>
          </cell>
          <cell r="N145">
            <v>2</v>
          </cell>
          <cell r="O145" t="str">
            <v>N</v>
          </cell>
        </row>
        <row r="146">
          <cell r="A146" t="str">
            <v>SHP-101339</v>
          </cell>
          <cell r="B146" t="str">
            <v xml:space="preserve"> 04/02/2024 </v>
          </cell>
          <cell r="C146" t="str">
            <v xml:space="preserve"> MUMBAI </v>
          </cell>
          <cell r="D146" t="str">
            <v xml:space="preserve">BLUEDART </v>
          </cell>
          <cell r="E146" t="str">
            <v>road</v>
          </cell>
          <cell r="F146" t="str">
            <v xml:space="preserve"> AUTOMOTIVE PARTS </v>
          </cell>
          <cell r="G146" t="str">
            <v>WEST</v>
          </cell>
          <cell r="I146" t="str">
            <v>20.9KG</v>
          </cell>
          <cell r="J146" t="str">
            <v>₹292</v>
          </cell>
          <cell r="K146">
            <v>6</v>
          </cell>
          <cell r="L146" t="str">
            <v xml:space="preserve"> 10/02/2024 </v>
          </cell>
          <cell r="M146" t="str">
            <v>DELIVERED</v>
          </cell>
          <cell r="N146">
            <v>4</v>
          </cell>
          <cell r="O146" t="str">
            <v>no</v>
          </cell>
        </row>
        <row r="147">
          <cell r="A147" t="str">
            <v>SHP-100798</v>
          </cell>
          <cell r="B147" t="str">
            <v xml:space="preserve"> 23/01/2024 </v>
          </cell>
          <cell r="C147" t="str">
            <v xml:space="preserve"> HYDERABAD </v>
          </cell>
          <cell r="D147" t="str">
            <v>DELHIVERY</v>
          </cell>
          <cell r="E147" t="str">
            <v xml:space="preserve">road </v>
          </cell>
          <cell r="F147" t="str">
            <v>furniture</v>
          </cell>
          <cell r="G147" t="str">
            <v>WEST</v>
          </cell>
          <cell r="I147" t="str">
            <v>78.8kg</v>
          </cell>
          <cell r="J147" t="str">
            <v xml:space="preserve">Rs 1117 </v>
          </cell>
          <cell r="K147">
            <v>6</v>
          </cell>
          <cell r="L147" t="str">
            <v xml:space="preserve"> 28/01/2024 </v>
          </cell>
          <cell r="M147" t="str">
            <v>Delivered</v>
          </cell>
          <cell r="N147">
            <v>5</v>
          </cell>
          <cell r="O147" t="str">
            <v>No</v>
          </cell>
        </row>
        <row r="148">
          <cell r="A148" t="str">
            <v>SHP-101424</v>
          </cell>
          <cell r="B148" t="str">
            <v xml:space="preserve"> 28/02/2024 </v>
          </cell>
          <cell r="C148" t="str">
            <v>mumbai</v>
          </cell>
          <cell r="D148" t="str">
            <v>dtdc</v>
          </cell>
          <cell r="E148" t="str">
            <v xml:space="preserve"> AIR </v>
          </cell>
          <cell r="F148" t="str">
            <v>Electronics</v>
          </cell>
          <cell r="G148" t="str">
            <v>NORTH</v>
          </cell>
          <cell r="I148" t="str">
            <v>1.5KG</v>
          </cell>
          <cell r="J148" t="str">
            <v xml:space="preserve">Rs 260 </v>
          </cell>
          <cell r="K148">
            <v>4</v>
          </cell>
          <cell r="L148" t="str">
            <v>2024-03-04</v>
          </cell>
          <cell r="M148" t="str">
            <v xml:space="preserve">delayed </v>
          </cell>
          <cell r="N148">
            <v>3</v>
          </cell>
          <cell r="O148" t="str">
            <v>no</v>
          </cell>
        </row>
        <row r="149">
          <cell r="A149" t="str">
            <v>SHP-101263</v>
          </cell>
          <cell r="B149" t="str">
            <v>07-Mar-2024</v>
          </cell>
          <cell r="C149" t="str">
            <v xml:space="preserve"> HYDERABAD </v>
          </cell>
          <cell r="D149" t="str">
            <v>Ecom Express</v>
          </cell>
          <cell r="E149" t="str">
            <v>Surface</v>
          </cell>
          <cell r="F149" t="str">
            <v>apparel</v>
          </cell>
          <cell r="G149" t="str">
            <v>west</v>
          </cell>
          <cell r="I149" t="str">
            <v>2.4KG</v>
          </cell>
          <cell r="J149" t="str">
            <v>₹102</v>
          </cell>
          <cell r="K149">
            <v>4</v>
          </cell>
          <cell r="L149" t="str">
            <v>2024-03-19</v>
          </cell>
          <cell r="M149" t="str">
            <v xml:space="preserve">delayed </v>
          </cell>
          <cell r="N149">
            <v>3</v>
          </cell>
          <cell r="O149" t="str">
            <v>N</v>
          </cell>
        </row>
        <row r="150">
          <cell r="A150" t="str">
            <v>SHP-100819</v>
          </cell>
          <cell r="B150" t="str">
            <v xml:space="preserve"> 19/06/2024 </v>
          </cell>
          <cell r="C150" t="str">
            <v xml:space="preserve">hyderabad </v>
          </cell>
          <cell r="D150" t="str">
            <v>Ecom  Express</v>
          </cell>
          <cell r="E150" t="str">
            <v xml:space="preserve"> AIR </v>
          </cell>
          <cell r="F150" t="str">
            <v>Electronics</v>
          </cell>
          <cell r="G150" t="str">
            <v xml:space="preserve"> NORTH </v>
          </cell>
          <cell r="I150" t="str">
            <v>1.6</v>
          </cell>
          <cell r="J150" t="str">
            <v>₹206</v>
          </cell>
          <cell r="K150">
            <v>4</v>
          </cell>
          <cell r="L150" t="str">
            <v>24-Jun-2024</v>
          </cell>
          <cell r="M150" t="str">
            <v xml:space="preserve">delayed </v>
          </cell>
          <cell r="N150">
            <v>2</v>
          </cell>
          <cell r="O150" t="str">
            <v>no</v>
          </cell>
        </row>
        <row r="151">
          <cell r="A151" t="str">
            <v>SHP-100246</v>
          </cell>
          <cell r="B151" t="str">
            <v xml:space="preserve"> 05/03/2024 </v>
          </cell>
          <cell r="C151" t="str">
            <v>delhi</v>
          </cell>
          <cell r="D151" t="str">
            <v>Ecom  Express</v>
          </cell>
          <cell r="E151" t="str">
            <v>SURFACE</v>
          </cell>
          <cell r="F151" t="str">
            <v xml:space="preserve">automotive  parts </v>
          </cell>
          <cell r="G151" t="str">
            <v>west</v>
          </cell>
          <cell r="I151" t="str">
            <v>25.4</v>
          </cell>
          <cell r="J151" t="str">
            <v xml:space="preserve">Rs 722 </v>
          </cell>
          <cell r="K151">
            <v>6</v>
          </cell>
          <cell r="L151" t="str">
            <v>11/03/2024</v>
          </cell>
          <cell r="M151" t="str">
            <v>Delivered</v>
          </cell>
          <cell r="N151">
            <v>4</v>
          </cell>
          <cell r="O151" t="str">
            <v>N</v>
          </cell>
        </row>
        <row r="152">
          <cell r="A152" t="str">
            <v>SHP-101459</v>
          </cell>
          <cell r="B152" t="str">
            <v>2024-01-08</v>
          </cell>
          <cell r="C152" t="str">
            <v>Delhi</v>
          </cell>
          <cell r="D152" t="str">
            <v>XpressBees</v>
          </cell>
          <cell r="E152" t="str">
            <v xml:space="preserve"> SURFACE </v>
          </cell>
          <cell r="F152" t="str">
            <v>AUTOMOTIVE PARTS</v>
          </cell>
          <cell r="G152" t="str">
            <v>North</v>
          </cell>
          <cell r="I152" t="str">
            <v xml:space="preserve">18.5 Kg </v>
          </cell>
          <cell r="J152" t="str">
            <v>₹435</v>
          </cell>
          <cell r="K152">
            <v>4</v>
          </cell>
          <cell r="L152" t="str">
            <v xml:space="preserve"> 13/01/2024 </v>
          </cell>
          <cell r="M152" t="str">
            <v>Delayed</v>
          </cell>
          <cell r="N152">
            <v>1</v>
          </cell>
          <cell r="O152" t="str">
            <v>Yes</v>
          </cell>
        </row>
        <row r="153">
          <cell r="A153" t="str">
            <v>SHP-100503</v>
          </cell>
          <cell r="B153" t="str">
            <v>27/04/2024</v>
          </cell>
          <cell r="C153" t="str">
            <v>DELHI</v>
          </cell>
          <cell r="D153" t="str">
            <v>Xpress Bees</v>
          </cell>
          <cell r="E153" t="str">
            <v xml:space="preserve">surface </v>
          </cell>
          <cell r="F153" t="str">
            <v>furniture</v>
          </cell>
          <cell r="G153" t="str">
            <v xml:space="preserve"> EAST </v>
          </cell>
          <cell r="I153" t="str">
            <v>44.0kg</v>
          </cell>
          <cell r="J153" t="str">
            <v xml:space="preserve">Rs 1104 </v>
          </cell>
          <cell r="K153">
            <v>6</v>
          </cell>
          <cell r="L153" t="str">
            <v>10/05/2024</v>
          </cell>
          <cell r="M153" t="str">
            <v xml:space="preserve">delayed </v>
          </cell>
          <cell r="N153">
            <v>5</v>
          </cell>
          <cell r="O153" t="str">
            <v>N</v>
          </cell>
        </row>
        <row r="154">
          <cell r="A154" t="str">
            <v>SHP-100454</v>
          </cell>
          <cell r="B154" t="str">
            <v>2024-04-19</v>
          </cell>
          <cell r="C154" t="str">
            <v>Bengaluru</v>
          </cell>
          <cell r="D154" t="str">
            <v>Delhivery</v>
          </cell>
          <cell r="E154" t="str">
            <v>ROAD</v>
          </cell>
          <cell r="F154" t="str">
            <v>automotive parts</v>
          </cell>
          <cell r="G154" t="str">
            <v xml:space="preserve"> SOUTH </v>
          </cell>
          <cell r="I154" t="str">
            <v>5.4</v>
          </cell>
          <cell r="J154" t="str">
            <v xml:space="preserve">Rs 80 </v>
          </cell>
          <cell r="K154">
            <v>6</v>
          </cell>
          <cell r="L154" t="str">
            <v xml:space="preserve"> 24/04/2024 </v>
          </cell>
          <cell r="M154" t="str">
            <v>delivered</v>
          </cell>
          <cell r="N154">
            <v>4</v>
          </cell>
          <cell r="O154" t="str">
            <v>no</v>
          </cell>
        </row>
        <row r="155">
          <cell r="A155" t="str">
            <v>SHP-100613</v>
          </cell>
          <cell r="B155" t="str">
            <v>27-Apr-2024</v>
          </cell>
          <cell r="C155" t="str">
            <v>delhi</v>
          </cell>
          <cell r="D155" t="str">
            <v>xpressbees</v>
          </cell>
          <cell r="E155" t="str">
            <v xml:space="preserve"> AIR </v>
          </cell>
          <cell r="F155" t="str">
            <v xml:space="preserve">furniture </v>
          </cell>
          <cell r="G155" t="str">
            <v>EAST</v>
          </cell>
          <cell r="I155" t="str">
            <v xml:space="preserve">31.3 Kg </v>
          </cell>
          <cell r="J155" t="str">
            <v>₹1,568</v>
          </cell>
          <cell r="K155">
            <v>4</v>
          </cell>
          <cell r="L155" t="str">
            <v xml:space="preserve"> 09/05/2024 </v>
          </cell>
          <cell r="M155" t="str">
            <v xml:space="preserve">delayed </v>
          </cell>
          <cell r="N155">
            <v>3</v>
          </cell>
          <cell r="O155" t="str">
            <v xml:space="preserve"> No</v>
          </cell>
        </row>
        <row r="156">
          <cell r="A156" t="str">
            <v>SHP-100054</v>
          </cell>
          <cell r="B156" t="str">
            <v xml:space="preserve"> 11/06/2024 </v>
          </cell>
          <cell r="C156" t="str">
            <v>Kolkata</v>
          </cell>
          <cell r="D156" t="str">
            <v>Ecom Express</v>
          </cell>
          <cell r="E156" t="str">
            <v xml:space="preserve"> ROAD </v>
          </cell>
          <cell r="F156" t="str">
            <v xml:space="preserve"> AUTOMOTIVE PARTS </v>
          </cell>
          <cell r="G156" t="str">
            <v>SOUTH</v>
          </cell>
          <cell r="I156" t="str">
            <v>7.3kg</v>
          </cell>
          <cell r="J156" t="str">
            <v>238</v>
          </cell>
          <cell r="K156">
            <v>8</v>
          </cell>
          <cell r="L156" t="str">
            <v>25-Jun-2024</v>
          </cell>
          <cell r="M156" t="str">
            <v>Delayed</v>
          </cell>
          <cell r="N156">
            <v>1</v>
          </cell>
          <cell r="O156" t="str">
            <v>Yes</v>
          </cell>
        </row>
        <row r="157">
          <cell r="A157" t="str">
            <v>SHP-100565</v>
          </cell>
          <cell r="B157" t="str">
            <v>2024-03-09</v>
          </cell>
          <cell r="C157" t="str">
            <v xml:space="preserve">bengaluru </v>
          </cell>
          <cell r="D157" t="str">
            <v>Ecom Express</v>
          </cell>
          <cell r="E157" t="str">
            <v>air</v>
          </cell>
          <cell r="F157" t="str">
            <v>Furniture</v>
          </cell>
          <cell r="G157" t="str">
            <v xml:space="preserve">west </v>
          </cell>
          <cell r="I157" t="str">
            <v xml:space="preserve">66.1 Kg </v>
          </cell>
          <cell r="J157" t="str">
            <v>3,156</v>
          </cell>
          <cell r="K157">
            <v>4</v>
          </cell>
          <cell r="L157" t="str">
            <v>2024-03-17</v>
          </cell>
          <cell r="M157" t="str">
            <v xml:space="preserve">delayed </v>
          </cell>
          <cell r="N157">
            <v>5</v>
          </cell>
          <cell r="O157" t="str">
            <v>YES</v>
          </cell>
        </row>
        <row r="158">
          <cell r="A158" t="str">
            <v>SHP-100817</v>
          </cell>
          <cell r="B158" t="str">
            <v>14-Mar-2024</v>
          </cell>
          <cell r="C158" t="str">
            <v xml:space="preserve">bengaluru </v>
          </cell>
          <cell r="D158" t="str">
            <v xml:space="preserve"> Delhivery</v>
          </cell>
          <cell r="E158" t="str">
            <v>ROAD</v>
          </cell>
          <cell r="F158" t="str">
            <v xml:space="preserve">pharma  </v>
          </cell>
          <cell r="G158" t="str">
            <v>east</v>
          </cell>
          <cell r="I158" t="str">
            <v>2.4KG</v>
          </cell>
          <cell r="J158" t="str">
            <v>172</v>
          </cell>
          <cell r="K158">
            <v>8</v>
          </cell>
          <cell r="L158" t="str">
            <v>2024-03-22</v>
          </cell>
          <cell r="M158" t="str">
            <v xml:space="preserve"> Delivered</v>
          </cell>
          <cell r="N158">
            <v>5</v>
          </cell>
          <cell r="O158" t="str">
            <v xml:space="preserve"> No</v>
          </cell>
        </row>
        <row r="159">
          <cell r="A159" t="str">
            <v>SHP-100553</v>
          </cell>
          <cell r="B159" t="str">
            <v xml:space="preserve"> 01/06/2024 </v>
          </cell>
          <cell r="C159" t="str">
            <v xml:space="preserve"> BENGALURU </v>
          </cell>
          <cell r="D159" t="str">
            <v>Xpress Bees</v>
          </cell>
          <cell r="E159" t="str">
            <v>road</v>
          </cell>
          <cell r="F159" t="str">
            <v>Grocery &amp; FMCG</v>
          </cell>
          <cell r="G159" t="str">
            <v xml:space="preserve"> SOUTH </v>
          </cell>
          <cell r="I159" t="str">
            <v>16.9</v>
          </cell>
          <cell r="J159" t="str">
            <v xml:space="preserve">Rs 269 </v>
          </cell>
          <cell r="K159">
            <v>6</v>
          </cell>
          <cell r="L159" t="str">
            <v>09/06/2024</v>
          </cell>
          <cell r="M159" t="str">
            <v>Delayed</v>
          </cell>
          <cell r="N159">
            <v>3</v>
          </cell>
          <cell r="O159" t="str">
            <v>N</v>
          </cell>
        </row>
        <row r="160">
          <cell r="A160" t="str">
            <v>SHP-100277</v>
          </cell>
          <cell r="B160" t="str">
            <v>2024-02-23</v>
          </cell>
          <cell r="C160" t="str">
            <v>Chennai</v>
          </cell>
          <cell r="D160" t="str">
            <v>delhivery</v>
          </cell>
          <cell r="E160" t="str">
            <v>AIR</v>
          </cell>
          <cell r="F160" t="str">
            <v>electronics</v>
          </cell>
          <cell r="G160" t="str">
            <v>north</v>
          </cell>
          <cell r="I160" t="str">
            <v xml:space="preserve">9.4 Kg </v>
          </cell>
          <cell r="J160" t="str">
            <v>563</v>
          </cell>
          <cell r="K160">
            <v>4</v>
          </cell>
          <cell r="L160" t="str">
            <v>28/02/2024</v>
          </cell>
          <cell r="M160" t="str">
            <v>Delayed</v>
          </cell>
          <cell r="N160">
            <v>1</v>
          </cell>
          <cell r="O160" t="str">
            <v>No</v>
          </cell>
        </row>
        <row r="161">
          <cell r="A161" t="str">
            <v>SHP-100745</v>
          </cell>
          <cell r="B161" t="str">
            <v xml:space="preserve"> 07/03/2024 </v>
          </cell>
          <cell r="C161" t="str">
            <v xml:space="preserve"> CHENNAI </v>
          </cell>
          <cell r="D161" t="str">
            <v>Blue Dart</v>
          </cell>
          <cell r="E161" t="str">
            <v xml:space="preserve"> AIR </v>
          </cell>
          <cell r="F161" t="str">
            <v>AUTOMOTIVE PARTS</v>
          </cell>
          <cell r="G161" t="str">
            <v>SOUTH</v>
          </cell>
          <cell r="I161" t="str">
            <v>10.7KG</v>
          </cell>
          <cell r="J161" t="str">
            <v xml:space="preserve">Rs 504 </v>
          </cell>
          <cell r="K161">
            <v>2</v>
          </cell>
          <cell r="L161" t="str">
            <v xml:space="preserve"> 10/03/2024 </v>
          </cell>
          <cell r="M161" t="str">
            <v xml:space="preserve"> Delayed</v>
          </cell>
          <cell r="N161">
            <v>2</v>
          </cell>
          <cell r="O161" t="str">
            <v>no</v>
          </cell>
        </row>
        <row r="162">
          <cell r="A162" t="str">
            <v>SHP-101190</v>
          </cell>
          <cell r="B162" t="str">
            <v>05/01/2024</v>
          </cell>
          <cell r="C162" t="str">
            <v xml:space="preserve">chennai </v>
          </cell>
          <cell r="D162" t="str">
            <v>Ecom  Express</v>
          </cell>
          <cell r="E162" t="str">
            <v>Surface</v>
          </cell>
          <cell r="F162" t="str">
            <v>electronics</v>
          </cell>
          <cell r="G162" t="str">
            <v>north</v>
          </cell>
          <cell r="I162" t="str">
            <v xml:space="preserve">10.1 Kg </v>
          </cell>
          <cell r="J162" t="str">
            <v>424</v>
          </cell>
          <cell r="K162">
            <v>6</v>
          </cell>
          <cell r="L162" t="str">
            <v>11/01/2024</v>
          </cell>
          <cell r="M162" t="str">
            <v>Delivered</v>
          </cell>
          <cell r="N162">
            <v>5</v>
          </cell>
          <cell r="O162" t="str">
            <v>N</v>
          </cell>
        </row>
        <row r="163">
          <cell r="A163" t="str">
            <v>SHP-100419</v>
          </cell>
          <cell r="B163" t="str">
            <v>07-Mar-2024</v>
          </cell>
          <cell r="C163" t="str">
            <v>Chennai</v>
          </cell>
          <cell r="D163" t="str">
            <v>BlueDart</v>
          </cell>
          <cell r="E163" t="str">
            <v xml:space="preserve"> ROAD </v>
          </cell>
          <cell r="F163" t="str">
            <v>automotive parts</v>
          </cell>
          <cell r="G163" t="str">
            <v xml:space="preserve"> WEST </v>
          </cell>
          <cell r="I163" t="str">
            <v>30.3kg</v>
          </cell>
          <cell r="J163" t="str">
            <v xml:space="preserve">Rs 591 </v>
          </cell>
          <cell r="K163">
            <v>8</v>
          </cell>
          <cell r="L163" t="str">
            <v>2024-03-15</v>
          </cell>
          <cell r="M163" t="str">
            <v>delivered</v>
          </cell>
          <cell r="N163">
            <v>5</v>
          </cell>
          <cell r="O163" t="str">
            <v>No</v>
          </cell>
        </row>
        <row r="164">
          <cell r="A164" t="str">
            <v>SHP-101125</v>
          </cell>
          <cell r="B164" t="str">
            <v>2024-06-03</v>
          </cell>
          <cell r="C164" t="str">
            <v>kolkata</v>
          </cell>
          <cell r="D164" t="str">
            <v>xpressbees</v>
          </cell>
          <cell r="E164" t="str">
            <v xml:space="preserve">road </v>
          </cell>
          <cell r="F164" t="str">
            <v>electronics</v>
          </cell>
          <cell r="G164" t="str">
            <v>North</v>
          </cell>
          <cell r="I164" t="str">
            <v>8.8kg</v>
          </cell>
          <cell r="J164" t="str">
            <v>₹252</v>
          </cell>
          <cell r="K164">
            <v>8</v>
          </cell>
          <cell r="L164" t="str">
            <v>12-Jun-2024</v>
          </cell>
          <cell r="M164" t="str">
            <v xml:space="preserve"> Delayed</v>
          </cell>
          <cell r="N164">
            <v>4</v>
          </cell>
          <cell r="O164" t="str">
            <v xml:space="preserve"> No</v>
          </cell>
        </row>
        <row r="165">
          <cell r="A165" t="str">
            <v>SHP-100825</v>
          </cell>
          <cell r="B165" t="str">
            <v>14-Jan-2024</v>
          </cell>
          <cell r="C165" t="str">
            <v>Mumbai</v>
          </cell>
          <cell r="D165" t="str">
            <v>ecom express</v>
          </cell>
          <cell r="E165" t="str">
            <v>Surface</v>
          </cell>
          <cell r="F165" t="str">
            <v>APPAREL</v>
          </cell>
          <cell r="G165" t="str">
            <v>north</v>
          </cell>
          <cell r="I165" t="str">
            <v xml:space="preserve">5.7 Kg </v>
          </cell>
          <cell r="J165" t="str">
            <v>249</v>
          </cell>
          <cell r="K165">
            <v>6</v>
          </cell>
          <cell r="L165" t="str">
            <v>2024-01-20</v>
          </cell>
          <cell r="M165" t="str">
            <v>DELIVERED</v>
          </cell>
          <cell r="N165">
            <v>5</v>
          </cell>
          <cell r="O165" t="str">
            <v>No</v>
          </cell>
        </row>
        <row r="166">
          <cell r="A166" t="str">
            <v>SHP-100862</v>
          </cell>
          <cell r="B166" t="str">
            <v>16/03/2024</v>
          </cell>
          <cell r="C166" t="str">
            <v xml:space="preserve">hyderabad </v>
          </cell>
          <cell r="D166" t="str">
            <v>DTDC</v>
          </cell>
          <cell r="E166" t="str">
            <v>SURFACE</v>
          </cell>
          <cell r="F166" t="str">
            <v xml:space="preserve">electronics </v>
          </cell>
          <cell r="G166" t="str">
            <v xml:space="preserve">south </v>
          </cell>
          <cell r="I166" t="str">
            <v>7.4kg</v>
          </cell>
          <cell r="J166" t="str">
            <v xml:space="preserve">Rs 289 </v>
          </cell>
          <cell r="K166">
            <v>6</v>
          </cell>
          <cell r="L166" t="str">
            <v xml:space="preserve"> 21/03/2024 </v>
          </cell>
          <cell r="M166" t="str">
            <v>DELIVERED</v>
          </cell>
          <cell r="N166">
            <v>5</v>
          </cell>
          <cell r="O166" t="str">
            <v>N</v>
          </cell>
        </row>
        <row r="167">
          <cell r="A167" t="str">
            <v>SHP-100026</v>
          </cell>
          <cell r="B167" t="str">
            <v>26/05/2024</v>
          </cell>
          <cell r="C167" t="str">
            <v>Delhi</v>
          </cell>
          <cell r="D167" t="str">
            <v xml:space="preserve"> XPRESSBEES</v>
          </cell>
          <cell r="E167" t="str">
            <v>ROAD</v>
          </cell>
          <cell r="F167" t="str">
            <v xml:space="preserve">apparel </v>
          </cell>
          <cell r="G167" t="str">
            <v xml:space="preserve">north </v>
          </cell>
          <cell r="I167" t="str">
            <v>4.9kg</v>
          </cell>
          <cell r="J167" t="str">
            <v>93</v>
          </cell>
          <cell r="K167">
            <v>6</v>
          </cell>
          <cell r="L167" t="str">
            <v>2024-06-01</v>
          </cell>
          <cell r="M167" t="str">
            <v>delivered</v>
          </cell>
          <cell r="N167">
            <v>2</v>
          </cell>
          <cell r="O167" t="str">
            <v>no</v>
          </cell>
        </row>
        <row r="168">
          <cell r="A168" t="str">
            <v>SHP-100428</v>
          </cell>
          <cell r="B168" t="str">
            <v>20/04/2024</v>
          </cell>
          <cell r="C168" t="str">
            <v xml:space="preserve">bengaluru </v>
          </cell>
          <cell r="D168" t="str">
            <v>Delhivery</v>
          </cell>
          <cell r="E168" t="str">
            <v>Air</v>
          </cell>
          <cell r="F168" t="str">
            <v>Grocery &amp; FMCG</v>
          </cell>
          <cell r="G168" t="str">
            <v>WEST</v>
          </cell>
          <cell r="I168" t="str">
            <v>15.4kg</v>
          </cell>
          <cell r="J168" t="str">
            <v>841</v>
          </cell>
          <cell r="K168">
            <v>4</v>
          </cell>
          <cell r="L168" t="str">
            <v>23-Apr-2024</v>
          </cell>
          <cell r="M168" t="str">
            <v>Delivered</v>
          </cell>
          <cell r="N168">
            <v>5</v>
          </cell>
          <cell r="O168" t="str">
            <v xml:space="preserve"> No</v>
          </cell>
        </row>
        <row r="169">
          <cell r="A169" t="str">
            <v>SHP-100728</v>
          </cell>
          <cell r="B169" t="str">
            <v>2024-01-08</v>
          </cell>
          <cell r="C169" t="str">
            <v xml:space="preserve">chennai </v>
          </cell>
          <cell r="D169" t="str">
            <v>ecom express</v>
          </cell>
          <cell r="E169" t="str">
            <v>Surface</v>
          </cell>
          <cell r="F169" t="str">
            <v>AUTOMOTIVE  PARTS</v>
          </cell>
          <cell r="G169" t="str">
            <v>south</v>
          </cell>
          <cell r="I169" t="str">
            <v>35.1</v>
          </cell>
          <cell r="J169" t="str">
            <v>₹768</v>
          </cell>
          <cell r="K169">
            <v>4</v>
          </cell>
          <cell r="L169" t="str">
            <v>2024-01-13</v>
          </cell>
          <cell r="M169" t="str">
            <v xml:space="preserve">delayed </v>
          </cell>
          <cell r="N169">
            <v>2</v>
          </cell>
          <cell r="O169" t="str">
            <v>Yes</v>
          </cell>
        </row>
        <row r="170">
          <cell r="A170" t="str">
            <v>SHP-101300</v>
          </cell>
          <cell r="B170" t="str">
            <v xml:space="preserve"> 18/06/2024 </v>
          </cell>
          <cell r="C170" t="str">
            <v>delhi</v>
          </cell>
          <cell r="D170" t="str">
            <v>DTDC</v>
          </cell>
          <cell r="E170" t="str">
            <v>road</v>
          </cell>
          <cell r="F170" t="str">
            <v>GROCERY &amp; FMCG</v>
          </cell>
          <cell r="G170" t="str">
            <v>east</v>
          </cell>
          <cell r="I170" t="str">
            <v>6.0KG</v>
          </cell>
          <cell r="J170" t="str">
            <v>242</v>
          </cell>
          <cell r="K170">
            <v>8</v>
          </cell>
          <cell r="L170" t="str">
            <v xml:space="preserve"> 25/06/2024 </v>
          </cell>
          <cell r="M170" t="str">
            <v>DELIVERED</v>
          </cell>
          <cell r="N170">
            <v>5</v>
          </cell>
          <cell r="O170" t="str">
            <v>no</v>
          </cell>
        </row>
        <row r="171">
          <cell r="A171" t="str">
            <v>SHP-101573</v>
          </cell>
          <cell r="B171" t="str">
            <v xml:space="preserve"> 20/01/2024 </v>
          </cell>
          <cell r="C171" t="str">
            <v>CHENNAI</v>
          </cell>
          <cell r="D171" t="str">
            <v>ecom express</v>
          </cell>
          <cell r="E171" t="str">
            <v xml:space="preserve">surface </v>
          </cell>
          <cell r="F171" t="str">
            <v>Automotive Parts</v>
          </cell>
          <cell r="G171" t="str">
            <v>NORTH</v>
          </cell>
          <cell r="I171" t="str">
            <v>21.8kg</v>
          </cell>
          <cell r="J171" t="str">
            <v xml:space="preserve">Rs 668 </v>
          </cell>
          <cell r="K171">
            <v>6</v>
          </cell>
          <cell r="L171" t="str">
            <v xml:space="preserve"> 04/02/2024 </v>
          </cell>
          <cell r="M171" t="str">
            <v>Delayed</v>
          </cell>
          <cell r="N171">
            <v>1</v>
          </cell>
          <cell r="O171" t="str">
            <v>N</v>
          </cell>
        </row>
        <row r="172">
          <cell r="A172" t="str">
            <v>SHP-100969</v>
          </cell>
          <cell r="B172" t="str">
            <v>07/03/2024</v>
          </cell>
          <cell r="C172" t="str">
            <v xml:space="preserve"> MUMBAI </v>
          </cell>
          <cell r="D172" t="str">
            <v>Ecom Express</v>
          </cell>
          <cell r="E172" t="str">
            <v>Surface</v>
          </cell>
          <cell r="F172" t="str">
            <v>automotive parts</v>
          </cell>
          <cell r="G172" t="str">
            <v xml:space="preserve">south </v>
          </cell>
          <cell r="I172" t="str">
            <v xml:space="preserve">24.9 Kg </v>
          </cell>
          <cell r="J172" t="str">
            <v xml:space="preserve">Rs 680 </v>
          </cell>
          <cell r="K172">
            <v>6</v>
          </cell>
          <cell r="L172" t="str">
            <v>2024-03-19</v>
          </cell>
          <cell r="M172" t="str">
            <v>Delayed</v>
          </cell>
          <cell r="N172">
            <v>5</v>
          </cell>
          <cell r="O172" t="str">
            <v>No</v>
          </cell>
        </row>
        <row r="173">
          <cell r="A173" t="str">
            <v>SHP-100992</v>
          </cell>
          <cell r="B173" t="str">
            <v xml:space="preserve"> 01/03/2024 </v>
          </cell>
          <cell r="C173" t="str">
            <v>CHENNAI</v>
          </cell>
          <cell r="D173" t="str">
            <v xml:space="preserve"> Delhivery</v>
          </cell>
          <cell r="E173" t="str">
            <v>air</v>
          </cell>
          <cell r="F173" t="str">
            <v>grocery &amp; fmcg</v>
          </cell>
          <cell r="G173" t="str">
            <v xml:space="preserve"> WEST </v>
          </cell>
          <cell r="I173" t="str">
            <v>3.1</v>
          </cell>
          <cell r="J173" t="str">
            <v>₹329</v>
          </cell>
          <cell r="K173">
            <v>4</v>
          </cell>
          <cell r="L173" t="str">
            <v>06/03/2024</v>
          </cell>
          <cell r="M173" t="str">
            <v>DELAYED</v>
          </cell>
          <cell r="N173">
            <v>3</v>
          </cell>
          <cell r="O173" t="str">
            <v xml:space="preserve"> No</v>
          </cell>
        </row>
        <row r="174">
          <cell r="A174" t="str">
            <v>SHP-100263</v>
          </cell>
          <cell r="B174" t="str">
            <v>2024-03-18</v>
          </cell>
          <cell r="C174" t="str">
            <v xml:space="preserve"> MUMBAI </v>
          </cell>
          <cell r="D174" t="str">
            <v xml:space="preserve">Dtdc </v>
          </cell>
          <cell r="E174" t="str">
            <v>ROAD</v>
          </cell>
          <cell r="F174" t="str">
            <v xml:space="preserve"> GROCERY &amp; FMCG </v>
          </cell>
          <cell r="G174" t="str">
            <v>east</v>
          </cell>
          <cell r="I174" t="str">
            <v>2.2KG</v>
          </cell>
          <cell r="J174" t="str">
            <v>163</v>
          </cell>
          <cell r="K174">
            <v>8</v>
          </cell>
          <cell r="L174" t="str">
            <v>2024-03-28</v>
          </cell>
          <cell r="M174" t="str">
            <v>Delayed</v>
          </cell>
          <cell r="N174">
            <v>1</v>
          </cell>
          <cell r="O174" t="str">
            <v>YES</v>
          </cell>
        </row>
        <row r="175">
          <cell r="A175" t="str">
            <v>SHP-100945</v>
          </cell>
          <cell r="B175" t="str">
            <v xml:space="preserve"> 07/03/2024 </v>
          </cell>
          <cell r="C175" t="str">
            <v>HYDERABAD</v>
          </cell>
          <cell r="D175" t="str">
            <v xml:space="preserve"> DTDC</v>
          </cell>
          <cell r="E175" t="str">
            <v>Surface</v>
          </cell>
          <cell r="F175" t="str">
            <v>ELECTRONICS</v>
          </cell>
          <cell r="G175" t="str">
            <v xml:space="preserve">south </v>
          </cell>
          <cell r="I175" t="str">
            <v>1.1</v>
          </cell>
          <cell r="J175" t="str">
            <v>195</v>
          </cell>
          <cell r="K175">
            <v>6</v>
          </cell>
          <cell r="L175" t="str">
            <v xml:space="preserve"> 14/03/2024 </v>
          </cell>
          <cell r="M175" t="str">
            <v>DELAYED</v>
          </cell>
          <cell r="N175">
            <v>4</v>
          </cell>
          <cell r="O175" t="str">
            <v>YES</v>
          </cell>
        </row>
        <row r="176">
          <cell r="A176" t="str">
            <v>SHP-101173</v>
          </cell>
          <cell r="B176" t="str">
            <v>02-Mar-2024</v>
          </cell>
          <cell r="C176" t="str">
            <v>BENGALURU</v>
          </cell>
          <cell r="D176" t="str">
            <v>Blue Dart</v>
          </cell>
          <cell r="E176" t="str">
            <v xml:space="preserve">air </v>
          </cell>
          <cell r="F176" t="str">
            <v xml:space="preserve">apparel </v>
          </cell>
          <cell r="G176" t="str">
            <v>east</v>
          </cell>
          <cell r="I176" t="str">
            <v>4.6KG</v>
          </cell>
          <cell r="J176" t="str">
            <v>331</v>
          </cell>
          <cell r="K176">
            <v>4</v>
          </cell>
          <cell r="L176" t="str">
            <v xml:space="preserve"> 07/03/2024 </v>
          </cell>
          <cell r="M176" t="str">
            <v xml:space="preserve"> Delayed</v>
          </cell>
          <cell r="N176">
            <v>2</v>
          </cell>
          <cell r="O176" t="str">
            <v>No</v>
          </cell>
        </row>
        <row r="177">
          <cell r="A177" t="str">
            <v>SHP-101206</v>
          </cell>
          <cell r="B177" t="str">
            <v>17/05/2024</v>
          </cell>
          <cell r="C177" t="str">
            <v>CHENNAI</v>
          </cell>
          <cell r="D177" t="str">
            <v>Blue Dart</v>
          </cell>
          <cell r="E177" t="str">
            <v xml:space="preserve"> SURFACE </v>
          </cell>
          <cell r="F177" t="str">
            <v xml:space="preserve">  PHARMA </v>
          </cell>
          <cell r="G177" t="str">
            <v>east</v>
          </cell>
          <cell r="I177" t="str">
            <v>3.4</v>
          </cell>
          <cell r="J177" t="str">
            <v>₹264</v>
          </cell>
          <cell r="K177">
            <v>6</v>
          </cell>
          <cell r="L177" t="str">
            <v>28/05/2024</v>
          </cell>
          <cell r="M177" t="str">
            <v>Delayed</v>
          </cell>
          <cell r="N177">
            <v>3</v>
          </cell>
          <cell r="O177" t="str">
            <v>No</v>
          </cell>
        </row>
        <row r="178">
          <cell r="A178" t="str">
            <v>SHP-101115</v>
          </cell>
          <cell r="B178" t="str">
            <v>17-Jan-2024</v>
          </cell>
          <cell r="C178" t="str">
            <v>Kolkata</v>
          </cell>
          <cell r="D178" t="str">
            <v xml:space="preserve">BLUEDART </v>
          </cell>
          <cell r="E178" t="str">
            <v>road</v>
          </cell>
          <cell r="F178" t="str">
            <v>Grocery &amp; FMCG</v>
          </cell>
          <cell r="G178" t="str">
            <v xml:space="preserve">south </v>
          </cell>
          <cell r="I178" t="str">
            <v>10.7</v>
          </cell>
          <cell r="J178" t="str">
            <v>₹306</v>
          </cell>
          <cell r="K178">
            <v>8</v>
          </cell>
          <cell r="L178" t="str">
            <v>25/01/2024</v>
          </cell>
          <cell r="M178" t="str">
            <v xml:space="preserve"> Delivered</v>
          </cell>
          <cell r="N178">
            <v>1</v>
          </cell>
          <cell r="O178" t="str">
            <v>N</v>
          </cell>
        </row>
        <row r="179">
          <cell r="A179" t="str">
            <v>SHP-101485</v>
          </cell>
          <cell r="B179" t="str">
            <v>13-Mar-2024</v>
          </cell>
          <cell r="C179" t="str">
            <v xml:space="preserve"> KOLKATA </v>
          </cell>
          <cell r="D179" t="str">
            <v>Blue Dart</v>
          </cell>
          <cell r="E179" t="str">
            <v xml:space="preserve"> ROAD </v>
          </cell>
          <cell r="F179" t="str">
            <v xml:space="preserve">apparel  </v>
          </cell>
          <cell r="G179" t="str">
            <v xml:space="preserve">south </v>
          </cell>
          <cell r="I179" t="str">
            <v>6.2kg</v>
          </cell>
          <cell r="J179" t="str">
            <v>223</v>
          </cell>
          <cell r="K179">
            <v>8</v>
          </cell>
          <cell r="L179" t="str">
            <v>2024-03-20</v>
          </cell>
          <cell r="M179" t="str">
            <v>Delivered</v>
          </cell>
          <cell r="N179">
            <v>4</v>
          </cell>
          <cell r="O179" t="str">
            <v>No</v>
          </cell>
        </row>
        <row r="180">
          <cell r="A180" t="str">
            <v>SHP-100782</v>
          </cell>
          <cell r="B180" t="str">
            <v>17-Apr-2024</v>
          </cell>
          <cell r="C180" t="str">
            <v xml:space="preserve"> CHENNAI </v>
          </cell>
          <cell r="D180" t="str">
            <v>ECOM EXPRESS</v>
          </cell>
          <cell r="E180" t="str">
            <v xml:space="preserve"> AIR </v>
          </cell>
          <cell r="F180" t="str">
            <v>FURNITURE</v>
          </cell>
          <cell r="G180" t="str">
            <v>SOUTH</v>
          </cell>
          <cell r="I180" t="str">
            <v>76.1KG</v>
          </cell>
          <cell r="J180" t="str">
            <v>₹3,434</v>
          </cell>
          <cell r="K180">
            <v>2</v>
          </cell>
          <cell r="L180" t="str">
            <v>18/04/2024</v>
          </cell>
          <cell r="M180" t="str">
            <v>Delivered</v>
          </cell>
          <cell r="N180">
            <v>4</v>
          </cell>
          <cell r="O180" t="str">
            <v>no</v>
          </cell>
        </row>
        <row r="181">
          <cell r="A181" t="str">
            <v>SHP-100236</v>
          </cell>
          <cell r="B181" t="str">
            <v>02/05/2024</v>
          </cell>
          <cell r="C181" t="str">
            <v xml:space="preserve"> KOLKATA </v>
          </cell>
          <cell r="D181" t="str">
            <v>Delhivery</v>
          </cell>
          <cell r="E181" t="str">
            <v xml:space="preserve"> AIR </v>
          </cell>
          <cell r="F181" t="str">
            <v>Grocery  &amp; FMCG</v>
          </cell>
          <cell r="G181" t="str">
            <v>NORTH</v>
          </cell>
          <cell r="I181" t="str">
            <v>12.5</v>
          </cell>
          <cell r="J181" t="str">
            <v>₹719</v>
          </cell>
          <cell r="K181">
            <v>4</v>
          </cell>
          <cell r="L181" t="str">
            <v>06-May-2024</v>
          </cell>
          <cell r="M181" t="str">
            <v>DELIVERED</v>
          </cell>
          <cell r="N181">
            <v>5</v>
          </cell>
          <cell r="O181" t="str">
            <v xml:space="preserve">yes </v>
          </cell>
        </row>
        <row r="182">
          <cell r="A182" t="str">
            <v>SHP-100476</v>
          </cell>
          <cell r="B182" t="str">
            <v xml:space="preserve"> 27/01/2024 </v>
          </cell>
          <cell r="C182" t="str">
            <v>Chennai</v>
          </cell>
          <cell r="D182" t="str">
            <v>Ecom Express</v>
          </cell>
          <cell r="E182" t="str">
            <v>SURFACE</v>
          </cell>
          <cell r="F182" t="str">
            <v>Furniture</v>
          </cell>
          <cell r="G182" t="str">
            <v>west</v>
          </cell>
          <cell r="I182" t="str">
            <v>68.5kg</v>
          </cell>
          <cell r="J182" t="str">
            <v xml:space="preserve">Rs 1689 </v>
          </cell>
          <cell r="K182">
            <v>6</v>
          </cell>
          <cell r="L182" t="str">
            <v>2024-02-03</v>
          </cell>
          <cell r="M182" t="str">
            <v>Delayed</v>
          </cell>
          <cell r="N182">
            <v>3</v>
          </cell>
          <cell r="O182" t="str">
            <v>YES</v>
          </cell>
        </row>
        <row r="183">
          <cell r="A183" t="str">
            <v>SHP-100649</v>
          </cell>
          <cell r="B183" t="str">
            <v xml:space="preserve"> 05/06/2024 </v>
          </cell>
          <cell r="C183" t="str">
            <v>Mumbai</v>
          </cell>
          <cell r="D183" t="str">
            <v xml:space="preserve"> XPRESSBEES</v>
          </cell>
          <cell r="E183" t="str">
            <v xml:space="preserve">surface </v>
          </cell>
          <cell r="F183" t="str">
            <v>PHARMA</v>
          </cell>
          <cell r="G183" t="str">
            <v xml:space="preserve"> NORTH </v>
          </cell>
          <cell r="I183" t="str">
            <v>3.7KG</v>
          </cell>
          <cell r="J183" t="str">
            <v xml:space="preserve">Rs 238 </v>
          </cell>
          <cell r="K183">
            <v>6</v>
          </cell>
          <cell r="L183" t="str">
            <v>10/06/2024</v>
          </cell>
          <cell r="M183" t="str">
            <v>DELIVERED</v>
          </cell>
          <cell r="N183">
            <v>5</v>
          </cell>
          <cell r="O183" t="str">
            <v>Yes</v>
          </cell>
        </row>
        <row r="184">
          <cell r="A184" t="str">
            <v>SHP-100897</v>
          </cell>
          <cell r="B184" t="str">
            <v>19/06/2024</v>
          </cell>
          <cell r="C184" t="str">
            <v xml:space="preserve">mumbai </v>
          </cell>
          <cell r="D184" t="str">
            <v>Ecom  Express</v>
          </cell>
          <cell r="E184" t="str">
            <v>Surface</v>
          </cell>
          <cell r="F184" t="str">
            <v>PHARMA</v>
          </cell>
          <cell r="G184" t="str">
            <v xml:space="preserve"> WEST </v>
          </cell>
          <cell r="I184" t="str">
            <v>2.1</v>
          </cell>
          <cell r="J184" t="str">
            <v>81</v>
          </cell>
          <cell r="K184">
            <v>4</v>
          </cell>
          <cell r="L184" t="str">
            <v>22/06/2024</v>
          </cell>
          <cell r="M184" t="str">
            <v xml:space="preserve"> Delivered</v>
          </cell>
          <cell r="N184">
            <v>4</v>
          </cell>
          <cell r="O184" t="str">
            <v>Yes</v>
          </cell>
        </row>
        <row r="185">
          <cell r="A185" t="str">
            <v>SHP-101114</v>
          </cell>
          <cell r="B185" t="str">
            <v>2024-02-10</v>
          </cell>
          <cell r="C185" t="str">
            <v>MUMBAI</v>
          </cell>
          <cell r="D185" t="str">
            <v>ECOM EXPRESS</v>
          </cell>
          <cell r="E185" t="str">
            <v xml:space="preserve">air </v>
          </cell>
          <cell r="F185" t="str">
            <v>GROCERY &amp; FMCG</v>
          </cell>
          <cell r="G185" t="str">
            <v xml:space="preserve">east </v>
          </cell>
          <cell r="I185" t="str">
            <v>14.7</v>
          </cell>
          <cell r="J185" t="str">
            <v>856</v>
          </cell>
          <cell r="K185">
            <v>4</v>
          </cell>
          <cell r="L185" t="str">
            <v>2024-02-13</v>
          </cell>
          <cell r="M185" t="str">
            <v>DELIVERED</v>
          </cell>
          <cell r="N185">
            <v>4</v>
          </cell>
          <cell r="O185" t="str">
            <v>No</v>
          </cell>
        </row>
        <row r="186">
          <cell r="A186" t="str">
            <v>SHP-100491</v>
          </cell>
          <cell r="B186" t="str">
            <v>2024-05-08</v>
          </cell>
          <cell r="C186" t="str">
            <v xml:space="preserve">kolkata </v>
          </cell>
          <cell r="D186" t="str">
            <v>Delhivery</v>
          </cell>
          <cell r="E186" t="str">
            <v>air</v>
          </cell>
          <cell r="F186" t="str">
            <v>Furniture</v>
          </cell>
          <cell r="G186" t="str">
            <v>South</v>
          </cell>
          <cell r="I186" t="str">
            <v>72.3</v>
          </cell>
          <cell r="J186" t="str">
            <v>₹3,409</v>
          </cell>
          <cell r="K186">
            <v>4</v>
          </cell>
          <cell r="L186" t="str">
            <v>12/05/2024</v>
          </cell>
          <cell r="M186" t="str">
            <v>returned</v>
          </cell>
          <cell r="O186" t="str">
            <v>Y</v>
          </cell>
        </row>
        <row r="187">
          <cell r="A187" t="str">
            <v>SHP-100617</v>
          </cell>
          <cell r="B187" t="str">
            <v xml:space="preserve"> 06/05/2024 </v>
          </cell>
          <cell r="C187" t="str">
            <v>bengaluru</v>
          </cell>
          <cell r="D187" t="str">
            <v>Ecom Express</v>
          </cell>
          <cell r="E187" t="str">
            <v>SURFACE</v>
          </cell>
          <cell r="F187" t="str">
            <v xml:space="preserve"> APPAREL </v>
          </cell>
          <cell r="G187" t="str">
            <v>South</v>
          </cell>
          <cell r="I187" t="str">
            <v xml:space="preserve">2.8 Kg </v>
          </cell>
          <cell r="J187" t="str">
            <v>₹80</v>
          </cell>
          <cell r="K187">
            <v>4</v>
          </cell>
          <cell r="L187" t="str">
            <v>2024-05-11</v>
          </cell>
          <cell r="M187" t="str">
            <v>Delayed</v>
          </cell>
          <cell r="N187">
            <v>1</v>
          </cell>
          <cell r="O187" t="str">
            <v>Yes</v>
          </cell>
        </row>
        <row r="188">
          <cell r="A188" t="str">
            <v>SHP-101149</v>
          </cell>
          <cell r="B188" t="str">
            <v>2024-04-28</v>
          </cell>
          <cell r="C188" t="str">
            <v>KOLKATA</v>
          </cell>
          <cell r="D188" t="str">
            <v>Delhivery</v>
          </cell>
          <cell r="E188" t="str">
            <v>surface</v>
          </cell>
          <cell r="F188" t="str">
            <v xml:space="preserve">apparel </v>
          </cell>
          <cell r="G188" t="str">
            <v>NORTH</v>
          </cell>
          <cell r="I188" t="str">
            <v>7.6kg</v>
          </cell>
          <cell r="J188" t="str">
            <v xml:space="preserve">Rs 314 </v>
          </cell>
          <cell r="K188">
            <v>6</v>
          </cell>
          <cell r="L188" t="str">
            <v>2024-05-04</v>
          </cell>
          <cell r="M188" t="str">
            <v>Delivered</v>
          </cell>
          <cell r="N188">
            <v>5</v>
          </cell>
          <cell r="O188" t="str">
            <v>No</v>
          </cell>
        </row>
        <row r="189">
          <cell r="A189" t="str">
            <v>SHP-100946</v>
          </cell>
          <cell r="B189" t="str">
            <v>24-May-2024</v>
          </cell>
          <cell r="C189" t="str">
            <v>mumbai</v>
          </cell>
          <cell r="D189" t="str">
            <v xml:space="preserve"> DTDC</v>
          </cell>
          <cell r="E189" t="str">
            <v xml:space="preserve"> AIR </v>
          </cell>
          <cell r="F189" t="str">
            <v>Pharma</v>
          </cell>
          <cell r="G189" t="str">
            <v>EAST</v>
          </cell>
          <cell r="I189" t="str">
            <v>2.3KG</v>
          </cell>
          <cell r="J189" t="str">
            <v xml:space="preserve">Rs 233 </v>
          </cell>
          <cell r="K189">
            <v>4</v>
          </cell>
          <cell r="L189" t="str">
            <v>2024-05-29</v>
          </cell>
          <cell r="M189" t="str">
            <v xml:space="preserve">delayed </v>
          </cell>
          <cell r="N189">
            <v>2</v>
          </cell>
          <cell r="O189" t="str">
            <v>Y</v>
          </cell>
        </row>
        <row r="190">
          <cell r="A190" t="str">
            <v>SHP-100956</v>
          </cell>
          <cell r="B190" t="str">
            <v>21-May-2024</v>
          </cell>
          <cell r="C190" t="str">
            <v xml:space="preserve">mumbai </v>
          </cell>
          <cell r="D190" t="str">
            <v>bluedart</v>
          </cell>
          <cell r="E190" t="str">
            <v xml:space="preserve"> AIR </v>
          </cell>
          <cell r="F190" t="str">
            <v>Automotive Parts</v>
          </cell>
          <cell r="G190" t="str">
            <v>west</v>
          </cell>
          <cell r="I190" t="str">
            <v>38.8KG</v>
          </cell>
          <cell r="J190" t="str">
            <v xml:space="preserve">Rs 1805 </v>
          </cell>
          <cell r="K190">
            <v>2</v>
          </cell>
          <cell r="L190" t="str">
            <v xml:space="preserve"> 29/05/2024 </v>
          </cell>
          <cell r="M190" t="str">
            <v>Delayed</v>
          </cell>
          <cell r="N190">
            <v>3</v>
          </cell>
          <cell r="O190" t="str">
            <v>N</v>
          </cell>
        </row>
        <row r="191">
          <cell r="A191" t="str">
            <v>SHP-100615</v>
          </cell>
          <cell r="B191" t="str">
            <v>05-Jun-2024</v>
          </cell>
          <cell r="C191" t="str">
            <v>delhi</v>
          </cell>
          <cell r="D191" t="str">
            <v>Xpress Bees</v>
          </cell>
          <cell r="E191" t="str">
            <v>surface</v>
          </cell>
          <cell r="F191" t="str">
            <v>electronics</v>
          </cell>
          <cell r="G191" t="str">
            <v>NORTH</v>
          </cell>
          <cell r="I191" t="str">
            <v>4.9</v>
          </cell>
          <cell r="J191" t="str">
            <v xml:space="preserve">Rs 160 </v>
          </cell>
          <cell r="K191">
            <v>4</v>
          </cell>
          <cell r="L191" t="str">
            <v>08/06/2024</v>
          </cell>
          <cell r="M191" t="str">
            <v>damaged</v>
          </cell>
          <cell r="O191" t="str">
            <v xml:space="preserve"> No</v>
          </cell>
        </row>
        <row r="192">
          <cell r="A192" t="str">
            <v>SHP-101266</v>
          </cell>
          <cell r="B192" t="str">
            <v>2024-04-18</v>
          </cell>
          <cell r="C192" t="str">
            <v>mumbai</v>
          </cell>
          <cell r="D192" t="str">
            <v>Delhivery</v>
          </cell>
          <cell r="E192" t="str">
            <v>Road</v>
          </cell>
          <cell r="F192" t="str">
            <v xml:space="preserve">pharma </v>
          </cell>
          <cell r="G192" t="str">
            <v xml:space="preserve"> NORTH </v>
          </cell>
          <cell r="I192" t="str">
            <v xml:space="preserve">4.9 Kg </v>
          </cell>
          <cell r="J192" t="str">
            <v xml:space="preserve">Rs 251 </v>
          </cell>
          <cell r="K192">
            <v>8</v>
          </cell>
          <cell r="L192" t="str">
            <v>27/04/2024</v>
          </cell>
          <cell r="M192" t="str">
            <v>DELAYED</v>
          </cell>
          <cell r="N192">
            <v>2</v>
          </cell>
          <cell r="O192" t="str">
            <v>N</v>
          </cell>
        </row>
        <row r="193">
          <cell r="A193" t="str">
            <v>SHP-101224</v>
          </cell>
          <cell r="B193" t="str">
            <v>2024-04-16</v>
          </cell>
          <cell r="C193" t="str">
            <v>bengaluru</v>
          </cell>
          <cell r="D193" t="str">
            <v xml:space="preserve"> Delhivery</v>
          </cell>
          <cell r="E193" t="str">
            <v xml:space="preserve">road </v>
          </cell>
          <cell r="F193" t="str">
            <v>automotive parts</v>
          </cell>
          <cell r="G193" t="str">
            <v xml:space="preserve">north </v>
          </cell>
          <cell r="I193" t="str">
            <v>24.8</v>
          </cell>
          <cell r="J193" t="str">
            <v>₹524</v>
          </cell>
          <cell r="K193">
            <v>8</v>
          </cell>
          <cell r="L193" t="str">
            <v>2024-04-24</v>
          </cell>
          <cell r="M193" t="str">
            <v xml:space="preserve"> Delivered</v>
          </cell>
          <cell r="N193">
            <v>5</v>
          </cell>
          <cell r="O193" t="str">
            <v xml:space="preserve"> No</v>
          </cell>
        </row>
        <row r="194">
          <cell r="A194" t="str">
            <v>SHP-100519</v>
          </cell>
          <cell r="B194" t="str">
            <v>2024-06-08</v>
          </cell>
          <cell r="C194" t="str">
            <v>Chennai</v>
          </cell>
          <cell r="D194" t="str">
            <v xml:space="preserve">BLUEDART </v>
          </cell>
          <cell r="E194" t="str">
            <v xml:space="preserve">road </v>
          </cell>
          <cell r="F194" t="str">
            <v xml:space="preserve">electronics </v>
          </cell>
          <cell r="G194" t="str">
            <v>north</v>
          </cell>
          <cell r="I194" t="str">
            <v>11.8KG</v>
          </cell>
          <cell r="J194" t="str">
            <v>294</v>
          </cell>
          <cell r="K194">
            <v>8</v>
          </cell>
          <cell r="L194" t="str">
            <v xml:space="preserve"> 17/06/2024 </v>
          </cell>
          <cell r="M194" t="str">
            <v>DELAYED</v>
          </cell>
          <cell r="N194">
            <v>1</v>
          </cell>
          <cell r="O194" t="str">
            <v>YES</v>
          </cell>
        </row>
        <row r="195">
          <cell r="A195" t="str">
            <v>SHP-101515</v>
          </cell>
          <cell r="B195" t="str">
            <v>11-Jan-2024</v>
          </cell>
          <cell r="C195" t="str">
            <v>CHENNAI</v>
          </cell>
          <cell r="D195" t="str">
            <v>DELHIVERY</v>
          </cell>
          <cell r="E195" t="str">
            <v xml:space="preserve"> ROAD </v>
          </cell>
          <cell r="F195" t="str">
            <v>pharma</v>
          </cell>
          <cell r="G195" t="str">
            <v>EAST</v>
          </cell>
          <cell r="I195" t="str">
            <v>2.4kg</v>
          </cell>
          <cell r="J195" t="str">
            <v xml:space="preserve">Rs 210 </v>
          </cell>
          <cell r="K195">
            <v>8</v>
          </cell>
          <cell r="L195" t="str">
            <v>23-Jan-2024</v>
          </cell>
          <cell r="M195" t="str">
            <v>DELAYED</v>
          </cell>
          <cell r="N195">
            <v>2</v>
          </cell>
          <cell r="O195" t="str">
            <v>YES</v>
          </cell>
        </row>
        <row r="196">
          <cell r="A196" t="str">
            <v>SHP-101010</v>
          </cell>
          <cell r="B196" t="str">
            <v>25/06/2024</v>
          </cell>
          <cell r="C196" t="str">
            <v>mumbai</v>
          </cell>
          <cell r="D196" t="str">
            <v>XpressBees</v>
          </cell>
          <cell r="E196" t="str">
            <v xml:space="preserve">air </v>
          </cell>
          <cell r="F196" t="str">
            <v xml:space="preserve">pharma </v>
          </cell>
          <cell r="G196" t="str">
            <v>south</v>
          </cell>
          <cell r="I196" t="str">
            <v>4.3</v>
          </cell>
          <cell r="J196" t="str">
            <v>₹371</v>
          </cell>
          <cell r="K196">
            <v>4</v>
          </cell>
          <cell r="L196" t="str">
            <v>29-Jun-2024</v>
          </cell>
          <cell r="M196" t="str">
            <v xml:space="preserve"> Delivered</v>
          </cell>
          <cell r="N196">
            <v>2</v>
          </cell>
          <cell r="O196" t="str">
            <v>YES</v>
          </cell>
        </row>
        <row r="197">
          <cell r="A197" t="str">
            <v>SHP-101334</v>
          </cell>
          <cell r="B197" t="str">
            <v>26-Jun-2024</v>
          </cell>
          <cell r="C197" t="str">
            <v>delhi</v>
          </cell>
          <cell r="D197" t="str">
            <v>bluedart</v>
          </cell>
          <cell r="E197" t="str">
            <v>Air</v>
          </cell>
          <cell r="F197" t="str">
            <v xml:space="preserve">apparel </v>
          </cell>
          <cell r="G197" t="str">
            <v>west</v>
          </cell>
          <cell r="I197" t="str">
            <v>0.7kg</v>
          </cell>
          <cell r="J197" t="str">
            <v>₹187</v>
          </cell>
          <cell r="K197">
            <v>4</v>
          </cell>
          <cell r="L197" t="str">
            <v>30-Jun-2024</v>
          </cell>
          <cell r="M197" t="str">
            <v>DELIVERED</v>
          </cell>
          <cell r="N197">
            <v>4</v>
          </cell>
          <cell r="O197" t="str">
            <v>Y</v>
          </cell>
        </row>
        <row r="198">
          <cell r="A198" t="str">
            <v>SHP-101160</v>
          </cell>
          <cell r="B198" t="str">
            <v>16/03/2024</v>
          </cell>
          <cell r="C198" t="str">
            <v xml:space="preserve">delhi </v>
          </cell>
          <cell r="D198" t="str">
            <v xml:space="preserve">Dtdc </v>
          </cell>
          <cell r="E198" t="str">
            <v>road</v>
          </cell>
          <cell r="F198" t="str">
            <v>Electronics</v>
          </cell>
          <cell r="G198" t="str">
            <v>west</v>
          </cell>
          <cell r="I198" t="str">
            <v>13.3kg</v>
          </cell>
          <cell r="J198" t="str">
            <v>₹369</v>
          </cell>
          <cell r="K198">
            <v>8</v>
          </cell>
          <cell r="L198" t="str">
            <v>29-Mar-2024</v>
          </cell>
          <cell r="M198" t="str">
            <v>Delayed</v>
          </cell>
          <cell r="N198">
            <v>3</v>
          </cell>
          <cell r="O198" t="str">
            <v>N</v>
          </cell>
        </row>
        <row r="199">
          <cell r="A199" t="str">
            <v>SHP-101529</v>
          </cell>
          <cell r="B199" t="str">
            <v xml:space="preserve"> 22/05/2024 </v>
          </cell>
          <cell r="C199" t="str">
            <v>BENGALURU</v>
          </cell>
          <cell r="D199" t="str">
            <v>XpressBees</v>
          </cell>
          <cell r="E199" t="str">
            <v>Air</v>
          </cell>
          <cell r="F199" t="str">
            <v xml:space="preserve"> FURNITURE </v>
          </cell>
          <cell r="G199" t="str">
            <v xml:space="preserve"> EAST </v>
          </cell>
          <cell r="I199" t="str">
            <v>37.8</v>
          </cell>
          <cell r="J199" t="str">
            <v>1,857</v>
          </cell>
          <cell r="K199">
            <v>4</v>
          </cell>
          <cell r="L199" t="str">
            <v>25-May-2024</v>
          </cell>
          <cell r="M199" t="str">
            <v>delivered</v>
          </cell>
          <cell r="N199">
            <v>5</v>
          </cell>
          <cell r="O199" t="str">
            <v>Y</v>
          </cell>
        </row>
        <row r="200">
          <cell r="A200" t="str">
            <v>SHP-101215</v>
          </cell>
          <cell r="B200" t="str">
            <v>10/03/2024</v>
          </cell>
          <cell r="C200" t="str">
            <v>MUMBAI</v>
          </cell>
          <cell r="D200" t="str">
            <v>bluedart</v>
          </cell>
          <cell r="E200" t="str">
            <v>Surface</v>
          </cell>
          <cell r="F200" t="str">
            <v>Grocery &amp; FMCG</v>
          </cell>
          <cell r="G200" t="str">
            <v xml:space="preserve"> NORTH </v>
          </cell>
          <cell r="I200" t="str">
            <v xml:space="preserve">15.8 Kg </v>
          </cell>
          <cell r="J200" t="str">
            <v>557</v>
          </cell>
          <cell r="K200">
            <v>6</v>
          </cell>
          <cell r="L200" t="str">
            <v xml:space="preserve"> 15/03/2024 </v>
          </cell>
          <cell r="M200" t="str">
            <v>DELIVERED</v>
          </cell>
          <cell r="N200">
            <v>5</v>
          </cell>
          <cell r="O200" t="str">
            <v>Yes</v>
          </cell>
        </row>
        <row r="201">
          <cell r="A201" t="str">
            <v>SHP-101112</v>
          </cell>
          <cell r="B201" t="str">
            <v>2024-02-08</v>
          </cell>
          <cell r="C201" t="str">
            <v>KOLKATA</v>
          </cell>
          <cell r="D201" t="str">
            <v>DELHIVERY</v>
          </cell>
          <cell r="E201" t="str">
            <v xml:space="preserve"> AIR </v>
          </cell>
          <cell r="F201" t="str">
            <v xml:space="preserve">  AUTOMOTIVE PARTS </v>
          </cell>
          <cell r="G201" t="str">
            <v>SOUTH</v>
          </cell>
          <cell r="I201" t="str">
            <v xml:space="preserve">17.4 Kg </v>
          </cell>
          <cell r="J201" t="str">
            <v>939</v>
          </cell>
          <cell r="K201">
            <v>4</v>
          </cell>
          <cell r="L201" t="str">
            <v xml:space="preserve"> 13/02/2024 </v>
          </cell>
          <cell r="M201" t="str">
            <v>Delayed</v>
          </cell>
          <cell r="N201">
            <v>3</v>
          </cell>
          <cell r="O201" t="str">
            <v>Yes</v>
          </cell>
        </row>
        <row r="202">
          <cell r="A202" t="str">
            <v>SHP-101472</v>
          </cell>
          <cell r="B202" t="str">
            <v>22-Jun-2024</v>
          </cell>
          <cell r="C202" t="str">
            <v>Mumbai</v>
          </cell>
          <cell r="D202" t="str">
            <v>xpressbees</v>
          </cell>
          <cell r="E202" t="str">
            <v>Road</v>
          </cell>
          <cell r="F202" t="str">
            <v>Automotive Parts</v>
          </cell>
          <cell r="G202" t="str">
            <v>NORTH</v>
          </cell>
          <cell r="I202" t="str">
            <v>20.7kg</v>
          </cell>
          <cell r="J202" t="str">
            <v xml:space="preserve">Rs 469 </v>
          </cell>
          <cell r="K202">
            <v>8</v>
          </cell>
          <cell r="L202" t="str">
            <v>03/07/2024</v>
          </cell>
          <cell r="M202" t="str">
            <v>Delayed</v>
          </cell>
          <cell r="N202">
            <v>2</v>
          </cell>
          <cell r="O202" t="str">
            <v xml:space="preserve"> No</v>
          </cell>
        </row>
        <row r="203">
          <cell r="A203" t="str">
            <v>SHP-100076</v>
          </cell>
          <cell r="B203" t="str">
            <v xml:space="preserve"> 06/02/2024 </v>
          </cell>
          <cell r="C203" t="str">
            <v xml:space="preserve">hyderabad </v>
          </cell>
          <cell r="D203" t="str">
            <v>DELHIVERY</v>
          </cell>
          <cell r="E203" t="str">
            <v xml:space="preserve"> SURFACE </v>
          </cell>
          <cell r="F203" t="str">
            <v xml:space="preserve"> GROCERY &amp; FMCG </v>
          </cell>
          <cell r="G203" t="str">
            <v xml:space="preserve"> SOUTH </v>
          </cell>
          <cell r="I203" t="str">
            <v>7.8kg</v>
          </cell>
          <cell r="J203" t="str">
            <v>₹336</v>
          </cell>
          <cell r="K203">
            <v>6</v>
          </cell>
          <cell r="L203" t="str">
            <v>2024-02-11</v>
          </cell>
          <cell r="M203" t="str">
            <v xml:space="preserve"> Delivered</v>
          </cell>
          <cell r="N203">
            <v>3</v>
          </cell>
          <cell r="O203" t="str">
            <v>Y</v>
          </cell>
        </row>
        <row r="204">
          <cell r="A204" t="str">
            <v>SHP-100721</v>
          </cell>
          <cell r="B204" t="str">
            <v xml:space="preserve"> 20/06/2024 </v>
          </cell>
          <cell r="C204" t="str">
            <v xml:space="preserve"> BENGALURU </v>
          </cell>
          <cell r="D204" t="str">
            <v>XpressBees</v>
          </cell>
          <cell r="E204" t="str">
            <v xml:space="preserve"> AIR </v>
          </cell>
          <cell r="F204" t="str">
            <v xml:space="preserve">grocery &amp; fmcg </v>
          </cell>
          <cell r="G204" t="str">
            <v>EAST</v>
          </cell>
          <cell r="I204" t="str">
            <v>14.2</v>
          </cell>
          <cell r="J204" t="str">
            <v xml:space="preserve">Rs 840 </v>
          </cell>
          <cell r="K204">
            <v>4</v>
          </cell>
          <cell r="L204" t="str">
            <v xml:space="preserve"> 25/06/2024 </v>
          </cell>
          <cell r="M204" t="str">
            <v>DELAYED</v>
          </cell>
          <cell r="N204">
            <v>2</v>
          </cell>
          <cell r="O204" t="str">
            <v>YES</v>
          </cell>
        </row>
        <row r="205">
          <cell r="A205" t="str">
            <v>SHP-100778</v>
          </cell>
          <cell r="B205" t="str">
            <v>11-Jun-2024</v>
          </cell>
          <cell r="C205" t="str">
            <v xml:space="preserve"> MUMBAI </v>
          </cell>
          <cell r="D205" t="str">
            <v>ecom express</v>
          </cell>
          <cell r="E205" t="str">
            <v xml:space="preserve">air </v>
          </cell>
          <cell r="F205" t="str">
            <v>AUTOMOTIVE PARTS</v>
          </cell>
          <cell r="G205" t="str">
            <v>NORTH</v>
          </cell>
          <cell r="I205" t="str">
            <v>26.7</v>
          </cell>
          <cell r="J205" t="str">
            <v>₹1,369</v>
          </cell>
          <cell r="K205">
            <v>4</v>
          </cell>
          <cell r="L205" t="str">
            <v>17/06/2024</v>
          </cell>
          <cell r="M205" t="str">
            <v>Delayed</v>
          </cell>
          <cell r="N205">
            <v>1</v>
          </cell>
          <cell r="O205" t="str">
            <v>Y</v>
          </cell>
        </row>
        <row r="206">
          <cell r="A206" t="str">
            <v>SHP-101046</v>
          </cell>
          <cell r="B206" t="str">
            <v>26/03/2024</v>
          </cell>
          <cell r="C206" t="str">
            <v>chennai</v>
          </cell>
          <cell r="D206" t="str">
            <v>BlueDart</v>
          </cell>
          <cell r="E206" t="str">
            <v>AIR</v>
          </cell>
          <cell r="F206" t="str">
            <v>grocery &amp; fmcg</v>
          </cell>
          <cell r="G206" t="str">
            <v>EAST</v>
          </cell>
          <cell r="I206" t="str">
            <v>14.7KG</v>
          </cell>
          <cell r="J206" t="str">
            <v xml:space="preserve">Rs 782 </v>
          </cell>
          <cell r="K206">
            <v>4</v>
          </cell>
          <cell r="L206" t="str">
            <v>2024-03-31</v>
          </cell>
          <cell r="M206" t="str">
            <v xml:space="preserve">delayed </v>
          </cell>
          <cell r="N206">
            <v>1</v>
          </cell>
          <cell r="O206" t="str">
            <v>No</v>
          </cell>
        </row>
        <row r="207">
          <cell r="A207" t="str">
            <v>SHP-100176</v>
          </cell>
          <cell r="B207" t="str">
            <v xml:space="preserve"> 27/04/2024 </v>
          </cell>
          <cell r="C207" t="str">
            <v xml:space="preserve"> HYDERABAD </v>
          </cell>
          <cell r="D207" t="str">
            <v xml:space="preserve"> Delhivery</v>
          </cell>
          <cell r="E207" t="str">
            <v xml:space="preserve">air </v>
          </cell>
          <cell r="F207" t="str">
            <v>Electronics</v>
          </cell>
          <cell r="G207" t="str">
            <v>West</v>
          </cell>
          <cell r="I207" t="str">
            <v>14.7kg</v>
          </cell>
          <cell r="J207" t="str">
            <v>715</v>
          </cell>
          <cell r="K207">
            <v>2</v>
          </cell>
          <cell r="L207" t="str">
            <v xml:space="preserve"> 28/04/2024 </v>
          </cell>
          <cell r="M207" t="str">
            <v>Delivered</v>
          </cell>
          <cell r="N207">
            <v>5</v>
          </cell>
          <cell r="O207" t="str">
            <v>Y</v>
          </cell>
        </row>
        <row r="208">
          <cell r="A208" t="str">
            <v>SHP-100225</v>
          </cell>
          <cell r="B208" t="str">
            <v>03-Jun-2024</v>
          </cell>
          <cell r="C208" t="str">
            <v>hyderabad</v>
          </cell>
          <cell r="D208" t="str">
            <v>Ecom Express</v>
          </cell>
          <cell r="E208" t="str">
            <v xml:space="preserve"> ROAD </v>
          </cell>
          <cell r="F208" t="str">
            <v xml:space="preserve">grocery  &amp; fmcg </v>
          </cell>
          <cell r="G208" t="str">
            <v>NORTH</v>
          </cell>
          <cell r="I208" t="str">
            <v xml:space="preserve">3.8 Kg </v>
          </cell>
          <cell r="J208" t="str">
            <v xml:space="preserve">Rs 200 </v>
          </cell>
          <cell r="K208">
            <v>8</v>
          </cell>
          <cell r="L208" t="str">
            <v>12/06/2024</v>
          </cell>
          <cell r="M208" t="str">
            <v xml:space="preserve"> Delayed</v>
          </cell>
          <cell r="N208">
            <v>1</v>
          </cell>
          <cell r="O208" t="str">
            <v>no</v>
          </cell>
        </row>
        <row r="209">
          <cell r="A209" t="str">
            <v>SHP-100107</v>
          </cell>
          <cell r="B209" t="str">
            <v>2024-01-12</v>
          </cell>
          <cell r="C209" t="str">
            <v xml:space="preserve">hyderabad </v>
          </cell>
          <cell r="D209" t="str">
            <v>Delhivery</v>
          </cell>
          <cell r="E209" t="str">
            <v xml:space="preserve"> AIR </v>
          </cell>
          <cell r="F209" t="str">
            <v xml:space="preserve">  APPAREL </v>
          </cell>
          <cell r="G209" t="str">
            <v>EAST</v>
          </cell>
          <cell r="I209" t="str">
            <v>6.5KG</v>
          </cell>
          <cell r="J209" t="str">
            <v xml:space="preserve">Rs 440 </v>
          </cell>
          <cell r="K209">
            <v>4</v>
          </cell>
          <cell r="L209" t="str">
            <v>2024-01-17</v>
          </cell>
          <cell r="M209" t="str">
            <v>Delayed</v>
          </cell>
          <cell r="N209">
            <v>1</v>
          </cell>
          <cell r="O209" t="str">
            <v>Y</v>
          </cell>
        </row>
        <row r="210">
          <cell r="A210" t="str">
            <v>SHP-101393</v>
          </cell>
          <cell r="B210" t="str">
            <v>26-Jun-2024</v>
          </cell>
          <cell r="C210" t="str">
            <v>Mumbai</v>
          </cell>
          <cell r="D210" t="str">
            <v>DTDC</v>
          </cell>
          <cell r="E210" t="str">
            <v>Road</v>
          </cell>
          <cell r="F210" t="str">
            <v>GROCERY &amp; FMCG</v>
          </cell>
          <cell r="G210" t="str">
            <v>east</v>
          </cell>
          <cell r="I210" t="str">
            <v>11.5</v>
          </cell>
          <cell r="J210" t="str">
            <v>₹303</v>
          </cell>
          <cell r="K210">
            <v>8</v>
          </cell>
          <cell r="M210" t="str">
            <v>In transit</v>
          </cell>
          <cell r="O210" t="str">
            <v xml:space="preserve">yes </v>
          </cell>
        </row>
        <row r="211">
          <cell r="A211" t="str">
            <v>SHP-100230</v>
          </cell>
          <cell r="B211" t="str">
            <v>26/01/2024</v>
          </cell>
          <cell r="C211" t="str">
            <v>delhi</v>
          </cell>
          <cell r="D211" t="str">
            <v xml:space="preserve"> Delhivery</v>
          </cell>
          <cell r="E211" t="str">
            <v>AIR</v>
          </cell>
          <cell r="F211" t="str">
            <v>GROCERY &amp; FMCG</v>
          </cell>
          <cell r="G211" t="str">
            <v>NORTH</v>
          </cell>
          <cell r="I211" t="str">
            <v>4.8</v>
          </cell>
          <cell r="J211" t="str">
            <v xml:space="preserve">Rs 232 </v>
          </cell>
          <cell r="K211">
            <v>2</v>
          </cell>
          <cell r="L211" t="str">
            <v>2024-01-29</v>
          </cell>
          <cell r="M211" t="str">
            <v>DELAYED</v>
          </cell>
          <cell r="N211">
            <v>2</v>
          </cell>
          <cell r="O211" t="str">
            <v xml:space="preserve"> No</v>
          </cell>
        </row>
        <row r="212">
          <cell r="A212" t="str">
            <v>SHP-101481</v>
          </cell>
          <cell r="B212" t="str">
            <v>10-Mar-2024</v>
          </cell>
          <cell r="C212" t="str">
            <v>delhi</v>
          </cell>
          <cell r="D212" t="str">
            <v>XpressBees</v>
          </cell>
          <cell r="E212" t="str">
            <v xml:space="preserve"> AIR </v>
          </cell>
          <cell r="F212" t="str">
            <v xml:space="preserve">grocery &amp; fmcg </v>
          </cell>
          <cell r="G212" t="str">
            <v xml:space="preserve">east </v>
          </cell>
          <cell r="I212" t="str">
            <v>9.4</v>
          </cell>
          <cell r="J212" t="str">
            <v>578</v>
          </cell>
          <cell r="K212">
            <v>4</v>
          </cell>
          <cell r="L212" t="str">
            <v>15-Mar-2024</v>
          </cell>
          <cell r="M212" t="str">
            <v>Delayed</v>
          </cell>
          <cell r="N212">
            <v>3</v>
          </cell>
          <cell r="O212" t="str">
            <v xml:space="preserve">yes </v>
          </cell>
        </row>
        <row r="213">
          <cell r="A213" t="str">
            <v>SHP-101454</v>
          </cell>
          <cell r="B213" t="str">
            <v>21/03/2024</v>
          </cell>
          <cell r="C213" t="str">
            <v xml:space="preserve">kolkata </v>
          </cell>
          <cell r="D213" t="str">
            <v>Xpress Bees</v>
          </cell>
          <cell r="E213" t="str">
            <v xml:space="preserve"> SURFACE </v>
          </cell>
          <cell r="F213" t="str">
            <v>electronics</v>
          </cell>
          <cell r="G213" t="str">
            <v>WEST</v>
          </cell>
          <cell r="I213" t="str">
            <v>11.0</v>
          </cell>
          <cell r="J213" t="str">
            <v xml:space="preserve">Rs 442 </v>
          </cell>
          <cell r="K213">
            <v>6</v>
          </cell>
          <cell r="L213" t="str">
            <v>27-Mar-2024</v>
          </cell>
          <cell r="M213" t="str">
            <v>Delivered</v>
          </cell>
          <cell r="N213">
            <v>3</v>
          </cell>
          <cell r="O213" t="str">
            <v>Yes</v>
          </cell>
        </row>
        <row r="214">
          <cell r="A214" t="str">
            <v>SHP-100763</v>
          </cell>
          <cell r="B214" t="str">
            <v>06-Apr-2024</v>
          </cell>
          <cell r="C214" t="str">
            <v xml:space="preserve"> CHENNAI </v>
          </cell>
          <cell r="D214" t="str">
            <v xml:space="preserve"> Delhivery</v>
          </cell>
          <cell r="E214" t="str">
            <v xml:space="preserve">air </v>
          </cell>
          <cell r="F214" t="str">
            <v>Automotive Parts</v>
          </cell>
          <cell r="G214" t="str">
            <v>East</v>
          </cell>
          <cell r="I214" t="str">
            <v xml:space="preserve">6.4 Kg </v>
          </cell>
          <cell r="J214" t="str">
            <v>₹476</v>
          </cell>
          <cell r="K214">
            <v>4</v>
          </cell>
          <cell r="L214" t="str">
            <v>11/04/2024</v>
          </cell>
          <cell r="M214" t="str">
            <v xml:space="preserve"> Delayed</v>
          </cell>
          <cell r="N214">
            <v>5</v>
          </cell>
          <cell r="O214" t="str">
            <v xml:space="preserve">yes </v>
          </cell>
        </row>
        <row r="215">
          <cell r="A215" t="str">
            <v>SHP-101053</v>
          </cell>
          <cell r="B215" t="str">
            <v>2024-03-12</v>
          </cell>
          <cell r="C215" t="str">
            <v>CHENNAI</v>
          </cell>
          <cell r="D215" t="str">
            <v>Delhivery</v>
          </cell>
          <cell r="E215" t="str">
            <v>Road</v>
          </cell>
          <cell r="F215" t="str">
            <v xml:space="preserve">automotive parts </v>
          </cell>
          <cell r="G215" t="str">
            <v>East</v>
          </cell>
          <cell r="I215" t="str">
            <v>19.2</v>
          </cell>
          <cell r="J215" t="str">
            <v>455</v>
          </cell>
          <cell r="K215">
            <v>8</v>
          </cell>
          <cell r="L215" t="str">
            <v>21/03/2024</v>
          </cell>
          <cell r="M215" t="str">
            <v>DELAYED</v>
          </cell>
          <cell r="N215">
            <v>4</v>
          </cell>
          <cell r="O215" t="str">
            <v>Yes</v>
          </cell>
        </row>
        <row r="216">
          <cell r="A216" t="str">
            <v>SHP-100751</v>
          </cell>
          <cell r="B216" t="str">
            <v>15-Jan-2024</v>
          </cell>
          <cell r="C216" t="str">
            <v>Bengaluru</v>
          </cell>
          <cell r="D216" t="str">
            <v>delhivery</v>
          </cell>
          <cell r="E216" t="str">
            <v>SURFACE</v>
          </cell>
          <cell r="F216" t="str">
            <v xml:space="preserve"> FURNITURE </v>
          </cell>
          <cell r="G216" t="str">
            <v xml:space="preserve">north </v>
          </cell>
          <cell r="I216" t="str">
            <v>77.0kg</v>
          </cell>
          <cell r="J216" t="str">
            <v>₹1,851</v>
          </cell>
          <cell r="K216">
            <v>6</v>
          </cell>
          <cell r="L216" t="str">
            <v>2024-01-22</v>
          </cell>
          <cell r="M216" t="str">
            <v xml:space="preserve">delayed </v>
          </cell>
          <cell r="N216">
            <v>3</v>
          </cell>
          <cell r="O216" t="str">
            <v>YES</v>
          </cell>
        </row>
        <row r="217">
          <cell r="A217" t="str">
            <v>SHP-100294</v>
          </cell>
          <cell r="B217" t="str">
            <v>13/03/2024</v>
          </cell>
          <cell r="C217" t="str">
            <v xml:space="preserve"> MUMBAI </v>
          </cell>
          <cell r="D217" t="str">
            <v>Ecom Express</v>
          </cell>
          <cell r="E217" t="str">
            <v xml:space="preserve"> SURFACE </v>
          </cell>
          <cell r="F217" t="str">
            <v>Furniture</v>
          </cell>
          <cell r="G217" t="str">
            <v>East</v>
          </cell>
          <cell r="I217" t="str">
            <v xml:space="preserve">39.1 Kg </v>
          </cell>
          <cell r="J217" t="str">
            <v>₹1,053</v>
          </cell>
          <cell r="K217">
            <v>6</v>
          </cell>
          <cell r="L217" t="str">
            <v>28-Mar-2024</v>
          </cell>
          <cell r="M217" t="str">
            <v xml:space="preserve">delayed </v>
          </cell>
          <cell r="N217">
            <v>2</v>
          </cell>
          <cell r="O217" t="str">
            <v>no</v>
          </cell>
        </row>
        <row r="218">
          <cell r="A218" t="str">
            <v>SHP-101329</v>
          </cell>
          <cell r="B218" t="str">
            <v>2024-03-26</v>
          </cell>
          <cell r="C218" t="str">
            <v xml:space="preserve">kolkata </v>
          </cell>
          <cell r="D218" t="str">
            <v>DELHIVERY</v>
          </cell>
          <cell r="E218" t="str">
            <v xml:space="preserve"> AIR </v>
          </cell>
          <cell r="F218" t="str">
            <v xml:space="preserve">grocery  &amp; fmcg </v>
          </cell>
          <cell r="G218" t="str">
            <v>east</v>
          </cell>
          <cell r="I218" t="str">
            <v>12.5kg</v>
          </cell>
          <cell r="J218" t="str">
            <v xml:space="preserve">Rs 562 </v>
          </cell>
          <cell r="K218">
            <v>2</v>
          </cell>
          <cell r="L218" t="str">
            <v>28-Mar-2024</v>
          </cell>
          <cell r="M218" t="str">
            <v>Delivered</v>
          </cell>
          <cell r="N218">
            <v>4</v>
          </cell>
          <cell r="O218" t="str">
            <v>YES</v>
          </cell>
        </row>
        <row r="219">
          <cell r="A219" t="str">
            <v>SHP-100482</v>
          </cell>
          <cell r="B219" t="str">
            <v xml:space="preserve"> 10/05/2024 </v>
          </cell>
          <cell r="C219" t="str">
            <v>CHENNAI</v>
          </cell>
          <cell r="D219" t="str">
            <v>DELHIVERY</v>
          </cell>
          <cell r="E219" t="str">
            <v xml:space="preserve">surface </v>
          </cell>
          <cell r="F219" t="str">
            <v xml:space="preserve">electronics </v>
          </cell>
          <cell r="G219" t="str">
            <v xml:space="preserve"> SOUTH </v>
          </cell>
          <cell r="I219" t="str">
            <v>11.4KG</v>
          </cell>
          <cell r="J219" t="str">
            <v>₹227</v>
          </cell>
          <cell r="K219">
            <v>4</v>
          </cell>
          <cell r="L219" t="str">
            <v xml:space="preserve"> 13/05/2024 </v>
          </cell>
          <cell r="M219" t="str">
            <v>delivered</v>
          </cell>
          <cell r="N219">
            <v>3</v>
          </cell>
          <cell r="O219" t="str">
            <v xml:space="preserve">yes </v>
          </cell>
        </row>
        <row r="220">
          <cell r="A220" t="str">
            <v>SHP-101365</v>
          </cell>
          <cell r="B220" t="str">
            <v>2024-05-28</v>
          </cell>
          <cell r="C220" t="str">
            <v>bengaluru</v>
          </cell>
          <cell r="D220" t="str">
            <v>DTDC</v>
          </cell>
          <cell r="E220" t="str">
            <v xml:space="preserve">surface </v>
          </cell>
          <cell r="F220" t="str">
            <v xml:space="preserve">grocery &amp; fmcg </v>
          </cell>
          <cell r="G220" t="str">
            <v>West</v>
          </cell>
          <cell r="I220" t="str">
            <v>10.7kg</v>
          </cell>
          <cell r="J220" t="str">
            <v>₹390</v>
          </cell>
          <cell r="K220">
            <v>6</v>
          </cell>
          <cell r="L220" t="str">
            <v>02-Jun-2024</v>
          </cell>
          <cell r="M220" t="str">
            <v>DELIVERED</v>
          </cell>
          <cell r="N220">
            <v>5</v>
          </cell>
          <cell r="O220" t="str">
            <v xml:space="preserve"> No</v>
          </cell>
        </row>
        <row r="221">
          <cell r="A221" t="str">
            <v>SHP-100168</v>
          </cell>
          <cell r="B221" t="str">
            <v xml:space="preserve"> 24/04/2024 </v>
          </cell>
          <cell r="C221" t="str">
            <v>Delhi</v>
          </cell>
          <cell r="D221" t="str">
            <v>xpressbees</v>
          </cell>
          <cell r="E221" t="str">
            <v>ROAD</v>
          </cell>
          <cell r="F221" t="str">
            <v>APPAREL</v>
          </cell>
          <cell r="G221" t="str">
            <v>EAST</v>
          </cell>
          <cell r="I221" t="str">
            <v xml:space="preserve">4.0 Kg </v>
          </cell>
          <cell r="J221" t="str">
            <v xml:space="preserve">Rs 238 </v>
          </cell>
          <cell r="K221">
            <v>8</v>
          </cell>
          <cell r="L221" t="str">
            <v>2024-05-03</v>
          </cell>
          <cell r="M221" t="str">
            <v>Delayed</v>
          </cell>
          <cell r="N221">
            <v>2</v>
          </cell>
          <cell r="O221" t="str">
            <v>N</v>
          </cell>
        </row>
        <row r="222">
          <cell r="A222" t="str">
            <v>SHP-100556</v>
          </cell>
          <cell r="B222" t="str">
            <v>02-Mar-2024</v>
          </cell>
          <cell r="C222" t="str">
            <v xml:space="preserve">mumbai </v>
          </cell>
          <cell r="D222" t="str">
            <v>ecom express</v>
          </cell>
          <cell r="E222" t="str">
            <v>ROAD</v>
          </cell>
          <cell r="F222" t="str">
            <v xml:space="preserve">automotive parts </v>
          </cell>
          <cell r="G222" t="str">
            <v>south</v>
          </cell>
          <cell r="I222" t="str">
            <v xml:space="preserve">13.8 Kg </v>
          </cell>
          <cell r="J222" t="str">
            <v>336</v>
          </cell>
          <cell r="K222">
            <v>8</v>
          </cell>
          <cell r="L222" t="str">
            <v>10/03/2024</v>
          </cell>
          <cell r="M222" t="str">
            <v>DELIVERED</v>
          </cell>
          <cell r="N222">
            <v>4</v>
          </cell>
          <cell r="O222" t="str">
            <v xml:space="preserve">yes </v>
          </cell>
        </row>
        <row r="223">
          <cell r="A223" t="str">
            <v>SHP-100756</v>
          </cell>
          <cell r="B223" t="str">
            <v>13/01/2024</v>
          </cell>
          <cell r="C223" t="str">
            <v xml:space="preserve">mumbai </v>
          </cell>
          <cell r="D223" t="str">
            <v xml:space="preserve"> Delhivery</v>
          </cell>
          <cell r="E223" t="str">
            <v xml:space="preserve"> SURFACE </v>
          </cell>
          <cell r="F223" t="str">
            <v xml:space="preserve"> GROCERY &amp; FMCG </v>
          </cell>
          <cell r="G223" t="str">
            <v xml:space="preserve"> NORTH </v>
          </cell>
          <cell r="I223" t="str">
            <v xml:space="preserve">15.0 Kg </v>
          </cell>
          <cell r="J223" t="str">
            <v>470</v>
          </cell>
          <cell r="K223">
            <v>6</v>
          </cell>
          <cell r="L223" t="str">
            <v>19-Jan-2024</v>
          </cell>
          <cell r="M223" t="str">
            <v>DELIVERED</v>
          </cell>
          <cell r="N223">
            <v>4</v>
          </cell>
          <cell r="O223" t="str">
            <v xml:space="preserve"> No</v>
          </cell>
        </row>
        <row r="224">
          <cell r="A224" t="str">
            <v>SHP-101172</v>
          </cell>
          <cell r="B224" t="str">
            <v>27-Jun-2024</v>
          </cell>
          <cell r="C224" t="str">
            <v xml:space="preserve"> CHENNAI </v>
          </cell>
          <cell r="D224" t="str">
            <v>XpressBees</v>
          </cell>
          <cell r="E224" t="str">
            <v>air</v>
          </cell>
          <cell r="F224" t="str">
            <v xml:space="preserve">furniture </v>
          </cell>
          <cell r="G224" t="str">
            <v xml:space="preserve"> SOUTH </v>
          </cell>
          <cell r="I224" t="str">
            <v>65.4KG</v>
          </cell>
          <cell r="J224" t="str">
            <v>₹2,934</v>
          </cell>
          <cell r="K224">
            <v>2</v>
          </cell>
          <cell r="L224" t="str">
            <v>29-Jun-2024</v>
          </cell>
          <cell r="M224" t="str">
            <v>delivered</v>
          </cell>
          <cell r="N224">
            <v>1</v>
          </cell>
          <cell r="O224" t="str">
            <v xml:space="preserve"> No</v>
          </cell>
        </row>
        <row r="225">
          <cell r="A225" t="str">
            <v>SHP-100770</v>
          </cell>
          <cell r="B225" t="str">
            <v>2024-01-05</v>
          </cell>
          <cell r="C225" t="str">
            <v xml:space="preserve"> CHENNAI </v>
          </cell>
          <cell r="D225" t="str">
            <v>bluedart</v>
          </cell>
          <cell r="E225" t="str">
            <v>AIR</v>
          </cell>
          <cell r="F225" t="str">
            <v>APPAREL</v>
          </cell>
          <cell r="G225" t="str">
            <v>south</v>
          </cell>
          <cell r="I225" t="str">
            <v xml:space="preserve">6.2 Kg </v>
          </cell>
          <cell r="J225" t="str">
            <v>₹291</v>
          </cell>
          <cell r="K225">
            <v>2</v>
          </cell>
          <cell r="L225" t="str">
            <v>07/01/2024</v>
          </cell>
          <cell r="M225" t="str">
            <v>Delivered</v>
          </cell>
          <cell r="N225">
            <v>4</v>
          </cell>
          <cell r="O225" t="str">
            <v xml:space="preserve">yes </v>
          </cell>
        </row>
        <row r="226">
          <cell r="A226" t="str">
            <v>SHP-101104</v>
          </cell>
          <cell r="B226" t="str">
            <v>2024-05-22</v>
          </cell>
          <cell r="C226" t="str">
            <v>bengaluru</v>
          </cell>
          <cell r="D226" t="str">
            <v>Ecom  Express</v>
          </cell>
          <cell r="E226" t="str">
            <v xml:space="preserve">surface </v>
          </cell>
          <cell r="F226" t="str">
            <v>electronics</v>
          </cell>
          <cell r="G226" t="str">
            <v xml:space="preserve"> WEST </v>
          </cell>
          <cell r="I226" t="str">
            <v xml:space="preserve">4.2 Kg </v>
          </cell>
          <cell r="J226" t="str">
            <v>₹284</v>
          </cell>
          <cell r="K226">
            <v>6</v>
          </cell>
          <cell r="L226" t="str">
            <v>2024-05-29</v>
          </cell>
          <cell r="M226" t="str">
            <v xml:space="preserve">delayed </v>
          </cell>
          <cell r="N226">
            <v>1</v>
          </cell>
          <cell r="O226" t="str">
            <v>No</v>
          </cell>
        </row>
        <row r="227">
          <cell r="A227" t="str">
            <v>SHP-100438</v>
          </cell>
          <cell r="B227" t="str">
            <v>2024-04-12</v>
          </cell>
          <cell r="C227" t="str">
            <v>CHENNAI</v>
          </cell>
          <cell r="D227" t="str">
            <v>Delhivery</v>
          </cell>
          <cell r="E227" t="str">
            <v>AIR</v>
          </cell>
          <cell r="F227" t="str">
            <v>Automotive Parts</v>
          </cell>
          <cell r="G227" t="str">
            <v>East</v>
          </cell>
          <cell r="I227" t="str">
            <v xml:space="preserve">16.4 Kg </v>
          </cell>
          <cell r="J227" t="str">
            <v>₹902</v>
          </cell>
          <cell r="K227">
            <v>4</v>
          </cell>
          <cell r="L227" t="str">
            <v>16/04/2024</v>
          </cell>
          <cell r="M227" t="str">
            <v>DELIVERED</v>
          </cell>
          <cell r="N227">
            <v>4</v>
          </cell>
          <cell r="O227" t="str">
            <v>Y</v>
          </cell>
        </row>
        <row r="228">
          <cell r="A228" t="str">
            <v>SHP-101350</v>
          </cell>
          <cell r="B228" t="str">
            <v>17-Feb-2024</v>
          </cell>
          <cell r="C228" t="str">
            <v>HYDERABAD</v>
          </cell>
          <cell r="D228" t="str">
            <v>dtdc</v>
          </cell>
          <cell r="E228" t="str">
            <v>SURFACE</v>
          </cell>
          <cell r="F228" t="str">
            <v>APPAREL</v>
          </cell>
          <cell r="G228" t="str">
            <v xml:space="preserve"> WEST </v>
          </cell>
          <cell r="I228" t="str">
            <v>3.8KG</v>
          </cell>
          <cell r="J228" t="str">
            <v>₹124</v>
          </cell>
          <cell r="K228">
            <v>4</v>
          </cell>
          <cell r="L228" t="str">
            <v>21-Feb-2024</v>
          </cell>
          <cell r="M228" t="str">
            <v xml:space="preserve"> Delivered</v>
          </cell>
          <cell r="N228">
            <v>4</v>
          </cell>
          <cell r="O228" t="str">
            <v xml:space="preserve">yes </v>
          </cell>
        </row>
        <row r="229">
          <cell r="A229" t="str">
            <v>SHP-100364</v>
          </cell>
          <cell r="B229" t="str">
            <v>2024-03-24</v>
          </cell>
          <cell r="C229" t="str">
            <v xml:space="preserve"> HYDERABAD </v>
          </cell>
          <cell r="D229" t="str">
            <v xml:space="preserve">Dtdc </v>
          </cell>
          <cell r="E229" t="str">
            <v>SURFACE</v>
          </cell>
          <cell r="F229" t="str">
            <v>AUTOMOTIVE  PARTS</v>
          </cell>
          <cell r="G229" t="str">
            <v xml:space="preserve">south </v>
          </cell>
          <cell r="I229" t="str">
            <v>37.2</v>
          </cell>
          <cell r="J229" t="str">
            <v>₹1,000</v>
          </cell>
          <cell r="K229">
            <v>6</v>
          </cell>
          <cell r="L229" t="str">
            <v>08-Apr-2024</v>
          </cell>
          <cell r="M229" t="str">
            <v xml:space="preserve">delayed </v>
          </cell>
          <cell r="N229">
            <v>3</v>
          </cell>
          <cell r="O229" t="str">
            <v xml:space="preserve"> No</v>
          </cell>
        </row>
        <row r="230">
          <cell r="A230" t="str">
            <v>SHP-100235</v>
          </cell>
          <cell r="B230" t="str">
            <v xml:space="preserve"> 23/02/2024 </v>
          </cell>
          <cell r="C230" t="str">
            <v>Chennai</v>
          </cell>
          <cell r="D230" t="str">
            <v>XpressBees</v>
          </cell>
          <cell r="E230" t="str">
            <v>Road</v>
          </cell>
          <cell r="F230" t="str">
            <v>furniture</v>
          </cell>
          <cell r="G230" t="str">
            <v xml:space="preserve">south </v>
          </cell>
          <cell r="I230" t="str">
            <v>15.4</v>
          </cell>
          <cell r="J230" t="str">
            <v>218</v>
          </cell>
          <cell r="K230">
            <v>6</v>
          </cell>
          <cell r="L230" t="str">
            <v>01/03/2024</v>
          </cell>
          <cell r="M230" t="str">
            <v xml:space="preserve">delayed </v>
          </cell>
          <cell r="N230">
            <v>4</v>
          </cell>
          <cell r="O230" t="str">
            <v>no</v>
          </cell>
        </row>
        <row r="231">
          <cell r="A231" t="str">
            <v>SHP-100145</v>
          </cell>
          <cell r="B231" t="str">
            <v>27-May-2024</v>
          </cell>
          <cell r="C231" t="str">
            <v xml:space="preserve"> CHENNAI </v>
          </cell>
          <cell r="D231" t="str">
            <v xml:space="preserve"> Delhivery</v>
          </cell>
          <cell r="E231" t="str">
            <v>Air</v>
          </cell>
          <cell r="F231" t="str">
            <v xml:space="preserve"> ELECTRONICS </v>
          </cell>
          <cell r="G231" t="str">
            <v xml:space="preserve">north </v>
          </cell>
          <cell r="I231" t="str">
            <v>3.6kg</v>
          </cell>
          <cell r="J231" t="str">
            <v xml:space="preserve">Rs 348 </v>
          </cell>
          <cell r="K231">
            <v>4</v>
          </cell>
          <cell r="L231" t="str">
            <v>30-May-2024</v>
          </cell>
          <cell r="M231" t="str">
            <v>delivered</v>
          </cell>
          <cell r="N231">
            <v>4</v>
          </cell>
          <cell r="O231" t="str">
            <v>YES</v>
          </cell>
        </row>
        <row r="232">
          <cell r="A232" t="str">
            <v>SHP-100146</v>
          </cell>
          <cell r="B232" t="str">
            <v>10/04/2024</v>
          </cell>
          <cell r="C232" t="str">
            <v>Kolkata</v>
          </cell>
          <cell r="D232" t="str">
            <v>Ecom Express</v>
          </cell>
          <cell r="E232" t="str">
            <v xml:space="preserve"> AIR </v>
          </cell>
          <cell r="F232" t="str">
            <v xml:space="preserve">automotive  parts </v>
          </cell>
          <cell r="G232" t="str">
            <v>West</v>
          </cell>
          <cell r="I232" t="str">
            <v xml:space="preserve">22.1 Kg </v>
          </cell>
          <cell r="J232" t="str">
            <v>1,204</v>
          </cell>
          <cell r="K232">
            <v>4</v>
          </cell>
          <cell r="L232" t="str">
            <v>19-Apr-2024</v>
          </cell>
          <cell r="M232" t="str">
            <v>Delayed</v>
          </cell>
          <cell r="N232">
            <v>3</v>
          </cell>
          <cell r="O232" t="str">
            <v>YES</v>
          </cell>
        </row>
        <row r="233">
          <cell r="A233" t="str">
            <v>SHP-100464</v>
          </cell>
          <cell r="B233" t="str">
            <v>15-Mar-2024</v>
          </cell>
          <cell r="C233" t="str">
            <v xml:space="preserve">chennai </v>
          </cell>
          <cell r="D233" t="str">
            <v xml:space="preserve"> XPRESSBEES</v>
          </cell>
          <cell r="E233" t="str">
            <v xml:space="preserve">road </v>
          </cell>
          <cell r="F233" t="str">
            <v>pharma</v>
          </cell>
          <cell r="G233" t="str">
            <v xml:space="preserve">south </v>
          </cell>
          <cell r="I233" t="str">
            <v xml:space="preserve">3.6 Kg </v>
          </cell>
          <cell r="J233" t="str">
            <v>₹88</v>
          </cell>
          <cell r="K233">
            <v>6</v>
          </cell>
          <cell r="L233" t="str">
            <v>21-Mar-2024</v>
          </cell>
          <cell r="M233" t="str">
            <v>DELIVERED</v>
          </cell>
          <cell r="N233">
            <v>5</v>
          </cell>
          <cell r="O233" t="str">
            <v>no</v>
          </cell>
        </row>
        <row r="234">
          <cell r="A234" t="str">
            <v>SHP-100073</v>
          </cell>
          <cell r="B234" t="str">
            <v>06-Apr-2024</v>
          </cell>
          <cell r="C234" t="str">
            <v>Bengaluru</v>
          </cell>
          <cell r="D234" t="str">
            <v>Delhivery</v>
          </cell>
          <cell r="E234" t="str">
            <v>Air</v>
          </cell>
          <cell r="F234" t="str">
            <v xml:space="preserve"> AUTOMOTIVE PARTS </v>
          </cell>
          <cell r="G234" t="str">
            <v>SOUTH</v>
          </cell>
          <cell r="I234" t="str">
            <v xml:space="preserve">18.2 Kg </v>
          </cell>
          <cell r="J234" t="str">
            <v>₹830</v>
          </cell>
          <cell r="K234">
            <v>2</v>
          </cell>
          <cell r="L234" t="str">
            <v xml:space="preserve"> 13/04/2024 </v>
          </cell>
          <cell r="M234" t="str">
            <v>Delayed</v>
          </cell>
          <cell r="N234">
            <v>3</v>
          </cell>
          <cell r="O234" t="str">
            <v>YES</v>
          </cell>
        </row>
        <row r="235">
          <cell r="A235" t="str">
            <v>SHP-101166</v>
          </cell>
          <cell r="B235" t="str">
            <v>19/04/2024</v>
          </cell>
          <cell r="C235" t="str">
            <v xml:space="preserve"> BENGALURU </v>
          </cell>
          <cell r="D235" t="str">
            <v>Blue Dart</v>
          </cell>
          <cell r="E235" t="str">
            <v xml:space="preserve"> SURFACE </v>
          </cell>
          <cell r="F235" t="str">
            <v>furniture</v>
          </cell>
          <cell r="G235" t="str">
            <v>west</v>
          </cell>
          <cell r="I235" t="str">
            <v xml:space="preserve">53.3 Kg </v>
          </cell>
          <cell r="J235" t="str">
            <v>₹1,349</v>
          </cell>
          <cell r="K235">
            <v>6</v>
          </cell>
          <cell r="L235" t="str">
            <v>26-Apr-2024</v>
          </cell>
          <cell r="M235" t="str">
            <v xml:space="preserve"> DAMAGED</v>
          </cell>
          <cell r="O235" t="str">
            <v>No</v>
          </cell>
        </row>
        <row r="236">
          <cell r="A236" t="str">
            <v>SHP-101352</v>
          </cell>
          <cell r="B236" t="str">
            <v>08/05/2024</v>
          </cell>
          <cell r="C236" t="str">
            <v xml:space="preserve"> BENGALURU </v>
          </cell>
          <cell r="D236" t="str">
            <v>BlueDart</v>
          </cell>
          <cell r="E236" t="str">
            <v>ROAD</v>
          </cell>
          <cell r="F236" t="str">
            <v xml:space="preserve"> AUTOMOTIVE PARTS </v>
          </cell>
          <cell r="G236" t="str">
            <v>south</v>
          </cell>
          <cell r="I236" t="str">
            <v xml:space="preserve">8.1 Kg </v>
          </cell>
          <cell r="J236" t="str">
            <v xml:space="preserve">Rs 146 </v>
          </cell>
          <cell r="K236">
            <v>6</v>
          </cell>
          <cell r="L236" t="str">
            <v>15/05/2024</v>
          </cell>
          <cell r="M236" t="str">
            <v>DELAYED</v>
          </cell>
          <cell r="N236">
            <v>3</v>
          </cell>
          <cell r="O236" t="str">
            <v>No</v>
          </cell>
        </row>
        <row r="237">
          <cell r="A237" t="str">
            <v>SHP-100128</v>
          </cell>
          <cell r="B237" t="str">
            <v xml:space="preserve"> 22/03/2024 </v>
          </cell>
          <cell r="C237" t="str">
            <v xml:space="preserve"> HYDERABAD </v>
          </cell>
          <cell r="D237" t="str">
            <v xml:space="preserve">BLUEDART </v>
          </cell>
          <cell r="E237" t="str">
            <v>AIR</v>
          </cell>
          <cell r="F237" t="str">
            <v>Grocery &amp; FMCG</v>
          </cell>
          <cell r="G237" t="str">
            <v>south</v>
          </cell>
          <cell r="I237" t="str">
            <v xml:space="preserve">13.9 Kg </v>
          </cell>
          <cell r="J237" t="str">
            <v xml:space="preserve">Rs 752 </v>
          </cell>
          <cell r="K237">
            <v>4</v>
          </cell>
          <cell r="L237" t="str">
            <v>2024-03-25</v>
          </cell>
          <cell r="M237" t="str">
            <v xml:space="preserve"> Delivered</v>
          </cell>
          <cell r="N237">
            <v>5</v>
          </cell>
          <cell r="O237" t="str">
            <v>Yes</v>
          </cell>
        </row>
        <row r="238">
          <cell r="A238" t="str">
            <v>SHP-100460</v>
          </cell>
          <cell r="B238" t="str">
            <v xml:space="preserve"> 25/03/2024 </v>
          </cell>
          <cell r="C238" t="str">
            <v>DELHI</v>
          </cell>
          <cell r="D238" t="str">
            <v>BlueDart</v>
          </cell>
          <cell r="E238" t="str">
            <v xml:space="preserve">road </v>
          </cell>
          <cell r="F238" t="str">
            <v xml:space="preserve">furniture </v>
          </cell>
          <cell r="G238" t="str">
            <v xml:space="preserve"> EAST </v>
          </cell>
          <cell r="I238" t="str">
            <v xml:space="preserve">25.7 Kg </v>
          </cell>
          <cell r="J238" t="str">
            <v xml:space="preserve">Rs 566 </v>
          </cell>
          <cell r="K238">
            <v>8</v>
          </cell>
          <cell r="L238" t="str">
            <v>02-Apr-2024</v>
          </cell>
          <cell r="M238" t="str">
            <v>delivered</v>
          </cell>
          <cell r="N238">
            <v>3</v>
          </cell>
          <cell r="O238" t="str">
            <v>N</v>
          </cell>
        </row>
        <row r="239">
          <cell r="A239" t="str">
            <v>SHP-100512</v>
          </cell>
          <cell r="B239" t="str">
            <v>01-Mar-2024</v>
          </cell>
          <cell r="C239" t="str">
            <v xml:space="preserve"> CHENNAI </v>
          </cell>
          <cell r="D239" t="str">
            <v>Ecom Express</v>
          </cell>
          <cell r="E239" t="str">
            <v>Air</v>
          </cell>
          <cell r="F239" t="str">
            <v>grocery &amp; fmcg</v>
          </cell>
          <cell r="G239" t="str">
            <v>West</v>
          </cell>
          <cell r="I239" t="str">
            <v>17.5KG</v>
          </cell>
          <cell r="J239" t="str">
            <v>₹995</v>
          </cell>
          <cell r="K239">
            <v>4</v>
          </cell>
          <cell r="L239" t="str">
            <v xml:space="preserve"> 05/03/2024 </v>
          </cell>
          <cell r="M239" t="str">
            <v>DELIVERED</v>
          </cell>
          <cell r="N239">
            <v>4</v>
          </cell>
          <cell r="O239" t="str">
            <v>YES</v>
          </cell>
        </row>
        <row r="240">
          <cell r="A240" t="str">
            <v>SHP-101516</v>
          </cell>
          <cell r="B240" t="str">
            <v xml:space="preserve"> 12/04/2024 </v>
          </cell>
          <cell r="C240" t="str">
            <v>delhi</v>
          </cell>
          <cell r="D240" t="str">
            <v>delhivery</v>
          </cell>
          <cell r="E240" t="str">
            <v xml:space="preserve"> ROAD </v>
          </cell>
          <cell r="F240" t="str">
            <v xml:space="preserve">  FURNITURE </v>
          </cell>
          <cell r="G240" t="str">
            <v>West</v>
          </cell>
          <cell r="I240" t="str">
            <v>38.5KG</v>
          </cell>
          <cell r="J240" t="str">
            <v>726</v>
          </cell>
          <cell r="K240">
            <v>8</v>
          </cell>
          <cell r="L240" t="str">
            <v>19/04/2024</v>
          </cell>
          <cell r="M240" t="str">
            <v xml:space="preserve"> Delivered</v>
          </cell>
          <cell r="N240">
            <v>4</v>
          </cell>
          <cell r="O240" t="str">
            <v>No</v>
          </cell>
        </row>
        <row r="241">
          <cell r="A241" t="str">
            <v>SHP-100052</v>
          </cell>
          <cell r="B241" t="str">
            <v>17/06/2024</v>
          </cell>
          <cell r="C241" t="str">
            <v>Delhi</v>
          </cell>
          <cell r="D241" t="str">
            <v xml:space="preserve">Dtdc </v>
          </cell>
          <cell r="E241" t="str">
            <v xml:space="preserve">road </v>
          </cell>
          <cell r="F241" t="str">
            <v>PHARMA</v>
          </cell>
          <cell r="G241" t="str">
            <v>east</v>
          </cell>
          <cell r="I241" t="str">
            <v xml:space="preserve">5.0 Kg </v>
          </cell>
          <cell r="J241" t="str">
            <v>274</v>
          </cell>
          <cell r="K241">
            <v>8</v>
          </cell>
          <cell r="L241" t="str">
            <v>2024-06-29</v>
          </cell>
          <cell r="M241" t="str">
            <v>DELAYED</v>
          </cell>
          <cell r="N241">
            <v>1</v>
          </cell>
          <cell r="O241" t="str">
            <v xml:space="preserve"> No</v>
          </cell>
        </row>
        <row r="242">
          <cell r="A242" t="str">
            <v>SHP-100391</v>
          </cell>
          <cell r="B242" t="str">
            <v xml:space="preserve"> 18/04/2024 </v>
          </cell>
          <cell r="C242" t="str">
            <v>CHENNAI</v>
          </cell>
          <cell r="D242" t="str">
            <v>ECOM EXPRESS</v>
          </cell>
          <cell r="E242" t="str">
            <v xml:space="preserve">road </v>
          </cell>
          <cell r="F242" t="str">
            <v>Grocery &amp; FMCG</v>
          </cell>
          <cell r="G242" t="str">
            <v xml:space="preserve"> EAST </v>
          </cell>
          <cell r="I242" t="str">
            <v>13.6KG</v>
          </cell>
          <cell r="J242" t="str">
            <v>367</v>
          </cell>
          <cell r="K242">
            <v>8</v>
          </cell>
          <cell r="L242" t="str">
            <v>27-Apr-2024</v>
          </cell>
          <cell r="M242" t="str">
            <v xml:space="preserve">delayed </v>
          </cell>
          <cell r="N242">
            <v>1</v>
          </cell>
          <cell r="O242" t="str">
            <v>YES</v>
          </cell>
        </row>
        <row r="243">
          <cell r="A243" t="str">
            <v>SHP-100466</v>
          </cell>
          <cell r="B243" t="str">
            <v>03-Apr-2024</v>
          </cell>
          <cell r="C243" t="str">
            <v>Mumbai</v>
          </cell>
          <cell r="D243" t="str">
            <v>dtdc</v>
          </cell>
          <cell r="E243" t="str">
            <v>Road</v>
          </cell>
          <cell r="F243" t="str">
            <v xml:space="preserve"> FURNITURE </v>
          </cell>
          <cell r="G243" t="str">
            <v>SOUTH</v>
          </cell>
          <cell r="I243" t="str">
            <v>39.6</v>
          </cell>
          <cell r="J243" t="str">
            <v>704</v>
          </cell>
          <cell r="K243">
            <v>8</v>
          </cell>
          <cell r="L243" t="str">
            <v xml:space="preserve"> 10/04/2024 </v>
          </cell>
          <cell r="M243" t="str">
            <v>delivered</v>
          </cell>
          <cell r="N243">
            <v>5</v>
          </cell>
          <cell r="O243" t="str">
            <v>YES</v>
          </cell>
        </row>
        <row r="244">
          <cell r="A244" t="str">
            <v>SHP-100148</v>
          </cell>
          <cell r="B244" t="str">
            <v>17/04/2024</v>
          </cell>
          <cell r="C244" t="str">
            <v>Chennai</v>
          </cell>
          <cell r="D244" t="str">
            <v>xpressbees</v>
          </cell>
          <cell r="E244" t="str">
            <v>SURFACE</v>
          </cell>
          <cell r="F244" t="str">
            <v>ELECTRONICS</v>
          </cell>
          <cell r="G244" t="str">
            <v>south</v>
          </cell>
          <cell r="I244" t="str">
            <v>12.0</v>
          </cell>
          <cell r="J244" t="str">
            <v>₹269</v>
          </cell>
          <cell r="K244">
            <v>4</v>
          </cell>
          <cell r="L244" t="str">
            <v>21-Apr-2024</v>
          </cell>
          <cell r="M244" t="str">
            <v>delivered</v>
          </cell>
          <cell r="N244">
            <v>5</v>
          </cell>
          <cell r="O244" t="str">
            <v xml:space="preserve"> No</v>
          </cell>
        </row>
        <row r="245">
          <cell r="A245" t="str">
            <v>SHP-101324</v>
          </cell>
          <cell r="B245" t="str">
            <v>2024-03-10</v>
          </cell>
          <cell r="C245" t="str">
            <v>hyderabad</v>
          </cell>
          <cell r="D245" t="str">
            <v>XpressBees</v>
          </cell>
          <cell r="E245" t="str">
            <v>Surface</v>
          </cell>
          <cell r="F245" t="str">
            <v>APPAREL</v>
          </cell>
          <cell r="G245" t="str">
            <v>EAST</v>
          </cell>
          <cell r="I245" t="str">
            <v>7.9</v>
          </cell>
          <cell r="J245" t="str">
            <v xml:space="preserve">Rs 348 </v>
          </cell>
          <cell r="K245">
            <v>6</v>
          </cell>
          <cell r="L245" t="str">
            <v xml:space="preserve"> 18/03/2024 </v>
          </cell>
          <cell r="M245" t="str">
            <v xml:space="preserve"> Delayed</v>
          </cell>
          <cell r="N245">
            <v>3</v>
          </cell>
          <cell r="O245" t="str">
            <v>YES</v>
          </cell>
        </row>
        <row r="246">
          <cell r="A246" t="str">
            <v>SHP-101264</v>
          </cell>
          <cell r="B246" t="str">
            <v xml:space="preserve"> 23/01/2024 </v>
          </cell>
          <cell r="C246" t="str">
            <v>CHENNAI</v>
          </cell>
          <cell r="D246" t="str">
            <v>BlueDart</v>
          </cell>
          <cell r="E246" t="str">
            <v>road</v>
          </cell>
          <cell r="F246" t="str">
            <v>Grocery  &amp; FMCG</v>
          </cell>
          <cell r="G246" t="str">
            <v xml:space="preserve"> SOUTH </v>
          </cell>
          <cell r="I246" t="str">
            <v>2.8KG</v>
          </cell>
          <cell r="J246" t="str">
            <v>80</v>
          </cell>
          <cell r="K246">
            <v>6</v>
          </cell>
          <cell r="L246" t="str">
            <v>2024-01-28</v>
          </cell>
          <cell r="M246" t="str">
            <v xml:space="preserve"> Delivered</v>
          </cell>
          <cell r="N246">
            <v>2</v>
          </cell>
          <cell r="O246" t="str">
            <v xml:space="preserve"> No</v>
          </cell>
        </row>
        <row r="247">
          <cell r="A247" t="str">
            <v>SHP-101600</v>
          </cell>
          <cell r="B247" t="str">
            <v xml:space="preserve"> 09/03/2024 </v>
          </cell>
          <cell r="C247" t="str">
            <v>hyderabad</v>
          </cell>
          <cell r="D247" t="str">
            <v>xpressbees</v>
          </cell>
          <cell r="E247" t="str">
            <v>Air</v>
          </cell>
          <cell r="F247" t="str">
            <v>Apparel</v>
          </cell>
          <cell r="G247" t="str">
            <v>SOUTH</v>
          </cell>
          <cell r="I247" t="str">
            <v xml:space="preserve">3.2 Kg </v>
          </cell>
          <cell r="J247" t="str">
            <v>₹282</v>
          </cell>
          <cell r="K247">
            <v>4</v>
          </cell>
          <cell r="L247" t="str">
            <v>14-Mar-2024</v>
          </cell>
          <cell r="M247" t="str">
            <v>returned</v>
          </cell>
          <cell r="O247" t="str">
            <v>YES</v>
          </cell>
        </row>
        <row r="248">
          <cell r="A248" t="str">
            <v>SHP-100193</v>
          </cell>
          <cell r="B248" t="str">
            <v>2024-05-06</v>
          </cell>
          <cell r="C248" t="str">
            <v>Kolkata</v>
          </cell>
          <cell r="D248" t="str">
            <v>Ecom  Express</v>
          </cell>
          <cell r="E248" t="str">
            <v>air</v>
          </cell>
          <cell r="F248" t="str">
            <v xml:space="preserve">pharma </v>
          </cell>
          <cell r="G248" t="str">
            <v>WEST</v>
          </cell>
          <cell r="I248" t="str">
            <v>0.7KG</v>
          </cell>
          <cell r="J248" t="str">
            <v>159</v>
          </cell>
          <cell r="K248">
            <v>4</v>
          </cell>
          <cell r="L248" t="str">
            <v xml:space="preserve"> 09/05/2024 </v>
          </cell>
          <cell r="M248" t="str">
            <v>delivered</v>
          </cell>
          <cell r="N248">
            <v>4</v>
          </cell>
          <cell r="O248" t="str">
            <v xml:space="preserve"> No</v>
          </cell>
        </row>
        <row r="249">
          <cell r="A249" t="str">
            <v>SHP-101429</v>
          </cell>
          <cell r="B249" t="str">
            <v xml:space="preserve"> 15/04/2024 </v>
          </cell>
          <cell r="C249" t="str">
            <v xml:space="preserve">kolkata </v>
          </cell>
          <cell r="D249" t="str">
            <v>ECOM EXPRESS</v>
          </cell>
          <cell r="E249" t="str">
            <v>Road</v>
          </cell>
          <cell r="F249" t="str">
            <v xml:space="preserve"> AUTOMOTIVE PARTS </v>
          </cell>
          <cell r="G249" t="str">
            <v xml:space="preserve">north </v>
          </cell>
          <cell r="I249" t="str">
            <v xml:space="preserve">13.6 Kg </v>
          </cell>
          <cell r="J249" t="str">
            <v>332</v>
          </cell>
          <cell r="K249">
            <v>8</v>
          </cell>
          <cell r="L249" t="str">
            <v xml:space="preserve"> 22/04/2024 </v>
          </cell>
          <cell r="M249" t="str">
            <v xml:space="preserve"> Delivered</v>
          </cell>
          <cell r="N249">
            <v>4</v>
          </cell>
          <cell r="O249" t="str">
            <v xml:space="preserve">yes </v>
          </cell>
        </row>
        <row r="250">
          <cell r="A250" t="str">
            <v>SHP-100599</v>
          </cell>
          <cell r="B250" t="str">
            <v>04-Feb-2024</v>
          </cell>
          <cell r="C250" t="str">
            <v>MUMBAI</v>
          </cell>
          <cell r="D250" t="str">
            <v>delhivery</v>
          </cell>
          <cell r="E250" t="str">
            <v xml:space="preserve"> AIR </v>
          </cell>
          <cell r="F250" t="str">
            <v xml:space="preserve">automotive parts </v>
          </cell>
          <cell r="G250" t="str">
            <v xml:space="preserve"> SOUTH </v>
          </cell>
          <cell r="I250" t="str">
            <v>30.6KG</v>
          </cell>
          <cell r="J250" t="str">
            <v xml:space="preserve">Rs 1548 </v>
          </cell>
          <cell r="K250">
            <v>4</v>
          </cell>
          <cell r="L250" t="str">
            <v>08-Feb-2024</v>
          </cell>
          <cell r="M250" t="str">
            <v>Delivered</v>
          </cell>
          <cell r="N250">
            <v>4</v>
          </cell>
          <cell r="O250" t="str">
            <v xml:space="preserve"> No</v>
          </cell>
        </row>
        <row r="251">
          <cell r="A251" t="str">
            <v>SHP-101523</v>
          </cell>
          <cell r="B251" t="str">
            <v>20/02/2024</v>
          </cell>
          <cell r="C251" t="str">
            <v>MUMBAI</v>
          </cell>
          <cell r="D251" t="str">
            <v>bluedart</v>
          </cell>
          <cell r="E251" t="str">
            <v>Air</v>
          </cell>
          <cell r="F251" t="str">
            <v xml:space="preserve">electronics </v>
          </cell>
          <cell r="G251" t="str">
            <v xml:space="preserve"> SOUTH </v>
          </cell>
          <cell r="I251" t="str">
            <v>2.9</v>
          </cell>
          <cell r="J251" t="str">
            <v>₹253</v>
          </cell>
          <cell r="K251">
            <v>4</v>
          </cell>
          <cell r="L251" t="str">
            <v>2024-02-23</v>
          </cell>
          <cell r="M251" t="str">
            <v xml:space="preserve"> Delivered</v>
          </cell>
          <cell r="N251">
            <v>5</v>
          </cell>
          <cell r="O251" t="str">
            <v xml:space="preserve">yes </v>
          </cell>
        </row>
        <row r="252">
          <cell r="A252" t="str">
            <v>SHP-101362</v>
          </cell>
          <cell r="B252" t="str">
            <v xml:space="preserve"> 10/06/2024 </v>
          </cell>
          <cell r="C252" t="str">
            <v xml:space="preserve"> CHENNAI </v>
          </cell>
          <cell r="D252" t="str">
            <v>DELHIVERY</v>
          </cell>
          <cell r="E252" t="str">
            <v>surface</v>
          </cell>
          <cell r="F252" t="str">
            <v>PHARMA</v>
          </cell>
          <cell r="G252" t="str">
            <v xml:space="preserve"> WEST </v>
          </cell>
          <cell r="I252" t="str">
            <v xml:space="preserve">2.4 Kg </v>
          </cell>
          <cell r="J252" t="str">
            <v xml:space="preserve">Rs 222 </v>
          </cell>
          <cell r="K252">
            <v>6</v>
          </cell>
          <cell r="L252" t="str">
            <v>2024-06-15</v>
          </cell>
          <cell r="M252" t="str">
            <v>delivered</v>
          </cell>
          <cell r="N252">
            <v>4</v>
          </cell>
          <cell r="O252" t="str">
            <v>no</v>
          </cell>
        </row>
        <row r="253">
          <cell r="A253" t="str">
            <v>SHP-100913</v>
          </cell>
          <cell r="B253" t="str">
            <v xml:space="preserve"> 25/01/2024 </v>
          </cell>
          <cell r="C253" t="str">
            <v xml:space="preserve">chennai </v>
          </cell>
          <cell r="D253" t="str">
            <v>bluedart</v>
          </cell>
          <cell r="E253" t="str">
            <v>air</v>
          </cell>
          <cell r="F253" t="str">
            <v>FURNITURE</v>
          </cell>
          <cell r="G253" t="str">
            <v>North</v>
          </cell>
          <cell r="I253" t="str">
            <v>33.0</v>
          </cell>
          <cell r="J253" t="str">
            <v>₹1,629</v>
          </cell>
          <cell r="K253">
            <v>4</v>
          </cell>
          <cell r="L253" t="str">
            <v>29-Jan-2024</v>
          </cell>
          <cell r="M253" t="str">
            <v>delivered</v>
          </cell>
          <cell r="N253">
            <v>4</v>
          </cell>
          <cell r="O253" t="str">
            <v>No</v>
          </cell>
        </row>
        <row r="254">
          <cell r="A254" t="str">
            <v>SHP-100147</v>
          </cell>
          <cell r="B254" t="str">
            <v>03-Mar-2024</v>
          </cell>
          <cell r="C254" t="str">
            <v xml:space="preserve">chennai </v>
          </cell>
          <cell r="D254" t="str">
            <v>delhivery</v>
          </cell>
          <cell r="E254" t="str">
            <v>SURFACE</v>
          </cell>
          <cell r="F254" t="str">
            <v>apparel</v>
          </cell>
          <cell r="G254" t="str">
            <v xml:space="preserve"> WEST </v>
          </cell>
          <cell r="I254" t="str">
            <v xml:space="preserve">2.3 Kg </v>
          </cell>
          <cell r="J254" t="str">
            <v>224</v>
          </cell>
          <cell r="K254">
            <v>6</v>
          </cell>
          <cell r="L254" t="str">
            <v>2024-03-10</v>
          </cell>
          <cell r="M254" t="str">
            <v>Delayed</v>
          </cell>
          <cell r="N254">
            <v>3</v>
          </cell>
          <cell r="O254" t="str">
            <v xml:space="preserve"> No</v>
          </cell>
        </row>
        <row r="255">
          <cell r="I255" t="str">
            <v>3.0</v>
          </cell>
        </row>
        <row r="256">
          <cell r="A256" t="str">
            <v>SHP-100352</v>
          </cell>
          <cell r="B256" t="str">
            <v xml:space="preserve"> 28/05/2024 </v>
          </cell>
          <cell r="C256" t="str">
            <v>kolkata</v>
          </cell>
          <cell r="D256" t="str">
            <v>bluedart</v>
          </cell>
          <cell r="E256" t="str">
            <v xml:space="preserve"> ROAD </v>
          </cell>
          <cell r="F256" t="str">
            <v>electronics</v>
          </cell>
          <cell r="G256" t="str">
            <v>North</v>
          </cell>
          <cell r="I256" t="str">
            <v>2.2</v>
          </cell>
          <cell r="J256" t="str">
            <v>₹220</v>
          </cell>
          <cell r="K256">
            <v>8</v>
          </cell>
          <cell r="L256" t="str">
            <v>2024-06-05</v>
          </cell>
          <cell r="M256" t="str">
            <v>Delivered</v>
          </cell>
          <cell r="N256">
            <v>3</v>
          </cell>
          <cell r="O256" t="str">
            <v>Y</v>
          </cell>
        </row>
        <row r="257">
          <cell r="A257" t="str">
            <v>SHP-100709</v>
          </cell>
          <cell r="B257" t="str">
            <v>2024-03-19</v>
          </cell>
          <cell r="C257" t="str">
            <v>Delhi</v>
          </cell>
          <cell r="D257" t="str">
            <v>ECOM EXPRESS</v>
          </cell>
          <cell r="E257" t="str">
            <v>AIR</v>
          </cell>
          <cell r="F257" t="str">
            <v xml:space="preserve">automotive parts </v>
          </cell>
          <cell r="G257" t="str">
            <v>EAST</v>
          </cell>
          <cell r="I257" t="str">
            <v>36.5kg</v>
          </cell>
          <cell r="J257" t="str">
            <v>1,825</v>
          </cell>
          <cell r="K257">
            <v>4</v>
          </cell>
          <cell r="L257" t="str">
            <v>2024-03-24</v>
          </cell>
          <cell r="M257" t="str">
            <v>DELAYED</v>
          </cell>
          <cell r="N257">
            <v>3</v>
          </cell>
          <cell r="O257" t="str">
            <v xml:space="preserve"> No</v>
          </cell>
        </row>
        <row r="258">
          <cell r="A258" t="str">
            <v>SHP-100007</v>
          </cell>
          <cell r="B258" t="str">
            <v>22/03/2024</v>
          </cell>
          <cell r="C258" t="str">
            <v>hyderabad</v>
          </cell>
          <cell r="D258" t="str">
            <v>DTDC</v>
          </cell>
          <cell r="E258" t="str">
            <v xml:space="preserve">road </v>
          </cell>
          <cell r="F258" t="str">
            <v>AUTOMOTIVE PARTS</v>
          </cell>
          <cell r="G258" t="str">
            <v xml:space="preserve">south </v>
          </cell>
          <cell r="I258" t="str">
            <v xml:space="preserve">26.5 Kg </v>
          </cell>
          <cell r="J258" t="str">
            <v xml:space="preserve">Rs 516 </v>
          </cell>
          <cell r="K258">
            <v>8</v>
          </cell>
          <cell r="L258" t="str">
            <v>07/04/2024</v>
          </cell>
          <cell r="M258" t="str">
            <v xml:space="preserve"> Delayed</v>
          </cell>
          <cell r="N258">
            <v>1</v>
          </cell>
          <cell r="O258" t="str">
            <v>Yes</v>
          </cell>
        </row>
        <row r="259">
          <cell r="A259" t="str">
            <v>SHP-101163</v>
          </cell>
          <cell r="B259" t="str">
            <v>2024-03-02</v>
          </cell>
          <cell r="C259" t="str">
            <v>Kolkata</v>
          </cell>
          <cell r="D259" t="str">
            <v>Blue Dart</v>
          </cell>
          <cell r="E259" t="str">
            <v>surface</v>
          </cell>
          <cell r="F259" t="str">
            <v xml:space="preserve">  ELECTRONICS </v>
          </cell>
          <cell r="G259" t="str">
            <v>EAST</v>
          </cell>
          <cell r="I259" t="str">
            <v>1.2kg</v>
          </cell>
          <cell r="J259" t="str">
            <v>80</v>
          </cell>
          <cell r="K259">
            <v>4</v>
          </cell>
          <cell r="L259" t="str">
            <v xml:space="preserve"> 06/03/2024 </v>
          </cell>
          <cell r="M259" t="str">
            <v>delivered</v>
          </cell>
          <cell r="N259">
            <v>5</v>
          </cell>
          <cell r="O259" t="str">
            <v>N</v>
          </cell>
        </row>
        <row r="260">
          <cell r="A260" t="str">
            <v>SHP-100407</v>
          </cell>
          <cell r="B260" t="str">
            <v>28/05/2024</v>
          </cell>
          <cell r="C260" t="str">
            <v>mumbai</v>
          </cell>
          <cell r="D260" t="str">
            <v>Ecom Express</v>
          </cell>
          <cell r="E260" t="str">
            <v>surface</v>
          </cell>
          <cell r="F260" t="str">
            <v>AUTOMOTIVE PARTS</v>
          </cell>
          <cell r="G260" t="str">
            <v xml:space="preserve">north </v>
          </cell>
          <cell r="I260" t="str">
            <v>9.3kg</v>
          </cell>
          <cell r="J260" t="str">
            <v xml:space="preserve">Rs 336 </v>
          </cell>
          <cell r="K260">
            <v>6</v>
          </cell>
          <cell r="L260" t="str">
            <v>04-Jun-2024</v>
          </cell>
          <cell r="M260" t="str">
            <v xml:space="preserve">delayed </v>
          </cell>
          <cell r="N260">
            <v>3</v>
          </cell>
          <cell r="O260" t="str">
            <v>Y</v>
          </cell>
        </row>
        <row r="261">
          <cell r="A261" t="str">
            <v>SHP-101091</v>
          </cell>
          <cell r="B261" t="str">
            <v>24-May-2024</v>
          </cell>
          <cell r="C261" t="str">
            <v>hyderabad</v>
          </cell>
          <cell r="D261" t="str">
            <v>Blue Dart</v>
          </cell>
          <cell r="E261" t="str">
            <v xml:space="preserve">road </v>
          </cell>
          <cell r="F261" t="str">
            <v>PHARMA</v>
          </cell>
          <cell r="G261" t="str">
            <v>South</v>
          </cell>
          <cell r="I261" t="str">
            <v>3.7kg</v>
          </cell>
          <cell r="J261" t="str">
            <v>244</v>
          </cell>
          <cell r="K261">
            <v>8</v>
          </cell>
          <cell r="L261" t="str">
            <v>01-Jun-2024</v>
          </cell>
          <cell r="M261" t="str">
            <v>delivered</v>
          </cell>
          <cell r="N261">
            <v>4</v>
          </cell>
          <cell r="O261" t="str">
            <v>No</v>
          </cell>
        </row>
        <row r="262">
          <cell r="A262" t="str">
            <v>SHP-100788</v>
          </cell>
          <cell r="B262" t="str">
            <v>03/03/2024</v>
          </cell>
          <cell r="C262" t="str">
            <v>kolkata</v>
          </cell>
          <cell r="D262" t="str">
            <v>Xpress Bees</v>
          </cell>
          <cell r="E262" t="str">
            <v>ROAD</v>
          </cell>
          <cell r="F262" t="str">
            <v>electronics</v>
          </cell>
          <cell r="G262" t="str">
            <v>East</v>
          </cell>
          <cell r="I262" t="str">
            <v>14.9kg</v>
          </cell>
          <cell r="J262" t="str">
            <v>₹211</v>
          </cell>
          <cell r="K262">
            <v>6</v>
          </cell>
          <cell r="L262" t="str">
            <v>2024-03-08</v>
          </cell>
          <cell r="M262" t="str">
            <v>Delivered</v>
          </cell>
          <cell r="N262">
            <v>4</v>
          </cell>
          <cell r="O262" t="str">
            <v>Y</v>
          </cell>
        </row>
        <row r="263">
          <cell r="A263" t="str">
            <v>SHP-100087</v>
          </cell>
          <cell r="B263" t="str">
            <v>2024-02-17</v>
          </cell>
          <cell r="C263" t="str">
            <v>kolkata</v>
          </cell>
          <cell r="D263" t="str">
            <v>Ecom Express</v>
          </cell>
          <cell r="E263" t="str">
            <v xml:space="preserve">air </v>
          </cell>
          <cell r="F263" t="str">
            <v>Apparel</v>
          </cell>
          <cell r="G263" t="str">
            <v>West</v>
          </cell>
          <cell r="I263" t="str">
            <v xml:space="preserve">6.3 Kg </v>
          </cell>
          <cell r="J263" t="str">
            <v>₹438</v>
          </cell>
          <cell r="K263">
            <v>4</v>
          </cell>
          <cell r="L263" t="str">
            <v>22/02/2024</v>
          </cell>
          <cell r="M263" t="str">
            <v xml:space="preserve"> Delayed</v>
          </cell>
          <cell r="N263">
            <v>2</v>
          </cell>
          <cell r="O263" t="str">
            <v>YES</v>
          </cell>
        </row>
        <row r="264">
          <cell r="A264" t="str">
            <v>SHP-101502</v>
          </cell>
          <cell r="B264" t="str">
            <v xml:space="preserve"> 24/04/2024 </v>
          </cell>
          <cell r="C264" t="str">
            <v>BENGALURU</v>
          </cell>
          <cell r="D264" t="str">
            <v>Xpress Bees</v>
          </cell>
          <cell r="E264" t="str">
            <v>road</v>
          </cell>
          <cell r="F264" t="str">
            <v xml:space="preserve"> ELECTRONICS </v>
          </cell>
          <cell r="G264" t="str">
            <v xml:space="preserve">north </v>
          </cell>
          <cell r="I264" t="str">
            <v>13.7</v>
          </cell>
          <cell r="J264" t="str">
            <v>313</v>
          </cell>
          <cell r="K264">
            <v>8</v>
          </cell>
          <cell r="L264" t="str">
            <v>02-May-2024</v>
          </cell>
          <cell r="M264" t="str">
            <v>Delivered</v>
          </cell>
          <cell r="N264">
            <v>5</v>
          </cell>
          <cell r="O264" t="str">
            <v>YES</v>
          </cell>
        </row>
        <row r="265">
          <cell r="A265" t="str">
            <v>SHP-100963</v>
          </cell>
          <cell r="B265" t="str">
            <v xml:space="preserve"> 22/05/2024 </v>
          </cell>
          <cell r="C265" t="str">
            <v xml:space="preserve"> CHENNAI </v>
          </cell>
          <cell r="D265" t="str">
            <v>ECOM EXPRESS</v>
          </cell>
          <cell r="E265" t="str">
            <v>surface</v>
          </cell>
          <cell r="F265" t="str">
            <v xml:space="preserve">pharma </v>
          </cell>
          <cell r="G265" t="str">
            <v>north</v>
          </cell>
          <cell r="I265" t="str">
            <v>3.2KG</v>
          </cell>
          <cell r="J265" t="str">
            <v xml:space="preserve">Rs 216 </v>
          </cell>
          <cell r="K265">
            <v>6</v>
          </cell>
          <cell r="L265" t="str">
            <v>27/05/2024</v>
          </cell>
          <cell r="M265" t="str">
            <v xml:space="preserve"> Delivered</v>
          </cell>
          <cell r="N265">
            <v>5</v>
          </cell>
          <cell r="O265" t="str">
            <v>no</v>
          </cell>
        </row>
        <row r="266">
          <cell r="A266" t="str">
            <v>SHP-100404</v>
          </cell>
          <cell r="B266" t="str">
            <v>22/03/2024</v>
          </cell>
          <cell r="C266" t="str">
            <v>bengaluru</v>
          </cell>
          <cell r="D266" t="str">
            <v xml:space="preserve"> XPRESSBEES</v>
          </cell>
          <cell r="E266" t="str">
            <v>AIR</v>
          </cell>
          <cell r="F266" t="str">
            <v>Grocery &amp; FMCG</v>
          </cell>
          <cell r="G266" t="str">
            <v>east</v>
          </cell>
          <cell r="I266" t="str">
            <v>15.5KG</v>
          </cell>
          <cell r="J266" t="str">
            <v xml:space="preserve">Rs 864 </v>
          </cell>
          <cell r="K266">
            <v>4</v>
          </cell>
          <cell r="L266" t="str">
            <v xml:space="preserve"> 01/04/2024 </v>
          </cell>
          <cell r="M266" t="str">
            <v>DELAYED</v>
          </cell>
          <cell r="N266">
            <v>2</v>
          </cell>
          <cell r="O266" t="str">
            <v>Y</v>
          </cell>
        </row>
        <row r="267">
          <cell r="A267" t="str">
            <v>SHP-100718</v>
          </cell>
          <cell r="B267" t="str">
            <v xml:space="preserve"> 24/02/2024 </v>
          </cell>
          <cell r="C267" t="str">
            <v xml:space="preserve"> MUMBAI </v>
          </cell>
          <cell r="D267" t="str">
            <v>DTDC</v>
          </cell>
          <cell r="E267" t="str">
            <v>road</v>
          </cell>
          <cell r="F267" t="str">
            <v xml:space="preserve">electronics </v>
          </cell>
          <cell r="G267" t="str">
            <v xml:space="preserve"> WEST </v>
          </cell>
          <cell r="I267" t="str">
            <v>11.6KG</v>
          </cell>
          <cell r="J267" t="str">
            <v>₹157</v>
          </cell>
          <cell r="K267">
            <v>6</v>
          </cell>
          <cell r="L267" t="str">
            <v>29-Feb-2024</v>
          </cell>
          <cell r="M267" t="str">
            <v>Delivered</v>
          </cell>
          <cell r="N267">
            <v>4</v>
          </cell>
          <cell r="O267" t="str">
            <v>Yes</v>
          </cell>
        </row>
        <row r="268">
          <cell r="A268" t="str">
            <v>SHP-101099</v>
          </cell>
          <cell r="B268" t="str">
            <v>03/02/2024</v>
          </cell>
          <cell r="C268" t="str">
            <v>kolkata</v>
          </cell>
          <cell r="D268" t="str">
            <v>delhivery</v>
          </cell>
          <cell r="E268" t="str">
            <v>SURFACE</v>
          </cell>
          <cell r="F268" t="str">
            <v xml:space="preserve"> PHARMA </v>
          </cell>
          <cell r="G268" t="str">
            <v xml:space="preserve"> NORTH </v>
          </cell>
          <cell r="I268" t="str">
            <v>0.7</v>
          </cell>
          <cell r="J268" t="str">
            <v xml:space="preserve">Rs 158 </v>
          </cell>
          <cell r="K268">
            <v>6</v>
          </cell>
          <cell r="L268" t="str">
            <v>09-Feb-2024</v>
          </cell>
          <cell r="M268" t="str">
            <v xml:space="preserve"> Delivered</v>
          </cell>
          <cell r="N268">
            <v>5</v>
          </cell>
          <cell r="O268" t="str">
            <v>No</v>
          </cell>
        </row>
        <row r="269">
          <cell r="A269" t="str">
            <v>SHP-100102</v>
          </cell>
          <cell r="B269" t="str">
            <v>11/03/2024</v>
          </cell>
          <cell r="C269" t="str">
            <v xml:space="preserve"> HYDERABAD </v>
          </cell>
          <cell r="D269" t="str">
            <v>ecom express</v>
          </cell>
          <cell r="E269" t="str">
            <v>AIR</v>
          </cell>
          <cell r="F269" t="str">
            <v>AUTOMOTIVE PARTS</v>
          </cell>
          <cell r="G269" t="str">
            <v>South</v>
          </cell>
          <cell r="I269" t="str">
            <v>5.9KG</v>
          </cell>
          <cell r="J269" t="str">
            <v>₹398</v>
          </cell>
          <cell r="K269">
            <v>4</v>
          </cell>
          <cell r="L269" t="str">
            <v>2024-03-22</v>
          </cell>
          <cell r="M269" t="str">
            <v xml:space="preserve"> DAMAGED</v>
          </cell>
          <cell r="O269" t="str">
            <v>No</v>
          </cell>
        </row>
        <row r="270">
          <cell r="A270" t="str">
            <v>SHP-100110</v>
          </cell>
          <cell r="B270" t="str">
            <v>12/03/2024</v>
          </cell>
          <cell r="C270" t="str">
            <v>Delhi</v>
          </cell>
          <cell r="D270" t="str">
            <v>XpressBees</v>
          </cell>
          <cell r="E270" t="str">
            <v>AIR</v>
          </cell>
          <cell r="F270" t="str">
            <v xml:space="preserve">  APPAREL </v>
          </cell>
          <cell r="G270" t="str">
            <v>West</v>
          </cell>
          <cell r="I270" t="str">
            <v>5.4kg</v>
          </cell>
          <cell r="J270" t="str">
            <v>418</v>
          </cell>
          <cell r="K270">
            <v>4</v>
          </cell>
          <cell r="L270" t="str">
            <v xml:space="preserve"> 16/03/2024 </v>
          </cell>
          <cell r="M270" t="str">
            <v>DELIVERED</v>
          </cell>
          <cell r="N270">
            <v>5</v>
          </cell>
          <cell r="O270" t="str">
            <v>Y</v>
          </cell>
        </row>
        <row r="271">
          <cell r="A271" t="str">
            <v>SHP-100053</v>
          </cell>
          <cell r="B271" t="str">
            <v>2024-06-16</v>
          </cell>
          <cell r="C271" t="str">
            <v xml:space="preserve"> KOLKATA </v>
          </cell>
          <cell r="D271" t="str">
            <v>BlueDart</v>
          </cell>
          <cell r="E271" t="str">
            <v>ROAD</v>
          </cell>
          <cell r="F271" t="str">
            <v>ELECTRONICS</v>
          </cell>
          <cell r="G271" t="str">
            <v xml:space="preserve"> EAST </v>
          </cell>
          <cell r="I271" t="str">
            <v>6.6</v>
          </cell>
          <cell r="J271" t="str">
            <v>₹124</v>
          </cell>
          <cell r="K271">
            <v>6</v>
          </cell>
          <cell r="L271" t="str">
            <v xml:space="preserve"> 21/06/2024 </v>
          </cell>
          <cell r="M271" t="str">
            <v xml:space="preserve"> Delivered</v>
          </cell>
          <cell r="N271">
            <v>4</v>
          </cell>
          <cell r="O271" t="str">
            <v xml:space="preserve"> No</v>
          </cell>
        </row>
        <row r="272">
          <cell r="A272" t="str">
            <v>SHP-100275</v>
          </cell>
          <cell r="B272" t="str">
            <v xml:space="preserve"> 26/01/2024 </v>
          </cell>
          <cell r="C272" t="str">
            <v xml:space="preserve">mumbai </v>
          </cell>
          <cell r="D272" t="str">
            <v>delhivery</v>
          </cell>
          <cell r="E272" t="str">
            <v>Surface</v>
          </cell>
          <cell r="F272" t="str">
            <v xml:space="preserve">  AUTOMOTIVE PARTS </v>
          </cell>
          <cell r="G272" t="str">
            <v>south</v>
          </cell>
          <cell r="I272" t="str">
            <v>15.8KG</v>
          </cell>
          <cell r="J272" t="str">
            <v>₹555</v>
          </cell>
          <cell r="K272">
            <v>6</v>
          </cell>
          <cell r="L272" t="str">
            <v>2024-02-01</v>
          </cell>
          <cell r="M272" t="str">
            <v>delivered</v>
          </cell>
          <cell r="N272">
            <v>5</v>
          </cell>
          <cell r="O272" t="str">
            <v>no</v>
          </cell>
        </row>
        <row r="273">
          <cell r="A273" t="str">
            <v>SHP-100618</v>
          </cell>
          <cell r="B273" t="str">
            <v>22/04/2024</v>
          </cell>
          <cell r="C273" t="str">
            <v>bengaluru</v>
          </cell>
          <cell r="D273" t="str">
            <v>Blue Dart</v>
          </cell>
          <cell r="E273" t="str">
            <v>air</v>
          </cell>
          <cell r="F273" t="str">
            <v xml:space="preserve">apparel  </v>
          </cell>
          <cell r="G273" t="str">
            <v>EAST</v>
          </cell>
          <cell r="I273" t="str">
            <v>3.6kg</v>
          </cell>
          <cell r="J273" t="str">
            <v>308</v>
          </cell>
          <cell r="K273">
            <v>4</v>
          </cell>
          <cell r="L273" t="str">
            <v>2024-04-26</v>
          </cell>
          <cell r="M273" t="str">
            <v>delivered</v>
          </cell>
          <cell r="N273">
            <v>4</v>
          </cell>
          <cell r="O273" t="str">
            <v>no</v>
          </cell>
        </row>
        <row r="274">
          <cell r="A274" t="str">
            <v>SHP-100339</v>
          </cell>
          <cell r="B274" t="str">
            <v>26/06/2024</v>
          </cell>
          <cell r="C274" t="str">
            <v>mumbai</v>
          </cell>
          <cell r="D274" t="str">
            <v xml:space="preserve">BLUEDART </v>
          </cell>
          <cell r="E274" t="str">
            <v>surface</v>
          </cell>
          <cell r="F274" t="str">
            <v>apparel</v>
          </cell>
          <cell r="G274" t="str">
            <v>WEST</v>
          </cell>
          <cell r="I274" t="str">
            <v>0.8KG</v>
          </cell>
          <cell r="J274" t="str">
            <v xml:space="preserve">Rs 80 </v>
          </cell>
          <cell r="K274">
            <v>4</v>
          </cell>
          <cell r="L274" t="str">
            <v>30/06/2024</v>
          </cell>
          <cell r="M274" t="str">
            <v>Delivered</v>
          </cell>
          <cell r="N274">
            <v>4</v>
          </cell>
          <cell r="O274" t="str">
            <v>No</v>
          </cell>
        </row>
        <row r="275">
          <cell r="A275" t="str">
            <v>SHP-101267</v>
          </cell>
          <cell r="B275" t="str">
            <v>11-Jan-2024</v>
          </cell>
          <cell r="C275" t="str">
            <v xml:space="preserve"> BENGALURU </v>
          </cell>
          <cell r="D275" t="str">
            <v>ecom express</v>
          </cell>
          <cell r="E275" t="str">
            <v xml:space="preserve"> AIR </v>
          </cell>
          <cell r="F275" t="str">
            <v>AUTOMOTIVE PARTS</v>
          </cell>
          <cell r="G275" t="str">
            <v xml:space="preserve">west </v>
          </cell>
          <cell r="I275" t="str">
            <v>25.2</v>
          </cell>
          <cell r="J275" t="str">
            <v>₹1,299</v>
          </cell>
          <cell r="K275">
            <v>4</v>
          </cell>
          <cell r="L275" t="str">
            <v>2024-01-14</v>
          </cell>
          <cell r="M275" t="str">
            <v>Delivered</v>
          </cell>
          <cell r="N275">
            <v>4</v>
          </cell>
          <cell r="O275" t="str">
            <v>YES</v>
          </cell>
        </row>
        <row r="276">
          <cell r="A276" t="str">
            <v>SHP-101072</v>
          </cell>
          <cell r="B276" t="str">
            <v>2024-05-25</v>
          </cell>
          <cell r="C276" t="str">
            <v>chennai</v>
          </cell>
          <cell r="D276" t="str">
            <v xml:space="preserve"> DTDC</v>
          </cell>
          <cell r="E276" t="str">
            <v>air</v>
          </cell>
          <cell r="F276" t="str">
            <v>GROCERY &amp; FMCG</v>
          </cell>
          <cell r="G276" t="str">
            <v>south</v>
          </cell>
          <cell r="I276" t="str">
            <v>8.4KG</v>
          </cell>
          <cell r="J276" t="str">
            <v>434</v>
          </cell>
          <cell r="K276">
            <v>2</v>
          </cell>
          <cell r="L276" t="str">
            <v>2024-05-26</v>
          </cell>
          <cell r="M276" t="str">
            <v>DELIVERED</v>
          </cell>
          <cell r="N276">
            <v>3</v>
          </cell>
          <cell r="O276" t="str">
            <v>N</v>
          </cell>
        </row>
        <row r="277">
          <cell r="A277" t="str">
            <v>SHP-100337</v>
          </cell>
          <cell r="B277" t="str">
            <v xml:space="preserve"> 12/01/2024 </v>
          </cell>
          <cell r="C277" t="str">
            <v>mumbai</v>
          </cell>
          <cell r="D277" t="str">
            <v>XpressBees</v>
          </cell>
          <cell r="E277" t="str">
            <v xml:space="preserve">air </v>
          </cell>
          <cell r="F277" t="str">
            <v xml:space="preserve">electronics </v>
          </cell>
          <cell r="G277" t="str">
            <v xml:space="preserve">east </v>
          </cell>
          <cell r="I277" t="str">
            <v>9.7kg</v>
          </cell>
          <cell r="J277" t="str">
            <v>619</v>
          </cell>
          <cell r="K277">
            <v>4</v>
          </cell>
          <cell r="L277" t="str">
            <v xml:space="preserve"> 15/01/2024 </v>
          </cell>
          <cell r="M277" t="str">
            <v>delivered</v>
          </cell>
          <cell r="N277">
            <v>4</v>
          </cell>
          <cell r="O277" t="str">
            <v xml:space="preserve"> No</v>
          </cell>
        </row>
        <row r="278">
          <cell r="A278" t="str">
            <v>SHP-100875</v>
          </cell>
          <cell r="B278" t="str">
            <v>2024-01-16</v>
          </cell>
          <cell r="C278" t="str">
            <v>Delhi</v>
          </cell>
          <cell r="D278" t="str">
            <v>Ecom Express</v>
          </cell>
          <cell r="E278" t="str">
            <v>Surface</v>
          </cell>
          <cell r="F278" t="str">
            <v>Furniture</v>
          </cell>
          <cell r="G278" t="str">
            <v>SOUTH</v>
          </cell>
          <cell r="I278" t="str">
            <v xml:space="preserve">43.6 Kg </v>
          </cell>
          <cell r="J278" t="str">
            <v xml:space="preserve">Rs 1091 </v>
          </cell>
          <cell r="K278">
            <v>6</v>
          </cell>
          <cell r="L278" t="str">
            <v>24/01/2024</v>
          </cell>
          <cell r="M278" t="str">
            <v xml:space="preserve">delayed </v>
          </cell>
          <cell r="N278">
            <v>5</v>
          </cell>
          <cell r="O278" t="str">
            <v>No</v>
          </cell>
        </row>
        <row r="279">
          <cell r="A279" t="str">
            <v>SHP-100787</v>
          </cell>
          <cell r="B279" t="str">
            <v xml:space="preserve"> 15/06/2024 </v>
          </cell>
          <cell r="C279" t="str">
            <v>Bengaluru</v>
          </cell>
          <cell r="D279" t="str">
            <v>DELHIVERY</v>
          </cell>
          <cell r="E279" t="str">
            <v>SURFACE</v>
          </cell>
          <cell r="F279" t="str">
            <v>apparel</v>
          </cell>
          <cell r="G279" t="str">
            <v>north</v>
          </cell>
          <cell r="I279" t="str">
            <v>6.4kg</v>
          </cell>
          <cell r="J279" t="str">
            <v xml:space="preserve">Rs 316 </v>
          </cell>
          <cell r="K279">
            <v>6</v>
          </cell>
          <cell r="L279" t="str">
            <v>20/06/2024</v>
          </cell>
          <cell r="M279" t="str">
            <v xml:space="preserve"> Delivered</v>
          </cell>
          <cell r="N279">
            <v>5</v>
          </cell>
          <cell r="O279" t="str">
            <v xml:space="preserve"> No</v>
          </cell>
        </row>
        <row r="280">
          <cell r="A280" t="str">
            <v>SHP-101435</v>
          </cell>
          <cell r="B280" t="str">
            <v>27/01/2024</v>
          </cell>
          <cell r="C280" t="str">
            <v xml:space="preserve">hyderabad </v>
          </cell>
          <cell r="D280" t="str">
            <v>delhivery</v>
          </cell>
          <cell r="E280" t="str">
            <v xml:space="preserve">surface </v>
          </cell>
          <cell r="F280" t="str">
            <v>Electronics</v>
          </cell>
          <cell r="G280" t="str">
            <v xml:space="preserve">east </v>
          </cell>
          <cell r="I280" t="str">
            <v xml:space="preserve">11.8 Kg </v>
          </cell>
          <cell r="J280" t="str">
            <v>₹440</v>
          </cell>
          <cell r="K280">
            <v>6</v>
          </cell>
          <cell r="L280" t="str">
            <v>02/02/2024</v>
          </cell>
          <cell r="M280" t="str">
            <v>Delivered</v>
          </cell>
          <cell r="N280">
            <v>5</v>
          </cell>
          <cell r="O280" t="str">
            <v xml:space="preserve"> No</v>
          </cell>
        </row>
        <row r="281">
          <cell r="A281" t="str">
            <v>SHP-100768</v>
          </cell>
          <cell r="B281" t="str">
            <v xml:space="preserve"> 16/05/2024 </v>
          </cell>
          <cell r="C281" t="str">
            <v>chennai</v>
          </cell>
          <cell r="D281" t="str">
            <v xml:space="preserve">BLUEDART </v>
          </cell>
          <cell r="E281" t="str">
            <v xml:space="preserve"> ROAD </v>
          </cell>
          <cell r="F281" t="str">
            <v xml:space="preserve">electronics </v>
          </cell>
          <cell r="G281" t="str">
            <v>west</v>
          </cell>
          <cell r="I281" t="str">
            <v xml:space="preserve">3.2 Kg </v>
          </cell>
          <cell r="J281" t="str">
            <v>250</v>
          </cell>
          <cell r="K281">
            <v>8</v>
          </cell>
          <cell r="L281" t="str">
            <v>25-May-2024</v>
          </cell>
          <cell r="M281" t="str">
            <v>DELAYED</v>
          </cell>
          <cell r="N281">
            <v>2</v>
          </cell>
          <cell r="O281" t="str">
            <v>no</v>
          </cell>
        </row>
        <row r="282">
          <cell r="A282" t="str">
            <v>SHP-100274</v>
          </cell>
          <cell r="B282" t="str">
            <v>2024-01-19</v>
          </cell>
          <cell r="C282" t="str">
            <v>mumbai</v>
          </cell>
          <cell r="D282" t="str">
            <v>Xpress Bees</v>
          </cell>
          <cell r="E282" t="str">
            <v>Road</v>
          </cell>
          <cell r="F282" t="str">
            <v>APPAREL</v>
          </cell>
          <cell r="G282" t="str">
            <v xml:space="preserve"> SOUTH </v>
          </cell>
          <cell r="I282" t="str">
            <v>5.4kg</v>
          </cell>
          <cell r="J282" t="str">
            <v>223</v>
          </cell>
          <cell r="K282">
            <v>8</v>
          </cell>
          <cell r="L282" t="str">
            <v>27/01/2024</v>
          </cell>
          <cell r="M282" t="str">
            <v>Delivered</v>
          </cell>
          <cell r="N282">
            <v>5</v>
          </cell>
          <cell r="O282" t="str">
            <v>no</v>
          </cell>
        </row>
        <row r="283">
          <cell r="A283" t="str">
            <v>SHP-100004</v>
          </cell>
          <cell r="B283" t="str">
            <v xml:space="preserve"> 17/03/2024 </v>
          </cell>
          <cell r="C283" t="str">
            <v xml:space="preserve">delhi </v>
          </cell>
          <cell r="D283" t="str">
            <v>XpressBees</v>
          </cell>
          <cell r="E283" t="str">
            <v>SURFACE</v>
          </cell>
          <cell r="F283" t="str">
            <v>GROCERY &amp; FMCG</v>
          </cell>
          <cell r="G283" t="str">
            <v xml:space="preserve"> SOUTH </v>
          </cell>
          <cell r="I283" t="str">
            <v>2.4kg</v>
          </cell>
          <cell r="J283" t="str">
            <v xml:space="preserve">Rs 215 </v>
          </cell>
          <cell r="K283">
            <v>6</v>
          </cell>
          <cell r="L283" t="str">
            <v>24-Mar-2024</v>
          </cell>
          <cell r="M283" t="str">
            <v>Delayed</v>
          </cell>
          <cell r="N283">
            <v>2</v>
          </cell>
          <cell r="O283" t="str">
            <v>N</v>
          </cell>
        </row>
        <row r="284">
          <cell r="A284" t="str">
            <v>SHP-100393</v>
          </cell>
          <cell r="B284" t="str">
            <v>17/06/2024</v>
          </cell>
          <cell r="C284" t="str">
            <v>Delhi</v>
          </cell>
          <cell r="D284" t="str">
            <v xml:space="preserve"> DTDC</v>
          </cell>
          <cell r="E284" t="str">
            <v>AIR</v>
          </cell>
          <cell r="F284" t="str">
            <v xml:space="preserve"> FURNITURE </v>
          </cell>
          <cell r="G284" t="str">
            <v xml:space="preserve"> NORTH </v>
          </cell>
          <cell r="I284" t="str">
            <v>76.5kg</v>
          </cell>
          <cell r="J284" t="str">
            <v xml:space="preserve">Rs 3437 </v>
          </cell>
          <cell r="K284">
            <v>2</v>
          </cell>
          <cell r="L284" t="str">
            <v>2024-06-26</v>
          </cell>
          <cell r="M284" t="str">
            <v>damaged</v>
          </cell>
          <cell r="O284" t="str">
            <v>YES</v>
          </cell>
        </row>
        <row r="285">
          <cell r="A285" t="str">
            <v>SHP-100530</v>
          </cell>
          <cell r="B285" t="str">
            <v xml:space="preserve"> 18/04/2024 </v>
          </cell>
          <cell r="C285" t="str">
            <v>BENGALURU</v>
          </cell>
          <cell r="D285" t="str">
            <v>Xpress Bees</v>
          </cell>
          <cell r="E285" t="str">
            <v>air</v>
          </cell>
          <cell r="F285" t="str">
            <v>Furniture</v>
          </cell>
          <cell r="G285" t="str">
            <v>west</v>
          </cell>
          <cell r="I285" t="str">
            <v>59.5</v>
          </cell>
          <cell r="J285" t="str">
            <v>₹2,804</v>
          </cell>
          <cell r="K285">
            <v>4</v>
          </cell>
          <cell r="L285" t="str">
            <v xml:space="preserve"> 23/04/2024 </v>
          </cell>
          <cell r="M285" t="str">
            <v xml:space="preserve"> Delayed</v>
          </cell>
          <cell r="N285">
            <v>2</v>
          </cell>
          <cell r="O285" t="str">
            <v xml:space="preserve">yes </v>
          </cell>
        </row>
        <row r="286">
          <cell r="A286" t="str">
            <v>SHP-101539</v>
          </cell>
          <cell r="B286" t="str">
            <v xml:space="preserve"> 09/05/2024 </v>
          </cell>
          <cell r="C286" t="str">
            <v xml:space="preserve">mumbai </v>
          </cell>
          <cell r="D286" t="str">
            <v>bluedart</v>
          </cell>
          <cell r="E286" t="str">
            <v xml:space="preserve"> SURFACE </v>
          </cell>
          <cell r="F286" t="str">
            <v>FURNITURE</v>
          </cell>
          <cell r="G286" t="str">
            <v xml:space="preserve">south </v>
          </cell>
          <cell r="I286" t="str">
            <v>35.1kg</v>
          </cell>
          <cell r="J286" t="str">
            <v xml:space="preserve">Rs 981 </v>
          </cell>
          <cell r="K286">
            <v>6</v>
          </cell>
          <cell r="L286" t="str">
            <v>15-May-2024</v>
          </cell>
          <cell r="M286" t="str">
            <v>Delivered</v>
          </cell>
          <cell r="N286">
            <v>3</v>
          </cell>
          <cell r="O286" t="str">
            <v>N</v>
          </cell>
        </row>
        <row r="287">
          <cell r="A287" t="str">
            <v>SHP-101116</v>
          </cell>
          <cell r="B287" t="str">
            <v xml:space="preserve"> 26/03/2024 </v>
          </cell>
          <cell r="C287" t="str">
            <v xml:space="preserve"> KOLKATA </v>
          </cell>
          <cell r="D287" t="str">
            <v xml:space="preserve"> XPRESSBEES</v>
          </cell>
          <cell r="E287" t="str">
            <v>air</v>
          </cell>
          <cell r="F287" t="str">
            <v>automotive parts</v>
          </cell>
          <cell r="G287" t="str">
            <v>EAST</v>
          </cell>
          <cell r="I287" t="str">
            <v>11.6kg</v>
          </cell>
          <cell r="J287" t="str">
            <v>531</v>
          </cell>
          <cell r="K287">
            <v>2</v>
          </cell>
          <cell r="L287" t="str">
            <v>29-Mar-2024</v>
          </cell>
          <cell r="M287" t="str">
            <v>Delayed</v>
          </cell>
          <cell r="N287">
            <v>5</v>
          </cell>
          <cell r="O287" t="str">
            <v>YES</v>
          </cell>
        </row>
        <row r="288">
          <cell r="A288" t="str">
            <v>SHP-101073</v>
          </cell>
          <cell r="B288" t="str">
            <v>27-Jun-2024</v>
          </cell>
          <cell r="C288" t="str">
            <v>kolkata</v>
          </cell>
          <cell r="D288" t="str">
            <v>ecom express</v>
          </cell>
          <cell r="E288" t="str">
            <v>Road</v>
          </cell>
          <cell r="F288" t="str">
            <v>GROCERY &amp; FMCG</v>
          </cell>
          <cell r="G288" t="str">
            <v>EAST</v>
          </cell>
          <cell r="I288" t="str">
            <v xml:space="preserve">6.9 Kg </v>
          </cell>
          <cell r="J288" t="str">
            <v xml:space="preserve">Rs 80 </v>
          </cell>
          <cell r="K288">
            <v>6</v>
          </cell>
          <cell r="M288" t="str">
            <v xml:space="preserve">IN-TRANSIT </v>
          </cell>
          <cell r="O288" t="str">
            <v>N</v>
          </cell>
        </row>
        <row r="289">
          <cell r="A289" t="str">
            <v>SHP-101388</v>
          </cell>
          <cell r="B289" t="str">
            <v>13/03/2024</v>
          </cell>
          <cell r="C289" t="str">
            <v xml:space="preserve">delhi </v>
          </cell>
          <cell r="D289" t="str">
            <v>delhivery</v>
          </cell>
          <cell r="E289" t="str">
            <v xml:space="preserve"> ROAD </v>
          </cell>
          <cell r="F289" t="str">
            <v>pharma</v>
          </cell>
          <cell r="G289" t="str">
            <v xml:space="preserve">south </v>
          </cell>
          <cell r="I289" t="str">
            <v>1.4</v>
          </cell>
          <cell r="J289" t="str">
            <v>170</v>
          </cell>
          <cell r="K289">
            <v>8</v>
          </cell>
          <cell r="L289" t="str">
            <v>22-Mar-2024</v>
          </cell>
          <cell r="M289" t="str">
            <v xml:space="preserve">delayed </v>
          </cell>
          <cell r="N289">
            <v>4</v>
          </cell>
          <cell r="O289" t="str">
            <v>Yes</v>
          </cell>
        </row>
        <row r="290">
          <cell r="A290" t="str">
            <v>SHP-101562</v>
          </cell>
          <cell r="B290" t="str">
            <v xml:space="preserve"> 02/05/2024 </v>
          </cell>
          <cell r="C290" t="str">
            <v>hyderabad</v>
          </cell>
          <cell r="D290" t="str">
            <v>ecom express</v>
          </cell>
          <cell r="E290" t="str">
            <v>road</v>
          </cell>
          <cell r="F290" t="str">
            <v>furniture</v>
          </cell>
          <cell r="G290" t="str">
            <v>East</v>
          </cell>
          <cell r="I290" t="str">
            <v>69.7</v>
          </cell>
          <cell r="J290" t="str">
            <v>1,126</v>
          </cell>
          <cell r="K290">
            <v>8</v>
          </cell>
          <cell r="L290" t="str">
            <v>15/05/2024</v>
          </cell>
          <cell r="M290" t="str">
            <v xml:space="preserve"> DAMAGED</v>
          </cell>
          <cell r="O290" t="str">
            <v>No</v>
          </cell>
        </row>
        <row r="291">
          <cell r="A291" t="str">
            <v>SHP-101487</v>
          </cell>
          <cell r="B291" t="str">
            <v xml:space="preserve"> 19/06/2024 </v>
          </cell>
          <cell r="C291" t="str">
            <v xml:space="preserve"> HYDERABAD </v>
          </cell>
          <cell r="D291" t="str">
            <v xml:space="preserve">BLUEDART </v>
          </cell>
          <cell r="E291" t="str">
            <v>Road</v>
          </cell>
          <cell r="F291" t="str">
            <v>electronics</v>
          </cell>
          <cell r="G291" t="str">
            <v>North</v>
          </cell>
          <cell r="I291" t="str">
            <v>13.1kg</v>
          </cell>
          <cell r="J291" t="str">
            <v xml:space="preserve">Rs 327 </v>
          </cell>
          <cell r="K291">
            <v>8</v>
          </cell>
          <cell r="L291" t="str">
            <v>2024-06-28</v>
          </cell>
          <cell r="M291" t="str">
            <v xml:space="preserve">delayed </v>
          </cell>
          <cell r="N291">
            <v>3</v>
          </cell>
          <cell r="O291" t="str">
            <v>YES</v>
          </cell>
        </row>
        <row r="292">
          <cell r="A292" t="str">
            <v>SHP-100691</v>
          </cell>
          <cell r="B292" t="str">
            <v xml:space="preserve"> 15/04/2024 </v>
          </cell>
          <cell r="C292" t="str">
            <v xml:space="preserve">delhi </v>
          </cell>
          <cell r="D292" t="str">
            <v>xpressbees</v>
          </cell>
          <cell r="E292" t="str">
            <v>SURFACE</v>
          </cell>
          <cell r="F292" t="str">
            <v xml:space="preserve"> ELECTRONICS </v>
          </cell>
          <cell r="G292" t="str">
            <v>WEST</v>
          </cell>
          <cell r="I292" t="str">
            <v xml:space="preserve">14.1 Kg </v>
          </cell>
          <cell r="J292" t="str">
            <v xml:space="preserve">Rs 454 </v>
          </cell>
          <cell r="K292">
            <v>6</v>
          </cell>
          <cell r="L292" t="str">
            <v>2024-04-20</v>
          </cell>
          <cell r="M292" t="str">
            <v>Delivered</v>
          </cell>
          <cell r="N292">
            <v>5</v>
          </cell>
          <cell r="O292" t="str">
            <v>N</v>
          </cell>
        </row>
        <row r="293">
          <cell r="A293" t="str">
            <v>SHP-100361</v>
          </cell>
          <cell r="B293" t="str">
            <v>2024-04-08</v>
          </cell>
          <cell r="C293" t="str">
            <v>delhi</v>
          </cell>
          <cell r="D293" t="str">
            <v>ECOM EXPRESS</v>
          </cell>
          <cell r="E293" t="str">
            <v xml:space="preserve"> ROAD </v>
          </cell>
          <cell r="F293" t="str">
            <v xml:space="preserve">furniture </v>
          </cell>
          <cell r="G293" t="str">
            <v xml:space="preserve"> NORTH </v>
          </cell>
          <cell r="I293" t="str">
            <v>50.0KG</v>
          </cell>
          <cell r="J293" t="str">
            <v>702</v>
          </cell>
          <cell r="K293">
            <v>6</v>
          </cell>
          <cell r="L293" t="str">
            <v>15/04/2024</v>
          </cell>
          <cell r="M293" t="str">
            <v xml:space="preserve"> Delayed</v>
          </cell>
          <cell r="N293">
            <v>5</v>
          </cell>
          <cell r="O293" t="str">
            <v>No</v>
          </cell>
        </row>
        <row r="294">
          <cell r="A294" t="str">
            <v>SHP-100699</v>
          </cell>
          <cell r="B294" t="str">
            <v>05/01/2024</v>
          </cell>
          <cell r="C294" t="str">
            <v>Hyderabad</v>
          </cell>
          <cell r="D294" t="str">
            <v xml:space="preserve"> Delhivery</v>
          </cell>
          <cell r="E294" t="str">
            <v xml:space="preserve"> ROAD </v>
          </cell>
          <cell r="F294" t="str">
            <v>automotive parts</v>
          </cell>
          <cell r="G294" t="str">
            <v>EAST</v>
          </cell>
          <cell r="I294" t="str">
            <v xml:space="preserve">39.5 Kg </v>
          </cell>
          <cell r="J294" t="str">
            <v>₹758</v>
          </cell>
          <cell r="K294">
            <v>8</v>
          </cell>
          <cell r="L294" t="str">
            <v>13-Jan-2024</v>
          </cell>
          <cell r="M294" t="str">
            <v xml:space="preserve">RETURNED </v>
          </cell>
          <cell r="O294" t="str">
            <v>Y</v>
          </cell>
        </row>
        <row r="295">
          <cell r="A295" t="str">
            <v>SHP-101157</v>
          </cell>
          <cell r="B295" t="str">
            <v>17-Jun-2024</v>
          </cell>
          <cell r="C295" t="str">
            <v xml:space="preserve"> MUMBAI </v>
          </cell>
          <cell r="D295" t="str">
            <v>delhivery</v>
          </cell>
          <cell r="E295" t="str">
            <v xml:space="preserve"> SURFACE </v>
          </cell>
          <cell r="F295" t="str">
            <v>AUTOMOTIVE PARTS</v>
          </cell>
          <cell r="G295" t="str">
            <v xml:space="preserve">east </v>
          </cell>
          <cell r="I295" t="str">
            <v>30.1</v>
          </cell>
          <cell r="J295" t="str">
            <v xml:space="preserve">Rs 836 </v>
          </cell>
          <cell r="K295">
            <v>6</v>
          </cell>
          <cell r="L295" t="str">
            <v>22-Jun-2024</v>
          </cell>
          <cell r="M295" t="str">
            <v>Delivered</v>
          </cell>
          <cell r="N295">
            <v>4</v>
          </cell>
          <cell r="O295" t="str">
            <v>N</v>
          </cell>
        </row>
        <row r="296">
          <cell r="A296" t="str">
            <v>SHP-101259</v>
          </cell>
          <cell r="B296" t="str">
            <v>2024-05-22</v>
          </cell>
          <cell r="C296" t="str">
            <v>Delhi</v>
          </cell>
          <cell r="D296" t="str">
            <v>Xpress Bees</v>
          </cell>
          <cell r="E296" t="str">
            <v>road</v>
          </cell>
          <cell r="F296" t="str">
            <v>furniture</v>
          </cell>
          <cell r="G296" t="str">
            <v xml:space="preserve"> NORTH </v>
          </cell>
          <cell r="I296" t="str">
            <v>34.4KG</v>
          </cell>
          <cell r="J296" t="str">
            <v>₹523</v>
          </cell>
          <cell r="K296">
            <v>6</v>
          </cell>
          <cell r="L296" t="str">
            <v>29/05/2024</v>
          </cell>
          <cell r="M296" t="str">
            <v xml:space="preserve">delayed </v>
          </cell>
          <cell r="N296">
            <v>2</v>
          </cell>
          <cell r="O296" t="str">
            <v>No</v>
          </cell>
        </row>
        <row r="297">
          <cell r="A297" t="str">
            <v>SHP-100324</v>
          </cell>
          <cell r="B297" t="str">
            <v>25/04/2024</v>
          </cell>
          <cell r="C297" t="str">
            <v xml:space="preserve"> MUMBAI </v>
          </cell>
          <cell r="D297" t="str">
            <v>Ecom Express</v>
          </cell>
          <cell r="E297" t="str">
            <v>surface</v>
          </cell>
          <cell r="F297" t="str">
            <v xml:space="preserve"> ELECTRONICS </v>
          </cell>
          <cell r="G297" t="str">
            <v>north</v>
          </cell>
          <cell r="I297" t="str">
            <v xml:space="preserve">6.2 Kg </v>
          </cell>
          <cell r="J297" t="str">
            <v xml:space="preserve">Rs 283 </v>
          </cell>
          <cell r="K297">
            <v>6</v>
          </cell>
          <cell r="L297" t="str">
            <v xml:space="preserve"> 30/04/2024 </v>
          </cell>
          <cell r="M297" t="str">
            <v>Delivered</v>
          </cell>
          <cell r="N297">
            <v>5</v>
          </cell>
          <cell r="O297" t="str">
            <v xml:space="preserve"> No</v>
          </cell>
        </row>
        <row r="298">
          <cell r="A298" t="str">
            <v>SHP-100748</v>
          </cell>
          <cell r="B298" t="str">
            <v>2024-01-02</v>
          </cell>
          <cell r="C298" t="str">
            <v>BENGALURU</v>
          </cell>
          <cell r="D298" t="str">
            <v>Ecom  Express</v>
          </cell>
          <cell r="E298" t="str">
            <v xml:space="preserve">air </v>
          </cell>
          <cell r="F298" t="str">
            <v xml:space="preserve">grocery &amp; fmcg </v>
          </cell>
          <cell r="G298" t="str">
            <v xml:space="preserve">south </v>
          </cell>
          <cell r="I298" t="str">
            <v>3.9KG</v>
          </cell>
          <cell r="J298" t="str">
            <v>₹185</v>
          </cell>
          <cell r="K298">
            <v>2</v>
          </cell>
          <cell r="L298" t="str">
            <v>05-Jan-2024</v>
          </cell>
          <cell r="M298" t="str">
            <v>Delayed</v>
          </cell>
          <cell r="N298">
            <v>1</v>
          </cell>
          <cell r="O298" t="str">
            <v>Yes</v>
          </cell>
        </row>
        <row r="299">
          <cell r="A299" t="str">
            <v>SHP-100510</v>
          </cell>
          <cell r="B299" t="str">
            <v xml:space="preserve"> 08/01/2024 </v>
          </cell>
          <cell r="C299" t="str">
            <v>chennai</v>
          </cell>
          <cell r="D299" t="str">
            <v xml:space="preserve"> Delhivery</v>
          </cell>
          <cell r="E299" t="str">
            <v>Road</v>
          </cell>
          <cell r="F299" t="str">
            <v>Electronics</v>
          </cell>
          <cell r="G299" t="str">
            <v xml:space="preserve">west </v>
          </cell>
          <cell r="I299" t="str">
            <v>10.0</v>
          </cell>
          <cell r="J299" t="str">
            <v>₹339</v>
          </cell>
          <cell r="K299">
            <v>8</v>
          </cell>
          <cell r="L299" t="str">
            <v xml:space="preserve"> 15/01/2024 </v>
          </cell>
          <cell r="M299" t="str">
            <v>returned</v>
          </cell>
          <cell r="O299" t="str">
            <v>YES</v>
          </cell>
        </row>
        <row r="300">
          <cell r="A300" t="str">
            <v>SHP-100999</v>
          </cell>
          <cell r="B300" t="str">
            <v xml:space="preserve"> 08/04/2024 </v>
          </cell>
          <cell r="C300" t="str">
            <v>mumbai</v>
          </cell>
          <cell r="D300" t="str">
            <v>Ecom  Express</v>
          </cell>
          <cell r="E300" t="str">
            <v>road</v>
          </cell>
          <cell r="F300" t="str">
            <v>Electronics</v>
          </cell>
          <cell r="G300" t="str">
            <v>NORTH</v>
          </cell>
          <cell r="I300" t="str">
            <v>7.4KG</v>
          </cell>
          <cell r="J300" t="str">
            <v>₹270</v>
          </cell>
          <cell r="K300">
            <v>8</v>
          </cell>
          <cell r="L300" t="str">
            <v>2024-04-21</v>
          </cell>
          <cell r="M300" t="str">
            <v xml:space="preserve">delayed </v>
          </cell>
          <cell r="N300">
            <v>4</v>
          </cell>
          <cell r="O300" t="str">
            <v>No</v>
          </cell>
        </row>
        <row r="301">
          <cell r="A301" t="str">
            <v>SHP-101290</v>
          </cell>
          <cell r="B301" t="str">
            <v xml:space="preserve"> 13/06/2024 </v>
          </cell>
          <cell r="C301" t="str">
            <v>mumbai</v>
          </cell>
          <cell r="D301" t="str">
            <v>DTDC</v>
          </cell>
          <cell r="E301" t="str">
            <v xml:space="preserve"> ROAD </v>
          </cell>
          <cell r="F301" t="str">
            <v xml:space="preserve"> AUTOMOTIVE PARTS </v>
          </cell>
          <cell r="G301" t="str">
            <v xml:space="preserve"> EAST </v>
          </cell>
          <cell r="I301" t="str">
            <v>5.6kg</v>
          </cell>
          <cell r="J301" t="str">
            <v>249</v>
          </cell>
          <cell r="K301">
            <v>8</v>
          </cell>
          <cell r="L301" t="str">
            <v xml:space="preserve"> 26/06/2024 </v>
          </cell>
          <cell r="M301" t="str">
            <v>DELAYED</v>
          </cell>
          <cell r="N301">
            <v>1</v>
          </cell>
          <cell r="O301" t="str">
            <v xml:space="preserve">yes </v>
          </cell>
        </row>
        <row r="302">
          <cell r="A302" t="str">
            <v>SHP-100603</v>
          </cell>
          <cell r="B302" t="str">
            <v>03-Feb-2024</v>
          </cell>
          <cell r="C302" t="str">
            <v>chennai</v>
          </cell>
          <cell r="D302" t="str">
            <v>xpressbees</v>
          </cell>
          <cell r="E302" t="str">
            <v>AIR</v>
          </cell>
          <cell r="F302" t="str">
            <v>ELECTRONICS</v>
          </cell>
          <cell r="G302" t="str">
            <v>WEST</v>
          </cell>
          <cell r="I302" t="str">
            <v>1.9KG</v>
          </cell>
          <cell r="J302" t="str">
            <v>260</v>
          </cell>
          <cell r="K302">
            <v>4</v>
          </cell>
          <cell r="L302" t="str">
            <v>06/02/2024</v>
          </cell>
          <cell r="M302" t="str">
            <v>damaged</v>
          </cell>
          <cell r="O302" t="str">
            <v>No</v>
          </cell>
        </row>
        <row r="303">
          <cell r="A303" t="str">
            <v>SHP-101255</v>
          </cell>
          <cell r="B303" t="str">
            <v xml:space="preserve"> 24/01/2024 </v>
          </cell>
          <cell r="C303" t="str">
            <v>Bengaluru</v>
          </cell>
          <cell r="D303" t="str">
            <v>Ecom Express</v>
          </cell>
          <cell r="E303" t="str">
            <v xml:space="preserve">surface </v>
          </cell>
          <cell r="F303" t="str">
            <v>Furniture</v>
          </cell>
          <cell r="G303" t="str">
            <v>east</v>
          </cell>
          <cell r="I303" t="str">
            <v>42.6</v>
          </cell>
          <cell r="J303" t="str">
            <v xml:space="preserve">Rs 1144 </v>
          </cell>
          <cell r="K303">
            <v>6</v>
          </cell>
          <cell r="L303" t="str">
            <v xml:space="preserve"> 29/01/2024 </v>
          </cell>
          <cell r="M303" t="str">
            <v>Delivered</v>
          </cell>
          <cell r="N303">
            <v>3</v>
          </cell>
          <cell r="O303" t="str">
            <v>YES</v>
          </cell>
        </row>
        <row r="304">
          <cell r="A304" t="str">
            <v>SHP-100199</v>
          </cell>
          <cell r="B304" t="str">
            <v>07/01/2024</v>
          </cell>
          <cell r="C304" t="str">
            <v xml:space="preserve">chennai </v>
          </cell>
          <cell r="D304" t="str">
            <v>delhivery</v>
          </cell>
          <cell r="E304" t="str">
            <v>ROAD</v>
          </cell>
          <cell r="F304" t="str">
            <v xml:space="preserve">apparel </v>
          </cell>
          <cell r="G304" t="str">
            <v>NORTH</v>
          </cell>
          <cell r="I304" t="str">
            <v>6.9</v>
          </cell>
          <cell r="J304" t="str">
            <v>231</v>
          </cell>
          <cell r="K304">
            <v>8</v>
          </cell>
          <cell r="L304" t="str">
            <v>2024-01-15</v>
          </cell>
          <cell r="M304" t="str">
            <v>returned</v>
          </cell>
          <cell r="O304" t="str">
            <v>Yes</v>
          </cell>
        </row>
        <row r="305">
          <cell r="A305" t="str">
            <v>SHP-100293</v>
          </cell>
          <cell r="B305" t="str">
            <v>19/03/2024</v>
          </cell>
          <cell r="C305" t="str">
            <v xml:space="preserve">hyderabad </v>
          </cell>
          <cell r="D305" t="str">
            <v>DTDC</v>
          </cell>
          <cell r="E305" t="str">
            <v>SURFACE</v>
          </cell>
          <cell r="F305" t="str">
            <v>Electronics</v>
          </cell>
          <cell r="G305" t="str">
            <v>south</v>
          </cell>
          <cell r="I305" t="str">
            <v>5.5kg</v>
          </cell>
          <cell r="J305" t="str">
            <v>₹287</v>
          </cell>
          <cell r="K305">
            <v>6</v>
          </cell>
          <cell r="L305" t="str">
            <v>25/03/2024</v>
          </cell>
          <cell r="M305" t="str">
            <v xml:space="preserve"> Delivered</v>
          </cell>
          <cell r="N305">
            <v>5</v>
          </cell>
          <cell r="O305" t="str">
            <v xml:space="preserve">yes </v>
          </cell>
        </row>
        <row r="306">
          <cell r="A306" t="str">
            <v>SHP-100429</v>
          </cell>
          <cell r="B306" t="str">
            <v>2024-06-21</v>
          </cell>
          <cell r="C306" t="str">
            <v xml:space="preserve"> KOLKATA </v>
          </cell>
          <cell r="D306" t="str">
            <v xml:space="preserve"> XPRESSBEES</v>
          </cell>
          <cell r="E306" t="str">
            <v>AIR</v>
          </cell>
          <cell r="F306" t="str">
            <v xml:space="preserve">grocery &amp; fmcg </v>
          </cell>
          <cell r="G306" t="str">
            <v xml:space="preserve"> SOUTH </v>
          </cell>
          <cell r="I306" t="str">
            <v>19.8</v>
          </cell>
          <cell r="J306" t="str">
            <v>₹1,026</v>
          </cell>
          <cell r="K306">
            <v>4</v>
          </cell>
          <cell r="L306" t="str">
            <v>27-Jun-2024</v>
          </cell>
          <cell r="M306" t="str">
            <v>Delayed</v>
          </cell>
          <cell r="N306">
            <v>5</v>
          </cell>
          <cell r="O306" t="str">
            <v xml:space="preserve">yes </v>
          </cell>
        </row>
        <row r="307">
          <cell r="A307" t="str">
            <v>SHP-101285</v>
          </cell>
          <cell r="B307" t="str">
            <v>2024-05-25</v>
          </cell>
          <cell r="C307" t="str">
            <v xml:space="preserve"> BENGALURU </v>
          </cell>
          <cell r="D307" t="str">
            <v xml:space="preserve"> DTDC</v>
          </cell>
          <cell r="E307" t="str">
            <v xml:space="preserve"> ROAD </v>
          </cell>
          <cell r="F307" t="str">
            <v xml:space="preserve">  APPAREL </v>
          </cell>
          <cell r="G307" t="str">
            <v xml:space="preserve">south </v>
          </cell>
          <cell r="I307" t="str">
            <v>3.9</v>
          </cell>
          <cell r="J307" t="str">
            <v>₹80</v>
          </cell>
          <cell r="K307">
            <v>6</v>
          </cell>
          <cell r="L307" t="str">
            <v>01/06/2024</v>
          </cell>
          <cell r="M307" t="str">
            <v>Delayed</v>
          </cell>
          <cell r="N307">
            <v>1</v>
          </cell>
          <cell r="O307" t="str">
            <v>no</v>
          </cell>
        </row>
        <row r="308">
          <cell r="A308" t="str">
            <v>SHP-101500</v>
          </cell>
          <cell r="B308" t="str">
            <v>23/06/2024</v>
          </cell>
          <cell r="C308" t="str">
            <v xml:space="preserve">delhi </v>
          </cell>
          <cell r="D308" t="str">
            <v xml:space="preserve"> XPRESSBEES</v>
          </cell>
          <cell r="E308" t="str">
            <v>AIR</v>
          </cell>
          <cell r="F308" t="str">
            <v xml:space="preserve"> APPAREL </v>
          </cell>
          <cell r="G308" t="str">
            <v xml:space="preserve">west </v>
          </cell>
          <cell r="I308" t="str">
            <v xml:space="preserve">5.2 Kg </v>
          </cell>
          <cell r="J308" t="str">
            <v>₹385</v>
          </cell>
          <cell r="K308">
            <v>4</v>
          </cell>
          <cell r="L308" t="str">
            <v>2024-06-30</v>
          </cell>
          <cell r="M308" t="str">
            <v>Delayed</v>
          </cell>
          <cell r="N308">
            <v>3</v>
          </cell>
          <cell r="O308" t="str">
            <v>N</v>
          </cell>
        </row>
        <row r="309">
          <cell r="A309" t="str">
            <v>SHP-100566</v>
          </cell>
          <cell r="B309" t="str">
            <v xml:space="preserve"> 15/04/2024 </v>
          </cell>
          <cell r="C309" t="str">
            <v>Kolkata</v>
          </cell>
          <cell r="D309" t="str">
            <v>Ecom  Express</v>
          </cell>
          <cell r="E309" t="str">
            <v>AIR</v>
          </cell>
          <cell r="F309" t="str">
            <v>Furniture</v>
          </cell>
          <cell r="G309" t="str">
            <v>WEST</v>
          </cell>
          <cell r="I309" t="str">
            <v>56.7KG</v>
          </cell>
          <cell r="J309" t="str">
            <v>2,718</v>
          </cell>
          <cell r="K309">
            <v>4</v>
          </cell>
          <cell r="L309" t="str">
            <v xml:space="preserve"> 18/04/2024 </v>
          </cell>
          <cell r="M309" t="str">
            <v>Damaged</v>
          </cell>
          <cell r="O309" t="str">
            <v>no</v>
          </cell>
        </row>
        <row r="310">
          <cell r="A310" t="str">
            <v>SHP-101488</v>
          </cell>
          <cell r="B310" t="str">
            <v>2024-04-08</v>
          </cell>
          <cell r="C310" t="str">
            <v>kolkata</v>
          </cell>
          <cell r="D310" t="str">
            <v xml:space="preserve"> DTDC</v>
          </cell>
          <cell r="E310" t="str">
            <v xml:space="preserve">surface </v>
          </cell>
          <cell r="F310" t="str">
            <v>apparel</v>
          </cell>
          <cell r="G310" t="str">
            <v>West</v>
          </cell>
          <cell r="I310" t="str">
            <v>3.8KG</v>
          </cell>
          <cell r="J310" t="str">
            <v>₹247</v>
          </cell>
          <cell r="K310">
            <v>6</v>
          </cell>
          <cell r="L310" t="str">
            <v>14-Apr-2024</v>
          </cell>
          <cell r="M310" t="str">
            <v xml:space="preserve"> Delivered</v>
          </cell>
          <cell r="N310">
            <v>5</v>
          </cell>
          <cell r="O310" t="str">
            <v>no</v>
          </cell>
        </row>
        <row r="311">
          <cell r="A311" t="str">
            <v>SHP-101423</v>
          </cell>
          <cell r="B311" t="str">
            <v>2024-04-05</v>
          </cell>
          <cell r="C311" t="str">
            <v>Delhi</v>
          </cell>
          <cell r="D311" t="str">
            <v>Ecom  Express</v>
          </cell>
          <cell r="E311" t="str">
            <v>Air</v>
          </cell>
          <cell r="F311" t="str">
            <v xml:space="preserve"> PHARMA </v>
          </cell>
          <cell r="G311" t="str">
            <v xml:space="preserve">east </v>
          </cell>
          <cell r="I311" t="str">
            <v>2.8</v>
          </cell>
          <cell r="J311" t="str">
            <v xml:space="preserve">Rs 278 </v>
          </cell>
          <cell r="K311">
            <v>4</v>
          </cell>
          <cell r="L311" t="str">
            <v xml:space="preserve"> 10/04/2024 </v>
          </cell>
          <cell r="M311" t="str">
            <v>Delayed</v>
          </cell>
          <cell r="N311">
            <v>4</v>
          </cell>
          <cell r="O311" t="str">
            <v>Y</v>
          </cell>
        </row>
        <row r="312">
          <cell r="A312" t="str">
            <v>SHP-101269</v>
          </cell>
          <cell r="B312" t="str">
            <v>21/05/2024</v>
          </cell>
          <cell r="C312" t="str">
            <v>MUMBAI</v>
          </cell>
          <cell r="D312" t="str">
            <v xml:space="preserve"> Delhivery</v>
          </cell>
          <cell r="E312" t="str">
            <v xml:space="preserve">road </v>
          </cell>
          <cell r="F312" t="str">
            <v xml:space="preserve"> GROCERY &amp; FMCG </v>
          </cell>
          <cell r="G312" t="str">
            <v>south</v>
          </cell>
          <cell r="I312" t="str">
            <v>19.3</v>
          </cell>
          <cell r="J312" t="str">
            <v xml:space="preserve">Rs 475 </v>
          </cell>
          <cell r="K312">
            <v>8</v>
          </cell>
          <cell r="L312" t="str">
            <v>29/05/2024</v>
          </cell>
          <cell r="M312" t="str">
            <v>delivered</v>
          </cell>
          <cell r="N312">
            <v>3</v>
          </cell>
          <cell r="O312" t="str">
            <v>No</v>
          </cell>
        </row>
        <row r="313">
          <cell r="A313" t="str">
            <v>SHP-100933</v>
          </cell>
          <cell r="B313" t="str">
            <v>15-Apr-2024</v>
          </cell>
          <cell r="C313" t="str">
            <v xml:space="preserve"> CHENNAI </v>
          </cell>
          <cell r="D313" t="str">
            <v>DELHIVERY</v>
          </cell>
          <cell r="E313" t="str">
            <v xml:space="preserve">air </v>
          </cell>
          <cell r="G313" t="str">
            <v>east</v>
          </cell>
          <cell r="I313" t="str">
            <v>50.1kg</v>
          </cell>
          <cell r="J313" t="str">
            <v>₹2,457</v>
          </cell>
          <cell r="K313">
            <v>4</v>
          </cell>
          <cell r="L313" t="str">
            <v>20-Apr-2024</v>
          </cell>
          <cell r="M313" t="str">
            <v>DELAYED</v>
          </cell>
          <cell r="N313">
            <v>1</v>
          </cell>
          <cell r="O313" t="str">
            <v>Yes</v>
          </cell>
        </row>
        <row r="314">
          <cell r="A314" t="str">
            <v>SHP-100033</v>
          </cell>
          <cell r="B314" t="str">
            <v xml:space="preserve"> 18/05/2024 </v>
          </cell>
          <cell r="C314" t="str">
            <v xml:space="preserve">bengaluru </v>
          </cell>
          <cell r="D314" t="str">
            <v>Xpress Bees</v>
          </cell>
          <cell r="E314" t="str">
            <v>road</v>
          </cell>
          <cell r="F314" t="str">
            <v>APPAREL</v>
          </cell>
          <cell r="G314" t="str">
            <v>EAST</v>
          </cell>
          <cell r="I314" t="str">
            <v>2.4</v>
          </cell>
          <cell r="J314" t="str">
            <v>₹180</v>
          </cell>
          <cell r="K314">
            <v>8</v>
          </cell>
          <cell r="L314" t="str">
            <v xml:space="preserve"> 28/05/2024 </v>
          </cell>
          <cell r="M314" t="str">
            <v>DELAYED</v>
          </cell>
          <cell r="N314">
            <v>5</v>
          </cell>
          <cell r="O314" t="str">
            <v>No</v>
          </cell>
        </row>
        <row r="315">
          <cell r="A315" t="str">
            <v>SHP-100472</v>
          </cell>
          <cell r="B315" t="str">
            <v xml:space="preserve"> 21/06/2024 </v>
          </cell>
          <cell r="C315" t="str">
            <v>Bengaluru</v>
          </cell>
          <cell r="D315" t="str">
            <v>xpressbees</v>
          </cell>
          <cell r="E315" t="str">
            <v>surface</v>
          </cell>
          <cell r="F315" t="str">
            <v xml:space="preserve">apparel </v>
          </cell>
          <cell r="G315" t="str">
            <v>WEST</v>
          </cell>
          <cell r="I315" t="str">
            <v xml:space="preserve">7.5 Kg </v>
          </cell>
          <cell r="J315" t="str">
            <v xml:space="preserve">Rs 314 </v>
          </cell>
          <cell r="K315">
            <v>6</v>
          </cell>
          <cell r="L315" t="str">
            <v>27/06/2024</v>
          </cell>
          <cell r="M315" t="str">
            <v>delivered</v>
          </cell>
          <cell r="N315">
            <v>5</v>
          </cell>
          <cell r="O315" t="str">
            <v xml:space="preserve"> No</v>
          </cell>
        </row>
        <row r="316">
          <cell r="A316" t="str">
            <v>SHP-100111</v>
          </cell>
          <cell r="B316" t="str">
            <v>11/02/2024</v>
          </cell>
          <cell r="C316" t="str">
            <v>DELHI</v>
          </cell>
          <cell r="D316" t="str">
            <v xml:space="preserve"> Delhivery</v>
          </cell>
          <cell r="E316" t="str">
            <v xml:space="preserve"> ROAD </v>
          </cell>
          <cell r="F316" t="str">
            <v>electronics</v>
          </cell>
          <cell r="G316" t="str">
            <v>west</v>
          </cell>
          <cell r="I316" t="str">
            <v>2.1KG</v>
          </cell>
          <cell r="J316" t="str">
            <v>169</v>
          </cell>
          <cell r="K316">
            <v>8</v>
          </cell>
          <cell r="L316" t="str">
            <v xml:space="preserve"> 19/02/2024 </v>
          </cell>
          <cell r="M316" t="str">
            <v xml:space="preserve"> Delivered</v>
          </cell>
          <cell r="N316">
            <v>4</v>
          </cell>
          <cell r="O316" t="str">
            <v>no</v>
          </cell>
        </row>
        <row r="317">
          <cell r="A317" t="str">
            <v>SHP-101555</v>
          </cell>
          <cell r="B317" t="str">
            <v>2024-02-17</v>
          </cell>
          <cell r="C317" t="str">
            <v>BENGALURU</v>
          </cell>
          <cell r="D317" t="str">
            <v>Delhivery</v>
          </cell>
          <cell r="E317" t="str">
            <v>SURFACE</v>
          </cell>
          <cell r="F317" t="str">
            <v xml:space="preserve">automotive  parts </v>
          </cell>
          <cell r="G317" t="str">
            <v>east</v>
          </cell>
          <cell r="I317" t="str">
            <v>12.7kg</v>
          </cell>
          <cell r="J317" t="str">
            <v>400</v>
          </cell>
          <cell r="K317">
            <v>6</v>
          </cell>
          <cell r="L317" t="str">
            <v>24/02/2024</v>
          </cell>
          <cell r="M317" t="str">
            <v xml:space="preserve">delayed </v>
          </cell>
          <cell r="N317">
            <v>4</v>
          </cell>
          <cell r="O317" t="str">
            <v>no</v>
          </cell>
        </row>
        <row r="318">
          <cell r="A318" t="str">
            <v>SHP-101514</v>
          </cell>
          <cell r="B318" t="str">
            <v>2024-01-06</v>
          </cell>
          <cell r="C318" t="str">
            <v>CHENNAI</v>
          </cell>
          <cell r="D318" t="str">
            <v>delhivery</v>
          </cell>
          <cell r="E318" t="str">
            <v xml:space="preserve">road </v>
          </cell>
          <cell r="F318" t="str">
            <v>APPAREL</v>
          </cell>
          <cell r="G318" t="str">
            <v>West</v>
          </cell>
          <cell r="I318" t="str">
            <v>5.7kg</v>
          </cell>
          <cell r="J318" t="str">
            <v>₹217</v>
          </cell>
          <cell r="K318">
            <v>8</v>
          </cell>
          <cell r="L318" t="str">
            <v>2024-01-13</v>
          </cell>
          <cell r="M318" t="str">
            <v>delivered</v>
          </cell>
          <cell r="N318">
            <v>3</v>
          </cell>
          <cell r="O318" t="str">
            <v xml:space="preserve"> No</v>
          </cell>
        </row>
        <row r="319">
          <cell r="A319" t="str">
            <v>SHP-101212</v>
          </cell>
          <cell r="B319" t="str">
            <v>09-Mar-2024</v>
          </cell>
          <cell r="C319" t="str">
            <v>Kolkata</v>
          </cell>
          <cell r="D319" t="str">
            <v>DTDC</v>
          </cell>
          <cell r="E319" t="str">
            <v xml:space="preserve">road </v>
          </cell>
          <cell r="F319" t="str">
            <v>furniture</v>
          </cell>
          <cell r="G319" t="str">
            <v xml:space="preserve">west </v>
          </cell>
          <cell r="I319" t="str">
            <v>66.0KG</v>
          </cell>
          <cell r="J319" t="str">
            <v xml:space="preserve">Rs 1080 </v>
          </cell>
          <cell r="K319">
            <v>8</v>
          </cell>
          <cell r="L319" t="str">
            <v>2024-03-25</v>
          </cell>
          <cell r="M319" t="str">
            <v>Delayed</v>
          </cell>
          <cell r="N319">
            <v>3</v>
          </cell>
          <cell r="O319" t="str">
            <v>No</v>
          </cell>
        </row>
        <row r="320">
          <cell r="A320" t="str">
            <v>SHP-101469</v>
          </cell>
          <cell r="B320" t="str">
            <v>11-Jun-2024</v>
          </cell>
          <cell r="C320" t="str">
            <v>CHENNAI</v>
          </cell>
          <cell r="D320" t="str">
            <v xml:space="preserve">Dtdc </v>
          </cell>
          <cell r="E320" t="str">
            <v xml:space="preserve">road </v>
          </cell>
          <cell r="F320" t="str">
            <v>APPAREL</v>
          </cell>
          <cell r="G320" t="str">
            <v xml:space="preserve"> WEST </v>
          </cell>
          <cell r="I320" t="str">
            <v>2.6</v>
          </cell>
          <cell r="J320" t="str">
            <v>198</v>
          </cell>
          <cell r="K320">
            <v>8</v>
          </cell>
          <cell r="L320" t="str">
            <v>18-Jun-2024</v>
          </cell>
          <cell r="M320" t="str">
            <v xml:space="preserve"> Delivered</v>
          </cell>
          <cell r="N320">
            <v>4</v>
          </cell>
          <cell r="O320" t="str">
            <v>no</v>
          </cell>
        </row>
        <row r="321">
          <cell r="A321" t="str">
            <v>SHP-101022</v>
          </cell>
          <cell r="B321" t="str">
            <v xml:space="preserve"> 28/06/2024 </v>
          </cell>
          <cell r="C321" t="str">
            <v>chennai</v>
          </cell>
          <cell r="D321" t="str">
            <v xml:space="preserve">BLUEDART </v>
          </cell>
          <cell r="E321" t="str">
            <v>road</v>
          </cell>
          <cell r="F321" t="str">
            <v xml:space="preserve"> FURNITURE </v>
          </cell>
          <cell r="G321" t="str">
            <v>south</v>
          </cell>
          <cell r="I321" t="str">
            <v>49.2</v>
          </cell>
          <cell r="J321" t="str">
            <v xml:space="preserve">Rs 670 </v>
          </cell>
          <cell r="K321">
            <v>6</v>
          </cell>
          <cell r="M321" t="str">
            <v>in transit</v>
          </cell>
          <cell r="O321" t="str">
            <v>No</v>
          </cell>
        </row>
        <row r="322">
          <cell r="A322" t="str">
            <v>SHP-100810</v>
          </cell>
          <cell r="B322" t="str">
            <v>27-Jan-2024</v>
          </cell>
          <cell r="C322" t="str">
            <v>KOLKATA</v>
          </cell>
          <cell r="D322" t="str">
            <v xml:space="preserve">BLUEDART </v>
          </cell>
          <cell r="E322" t="str">
            <v>air</v>
          </cell>
          <cell r="F322" t="str">
            <v>Pharma</v>
          </cell>
          <cell r="G322" t="str">
            <v xml:space="preserve">north </v>
          </cell>
          <cell r="I322" t="str">
            <v xml:space="preserve">3.4 Kg </v>
          </cell>
          <cell r="J322" t="str">
            <v>285</v>
          </cell>
          <cell r="K322">
            <v>4</v>
          </cell>
          <cell r="L322" t="str">
            <v xml:space="preserve"> 31/01/2024 </v>
          </cell>
          <cell r="M322" t="str">
            <v>DELIVERED</v>
          </cell>
          <cell r="N322">
            <v>5</v>
          </cell>
          <cell r="O322" t="str">
            <v>No</v>
          </cell>
        </row>
        <row r="323">
          <cell r="A323" t="str">
            <v>SHP-101204</v>
          </cell>
          <cell r="B323" t="str">
            <v>26/02/2024</v>
          </cell>
          <cell r="C323" t="str">
            <v>BENGALURU</v>
          </cell>
          <cell r="D323" t="str">
            <v>BlueDart</v>
          </cell>
          <cell r="E323" t="str">
            <v>road</v>
          </cell>
          <cell r="F323" t="str">
            <v xml:space="preserve"> FURNITURE </v>
          </cell>
          <cell r="G323" t="str">
            <v>NORTH</v>
          </cell>
          <cell r="I323" t="str">
            <v>49.7kg</v>
          </cell>
          <cell r="J323" t="str">
            <v>₹887</v>
          </cell>
          <cell r="K323">
            <v>8</v>
          </cell>
          <cell r="L323" t="str">
            <v>2024-03-05</v>
          </cell>
          <cell r="M323" t="str">
            <v>DELIVERED</v>
          </cell>
          <cell r="N323">
            <v>4</v>
          </cell>
          <cell r="O323" t="str">
            <v xml:space="preserve"> No</v>
          </cell>
        </row>
        <row r="324">
          <cell r="A324" t="str">
            <v>SHP-101403</v>
          </cell>
          <cell r="B324" t="str">
            <v>12-Mar-2024</v>
          </cell>
          <cell r="C324" t="str">
            <v>chennai</v>
          </cell>
          <cell r="D324" t="str">
            <v>ecom express</v>
          </cell>
          <cell r="E324" t="str">
            <v>air</v>
          </cell>
          <cell r="F324" t="str">
            <v>electronics</v>
          </cell>
          <cell r="G324" t="str">
            <v>east</v>
          </cell>
          <cell r="I324" t="str">
            <v>9.5kg</v>
          </cell>
          <cell r="J324" t="str">
            <v>582</v>
          </cell>
          <cell r="K324">
            <v>4</v>
          </cell>
          <cell r="L324" t="str">
            <v>2024-03-21</v>
          </cell>
          <cell r="M324" t="str">
            <v xml:space="preserve"> Delayed</v>
          </cell>
          <cell r="N324">
            <v>2</v>
          </cell>
          <cell r="O324" t="str">
            <v>no</v>
          </cell>
        </row>
        <row r="325">
          <cell r="A325" t="str">
            <v>SHP-100125</v>
          </cell>
          <cell r="B325" t="str">
            <v>10/05/2024</v>
          </cell>
          <cell r="C325" t="str">
            <v>hyderabad</v>
          </cell>
          <cell r="D325" t="str">
            <v xml:space="preserve"> DTDC</v>
          </cell>
          <cell r="E325" t="str">
            <v xml:space="preserve">road </v>
          </cell>
          <cell r="F325" t="str">
            <v>Electronics</v>
          </cell>
          <cell r="G325" t="str">
            <v>West</v>
          </cell>
          <cell r="I325" t="str">
            <v xml:space="preserve">2.0 Kg </v>
          </cell>
          <cell r="J325" t="str">
            <v>₹80</v>
          </cell>
          <cell r="K325">
            <v>6</v>
          </cell>
          <cell r="L325" t="str">
            <v>2024-05-21</v>
          </cell>
          <cell r="M325" t="str">
            <v>Damaged</v>
          </cell>
          <cell r="O325" t="str">
            <v>Yes</v>
          </cell>
        </row>
        <row r="326">
          <cell r="A326" t="str">
            <v>SHP-100658</v>
          </cell>
          <cell r="B326" t="str">
            <v>07/04/2024</v>
          </cell>
          <cell r="C326" t="str">
            <v>kolkata</v>
          </cell>
          <cell r="D326" t="str">
            <v>bluedart</v>
          </cell>
          <cell r="E326" t="str">
            <v>SURFACE</v>
          </cell>
          <cell r="F326" t="str">
            <v xml:space="preserve">pharma </v>
          </cell>
          <cell r="G326" t="str">
            <v>north</v>
          </cell>
          <cell r="I326" t="str">
            <v>1.6</v>
          </cell>
          <cell r="J326" t="str">
            <v>₹199</v>
          </cell>
          <cell r="K326">
            <v>6</v>
          </cell>
          <cell r="L326" t="str">
            <v>22-Apr-2024</v>
          </cell>
          <cell r="M326" t="str">
            <v>Delayed</v>
          </cell>
          <cell r="N326">
            <v>1</v>
          </cell>
          <cell r="O326" t="str">
            <v>no</v>
          </cell>
        </row>
        <row r="327">
          <cell r="A327" t="str">
            <v>SHP-100017</v>
          </cell>
          <cell r="B327" t="str">
            <v xml:space="preserve"> 03/01/2024 </v>
          </cell>
          <cell r="C327" t="str">
            <v>Kolkata</v>
          </cell>
          <cell r="D327" t="str">
            <v xml:space="preserve">BLUEDART </v>
          </cell>
          <cell r="E327" t="str">
            <v>Road</v>
          </cell>
          <cell r="F327" t="str">
            <v xml:space="preserve">automotive parts </v>
          </cell>
          <cell r="G327" t="str">
            <v>south</v>
          </cell>
          <cell r="I327" t="str">
            <v xml:space="preserve">15.5 Kg </v>
          </cell>
          <cell r="J327" t="str">
            <v>₹379</v>
          </cell>
          <cell r="K327">
            <v>8</v>
          </cell>
          <cell r="L327" t="str">
            <v xml:space="preserve"> 10/01/2024 </v>
          </cell>
          <cell r="M327" t="str">
            <v xml:space="preserve"> Delivered</v>
          </cell>
          <cell r="N327">
            <v>5</v>
          </cell>
          <cell r="O327" t="str">
            <v>N</v>
          </cell>
        </row>
        <row r="328">
          <cell r="A328" t="str">
            <v>SHP-100437</v>
          </cell>
          <cell r="B328" t="str">
            <v>11/06/2024</v>
          </cell>
          <cell r="C328" t="str">
            <v>bengaluru</v>
          </cell>
          <cell r="D328" t="str">
            <v>XpressBees</v>
          </cell>
          <cell r="E328" t="str">
            <v>air</v>
          </cell>
          <cell r="F328" t="str">
            <v>automotive parts</v>
          </cell>
          <cell r="G328" t="str">
            <v>east</v>
          </cell>
          <cell r="I328" t="str">
            <v>18.0kg</v>
          </cell>
          <cell r="J328" t="str">
            <v>₹990</v>
          </cell>
          <cell r="K328">
            <v>4</v>
          </cell>
          <cell r="L328" t="str">
            <v>2024-06-16</v>
          </cell>
          <cell r="M328" t="str">
            <v>DELAYED</v>
          </cell>
          <cell r="N328">
            <v>4</v>
          </cell>
          <cell r="O328" t="str">
            <v>YES</v>
          </cell>
        </row>
        <row r="329">
          <cell r="A329" t="str">
            <v>SHP-100057</v>
          </cell>
          <cell r="B329" t="str">
            <v>19-Feb-2024</v>
          </cell>
          <cell r="C329" t="str">
            <v>hyderabad</v>
          </cell>
          <cell r="D329" t="str">
            <v>bluedart</v>
          </cell>
          <cell r="E329" t="str">
            <v>Surface</v>
          </cell>
          <cell r="F329" t="str">
            <v xml:space="preserve"> GROCERY &amp; FMCG </v>
          </cell>
          <cell r="G329" t="str">
            <v>north</v>
          </cell>
          <cell r="I329" t="str">
            <v xml:space="preserve">2.1 Kg </v>
          </cell>
          <cell r="J329" t="str">
            <v>229</v>
          </cell>
          <cell r="K329">
            <v>6</v>
          </cell>
          <cell r="L329" t="str">
            <v xml:space="preserve"> 25/02/2024 </v>
          </cell>
          <cell r="M329" t="str">
            <v>DELIVERED</v>
          </cell>
          <cell r="N329">
            <v>5</v>
          </cell>
          <cell r="O329" t="str">
            <v xml:space="preserve"> No</v>
          </cell>
        </row>
        <row r="330">
          <cell r="A330" t="str">
            <v>SHP-100098</v>
          </cell>
          <cell r="B330" t="str">
            <v>2024-06-09</v>
          </cell>
          <cell r="C330" t="str">
            <v xml:space="preserve"> MUMBAI </v>
          </cell>
          <cell r="D330" t="str">
            <v xml:space="preserve"> Delhivery</v>
          </cell>
          <cell r="E330" t="str">
            <v xml:space="preserve"> AIR </v>
          </cell>
          <cell r="F330" t="str">
            <v>automotive parts</v>
          </cell>
          <cell r="G330" t="str">
            <v xml:space="preserve">west </v>
          </cell>
          <cell r="I330" t="str">
            <v xml:space="preserve">16.3 Kg </v>
          </cell>
          <cell r="J330" t="str">
            <v xml:space="preserve">Rs 745 </v>
          </cell>
          <cell r="K330">
            <v>2</v>
          </cell>
          <cell r="L330" t="str">
            <v>11-Jun-2024</v>
          </cell>
          <cell r="M330" t="str">
            <v>Delivered</v>
          </cell>
          <cell r="N330">
            <v>4</v>
          </cell>
          <cell r="O330" t="str">
            <v>YES</v>
          </cell>
        </row>
        <row r="331">
          <cell r="A331" t="str">
            <v>SHP-101277</v>
          </cell>
          <cell r="B331" t="str">
            <v>2024-05-07</v>
          </cell>
          <cell r="C331" t="str">
            <v xml:space="preserve"> HYDERABAD </v>
          </cell>
          <cell r="D331" t="str">
            <v>XpressBees</v>
          </cell>
          <cell r="E331" t="str">
            <v>surface</v>
          </cell>
          <cell r="F331" t="str">
            <v>PHARMA</v>
          </cell>
          <cell r="G331" t="str">
            <v>North</v>
          </cell>
          <cell r="I331" t="str">
            <v>2.8kg</v>
          </cell>
          <cell r="J331" t="str">
            <v xml:space="preserve">Rs 232 </v>
          </cell>
          <cell r="K331">
            <v>6</v>
          </cell>
          <cell r="L331" t="str">
            <v>14-May-2024</v>
          </cell>
          <cell r="M331" t="str">
            <v>DELAYED</v>
          </cell>
          <cell r="N331">
            <v>1</v>
          </cell>
          <cell r="O331" t="str">
            <v xml:space="preserve"> No</v>
          </cell>
        </row>
        <row r="332">
          <cell r="A332" t="str">
            <v>SHP-101189</v>
          </cell>
          <cell r="B332" t="str">
            <v>27-Mar-2024</v>
          </cell>
          <cell r="C332" t="str">
            <v>Hyderabad</v>
          </cell>
          <cell r="D332" t="str">
            <v>Ecom  Express</v>
          </cell>
          <cell r="E332" t="str">
            <v xml:space="preserve">surface </v>
          </cell>
          <cell r="F332" t="str">
            <v xml:space="preserve">automotive parts </v>
          </cell>
          <cell r="G332" t="str">
            <v xml:space="preserve">north </v>
          </cell>
          <cell r="I332" t="str">
            <v>39.7KG</v>
          </cell>
          <cell r="J332" t="str">
            <v>₹1,048</v>
          </cell>
          <cell r="K332">
            <v>6</v>
          </cell>
          <cell r="L332" t="str">
            <v>03/04/2024</v>
          </cell>
          <cell r="M332" t="str">
            <v>DELAYED</v>
          </cell>
          <cell r="N332">
            <v>2</v>
          </cell>
          <cell r="O332" t="str">
            <v>YES</v>
          </cell>
        </row>
        <row r="333">
          <cell r="A333" t="str">
            <v>SHP-101032</v>
          </cell>
          <cell r="B333" t="str">
            <v xml:space="preserve"> 15/04/2024 </v>
          </cell>
          <cell r="C333" t="str">
            <v>mumbai</v>
          </cell>
          <cell r="D333" t="str">
            <v>DELHIVERY</v>
          </cell>
          <cell r="E333" t="str">
            <v xml:space="preserve">surface </v>
          </cell>
          <cell r="F333" t="str">
            <v>GROCERY &amp; FMCG</v>
          </cell>
          <cell r="G333" t="str">
            <v>east</v>
          </cell>
          <cell r="I333" t="str">
            <v>3.7KG</v>
          </cell>
          <cell r="J333" t="str">
            <v>₹263</v>
          </cell>
          <cell r="K333">
            <v>6</v>
          </cell>
          <cell r="L333" t="str">
            <v>29-Apr-2024</v>
          </cell>
          <cell r="M333" t="str">
            <v xml:space="preserve"> Delayed</v>
          </cell>
          <cell r="N333">
            <v>1</v>
          </cell>
          <cell r="O333" t="str">
            <v xml:space="preserve"> No</v>
          </cell>
        </row>
        <row r="334">
          <cell r="A334" t="str">
            <v>SHP-101085</v>
          </cell>
          <cell r="B334" t="str">
            <v>09/03/2024</v>
          </cell>
          <cell r="C334" t="str">
            <v xml:space="preserve"> HYDERABAD </v>
          </cell>
          <cell r="D334" t="str">
            <v>DTDC</v>
          </cell>
          <cell r="E334" t="str">
            <v>ROAD</v>
          </cell>
          <cell r="F334" t="str">
            <v xml:space="preserve">  FURNITURE </v>
          </cell>
          <cell r="G334" t="str">
            <v>West</v>
          </cell>
          <cell r="I334" t="str">
            <v>17.5kg</v>
          </cell>
          <cell r="J334" t="str">
            <v xml:space="preserve">Rs 227 </v>
          </cell>
          <cell r="K334">
            <v>6</v>
          </cell>
          <cell r="L334" t="str">
            <v>24-Mar-2024</v>
          </cell>
          <cell r="M334" t="str">
            <v xml:space="preserve">delayed </v>
          </cell>
          <cell r="N334">
            <v>2</v>
          </cell>
          <cell r="O334" t="str">
            <v>No</v>
          </cell>
        </row>
        <row r="335">
          <cell r="A335" t="str">
            <v>SHP-100808</v>
          </cell>
          <cell r="B335" t="str">
            <v>2024-06-19</v>
          </cell>
          <cell r="C335" t="str">
            <v>HYDERABAD</v>
          </cell>
          <cell r="D335" t="str">
            <v xml:space="preserve">Dtdc </v>
          </cell>
          <cell r="E335" t="str">
            <v>AIR</v>
          </cell>
          <cell r="F335" t="str">
            <v>Pharma</v>
          </cell>
          <cell r="G335" t="str">
            <v xml:space="preserve">south </v>
          </cell>
          <cell r="I335" t="str">
            <v>4.8</v>
          </cell>
          <cell r="J335" t="str">
            <v>360</v>
          </cell>
          <cell r="K335">
            <v>4</v>
          </cell>
          <cell r="L335" t="str">
            <v>2024-06-24</v>
          </cell>
          <cell r="M335" t="str">
            <v>DELAYED</v>
          </cell>
          <cell r="N335">
            <v>2</v>
          </cell>
          <cell r="O335" t="str">
            <v>No</v>
          </cell>
        </row>
        <row r="336">
          <cell r="A336" t="str">
            <v>SHP-101298</v>
          </cell>
          <cell r="B336" t="str">
            <v>13/01/2024</v>
          </cell>
          <cell r="C336" t="str">
            <v>BENGALURU</v>
          </cell>
          <cell r="D336" t="str">
            <v xml:space="preserve"> DTDC</v>
          </cell>
          <cell r="E336" t="str">
            <v>Surface</v>
          </cell>
          <cell r="F336" t="str">
            <v xml:space="preserve">automotive parts </v>
          </cell>
          <cell r="G336" t="str">
            <v>NORTH</v>
          </cell>
          <cell r="I336" t="str">
            <v xml:space="preserve">13.3 Kg </v>
          </cell>
          <cell r="J336" t="str">
            <v>481</v>
          </cell>
          <cell r="K336">
            <v>6</v>
          </cell>
          <cell r="L336" t="str">
            <v>18-Jan-2024</v>
          </cell>
          <cell r="M336" t="str">
            <v>DELIVERED</v>
          </cell>
          <cell r="N336">
            <v>4</v>
          </cell>
          <cell r="O336" t="str">
            <v>N</v>
          </cell>
        </row>
        <row r="337">
          <cell r="A337" t="str">
            <v>SHP-100105</v>
          </cell>
          <cell r="B337" t="str">
            <v>2024-03-06</v>
          </cell>
          <cell r="C337" t="str">
            <v>bengaluru</v>
          </cell>
          <cell r="D337" t="str">
            <v xml:space="preserve"> DTDC</v>
          </cell>
          <cell r="E337" t="str">
            <v xml:space="preserve">road </v>
          </cell>
          <cell r="F337" t="str">
            <v>PHARMA</v>
          </cell>
          <cell r="G337" t="str">
            <v>WEST</v>
          </cell>
          <cell r="I337" t="str">
            <v>4.1KG</v>
          </cell>
          <cell r="J337" t="str">
            <v>₹221</v>
          </cell>
          <cell r="K337">
            <v>8</v>
          </cell>
          <cell r="L337" t="str">
            <v>18-Mar-2024</v>
          </cell>
          <cell r="M337" t="str">
            <v xml:space="preserve">delayed </v>
          </cell>
          <cell r="N337">
            <v>1</v>
          </cell>
          <cell r="O337" t="str">
            <v>N</v>
          </cell>
        </row>
        <row r="338">
          <cell r="A338" t="str">
            <v>SHP-100706</v>
          </cell>
          <cell r="B338" t="str">
            <v>13/02/2024</v>
          </cell>
          <cell r="C338" t="str">
            <v>Delhi</v>
          </cell>
          <cell r="D338" t="str">
            <v>delhivery</v>
          </cell>
          <cell r="E338" t="str">
            <v>Surface</v>
          </cell>
          <cell r="F338" t="str">
            <v>Apparel</v>
          </cell>
          <cell r="G338" t="str">
            <v xml:space="preserve">west </v>
          </cell>
          <cell r="I338" t="str">
            <v>7.4</v>
          </cell>
          <cell r="J338" t="str">
            <v>295</v>
          </cell>
          <cell r="K338">
            <v>6</v>
          </cell>
          <cell r="L338" t="str">
            <v xml:space="preserve"> 20/02/2024 </v>
          </cell>
          <cell r="M338" t="str">
            <v>returned</v>
          </cell>
          <cell r="O338" t="str">
            <v>No</v>
          </cell>
        </row>
        <row r="339">
          <cell r="A339" t="str">
            <v>SHP-101019</v>
          </cell>
          <cell r="B339" t="str">
            <v xml:space="preserve"> 22/04/2024 </v>
          </cell>
          <cell r="C339" t="str">
            <v xml:space="preserve"> MUMBAI </v>
          </cell>
          <cell r="D339" t="str">
            <v>XpressBees</v>
          </cell>
          <cell r="E339" t="str">
            <v>Surface</v>
          </cell>
          <cell r="F339" t="str">
            <v>furniture</v>
          </cell>
          <cell r="G339" t="str">
            <v xml:space="preserve"> NORTH </v>
          </cell>
          <cell r="I339" t="str">
            <v xml:space="preserve">24.2 Kg </v>
          </cell>
          <cell r="J339" t="str">
            <v>₹669</v>
          </cell>
          <cell r="K339">
            <v>6</v>
          </cell>
          <cell r="L339" t="str">
            <v>29-Apr-2024</v>
          </cell>
          <cell r="M339" t="str">
            <v>Delayed</v>
          </cell>
          <cell r="N339">
            <v>1</v>
          </cell>
          <cell r="O339" t="str">
            <v>No</v>
          </cell>
        </row>
        <row r="340">
          <cell r="A340" t="str">
            <v>SHP-101082</v>
          </cell>
          <cell r="B340" t="str">
            <v>16-Jun-2024</v>
          </cell>
          <cell r="C340" t="str">
            <v>mumbai</v>
          </cell>
          <cell r="D340" t="str">
            <v>DELHIVERY</v>
          </cell>
          <cell r="E340" t="str">
            <v>Surface</v>
          </cell>
          <cell r="F340" t="str">
            <v>grocery &amp; fmcg</v>
          </cell>
          <cell r="G340" t="str">
            <v>EAST</v>
          </cell>
          <cell r="I340" t="str">
            <v>19.5</v>
          </cell>
          <cell r="J340" t="str">
            <v>₹602</v>
          </cell>
          <cell r="K340">
            <v>6</v>
          </cell>
          <cell r="L340" t="str">
            <v>23-Jun-2024</v>
          </cell>
          <cell r="M340" t="str">
            <v>Delayed</v>
          </cell>
          <cell r="N340">
            <v>3</v>
          </cell>
          <cell r="O340" t="str">
            <v xml:space="preserve"> No</v>
          </cell>
        </row>
        <row r="341">
          <cell r="A341" t="str">
            <v>SHP-101068</v>
          </cell>
          <cell r="B341" t="str">
            <v>11/04/2024</v>
          </cell>
          <cell r="C341" t="str">
            <v xml:space="preserve">hyderabad </v>
          </cell>
          <cell r="D341" t="str">
            <v>BlueDart</v>
          </cell>
          <cell r="E341" t="str">
            <v xml:space="preserve"> ROAD </v>
          </cell>
          <cell r="F341" t="str">
            <v xml:space="preserve"> GROCERY &amp; FMCG </v>
          </cell>
          <cell r="G341" t="str">
            <v xml:space="preserve">west </v>
          </cell>
          <cell r="I341" t="str">
            <v>9.5</v>
          </cell>
          <cell r="J341" t="str">
            <v>159</v>
          </cell>
          <cell r="K341">
            <v>6</v>
          </cell>
          <cell r="L341" t="str">
            <v>16/04/2024</v>
          </cell>
          <cell r="M341" t="str">
            <v>Delivered</v>
          </cell>
          <cell r="N341">
            <v>3</v>
          </cell>
          <cell r="O341" t="str">
            <v>no</v>
          </cell>
        </row>
        <row r="342">
          <cell r="A342" t="str">
            <v>SHP-100072</v>
          </cell>
          <cell r="B342" t="str">
            <v>2024-06-23</v>
          </cell>
          <cell r="C342" t="str">
            <v>Hyderabad</v>
          </cell>
          <cell r="D342" t="str">
            <v>xpressbees</v>
          </cell>
          <cell r="E342" t="str">
            <v xml:space="preserve"> AIR </v>
          </cell>
          <cell r="F342" t="str">
            <v>furniture</v>
          </cell>
          <cell r="G342" t="str">
            <v>SOUTH</v>
          </cell>
          <cell r="I342" t="str">
            <v>62.6KG</v>
          </cell>
          <cell r="J342" t="str">
            <v xml:space="preserve">Rs 2992 </v>
          </cell>
          <cell r="K342">
            <v>4</v>
          </cell>
          <cell r="L342" t="str">
            <v>2024-07-03</v>
          </cell>
          <cell r="M342" t="str">
            <v xml:space="preserve">delayed </v>
          </cell>
          <cell r="N342">
            <v>2</v>
          </cell>
          <cell r="O342" t="str">
            <v xml:space="preserve">yes </v>
          </cell>
        </row>
        <row r="343">
          <cell r="A343" t="str">
            <v>SHP-101235</v>
          </cell>
          <cell r="B343" t="str">
            <v>10/04/2024</v>
          </cell>
          <cell r="C343" t="str">
            <v>Mumbai</v>
          </cell>
          <cell r="E343" t="str">
            <v>ROAD</v>
          </cell>
          <cell r="F343" t="str">
            <v>Electronics</v>
          </cell>
          <cell r="G343" t="str">
            <v xml:space="preserve">east </v>
          </cell>
          <cell r="I343" t="str">
            <v xml:space="preserve">8.6 Kg </v>
          </cell>
          <cell r="J343" t="str">
            <v xml:space="preserve">Rs 253 </v>
          </cell>
          <cell r="K343">
            <v>8</v>
          </cell>
          <cell r="L343" t="str">
            <v>17/04/2024</v>
          </cell>
          <cell r="M343" t="str">
            <v>Damaged</v>
          </cell>
          <cell r="O343" t="str">
            <v>no</v>
          </cell>
        </row>
        <row r="344">
          <cell r="A344" t="str">
            <v>SHP-100535</v>
          </cell>
          <cell r="B344" t="str">
            <v>20-Apr-2024</v>
          </cell>
          <cell r="C344" t="str">
            <v xml:space="preserve"> MUMBAI </v>
          </cell>
          <cell r="D344" t="str">
            <v>Ecom  Express</v>
          </cell>
          <cell r="E344" t="str">
            <v>surface</v>
          </cell>
          <cell r="F344" t="str">
            <v xml:space="preserve">apparel </v>
          </cell>
          <cell r="G344" t="str">
            <v>north</v>
          </cell>
          <cell r="I344" t="str">
            <v>1.9</v>
          </cell>
          <cell r="J344" t="str">
            <v>₹217</v>
          </cell>
          <cell r="K344">
            <v>6</v>
          </cell>
          <cell r="L344" t="str">
            <v>27-Apr-2024</v>
          </cell>
          <cell r="M344" t="str">
            <v xml:space="preserve"> Delayed</v>
          </cell>
          <cell r="N344">
            <v>1</v>
          </cell>
          <cell r="O344" t="str">
            <v>N</v>
          </cell>
        </row>
        <row r="345">
          <cell r="A345" t="str">
            <v>SHP-100153</v>
          </cell>
          <cell r="B345" t="str">
            <v>13-Jun-2024</v>
          </cell>
          <cell r="C345" t="str">
            <v xml:space="preserve">delhi </v>
          </cell>
          <cell r="D345" t="str">
            <v xml:space="preserve"> DTDC</v>
          </cell>
          <cell r="E345" t="str">
            <v xml:space="preserve"> SURFACE </v>
          </cell>
          <cell r="F345" t="str">
            <v xml:space="preserve"> ELECTRONICS </v>
          </cell>
          <cell r="G345" t="str">
            <v xml:space="preserve"> NORTH </v>
          </cell>
          <cell r="I345" t="str">
            <v>12.8KG</v>
          </cell>
          <cell r="J345" t="str">
            <v xml:space="preserve">Rs 288 </v>
          </cell>
          <cell r="K345">
            <v>4</v>
          </cell>
          <cell r="L345" t="str">
            <v>16/06/2024</v>
          </cell>
          <cell r="M345" t="str">
            <v xml:space="preserve"> DAMAGED</v>
          </cell>
          <cell r="O345" t="str">
            <v xml:space="preserve"> No</v>
          </cell>
        </row>
        <row r="346">
          <cell r="A346" t="str">
            <v>SHP-101093</v>
          </cell>
          <cell r="B346" t="str">
            <v>27-Jan-2024</v>
          </cell>
          <cell r="C346" t="str">
            <v xml:space="preserve"> DELHI </v>
          </cell>
          <cell r="D346" t="str">
            <v xml:space="preserve"> Delhivery</v>
          </cell>
          <cell r="E346" t="str">
            <v xml:space="preserve"> AIR </v>
          </cell>
          <cell r="F346" t="str">
            <v xml:space="preserve">apparel  </v>
          </cell>
          <cell r="G346" t="str">
            <v>EAST</v>
          </cell>
          <cell r="I346" t="str">
            <v>4.7kg</v>
          </cell>
          <cell r="J346" t="str">
            <v>351</v>
          </cell>
          <cell r="K346">
            <v>4</v>
          </cell>
          <cell r="L346" t="str">
            <v>2024-01-31</v>
          </cell>
          <cell r="M346" t="str">
            <v>delivered</v>
          </cell>
          <cell r="N346">
            <v>4</v>
          </cell>
          <cell r="O346" t="str">
            <v xml:space="preserve"> No</v>
          </cell>
        </row>
        <row r="347">
          <cell r="A347" t="str">
            <v>SHP-100045</v>
          </cell>
          <cell r="B347" t="str">
            <v>25/01/2024</v>
          </cell>
          <cell r="C347" t="str">
            <v>chennai</v>
          </cell>
          <cell r="D347" t="str">
            <v>Xpress Bees</v>
          </cell>
          <cell r="E347" t="str">
            <v>road</v>
          </cell>
          <cell r="F347" t="str">
            <v xml:space="preserve">electronics  </v>
          </cell>
          <cell r="G347" t="str">
            <v>north</v>
          </cell>
          <cell r="I347" t="str">
            <v xml:space="preserve">13.2 Kg </v>
          </cell>
          <cell r="J347" t="str">
            <v xml:space="preserve">Rs 343 </v>
          </cell>
          <cell r="K347">
            <v>8</v>
          </cell>
          <cell r="L347" t="str">
            <v>01-Feb-2024</v>
          </cell>
          <cell r="M347" t="str">
            <v xml:space="preserve"> Delivered</v>
          </cell>
          <cell r="N347">
            <v>5</v>
          </cell>
          <cell r="O347" t="str">
            <v>no</v>
          </cell>
        </row>
        <row r="348">
          <cell r="A348" t="str">
            <v>SHP-101448</v>
          </cell>
          <cell r="B348" t="str">
            <v>01/03/2024</v>
          </cell>
          <cell r="C348" t="str">
            <v>mumbai</v>
          </cell>
          <cell r="D348" t="str">
            <v>Ecom Express</v>
          </cell>
          <cell r="E348" t="str">
            <v>ROAD</v>
          </cell>
          <cell r="F348" t="str">
            <v>Grocery &amp; FMCG</v>
          </cell>
          <cell r="G348" t="str">
            <v xml:space="preserve">east </v>
          </cell>
          <cell r="I348" t="str">
            <v xml:space="preserve">14.7 Kg </v>
          </cell>
          <cell r="J348" t="str">
            <v xml:space="preserve">Rs 400 </v>
          </cell>
          <cell r="K348">
            <v>8</v>
          </cell>
          <cell r="L348" t="str">
            <v>08/03/2024</v>
          </cell>
          <cell r="M348" t="str">
            <v>delivered</v>
          </cell>
          <cell r="N348">
            <v>3</v>
          </cell>
          <cell r="O348" t="str">
            <v>YES</v>
          </cell>
        </row>
        <row r="349">
          <cell r="A349" t="str">
            <v>SHP-100114</v>
          </cell>
          <cell r="B349" t="str">
            <v xml:space="preserve"> 24/04/2024 </v>
          </cell>
          <cell r="C349" t="str">
            <v xml:space="preserve">bengaluru </v>
          </cell>
          <cell r="D349" t="str">
            <v>Delhivery</v>
          </cell>
          <cell r="E349" t="str">
            <v>ROAD</v>
          </cell>
          <cell r="F349" t="str">
            <v>Pharma</v>
          </cell>
          <cell r="G349" t="str">
            <v xml:space="preserve">east </v>
          </cell>
          <cell r="I349" t="str">
            <v>3.0</v>
          </cell>
          <cell r="J349" t="str">
            <v>213</v>
          </cell>
          <cell r="K349">
            <v>8</v>
          </cell>
          <cell r="L349" t="str">
            <v>01/05/2024</v>
          </cell>
          <cell r="M349" t="str">
            <v>delivered</v>
          </cell>
          <cell r="N349">
            <v>5</v>
          </cell>
          <cell r="O349" t="str">
            <v>No</v>
          </cell>
        </row>
        <row r="350">
          <cell r="A350" t="str">
            <v>SHP-101359</v>
          </cell>
          <cell r="B350" t="str">
            <v>14-Mar-2024</v>
          </cell>
          <cell r="C350" t="str">
            <v>Bengaluru</v>
          </cell>
          <cell r="D350" t="str">
            <v xml:space="preserve">Dtdc </v>
          </cell>
          <cell r="E350" t="str">
            <v>SURFACE</v>
          </cell>
          <cell r="F350" t="str">
            <v>ELECTRONICS</v>
          </cell>
          <cell r="G350" t="str">
            <v>WEST</v>
          </cell>
          <cell r="I350" t="str">
            <v xml:space="preserve">5.7 Kg </v>
          </cell>
          <cell r="J350" t="str">
            <v>₹303</v>
          </cell>
          <cell r="K350">
            <v>6</v>
          </cell>
          <cell r="L350" t="str">
            <v>19-Mar-2024</v>
          </cell>
          <cell r="M350" t="str">
            <v xml:space="preserve"> Delivered</v>
          </cell>
          <cell r="N350">
            <v>4</v>
          </cell>
          <cell r="O350" t="str">
            <v>No</v>
          </cell>
        </row>
        <row r="351">
          <cell r="A351" t="str">
            <v>SHP-101303</v>
          </cell>
          <cell r="B351" t="str">
            <v xml:space="preserve"> 13/01/2024 </v>
          </cell>
          <cell r="C351" t="str">
            <v xml:space="preserve">chennai </v>
          </cell>
          <cell r="D351" t="str">
            <v xml:space="preserve"> Delhivery</v>
          </cell>
          <cell r="E351" t="str">
            <v xml:space="preserve">surface </v>
          </cell>
          <cell r="F351" t="str">
            <v xml:space="preserve">apparel </v>
          </cell>
          <cell r="G351" t="str">
            <v xml:space="preserve">south </v>
          </cell>
          <cell r="I351" t="str">
            <v>6.8kg</v>
          </cell>
          <cell r="J351" t="str">
            <v>₹181</v>
          </cell>
          <cell r="K351">
            <v>4</v>
          </cell>
          <cell r="L351" t="str">
            <v>19/01/2024</v>
          </cell>
          <cell r="M351" t="str">
            <v xml:space="preserve">delayed </v>
          </cell>
          <cell r="N351">
            <v>4</v>
          </cell>
          <cell r="O351" t="str">
            <v>Yes</v>
          </cell>
        </row>
        <row r="352">
          <cell r="A352" t="str">
            <v>SHP-101198</v>
          </cell>
          <cell r="B352" t="str">
            <v>19/06/2024</v>
          </cell>
          <cell r="C352" t="str">
            <v>mumbai</v>
          </cell>
          <cell r="D352" t="str">
            <v>dtdc</v>
          </cell>
          <cell r="E352" t="str">
            <v>road</v>
          </cell>
          <cell r="F352" t="str">
            <v>pharma</v>
          </cell>
          <cell r="G352" t="str">
            <v>east</v>
          </cell>
          <cell r="I352" t="str">
            <v>3.0KG</v>
          </cell>
          <cell r="J352" t="str">
            <v xml:space="preserve">Rs 176 </v>
          </cell>
          <cell r="K352">
            <v>8</v>
          </cell>
          <cell r="L352" t="str">
            <v xml:space="preserve"> 27/06/2024 </v>
          </cell>
          <cell r="M352" t="str">
            <v>DELIVERED</v>
          </cell>
          <cell r="N352">
            <v>4</v>
          </cell>
          <cell r="O352" t="str">
            <v>Y</v>
          </cell>
        </row>
        <row r="353">
          <cell r="A353" t="str">
            <v>SHP-100742</v>
          </cell>
          <cell r="B353" t="str">
            <v>02-May-2024</v>
          </cell>
          <cell r="C353" t="str">
            <v>Chennai</v>
          </cell>
          <cell r="D353" t="str">
            <v>Xpress Bees</v>
          </cell>
          <cell r="E353" t="str">
            <v>road</v>
          </cell>
          <cell r="F353" t="str">
            <v>electronics</v>
          </cell>
          <cell r="G353" t="str">
            <v xml:space="preserve"> NORTH </v>
          </cell>
          <cell r="I353" t="str">
            <v>10.5</v>
          </cell>
          <cell r="J353" t="str">
            <v>₹346</v>
          </cell>
          <cell r="K353">
            <v>8</v>
          </cell>
          <cell r="L353" t="str">
            <v>10-May-2024</v>
          </cell>
          <cell r="M353" t="str">
            <v xml:space="preserve"> Delivered</v>
          </cell>
          <cell r="N353">
            <v>5</v>
          </cell>
          <cell r="O353" t="str">
            <v>No</v>
          </cell>
        </row>
        <row r="354">
          <cell r="A354" t="str">
            <v>SHP-101326</v>
          </cell>
          <cell r="B354" t="str">
            <v>2024-06-27</v>
          </cell>
          <cell r="C354" t="str">
            <v xml:space="preserve"> CHENNAI </v>
          </cell>
          <cell r="D354" t="str">
            <v>DELHIVERY</v>
          </cell>
          <cell r="E354" t="str">
            <v>SURFACE</v>
          </cell>
          <cell r="F354" t="str">
            <v>PHARMA</v>
          </cell>
          <cell r="G354" t="str">
            <v>west</v>
          </cell>
          <cell r="I354" t="str">
            <v>2.1</v>
          </cell>
          <cell r="J354" t="str">
            <v>₹176</v>
          </cell>
          <cell r="K354">
            <v>6</v>
          </cell>
          <cell r="L354" t="str">
            <v>03-Jul-2024</v>
          </cell>
          <cell r="M354" t="str">
            <v xml:space="preserve"> Delivered</v>
          </cell>
          <cell r="N354">
            <v>4</v>
          </cell>
          <cell r="O354" t="str">
            <v>no</v>
          </cell>
        </row>
        <row r="355">
          <cell r="A355" t="str">
            <v>SHP-101498</v>
          </cell>
          <cell r="B355" t="str">
            <v xml:space="preserve"> 14/05/2024 </v>
          </cell>
          <cell r="C355" t="str">
            <v xml:space="preserve"> MUMBAI </v>
          </cell>
          <cell r="D355" t="str">
            <v>delhivery</v>
          </cell>
          <cell r="E355" t="str">
            <v xml:space="preserve"> ROAD </v>
          </cell>
          <cell r="F355" t="str">
            <v>AUTOMOTIVE PARTS</v>
          </cell>
          <cell r="G355" t="str">
            <v xml:space="preserve"> EAST </v>
          </cell>
          <cell r="I355" t="str">
            <v>8.2KG</v>
          </cell>
          <cell r="J355" t="str">
            <v>297</v>
          </cell>
          <cell r="K355">
            <v>8</v>
          </cell>
          <cell r="L355" t="str">
            <v>2024-05-21</v>
          </cell>
          <cell r="M355" t="str">
            <v>DELIVERED</v>
          </cell>
          <cell r="N355">
            <v>4</v>
          </cell>
          <cell r="O355" t="str">
            <v>YES</v>
          </cell>
        </row>
        <row r="356">
          <cell r="A356" t="str">
            <v>SHP-101591</v>
          </cell>
          <cell r="B356" t="str">
            <v xml:space="preserve"> 25/03/2024 </v>
          </cell>
          <cell r="C356" t="str">
            <v>KOLKATA</v>
          </cell>
          <cell r="D356" t="str">
            <v xml:space="preserve"> DTDC</v>
          </cell>
          <cell r="E356" t="str">
            <v>SURFACE</v>
          </cell>
          <cell r="F356" t="str">
            <v>Automotive Parts</v>
          </cell>
          <cell r="G356" t="str">
            <v xml:space="preserve">north </v>
          </cell>
          <cell r="I356" t="str">
            <v>33.9</v>
          </cell>
          <cell r="J356" t="str">
            <v xml:space="preserve">Rs 914 </v>
          </cell>
          <cell r="K356">
            <v>6</v>
          </cell>
          <cell r="L356" t="str">
            <v xml:space="preserve"> 03/04/2024 </v>
          </cell>
          <cell r="M356" t="str">
            <v xml:space="preserve"> Delayed</v>
          </cell>
          <cell r="N356">
            <v>4</v>
          </cell>
          <cell r="O356" t="str">
            <v>Y</v>
          </cell>
        </row>
        <row r="357">
          <cell r="A357" t="str">
            <v>SHP-101067</v>
          </cell>
          <cell r="B357" t="str">
            <v>05-Apr-2024</v>
          </cell>
          <cell r="C357" t="str">
            <v>Chennai</v>
          </cell>
          <cell r="D357" t="str">
            <v xml:space="preserve">Dtdc </v>
          </cell>
          <cell r="E357" t="str">
            <v>surface</v>
          </cell>
          <cell r="F357" t="str">
            <v>APPAREL</v>
          </cell>
          <cell r="G357" t="str">
            <v>NORTH</v>
          </cell>
          <cell r="I357" t="str">
            <v>5.0KG</v>
          </cell>
          <cell r="J357" t="str">
            <v>268</v>
          </cell>
          <cell r="K357">
            <v>6</v>
          </cell>
          <cell r="L357" t="str">
            <v>13/04/2024</v>
          </cell>
          <cell r="M357" t="str">
            <v xml:space="preserve"> Delayed</v>
          </cell>
          <cell r="N357">
            <v>2</v>
          </cell>
          <cell r="O357" t="str">
            <v>YES</v>
          </cell>
        </row>
        <row r="358">
          <cell r="A358" t="str">
            <v>SHP-101142</v>
          </cell>
          <cell r="B358" t="str">
            <v xml:space="preserve"> 15/06/2024 </v>
          </cell>
          <cell r="C358" t="str">
            <v>CHENNAI</v>
          </cell>
          <cell r="D358" t="str">
            <v>Xpress Bees</v>
          </cell>
          <cell r="E358" t="str">
            <v xml:space="preserve"> AIR </v>
          </cell>
          <cell r="F358" t="str">
            <v>pharma</v>
          </cell>
          <cell r="G358" t="str">
            <v>south</v>
          </cell>
          <cell r="I358" t="str">
            <v>4.7kg</v>
          </cell>
          <cell r="J358" t="str">
            <v xml:space="preserve">Rs 264 </v>
          </cell>
          <cell r="K358">
            <v>2</v>
          </cell>
          <cell r="L358" t="str">
            <v xml:space="preserve"> 18/06/2024 </v>
          </cell>
          <cell r="M358" t="str">
            <v>Delayed</v>
          </cell>
          <cell r="N358">
            <v>2</v>
          </cell>
          <cell r="O358" t="str">
            <v xml:space="preserve">yes </v>
          </cell>
        </row>
        <row r="359">
          <cell r="A359" t="str">
            <v>SHP-100712</v>
          </cell>
          <cell r="B359" t="str">
            <v xml:space="preserve"> 01/02/2024 </v>
          </cell>
          <cell r="C359" t="str">
            <v>KOLKATA</v>
          </cell>
          <cell r="D359" t="str">
            <v xml:space="preserve"> DTDC</v>
          </cell>
          <cell r="E359" t="str">
            <v xml:space="preserve">road </v>
          </cell>
          <cell r="F359" t="str">
            <v xml:space="preserve"> AUTOMOTIVE PARTS </v>
          </cell>
          <cell r="G359" t="str">
            <v>south</v>
          </cell>
          <cell r="I359" t="str">
            <v>32.8</v>
          </cell>
          <cell r="J359" t="str">
            <v>₹649</v>
          </cell>
          <cell r="K359">
            <v>8</v>
          </cell>
          <cell r="L359" t="str">
            <v>08/02/2024</v>
          </cell>
          <cell r="M359" t="str">
            <v>DELIVERED</v>
          </cell>
          <cell r="N359">
            <v>2</v>
          </cell>
          <cell r="O359" t="str">
            <v>Yes</v>
          </cell>
        </row>
        <row r="360">
          <cell r="A360" t="str">
            <v>SHP-101007</v>
          </cell>
          <cell r="B360" t="str">
            <v>06-Jan-2024</v>
          </cell>
          <cell r="C360" t="str">
            <v>kolkata</v>
          </cell>
          <cell r="D360" t="str">
            <v xml:space="preserve">BLUEDART </v>
          </cell>
          <cell r="E360" t="str">
            <v>SURFACE</v>
          </cell>
          <cell r="F360" t="str">
            <v xml:space="preserve">furniture  </v>
          </cell>
          <cell r="G360" t="str">
            <v xml:space="preserve"> NORTH </v>
          </cell>
          <cell r="I360" t="str">
            <v xml:space="preserve">59.0 Kg </v>
          </cell>
          <cell r="J360" t="str">
            <v>₹1,433</v>
          </cell>
          <cell r="K360">
            <v>6</v>
          </cell>
          <cell r="L360" t="str">
            <v>12/01/2024</v>
          </cell>
          <cell r="M360" t="str">
            <v>Delivered</v>
          </cell>
          <cell r="N360">
            <v>4</v>
          </cell>
          <cell r="O360" t="str">
            <v>No</v>
          </cell>
        </row>
        <row r="361">
          <cell r="A361" t="str">
            <v>SHP-101501</v>
          </cell>
          <cell r="B361" t="str">
            <v>2024-06-08</v>
          </cell>
          <cell r="C361" t="str">
            <v>Chennai</v>
          </cell>
          <cell r="D361" t="str">
            <v>DTDC</v>
          </cell>
          <cell r="E361" t="str">
            <v>ROAD</v>
          </cell>
          <cell r="F361" t="str">
            <v>grocery &amp; fmcg</v>
          </cell>
          <cell r="G361" t="str">
            <v>East</v>
          </cell>
          <cell r="I361" t="str">
            <v>7.8</v>
          </cell>
          <cell r="J361" t="str">
            <v xml:space="preserve">Rs 236 </v>
          </cell>
          <cell r="K361">
            <v>8</v>
          </cell>
          <cell r="L361" t="str">
            <v xml:space="preserve"> 17/06/2024 </v>
          </cell>
          <cell r="M361" t="str">
            <v xml:space="preserve">delayed </v>
          </cell>
          <cell r="N361">
            <v>3</v>
          </cell>
          <cell r="O361" t="str">
            <v>No</v>
          </cell>
        </row>
        <row r="362">
          <cell r="A362" t="str">
            <v>SHP-100753</v>
          </cell>
          <cell r="B362" t="str">
            <v>06/05/2024</v>
          </cell>
          <cell r="C362" t="str">
            <v>mumbai</v>
          </cell>
          <cell r="D362" t="str">
            <v>Xpress Bees</v>
          </cell>
          <cell r="E362" t="str">
            <v xml:space="preserve">surface </v>
          </cell>
          <cell r="F362" t="str">
            <v>automotive parts</v>
          </cell>
          <cell r="G362" t="str">
            <v>EAST</v>
          </cell>
          <cell r="I362" t="str">
            <v>6.4kg</v>
          </cell>
          <cell r="J362" t="str">
            <v>₹327</v>
          </cell>
          <cell r="K362">
            <v>6</v>
          </cell>
          <cell r="L362" t="str">
            <v>12/05/2024</v>
          </cell>
          <cell r="M362" t="str">
            <v>Delivered</v>
          </cell>
          <cell r="N362">
            <v>4</v>
          </cell>
          <cell r="O362" t="str">
            <v>No</v>
          </cell>
        </row>
        <row r="363">
          <cell r="A363" t="str">
            <v>SHP-101482</v>
          </cell>
          <cell r="B363" t="str">
            <v xml:space="preserve"> 08/05/2024 </v>
          </cell>
          <cell r="C363" t="str">
            <v>mumbai</v>
          </cell>
          <cell r="D363" t="str">
            <v>ECOM EXPRESS</v>
          </cell>
          <cell r="E363" t="str">
            <v>AIR</v>
          </cell>
          <cell r="F363" t="str">
            <v xml:space="preserve">apparel  </v>
          </cell>
          <cell r="G363" t="str">
            <v>South</v>
          </cell>
          <cell r="I363" t="str">
            <v xml:space="preserve">6.0 Kg </v>
          </cell>
          <cell r="J363" t="str">
            <v xml:space="preserve">Rs 405 </v>
          </cell>
          <cell r="K363">
            <v>4</v>
          </cell>
          <cell r="L363" t="str">
            <v>2024-05-11</v>
          </cell>
          <cell r="M363" t="str">
            <v xml:space="preserve"> Delivered</v>
          </cell>
          <cell r="N363">
            <v>4</v>
          </cell>
          <cell r="O363" t="str">
            <v>Yes</v>
          </cell>
        </row>
        <row r="364">
          <cell r="A364" t="str">
            <v>SHP-101021</v>
          </cell>
          <cell r="B364" t="str">
            <v xml:space="preserve"> 20/01/2024 </v>
          </cell>
          <cell r="C364" t="str">
            <v>KOLKATA</v>
          </cell>
          <cell r="D364" t="str">
            <v>Ecom  Express</v>
          </cell>
          <cell r="E364" t="str">
            <v>Air</v>
          </cell>
          <cell r="F364" t="str">
            <v xml:space="preserve">apparel </v>
          </cell>
          <cell r="G364" t="str">
            <v xml:space="preserve">north </v>
          </cell>
          <cell r="I364" t="str">
            <v xml:space="preserve">6.5 Kg </v>
          </cell>
          <cell r="J364" t="str">
            <v xml:space="preserve">Rs 485 </v>
          </cell>
          <cell r="K364">
            <v>4</v>
          </cell>
          <cell r="L364" t="str">
            <v xml:space="preserve"> 23/01/2024 </v>
          </cell>
          <cell r="M364" t="str">
            <v>delivered</v>
          </cell>
          <cell r="N364">
            <v>5</v>
          </cell>
          <cell r="O364" t="str">
            <v>N</v>
          </cell>
        </row>
        <row r="365">
          <cell r="A365" t="str">
            <v>SHP-100909</v>
          </cell>
          <cell r="B365" t="str">
            <v>20/04/2024</v>
          </cell>
          <cell r="C365" t="str">
            <v xml:space="preserve">hyderabad </v>
          </cell>
          <cell r="D365" t="str">
            <v>xpressbees</v>
          </cell>
          <cell r="E365" t="str">
            <v>surface</v>
          </cell>
          <cell r="F365" t="str">
            <v>grocery &amp; fmcg</v>
          </cell>
          <cell r="G365" t="str">
            <v>NORTH</v>
          </cell>
          <cell r="I365" t="str">
            <v>7.6KG</v>
          </cell>
          <cell r="J365" t="str">
            <v xml:space="preserve">Rs 312 </v>
          </cell>
          <cell r="K365">
            <v>6</v>
          </cell>
          <cell r="L365" t="str">
            <v xml:space="preserve"> 26/04/2024 </v>
          </cell>
          <cell r="M365" t="str">
            <v xml:space="preserve"> Delivered</v>
          </cell>
          <cell r="N365">
            <v>5</v>
          </cell>
          <cell r="O365" t="str">
            <v>Yes</v>
          </cell>
        </row>
        <row r="366">
          <cell r="A366" t="str">
            <v>SHP-101336</v>
          </cell>
          <cell r="B366" t="str">
            <v xml:space="preserve"> 15/01/2024 </v>
          </cell>
          <cell r="C366" t="str">
            <v>KOLKATA</v>
          </cell>
          <cell r="D366" t="str">
            <v>ECOM EXPRESS</v>
          </cell>
          <cell r="E366" t="str">
            <v>surface</v>
          </cell>
          <cell r="F366" t="str">
            <v xml:space="preserve">  GROCERY &amp; FMCG </v>
          </cell>
          <cell r="G366" t="str">
            <v xml:space="preserve">south </v>
          </cell>
          <cell r="I366" t="str">
            <v>7.8kg</v>
          </cell>
          <cell r="J366" t="str">
            <v xml:space="preserve">Rs 358 </v>
          </cell>
          <cell r="K366">
            <v>6</v>
          </cell>
          <cell r="L366" t="str">
            <v>2024-01-21</v>
          </cell>
          <cell r="M366" t="str">
            <v>delivered</v>
          </cell>
          <cell r="N366">
            <v>4</v>
          </cell>
          <cell r="O366" t="str">
            <v>N</v>
          </cell>
        </row>
        <row r="367">
          <cell r="A367" t="str">
            <v>SHP-100637</v>
          </cell>
          <cell r="B367" t="str">
            <v>05/06/2024</v>
          </cell>
          <cell r="C367" t="str">
            <v>BENGALURU</v>
          </cell>
          <cell r="D367" t="str">
            <v>Ecom Express</v>
          </cell>
          <cell r="E367" t="str">
            <v>surface</v>
          </cell>
          <cell r="F367" t="str">
            <v xml:space="preserve">grocery  &amp; fmcg </v>
          </cell>
          <cell r="G367" t="str">
            <v xml:space="preserve"> WEST </v>
          </cell>
          <cell r="I367" t="str">
            <v>6.3kg</v>
          </cell>
          <cell r="J367" t="str">
            <v>₹276</v>
          </cell>
          <cell r="K367">
            <v>6</v>
          </cell>
          <cell r="L367" t="str">
            <v>15-Jun-2024</v>
          </cell>
          <cell r="M367" t="str">
            <v>DELAYED</v>
          </cell>
          <cell r="N367">
            <v>2</v>
          </cell>
          <cell r="O367" t="str">
            <v xml:space="preserve"> No</v>
          </cell>
        </row>
        <row r="368">
          <cell r="A368" t="str">
            <v>SHP-100891</v>
          </cell>
          <cell r="B368" t="str">
            <v>2024-01-10</v>
          </cell>
          <cell r="C368" t="str">
            <v>chennai</v>
          </cell>
          <cell r="D368" t="str">
            <v>Ecom  Express</v>
          </cell>
          <cell r="E368" t="str">
            <v xml:space="preserve">air </v>
          </cell>
          <cell r="F368" t="str">
            <v xml:space="preserve">  AUTOMOTIVE PARTS </v>
          </cell>
          <cell r="G368" t="str">
            <v>EAST</v>
          </cell>
          <cell r="I368" t="str">
            <v>39.8</v>
          </cell>
          <cell r="J368" t="str">
            <v>₹1,932</v>
          </cell>
          <cell r="K368">
            <v>4</v>
          </cell>
          <cell r="L368" t="str">
            <v xml:space="preserve"> 18/01/2024 </v>
          </cell>
          <cell r="M368" t="str">
            <v>Delayed</v>
          </cell>
          <cell r="N368">
            <v>2</v>
          </cell>
          <cell r="O368" t="str">
            <v>N</v>
          </cell>
        </row>
        <row r="369">
          <cell r="A369" t="str">
            <v>SHP-100765</v>
          </cell>
          <cell r="B369" t="str">
            <v>10/05/2024</v>
          </cell>
          <cell r="C369" t="str">
            <v xml:space="preserve"> CHENNAI </v>
          </cell>
          <cell r="D369" t="str">
            <v xml:space="preserve">BLUEDART </v>
          </cell>
          <cell r="E369" t="str">
            <v>air</v>
          </cell>
          <cell r="F369" t="str">
            <v xml:space="preserve">automotive parts </v>
          </cell>
          <cell r="G369" t="str">
            <v>East</v>
          </cell>
          <cell r="I369" t="str">
            <v xml:space="preserve">29.5 Kg </v>
          </cell>
          <cell r="J369" t="str">
            <v>₹1,480</v>
          </cell>
          <cell r="K369">
            <v>4</v>
          </cell>
          <cell r="L369" t="str">
            <v>14/05/2024</v>
          </cell>
          <cell r="M369" t="str">
            <v xml:space="preserve"> Delivered</v>
          </cell>
          <cell r="N369">
            <v>4</v>
          </cell>
          <cell r="O369" t="str">
            <v>YES</v>
          </cell>
        </row>
        <row r="370">
          <cell r="A370" t="str">
            <v>SHP-101105</v>
          </cell>
          <cell r="B370" t="str">
            <v>05-May-2024</v>
          </cell>
          <cell r="C370" t="str">
            <v xml:space="preserve">hyderabad </v>
          </cell>
          <cell r="D370" t="str">
            <v xml:space="preserve"> XPRESSBEES</v>
          </cell>
          <cell r="E370" t="str">
            <v>SURFACE</v>
          </cell>
          <cell r="F370" t="str">
            <v>automotive parts</v>
          </cell>
          <cell r="G370" t="str">
            <v xml:space="preserve"> SOUTH </v>
          </cell>
          <cell r="I370" t="str">
            <v>29.8KG</v>
          </cell>
          <cell r="J370" t="str">
            <v>800</v>
          </cell>
          <cell r="K370">
            <v>6</v>
          </cell>
          <cell r="L370" t="str">
            <v>12/05/2024</v>
          </cell>
          <cell r="M370" t="str">
            <v xml:space="preserve">delayed </v>
          </cell>
          <cell r="N370">
            <v>3</v>
          </cell>
          <cell r="O370" t="str">
            <v xml:space="preserve">yes </v>
          </cell>
        </row>
        <row r="371">
          <cell r="A371" t="str">
            <v>SHP-100564</v>
          </cell>
          <cell r="B371" t="str">
            <v>2024-01-10</v>
          </cell>
          <cell r="C371" t="str">
            <v xml:space="preserve"> HYDERABAD </v>
          </cell>
          <cell r="D371" t="str">
            <v>DELHIVERY</v>
          </cell>
          <cell r="E371" t="str">
            <v xml:space="preserve">surface </v>
          </cell>
          <cell r="F371" t="str">
            <v>automotive parts</v>
          </cell>
          <cell r="G371" t="str">
            <v>WEST</v>
          </cell>
          <cell r="I371" t="str">
            <v xml:space="preserve">7.2 Kg </v>
          </cell>
          <cell r="J371" t="str">
            <v>₹131</v>
          </cell>
          <cell r="K371">
            <v>4</v>
          </cell>
          <cell r="L371" t="str">
            <v>13/01/2024</v>
          </cell>
          <cell r="M371" t="str">
            <v>DELIVERED</v>
          </cell>
          <cell r="N371">
            <v>5</v>
          </cell>
          <cell r="O371" t="str">
            <v>No</v>
          </cell>
        </row>
        <row r="372">
          <cell r="A372" t="str">
            <v>SHP-100927</v>
          </cell>
          <cell r="B372" t="str">
            <v>2024-03-05</v>
          </cell>
          <cell r="C372" t="str">
            <v>hyderabad</v>
          </cell>
          <cell r="D372" t="str">
            <v>bluedart</v>
          </cell>
          <cell r="E372" t="str">
            <v>Road</v>
          </cell>
          <cell r="F372" t="str">
            <v xml:space="preserve"> ELECTRONICS </v>
          </cell>
          <cell r="G372" t="str">
            <v xml:space="preserve">north </v>
          </cell>
          <cell r="I372" t="str">
            <v>1.1kg</v>
          </cell>
          <cell r="J372" t="str">
            <v>₹207</v>
          </cell>
          <cell r="K372">
            <v>8</v>
          </cell>
          <cell r="L372" t="str">
            <v>14/03/2024</v>
          </cell>
          <cell r="M372" t="str">
            <v xml:space="preserve"> Delayed</v>
          </cell>
          <cell r="N372">
            <v>2</v>
          </cell>
          <cell r="O372" t="str">
            <v>Y</v>
          </cell>
        </row>
        <row r="373">
          <cell r="A373" t="str">
            <v>SHP-100750</v>
          </cell>
          <cell r="B373" t="str">
            <v xml:space="preserve"> 19/05/2024 </v>
          </cell>
          <cell r="C373" t="str">
            <v>bengaluru</v>
          </cell>
          <cell r="D373" t="str">
            <v>Delhivery</v>
          </cell>
          <cell r="E373" t="str">
            <v>AIR</v>
          </cell>
          <cell r="F373" t="str">
            <v>Furniture</v>
          </cell>
          <cell r="G373" t="str">
            <v xml:space="preserve"> WEST </v>
          </cell>
          <cell r="I373" t="str">
            <v xml:space="preserve">78.5 Kg </v>
          </cell>
          <cell r="J373" t="str">
            <v>₹3,654</v>
          </cell>
          <cell r="K373">
            <v>4</v>
          </cell>
          <cell r="L373" t="str">
            <v>2024-06-01</v>
          </cell>
          <cell r="M373" t="str">
            <v>DELAYED</v>
          </cell>
          <cell r="N373">
            <v>3</v>
          </cell>
          <cell r="O373" t="str">
            <v>N</v>
          </cell>
        </row>
        <row r="374">
          <cell r="A374" t="str">
            <v>SHP-101131</v>
          </cell>
          <cell r="B374" t="str">
            <v>2024-05-19</v>
          </cell>
          <cell r="C374" t="str">
            <v>Hyderabad</v>
          </cell>
          <cell r="D374" t="str">
            <v xml:space="preserve">Dtdc </v>
          </cell>
          <cell r="E374" t="str">
            <v>surface</v>
          </cell>
          <cell r="F374" t="str">
            <v>Pharma</v>
          </cell>
          <cell r="G374" t="str">
            <v>north</v>
          </cell>
          <cell r="I374" t="str">
            <v xml:space="preserve">2.2 Kg </v>
          </cell>
          <cell r="J374" t="str">
            <v>206</v>
          </cell>
          <cell r="K374">
            <v>6</v>
          </cell>
          <cell r="L374" t="str">
            <v>2024-05-30</v>
          </cell>
          <cell r="M374" t="str">
            <v xml:space="preserve"> Delayed</v>
          </cell>
          <cell r="N374">
            <v>2</v>
          </cell>
          <cell r="O374" t="str">
            <v>Y</v>
          </cell>
        </row>
        <row r="375">
          <cell r="A375" t="str">
            <v>SHP-100551</v>
          </cell>
          <cell r="B375" t="str">
            <v>19/03/2024</v>
          </cell>
          <cell r="C375" t="str">
            <v xml:space="preserve"> CHENNAI </v>
          </cell>
          <cell r="D375" t="str">
            <v xml:space="preserve">Dtdc </v>
          </cell>
          <cell r="E375" t="str">
            <v xml:space="preserve">road </v>
          </cell>
          <cell r="F375" t="str">
            <v>automotive  parts</v>
          </cell>
          <cell r="G375" t="str">
            <v xml:space="preserve">west </v>
          </cell>
          <cell r="I375" t="str">
            <v>6.3</v>
          </cell>
          <cell r="J375" t="str">
            <v>249</v>
          </cell>
          <cell r="K375">
            <v>8</v>
          </cell>
          <cell r="L375" t="str">
            <v xml:space="preserve"> 01/04/2024 </v>
          </cell>
          <cell r="M375" t="str">
            <v>DELAYED</v>
          </cell>
          <cell r="N375">
            <v>3</v>
          </cell>
          <cell r="O375" t="str">
            <v>No</v>
          </cell>
        </row>
        <row r="376">
          <cell r="A376" t="str">
            <v>SHP-100058</v>
          </cell>
          <cell r="B376" t="str">
            <v>06-Apr-2024</v>
          </cell>
          <cell r="C376" t="str">
            <v>Kolkata</v>
          </cell>
          <cell r="D376" t="str">
            <v xml:space="preserve"> XPRESSBEES</v>
          </cell>
          <cell r="E376" t="str">
            <v>Air</v>
          </cell>
          <cell r="F376" t="str">
            <v xml:space="preserve">furniture </v>
          </cell>
          <cell r="G376" t="str">
            <v xml:space="preserve">west </v>
          </cell>
          <cell r="I376" t="str">
            <v xml:space="preserve">45.8 Kg </v>
          </cell>
          <cell r="J376" t="str">
            <v>₹2,215</v>
          </cell>
          <cell r="K376">
            <v>4</v>
          </cell>
          <cell r="L376" t="str">
            <v>2024-04-10</v>
          </cell>
          <cell r="M376" t="str">
            <v xml:space="preserve"> Delivered</v>
          </cell>
          <cell r="N376">
            <v>5</v>
          </cell>
          <cell r="O376" t="str">
            <v>No</v>
          </cell>
        </row>
        <row r="377">
          <cell r="A377" t="str">
            <v>SHP-101134</v>
          </cell>
          <cell r="B377" t="str">
            <v xml:space="preserve"> 16/03/2024 </v>
          </cell>
          <cell r="C377" t="str">
            <v>hyderabad</v>
          </cell>
          <cell r="D377" t="str">
            <v xml:space="preserve"> Delhivery</v>
          </cell>
          <cell r="E377" t="str">
            <v>AIR</v>
          </cell>
          <cell r="F377" t="str">
            <v xml:space="preserve">pharma </v>
          </cell>
          <cell r="G377" t="str">
            <v>North</v>
          </cell>
          <cell r="I377" t="str">
            <v>2.5kg</v>
          </cell>
          <cell r="J377" t="str">
            <v>₹302</v>
          </cell>
          <cell r="K377">
            <v>4</v>
          </cell>
          <cell r="L377" t="str">
            <v xml:space="preserve"> 26/03/2024 </v>
          </cell>
          <cell r="M377" t="str">
            <v xml:space="preserve"> Delayed</v>
          </cell>
          <cell r="N377">
            <v>2</v>
          </cell>
          <cell r="O377" t="str">
            <v>no</v>
          </cell>
        </row>
        <row r="378">
          <cell r="A378" t="str">
            <v>SHP-100623</v>
          </cell>
          <cell r="B378" t="str">
            <v xml:space="preserve"> 20/05/2024 </v>
          </cell>
          <cell r="C378" t="str">
            <v>bengaluru</v>
          </cell>
          <cell r="D378" t="str">
            <v>ecom express</v>
          </cell>
          <cell r="E378" t="str">
            <v>SURFACE</v>
          </cell>
          <cell r="F378" t="str">
            <v>AUTOMOTIVE PARTS</v>
          </cell>
          <cell r="G378" t="str">
            <v>east</v>
          </cell>
          <cell r="I378" t="str">
            <v>29.9kg</v>
          </cell>
          <cell r="J378" t="str">
            <v>₹844</v>
          </cell>
          <cell r="K378">
            <v>6</v>
          </cell>
          <cell r="L378" t="str">
            <v>2024-05-27</v>
          </cell>
          <cell r="M378" t="str">
            <v>DELAYED</v>
          </cell>
          <cell r="N378">
            <v>1</v>
          </cell>
          <cell r="O378" t="str">
            <v>Y</v>
          </cell>
        </row>
        <row r="379">
          <cell r="A379" t="str">
            <v>SHP-100253</v>
          </cell>
          <cell r="B379" t="str">
            <v>20-Jan-2024</v>
          </cell>
          <cell r="C379" t="str">
            <v>kolkata</v>
          </cell>
          <cell r="D379" t="str">
            <v>Delhivery</v>
          </cell>
          <cell r="E379" t="str">
            <v>road</v>
          </cell>
          <cell r="F379" t="str">
            <v>AUTOMOTIVE  PARTS</v>
          </cell>
          <cell r="G379" t="str">
            <v>SOUTH</v>
          </cell>
          <cell r="I379" t="str">
            <v>33.7KG</v>
          </cell>
          <cell r="J379" t="str">
            <v>₹597</v>
          </cell>
          <cell r="K379">
            <v>8</v>
          </cell>
          <cell r="L379" t="str">
            <v>28-Jan-2024</v>
          </cell>
          <cell r="M379" t="str">
            <v>delivered</v>
          </cell>
          <cell r="N379">
            <v>3</v>
          </cell>
          <cell r="O379" t="str">
            <v>N</v>
          </cell>
        </row>
        <row r="380">
          <cell r="A380" t="str">
            <v>SHP-100593</v>
          </cell>
          <cell r="B380" t="str">
            <v>03-May-2024</v>
          </cell>
          <cell r="C380" t="str">
            <v>delhi</v>
          </cell>
          <cell r="D380" t="str">
            <v>XpressBees</v>
          </cell>
          <cell r="E380" t="str">
            <v>AIR</v>
          </cell>
          <cell r="F380" t="str">
            <v>Grocery &amp; FMCG</v>
          </cell>
          <cell r="G380" t="str">
            <v>south</v>
          </cell>
          <cell r="I380" t="str">
            <v>14.5kg</v>
          </cell>
          <cell r="J380" t="str">
            <v xml:space="preserve">Rs 822 </v>
          </cell>
          <cell r="K380">
            <v>4</v>
          </cell>
          <cell r="L380" t="str">
            <v>10/05/2024</v>
          </cell>
          <cell r="M380" t="str">
            <v>DELAYED</v>
          </cell>
          <cell r="N380">
            <v>2</v>
          </cell>
          <cell r="O380" t="str">
            <v>N</v>
          </cell>
        </row>
        <row r="381">
          <cell r="A381" t="str">
            <v>SHP-100021</v>
          </cell>
          <cell r="B381" t="str">
            <v xml:space="preserve"> 24/03/2024 </v>
          </cell>
          <cell r="C381" t="str">
            <v>Kolkata</v>
          </cell>
          <cell r="D381" t="str">
            <v>bluedart</v>
          </cell>
          <cell r="E381" t="str">
            <v>ROAD</v>
          </cell>
          <cell r="F381" t="str">
            <v xml:space="preserve">automotive parts </v>
          </cell>
          <cell r="G381" t="str">
            <v xml:space="preserve"> SOUTH </v>
          </cell>
          <cell r="I381" t="str">
            <v>21.5</v>
          </cell>
          <cell r="J381" t="str">
            <v xml:space="preserve">Rs 477 </v>
          </cell>
          <cell r="K381">
            <v>8</v>
          </cell>
          <cell r="L381" t="str">
            <v>2024-04-05</v>
          </cell>
          <cell r="M381" t="str">
            <v xml:space="preserve"> Delayed</v>
          </cell>
          <cell r="N381">
            <v>3</v>
          </cell>
          <cell r="O381" t="str">
            <v xml:space="preserve"> No</v>
          </cell>
        </row>
        <row r="382">
          <cell r="A382" t="str">
            <v>SHP-100486</v>
          </cell>
          <cell r="B382" t="str">
            <v>05/05/2024</v>
          </cell>
          <cell r="C382" t="str">
            <v xml:space="preserve">mumbai </v>
          </cell>
          <cell r="D382" t="str">
            <v xml:space="preserve">BLUEDART </v>
          </cell>
          <cell r="E382" t="str">
            <v>Surface</v>
          </cell>
          <cell r="F382" t="str">
            <v xml:space="preserve">furniture </v>
          </cell>
          <cell r="G382" t="str">
            <v>south</v>
          </cell>
          <cell r="I382" t="str">
            <v>53.1KG</v>
          </cell>
          <cell r="J382" t="str">
            <v xml:space="preserve">Rs 1341 </v>
          </cell>
          <cell r="K382">
            <v>6</v>
          </cell>
          <cell r="L382" t="str">
            <v>10-May-2024</v>
          </cell>
          <cell r="M382" t="str">
            <v>Delivered</v>
          </cell>
          <cell r="N382">
            <v>5</v>
          </cell>
          <cell r="O382" t="str">
            <v>N</v>
          </cell>
        </row>
        <row r="383">
          <cell r="A383" t="str">
            <v>SHP-100323</v>
          </cell>
          <cell r="B383" t="str">
            <v>2024-01-10</v>
          </cell>
          <cell r="C383" t="str">
            <v xml:space="preserve">bengaluru </v>
          </cell>
          <cell r="D383" t="str">
            <v xml:space="preserve">BLUEDART </v>
          </cell>
          <cell r="E383" t="str">
            <v xml:space="preserve">road </v>
          </cell>
          <cell r="F383" t="str">
            <v>grocery &amp; fmcg</v>
          </cell>
          <cell r="G383" t="str">
            <v>south</v>
          </cell>
          <cell r="I383" t="str">
            <v>4.2</v>
          </cell>
          <cell r="J383" t="str">
            <v>80</v>
          </cell>
          <cell r="K383">
            <v>6</v>
          </cell>
          <cell r="L383" t="str">
            <v>16-Jan-2024</v>
          </cell>
          <cell r="M383" t="str">
            <v xml:space="preserve"> Delivered</v>
          </cell>
          <cell r="N383">
            <v>4</v>
          </cell>
          <cell r="O383" t="str">
            <v>No</v>
          </cell>
        </row>
        <row r="384">
          <cell r="A384" t="str">
            <v>SHP-101216</v>
          </cell>
          <cell r="B384" t="str">
            <v xml:space="preserve"> 02/04/2024 </v>
          </cell>
          <cell r="C384" t="str">
            <v>bengaluru</v>
          </cell>
          <cell r="D384" t="str">
            <v>DELHIVERY</v>
          </cell>
          <cell r="E384" t="str">
            <v>Air</v>
          </cell>
          <cell r="F384" t="str">
            <v xml:space="preserve">grocery &amp; fmcg </v>
          </cell>
          <cell r="G384" t="str">
            <v>South</v>
          </cell>
          <cell r="I384" t="str">
            <v>18.3</v>
          </cell>
          <cell r="J384" t="str">
            <v>₹815</v>
          </cell>
          <cell r="K384">
            <v>2</v>
          </cell>
          <cell r="L384" t="str">
            <v>2024-04-04</v>
          </cell>
          <cell r="M384" t="str">
            <v>DELIVERED</v>
          </cell>
          <cell r="N384">
            <v>5</v>
          </cell>
          <cell r="O384" t="str">
            <v>no</v>
          </cell>
        </row>
        <row r="385">
          <cell r="A385" t="str">
            <v>SHP-101405</v>
          </cell>
          <cell r="B385" t="str">
            <v xml:space="preserve"> 05/06/2024 </v>
          </cell>
          <cell r="C385" t="str">
            <v>CHENNAI</v>
          </cell>
          <cell r="D385" t="str">
            <v>XpressBees</v>
          </cell>
          <cell r="E385" t="str">
            <v xml:space="preserve">air </v>
          </cell>
          <cell r="F385" t="str">
            <v>grocery &amp; fmcg</v>
          </cell>
          <cell r="G385" t="str">
            <v>NORTH</v>
          </cell>
          <cell r="I385" t="str">
            <v>16.9</v>
          </cell>
          <cell r="J385" t="str">
            <v xml:space="preserve">Rs 916 </v>
          </cell>
          <cell r="K385">
            <v>4</v>
          </cell>
          <cell r="L385" t="str">
            <v>2024-06-11</v>
          </cell>
          <cell r="M385" t="str">
            <v>DELAYED</v>
          </cell>
          <cell r="N385">
            <v>3</v>
          </cell>
          <cell r="O385" t="str">
            <v>YES</v>
          </cell>
        </row>
        <row r="386">
          <cell r="A386" t="str">
            <v>SHP-100326</v>
          </cell>
          <cell r="B386" t="str">
            <v>26/05/2024</v>
          </cell>
          <cell r="C386" t="str">
            <v>KOLKATA</v>
          </cell>
          <cell r="D386" t="str">
            <v xml:space="preserve"> DTDC</v>
          </cell>
          <cell r="E386" t="str">
            <v>AIR</v>
          </cell>
          <cell r="F386" t="str">
            <v>Furniture</v>
          </cell>
          <cell r="G386" t="str">
            <v xml:space="preserve"> WEST </v>
          </cell>
          <cell r="I386" t="str">
            <v>39.3kg</v>
          </cell>
          <cell r="J386" t="str">
            <v>₹1,945</v>
          </cell>
          <cell r="K386">
            <v>4</v>
          </cell>
          <cell r="L386" t="str">
            <v xml:space="preserve"> 31/05/2024 </v>
          </cell>
          <cell r="M386" t="str">
            <v>Delayed</v>
          </cell>
          <cell r="N386">
            <v>5</v>
          </cell>
          <cell r="O386" t="str">
            <v xml:space="preserve"> No</v>
          </cell>
        </row>
        <row r="387">
          <cell r="A387" t="str">
            <v>SHP-101020</v>
          </cell>
          <cell r="B387" t="str">
            <v>2024-04-16</v>
          </cell>
          <cell r="C387" t="str">
            <v xml:space="preserve">delhi </v>
          </cell>
          <cell r="D387" t="str">
            <v xml:space="preserve"> XPRESSBEES</v>
          </cell>
          <cell r="E387" t="str">
            <v xml:space="preserve">air </v>
          </cell>
          <cell r="F387" t="str">
            <v xml:space="preserve"> ELECTRONICS </v>
          </cell>
          <cell r="G387" t="str">
            <v xml:space="preserve">north </v>
          </cell>
          <cell r="I387" t="str">
            <v>8.7</v>
          </cell>
          <cell r="J387" t="str">
            <v>₹390</v>
          </cell>
          <cell r="K387">
            <v>2</v>
          </cell>
          <cell r="L387" t="str">
            <v xml:space="preserve"> 20/04/2024 </v>
          </cell>
          <cell r="M387" t="str">
            <v xml:space="preserve">delayed </v>
          </cell>
          <cell r="N387">
            <v>3</v>
          </cell>
          <cell r="O387" t="str">
            <v>N</v>
          </cell>
        </row>
        <row r="388">
          <cell r="A388" t="str">
            <v>SHP-101175</v>
          </cell>
          <cell r="B388" t="str">
            <v>2024-04-18</v>
          </cell>
          <cell r="C388" t="str">
            <v xml:space="preserve">mumbai </v>
          </cell>
          <cell r="D388" t="str">
            <v>delhivery</v>
          </cell>
          <cell r="E388" t="str">
            <v>surface</v>
          </cell>
          <cell r="F388" t="str">
            <v xml:space="preserve">apparel </v>
          </cell>
          <cell r="G388" t="str">
            <v>south</v>
          </cell>
          <cell r="I388" t="str">
            <v xml:space="preserve">0.9 Kg </v>
          </cell>
          <cell r="J388" t="str">
            <v>147</v>
          </cell>
          <cell r="K388">
            <v>6</v>
          </cell>
          <cell r="L388" t="str">
            <v xml:space="preserve"> 24/04/2024 </v>
          </cell>
          <cell r="M388" t="str">
            <v>delivered</v>
          </cell>
          <cell r="N388">
            <v>2</v>
          </cell>
          <cell r="O388" t="str">
            <v>Yes</v>
          </cell>
        </row>
        <row r="389">
          <cell r="A389" t="str">
            <v>SHP-100560</v>
          </cell>
          <cell r="B389" t="str">
            <v xml:space="preserve"> 15/01/2024 </v>
          </cell>
          <cell r="C389" t="str">
            <v>delhi</v>
          </cell>
          <cell r="D389" t="str">
            <v>xpressbees</v>
          </cell>
          <cell r="E389" t="str">
            <v>Air</v>
          </cell>
          <cell r="F389" t="str">
            <v>grocery &amp; fmcg</v>
          </cell>
          <cell r="G389" t="str">
            <v xml:space="preserve"> WEST </v>
          </cell>
          <cell r="I389" t="str">
            <v>3.1kg</v>
          </cell>
          <cell r="J389" t="str">
            <v xml:space="preserve">Rs 325 </v>
          </cell>
          <cell r="K389">
            <v>4</v>
          </cell>
          <cell r="L389" t="str">
            <v xml:space="preserve"> 19/01/2024 </v>
          </cell>
          <cell r="M389" t="str">
            <v>Delivered</v>
          </cell>
          <cell r="N389">
            <v>4</v>
          </cell>
          <cell r="O389" t="str">
            <v>Yes</v>
          </cell>
        </row>
        <row r="390">
          <cell r="A390" t="str">
            <v>SHP-100707</v>
          </cell>
          <cell r="B390" t="str">
            <v>2024-03-23</v>
          </cell>
          <cell r="C390" t="str">
            <v xml:space="preserve"> CHENNAI </v>
          </cell>
          <cell r="D390" t="str">
            <v xml:space="preserve"> Delhivery</v>
          </cell>
          <cell r="E390" t="str">
            <v xml:space="preserve">road </v>
          </cell>
          <cell r="F390" t="str">
            <v>automotive  parts</v>
          </cell>
          <cell r="G390" t="str">
            <v>south</v>
          </cell>
          <cell r="I390" t="str">
            <v>19.5KG</v>
          </cell>
          <cell r="J390" t="str">
            <v>₹301</v>
          </cell>
          <cell r="K390">
            <v>6</v>
          </cell>
          <cell r="L390" t="str">
            <v>2024-04-07</v>
          </cell>
          <cell r="M390" t="str">
            <v>Delayed</v>
          </cell>
          <cell r="N390">
            <v>2</v>
          </cell>
          <cell r="O390" t="str">
            <v xml:space="preserve"> No</v>
          </cell>
        </row>
        <row r="391">
          <cell r="A391" t="str">
            <v>SHP-100359</v>
          </cell>
          <cell r="B391" t="str">
            <v>19-Jun-2024</v>
          </cell>
          <cell r="C391" t="str">
            <v>Mumbai</v>
          </cell>
          <cell r="D391" t="str">
            <v>Delhivery</v>
          </cell>
          <cell r="E391" t="str">
            <v xml:space="preserve">road </v>
          </cell>
          <cell r="F391" t="str">
            <v xml:space="preserve">apparel </v>
          </cell>
          <cell r="G391" t="str">
            <v xml:space="preserve">north </v>
          </cell>
          <cell r="I391" t="str">
            <v>1.6KG</v>
          </cell>
          <cell r="J391" t="str">
            <v xml:space="preserve">Rs 221 </v>
          </cell>
          <cell r="K391">
            <v>8</v>
          </cell>
          <cell r="L391" t="str">
            <v>26/06/2024</v>
          </cell>
          <cell r="M391" t="str">
            <v>delivered</v>
          </cell>
          <cell r="N391">
            <v>5</v>
          </cell>
          <cell r="O391" t="str">
            <v xml:space="preserve"> No</v>
          </cell>
        </row>
        <row r="392">
          <cell r="A392" t="str">
            <v>SHP-100234</v>
          </cell>
          <cell r="B392" t="str">
            <v xml:space="preserve"> 09/04/2024 </v>
          </cell>
          <cell r="C392" t="str">
            <v>KOLKATA</v>
          </cell>
          <cell r="D392" t="str">
            <v xml:space="preserve"> XPRESSBEES</v>
          </cell>
          <cell r="E392" t="str">
            <v>air</v>
          </cell>
          <cell r="F392" t="str">
            <v>pharma</v>
          </cell>
          <cell r="G392" t="str">
            <v>south</v>
          </cell>
          <cell r="I392" t="str">
            <v>0.7KG</v>
          </cell>
          <cell r="J392" t="str">
            <v>₹179</v>
          </cell>
          <cell r="K392">
            <v>4</v>
          </cell>
          <cell r="L392" t="str">
            <v xml:space="preserve"> 20/04/2024 </v>
          </cell>
          <cell r="M392" t="str">
            <v>Delayed</v>
          </cell>
          <cell r="N392">
            <v>1</v>
          </cell>
          <cell r="O392" t="str">
            <v>Y</v>
          </cell>
        </row>
        <row r="393">
          <cell r="A393" t="str">
            <v>SHP-100470</v>
          </cell>
          <cell r="B393" t="str">
            <v>25/01/2024</v>
          </cell>
          <cell r="C393" t="str">
            <v>Kolkata</v>
          </cell>
          <cell r="D393" t="str">
            <v>Delhivery</v>
          </cell>
          <cell r="E393" t="str">
            <v>road</v>
          </cell>
          <cell r="F393" t="str">
            <v>GROCERY  &amp; FMCG</v>
          </cell>
          <cell r="G393" t="str">
            <v>North</v>
          </cell>
          <cell r="I393" t="str">
            <v>20.0</v>
          </cell>
          <cell r="J393" t="str">
            <v xml:space="preserve">Rs 448 </v>
          </cell>
          <cell r="K393">
            <v>8</v>
          </cell>
          <cell r="L393" t="str">
            <v>03-Feb-2024</v>
          </cell>
          <cell r="M393" t="str">
            <v xml:space="preserve"> Delayed</v>
          </cell>
          <cell r="N393">
            <v>1</v>
          </cell>
          <cell r="O393" t="str">
            <v xml:space="preserve">yes </v>
          </cell>
        </row>
        <row r="394">
          <cell r="A394" t="str">
            <v>SHP-100717</v>
          </cell>
          <cell r="B394" t="str">
            <v>17-May-2024</v>
          </cell>
          <cell r="C394" t="str">
            <v>delhi</v>
          </cell>
          <cell r="D394" t="str">
            <v xml:space="preserve"> Delhivery</v>
          </cell>
          <cell r="E394" t="str">
            <v xml:space="preserve">road </v>
          </cell>
          <cell r="F394" t="str">
            <v>Grocery &amp; FMCG</v>
          </cell>
          <cell r="G394" t="str">
            <v>west</v>
          </cell>
          <cell r="I394" t="str">
            <v>5.6kg</v>
          </cell>
          <cell r="J394" t="str">
            <v xml:space="preserve">Rs 248 </v>
          </cell>
          <cell r="K394">
            <v>8</v>
          </cell>
          <cell r="L394" t="str">
            <v>24-May-2024</v>
          </cell>
          <cell r="M394" t="str">
            <v>delivered</v>
          </cell>
          <cell r="N394">
            <v>4</v>
          </cell>
          <cell r="O394" t="str">
            <v>Yes</v>
          </cell>
        </row>
        <row r="395">
          <cell r="A395" t="str">
            <v>SHP-101480</v>
          </cell>
          <cell r="B395" t="str">
            <v>2024-03-03</v>
          </cell>
          <cell r="C395" t="str">
            <v>Hyderabad</v>
          </cell>
          <cell r="D395" t="str">
            <v>Xpress Bees</v>
          </cell>
          <cell r="E395" t="str">
            <v>road</v>
          </cell>
          <cell r="F395" t="str">
            <v>ELECTRONICS</v>
          </cell>
          <cell r="G395" t="str">
            <v>south</v>
          </cell>
          <cell r="I395" t="str">
            <v>14.5KG</v>
          </cell>
          <cell r="J395" t="str">
            <v>326</v>
          </cell>
          <cell r="K395">
            <v>8</v>
          </cell>
          <cell r="L395" t="str">
            <v>12-Mar-2024</v>
          </cell>
          <cell r="M395" t="str">
            <v>DELAYED</v>
          </cell>
          <cell r="N395">
            <v>2</v>
          </cell>
          <cell r="O395" t="str">
            <v>YES</v>
          </cell>
        </row>
        <row r="396">
          <cell r="A396" t="str">
            <v>SHP-100442</v>
          </cell>
          <cell r="B396" t="str">
            <v>2024-05-06</v>
          </cell>
          <cell r="C396" t="str">
            <v>mumbai</v>
          </cell>
          <cell r="D396" t="str">
            <v>ecom express</v>
          </cell>
          <cell r="E396" t="str">
            <v>Surface</v>
          </cell>
          <cell r="F396" t="str">
            <v>Electronics</v>
          </cell>
          <cell r="G396" t="str">
            <v>NORTH</v>
          </cell>
          <cell r="I396" t="str">
            <v>3.2KG</v>
          </cell>
          <cell r="J396" t="str">
            <v>₹235</v>
          </cell>
          <cell r="K396">
            <v>6</v>
          </cell>
          <cell r="L396" t="str">
            <v>2024-05-13</v>
          </cell>
          <cell r="M396" t="str">
            <v>Delayed</v>
          </cell>
          <cell r="N396">
            <v>2</v>
          </cell>
          <cell r="O396" t="str">
            <v xml:space="preserve">yes </v>
          </cell>
        </row>
        <row r="397">
          <cell r="A397" t="str">
            <v>SHP-100664</v>
          </cell>
          <cell r="B397" t="str">
            <v>2024-02-27</v>
          </cell>
          <cell r="C397" t="str">
            <v>mumbai</v>
          </cell>
          <cell r="D397" t="str">
            <v>xpressbees</v>
          </cell>
          <cell r="E397" t="str">
            <v>surface</v>
          </cell>
          <cell r="F397" t="str">
            <v>Grocery  &amp; FMCG</v>
          </cell>
          <cell r="G397" t="str">
            <v xml:space="preserve"> NORTH </v>
          </cell>
          <cell r="I397" t="str">
            <v xml:space="preserve">11.3 Kg </v>
          </cell>
          <cell r="J397" t="str">
            <v>369</v>
          </cell>
          <cell r="K397">
            <v>6</v>
          </cell>
          <cell r="L397" t="str">
            <v>2024-03-05</v>
          </cell>
          <cell r="M397" t="str">
            <v xml:space="preserve">RETURNED </v>
          </cell>
          <cell r="O397" t="str">
            <v>N</v>
          </cell>
        </row>
        <row r="398">
          <cell r="A398" t="str">
            <v>SHP-100408</v>
          </cell>
          <cell r="B398" t="str">
            <v>28-Jun-2024</v>
          </cell>
          <cell r="C398" t="str">
            <v>bengaluru</v>
          </cell>
          <cell r="D398" t="str">
            <v xml:space="preserve"> XPRESSBEES</v>
          </cell>
          <cell r="E398" t="str">
            <v>Road</v>
          </cell>
          <cell r="F398" t="str">
            <v>furniture</v>
          </cell>
          <cell r="G398" t="str">
            <v>south</v>
          </cell>
          <cell r="I398" t="str">
            <v>16.5KG</v>
          </cell>
          <cell r="J398" t="str">
            <v>271</v>
          </cell>
          <cell r="K398">
            <v>6</v>
          </cell>
          <cell r="M398" t="str">
            <v>In transit</v>
          </cell>
          <cell r="O398" t="str">
            <v>Yes</v>
          </cell>
        </row>
        <row r="399">
          <cell r="A399" t="str">
            <v>SHP-101292</v>
          </cell>
          <cell r="B399" t="str">
            <v>09-Jun-2024</v>
          </cell>
          <cell r="C399" t="str">
            <v>MUMBAI</v>
          </cell>
          <cell r="D399" t="str">
            <v xml:space="preserve">BLUEDART </v>
          </cell>
          <cell r="E399" t="str">
            <v xml:space="preserve"> SURFACE </v>
          </cell>
          <cell r="F399" t="str">
            <v xml:space="preserve">electronics </v>
          </cell>
          <cell r="G399" t="str">
            <v xml:space="preserve"> NORTH </v>
          </cell>
          <cell r="I399" t="str">
            <v xml:space="preserve">12.0 Kg </v>
          </cell>
          <cell r="J399" t="str">
            <v>454</v>
          </cell>
          <cell r="K399">
            <v>6</v>
          </cell>
          <cell r="L399" t="str">
            <v>15-Jun-2024</v>
          </cell>
          <cell r="M399" t="str">
            <v>Delivered</v>
          </cell>
          <cell r="N399">
            <v>5</v>
          </cell>
          <cell r="O399" t="str">
            <v>Yes</v>
          </cell>
        </row>
        <row r="400">
          <cell r="A400" t="str">
            <v>SHP-100050</v>
          </cell>
          <cell r="B400" t="str">
            <v xml:space="preserve"> 17/03/2024 </v>
          </cell>
          <cell r="C400" t="str">
            <v>mumbai</v>
          </cell>
          <cell r="D400" t="str">
            <v>BlueDart</v>
          </cell>
          <cell r="E400" t="str">
            <v xml:space="preserve"> AIR </v>
          </cell>
          <cell r="F400" t="str">
            <v xml:space="preserve">apparel </v>
          </cell>
          <cell r="G400" t="str">
            <v>west</v>
          </cell>
          <cell r="I400" t="str">
            <v>4.4</v>
          </cell>
          <cell r="J400" t="str">
            <v>169</v>
          </cell>
          <cell r="K400">
            <v>2</v>
          </cell>
          <cell r="L400" t="str">
            <v>2024-03-20</v>
          </cell>
          <cell r="M400" t="str">
            <v xml:space="preserve"> Delayed</v>
          </cell>
          <cell r="N400">
            <v>3</v>
          </cell>
          <cell r="O400" t="str">
            <v>N</v>
          </cell>
        </row>
        <row r="401">
          <cell r="A401" t="str">
            <v>SHP-100776</v>
          </cell>
          <cell r="B401" t="str">
            <v>18/02/2024</v>
          </cell>
          <cell r="C401" t="str">
            <v>chennai</v>
          </cell>
          <cell r="D401" t="str">
            <v>DTDC</v>
          </cell>
          <cell r="E401" t="str">
            <v>air</v>
          </cell>
          <cell r="F401" t="str">
            <v xml:space="preserve">automotive parts </v>
          </cell>
          <cell r="G401" t="str">
            <v>south</v>
          </cell>
          <cell r="I401" t="str">
            <v>34.6kg</v>
          </cell>
          <cell r="J401" t="str">
            <v>1,540</v>
          </cell>
          <cell r="K401">
            <v>2</v>
          </cell>
          <cell r="L401" t="str">
            <v xml:space="preserve"> 20/02/2024 </v>
          </cell>
          <cell r="M401" t="str">
            <v>DELIVERED</v>
          </cell>
          <cell r="N401">
            <v>3</v>
          </cell>
          <cell r="O401" t="str">
            <v xml:space="preserve">yes </v>
          </cell>
        </row>
        <row r="402">
          <cell r="A402" t="str">
            <v>SHP-100896</v>
          </cell>
          <cell r="B402" t="str">
            <v>10/02/2024</v>
          </cell>
          <cell r="C402" t="str">
            <v xml:space="preserve"> BENGALURU </v>
          </cell>
          <cell r="D402" t="str">
            <v>BlueDart</v>
          </cell>
          <cell r="E402" t="str">
            <v>surface</v>
          </cell>
          <cell r="F402" t="str">
            <v>Grocery  &amp; FMCG</v>
          </cell>
          <cell r="G402" t="str">
            <v xml:space="preserve">west </v>
          </cell>
          <cell r="I402" t="str">
            <v>18.0KG</v>
          </cell>
          <cell r="J402" t="str">
            <v>₹596</v>
          </cell>
          <cell r="K402">
            <v>6</v>
          </cell>
          <cell r="L402" t="str">
            <v>16/02/2024</v>
          </cell>
          <cell r="M402" t="str">
            <v>delivered</v>
          </cell>
          <cell r="N402">
            <v>4</v>
          </cell>
          <cell r="O402" t="str">
            <v>no</v>
          </cell>
        </row>
        <row r="403">
          <cell r="A403" t="str">
            <v>SHP-100304</v>
          </cell>
          <cell r="B403" t="str">
            <v>28-May-2024</v>
          </cell>
          <cell r="C403" t="str">
            <v>MUMBAI</v>
          </cell>
          <cell r="D403" t="str">
            <v>Ecom Express</v>
          </cell>
          <cell r="E403" t="str">
            <v xml:space="preserve"> ROAD </v>
          </cell>
          <cell r="F403" t="str">
            <v xml:space="preserve"> APPAREL </v>
          </cell>
          <cell r="G403" t="str">
            <v>EAST</v>
          </cell>
          <cell r="I403" t="str">
            <v>5.8</v>
          </cell>
          <cell r="J403" t="str">
            <v xml:space="preserve">Rs 290 </v>
          </cell>
          <cell r="K403">
            <v>8</v>
          </cell>
          <cell r="L403" t="str">
            <v>05/06/2024</v>
          </cell>
          <cell r="M403" t="str">
            <v>DELIVERED</v>
          </cell>
          <cell r="N403">
            <v>4</v>
          </cell>
          <cell r="O403" t="str">
            <v xml:space="preserve"> No</v>
          </cell>
        </row>
        <row r="404">
          <cell r="A404" t="str">
            <v>SHP-100555</v>
          </cell>
          <cell r="B404" t="str">
            <v xml:space="preserve"> 09/04/2024 </v>
          </cell>
          <cell r="C404" t="str">
            <v xml:space="preserve">bengaluru </v>
          </cell>
          <cell r="D404" t="str">
            <v xml:space="preserve">BLUEDART </v>
          </cell>
          <cell r="E404" t="str">
            <v>ROAD</v>
          </cell>
          <cell r="F404" t="str">
            <v>FURNITURE</v>
          </cell>
          <cell r="G404" t="str">
            <v>west</v>
          </cell>
          <cell r="I404" t="str">
            <v>23.6KG</v>
          </cell>
          <cell r="J404" t="str">
            <v>₹506</v>
          </cell>
          <cell r="K404">
            <v>8</v>
          </cell>
          <cell r="L404" t="str">
            <v xml:space="preserve"> 18/04/2024 </v>
          </cell>
          <cell r="M404" t="str">
            <v>DELAYED</v>
          </cell>
          <cell r="N404">
            <v>4</v>
          </cell>
          <cell r="O404" t="str">
            <v>Y</v>
          </cell>
        </row>
        <row r="405">
          <cell r="A405" t="str">
            <v>SHP-100286</v>
          </cell>
          <cell r="B405" t="str">
            <v>07/04/2024</v>
          </cell>
          <cell r="C405" t="str">
            <v xml:space="preserve"> KOLKATA </v>
          </cell>
          <cell r="D405" t="str">
            <v>delhivery</v>
          </cell>
          <cell r="E405" t="str">
            <v>AIR</v>
          </cell>
          <cell r="F405" t="str">
            <v xml:space="preserve">automotive  parts </v>
          </cell>
          <cell r="G405" t="str">
            <v xml:space="preserve"> EAST </v>
          </cell>
          <cell r="I405" t="str">
            <v>26.1kg</v>
          </cell>
          <cell r="J405" t="str">
            <v xml:space="preserve">Rs 1149 </v>
          </cell>
          <cell r="K405">
            <v>2</v>
          </cell>
          <cell r="L405" t="str">
            <v>08/04/2024</v>
          </cell>
          <cell r="M405" t="str">
            <v>Delivered</v>
          </cell>
          <cell r="N405">
            <v>5</v>
          </cell>
          <cell r="O405" t="str">
            <v>N</v>
          </cell>
        </row>
        <row r="406">
          <cell r="A406" t="str">
            <v>SHP-101445</v>
          </cell>
          <cell r="B406" t="str">
            <v xml:space="preserve"> 11/03/2024 </v>
          </cell>
          <cell r="C406" t="str">
            <v>chennai</v>
          </cell>
          <cell r="D406" t="str">
            <v xml:space="preserve"> DTDC</v>
          </cell>
          <cell r="E406" t="str">
            <v>AIR</v>
          </cell>
          <cell r="F406" t="str">
            <v xml:space="preserve">electronics  </v>
          </cell>
          <cell r="G406" t="str">
            <v>south</v>
          </cell>
          <cell r="I406" t="str">
            <v>10.2KG</v>
          </cell>
          <cell r="J406" t="str">
            <v>₹484</v>
          </cell>
          <cell r="K406">
            <v>2</v>
          </cell>
          <cell r="L406" t="str">
            <v xml:space="preserve"> 13/03/2024 </v>
          </cell>
          <cell r="M406" t="str">
            <v xml:space="preserve"> Delivered</v>
          </cell>
          <cell r="N406">
            <v>3</v>
          </cell>
          <cell r="O406" t="str">
            <v>No</v>
          </cell>
        </row>
        <row r="407">
          <cell r="A407" t="str">
            <v>SHP-100241</v>
          </cell>
          <cell r="B407" t="str">
            <v>13-Mar-2024</v>
          </cell>
          <cell r="C407" t="str">
            <v>BENGALURU</v>
          </cell>
          <cell r="D407" t="str">
            <v xml:space="preserve">BLUEDART </v>
          </cell>
          <cell r="E407" t="str">
            <v xml:space="preserve">surface </v>
          </cell>
          <cell r="F407" t="str">
            <v xml:space="preserve">electronics  </v>
          </cell>
          <cell r="G407" t="str">
            <v>NORTH</v>
          </cell>
          <cell r="J407" t="str">
            <v>₹282</v>
          </cell>
          <cell r="K407">
            <v>6</v>
          </cell>
          <cell r="L407" t="str">
            <v>19/03/2024</v>
          </cell>
          <cell r="M407" t="str">
            <v>Delivered</v>
          </cell>
          <cell r="N407">
            <v>5</v>
          </cell>
          <cell r="O407" t="str">
            <v xml:space="preserve"> No</v>
          </cell>
        </row>
        <row r="408">
          <cell r="A408" t="str">
            <v>SHP-100150</v>
          </cell>
          <cell r="B408" t="str">
            <v>07-Mar-2024</v>
          </cell>
          <cell r="C408" t="str">
            <v>KOLKATA</v>
          </cell>
          <cell r="D408" t="str">
            <v>ecom express</v>
          </cell>
          <cell r="E408" t="str">
            <v>air</v>
          </cell>
          <cell r="F408" t="str">
            <v xml:space="preserve"> ELECTRONICS </v>
          </cell>
          <cell r="G408" t="str">
            <v>east</v>
          </cell>
          <cell r="I408" t="str">
            <v>7.0KG</v>
          </cell>
          <cell r="J408" t="str">
            <v xml:space="preserve">Rs 358 </v>
          </cell>
          <cell r="K408">
            <v>2</v>
          </cell>
          <cell r="L408" t="str">
            <v>14/03/2024</v>
          </cell>
          <cell r="M408" t="str">
            <v xml:space="preserve"> Delayed</v>
          </cell>
          <cell r="N408">
            <v>4</v>
          </cell>
          <cell r="O408" t="str">
            <v xml:space="preserve"> No</v>
          </cell>
        </row>
        <row r="409">
          <cell r="A409" t="str">
            <v>SHP-100029</v>
          </cell>
          <cell r="B409" t="str">
            <v>03-Jun-2024</v>
          </cell>
          <cell r="C409" t="str">
            <v xml:space="preserve">hyderabad </v>
          </cell>
          <cell r="D409" t="str">
            <v>delhivery</v>
          </cell>
          <cell r="E409" t="str">
            <v xml:space="preserve">road </v>
          </cell>
          <cell r="F409" t="str">
            <v xml:space="preserve"> GROCERY &amp; FMCG </v>
          </cell>
          <cell r="G409" t="str">
            <v xml:space="preserve"> WEST </v>
          </cell>
          <cell r="I409" t="str">
            <v xml:space="preserve">11.5 Kg </v>
          </cell>
          <cell r="J409" t="str">
            <v>173</v>
          </cell>
          <cell r="K409">
            <v>6</v>
          </cell>
          <cell r="L409" t="str">
            <v>2024-06-09</v>
          </cell>
          <cell r="M409" t="str">
            <v>Delivered</v>
          </cell>
          <cell r="N409">
            <v>4</v>
          </cell>
          <cell r="O409" t="str">
            <v>YES</v>
          </cell>
        </row>
        <row r="410">
          <cell r="A410" t="str">
            <v>SHP-100139</v>
          </cell>
          <cell r="B410" t="str">
            <v>17-Jan-2024</v>
          </cell>
          <cell r="C410" t="str">
            <v xml:space="preserve"> DELHI </v>
          </cell>
          <cell r="D410" t="str">
            <v>bluedart</v>
          </cell>
          <cell r="E410" t="str">
            <v xml:space="preserve"> ROAD </v>
          </cell>
          <cell r="F410" t="str">
            <v xml:space="preserve">automotive parts </v>
          </cell>
          <cell r="G410" t="str">
            <v xml:space="preserve">south </v>
          </cell>
          <cell r="I410" t="str">
            <v>27.1kg</v>
          </cell>
          <cell r="J410" t="str">
            <v>517</v>
          </cell>
          <cell r="K410">
            <v>8</v>
          </cell>
          <cell r="L410" t="str">
            <v xml:space="preserve"> 25/01/2024 </v>
          </cell>
          <cell r="M410" t="str">
            <v>DELIVERED</v>
          </cell>
          <cell r="N410">
            <v>5</v>
          </cell>
          <cell r="O410" t="str">
            <v>No</v>
          </cell>
        </row>
        <row r="411">
          <cell r="A411" t="str">
            <v>SHP-101106</v>
          </cell>
          <cell r="B411" t="str">
            <v>05-Mar-2024</v>
          </cell>
          <cell r="C411" t="str">
            <v xml:space="preserve"> MUMBAI </v>
          </cell>
          <cell r="D411" t="str">
            <v>bluedart</v>
          </cell>
          <cell r="E411" t="str">
            <v>SURFACE</v>
          </cell>
          <cell r="F411" t="str">
            <v>FURNITURE</v>
          </cell>
          <cell r="G411" t="str">
            <v>EAST</v>
          </cell>
          <cell r="I411" t="str">
            <v>35.0KG</v>
          </cell>
          <cell r="J411" t="str">
            <v>947</v>
          </cell>
          <cell r="K411">
            <v>6</v>
          </cell>
          <cell r="L411" t="str">
            <v xml:space="preserve"> 11/03/2024 </v>
          </cell>
          <cell r="M411" t="str">
            <v>Delivered</v>
          </cell>
          <cell r="N411">
            <v>5</v>
          </cell>
          <cell r="O411" t="str">
            <v xml:space="preserve"> No</v>
          </cell>
        </row>
        <row r="412">
          <cell r="A412" t="str">
            <v>SHP-100446</v>
          </cell>
          <cell r="B412" t="str">
            <v>22/01/2024</v>
          </cell>
          <cell r="C412" t="str">
            <v xml:space="preserve">kolkata </v>
          </cell>
          <cell r="D412" t="str">
            <v>Ecom Express</v>
          </cell>
          <cell r="E412" t="str">
            <v>Surface</v>
          </cell>
          <cell r="F412" t="str">
            <v xml:space="preserve"> GROCERY &amp; FMCG </v>
          </cell>
          <cell r="G412" t="str">
            <v>North</v>
          </cell>
          <cell r="I412" t="str">
            <v>19.3KG</v>
          </cell>
          <cell r="J412" t="str">
            <v>574</v>
          </cell>
          <cell r="K412">
            <v>6</v>
          </cell>
          <cell r="L412" t="str">
            <v>2024-01-28</v>
          </cell>
          <cell r="M412" t="str">
            <v>Delivered</v>
          </cell>
          <cell r="N412">
            <v>5</v>
          </cell>
          <cell r="O412" t="str">
            <v xml:space="preserve"> No</v>
          </cell>
        </row>
        <row r="413">
          <cell r="A413" t="str">
            <v>SHP-100157</v>
          </cell>
          <cell r="B413" t="str">
            <v>05/06/2024</v>
          </cell>
          <cell r="C413" t="str">
            <v>Bengaluru</v>
          </cell>
          <cell r="D413" t="str">
            <v>BlueDart</v>
          </cell>
          <cell r="E413" t="str">
            <v xml:space="preserve"> ROAD </v>
          </cell>
          <cell r="F413" t="str">
            <v>Grocery &amp; FMCG</v>
          </cell>
          <cell r="G413" t="str">
            <v xml:space="preserve">north </v>
          </cell>
          <cell r="I413" t="str">
            <v xml:space="preserve">14.4 Kg </v>
          </cell>
          <cell r="J413" t="str">
            <v>388</v>
          </cell>
          <cell r="K413">
            <v>8</v>
          </cell>
          <cell r="L413" t="str">
            <v xml:space="preserve"> 12/06/2024 </v>
          </cell>
          <cell r="M413" t="str">
            <v xml:space="preserve">RETURNED </v>
          </cell>
          <cell r="O413" t="str">
            <v xml:space="preserve"> No</v>
          </cell>
        </row>
        <row r="414">
          <cell r="A414" t="str">
            <v>SHP-100158</v>
          </cell>
          <cell r="B414" t="str">
            <v xml:space="preserve"> 14/02/2024 </v>
          </cell>
          <cell r="C414" t="str">
            <v xml:space="preserve">mumbai </v>
          </cell>
          <cell r="D414" t="str">
            <v>XpressBees</v>
          </cell>
          <cell r="E414" t="str">
            <v>road</v>
          </cell>
          <cell r="F414" t="str">
            <v>FURNITURE</v>
          </cell>
          <cell r="G414" t="str">
            <v>east</v>
          </cell>
          <cell r="I414" t="str">
            <v>48.1kg</v>
          </cell>
          <cell r="J414" t="str">
            <v>₹841</v>
          </cell>
          <cell r="K414">
            <v>8</v>
          </cell>
          <cell r="L414" t="str">
            <v>21/02/2024</v>
          </cell>
          <cell r="M414" t="str">
            <v>DELIVERED</v>
          </cell>
          <cell r="N414">
            <v>4</v>
          </cell>
          <cell r="O414" t="str">
            <v>YES</v>
          </cell>
        </row>
        <row r="415">
          <cell r="A415" t="str">
            <v>SHP-101321</v>
          </cell>
          <cell r="B415" t="str">
            <v xml:space="preserve"> 11/04/2024 </v>
          </cell>
          <cell r="C415" t="str">
            <v>KOLKATA</v>
          </cell>
          <cell r="D415" t="str">
            <v>ECOM EXPRESS</v>
          </cell>
          <cell r="E415" t="str">
            <v xml:space="preserve"> AIR </v>
          </cell>
          <cell r="F415" t="str">
            <v>PHARMA</v>
          </cell>
          <cell r="G415" t="str">
            <v xml:space="preserve">south </v>
          </cell>
          <cell r="I415" t="str">
            <v>1.0</v>
          </cell>
          <cell r="J415" t="str">
            <v>179</v>
          </cell>
          <cell r="K415">
            <v>4</v>
          </cell>
          <cell r="L415" t="str">
            <v>2024-04-18</v>
          </cell>
          <cell r="M415" t="str">
            <v>Delayed</v>
          </cell>
          <cell r="N415">
            <v>4</v>
          </cell>
          <cell r="O415" t="str">
            <v>Yes</v>
          </cell>
        </row>
        <row r="416">
          <cell r="A416" t="str">
            <v>SHP-100692</v>
          </cell>
          <cell r="B416" t="str">
            <v>2024-03-06</v>
          </cell>
          <cell r="C416" t="str">
            <v>MUMBAI</v>
          </cell>
          <cell r="D416" t="str">
            <v>DELHIVERY</v>
          </cell>
          <cell r="E416" t="str">
            <v>road</v>
          </cell>
          <cell r="F416" t="str">
            <v>furniture</v>
          </cell>
          <cell r="G416" t="str">
            <v>WEST</v>
          </cell>
          <cell r="I416" t="str">
            <v>28.4kg</v>
          </cell>
          <cell r="J416" t="str">
            <v>₹456</v>
          </cell>
          <cell r="K416">
            <v>6</v>
          </cell>
          <cell r="L416" t="str">
            <v>11/03/2024</v>
          </cell>
          <cell r="M416" t="str">
            <v xml:space="preserve"> Delivered</v>
          </cell>
          <cell r="N416">
            <v>5</v>
          </cell>
          <cell r="O416" t="str">
            <v>N</v>
          </cell>
        </row>
        <row r="417">
          <cell r="A417" t="str">
            <v>SHP-101013</v>
          </cell>
          <cell r="B417" t="str">
            <v>2024-06-11</v>
          </cell>
          <cell r="C417" t="str">
            <v>Chennai</v>
          </cell>
          <cell r="D417" t="str">
            <v>bluedart</v>
          </cell>
          <cell r="E417" t="str">
            <v>Air</v>
          </cell>
          <cell r="F417" t="str">
            <v xml:space="preserve">electronics  </v>
          </cell>
          <cell r="G417" t="str">
            <v xml:space="preserve"> SOUTH </v>
          </cell>
          <cell r="I417" t="str">
            <v>1.5</v>
          </cell>
          <cell r="J417" t="str">
            <v>119</v>
          </cell>
          <cell r="K417">
            <v>2</v>
          </cell>
          <cell r="L417" t="str">
            <v xml:space="preserve"> 13/06/2024 </v>
          </cell>
          <cell r="M417" t="str">
            <v>delivered</v>
          </cell>
          <cell r="N417">
            <v>5</v>
          </cell>
          <cell r="O417" t="str">
            <v>N</v>
          </cell>
        </row>
        <row r="418">
          <cell r="A418" t="str">
            <v>SHP-100221</v>
          </cell>
          <cell r="B418" t="str">
            <v>2024-01-25</v>
          </cell>
          <cell r="C418" t="str">
            <v>hyderabad</v>
          </cell>
          <cell r="D418" t="str">
            <v>XpressBees</v>
          </cell>
          <cell r="E418" t="str">
            <v>SURFACE</v>
          </cell>
          <cell r="F418" t="str">
            <v xml:space="preserve">electronics </v>
          </cell>
          <cell r="G418" t="str">
            <v>SOUTH</v>
          </cell>
          <cell r="I418" t="str">
            <v>6.7</v>
          </cell>
          <cell r="J418" t="str">
            <v>₹270</v>
          </cell>
          <cell r="K418">
            <v>6</v>
          </cell>
          <cell r="L418" t="str">
            <v>05-Feb-2024</v>
          </cell>
          <cell r="M418" t="str">
            <v>Delayed</v>
          </cell>
          <cell r="N418">
            <v>5</v>
          </cell>
          <cell r="O418" t="str">
            <v xml:space="preserve"> No</v>
          </cell>
        </row>
        <row r="419">
          <cell r="A419" t="str">
            <v>SHP-100705</v>
          </cell>
          <cell r="B419" t="str">
            <v>22/06/2024</v>
          </cell>
          <cell r="C419" t="str">
            <v>delhi</v>
          </cell>
          <cell r="D419" t="str">
            <v xml:space="preserve"> XPRESSBEES</v>
          </cell>
          <cell r="E419" t="str">
            <v>Surface</v>
          </cell>
          <cell r="F419" t="str">
            <v>pharma</v>
          </cell>
          <cell r="G419" t="str">
            <v>west</v>
          </cell>
          <cell r="I419" t="str">
            <v>1.7</v>
          </cell>
          <cell r="J419" t="str">
            <v>169</v>
          </cell>
          <cell r="K419">
            <v>6</v>
          </cell>
          <cell r="L419" t="str">
            <v xml:space="preserve"> 27/06/2024 </v>
          </cell>
          <cell r="M419" t="str">
            <v>DELIVERED</v>
          </cell>
          <cell r="N419">
            <v>3</v>
          </cell>
          <cell r="O419" t="str">
            <v xml:space="preserve">yes </v>
          </cell>
        </row>
        <row r="420">
          <cell r="A420" t="str">
            <v>SHP-100541</v>
          </cell>
          <cell r="B420" t="str">
            <v>2024-03-28</v>
          </cell>
          <cell r="C420" t="str">
            <v xml:space="preserve"> MUMBAI </v>
          </cell>
          <cell r="D420" t="str">
            <v>Xpress Bees</v>
          </cell>
          <cell r="E420" t="str">
            <v>SURFACE</v>
          </cell>
          <cell r="F420" t="str">
            <v xml:space="preserve"> AUTOMOTIVE PARTS </v>
          </cell>
          <cell r="G420" t="str">
            <v xml:space="preserve"> NORTH </v>
          </cell>
          <cell r="I420" t="str">
            <v>31.8KG</v>
          </cell>
          <cell r="J420" t="str">
            <v>824</v>
          </cell>
          <cell r="K420">
            <v>6</v>
          </cell>
          <cell r="L420" t="str">
            <v xml:space="preserve"> 06/04/2024 </v>
          </cell>
          <cell r="M420" t="str">
            <v>DELAYED</v>
          </cell>
          <cell r="N420">
            <v>2</v>
          </cell>
          <cell r="O420" t="str">
            <v xml:space="preserve">yes </v>
          </cell>
        </row>
        <row r="421">
          <cell r="A421" t="str">
            <v>SHP-100988</v>
          </cell>
          <cell r="B421" t="str">
            <v>08/06/2024</v>
          </cell>
          <cell r="C421" t="str">
            <v xml:space="preserve">bengaluru </v>
          </cell>
          <cell r="D421" t="str">
            <v>dtdc</v>
          </cell>
          <cell r="E421" t="str">
            <v>surface</v>
          </cell>
          <cell r="F421" t="str">
            <v>Pharma</v>
          </cell>
          <cell r="G421" t="str">
            <v xml:space="preserve">north </v>
          </cell>
          <cell r="I421" t="str">
            <v>3.1</v>
          </cell>
          <cell r="J421" t="str">
            <v>₹236</v>
          </cell>
          <cell r="K421">
            <v>6</v>
          </cell>
          <cell r="L421" t="str">
            <v xml:space="preserve"> 13/06/2024 </v>
          </cell>
          <cell r="M421" t="str">
            <v>Delivered</v>
          </cell>
          <cell r="N421">
            <v>4</v>
          </cell>
          <cell r="O421" t="str">
            <v>N</v>
          </cell>
        </row>
        <row r="422">
          <cell r="A422" t="str">
            <v>SHP-100144</v>
          </cell>
          <cell r="B422" t="str">
            <v>2024-01-08</v>
          </cell>
          <cell r="C422" t="str">
            <v xml:space="preserve">bengaluru </v>
          </cell>
          <cell r="D422" t="str">
            <v>Delhivery</v>
          </cell>
          <cell r="E422" t="str">
            <v>AIR</v>
          </cell>
          <cell r="F422" t="str">
            <v xml:space="preserve"> AUTOMOTIVE PARTS </v>
          </cell>
          <cell r="G422" t="str">
            <v>EAST</v>
          </cell>
          <cell r="I422" t="str">
            <v>14.9kg</v>
          </cell>
          <cell r="J422" t="str">
            <v>₹847</v>
          </cell>
          <cell r="K422">
            <v>4</v>
          </cell>
          <cell r="L422" t="str">
            <v xml:space="preserve"> 13/01/2024 </v>
          </cell>
          <cell r="M422" t="str">
            <v xml:space="preserve">delayed </v>
          </cell>
          <cell r="N422">
            <v>5</v>
          </cell>
          <cell r="O422" t="str">
            <v xml:space="preserve"> No</v>
          </cell>
        </row>
        <row r="423">
          <cell r="A423" t="str">
            <v>SHP-100632</v>
          </cell>
          <cell r="B423" t="str">
            <v>2024-03-17</v>
          </cell>
          <cell r="C423" t="str">
            <v xml:space="preserve">delhi </v>
          </cell>
          <cell r="D423" t="str">
            <v xml:space="preserve"> Delhivery</v>
          </cell>
          <cell r="E423" t="str">
            <v xml:space="preserve"> AIR </v>
          </cell>
          <cell r="F423" t="str">
            <v xml:space="preserve">  PHARMA </v>
          </cell>
          <cell r="G423" t="str">
            <v>south</v>
          </cell>
          <cell r="I423" t="str">
            <v>4.0kg</v>
          </cell>
          <cell r="J423" t="str">
            <v xml:space="preserve">Rs 350 </v>
          </cell>
          <cell r="K423">
            <v>4</v>
          </cell>
          <cell r="L423" t="str">
            <v>27-Mar-2024</v>
          </cell>
          <cell r="M423" t="str">
            <v xml:space="preserve"> Delayed</v>
          </cell>
          <cell r="N423">
            <v>2</v>
          </cell>
          <cell r="O423" t="str">
            <v>No</v>
          </cell>
        </row>
        <row r="424">
          <cell r="A424" t="str">
            <v>SHP-100701</v>
          </cell>
          <cell r="B424" t="str">
            <v>03/03/2024</v>
          </cell>
          <cell r="C424" t="str">
            <v>Chennai</v>
          </cell>
          <cell r="D424" t="str">
            <v>dtdc</v>
          </cell>
          <cell r="E424" t="str">
            <v>Air</v>
          </cell>
          <cell r="F424" t="str">
            <v xml:space="preserve">  ELECTRONICS </v>
          </cell>
          <cell r="G424" t="str">
            <v>West</v>
          </cell>
          <cell r="J424" t="str">
            <v>339</v>
          </cell>
          <cell r="K424">
            <v>4</v>
          </cell>
          <cell r="L424" t="str">
            <v>2024-03-15</v>
          </cell>
          <cell r="M424" t="str">
            <v xml:space="preserve">RETURNED </v>
          </cell>
          <cell r="O424" t="str">
            <v>YES</v>
          </cell>
        </row>
        <row r="425">
          <cell r="A425" t="str">
            <v>SHP-100191</v>
          </cell>
          <cell r="B425" t="str">
            <v xml:space="preserve"> 17/04/2024 </v>
          </cell>
          <cell r="C425" t="str">
            <v>mumbai</v>
          </cell>
          <cell r="D425" t="str">
            <v xml:space="preserve"> DTDC</v>
          </cell>
          <cell r="E425" t="str">
            <v>surface</v>
          </cell>
          <cell r="F425" t="str">
            <v>APPAREL</v>
          </cell>
          <cell r="G425" t="str">
            <v>EAST</v>
          </cell>
          <cell r="I425" t="str">
            <v>5.6</v>
          </cell>
          <cell r="J425" t="str">
            <v>₹285</v>
          </cell>
          <cell r="K425">
            <v>6</v>
          </cell>
          <cell r="L425" t="str">
            <v>01-May-2024</v>
          </cell>
          <cell r="M425" t="str">
            <v xml:space="preserve">delayed </v>
          </cell>
          <cell r="N425">
            <v>1</v>
          </cell>
          <cell r="O425" t="str">
            <v>N</v>
          </cell>
        </row>
        <row r="426">
          <cell r="A426" t="str">
            <v>SHP-100212</v>
          </cell>
          <cell r="B426" t="str">
            <v>10/05/2024</v>
          </cell>
          <cell r="C426" t="str">
            <v xml:space="preserve"> KOLKATA </v>
          </cell>
          <cell r="D426" t="str">
            <v xml:space="preserve"> XPRESSBEES</v>
          </cell>
          <cell r="E426" t="str">
            <v>road</v>
          </cell>
          <cell r="F426" t="str">
            <v xml:space="preserve"> GROCERY &amp; FMCG </v>
          </cell>
          <cell r="G426" t="str">
            <v xml:space="preserve">west </v>
          </cell>
          <cell r="I426" t="str">
            <v xml:space="preserve">5.0 Kg </v>
          </cell>
          <cell r="J426" t="str">
            <v xml:space="preserve">Rs 275 </v>
          </cell>
          <cell r="K426">
            <v>8</v>
          </cell>
          <cell r="L426" t="str">
            <v>2024-05-17</v>
          </cell>
          <cell r="M426" t="str">
            <v>DELIVERED</v>
          </cell>
          <cell r="N426">
            <v>2</v>
          </cell>
          <cell r="O426" t="str">
            <v>Y</v>
          </cell>
        </row>
        <row r="427">
          <cell r="A427" t="str">
            <v>SHP-100698</v>
          </cell>
          <cell r="B427" t="str">
            <v>2024-01-27</v>
          </cell>
          <cell r="C427" t="str">
            <v>kolkata</v>
          </cell>
          <cell r="D427" t="str">
            <v>delhivery</v>
          </cell>
          <cell r="E427" t="str">
            <v>road</v>
          </cell>
          <cell r="F427" t="str">
            <v>Electronics</v>
          </cell>
          <cell r="G427" t="str">
            <v>East</v>
          </cell>
          <cell r="I427" t="str">
            <v>2.9KG</v>
          </cell>
          <cell r="J427" t="str">
            <v>₹96</v>
          </cell>
          <cell r="K427">
            <v>6</v>
          </cell>
          <cell r="L427" t="str">
            <v xml:space="preserve"> 04/02/2024 </v>
          </cell>
          <cell r="M427" t="str">
            <v xml:space="preserve"> Delayed</v>
          </cell>
          <cell r="N427">
            <v>5</v>
          </cell>
          <cell r="O427" t="str">
            <v>N</v>
          </cell>
        </row>
        <row r="428">
          <cell r="A428" t="str">
            <v>SHP-100520</v>
          </cell>
          <cell r="B428" t="str">
            <v>11-May-2024</v>
          </cell>
          <cell r="C428" t="str">
            <v>Mumbai</v>
          </cell>
          <cell r="D428" t="str">
            <v>delhivery</v>
          </cell>
          <cell r="E428" t="str">
            <v xml:space="preserve"> ROAD </v>
          </cell>
          <cell r="F428" t="str">
            <v xml:space="preserve"> ELECTRONICS </v>
          </cell>
          <cell r="G428" t="str">
            <v xml:space="preserve">north </v>
          </cell>
          <cell r="I428" t="str">
            <v>2.1KG</v>
          </cell>
          <cell r="J428" t="str">
            <v>159</v>
          </cell>
          <cell r="K428">
            <v>8</v>
          </cell>
          <cell r="L428" t="str">
            <v>20-May-2024</v>
          </cell>
          <cell r="M428" t="str">
            <v xml:space="preserve">delayed </v>
          </cell>
          <cell r="N428">
            <v>3</v>
          </cell>
          <cell r="O428" t="str">
            <v>N</v>
          </cell>
        </row>
        <row r="429">
          <cell r="A429" t="str">
            <v>SHP-100762</v>
          </cell>
          <cell r="B429" t="str">
            <v>03/06/2024</v>
          </cell>
          <cell r="C429" t="str">
            <v>Hyderabad</v>
          </cell>
          <cell r="D429" t="str">
            <v>Ecom  Express</v>
          </cell>
          <cell r="E429" t="str">
            <v>air</v>
          </cell>
          <cell r="F429" t="str">
            <v>ELECTRONICS</v>
          </cell>
          <cell r="G429" t="str">
            <v xml:space="preserve"> NORTH </v>
          </cell>
          <cell r="I429" t="str">
            <v>8.1kg</v>
          </cell>
          <cell r="J429" t="str">
            <v>511</v>
          </cell>
          <cell r="K429">
            <v>4</v>
          </cell>
          <cell r="L429" t="str">
            <v>08/06/2024</v>
          </cell>
          <cell r="M429" t="str">
            <v xml:space="preserve">delayed </v>
          </cell>
          <cell r="N429">
            <v>1</v>
          </cell>
          <cell r="O429" t="str">
            <v>Y</v>
          </cell>
        </row>
        <row r="430">
          <cell r="A430" t="str">
            <v>SHP-100904</v>
          </cell>
          <cell r="B430" t="str">
            <v>2024-03-13</v>
          </cell>
          <cell r="C430" t="str">
            <v xml:space="preserve">delhi </v>
          </cell>
          <cell r="D430" t="str">
            <v>ECOM EXPRESS</v>
          </cell>
          <cell r="E430" t="str">
            <v xml:space="preserve"> SURFACE </v>
          </cell>
          <cell r="F430" t="str">
            <v>Furniture</v>
          </cell>
          <cell r="G430" t="str">
            <v>south</v>
          </cell>
          <cell r="I430" t="str">
            <v>23.8kg</v>
          </cell>
          <cell r="J430" t="str">
            <v xml:space="preserve">Rs 715 </v>
          </cell>
          <cell r="K430">
            <v>6</v>
          </cell>
          <cell r="L430" t="str">
            <v>2024-03-27</v>
          </cell>
          <cell r="M430" t="str">
            <v xml:space="preserve"> Delayed</v>
          </cell>
          <cell r="N430">
            <v>3</v>
          </cell>
          <cell r="O430" t="str">
            <v>N</v>
          </cell>
        </row>
        <row r="431">
          <cell r="A431" t="str">
            <v>SHP-100307</v>
          </cell>
          <cell r="B431" t="str">
            <v>2024-02-20</v>
          </cell>
          <cell r="C431" t="str">
            <v xml:space="preserve">kolkata </v>
          </cell>
          <cell r="D431" t="str">
            <v>delhivery</v>
          </cell>
          <cell r="E431" t="str">
            <v>Road</v>
          </cell>
          <cell r="F431" t="str">
            <v>ELECTRONICS</v>
          </cell>
          <cell r="G431" t="str">
            <v xml:space="preserve">east </v>
          </cell>
          <cell r="I431" t="str">
            <v>10.6</v>
          </cell>
          <cell r="J431" t="str">
            <v>145</v>
          </cell>
          <cell r="K431">
            <v>6</v>
          </cell>
          <cell r="L431" t="str">
            <v>02-Mar-2024</v>
          </cell>
          <cell r="M431" t="str">
            <v>Delayed</v>
          </cell>
          <cell r="N431">
            <v>3</v>
          </cell>
          <cell r="O431" t="str">
            <v>N</v>
          </cell>
        </row>
        <row r="432">
          <cell r="A432" t="str">
            <v>SHP-101337</v>
          </cell>
          <cell r="B432" t="str">
            <v xml:space="preserve"> 06/02/2024 </v>
          </cell>
          <cell r="C432" t="str">
            <v xml:space="preserve"> MUMBAI </v>
          </cell>
          <cell r="D432" t="str">
            <v>ECOM EXPRESS</v>
          </cell>
          <cell r="E432" t="str">
            <v>SURFACE</v>
          </cell>
          <cell r="F432" t="str">
            <v xml:space="preserve"> GROCERY &amp; FMCG </v>
          </cell>
          <cell r="G432" t="str">
            <v xml:space="preserve">north </v>
          </cell>
          <cell r="I432" t="str">
            <v xml:space="preserve">6.1 Kg </v>
          </cell>
          <cell r="J432" t="str">
            <v>₹328</v>
          </cell>
          <cell r="K432">
            <v>6</v>
          </cell>
          <cell r="L432" t="str">
            <v>12-Feb-2024</v>
          </cell>
          <cell r="M432" t="str">
            <v>Delivered</v>
          </cell>
          <cell r="N432">
            <v>5</v>
          </cell>
          <cell r="O432" t="str">
            <v>no</v>
          </cell>
        </row>
        <row r="433">
          <cell r="A433" t="str">
            <v>SHP-100906</v>
          </cell>
          <cell r="B433" t="str">
            <v>13/06/2024</v>
          </cell>
          <cell r="C433" t="str">
            <v>KOLKATA</v>
          </cell>
          <cell r="D433" t="str">
            <v>delhivery</v>
          </cell>
          <cell r="E433" t="str">
            <v>AIR</v>
          </cell>
          <cell r="F433" t="str">
            <v xml:space="preserve"> GROCERY &amp; FMCG </v>
          </cell>
          <cell r="G433" t="str">
            <v xml:space="preserve">north </v>
          </cell>
          <cell r="I433" t="str">
            <v xml:space="preserve">11.9 Kg </v>
          </cell>
          <cell r="J433" t="str">
            <v xml:space="preserve">Rs 719 </v>
          </cell>
          <cell r="K433">
            <v>4</v>
          </cell>
          <cell r="L433" t="str">
            <v>2024-06-17</v>
          </cell>
          <cell r="M433" t="str">
            <v>DELIVERED</v>
          </cell>
          <cell r="N433">
            <v>5</v>
          </cell>
          <cell r="O433" t="str">
            <v>no</v>
          </cell>
        </row>
        <row r="434">
          <cell r="A434" t="str">
            <v>SHP-100899</v>
          </cell>
          <cell r="B434" t="str">
            <v>17-Feb-2024</v>
          </cell>
          <cell r="C434" t="str">
            <v xml:space="preserve">chennai </v>
          </cell>
          <cell r="D434" t="str">
            <v>bluedart</v>
          </cell>
          <cell r="E434" t="str">
            <v xml:space="preserve">road </v>
          </cell>
          <cell r="F434" t="str">
            <v>AUTOMOTIVE PARTS</v>
          </cell>
          <cell r="G434" t="str">
            <v>west</v>
          </cell>
          <cell r="I434" t="str">
            <v>16.2KG</v>
          </cell>
          <cell r="J434" t="str">
            <v>₹361</v>
          </cell>
          <cell r="K434">
            <v>8</v>
          </cell>
          <cell r="L434" t="str">
            <v>26-Feb-2024</v>
          </cell>
          <cell r="M434" t="str">
            <v>DELAYED</v>
          </cell>
          <cell r="N434">
            <v>2</v>
          </cell>
          <cell r="O434" t="str">
            <v xml:space="preserve">yes </v>
          </cell>
        </row>
        <row r="435">
          <cell r="A435" t="str">
            <v>SHP-100259</v>
          </cell>
          <cell r="B435" t="str">
            <v>04-Feb-2024</v>
          </cell>
          <cell r="C435" t="str">
            <v>BENGALURU</v>
          </cell>
          <cell r="D435" t="str">
            <v>Blue Dart</v>
          </cell>
          <cell r="E435" t="str">
            <v xml:space="preserve"> ROAD </v>
          </cell>
          <cell r="F435" t="str">
            <v>Electronics</v>
          </cell>
          <cell r="G435" t="str">
            <v xml:space="preserve">east </v>
          </cell>
          <cell r="I435" t="str">
            <v>14.8KG</v>
          </cell>
          <cell r="J435" t="str">
            <v>371</v>
          </cell>
          <cell r="K435">
            <v>8</v>
          </cell>
          <cell r="L435" t="str">
            <v>12/02/2024</v>
          </cell>
          <cell r="M435" t="str">
            <v>delivered</v>
          </cell>
          <cell r="N435">
            <v>5</v>
          </cell>
          <cell r="O435" t="str">
            <v>No</v>
          </cell>
        </row>
        <row r="436">
          <cell r="A436" t="str">
            <v>SHP-101489</v>
          </cell>
          <cell r="B436" t="str">
            <v xml:space="preserve"> 20/06/2024 </v>
          </cell>
          <cell r="C436" t="str">
            <v xml:space="preserve"> DELHI </v>
          </cell>
          <cell r="D436" t="str">
            <v>Ecom Express</v>
          </cell>
          <cell r="E436" t="str">
            <v xml:space="preserve">surface </v>
          </cell>
          <cell r="F436" t="str">
            <v xml:space="preserve"> FURNITURE </v>
          </cell>
          <cell r="G436" t="str">
            <v xml:space="preserve"> WEST </v>
          </cell>
          <cell r="I436" t="str">
            <v xml:space="preserve">56.0 Kg </v>
          </cell>
          <cell r="J436" t="str">
            <v>₹1,422</v>
          </cell>
          <cell r="K436">
            <v>6</v>
          </cell>
          <cell r="L436" t="str">
            <v>03/07/2024</v>
          </cell>
          <cell r="M436" t="str">
            <v>DELAYED</v>
          </cell>
          <cell r="N436">
            <v>4</v>
          </cell>
          <cell r="O436" t="str">
            <v>N</v>
          </cell>
        </row>
        <row r="437">
          <cell r="A437" t="str">
            <v>SHP-100427</v>
          </cell>
          <cell r="B437" t="str">
            <v>26-Apr-2024</v>
          </cell>
          <cell r="C437" t="str">
            <v xml:space="preserve">chennai </v>
          </cell>
          <cell r="D437" t="str">
            <v>Ecom Express</v>
          </cell>
          <cell r="E437" t="str">
            <v xml:space="preserve"> ROAD </v>
          </cell>
          <cell r="F437" t="str">
            <v xml:space="preserve">automotive parts </v>
          </cell>
          <cell r="G437" t="str">
            <v xml:space="preserve">north </v>
          </cell>
          <cell r="I437" t="str">
            <v>17.9kg</v>
          </cell>
          <cell r="J437" t="str">
            <v>440</v>
          </cell>
          <cell r="K437">
            <v>8</v>
          </cell>
          <cell r="L437" t="str">
            <v>09/05/2024</v>
          </cell>
          <cell r="M437" t="str">
            <v xml:space="preserve"> Delayed</v>
          </cell>
          <cell r="N437">
            <v>2</v>
          </cell>
          <cell r="O437" t="str">
            <v>Y</v>
          </cell>
        </row>
        <row r="438">
          <cell r="A438" t="str">
            <v>SHP-100677</v>
          </cell>
          <cell r="B438" t="str">
            <v>23-Mar-2024</v>
          </cell>
          <cell r="C438" t="str">
            <v>Hyderabad</v>
          </cell>
          <cell r="D438" t="str">
            <v xml:space="preserve">BLUEDART </v>
          </cell>
          <cell r="E438" t="str">
            <v>Air</v>
          </cell>
          <cell r="F438" t="str">
            <v>Automotive Parts</v>
          </cell>
          <cell r="G438" t="str">
            <v>WEST</v>
          </cell>
          <cell r="I438" t="str">
            <v>6.4KG</v>
          </cell>
          <cell r="J438" t="str">
            <v>₹281</v>
          </cell>
          <cell r="K438">
            <v>2</v>
          </cell>
          <cell r="L438" t="str">
            <v xml:space="preserve"> 26/03/2024 </v>
          </cell>
          <cell r="M438" t="str">
            <v xml:space="preserve"> Delayed</v>
          </cell>
          <cell r="N438">
            <v>4</v>
          </cell>
          <cell r="O438" t="str">
            <v>Y</v>
          </cell>
        </row>
        <row r="439">
          <cell r="A439" t="str">
            <v>SHP-100239</v>
          </cell>
          <cell r="B439" t="str">
            <v>05-Mar-2024</v>
          </cell>
          <cell r="C439" t="str">
            <v>Bengaluru</v>
          </cell>
          <cell r="D439" t="str">
            <v>BlueDart</v>
          </cell>
          <cell r="E439" t="str">
            <v xml:space="preserve"> AIR </v>
          </cell>
          <cell r="F439" t="str">
            <v>pharma</v>
          </cell>
          <cell r="G439" t="str">
            <v>South</v>
          </cell>
          <cell r="I439" t="str">
            <v>2.0KG</v>
          </cell>
          <cell r="J439" t="str">
            <v xml:space="preserve">Rs 120 </v>
          </cell>
          <cell r="K439">
            <v>2</v>
          </cell>
          <cell r="L439" t="str">
            <v>06-Mar-2024</v>
          </cell>
          <cell r="M439" t="str">
            <v>DELIVERED</v>
          </cell>
          <cell r="N439">
            <v>5</v>
          </cell>
          <cell r="O439" t="str">
            <v>YES</v>
          </cell>
        </row>
        <row r="440">
          <cell r="A440" t="str">
            <v>SHP-100852</v>
          </cell>
          <cell r="B440" t="str">
            <v>2024-03-02</v>
          </cell>
          <cell r="C440" t="str">
            <v>kolkata</v>
          </cell>
          <cell r="D440" t="str">
            <v>ecom express</v>
          </cell>
          <cell r="E440" t="str">
            <v xml:space="preserve">surface </v>
          </cell>
          <cell r="F440" t="str">
            <v xml:space="preserve">grocery &amp; fmcg </v>
          </cell>
          <cell r="G440" t="str">
            <v>East</v>
          </cell>
          <cell r="I440" t="str">
            <v>3.9</v>
          </cell>
          <cell r="J440" t="str">
            <v xml:space="preserve">Rs 93 </v>
          </cell>
          <cell r="K440">
            <v>4</v>
          </cell>
          <cell r="L440" t="str">
            <v xml:space="preserve"> 08/03/2024 </v>
          </cell>
          <cell r="M440" t="str">
            <v>DELAYED</v>
          </cell>
          <cell r="N440">
            <v>5</v>
          </cell>
          <cell r="O440" t="str">
            <v xml:space="preserve">yes </v>
          </cell>
        </row>
        <row r="441">
          <cell r="A441" t="str">
            <v>SHP-100377</v>
          </cell>
          <cell r="B441" t="str">
            <v xml:space="preserve"> 13/02/2024 </v>
          </cell>
          <cell r="C441" t="str">
            <v xml:space="preserve"> HYDERABAD </v>
          </cell>
          <cell r="D441" t="str">
            <v>xpressbees</v>
          </cell>
          <cell r="E441" t="str">
            <v xml:space="preserve">air </v>
          </cell>
          <cell r="F441" t="str">
            <v xml:space="preserve">electronics </v>
          </cell>
          <cell r="G441" t="str">
            <v xml:space="preserve">north </v>
          </cell>
          <cell r="I441" t="str">
            <v>8.0</v>
          </cell>
          <cell r="J441" t="str">
            <v>537</v>
          </cell>
          <cell r="K441">
            <v>4</v>
          </cell>
          <cell r="L441" t="str">
            <v>2024-02-17</v>
          </cell>
          <cell r="M441" t="str">
            <v>DELIVERED</v>
          </cell>
          <cell r="N441">
            <v>2</v>
          </cell>
          <cell r="O441" t="str">
            <v>N</v>
          </cell>
        </row>
        <row r="442">
          <cell r="A442" t="str">
            <v>SHP-101317</v>
          </cell>
          <cell r="B442" t="str">
            <v>09/03/2024</v>
          </cell>
          <cell r="C442" t="str">
            <v>KOLKATA</v>
          </cell>
          <cell r="D442" t="str">
            <v>xpressbees</v>
          </cell>
          <cell r="E442" t="str">
            <v>AIR</v>
          </cell>
          <cell r="F442" t="str">
            <v>Pharma</v>
          </cell>
          <cell r="G442" t="str">
            <v>South</v>
          </cell>
          <cell r="I442" t="str">
            <v>3.7KG</v>
          </cell>
          <cell r="J442" t="str">
            <v xml:space="preserve">Rs 353 </v>
          </cell>
          <cell r="K442">
            <v>4</v>
          </cell>
          <cell r="L442" t="str">
            <v>13/03/2024</v>
          </cell>
          <cell r="M442" t="str">
            <v>DELIVERED</v>
          </cell>
          <cell r="N442">
            <v>3</v>
          </cell>
          <cell r="O442" t="str">
            <v xml:space="preserve">yes </v>
          </cell>
        </row>
        <row r="443">
          <cell r="A443" t="str">
            <v>SHP-101416</v>
          </cell>
          <cell r="B443" t="str">
            <v>26-Apr-2024</v>
          </cell>
          <cell r="C443" t="str">
            <v>kolkata</v>
          </cell>
          <cell r="D443" t="str">
            <v xml:space="preserve">Dtdc </v>
          </cell>
          <cell r="E443" t="str">
            <v>SURFACE</v>
          </cell>
          <cell r="F443" t="str">
            <v>electronics</v>
          </cell>
          <cell r="G443" t="str">
            <v xml:space="preserve">east </v>
          </cell>
          <cell r="I443" t="str">
            <v xml:space="preserve">8.9 Kg </v>
          </cell>
          <cell r="J443" t="str">
            <v>₹201</v>
          </cell>
          <cell r="K443">
            <v>4</v>
          </cell>
          <cell r="L443" t="str">
            <v>30-Apr-2024</v>
          </cell>
          <cell r="M443" t="str">
            <v>Delivered</v>
          </cell>
          <cell r="N443">
            <v>3</v>
          </cell>
          <cell r="O443" t="str">
            <v>no</v>
          </cell>
        </row>
        <row r="444">
          <cell r="A444" t="str">
            <v>SHP-100378</v>
          </cell>
          <cell r="B444" t="str">
            <v>21/02/2024</v>
          </cell>
          <cell r="C444" t="str">
            <v>Bengaluru</v>
          </cell>
          <cell r="D444" t="str">
            <v>XpressBees</v>
          </cell>
          <cell r="E444" t="str">
            <v>Surface</v>
          </cell>
          <cell r="F444" t="str">
            <v xml:space="preserve">  ELECTRONICS </v>
          </cell>
          <cell r="G444" t="str">
            <v xml:space="preserve"> NORTH </v>
          </cell>
          <cell r="I444" t="str">
            <v>3.6KG</v>
          </cell>
          <cell r="J444" t="str">
            <v>₹258</v>
          </cell>
          <cell r="K444">
            <v>6</v>
          </cell>
          <cell r="L444" t="str">
            <v xml:space="preserve"> 28/02/2024 </v>
          </cell>
          <cell r="M444" t="str">
            <v xml:space="preserve"> DAMAGED</v>
          </cell>
          <cell r="O444" t="str">
            <v>Yes</v>
          </cell>
        </row>
        <row r="445">
          <cell r="A445" t="str">
            <v>SHP-101455</v>
          </cell>
          <cell r="B445" t="str">
            <v>2024-01-19</v>
          </cell>
          <cell r="C445" t="str">
            <v xml:space="preserve">delhi </v>
          </cell>
          <cell r="D445" t="str">
            <v xml:space="preserve">Dtdc </v>
          </cell>
          <cell r="E445" t="str">
            <v>SURFACE</v>
          </cell>
          <cell r="F445" t="str">
            <v>ELECTRONICS</v>
          </cell>
          <cell r="G445" t="str">
            <v>SOUTH</v>
          </cell>
          <cell r="I445" t="str">
            <v>3.8kg</v>
          </cell>
          <cell r="J445" t="str">
            <v>₹247</v>
          </cell>
          <cell r="K445">
            <v>6</v>
          </cell>
          <cell r="L445" t="str">
            <v>2024-01-27</v>
          </cell>
          <cell r="M445" t="str">
            <v>Delayed</v>
          </cell>
          <cell r="N445">
            <v>5</v>
          </cell>
          <cell r="O445" t="str">
            <v>Yes</v>
          </cell>
        </row>
        <row r="446">
          <cell r="A446" t="str">
            <v>SHP-100609</v>
          </cell>
          <cell r="B446" t="str">
            <v>23/05/2024</v>
          </cell>
          <cell r="C446" t="str">
            <v>Bengaluru</v>
          </cell>
          <cell r="D446" t="str">
            <v xml:space="preserve">Dtdc </v>
          </cell>
          <cell r="E446" t="str">
            <v xml:space="preserve">surface </v>
          </cell>
          <cell r="F446" t="str">
            <v xml:space="preserve"> APPAREL </v>
          </cell>
          <cell r="G446" t="str">
            <v xml:space="preserve">north </v>
          </cell>
          <cell r="I446" t="str">
            <v>4.5KG</v>
          </cell>
          <cell r="J446" t="str">
            <v>237</v>
          </cell>
          <cell r="K446">
            <v>6</v>
          </cell>
          <cell r="L446" t="str">
            <v>30/05/2024</v>
          </cell>
          <cell r="M446" t="str">
            <v>returned</v>
          </cell>
          <cell r="O446" t="str">
            <v xml:space="preserve"> No</v>
          </cell>
        </row>
        <row r="447">
          <cell r="A447" t="str">
            <v>SHP-100873</v>
          </cell>
          <cell r="B447" t="str">
            <v>2024-06-12</v>
          </cell>
          <cell r="C447" t="str">
            <v>chennai</v>
          </cell>
          <cell r="D447" t="str">
            <v>Ecom  Express</v>
          </cell>
          <cell r="E447" t="str">
            <v>AIR</v>
          </cell>
          <cell r="F447" t="str">
            <v xml:space="preserve">electronics  </v>
          </cell>
          <cell r="G447" t="str">
            <v>South</v>
          </cell>
          <cell r="I447" t="str">
            <v xml:space="preserve">14.6 Kg </v>
          </cell>
          <cell r="J447" t="str">
            <v>₹685</v>
          </cell>
          <cell r="K447">
            <v>2</v>
          </cell>
          <cell r="L447" t="str">
            <v>2024-06-14</v>
          </cell>
          <cell r="M447" t="str">
            <v>Damaged</v>
          </cell>
          <cell r="O447" t="str">
            <v>no</v>
          </cell>
        </row>
        <row r="448">
          <cell r="A448" t="str">
            <v>SHP-100985</v>
          </cell>
          <cell r="B448" t="str">
            <v>17-Feb-2024</v>
          </cell>
          <cell r="C448" t="str">
            <v>HYDERABAD</v>
          </cell>
          <cell r="D448" t="str">
            <v>Ecom Express</v>
          </cell>
          <cell r="E448" t="str">
            <v>ROAD</v>
          </cell>
          <cell r="F448" t="str">
            <v>Automotive Parts</v>
          </cell>
          <cell r="G448" t="str">
            <v>west</v>
          </cell>
          <cell r="I448" t="str">
            <v>22.0KG</v>
          </cell>
          <cell r="J448" t="str">
            <v>₹312</v>
          </cell>
          <cell r="K448">
            <v>6</v>
          </cell>
          <cell r="L448" t="str">
            <v>24/02/2024</v>
          </cell>
          <cell r="M448" t="str">
            <v>DELAYED</v>
          </cell>
          <cell r="N448">
            <v>2</v>
          </cell>
          <cell r="O448" t="str">
            <v xml:space="preserve">yes </v>
          </cell>
        </row>
        <row r="449">
          <cell r="A449" t="str">
            <v>SHP-100395</v>
          </cell>
          <cell r="B449" t="str">
            <v>26-Jan-2024</v>
          </cell>
          <cell r="C449" t="str">
            <v>Hyderabad</v>
          </cell>
          <cell r="D449" t="str">
            <v>Delhivery</v>
          </cell>
          <cell r="E449" t="str">
            <v xml:space="preserve">road </v>
          </cell>
          <cell r="F449" t="str">
            <v xml:space="preserve"> AUTOMOTIVE PARTS </v>
          </cell>
          <cell r="G449" t="str">
            <v>WEST</v>
          </cell>
          <cell r="I449" t="str">
            <v>19.2</v>
          </cell>
          <cell r="J449" t="str">
            <v xml:space="preserve">Rs 325 </v>
          </cell>
          <cell r="K449">
            <v>6</v>
          </cell>
          <cell r="L449" t="str">
            <v xml:space="preserve"> 07/02/2024 </v>
          </cell>
          <cell r="M449" t="str">
            <v>DELAYED</v>
          </cell>
          <cell r="N449">
            <v>5</v>
          </cell>
          <cell r="O449" t="str">
            <v>No</v>
          </cell>
        </row>
        <row r="450">
          <cell r="A450" t="str">
            <v>SHP-101312</v>
          </cell>
          <cell r="B450" t="str">
            <v xml:space="preserve"> 27/04/2024 </v>
          </cell>
          <cell r="C450" t="str">
            <v>kolkata</v>
          </cell>
          <cell r="D450" t="str">
            <v>ecom express</v>
          </cell>
          <cell r="E450" t="str">
            <v>SURFACE</v>
          </cell>
          <cell r="F450" t="str">
            <v xml:space="preserve"> FURNITURE </v>
          </cell>
          <cell r="G450" t="str">
            <v xml:space="preserve"> SOUTH </v>
          </cell>
          <cell r="I450" t="str">
            <v>16.3</v>
          </cell>
          <cell r="J450" t="str">
            <v>545</v>
          </cell>
          <cell r="K450">
            <v>6</v>
          </cell>
          <cell r="L450" t="str">
            <v>04-May-2024</v>
          </cell>
          <cell r="M450" t="str">
            <v>Delayed</v>
          </cell>
          <cell r="N450">
            <v>3</v>
          </cell>
          <cell r="O450" t="str">
            <v xml:space="preserve">yes </v>
          </cell>
        </row>
        <row r="451">
          <cell r="A451" t="str">
            <v>SHP-101331</v>
          </cell>
          <cell r="B451" t="str">
            <v xml:space="preserve"> 13/02/2024 </v>
          </cell>
          <cell r="C451" t="str">
            <v>chennai</v>
          </cell>
          <cell r="D451" t="str">
            <v>BlueDart</v>
          </cell>
          <cell r="E451" t="str">
            <v>ROAD</v>
          </cell>
          <cell r="F451" t="str">
            <v>furniture</v>
          </cell>
          <cell r="G451" t="str">
            <v>west</v>
          </cell>
          <cell r="I451" t="str">
            <v xml:space="preserve">42.3 Kg </v>
          </cell>
          <cell r="J451" t="str">
            <v>₹743</v>
          </cell>
          <cell r="K451">
            <v>8</v>
          </cell>
          <cell r="L451" t="str">
            <v>21/02/2024</v>
          </cell>
          <cell r="M451" t="str">
            <v xml:space="preserve"> Delivered</v>
          </cell>
          <cell r="N451">
            <v>4</v>
          </cell>
          <cell r="O451" t="str">
            <v xml:space="preserve"> No</v>
          </cell>
        </row>
        <row r="452">
          <cell r="A452" t="str">
            <v>SHP-101239</v>
          </cell>
          <cell r="B452" t="str">
            <v xml:space="preserve"> 26/05/2024 </v>
          </cell>
          <cell r="C452" t="str">
            <v xml:space="preserve"> MUMBAI </v>
          </cell>
          <cell r="D452" t="str">
            <v xml:space="preserve"> XPRESSBEES</v>
          </cell>
          <cell r="E452" t="str">
            <v>Air</v>
          </cell>
          <cell r="F452" t="str">
            <v>APPAREL</v>
          </cell>
          <cell r="G452" t="str">
            <v>NORTH</v>
          </cell>
          <cell r="I452" t="str">
            <v>6.3kg</v>
          </cell>
          <cell r="J452" t="str">
            <v>₹486</v>
          </cell>
          <cell r="K452">
            <v>4</v>
          </cell>
          <cell r="L452" t="str">
            <v>30-May-2024</v>
          </cell>
          <cell r="M452" t="str">
            <v>delivered</v>
          </cell>
          <cell r="N452">
            <v>5</v>
          </cell>
          <cell r="O452" t="str">
            <v>Y</v>
          </cell>
        </row>
        <row r="453">
          <cell r="A453" t="str">
            <v>SHP-100020</v>
          </cell>
          <cell r="B453" t="str">
            <v>16/01/2024</v>
          </cell>
          <cell r="C453" t="str">
            <v xml:space="preserve">kolkata </v>
          </cell>
          <cell r="D453" t="str">
            <v>XpressBees</v>
          </cell>
          <cell r="E453" t="str">
            <v>AIR</v>
          </cell>
          <cell r="F453" t="str">
            <v>FURNITURE</v>
          </cell>
          <cell r="G453" t="str">
            <v xml:space="preserve"> NORTH </v>
          </cell>
          <cell r="I453" t="str">
            <v xml:space="preserve">58.0 Kg </v>
          </cell>
          <cell r="J453" t="str">
            <v>2,769</v>
          </cell>
          <cell r="K453">
            <v>4</v>
          </cell>
          <cell r="L453" t="str">
            <v>2024-01-20</v>
          </cell>
          <cell r="M453" t="str">
            <v xml:space="preserve"> Delivered</v>
          </cell>
          <cell r="N453">
            <v>4</v>
          </cell>
          <cell r="O453" t="str">
            <v>Yes</v>
          </cell>
        </row>
        <row r="454">
          <cell r="A454" t="str">
            <v>SHP-100656</v>
          </cell>
          <cell r="B454" t="str">
            <v>2024-06-12</v>
          </cell>
          <cell r="C454" t="str">
            <v>Bengaluru</v>
          </cell>
          <cell r="D454" t="str">
            <v>BlueDart</v>
          </cell>
          <cell r="E454" t="str">
            <v>road</v>
          </cell>
          <cell r="F454" t="str">
            <v xml:space="preserve"> PHARMA </v>
          </cell>
          <cell r="G454" t="str">
            <v>North</v>
          </cell>
          <cell r="I454" t="str">
            <v>3.3KG</v>
          </cell>
          <cell r="J454" t="str">
            <v>₹222</v>
          </cell>
          <cell r="K454">
            <v>8</v>
          </cell>
          <cell r="L454" t="str">
            <v xml:space="preserve"> 20/06/2024 </v>
          </cell>
          <cell r="M454" t="str">
            <v>DELIVERED</v>
          </cell>
          <cell r="N454">
            <v>4</v>
          </cell>
          <cell r="O454" t="str">
            <v>YES</v>
          </cell>
        </row>
        <row r="455">
          <cell r="A455" t="str">
            <v>SHP-100531</v>
          </cell>
          <cell r="B455" t="str">
            <v>15-Jan-2024</v>
          </cell>
          <cell r="C455" t="str">
            <v xml:space="preserve">mumbai </v>
          </cell>
          <cell r="D455" t="str">
            <v>Xpress Bees</v>
          </cell>
          <cell r="E455" t="str">
            <v>SURFACE</v>
          </cell>
          <cell r="F455" t="str">
            <v xml:space="preserve">apparel </v>
          </cell>
          <cell r="G455" t="str">
            <v xml:space="preserve">south </v>
          </cell>
          <cell r="I455" t="str">
            <v xml:space="preserve">1.7 Kg </v>
          </cell>
          <cell r="J455" t="str">
            <v>₹185</v>
          </cell>
          <cell r="K455">
            <v>6</v>
          </cell>
          <cell r="L455" t="str">
            <v xml:space="preserve"> 22/01/2024 </v>
          </cell>
          <cell r="M455" t="str">
            <v>Delayed</v>
          </cell>
          <cell r="N455">
            <v>4</v>
          </cell>
          <cell r="O455" t="str">
            <v>N</v>
          </cell>
        </row>
        <row r="456">
          <cell r="A456" t="str">
            <v>SHP-100571</v>
          </cell>
          <cell r="B456" t="str">
            <v>2024-01-03</v>
          </cell>
          <cell r="C456" t="str">
            <v>Mumbai</v>
          </cell>
          <cell r="D456" t="str">
            <v>bluedart</v>
          </cell>
          <cell r="E456" t="str">
            <v xml:space="preserve">road </v>
          </cell>
          <cell r="F456" t="str">
            <v>GROCERY &amp; FMCG</v>
          </cell>
          <cell r="G456" t="str">
            <v>North</v>
          </cell>
          <cell r="I456" t="str">
            <v>15.4</v>
          </cell>
          <cell r="J456" t="str">
            <v>364</v>
          </cell>
          <cell r="K456">
            <v>8</v>
          </cell>
          <cell r="L456" t="str">
            <v>11-Jan-2024</v>
          </cell>
          <cell r="M456" t="str">
            <v>delivered</v>
          </cell>
          <cell r="N456">
            <v>4</v>
          </cell>
          <cell r="O456" t="str">
            <v>no</v>
          </cell>
        </row>
        <row r="457">
          <cell r="A457" t="str">
            <v>SHP-100893</v>
          </cell>
          <cell r="B457" t="str">
            <v>05-Jan-2024</v>
          </cell>
          <cell r="C457" t="str">
            <v>Hyderabad</v>
          </cell>
          <cell r="D457" t="str">
            <v xml:space="preserve">BLUEDART </v>
          </cell>
          <cell r="E457" t="str">
            <v>ROAD</v>
          </cell>
          <cell r="F457" t="str">
            <v>PHARMA</v>
          </cell>
          <cell r="G457" t="str">
            <v>East</v>
          </cell>
          <cell r="I457" t="str">
            <v>2.2</v>
          </cell>
          <cell r="J457" t="str">
            <v xml:space="preserve">Rs 163 </v>
          </cell>
          <cell r="K457">
            <v>8</v>
          </cell>
          <cell r="L457" t="str">
            <v>22-Jan-2024</v>
          </cell>
          <cell r="M457" t="str">
            <v>Delayed</v>
          </cell>
          <cell r="N457">
            <v>3</v>
          </cell>
          <cell r="O457" t="str">
            <v xml:space="preserve"> No</v>
          </cell>
        </row>
        <row r="458">
          <cell r="A458" t="str">
            <v>SHP-101111</v>
          </cell>
          <cell r="B458" t="str">
            <v xml:space="preserve"> 15/03/2024 </v>
          </cell>
          <cell r="C458" t="str">
            <v>bengaluru</v>
          </cell>
          <cell r="D458" t="str">
            <v>ecom express</v>
          </cell>
          <cell r="E458" t="str">
            <v xml:space="preserve"> SURFACE </v>
          </cell>
          <cell r="F458" t="str">
            <v xml:space="preserve">  GROCERY &amp; FMCG </v>
          </cell>
          <cell r="G458" t="str">
            <v>west</v>
          </cell>
          <cell r="I458" t="str">
            <v>12.5kg</v>
          </cell>
          <cell r="J458" t="str">
            <v>417</v>
          </cell>
          <cell r="K458">
            <v>6</v>
          </cell>
          <cell r="L458" t="str">
            <v>20-Mar-2024</v>
          </cell>
          <cell r="M458" t="str">
            <v xml:space="preserve"> Delivered</v>
          </cell>
          <cell r="N458">
            <v>3</v>
          </cell>
          <cell r="O458" t="str">
            <v>no</v>
          </cell>
        </row>
        <row r="459">
          <cell r="A459" t="str">
            <v>SHP-101372</v>
          </cell>
          <cell r="B459" t="str">
            <v xml:space="preserve"> 24/04/2024 </v>
          </cell>
          <cell r="C459" t="str">
            <v>Bengaluru</v>
          </cell>
          <cell r="D459" t="str">
            <v xml:space="preserve"> Delhivery</v>
          </cell>
          <cell r="E459" t="str">
            <v xml:space="preserve"> AIR </v>
          </cell>
          <cell r="F459" t="str">
            <v xml:space="preserve"> ELECTRONICS </v>
          </cell>
          <cell r="G459" t="str">
            <v xml:space="preserve">south </v>
          </cell>
          <cell r="I459" t="str">
            <v>14.3kg</v>
          </cell>
          <cell r="J459" t="str">
            <v>₹671</v>
          </cell>
          <cell r="K459">
            <v>2</v>
          </cell>
          <cell r="L459" t="str">
            <v>27/04/2024</v>
          </cell>
          <cell r="M459" t="str">
            <v xml:space="preserve">RETURNED </v>
          </cell>
          <cell r="O459" t="str">
            <v>Y</v>
          </cell>
        </row>
        <row r="460">
          <cell r="A460" t="str">
            <v>SHP-100185</v>
          </cell>
          <cell r="B460" t="str">
            <v>2024-03-27</v>
          </cell>
          <cell r="C460" t="str">
            <v xml:space="preserve"> CHENNAI </v>
          </cell>
          <cell r="D460" t="str">
            <v>Xpress Bees</v>
          </cell>
          <cell r="E460" t="str">
            <v xml:space="preserve">surface </v>
          </cell>
          <cell r="F460" t="str">
            <v>Grocery &amp; FMCG</v>
          </cell>
          <cell r="G460" t="str">
            <v>West</v>
          </cell>
          <cell r="I460" t="str">
            <v xml:space="preserve">2.9 Kg </v>
          </cell>
          <cell r="J460" t="str">
            <v xml:space="preserve">Rs 190 </v>
          </cell>
          <cell r="K460">
            <v>6</v>
          </cell>
          <cell r="L460" t="str">
            <v>2024-04-01</v>
          </cell>
          <cell r="M460" t="str">
            <v>DELIVERED</v>
          </cell>
          <cell r="N460">
            <v>4</v>
          </cell>
          <cell r="O460" t="str">
            <v>no</v>
          </cell>
        </row>
        <row r="461">
          <cell r="A461" t="str">
            <v>SHP-101313</v>
          </cell>
          <cell r="B461" t="str">
            <v xml:space="preserve"> 05/03/2024 </v>
          </cell>
          <cell r="C461" t="str">
            <v>Kolkata</v>
          </cell>
          <cell r="D461" t="str">
            <v>Delhivery</v>
          </cell>
          <cell r="E461" t="str">
            <v>SURFACE</v>
          </cell>
          <cell r="F461" t="str">
            <v>ELECTRONICS</v>
          </cell>
          <cell r="G461" t="str">
            <v xml:space="preserve"> NORTH </v>
          </cell>
          <cell r="I461" t="str">
            <v>1.4KG</v>
          </cell>
          <cell r="J461" t="str">
            <v>201</v>
          </cell>
          <cell r="K461">
            <v>6</v>
          </cell>
          <cell r="L461" t="str">
            <v>12/03/2024</v>
          </cell>
          <cell r="M461" t="str">
            <v>Damaged</v>
          </cell>
          <cell r="O461" t="str">
            <v>no</v>
          </cell>
        </row>
        <row r="462">
          <cell r="A462" t="str">
            <v>SHP-100160</v>
          </cell>
          <cell r="B462" t="str">
            <v>06-Feb-2024</v>
          </cell>
          <cell r="C462" t="str">
            <v>Mumbai</v>
          </cell>
          <cell r="D462" t="str">
            <v xml:space="preserve">BLUEDART </v>
          </cell>
          <cell r="E462" t="str">
            <v>Road</v>
          </cell>
          <cell r="F462" t="str">
            <v>apparel</v>
          </cell>
          <cell r="G462" t="str">
            <v xml:space="preserve"> WEST </v>
          </cell>
          <cell r="I462" t="str">
            <v xml:space="preserve">4.1 Kg </v>
          </cell>
          <cell r="J462" t="str">
            <v>80</v>
          </cell>
          <cell r="K462">
            <v>6</v>
          </cell>
          <cell r="L462" t="str">
            <v xml:space="preserve"> 13/02/2024 </v>
          </cell>
          <cell r="M462" t="str">
            <v>DELAYED</v>
          </cell>
          <cell r="N462">
            <v>4</v>
          </cell>
          <cell r="O462" t="str">
            <v>no</v>
          </cell>
        </row>
        <row r="463">
          <cell r="A463" t="str">
            <v>SHP-100871</v>
          </cell>
          <cell r="B463" t="str">
            <v>2024-02-07</v>
          </cell>
          <cell r="C463" t="str">
            <v>HYDERABAD</v>
          </cell>
          <cell r="D463" t="str">
            <v xml:space="preserve"> DTDC</v>
          </cell>
          <cell r="E463" t="str">
            <v>ROAD</v>
          </cell>
          <cell r="F463" t="str">
            <v>Pharma</v>
          </cell>
          <cell r="G463" t="str">
            <v>east</v>
          </cell>
          <cell r="I463" t="str">
            <v xml:space="preserve">1.9 Kg </v>
          </cell>
          <cell r="J463" t="str">
            <v xml:space="preserve">Rs 192 </v>
          </cell>
          <cell r="K463">
            <v>8</v>
          </cell>
          <cell r="L463" t="str">
            <v>2024-02-14</v>
          </cell>
          <cell r="M463" t="str">
            <v xml:space="preserve"> Delivered</v>
          </cell>
          <cell r="N463">
            <v>5</v>
          </cell>
          <cell r="O463" t="str">
            <v>Yes</v>
          </cell>
        </row>
        <row r="464">
          <cell r="A464" t="str">
            <v>SHP-100997</v>
          </cell>
          <cell r="B464" t="str">
            <v xml:space="preserve"> 24/06/2024 </v>
          </cell>
          <cell r="C464" t="str">
            <v xml:space="preserve">kolkata </v>
          </cell>
          <cell r="D464" t="str">
            <v>BlueDart</v>
          </cell>
          <cell r="E464" t="str">
            <v>surface</v>
          </cell>
          <cell r="F464" t="str">
            <v>Automotive Parts</v>
          </cell>
          <cell r="G464" t="str">
            <v>EAST</v>
          </cell>
          <cell r="I464" t="str">
            <v>21.9KG</v>
          </cell>
          <cell r="J464" t="str">
            <v>₹462</v>
          </cell>
          <cell r="K464">
            <v>4</v>
          </cell>
          <cell r="L464" t="str">
            <v xml:space="preserve"> 30/06/2024 </v>
          </cell>
          <cell r="M464" t="str">
            <v>Delayed</v>
          </cell>
          <cell r="N464">
            <v>2</v>
          </cell>
          <cell r="O464" t="str">
            <v>No</v>
          </cell>
        </row>
        <row r="465">
          <cell r="A465" t="str">
            <v>SHP-101384</v>
          </cell>
          <cell r="B465" t="str">
            <v>12-Apr-2024</v>
          </cell>
          <cell r="C465" t="str">
            <v xml:space="preserve">chennai </v>
          </cell>
          <cell r="D465" t="str">
            <v>Delhivery</v>
          </cell>
          <cell r="E465" t="str">
            <v>ROAD</v>
          </cell>
          <cell r="F465" t="str">
            <v>grocery &amp; fmcg</v>
          </cell>
          <cell r="G465" t="str">
            <v xml:space="preserve"> WEST </v>
          </cell>
          <cell r="I465" t="str">
            <v>19.3</v>
          </cell>
          <cell r="J465" t="str">
            <v xml:space="preserve">Rs 434 </v>
          </cell>
          <cell r="K465">
            <v>8</v>
          </cell>
          <cell r="L465" t="str">
            <v>20-Apr-2024</v>
          </cell>
          <cell r="M465" t="str">
            <v xml:space="preserve"> Delivered</v>
          </cell>
          <cell r="N465">
            <v>5</v>
          </cell>
          <cell r="O465" t="str">
            <v>N</v>
          </cell>
        </row>
        <row r="466">
          <cell r="A466" t="str">
            <v>SHP-101536</v>
          </cell>
          <cell r="B466" t="str">
            <v xml:space="preserve"> 18/05/2024 </v>
          </cell>
          <cell r="C466" t="str">
            <v xml:space="preserve"> DELHI </v>
          </cell>
          <cell r="D466" t="str">
            <v>ECOM EXPRESS</v>
          </cell>
          <cell r="E466" t="str">
            <v>SURFACE</v>
          </cell>
          <cell r="F466" t="str">
            <v xml:space="preserve">  GROCERY &amp; FMCG </v>
          </cell>
          <cell r="G466" t="str">
            <v xml:space="preserve">east </v>
          </cell>
          <cell r="I466" t="str">
            <v xml:space="preserve">5.7 Kg </v>
          </cell>
          <cell r="J466" t="str">
            <v>₹335</v>
          </cell>
          <cell r="K466">
            <v>6</v>
          </cell>
          <cell r="L466" t="str">
            <v xml:space="preserve"> 24/05/2024 </v>
          </cell>
          <cell r="M466" t="str">
            <v>returned</v>
          </cell>
          <cell r="O466" t="str">
            <v xml:space="preserve">yes </v>
          </cell>
        </row>
        <row r="467">
          <cell r="A467" t="str">
            <v>SHP-101520</v>
          </cell>
          <cell r="B467" t="str">
            <v>2024-06-10</v>
          </cell>
          <cell r="C467" t="str">
            <v xml:space="preserve"> MUMBAI </v>
          </cell>
          <cell r="D467" t="str">
            <v>XpressBees</v>
          </cell>
          <cell r="E467" t="str">
            <v xml:space="preserve"> SURFACE </v>
          </cell>
          <cell r="F467" t="str">
            <v>electronics</v>
          </cell>
          <cell r="G467" t="str">
            <v>East</v>
          </cell>
          <cell r="I467" t="str">
            <v>3.0KG</v>
          </cell>
          <cell r="J467" t="str">
            <v xml:space="preserve">Rs 275 </v>
          </cell>
          <cell r="K467">
            <v>6</v>
          </cell>
          <cell r="L467" t="str">
            <v xml:space="preserve"> 17/06/2024 </v>
          </cell>
          <cell r="M467" t="str">
            <v>DELAYED</v>
          </cell>
          <cell r="N467">
            <v>1</v>
          </cell>
          <cell r="O467" t="str">
            <v>no</v>
          </cell>
        </row>
        <row r="468">
          <cell r="A468" t="str">
            <v>SHP-101505</v>
          </cell>
          <cell r="B468" t="str">
            <v xml:space="preserve"> 27/06/2024 </v>
          </cell>
          <cell r="C468" t="str">
            <v xml:space="preserve"> BENGALURU </v>
          </cell>
          <cell r="D468" t="str">
            <v>ECOM EXPRESS</v>
          </cell>
          <cell r="E468" t="str">
            <v xml:space="preserve"> AIR </v>
          </cell>
          <cell r="F468" t="str">
            <v xml:space="preserve">pharma  </v>
          </cell>
          <cell r="G468" t="str">
            <v>West</v>
          </cell>
          <cell r="I468" t="str">
            <v xml:space="preserve">3.7 Kg </v>
          </cell>
          <cell r="J468" t="str">
            <v>₹315</v>
          </cell>
          <cell r="K468">
            <v>4</v>
          </cell>
          <cell r="L468" t="str">
            <v xml:space="preserve"> 01/07/2024 </v>
          </cell>
          <cell r="M468" t="str">
            <v>DELIVERED</v>
          </cell>
          <cell r="N468">
            <v>4</v>
          </cell>
          <cell r="O468" t="str">
            <v>N</v>
          </cell>
        </row>
        <row r="469">
          <cell r="A469" t="str">
            <v>SHP-101005</v>
          </cell>
          <cell r="B469" t="str">
            <v>09/02/2024</v>
          </cell>
          <cell r="C469" t="str">
            <v>DELHI</v>
          </cell>
          <cell r="D469" t="str">
            <v>ecom express</v>
          </cell>
          <cell r="E469" t="str">
            <v xml:space="preserve">surface </v>
          </cell>
          <cell r="F469" t="str">
            <v>Furniture</v>
          </cell>
          <cell r="G469" t="str">
            <v>West</v>
          </cell>
          <cell r="I469" t="str">
            <v>36.0</v>
          </cell>
          <cell r="J469" t="str">
            <v>974</v>
          </cell>
          <cell r="K469">
            <v>6</v>
          </cell>
          <cell r="L469" t="str">
            <v xml:space="preserve"> 16/02/2024 </v>
          </cell>
          <cell r="M469" t="str">
            <v xml:space="preserve">delayed </v>
          </cell>
          <cell r="N469">
            <v>3</v>
          </cell>
          <cell r="O469" t="str">
            <v xml:space="preserve"> No</v>
          </cell>
        </row>
        <row r="470">
          <cell r="A470" t="str">
            <v>SHP-100127</v>
          </cell>
          <cell r="B470" t="str">
            <v>2024-03-07</v>
          </cell>
          <cell r="C470" t="str">
            <v>hyderabad</v>
          </cell>
          <cell r="D470" t="str">
            <v>Ecom Express</v>
          </cell>
          <cell r="E470" t="str">
            <v xml:space="preserve">surface </v>
          </cell>
          <cell r="F470" t="str">
            <v xml:space="preserve">  ELECTRONICS </v>
          </cell>
          <cell r="G470" t="str">
            <v>North</v>
          </cell>
          <cell r="I470" t="str">
            <v>5.8</v>
          </cell>
          <cell r="J470" t="str">
            <v>₹337</v>
          </cell>
          <cell r="K470">
            <v>6</v>
          </cell>
          <cell r="L470" t="str">
            <v>14/03/2024</v>
          </cell>
          <cell r="M470" t="str">
            <v>DELAYED</v>
          </cell>
          <cell r="N470">
            <v>4</v>
          </cell>
          <cell r="O470" t="str">
            <v xml:space="preserve"> No</v>
          </cell>
        </row>
        <row r="471">
          <cell r="A471" t="str">
            <v>SHP-101319</v>
          </cell>
          <cell r="B471" t="str">
            <v>02-May-2024</v>
          </cell>
          <cell r="C471" t="str">
            <v xml:space="preserve">hyderabad </v>
          </cell>
          <cell r="D471" t="str">
            <v>BlueDart</v>
          </cell>
          <cell r="E471" t="str">
            <v xml:space="preserve">air </v>
          </cell>
          <cell r="F471" t="str">
            <v>apparel</v>
          </cell>
          <cell r="G471" t="str">
            <v xml:space="preserve">east </v>
          </cell>
          <cell r="I471" t="str">
            <v xml:space="preserve">5.2 Kg </v>
          </cell>
          <cell r="J471" t="str">
            <v>386</v>
          </cell>
          <cell r="K471">
            <v>4</v>
          </cell>
          <cell r="L471" t="str">
            <v xml:space="preserve"> 07/05/2024 </v>
          </cell>
          <cell r="M471" t="str">
            <v xml:space="preserve"> Delayed</v>
          </cell>
          <cell r="N471">
            <v>4</v>
          </cell>
          <cell r="O471" t="str">
            <v>N</v>
          </cell>
        </row>
        <row r="472">
          <cell r="A472" t="str">
            <v>SHP-100943</v>
          </cell>
          <cell r="B472" t="str">
            <v xml:space="preserve"> 25/03/2024 </v>
          </cell>
          <cell r="C472" t="str">
            <v>Kolkata</v>
          </cell>
          <cell r="D472" t="str">
            <v>ECOM EXPRESS</v>
          </cell>
          <cell r="E472" t="str">
            <v>AIR</v>
          </cell>
          <cell r="F472" t="str">
            <v>apparel</v>
          </cell>
          <cell r="G472" t="str">
            <v xml:space="preserve"> WEST </v>
          </cell>
          <cell r="I472" t="str">
            <v>1.7KG</v>
          </cell>
          <cell r="J472" t="str">
            <v>253</v>
          </cell>
          <cell r="K472">
            <v>4</v>
          </cell>
          <cell r="L472" t="str">
            <v>03/04/2024</v>
          </cell>
          <cell r="M472" t="str">
            <v>Delayed</v>
          </cell>
          <cell r="N472">
            <v>2</v>
          </cell>
          <cell r="O472" t="str">
            <v xml:space="preserve">yes </v>
          </cell>
        </row>
        <row r="473">
          <cell r="A473" t="str">
            <v>SHP-101507</v>
          </cell>
          <cell r="B473" t="str">
            <v>07/02/2024</v>
          </cell>
          <cell r="C473" t="str">
            <v>DELHI</v>
          </cell>
          <cell r="D473" t="str">
            <v>xpressbees</v>
          </cell>
          <cell r="E473" t="str">
            <v>SURFACE</v>
          </cell>
          <cell r="F473" t="str">
            <v xml:space="preserve">automotive parts </v>
          </cell>
          <cell r="G473" t="str">
            <v>NORTH</v>
          </cell>
          <cell r="I473" t="str">
            <v>14.3kg</v>
          </cell>
          <cell r="J473" t="str">
            <v xml:space="preserve">Rs 341 </v>
          </cell>
          <cell r="K473">
            <v>4</v>
          </cell>
          <cell r="L473" t="str">
            <v>17/02/2024</v>
          </cell>
          <cell r="M473" t="str">
            <v>Delayed</v>
          </cell>
          <cell r="N473">
            <v>1</v>
          </cell>
          <cell r="O473" t="str">
            <v xml:space="preserve"> No</v>
          </cell>
        </row>
        <row r="474">
          <cell r="A474" t="str">
            <v>SHP-100341</v>
          </cell>
          <cell r="B474" t="str">
            <v>2024-06-04</v>
          </cell>
          <cell r="C474" t="str">
            <v xml:space="preserve"> KOLKATA </v>
          </cell>
          <cell r="D474" t="str">
            <v>xpressbees</v>
          </cell>
          <cell r="E474" t="str">
            <v xml:space="preserve">surface </v>
          </cell>
          <cell r="F474" t="str">
            <v xml:space="preserve"> GROCERY &amp; FMCG </v>
          </cell>
          <cell r="G474" t="str">
            <v xml:space="preserve">east </v>
          </cell>
          <cell r="I474" t="str">
            <v>5.3</v>
          </cell>
          <cell r="J474" t="str">
            <v>₹174</v>
          </cell>
          <cell r="K474">
            <v>4</v>
          </cell>
          <cell r="L474" t="str">
            <v>2024-06-07</v>
          </cell>
          <cell r="M474" t="str">
            <v>delivered</v>
          </cell>
          <cell r="N474">
            <v>4</v>
          </cell>
          <cell r="O474" t="str">
            <v>N</v>
          </cell>
        </row>
        <row r="475">
          <cell r="A475" t="str">
            <v>SHP-100014</v>
          </cell>
          <cell r="B475" t="str">
            <v>06-Jan-2024</v>
          </cell>
          <cell r="C475" t="str">
            <v xml:space="preserve">bengaluru </v>
          </cell>
          <cell r="D475" t="str">
            <v>xpressbees</v>
          </cell>
          <cell r="E475" t="str">
            <v xml:space="preserve"> ROAD </v>
          </cell>
          <cell r="F475" t="str">
            <v>grocery  &amp; fmcg</v>
          </cell>
          <cell r="G475" t="str">
            <v>east</v>
          </cell>
          <cell r="I475" t="str">
            <v>8.7KG</v>
          </cell>
          <cell r="J475" t="str">
            <v>287</v>
          </cell>
          <cell r="K475">
            <v>8</v>
          </cell>
          <cell r="L475" t="str">
            <v xml:space="preserve"> 20/01/2024 </v>
          </cell>
          <cell r="M475" t="str">
            <v>Delayed</v>
          </cell>
          <cell r="N475">
            <v>3</v>
          </cell>
          <cell r="O475" t="str">
            <v>N</v>
          </cell>
        </row>
        <row r="476">
          <cell r="A476" t="str">
            <v>SHP-100984</v>
          </cell>
          <cell r="B476" t="str">
            <v>2024-04-12</v>
          </cell>
          <cell r="C476" t="str">
            <v xml:space="preserve">hyderabad </v>
          </cell>
          <cell r="D476" t="str">
            <v>Xpress Bees</v>
          </cell>
          <cell r="E476" t="str">
            <v xml:space="preserve">air </v>
          </cell>
          <cell r="F476" t="str">
            <v>Electronics</v>
          </cell>
          <cell r="G476" t="str">
            <v>SOUTH</v>
          </cell>
          <cell r="I476" t="str">
            <v>6.6KG</v>
          </cell>
          <cell r="J476" t="str">
            <v>₹435</v>
          </cell>
          <cell r="K476">
            <v>4</v>
          </cell>
          <cell r="L476" t="str">
            <v xml:space="preserve"> 16/04/2024 </v>
          </cell>
          <cell r="M476" t="str">
            <v>Returned</v>
          </cell>
          <cell r="O476" t="str">
            <v>Yes</v>
          </cell>
        </row>
        <row r="477">
          <cell r="A477" t="str">
            <v>SHP-100194</v>
          </cell>
          <cell r="B477" t="str">
            <v>09/04/2024</v>
          </cell>
          <cell r="C477" t="str">
            <v>Hyderabad</v>
          </cell>
          <cell r="D477" t="str">
            <v>Ecom Express</v>
          </cell>
          <cell r="E477" t="str">
            <v>Road</v>
          </cell>
          <cell r="F477" t="str">
            <v xml:space="preserve">  FURNITURE </v>
          </cell>
          <cell r="G477" t="str">
            <v>SOUTH</v>
          </cell>
          <cell r="I477" t="str">
            <v>71.3kg</v>
          </cell>
          <cell r="J477" t="str">
            <v>1,176</v>
          </cell>
          <cell r="K477">
            <v>8</v>
          </cell>
          <cell r="L477" t="str">
            <v>18/04/2024</v>
          </cell>
          <cell r="M477" t="str">
            <v>Delayed</v>
          </cell>
          <cell r="N477">
            <v>3</v>
          </cell>
          <cell r="O477" t="str">
            <v>Y</v>
          </cell>
        </row>
        <row r="478">
          <cell r="I478" t="str">
            <v>2.1KG</v>
          </cell>
        </row>
        <row r="479">
          <cell r="A479" t="str">
            <v>SHP-100612</v>
          </cell>
          <cell r="B479" t="str">
            <v>2024-05-20</v>
          </cell>
          <cell r="C479" t="str">
            <v>DELHI</v>
          </cell>
          <cell r="D479" t="str">
            <v>Ecom  Express</v>
          </cell>
          <cell r="E479" t="str">
            <v xml:space="preserve"> ROAD </v>
          </cell>
          <cell r="F479" t="str">
            <v>automotive parts</v>
          </cell>
          <cell r="G479" t="str">
            <v>north</v>
          </cell>
          <cell r="I479" t="str">
            <v>10.1kg</v>
          </cell>
          <cell r="J479" t="str">
            <v xml:space="preserve">Rs 140 </v>
          </cell>
          <cell r="K479">
            <v>6</v>
          </cell>
          <cell r="L479" t="str">
            <v>26/05/2024</v>
          </cell>
          <cell r="M479" t="str">
            <v>delivered</v>
          </cell>
          <cell r="N479">
            <v>2</v>
          </cell>
          <cell r="O479" t="str">
            <v xml:space="preserve">yes </v>
          </cell>
        </row>
        <row r="480">
          <cell r="A480" t="str">
            <v>SHP-100994</v>
          </cell>
          <cell r="B480" t="str">
            <v xml:space="preserve"> 11/03/2024 </v>
          </cell>
          <cell r="C480" t="str">
            <v xml:space="preserve">delhi </v>
          </cell>
          <cell r="D480" t="str">
            <v>ECOM EXPRESS</v>
          </cell>
          <cell r="E480" t="str">
            <v>SURFACE</v>
          </cell>
          <cell r="F480" t="str">
            <v>Apparel</v>
          </cell>
          <cell r="G480" t="str">
            <v>EAST</v>
          </cell>
          <cell r="I480" t="str">
            <v>1.2kg</v>
          </cell>
          <cell r="J480" t="str">
            <v>222</v>
          </cell>
          <cell r="K480">
            <v>6</v>
          </cell>
          <cell r="L480" t="str">
            <v xml:space="preserve"> 16/03/2024 </v>
          </cell>
          <cell r="M480" t="str">
            <v xml:space="preserve"> Delivered</v>
          </cell>
          <cell r="N480">
            <v>4</v>
          </cell>
          <cell r="O480" t="str">
            <v xml:space="preserve">yes </v>
          </cell>
        </row>
        <row r="481">
          <cell r="A481" t="str">
            <v>SHP-100804</v>
          </cell>
          <cell r="B481" t="str">
            <v>2024-01-07</v>
          </cell>
          <cell r="C481" t="str">
            <v xml:space="preserve"> BENGALURU </v>
          </cell>
          <cell r="D481" t="str">
            <v>Blue Dart</v>
          </cell>
          <cell r="E481" t="str">
            <v xml:space="preserve"> SURFACE </v>
          </cell>
          <cell r="F481" t="str">
            <v>AUTOMOTIVE PARTS</v>
          </cell>
          <cell r="G481" t="str">
            <v>north</v>
          </cell>
          <cell r="I481" t="str">
            <v>29.3kg</v>
          </cell>
          <cell r="J481" t="str">
            <v xml:space="preserve">Rs 778 </v>
          </cell>
          <cell r="K481">
            <v>6</v>
          </cell>
          <cell r="L481" t="str">
            <v xml:space="preserve"> 21/01/2024 </v>
          </cell>
          <cell r="M481" t="str">
            <v>Delayed</v>
          </cell>
          <cell r="N481">
            <v>5</v>
          </cell>
          <cell r="O481" t="str">
            <v>no</v>
          </cell>
        </row>
        <row r="482">
          <cell r="A482" t="str">
            <v>SHP-100264</v>
          </cell>
          <cell r="B482" t="str">
            <v xml:space="preserve"> 01/01/2024 </v>
          </cell>
          <cell r="C482" t="str">
            <v xml:space="preserve"> HYDERABAD </v>
          </cell>
          <cell r="D482" t="str">
            <v>DTDC</v>
          </cell>
          <cell r="E482" t="str">
            <v>air</v>
          </cell>
          <cell r="F482" t="str">
            <v>Pharma</v>
          </cell>
          <cell r="G482" t="str">
            <v>south</v>
          </cell>
          <cell r="I482" t="str">
            <v>2.0</v>
          </cell>
          <cell r="J482" t="str">
            <v>₹226</v>
          </cell>
          <cell r="K482">
            <v>4</v>
          </cell>
          <cell r="L482" t="str">
            <v>14/01/2024</v>
          </cell>
          <cell r="M482" t="str">
            <v xml:space="preserve">delayed </v>
          </cell>
          <cell r="N482">
            <v>1</v>
          </cell>
          <cell r="O482" t="str">
            <v>Yes</v>
          </cell>
        </row>
        <row r="483">
          <cell r="A483" t="str">
            <v>SHP-100113</v>
          </cell>
          <cell r="B483" t="str">
            <v>08/06/2024</v>
          </cell>
          <cell r="C483" t="str">
            <v>HYDERABAD</v>
          </cell>
          <cell r="D483" t="str">
            <v>Xpress Bees</v>
          </cell>
          <cell r="E483" t="str">
            <v xml:space="preserve"> SURFACE </v>
          </cell>
          <cell r="F483" t="str">
            <v>grocery &amp; fmcg</v>
          </cell>
          <cell r="G483" t="str">
            <v xml:space="preserve"> WEST </v>
          </cell>
          <cell r="I483" t="str">
            <v>16.6</v>
          </cell>
          <cell r="J483" t="str">
            <v>374</v>
          </cell>
          <cell r="K483">
            <v>4</v>
          </cell>
          <cell r="L483" t="str">
            <v>2024-06-13</v>
          </cell>
          <cell r="M483" t="str">
            <v xml:space="preserve">delayed </v>
          </cell>
          <cell r="N483">
            <v>1</v>
          </cell>
          <cell r="O483" t="str">
            <v>no</v>
          </cell>
        </row>
        <row r="484">
          <cell r="A484" t="str">
            <v>SHP-100340</v>
          </cell>
          <cell r="B484" t="str">
            <v xml:space="preserve"> 11/06/2024 </v>
          </cell>
          <cell r="C484" t="str">
            <v>delhi</v>
          </cell>
          <cell r="D484" t="str">
            <v>ECOM EXPRESS</v>
          </cell>
          <cell r="E484" t="str">
            <v>SURFACE</v>
          </cell>
          <cell r="F484" t="str">
            <v>FURNITURE</v>
          </cell>
          <cell r="G484" t="str">
            <v xml:space="preserve"> NORTH </v>
          </cell>
          <cell r="I484" t="str">
            <v>57.5kg</v>
          </cell>
          <cell r="J484" t="str">
            <v>1,268</v>
          </cell>
          <cell r="K484">
            <v>4</v>
          </cell>
          <cell r="L484" t="str">
            <v>2024-06-15</v>
          </cell>
          <cell r="M484" t="str">
            <v>Delivered</v>
          </cell>
          <cell r="N484">
            <v>4</v>
          </cell>
          <cell r="O484" t="str">
            <v>N</v>
          </cell>
        </row>
        <row r="485">
          <cell r="A485" t="str">
            <v>SHP-100188</v>
          </cell>
          <cell r="B485" t="str">
            <v>25/06/2024</v>
          </cell>
          <cell r="C485" t="str">
            <v xml:space="preserve">bengaluru </v>
          </cell>
          <cell r="D485" t="str">
            <v>ecom express</v>
          </cell>
          <cell r="E485" t="str">
            <v>Surface</v>
          </cell>
          <cell r="F485" t="str">
            <v>ELECTRONICS</v>
          </cell>
          <cell r="G485" t="str">
            <v>South</v>
          </cell>
          <cell r="I485" t="str">
            <v>3.3kg</v>
          </cell>
          <cell r="J485" t="str">
            <v>113</v>
          </cell>
          <cell r="K485">
            <v>4</v>
          </cell>
          <cell r="L485" t="str">
            <v>2024-06-28</v>
          </cell>
          <cell r="M485" t="str">
            <v>delivered</v>
          </cell>
          <cell r="N485">
            <v>4</v>
          </cell>
          <cell r="O485" t="str">
            <v>No</v>
          </cell>
        </row>
        <row r="486">
          <cell r="A486" t="str">
            <v>SHP-100775</v>
          </cell>
          <cell r="B486" t="str">
            <v xml:space="preserve"> 28/06/2024 </v>
          </cell>
          <cell r="C486" t="str">
            <v>Chennai</v>
          </cell>
          <cell r="D486" t="str">
            <v xml:space="preserve"> Delhivery</v>
          </cell>
          <cell r="E486" t="str">
            <v>SURFACE</v>
          </cell>
          <cell r="F486" t="str">
            <v xml:space="preserve">  FURNITURE </v>
          </cell>
          <cell r="G486" t="str">
            <v>NORTH</v>
          </cell>
          <cell r="I486" t="str">
            <v>62.1KG</v>
          </cell>
          <cell r="J486" t="str">
            <v>1,544</v>
          </cell>
          <cell r="K486">
            <v>6</v>
          </cell>
          <cell r="M486" t="str">
            <v>In-Transit</v>
          </cell>
          <cell r="O486" t="str">
            <v xml:space="preserve">yes </v>
          </cell>
        </row>
        <row r="487">
          <cell r="A487" t="str">
            <v>SHP-100828</v>
          </cell>
          <cell r="B487" t="str">
            <v>08/06/2024</v>
          </cell>
          <cell r="C487" t="str">
            <v xml:space="preserve">bengaluru </v>
          </cell>
          <cell r="D487" t="str">
            <v>DELHIVERY</v>
          </cell>
          <cell r="E487" t="str">
            <v>AIR</v>
          </cell>
          <cell r="F487" t="str">
            <v>Grocery &amp; FMCG</v>
          </cell>
          <cell r="G487" t="str">
            <v>West</v>
          </cell>
          <cell r="I487" t="str">
            <v>9.6kg</v>
          </cell>
          <cell r="J487" t="str">
            <v>₹618</v>
          </cell>
          <cell r="K487">
            <v>4</v>
          </cell>
          <cell r="L487" t="str">
            <v>18-Jun-2024</v>
          </cell>
          <cell r="M487" t="str">
            <v>Delayed</v>
          </cell>
          <cell r="N487">
            <v>4</v>
          </cell>
          <cell r="O487" t="str">
            <v xml:space="preserve">yes </v>
          </cell>
        </row>
        <row r="488">
          <cell r="A488" t="str">
            <v>SHP-100731</v>
          </cell>
          <cell r="B488" t="str">
            <v>2024-03-08</v>
          </cell>
          <cell r="C488" t="str">
            <v>chennai</v>
          </cell>
          <cell r="D488" t="str">
            <v>dtdc</v>
          </cell>
          <cell r="E488" t="str">
            <v xml:space="preserve"> ROAD </v>
          </cell>
          <cell r="F488" t="str">
            <v>Pharma</v>
          </cell>
          <cell r="G488" t="str">
            <v>north</v>
          </cell>
          <cell r="I488" t="str">
            <v>2.2</v>
          </cell>
          <cell r="J488" t="str">
            <v>₹238</v>
          </cell>
          <cell r="K488">
            <v>8</v>
          </cell>
          <cell r="L488" t="str">
            <v>2024-03-17</v>
          </cell>
          <cell r="M488" t="str">
            <v>DELAYED</v>
          </cell>
          <cell r="N488">
            <v>3</v>
          </cell>
          <cell r="O488" t="str">
            <v>YES</v>
          </cell>
        </row>
        <row r="489">
          <cell r="A489" t="str">
            <v>SHP-100822</v>
          </cell>
          <cell r="B489" t="str">
            <v xml:space="preserve"> 21/04/2024 </v>
          </cell>
          <cell r="C489" t="str">
            <v xml:space="preserve"> HYDERABAD </v>
          </cell>
          <cell r="D489" t="str">
            <v>xpressbees</v>
          </cell>
          <cell r="E489" t="str">
            <v>surface</v>
          </cell>
          <cell r="F489" t="str">
            <v>Electronics</v>
          </cell>
          <cell r="G489" t="str">
            <v xml:space="preserve"> WEST </v>
          </cell>
          <cell r="I489" t="str">
            <v>8.5</v>
          </cell>
          <cell r="J489" t="str">
            <v>191</v>
          </cell>
          <cell r="K489">
            <v>4</v>
          </cell>
          <cell r="L489" t="str">
            <v>2024-04-25</v>
          </cell>
          <cell r="M489" t="str">
            <v>DELIVERED</v>
          </cell>
          <cell r="N489">
            <v>4</v>
          </cell>
          <cell r="O489" t="str">
            <v>No</v>
          </cell>
        </row>
        <row r="490">
          <cell r="A490" t="str">
            <v>SHP-101522</v>
          </cell>
          <cell r="B490" t="str">
            <v>04-Feb-2024</v>
          </cell>
          <cell r="C490" t="str">
            <v xml:space="preserve">delhi </v>
          </cell>
          <cell r="D490" t="str">
            <v xml:space="preserve">BLUEDART </v>
          </cell>
          <cell r="E490" t="str">
            <v>air</v>
          </cell>
          <cell r="F490" t="str">
            <v>PHARMA</v>
          </cell>
          <cell r="G490" t="str">
            <v>South</v>
          </cell>
          <cell r="I490" t="str">
            <v>3.5kg</v>
          </cell>
          <cell r="J490" t="str">
            <v>306</v>
          </cell>
          <cell r="K490">
            <v>4</v>
          </cell>
          <cell r="L490" t="str">
            <v>08-Feb-2024</v>
          </cell>
          <cell r="M490" t="str">
            <v>Delivered</v>
          </cell>
          <cell r="N490">
            <v>2</v>
          </cell>
          <cell r="O490" t="str">
            <v>Yes</v>
          </cell>
        </row>
        <row r="491">
          <cell r="A491" t="str">
            <v>SHP-100195</v>
          </cell>
          <cell r="B491" t="str">
            <v xml:space="preserve"> 24/05/2024 </v>
          </cell>
          <cell r="C491" t="str">
            <v>delhi</v>
          </cell>
          <cell r="D491" t="str">
            <v>Xpress Bees</v>
          </cell>
          <cell r="E491" t="str">
            <v>Air</v>
          </cell>
          <cell r="F491" t="str">
            <v>APPAREL</v>
          </cell>
          <cell r="G491" t="str">
            <v>south</v>
          </cell>
          <cell r="I491" t="str">
            <v xml:space="preserve">7.6 Kg </v>
          </cell>
          <cell r="J491" t="str">
            <v>₹523</v>
          </cell>
          <cell r="K491">
            <v>4</v>
          </cell>
          <cell r="L491" t="str">
            <v>2024-05-29</v>
          </cell>
          <cell r="M491" t="str">
            <v xml:space="preserve"> Delayed</v>
          </cell>
          <cell r="N491">
            <v>4</v>
          </cell>
          <cell r="O491" t="str">
            <v>YES</v>
          </cell>
        </row>
        <row r="492">
          <cell r="A492" t="str">
            <v>SHP-100738</v>
          </cell>
          <cell r="B492" t="str">
            <v>2024-05-23</v>
          </cell>
          <cell r="C492" t="str">
            <v>Hyderabad</v>
          </cell>
          <cell r="D492" t="str">
            <v>dtdc</v>
          </cell>
          <cell r="E492" t="str">
            <v>surface</v>
          </cell>
          <cell r="F492" t="str">
            <v>grocery &amp; fmcg</v>
          </cell>
          <cell r="G492" t="str">
            <v xml:space="preserve"> WEST </v>
          </cell>
          <cell r="I492" t="str">
            <v>3.9KG</v>
          </cell>
          <cell r="J492" t="str">
            <v xml:space="preserve">Rs 127 </v>
          </cell>
          <cell r="K492">
            <v>4</v>
          </cell>
          <cell r="L492" t="str">
            <v>26/05/2024</v>
          </cell>
          <cell r="M492" t="str">
            <v>DELIVERED</v>
          </cell>
          <cell r="N492">
            <v>4</v>
          </cell>
          <cell r="O492" t="str">
            <v xml:space="preserve">yes </v>
          </cell>
        </row>
        <row r="493">
          <cell r="A493" t="str">
            <v>SHP-100374</v>
          </cell>
          <cell r="B493" t="str">
            <v>26/01/2024</v>
          </cell>
          <cell r="C493" t="str">
            <v>Chennai</v>
          </cell>
          <cell r="D493" t="str">
            <v>bluedart</v>
          </cell>
          <cell r="E493" t="str">
            <v xml:space="preserve"> SURFACE </v>
          </cell>
          <cell r="F493" t="str">
            <v xml:space="preserve">  FURNITURE </v>
          </cell>
          <cell r="G493" t="str">
            <v>north</v>
          </cell>
          <cell r="I493" t="str">
            <v xml:space="preserve">15.9 Kg </v>
          </cell>
          <cell r="J493" t="str">
            <v>524</v>
          </cell>
          <cell r="K493">
            <v>6</v>
          </cell>
          <cell r="L493" t="str">
            <v>01/02/2024</v>
          </cell>
          <cell r="M493" t="str">
            <v>DELIVERED</v>
          </cell>
          <cell r="N493">
            <v>3</v>
          </cell>
          <cell r="O493" t="str">
            <v xml:space="preserve">yes </v>
          </cell>
        </row>
        <row r="494">
          <cell r="A494" t="str">
            <v>SHP-101152</v>
          </cell>
          <cell r="B494" t="str">
            <v>2024-03-02</v>
          </cell>
          <cell r="C494" t="str">
            <v xml:space="preserve"> BENGALURU </v>
          </cell>
          <cell r="D494" t="str">
            <v>XpressBees</v>
          </cell>
          <cell r="E494" t="str">
            <v>SURFACE</v>
          </cell>
          <cell r="F494" t="str">
            <v>apparel</v>
          </cell>
          <cell r="G494" t="str">
            <v>north</v>
          </cell>
          <cell r="I494" t="str">
            <v>6.5kg</v>
          </cell>
          <cell r="J494" t="str">
            <v>₹301</v>
          </cell>
          <cell r="K494">
            <v>6</v>
          </cell>
          <cell r="L494" t="str">
            <v xml:space="preserve"> 10/03/2024 </v>
          </cell>
          <cell r="M494" t="str">
            <v xml:space="preserve"> Delayed</v>
          </cell>
          <cell r="N494">
            <v>1</v>
          </cell>
          <cell r="O494" t="str">
            <v xml:space="preserve">yes </v>
          </cell>
        </row>
        <row r="495">
          <cell r="A495" t="str">
            <v>SHP-100544</v>
          </cell>
          <cell r="B495" t="str">
            <v>2024-04-10</v>
          </cell>
          <cell r="C495" t="str">
            <v>Delhi</v>
          </cell>
          <cell r="D495" t="str">
            <v>dtdc</v>
          </cell>
          <cell r="E495" t="str">
            <v xml:space="preserve">surface </v>
          </cell>
          <cell r="F495" t="str">
            <v>pharma</v>
          </cell>
          <cell r="G495" t="str">
            <v xml:space="preserve"> EAST </v>
          </cell>
          <cell r="I495" t="str">
            <v xml:space="preserve">3.4 Kg </v>
          </cell>
          <cell r="J495" t="str">
            <v>₹262</v>
          </cell>
          <cell r="K495">
            <v>6</v>
          </cell>
          <cell r="L495" t="str">
            <v>2024-04-18</v>
          </cell>
          <cell r="M495" t="str">
            <v xml:space="preserve">delayed </v>
          </cell>
          <cell r="N495">
            <v>4</v>
          </cell>
          <cell r="O495" t="str">
            <v>Yes</v>
          </cell>
        </row>
        <row r="496">
          <cell r="A496" t="str">
            <v>SHP-101495</v>
          </cell>
          <cell r="B496" t="str">
            <v>12/05/2024</v>
          </cell>
          <cell r="C496" t="str">
            <v>BENGALURU</v>
          </cell>
          <cell r="D496" t="str">
            <v>delhivery</v>
          </cell>
          <cell r="E496" t="str">
            <v xml:space="preserve">road </v>
          </cell>
          <cell r="F496" t="str">
            <v>Apparel</v>
          </cell>
          <cell r="G496" t="str">
            <v>South</v>
          </cell>
          <cell r="I496" t="str">
            <v>3.8</v>
          </cell>
          <cell r="J496" t="str">
            <v>₹80</v>
          </cell>
          <cell r="K496">
            <v>6</v>
          </cell>
          <cell r="L496" t="str">
            <v>18-May-2024</v>
          </cell>
          <cell r="M496" t="str">
            <v xml:space="preserve"> Delivered</v>
          </cell>
          <cell r="N496">
            <v>4</v>
          </cell>
          <cell r="O496" t="str">
            <v xml:space="preserve"> No</v>
          </cell>
        </row>
        <row r="497">
          <cell r="A497" t="str">
            <v>SHP-101048</v>
          </cell>
          <cell r="B497" t="str">
            <v>08/02/2024</v>
          </cell>
          <cell r="C497" t="str">
            <v>delhi</v>
          </cell>
          <cell r="D497" t="str">
            <v>Delhivery</v>
          </cell>
          <cell r="E497" t="str">
            <v xml:space="preserve">surface </v>
          </cell>
          <cell r="F497" t="str">
            <v xml:space="preserve">furniture </v>
          </cell>
          <cell r="G497" t="str">
            <v xml:space="preserve"> EAST </v>
          </cell>
          <cell r="I497" t="str">
            <v>20.6</v>
          </cell>
          <cell r="J497" t="str">
            <v xml:space="preserve">Rs 578 </v>
          </cell>
          <cell r="K497">
            <v>6</v>
          </cell>
          <cell r="L497" t="str">
            <v>13-Feb-2024</v>
          </cell>
          <cell r="M497" t="str">
            <v xml:space="preserve"> Delivered</v>
          </cell>
          <cell r="N497">
            <v>5</v>
          </cell>
          <cell r="O497" t="str">
            <v>YES</v>
          </cell>
        </row>
        <row r="498">
          <cell r="A498" t="str">
            <v>SHP-100344</v>
          </cell>
          <cell r="B498" t="str">
            <v xml:space="preserve"> 05/04/2024 </v>
          </cell>
          <cell r="C498" t="str">
            <v>MUMBAI</v>
          </cell>
          <cell r="D498" t="str">
            <v>Blue Dart</v>
          </cell>
          <cell r="E498" t="str">
            <v xml:space="preserve"> SURFACE </v>
          </cell>
          <cell r="F498" t="str">
            <v xml:space="preserve"> FURNITURE </v>
          </cell>
          <cell r="G498" t="str">
            <v xml:space="preserve">south </v>
          </cell>
          <cell r="I498" t="str">
            <v>19.2kg</v>
          </cell>
          <cell r="J498" t="str">
            <v>551</v>
          </cell>
          <cell r="K498">
            <v>6</v>
          </cell>
          <cell r="L498" t="str">
            <v xml:space="preserve"> 12/04/2024 </v>
          </cell>
          <cell r="M498" t="str">
            <v xml:space="preserve"> Delayed</v>
          </cell>
          <cell r="N498">
            <v>3</v>
          </cell>
          <cell r="O498" t="str">
            <v>Y</v>
          </cell>
        </row>
        <row r="499">
          <cell r="A499" t="str">
            <v>SHP-100108</v>
          </cell>
          <cell r="B499" t="str">
            <v>2024-06-21</v>
          </cell>
          <cell r="C499" t="str">
            <v>MUMBAI</v>
          </cell>
          <cell r="D499" t="str">
            <v>delhivery</v>
          </cell>
          <cell r="E499" t="str">
            <v>ROAD</v>
          </cell>
          <cell r="F499" t="str">
            <v xml:space="preserve"> GROCERY &amp; FMCG </v>
          </cell>
          <cell r="G499" t="str">
            <v xml:space="preserve"> SOUTH </v>
          </cell>
          <cell r="I499" t="str">
            <v>4.1</v>
          </cell>
          <cell r="J499" t="str">
            <v>255</v>
          </cell>
          <cell r="K499">
            <v>8</v>
          </cell>
          <cell r="L499" t="str">
            <v>2024-06-30</v>
          </cell>
          <cell r="M499" t="str">
            <v>Delayed</v>
          </cell>
          <cell r="N499">
            <v>4</v>
          </cell>
          <cell r="O499" t="str">
            <v>no</v>
          </cell>
        </row>
        <row r="500">
          <cell r="A500" t="str">
            <v>SHP-101391</v>
          </cell>
          <cell r="B500" t="str">
            <v>24-May-2024</v>
          </cell>
          <cell r="C500" t="str">
            <v>Bengaluru</v>
          </cell>
          <cell r="D500" t="str">
            <v>DELHIVERY</v>
          </cell>
          <cell r="E500" t="str">
            <v xml:space="preserve">road </v>
          </cell>
          <cell r="F500" t="str">
            <v xml:space="preserve"> FURNITURE </v>
          </cell>
          <cell r="G500" t="str">
            <v xml:space="preserve"> NORTH </v>
          </cell>
          <cell r="I500" t="str">
            <v>21.3KG</v>
          </cell>
          <cell r="J500" t="str">
            <v>428</v>
          </cell>
          <cell r="K500">
            <v>8</v>
          </cell>
          <cell r="L500" t="str">
            <v>31-May-2024</v>
          </cell>
          <cell r="M500" t="str">
            <v xml:space="preserve"> Delivered</v>
          </cell>
          <cell r="N500">
            <v>4</v>
          </cell>
          <cell r="O500" t="str">
            <v xml:space="preserve"> No</v>
          </cell>
        </row>
        <row r="501">
          <cell r="A501" t="str">
            <v>SHP-100247</v>
          </cell>
          <cell r="B501" t="str">
            <v>07-Jan-2024</v>
          </cell>
          <cell r="C501" t="str">
            <v>DELHI</v>
          </cell>
          <cell r="D501" t="str">
            <v>Delhivery</v>
          </cell>
          <cell r="E501" t="str">
            <v xml:space="preserve"> AIR </v>
          </cell>
          <cell r="F501" t="str">
            <v xml:space="preserve">apparel  </v>
          </cell>
          <cell r="G501" t="str">
            <v>west</v>
          </cell>
          <cell r="I501" t="str">
            <v xml:space="preserve">5.5 Kg </v>
          </cell>
          <cell r="J501" t="str">
            <v>₹405</v>
          </cell>
          <cell r="K501">
            <v>4</v>
          </cell>
          <cell r="L501" t="str">
            <v>11-Jan-2024</v>
          </cell>
          <cell r="M501" t="str">
            <v>Delivered</v>
          </cell>
          <cell r="N501">
            <v>4</v>
          </cell>
          <cell r="O501" t="str">
            <v>No</v>
          </cell>
        </row>
        <row r="502">
          <cell r="A502" t="str">
            <v>SHP-100398</v>
          </cell>
          <cell r="B502" t="str">
            <v>03-Mar-2024</v>
          </cell>
          <cell r="C502" t="str">
            <v>hyderabad</v>
          </cell>
          <cell r="D502" t="str">
            <v>ECOM EXPRESS</v>
          </cell>
          <cell r="E502" t="str">
            <v>Air</v>
          </cell>
          <cell r="F502" t="str">
            <v>AUTOMOTIVE PARTS</v>
          </cell>
          <cell r="G502" t="str">
            <v>west</v>
          </cell>
          <cell r="I502" t="str">
            <v xml:space="preserve">17.9 Kg </v>
          </cell>
          <cell r="J502" t="str">
            <v>826</v>
          </cell>
          <cell r="K502">
            <v>2</v>
          </cell>
          <cell r="L502" t="str">
            <v xml:space="preserve"> 08/03/2024 </v>
          </cell>
          <cell r="M502" t="str">
            <v>DELAYED</v>
          </cell>
          <cell r="N502">
            <v>1</v>
          </cell>
          <cell r="O502" t="str">
            <v>no</v>
          </cell>
        </row>
        <row r="503">
          <cell r="A503" t="str">
            <v>SHP-100306</v>
          </cell>
          <cell r="B503" t="str">
            <v xml:space="preserve"> 02/02/2024 </v>
          </cell>
          <cell r="C503" t="str">
            <v>Chennai</v>
          </cell>
          <cell r="D503" t="str">
            <v>dtdc</v>
          </cell>
          <cell r="E503" t="str">
            <v>AIR</v>
          </cell>
          <cell r="F503" t="str">
            <v xml:space="preserve">furniture </v>
          </cell>
          <cell r="G503" t="str">
            <v>East</v>
          </cell>
          <cell r="I503" t="str">
            <v xml:space="preserve">76.5 Kg </v>
          </cell>
          <cell r="J503" t="str">
            <v>3,570</v>
          </cell>
          <cell r="K503">
            <v>4</v>
          </cell>
          <cell r="L503" t="str">
            <v>07-Feb-2024</v>
          </cell>
          <cell r="M503" t="str">
            <v>DELAYED</v>
          </cell>
          <cell r="N503">
            <v>2</v>
          </cell>
          <cell r="O503" t="str">
            <v>Yes</v>
          </cell>
        </row>
        <row r="504">
          <cell r="A504" t="str">
            <v>SHP-100961</v>
          </cell>
          <cell r="B504" t="str">
            <v xml:space="preserve"> 11/05/2024 </v>
          </cell>
          <cell r="C504" t="str">
            <v>MUMBAI</v>
          </cell>
          <cell r="D504" t="str">
            <v>Ecom Express</v>
          </cell>
          <cell r="E504" t="str">
            <v>Air</v>
          </cell>
          <cell r="F504" t="str">
            <v>GROCERY &amp; FMCG</v>
          </cell>
          <cell r="G504" t="str">
            <v xml:space="preserve"> EAST </v>
          </cell>
          <cell r="I504" t="str">
            <v>10.2kg</v>
          </cell>
          <cell r="J504" t="str">
            <v>₹640</v>
          </cell>
          <cell r="K504">
            <v>4</v>
          </cell>
          <cell r="L504" t="str">
            <v>14/05/2024</v>
          </cell>
          <cell r="M504" t="str">
            <v>DELIVERED</v>
          </cell>
          <cell r="N504">
            <v>4</v>
          </cell>
          <cell r="O504" t="str">
            <v>Y</v>
          </cell>
        </row>
        <row r="505">
          <cell r="A505" t="str">
            <v>SHP-100485</v>
          </cell>
          <cell r="B505" t="str">
            <v>2024-03-15</v>
          </cell>
          <cell r="C505" t="str">
            <v xml:space="preserve"> CHENNAI </v>
          </cell>
          <cell r="D505" t="str">
            <v>ECOM EXPRESS</v>
          </cell>
          <cell r="E505" t="str">
            <v>road</v>
          </cell>
          <cell r="F505" t="str">
            <v xml:space="preserve"> PHARMA </v>
          </cell>
          <cell r="G505" t="str">
            <v xml:space="preserve"> SOUTH </v>
          </cell>
          <cell r="I505" t="str">
            <v>4.3</v>
          </cell>
          <cell r="J505" t="str">
            <v>₹118</v>
          </cell>
          <cell r="K505">
            <v>6</v>
          </cell>
          <cell r="L505" t="str">
            <v xml:space="preserve"> 20/03/2024 </v>
          </cell>
          <cell r="M505" t="str">
            <v xml:space="preserve"> Delivered</v>
          </cell>
          <cell r="N505">
            <v>5</v>
          </cell>
          <cell r="O505" t="str">
            <v xml:space="preserve">yes </v>
          </cell>
        </row>
        <row r="506">
          <cell r="A506" t="str">
            <v>SHP-101236</v>
          </cell>
          <cell r="B506" t="str">
            <v xml:space="preserve"> 07/02/2024 </v>
          </cell>
          <cell r="C506" t="str">
            <v>hyderabad</v>
          </cell>
          <cell r="D506" t="str">
            <v>ecom express</v>
          </cell>
          <cell r="E506" t="str">
            <v xml:space="preserve"> ROAD </v>
          </cell>
          <cell r="F506" t="str">
            <v xml:space="preserve"> PHARMA </v>
          </cell>
          <cell r="G506" t="str">
            <v xml:space="preserve"> NORTH </v>
          </cell>
          <cell r="I506" t="str">
            <v>3.8</v>
          </cell>
          <cell r="J506" t="str">
            <v xml:space="preserve">Rs 208 </v>
          </cell>
          <cell r="K506">
            <v>8</v>
          </cell>
          <cell r="L506" t="str">
            <v>2024-02-20</v>
          </cell>
          <cell r="M506" t="str">
            <v xml:space="preserve"> Delayed</v>
          </cell>
          <cell r="N506">
            <v>2</v>
          </cell>
          <cell r="O506" t="str">
            <v>Y</v>
          </cell>
        </row>
        <row r="507">
          <cell r="A507" t="str">
            <v>SHP-100104</v>
          </cell>
          <cell r="B507" t="str">
            <v>24-Mar-2024</v>
          </cell>
          <cell r="C507" t="str">
            <v>kolkata</v>
          </cell>
          <cell r="D507" t="str">
            <v xml:space="preserve">Dtdc </v>
          </cell>
          <cell r="E507" t="str">
            <v xml:space="preserve"> SURFACE </v>
          </cell>
          <cell r="F507" t="str">
            <v>GROCERY &amp; FMCG</v>
          </cell>
          <cell r="G507" t="str">
            <v>North</v>
          </cell>
          <cell r="I507" t="str">
            <v>3.1kg</v>
          </cell>
          <cell r="J507" t="str">
            <v>251</v>
          </cell>
          <cell r="K507">
            <v>6</v>
          </cell>
          <cell r="L507" t="str">
            <v>30-Mar-2024</v>
          </cell>
          <cell r="M507" t="str">
            <v>DELIVERED</v>
          </cell>
          <cell r="N507">
            <v>5</v>
          </cell>
          <cell r="O507" t="str">
            <v>N</v>
          </cell>
        </row>
        <row r="508">
          <cell r="A508" t="str">
            <v>SHP-101316</v>
          </cell>
          <cell r="B508" t="str">
            <v>2024-03-05</v>
          </cell>
          <cell r="C508" t="str">
            <v>Delhi</v>
          </cell>
          <cell r="D508" t="str">
            <v>dtdc</v>
          </cell>
          <cell r="E508" t="str">
            <v>Surface</v>
          </cell>
          <cell r="F508" t="str">
            <v xml:space="preserve"> GROCERY &amp; FMCG </v>
          </cell>
          <cell r="G508" t="str">
            <v xml:space="preserve">west </v>
          </cell>
          <cell r="I508" t="str">
            <v>10.5kg</v>
          </cell>
          <cell r="J508" t="str">
            <v xml:space="preserve">Rs 406 </v>
          </cell>
          <cell r="K508">
            <v>6</v>
          </cell>
          <cell r="L508" t="str">
            <v>10/03/2024</v>
          </cell>
          <cell r="M508" t="str">
            <v>DELIVERED</v>
          </cell>
          <cell r="N508">
            <v>4</v>
          </cell>
          <cell r="O508" t="str">
            <v xml:space="preserve"> No</v>
          </cell>
        </row>
        <row r="509">
          <cell r="A509" t="str">
            <v>SHP-100608</v>
          </cell>
          <cell r="B509" t="str">
            <v>10/01/2024</v>
          </cell>
          <cell r="C509" t="str">
            <v xml:space="preserve">bengaluru </v>
          </cell>
          <cell r="D509" t="str">
            <v xml:space="preserve"> Delhivery</v>
          </cell>
          <cell r="E509" t="str">
            <v xml:space="preserve">road </v>
          </cell>
          <cell r="F509" t="str">
            <v xml:space="preserve"> FURNITURE </v>
          </cell>
          <cell r="G509" t="str">
            <v>SOUTH</v>
          </cell>
          <cell r="I509" t="str">
            <v>59.7</v>
          </cell>
          <cell r="J509" t="str">
            <v xml:space="preserve">Rs 870 </v>
          </cell>
          <cell r="K509">
            <v>6</v>
          </cell>
          <cell r="L509" t="str">
            <v>2024-01-17</v>
          </cell>
          <cell r="M509" t="str">
            <v>Delayed</v>
          </cell>
          <cell r="N509">
            <v>3</v>
          </cell>
          <cell r="O509" t="str">
            <v>YES</v>
          </cell>
        </row>
        <row r="510">
          <cell r="A510" t="str">
            <v>SHP-100031</v>
          </cell>
          <cell r="B510" t="str">
            <v>2024-03-21</v>
          </cell>
          <cell r="C510" t="str">
            <v>Bengaluru</v>
          </cell>
          <cell r="D510" t="str">
            <v>BlueDart</v>
          </cell>
          <cell r="E510" t="str">
            <v>Surface</v>
          </cell>
          <cell r="F510" t="str">
            <v xml:space="preserve">grocery &amp; fmcg </v>
          </cell>
          <cell r="G510" t="str">
            <v>west</v>
          </cell>
          <cell r="I510" t="str">
            <v xml:space="preserve">17.3 Kg </v>
          </cell>
          <cell r="J510" t="str">
            <v>589</v>
          </cell>
          <cell r="K510">
            <v>6</v>
          </cell>
          <cell r="L510" t="str">
            <v>28/03/2024</v>
          </cell>
          <cell r="M510" t="str">
            <v>DELAYED</v>
          </cell>
          <cell r="N510">
            <v>4</v>
          </cell>
          <cell r="O510" t="str">
            <v>Y</v>
          </cell>
        </row>
        <row r="511">
          <cell r="A511" t="str">
            <v>SHP-100065</v>
          </cell>
          <cell r="B511" t="str">
            <v xml:space="preserve"> 02/05/2024 </v>
          </cell>
          <cell r="C511" t="str">
            <v>Chennai</v>
          </cell>
          <cell r="D511" t="str">
            <v xml:space="preserve">Dtdc </v>
          </cell>
          <cell r="E511" t="str">
            <v>air</v>
          </cell>
          <cell r="F511" t="str">
            <v xml:space="preserve">grocery &amp; fmcg </v>
          </cell>
          <cell r="G511" t="str">
            <v xml:space="preserve"> WEST </v>
          </cell>
          <cell r="I511" t="str">
            <v>11.9KG</v>
          </cell>
          <cell r="J511" t="str">
            <v xml:space="preserve">Rs 685 </v>
          </cell>
          <cell r="K511">
            <v>4</v>
          </cell>
          <cell r="L511" t="str">
            <v>2024-05-11</v>
          </cell>
          <cell r="M511" t="str">
            <v xml:space="preserve">delayed </v>
          </cell>
          <cell r="N511">
            <v>4</v>
          </cell>
          <cell r="O511" t="str">
            <v>N</v>
          </cell>
        </row>
        <row r="512">
          <cell r="A512" t="str">
            <v>SHP-101132</v>
          </cell>
          <cell r="B512" t="str">
            <v>14/06/2024</v>
          </cell>
          <cell r="C512" t="str">
            <v>MUMBAI</v>
          </cell>
          <cell r="D512" t="str">
            <v>dtdc</v>
          </cell>
          <cell r="E512" t="str">
            <v>SURFACE</v>
          </cell>
          <cell r="F512" t="str">
            <v>AUTOMOTIVE PARTS</v>
          </cell>
          <cell r="G512" t="str">
            <v xml:space="preserve"> EAST </v>
          </cell>
          <cell r="I512" t="str">
            <v>6.9</v>
          </cell>
          <cell r="J512" t="str">
            <v xml:space="preserve">Rs 281 </v>
          </cell>
          <cell r="K512">
            <v>6</v>
          </cell>
          <cell r="L512" t="str">
            <v>2024-06-23</v>
          </cell>
          <cell r="M512" t="str">
            <v xml:space="preserve">delayed </v>
          </cell>
          <cell r="N512">
            <v>4</v>
          </cell>
          <cell r="O512" t="str">
            <v xml:space="preserve">yes </v>
          </cell>
        </row>
        <row r="513">
          <cell r="A513" t="str">
            <v>SHP-101120</v>
          </cell>
          <cell r="B513" t="str">
            <v xml:space="preserve"> 07/04/2024 </v>
          </cell>
          <cell r="C513" t="str">
            <v>Mumbai</v>
          </cell>
          <cell r="D513" t="str">
            <v>Delhivery</v>
          </cell>
          <cell r="E513" t="str">
            <v xml:space="preserve">road </v>
          </cell>
          <cell r="F513" t="str">
            <v>apparel</v>
          </cell>
          <cell r="G513" t="str">
            <v>north</v>
          </cell>
          <cell r="I513" t="str">
            <v>2.2kg</v>
          </cell>
          <cell r="J513" t="str">
            <v xml:space="preserve">Rs 210 </v>
          </cell>
          <cell r="K513">
            <v>8</v>
          </cell>
          <cell r="L513" t="str">
            <v>2024-04-14</v>
          </cell>
          <cell r="M513" t="str">
            <v xml:space="preserve"> Delivered</v>
          </cell>
          <cell r="N513">
            <v>3</v>
          </cell>
          <cell r="O513" t="str">
            <v xml:space="preserve"> No</v>
          </cell>
        </row>
        <row r="514">
          <cell r="A514" t="str">
            <v>SHP-100056</v>
          </cell>
          <cell r="B514" t="str">
            <v>2024-04-27</v>
          </cell>
          <cell r="C514" t="str">
            <v xml:space="preserve">delhi </v>
          </cell>
          <cell r="D514" t="str">
            <v>xpressbees</v>
          </cell>
          <cell r="E514" t="str">
            <v>ROAD</v>
          </cell>
          <cell r="F514" t="str">
            <v>Automotive Parts</v>
          </cell>
          <cell r="G514" t="str">
            <v>north</v>
          </cell>
          <cell r="I514" t="str">
            <v xml:space="preserve">27.4 Kg </v>
          </cell>
          <cell r="J514" t="str">
            <v>395</v>
          </cell>
          <cell r="K514">
            <v>6</v>
          </cell>
          <cell r="L514" t="str">
            <v xml:space="preserve"> 04/05/2024 </v>
          </cell>
          <cell r="M514" t="str">
            <v xml:space="preserve"> Delayed</v>
          </cell>
          <cell r="N514">
            <v>1</v>
          </cell>
          <cell r="O514" t="str">
            <v>no</v>
          </cell>
        </row>
        <row r="515">
          <cell r="A515" t="str">
            <v>SHP-100012</v>
          </cell>
          <cell r="B515" t="str">
            <v xml:space="preserve"> 26/04/2024 </v>
          </cell>
          <cell r="C515" t="str">
            <v>kolkata</v>
          </cell>
          <cell r="D515" t="str">
            <v xml:space="preserve"> XPRESSBEES</v>
          </cell>
          <cell r="E515" t="str">
            <v>surface</v>
          </cell>
          <cell r="F515" t="str">
            <v>grocery &amp; fmcg</v>
          </cell>
          <cell r="G515" t="str">
            <v>south</v>
          </cell>
          <cell r="I515" t="str">
            <v xml:space="preserve">9.5 Kg </v>
          </cell>
          <cell r="J515" t="str">
            <v>329</v>
          </cell>
          <cell r="K515">
            <v>6</v>
          </cell>
          <cell r="L515" t="str">
            <v>2024-05-05</v>
          </cell>
          <cell r="M515" t="str">
            <v>DELAYED</v>
          </cell>
          <cell r="N515">
            <v>3</v>
          </cell>
          <cell r="O515" t="str">
            <v>N</v>
          </cell>
        </row>
        <row r="516">
          <cell r="A516" t="str">
            <v>SHP-101229</v>
          </cell>
          <cell r="B516" t="str">
            <v>2024-03-03</v>
          </cell>
          <cell r="C516" t="str">
            <v>Hyderabad</v>
          </cell>
          <cell r="D516" t="str">
            <v>ECOM EXPRESS</v>
          </cell>
          <cell r="E516" t="str">
            <v>SURFACE</v>
          </cell>
          <cell r="F516" t="str">
            <v xml:space="preserve">apparel </v>
          </cell>
          <cell r="G516" t="str">
            <v xml:space="preserve"> WEST </v>
          </cell>
          <cell r="I516" t="str">
            <v>4.2</v>
          </cell>
          <cell r="J516" t="str">
            <v xml:space="preserve">Rs 106 </v>
          </cell>
          <cell r="K516">
            <v>4</v>
          </cell>
          <cell r="L516" t="str">
            <v>2024-03-07</v>
          </cell>
          <cell r="M516" t="str">
            <v xml:space="preserve">RETURNED </v>
          </cell>
          <cell r="O516" t="str">
            <v xml:space="preserve">yes </v>
          </cell>
        </row>
        <row r="517">
          <cell r="A517" t="str">
            <v>SHP-100735</v>
          </cell>
          <cell r="B517" t="str">
            <v>27/06/2024</v>
          </cell>
          <cell r="C517" t="str">
            <v>CHENNAI</v>
          </cell>
          <cell r="D517" t="str">
            <v>dtdc</v>
          </cell>
          <cell r="E517" t="str">
            <v>SURFACE</v>
          </cell>
          <cell r="F517" t="str">
            <v xml:space="preserve">pharma </v>
          </cell>
          <cell r="G517" t="str">
            <v xml:space="preserve">west </v>
          </cell>
          <cell r="I517" t="str">
            <v>5.0KG</v>
          </cell>
          <cell r="J517" t="str">
            <v>₹320</v>
          </cell>
          <cell r="K517">
            <v>6</v>
          </cell>
          <cell r="M517" t="str">
            <v>In transit</v>
          </cell>
          <cell r="O517" t="str">
            <v xml:space="preserve">yes </v>
          </cell>
        </row>
        <row r="518">
          <cell r="A518" t="str">
            <v>SHP-101556</v>
          </cell>
          <cell r="B518" t="str">
            <v>03/03/2024</v>
          </cell>
          <cell r="C518" t="str">
            <v xml:space="preserve"> CHENNAI </v>
          </cell>
          <cell r="D518" t="str">
            <v>DTDC</v>
          </cell>
          <cell r="E518" t="str">
            <v xml:space="preserve">air </v>
          </cell>
          <cell r="F518" t="str">
            <v>Apparel</v>
          </cell>
          <cell r="G518" t="str">
            <v xml:space="preserve"> EAST </v>
          </cell>
          <cell r="I518" t="str">
            <v>0.9kg</v>
          </cell>
          <cell r="J518" t="str">
            <v>₹249</v>
          </cell>
          <cell r="K518">
            <v>4</v>
          </cell>
          <cell r="L518" t="str">
            <v>07/03/2024</v>
          </cell>
          <cell r="M518" t="str">
            <v>DELIVERED</v>
          </cell>
          <cell r="N518">
            <v>5</v>
          </cell>
          <cell r="O518" t="str">
            <v xml:space="preserve"> No</v>
          </cell>
        </row>
        <row r="519">
          <cell r="A519" t="str">
            <v>SHP-100967</v>
          </cell>
          <cell r="B519" t="str">
            <v>2024-06-20</v>
          </cell>
          <cell r="C519" t="str">
            <v>Chennai</v>
          </cell>
          <cell r="D519" t="str">
            <v>ECOM EXPRESS</v>
          </cell>
          <cell r="E519" t="str">
            <v>surface</v>
          </cell>
          <cell r="F519" t="str">
            <v>grocery &amp; fmcg</v>
          </cell>
          <cell r="G519" t="str">
            <v xml:space="preserve"> NORTH </v>
          </cell>
          <cell r="I519" t="str">
            <v>3.2kg</v>
          </cell>
          <cell r="J519" t="str">
            <v xml:space="preserve">Rs 206 </v>
          </cell>
          <cell r="K519">
            <v>6</v>
          </cell>
          <cell r="L519" t="str">
            <v xml:space="preserve"> 27/06/2024 </v>
          </cell>
          <cell r="M519" t="str">
            <v>Delayed</v>
          </cell>
          <cell r="N519">
            <v>2</v>
          </cell>
          <cell r="O519" t="str">
            <v>N</v>
          </cell>
        </row>
        <row r="520">
          <cell r="A520" t="str">
            <v>SHP-100312</v>
          </cell>
          <cell r="B520" t="str">
            <v xml:space="preserve"> 02/02/2024 </v>
          </cell>
          <cell r="C520" t="str">
            <v>Delhi</v>
          </cell>
          <cell r="D520" t="str">
            <v>XpressBees</v>
          </cell>
          <cell r="E520" t="str">
            <v xml:space="preserve">road </v>
          </cell>
          <cell r="F520" t="str">
            <v xml:space="preserve">furniture </v>
          </cell>
          <cell r="G520" t="str">
            <v>WEST</v>
          </cell>
          <cell r="I520" t="str">
            <v>55.9kg</v>
          </cell>
          <cell r="J520" t="str">
            <v>₹928</v>
          </cell>
          <cell r="K520">
            <v>8</v>
          </cell>
          <cell r="L520" t="str">
            <v>09/02/2024</v>
          </cell>
          <cell r="M520" t="str">
            <v>delivered</v>
          </cell>
          <cell r="N520">
            <v>3</v>
          </cell>
          <cell r="O520" t="str">
            <v>N</v>
          </cell>
        </row>
        <row r="521">
          <cell r="A521" t="str">
            <v>SHP-101508</v>
          </cell>
          <cell r="B521" t="str">
            <v xml:space="preserve"> 10/06/2024 </v>
          </cell>
          <cell r="C521" t="str">
            <v>chennai</v>
          </cell>
          <cell r="D521" t="str">
            <v>bluedart</v>
          </cell>
          <cell r="E521" t="str">
            <v>Road</v>
          </cell>
          <cell r="F521" t="str">
            <v>electronics</v>
          </cell>
          <cell r="G521" t="str">
            <v>SOUTH</v>
          </cell>
          <cell r="I521" t="str">
            <v>2.3kg</v>
          </cell>
          <cell r="J521" t="str">
            <v>80</v>
          </cell>
          <cell r="K521">
            <v>6</v>
          </cell>
          <cell r="L521" t="str">
            <v xml:space="preserve"> 16/06/2024 </v>
          </cell>
          <cell r="M521" t="str">
            <v>DELIVERED</v>
          </cell>
          <cell r="N521">
            <v>4</v>
          </cell>
          <cell r="O521" t="str">
            <v xml:space="preserve">yes </v>
          </cell>
        </row>
        <row r="522">
          <cell r="A522" t="str">
            <v>SHP-101024</v>
          </cell>
          <cell r="B522" t="str">
            <v>22-May-2024</v>
          </cell>
          <cell r="C522" t="str">
            <v xml:space="preserve"> CHENNAI </v>
          </cell>
          <cell r="D522" t="str">
            <v xml:space="preserve">BLUEDART </v>
          </cell>
          <cell r="E522" t="str">
            <v>ROAD</v>
          </cell>
          <cell r="F522" t="str">
            <v>FURNITURE</v>
          </cell>
          <cell r="G522" t="str">
            <v>EAST</v>
          </cell>
          <cell r="I522" t="str">
            <v>22.4kg</v>
          </cell>
          <cell r="J522" t="str">
            <v>478</v>
          </cell>
          <cell r="K522">
            <v>8</v>
          </cell>
          <cell r="L522" t="str">
            <v>31/05/2024</v>
          </cell>
          <cell r="M522" t="str">
            <v>Delayed</v>
          </cell>
          <cell r="N522">
            <v>2</v>
          </cell>
          <cell r="O522" t="str">
            <v xml:space="preserve">yes </v>
          </cell>
        </row>
        <row r="523">
          <cell r="A523" t="str">
            <v>SHP-101199</v>
          </cell>
          <cell r="B523" t="str">
            <v xml:space="preserve"> 28/06/2024 </v>
          </cell>
          <cell r="C523" t="str">
            <v>DELHI</v>
          </cell>
          <cell r="D523" t="str">
            <v>dtdc</v>
          </cell>
          <cell r="E523" t="str">
            <v>air</v>
          </cell>
          <cell r="F523" t="str">
            <v>Electronics</v>
          </cell>
          <cell r="G523" t="str">
            <v xml:space="preserve"> NORTH </v>
          </cell>
          <cell r="I523" t="str">
            <v xml:space="preserve">2.4 Kg </v>
          </cell>
          <cell r="J523" t="str">
            <v>₹80</v>
          </cell>
          <cell r="K523">
            <v>2</v>
          </cell>
          <cell r="L523" t="str">
            <v>30/06/2024</v>
          </cell>
          <cell r="M523" t="str">
            <v>delivered</v>
          </cell>
          <cell r="N523">
            <v>5</v>
          </cell>
          <cell r="O523" t="str">
            <v>no</v>
          </cell>
        </row>
        <row r="524">
          <cell r="A524" t="str">
            <v>SHP-100769</v>
          </cell>
          <cell r="B524" t="str">
            <v>13/03/2024</v>
          </cell>
          <cell r="C524" t="str">
            <v>CHENNAI</v>
          </cell>
          <cell r="D524" t="str">
            <v>DTDC</v>
          </cell>
          <cell r="E524" t="str">
            <v xml:space="preserve"> SURFACE </v>
          </cell>
          <cell r="F524" t="str">
            <v>pharma</v>
          </cell>
          <cell r="G524" t="str">
            <v>EAST</v>
          </cell>
          <cell r="I524" t="str">
            <v>3.2kg</v>
          </cell>
          <cell r="J524" t="str">
            <v>₹219</v>
          </cell>
          <cell r="K524">
            <v>6</v>
          </cell>
          <cell r="L524" t="str">
            <v>18/03/2024</v>
          </cell>
          <cell r="M524" t="str">
            <v>Delivered</v>
          </cell>
          <cell r="N524">
            <v>3</v>
          </cell>
          <cell r="O524" t="str">
            <v>YES</v>
          </cell>
        </row>
        <row r="525">
          <cell r="A525" t="str">
            <v>SHP-101526</v>
          </cell>
          <cell r="B525" t="str">
            <v>2024-01-19</v>
          </cell>
          <cell r="C525" t="str">
            <v>Hyderabad</v>
          </cell>
          <cell r="D525" t="str">
            <v xml:space="preserve">Dtdc </v>
          </cell>
          <cell r="E525" t="str">
            <v>SURFACE</v>
          </cell>
          <cell r="F525" t="str">
            <v>Automotive Parts</v>
          </cell>
          <cell r="G525" t="str">
            <v>WEST</v>
          </cell>
          <cell r="I525" t="str">
            <v>19.2</v>
          </cell>
          <cell r="J525" t="str">
            <v>466</v>
          </cell>
          <cell r="K525">
            <v>4</v>
          </cell>
          <cell r="L525" t="str">
            <v>27-Jan-2024</v>
          </cell>
          <cell r="M525" t="str">
            <v>Delayed</v>
          </cell>
          <cell r="N525">
            <v>4</v>
          </cell>
          <cell r="O525" t="str">
            <v>no</v>
          </cell>
        </row>
        <row r="526">
          <cell r="A526" t="str">
            <v>SHP-101449</v>
          </cell>
          <cell r="B526" t="str">
            <v xml:space="preserve"> 10/05/2024 </v>
          </cell>
          <cell r="C526" t="str">
            <v xml:space="preserve">delhi </v>
          </cell>
          <cell r="D526" t="str">
            <v>delhivery</v>
          </cell>
          <cell r="E526" t="str">
            <v>SURFACE</v>
          </cell>
          <cell r="F526" t="str">
            <v>Pharma</v>
          </cell>
          <cell r="G526" t="str">
            <v xml:space="preserve"> WEST </v>
          </cell>
          <cell r="I526" t="str">
            <v>1.1KG</v>
          </cell>
          <cell r="J526" t="str">
            <v>₹169</v>
          </cell>
          <cell r="K526">
            <v>6</v>
          </cell>
          <cell r="L526" t="str">
            <v xml:space="preserve"> 17/05/2024 </v>
          </cell>
          <cell r="M526" t="str">
            <v xml:space="preserve">delayed </v>
          </cell>
          <cell r="N526">
            <v>2</v>
          </cell>
          <cell r="O526" t="str">
            <v>Y</v>
          </cell>
        </row>
        <row r="527">
          <cell r="A527" t="str">
            <v>SHP-101143</v>
          </cell>
          <cell r="B527" t="str">
            <v>22-Mar-2024</v>
          </cell>
          <cell r="C527" t="str">
            <v>bengaluru</v>
          </cell>
          <cell r="D527" t="str">
            <v>Blue Dart</v>
          </cell>
          <cell r="E527" t="str">
            <v>SURFACE</v>
          </cell>
          <cell r="F527" t="str">
            <v xml:space="preserve">  GROCERY &amp; FMCG </v>
          </cell>
          <cell r="G527" t="str">
            <v xml:space="preserve">east </v>
          </cell>
          <cell r="I527" t="str">
            <v>12.2</v>
          </cell>
          <cell r="J527" t="str">
            <v>461</v>
          </cell>
          <cell r="K527">
            <v>6</v>
          </cell>
          <cell r="L527" t="str">
            <v>29-Mar-2024</v>
          </cell>
          <cell r="M527" t="str">
            <v>DELAYED</v>
          </cell>
          <cell r="N527">
            <v>2</v>
          </cell>
          <cell r="O527" t="str">
            <v>YES</v>
          </cell>
        </row>
        <row r="528">
          <cell r="A528" t="str">
            <v>SHP-100346</v>
          </cell>
          <cell r="B528" t="str">
            <v>07/04/2024</v>
          </cell>
          <cell r="C528" t="str">
            <v>HYDERABAD</v>
          </cell>
          <cell r="D528" t="str">
            <v>XpressBees</v>
          </cell>
          <cell r="E528" t="str">
            <v xml:space="preserve">road </v>
          </cell>
          <cell r="F528" t="str">
            <v>AUTOMOTIVE PARTS</v>
          </cell>
          <cell r="G528" t="str">
            <v>west</v>
          </cell>
          <cell r="I528" t="str">
            <v>32.9kg</v>
          </cell>
          <cell r="J528" t="str">
            <v xml:space="preserve">Rs 454 </v>
          </cell>
          <cell r="K528">
            <v>6</v>
          </cell>
          <cell r="L528" t="str">
            <v xml:space="preserve"> 12/04/2024 </v>
          </cell>
          <cell r="M528" t="str">
            <v>DELIVERED</v>
          </cell>
          <cell r="N528">
            <v>5</v>
          </cell>
          <cell r="O528" t="str">
            <v>No</v>
          </cell>
        </row>
        <row r="529">
          <cell r="A529" t="str">
            <v>SHP-100130</v>
          </cell>
          <cell r="B529" t="str">
            <v>2024-03-04</v>
          </cell>
          <cell r="C529" t="str">
            <v>Delhi</v>
          </cell>
          <cell r="D529" t="str">
            <v>Xpress Bees</v>
          </cell>
          <cell r="E529" t="str">
            <v>air</v>
          </cell>
          <cell r="F529" t="str">
            <v>Apparel</v>
          </cell>
          <cell r="G529" t="str">
            <v>North</v>
          </cell>
          <cell r="I529" t="str">
            <v>4.3</v>
          </cell>
          <cell r="J529" t="str">
            <v xml:space="preserve">Rs 166 </v>
          </cell>
          <cell r="K529">
            <v>2</v>
          </cell>
          <cell r="L529" t="str">
            <v xml:space="preserve"> 07/03/2024 </v>
          </cell>
          <cell r="M529" t="str">
            <v xml:space="preserve">delayed </v>
          </cell>
          <cell r="N529">
            <v>3</v>
          </cell>
          <cell r="O529" t="str">
            <v>No</v>
          </cell>
        </row>
        <row r="530">
          <cell r="A530" t="str">
            <v>SHP-100727</v>
          </cell>
          <cell r="B530" t="str">
            <v xml:space="preserve"> 16/03/2024 </v>
          </cell>
          <cell r="C530" t="str">
            <v>KOLKATA</v>
          </cell>
          <cell r="D530" t="str">
            <v>dtdc</v>
          </cell>
          <cell r="E530" t="str">
            <v>Road</v>
          </cell>
          <cell r="F530" t="str">
            <v xml:space="preserve"> APPAREL </v>
          </cell>
          <cell r="G530" t="str">
            <v xml:space="preserve">west </v>
          </cell>
          <cell r="I530" t="str">
            <v xml:space="preserve">6.4 Kg </v>
          </cell>
          <cell r="J530" t="str">
            <v xml:space="preserve">Rs 279 </v>
          </cell>
          <cell r="K530">
            <v>8</v>
          </cell>
          <cell r="L530" t="str">
            <v xml:space="preserve"> 25/03/2024 </v>
          </cell>
          <cell r="M530" t="str">
            <v>Returned</v>
          </cell>
          <cell r="O530" t="str">
            <v>N</v>
          </cell>
        </row>
        <row r="531">
          <cell r="A531" t="str">
            <v>SHP-100786</v>
          </cell>
          <cell r="B531" t="str">
            <v>23-Jan-2024</v>
          </cell>
          <cell r="C531" t="str">
            <v>Hyderabad</v>
          </cell>
          <cell r="D531" t="str">
            <v>XpressBees</v>
          </cell>
          <cell r="E531" t="str">
            <v xml:space="preserve"> ROAD </v>
          </cell>
          <cell r="F531" t="str">
            <v xml:space="preserve"> ELECTRONICS </v>
          </cell>
          <cell r="G531" t="str">
            <v xml:space="preserve">south </v>
          </cell>
          <cell r="I531" t="str">
            <v xml:space="preserve">14.0 Kg </v>
          </cell>
          <cell r="J531" t="str">
            <v>₹355</v>
          </cell>
          <cell r="K531">
            <v>8</v>
          </cell>
          <cell r="L531" t="str">
            <v>01-Feb-2024</v>
          </cell>
          <cell r="M531" t="str">
            <v>Delayed</v>
          </cell>
          <cell r="N531">
            <v>5</v>
          </cell>
          <cell r="O531" t="str">
            <v>No</v>
          </cell>
        </row>
        <row r="532">
          <cell r="A532" t="str">
            <v>SHP-101478</v>
          </cell>
          <cell r="B532" t="str">
            <v xml:space="preserve"> 14/05/2024 </v>
          </cell>
          <cell r="C532" t="str">
            <v>Hyderabad</v>
          </cell>
          <cell r="D532" t="str">
            <v>Blue Dart</v>
          </cell>
          <cell r="E532" t="str">
            <v>surface</v>
          </cell>
          <cell r="F532" t="str">
            <v xml:space="preserve">furniture </v>
          </cell>
          <cell r="G532" t="str">
            <v>South</v>
          </cell>
          <cell r="I532" t="str">
            <v>57.3</v>
          </cell>
          <cell r="J532" t="str">
            <v xml:space="preserve">Rs 1391 </v>
          </cell>
          <cell r="K532">
            <v>6</v>
          </cell>
          <cell r="L532" t="str">
            <v>2024-05-19</v>
          </cell>
          <cell r="M532" t="str">
            <v xml:space="preserve"> Delivered</v>
          </cell>
          <cell r="N532">
            <v>1</v>
          </cell>
          <cell r="O532" t="str">
            <v>Y</v>
          </cell>
        </row>
        <row r="533">
          <cell r="A533" t="str">
            <v>SHP-101381</v>
          </cell>
          <cell r="B533" t="str">
            <v xml:space="preserve"> 11/06/2024 </v>
          </cell>
          <cell r="C533" t="str">
            <v>MUMBAI</v>
          </cell>
          <cell r="D533" t="str">
            <v>XpressBees</v>
          </cell>
          <cell r="E533" t="str">
            <v>Road</v>
          </cell>
          <cell r="F533" t="str">
            <v>apparel</v>
          </cell>
          <cell r="G533" t="str">
            <v>WEST</v>
          </cell>
          <cell r="I533" t="str">
            <v xml:space="preserve">4.9 Kg </v>
          </cell>
          <cell r="J533" t="str">
            <v xml:space="preserve">Rs 80 </v>
          </cell>
          <cell r="K533">
            <v>6</v>
          </cell>
          <cell r="L533" t="str">
            <v>26-Jun-2024</v>
          </cell>
          <cell r="M533" t="str">
            <v xml:space="preserve"> Delayed</v>
          </cell>
          <cell r="N533">
            <v>1</v>
          </cell>
          <cell r="O533" t="str">
            <v xml:space="preserve"> No</v>
          </cell>
        </row>
        <row r="534">
          <cell r="A534" t="str">
            <v>SHP-101534</v>
          </cell>
          <cell r="B534" t="str">
            <v xml:space="preserve"> 15/05/2024 </v>
          </cell>
          <cell r="C534" t="str">
            <v>mumbai</v>
          </cell>
          <cell r="D534" t="str">
            <v>delhivery</v>
          </cell>
          <cell r="E534" t="str">
            <v xml:space="preserve"> AIR </v>
          </cell>
          <cell r="F534" t="str">
            <v>FURNITURE</v>
          </cell>
          <cell r="G534" t="str">
            <v xml:space="preserve">west </v>
          </cell>
          <cell r="I534" t="str">
            <v>44.7kg</v>
          </cell>
          <cell r="J534" t="str">
            <v>2,035</v>
          </cell>
          <cell r="K534">
            <v>2</v>
          </cell>
          <cell r="L534" t="str">
            <v>18-May-2024</v>
          </cell>
          <cell r="M534" t="str">
            <v xml:space="preserve"> DAMAGED</v>
          </cell>
          <cell r="O534" t="str">
            <v>Y</v>
          </cell>
        </row>
        <row r="535">
          <cell r="A535" t="str">
            <v>SHP-100651</v>
          </cell>
          <cell r="B535" t="str">
            <v>24/03/2024</v>
          </cell>
          <cell r="C535" t="str">
            <v>HYDERABAD</v>
          </cell>
          <cell r="D535" t="str">
            <v xml:space="preserve"> XPRESSBEES</v>
          </cell>
          <cell r="E535" t="str">
            <v>SURFACE</v>
          </cell>
          <cell r="F535" t="str">
            <v xml:space="preserve">apparel </v>
          </cell>
          <cell r="G535" t="str">
            <v xml:space="preserve">west </v>
          </cell>
          <cell r="I535" t="str">
            <v>7.6kg</v>
          </cell>
          <cell r="J535" t="str">
            <v xml:space="preserve">Rs 139 </v>
          </cell>
          <cell r="K535">
            <v>4</v>
          </cell>
          <cell r="L535" t="str">
            <v xml:space="preserve"> 27/03/2024 </v>
          </cell>
          <cell r="M535" t="str">
            <v>DELIVERED</v>
          </cell>
          <cell r="N535">
            <v>3</v>
          </cell>
          <cell r="O535" t="str">
            <v>No</v>
          </cell>
        </row>
        <row r="536">
          <cell r="A536" t="str">
            <v>SHP-101064</v>
          </cell>
          <cell r="B536" t="str">
            <v>22-Mar-2024</v>
          </cell>
          <cell r="C536" t="str">
            <v xml:space="preserve"> BENGALURU </v>
          </cell>
          <cell r="D536" t="str">
            <v>Delhivery</v>
          </cell>
          <cell r="E536" t="str">
            <v xml:space="preserve">surface </v>
          </cell>
          <cell r="F536" t="str">
            <v>furniture</v>
          </cell>
          <cell r="G536" t="str">
            <v xml:space="preserve"> WEST </v>
          </cell>
          <cell r="I536" t="str">
            <v>30.4</v>
          </cell>
          <cell r="J536" t="str">
            <v>₹792</v>
          </cell>
          <cell r="K536">
            <v>6</v>
          </cell>
          <cell r="L536" t="str">
            <v xml:space="preserve"> 29/03/2024 </v>
          </cell>
          <cell r="M536" t="str">
            <v>Delayed</v>
          </cell>
          <cell r="N536">
            <v>5</v>
          </cell>
          <cell r="O536" t="str">
            <v xml:space="preserve">yes </v>
          </cell>
        </row>
        <row r="537">
          <cell r="A537" t="str">
            <v>SHP-100538</v>
          </cell>
          <cell r="B537" t="str">
            <v>25-May-2024</v>
          </cell>
          <cell r="C537" t="str">
            <v>BENGALURU</v>
          </cell>
          <cell r="D537" t="str">
            <v>Blue Dart</v>
          </cell>
          <cell r="E537" t="str">
            <v>air</v>
          </cell>
          <cell r="F537" t="str">
            <v xml:space="preserve"> FURNITURE </v>
          </cell>
          <cell r="G537" t="str">
            <v xml:space="preserve">west </v>
          </cell>
          <cell r="I537" t="str">
            <v xml:space="preserve">25.3 Kg </v>
          </cell>
          <cell r="J537" t="str">
            <v>1,333</v>
          </cell>
          <cell r="K537">
            <v>4</v>
          </cell>
          <cell r="L537" t="str">
            <v>30/05/2024</v>
          </cell>
          <cell r="M537" t="str">
            <v xml:space="preserve">delayed </v>
          </cell>
          <cell r="N537">
            <v>3</v>
          </cell>
          <cell r="O537" t="str">
            <v>Yes</v>
          </cell>
        </row>
        <row r="538">
          <cell r="A538" t="str">
            <v>SHP-100207</v>
          </cell>
          <cell r="B538" t="str">
            <v xml:space="preserve"> 06/01/2024 </v>
          </cell>
          <cell r="C538" t="str">
            <v xml:space="preserve">hyderabad </v>
          </cell>
          <cell r="D538" t="str">
            <v xml:space="preserve"> DTDC</v>
          </cell>
          <cell r="E538" t="str">
            <v>road</v>
          </cell>
          <cell r="F538" t="str">
            <v>Pharma</v>
          </cell>
          <cell r="G538" t="str">
            <v xml:space="preserve">west </v>
          </cell>
          <cell r="I538" t="str">
            <v>1.3KG</v>
          </cell>
          <cell r="J538" t="str">
            <v>80</v>
          </cell>
          <cell r="K538">
            <v>6</v>
          </cell>
          <cell r="L538" t="str">
            <v>20/01/2024</v>
          </cell>
          <cell r="M538" t="str">
            <v>Delayed</v>
          </cell>
          <cell r="N538">
            <v>2</v>
          </cell>
          <cell r="O538" t="str">
            <v>YES</v>
          </cell>
        </row>
        <row r="539">
          <cell r="A539" t="str">
            <v>SHP-101015</v>
          </cell>
          <cell r="B539" t="str">
            <v>15-Jun-2024</v>
          </cell>
          <cell r="C539" t="str">
            <v>BENGALURU</v>
          </cell>
          <cell r="D539" t="str">
            <v>Blue Dart</v>
          </cell>
          <cell r="E539" t="str">
            <v>air</v>
          </cell>
          <cell r="F539" t="str">
            <v>Apparel</v>
          </cell>
          <cell r="G539" t="str">
            <v xml:space="preserve">north </v>
          </cell>
          <cell r="I539" t="str">
            <v>3.5</v>
          </cell>
          <cell r="J539" t="str">
            <v xml:space="preserve">Rs 341 </v>
          </cell>
          <cell r="K539">
            <v>4</v>
          </cell>
          <cell r="L539" t="str">
            <v>20-Jun-2024</v>
          </cell>
          <cell r="M539" t="str">
            <v>Delayed</v>
          </cell>
          <cell r="N539">
            <v>1</v>
          </cell>
          <cell r="O539" t="str">
            <v>N</v>
          </cell>
        </row>
        <row r="540">
          <cell r="A540" t="str">
            <v>SHP-101440</v>
          </cell>
          <cell r="B540" t="str">
            <v xml:space="preserve"> 09/01/2024 </v>
          </cell>
          <cell r="C540" t="str">
            <v>CHENNAI</v>
          </cell>
          <cell r="D540" t="str">
            <v xml:space="preserve">BLUEDART </v>
          </cell>
          <cell r="E540" t="str">
            <v>AIR</v>
          </cell>
          <cell r="F540" t="str">
            <v xml:space="preserve">apparel </v>
          </cell>
          <cell r="G540" t="str">
            <v xml:space="preserve">south </v>
          </cell>
          <cell r="I540" t="str">
            <v xml:space="preserve">0.6 Kg </v>
          </cell>
          <cell r="J540" t="str">
            <v>80</v>
          </cell>
          <cell r="K540">
            <v>2</v>
          </cell>
          <cell r="L540" t="str">
            <v>10/01/2024</v>
          </cell>
          <cell r="M540" t="str">
            <v>delivered</v>
          </cell>
          <cell r="N540">
            <v>5</v>
          </cell>
          <cell r="O540" t="str">
            <v>no</v>
          </cell>
        </row>
        <row r="541">
          <cell r="A541" t="str">
            <v>SHP-101170</v>
          </cell>
          <cell r="B541" t="str">
            <v xml:space="preserve"> 02/01/2024 </v>
          </cell>
          <cell r="C541" t="str">
            <v xml:space="preserve"> HYDERABAD </v>
          </cell>
          <cell r="D541" t="str">
            <v>ecom express</v>
          </cell>
          <cell r="E541" t="str">
            <v xml:space="preserve"> SURFACE </v>
          </cell>
          <cell r="F541" t="str">
            <v>Electronics</v>
          </cell>
          <cell r="G541" t="str">
            <v xml:space="preserve"> NORTH </v>
          </cell>
          <cell r="I541" t="str">
            <v>10.8kg</v>
          </cell>
          <cell r="J541" t="str">
            <v>374</v>
          </cell>
          <cell r="K541">
            <v>6</v>
          </cell>
          <cell r="L541" t="str">
            <v xml:space="preserve"> 07/01/2024 </v>
          </cell>
          <cell r="M541" t="str">
            <v>returned</v>
          </cell>
          <cell r="O541" t="str">
            <v>N</v>
          </cell>
        </row>
        <row r="542">
          <cell r="A542" t="str">
            <v>SHP-100887</v>
          </cell>
          <cell r="B542" t="str">
            <v xml:space="preserve"> 26/05/2024 </v>
          </cell>
          <cell r="C542" t="str">
            <v>Kolkata</v>
          </cell>
          <cell r="D542" t="str">
            <v xml:space="preserve"> XPRESSBEES</v>
          </cell>
          <cell r="E542" t="str">
            <v>road</v>
          </cell>
          <cell r="F542" t="str">
            <v>automotive parts</v>
          </cell>
          <cell r="G542" t="str">
            <v>North</v>
          </cell>
          <cell r="I542" t="str">
            <v xml:space="preserve">6.5 Kg </v>
          </cell>
          <cell r="J542" t="str">
            <v>244</v>
          </cell>
          <cell r="K542">
            <v>8</v>
          </cell>
          <cell r="L542" t="str">
            <v xml:space="preserve"> 02/06/2024 </v>
          </cell>
          <cell r="M542" t="str">
            <v>Delivered</v>
          </cell>
          <cell r="N542">
            <v>4</v>
          </cell>
          <cell r="O542" t="str">
            <v xml:space="preserve">yes </v>
          </cell>
        </row>
        <row r="543">
          <cell r="A543" t="str">
            <v>SHP-100134</v>
          </cell>
          <cell r="B543" t="str">
            <v xml:space="preserve"> 28/01/2024 </v>
          </cell>
          <cell r="C543" t="str">
            <v>Delhi</v>
          </cell>
          <cell r="D543" t="str">
            <v>ECOM EXPRESS</v>
          </cell>
          <cell r="E543" t="str">
            <v>road</v>
          </cell>
          <cell r="F543" t="str">
            <v>GROCERY &amp; FMCG</v>
          </cell>
          <cell r="G543" t="str">
            <v>EAST</v>
          </cell>
          <cell r="I543" t="str">
            <v>19.9</v>
          </cell>
          <cell r="J543" t="str">
            <v>₹442</v>
          </cell>
          <cell r="K543">
            <v>8</v>
          </cell>
          <cell r="L543" t="str">
            <v>05/02/2024</v>
          </cell>
          <cell r="M543" t="str">
            <v>delivered</v>
          </cell>
          <cell r="N543">
            <v>3</v>
          </cell>
          <cell r="O543" t="str">
            <v xml:space="preserve"> No</v>
          </cell>
        </row>
        <row r="544">
          <cell r="A544" t="str">
            <v>SHP-101383</v>
          </cell>
          <cell r="B544" t="str">
            <v>2024-04-08</v>
          </cell>
          <cell r="C544" t="str">
            <v xml:space="preserve">chennai </v>
          </cell>
          <cell r="D544" t="str">
            <v>XpressBees</v>
          </cell>
          <cell r="E544" t="str">
            <v>Air</v>
          </cell>
          <cell r="F544" t="str">
            <v>Furniture</v>
          </cell>
          <cell r="G544" t="str">
            <v xml:space="preserve"> NORTH </v>
          </cell>
          <cell r="I544" t="str">
            <v xml:space="preserve">50.6 Kg </v>
          </cell>
          <cell r="J544" t="str">
            <v>₹2,470</v>
          </cell>
          <cell r="K544">
            <v>4</v>
          </cell>
          <cell r="L544" t="str">
            <v>2024-04-13</v>
          </cell>
          <cell r="M544" t="str">
            <v xml:space="preserve"> DAMAGED</v>
          </cell>
          <cell r="O544" t="str">
            <v>N</v>
          </cell>
        </row>
        <row r="545">
          <cell r="A545" t="str">
            <v>SHP-100935</v>
          </cell>
          <cell r="B545" t="str">
            <v xml:space="preserve"> 01/03/2024 </v>
          </cell>
          <cell r="C545" t="str">
            <v xml:space="preserve">mumbai </v>
          </cell>
          <cell r="D545" t="str">
            <v xml:space="preserve">Dtdc </v>
          </cell>
          <cell r="E545" t="str">
            <v>Surface</v>
          </cell>
          <cell r="F545" t="str">
            <v xml:space="preserve">furniture </v>
          </cell>
          <cell r="G545" t="str">
            <v>NORTH</v>
          </cell>
          <cell r="I545" t="str">
            <v>53.2kg</v>
          </cell>
          <cell r="J545" t="str">
            <v>1,312</v>
          </cell>
          <cell r="K545">
            <v>6</v>
          </cell>
          <cell r="L545" t="str">
            <v>07/03/2024</v>
          </cell>
          <cell r="M545" t="str">
            <v>Delivered</v>
          </cell>
          <cell r="N545">
            <v>4</v>
          </cell>
          <cell r="O545" t="str">
            <v>N</v>
          </cell>
        </row>
        <row r="546">
          <cell r="A546" t="str">
            <v>SHP-100502</v>
          </cell>
          <cell r="B546" t="str">
            <v>07-Jan-2024</v>
          </cell>
          <cell r="C546" t="str">
            <v xml:space="preserve">bengaluru </v>
          </cell>
          <cell r="D546" t="str">
            <v>Delhivery</v>
          </cell>
          <cell r="E546" t="str">
            <v xml:space="preserve">air </v>
          </cell>
          <cell r="F546" t="str">
            <v>grocery &amp; fmcg</v>
          </cell>
          <cell r="G546" t="str">
            <v>West</v>
          </cell>
          <cell r="I546" t="str">
            <v>16.1kg</v>
          </cell>
          <cell r="J546" t="str">
            <v>₹891</v>
          </cell>
          <cell r="K546">
            <v>4</v>
          </cell>
          <cell r="L546" t="str">
            <v>2024-01-11</v>
          </cell>
          <cell r="M546" t="str">
            <v>Delivered</v>
          </cell>
          <cell r="N546">
            <v>5</v>
          </cell>
          <cell r="O546" t="str">
            <v>Y</v>
          </cell>
        </row>
        <row r="547">
          <cell r="A547" t="str">
            <v>SHP-100524</v>
          </cell>
          <cell r="B547" t="str">
            <v>2024-02-22</v>
          </cell>
          <cell r="C547" t="str">
            <v>chennai</v>
          </cell>
          <cell r="D547" t="str">
            <v>Ecom Express</v>
          </cell>
          <cell r="E547" t="str">
            <v xml:space="preserve"> SURFACE </v>
          </cell>
          <cell r="F547" t="str">
            <v xml:space="preserve"> AUTOMOTIVE PARTS </v>
          </cell>
          <cell r="G547" t="str">
            <v xml:space="preserve">north </v>
          </cell>
          <cell r="I547" t="str">
            <v>36.4</v>
          </cell>
          <cell r="J547" t="str">
            <v>942</v>
          </cell>
          <cell r="K547">
            <v>6</v>
          </cell>
          <cell r="L547" t="str">
            <v>27-Feb-2024</v>
          </cell>
          <cell r="M547" t="str">
            <v>DELIVERED</v>
          </cell>
          <cell r="N547">
            <v>4</v>
          </cell>
          <cell r="O547" t="str">
            <v xml:space="preserve"> No</v>
          </cell>
        </row>
        <row r="548">
          <cell r="A548" t="str">
            <v>SHP-101425</v>
          </cell>
          <cell r="B548" t="str">
            <v>2024-02-17</v>
          </cell>
          <cell r="C548" t="str">
            <v xml:space="preserve"> BENGALURU </v>
          </cell>
          <cell r="D548" t="str">
            <v>BlueDart</v>
          </cell>
          <cell r="E548" t="str">
            <v>Air</v>
          </cell>
          <cell r="F548" t="str">
            <v>Pharma</v>
          </cell>
          <cell r="G548" t="str">
            <v xml:space="preserve"> EAST </v>
          </cell>
          <cell r="I548" t="str">
            <v>1.5kg</v>
          </cell>
          <cell r="J548" t="str">
            <v xml:space="preserve">Rs 254 </v>
          </cell>
          <cell r="K548">
            <v>4</v>
          </cell>
          <cell r="L548" t="str">
            <v>2024-02-20</v>
          </cell>
          <cell r="M548" t="str">
            <v>Delivered</v>
          </cell>
          <cell r="N548">
            <v>5</v>
          </cell>
          <cell r="O548" t="str">
            <v xml:space="preserve">yes </v>
          </cell>
        </row>
        <row r="549">
          <cell r="A549" t="str">
            <v>SHP-100710</v>
          </cell>
          <cell r="B549" t="str">
            <v>11/04/2024</v>
          </cell>
          <cell r="C549" t="str">
            <v>DELHI</v>
          </cell>
          <cell r="D549" t="str">
            <v>DELHIVERY</v>
          </cell>
          <cell r="E549" t="str">
            <v xml:space="preserve"> ROAD </v>
          </cell>
          <cell r="F549" t="str">
            <v xml:space="preserve"> GROCERY &amp; FMCG </v>
          </cell>
          <cell r="G549" t="str">
            <v xml:space="preserve">west </v>
          </cell>
          <cell r="I549" t="str">
            <v>5.0kg</v>
          </cell>
          <cell r="J549" t="str">
            <v>202</v>
          </cell>
          <cell r="K549">
            <v>8</v>
          </cell>
          <cell r="L549" t="str">
            <v>18/04/2024</v>
          </cell>
          <cell r="M549" t="str">
            <v>Delivered</v>
          </cell>
          <cell r="N549">
            <v>5</v>
          </cell>
          <cell r="O549" t="str">
            <v>YES</v>
          </cell>
        </row>
        <row r="550">
          <cell r="A550" t="str">
            <v>SHP-100297</v>
          </cell>
          <cell r="B550" t="str">
            <v xml:space="preserve"> 04/05/2024 </v>
          </cell>
          <cell r="C550" t="str">
            <v>chennai</v>
          </cell>
          <cell r="D550" t="str">
            <v>delhivery</v>
          </cell>
          <cell r="E550" t="str">
            <v xml:space="preserve"> ROAD </v>
          </cell>
          <cell r="G550" t="str">
            <v>East</v>
          </cell>
          <cell r="I550" t="str">
            <v xml:space="preserve">3.1 Kg </v>
          </cell>
          <cell r="J550" t="str">
            <v>₹179</v>
          </cell>
          <cell r="K550">
            <v>8</v>
          </cell>
          <cell r="L550" t="str">
            <v>2024-05-11</v>
          </cell>
          <cell r="M550" t="str">
            <v>delivered</v>
          </cell>
          <cell r="N550">
            <v>4</v>
          </cell>
          <cell r="O550" t="str">
            <v>Y</v>
          </cell>
        </row>
        <row r="551">
          <cell r="A551" t="str">
            <v>SHP-101147</v>
          </cell>
          <cell r="B551" t="str">
            <v xml:space="preserve"> 21/01/2024 </v>
          </cell>
          <cell r="C551" t="str">
            <v>bengaluru</v>
          </cell>
          <cell r="D551" t="str">
            <v xml:space="preserve">BLUEDART </v>
          </cell>
          <cell r="E551" t="str">
            <v xml:space="preserve">road </v>
          </cell>
          <cell r="F551" t="str">
            <v>APPAREL</v>
          </cell>
          <cell r="G551" t="str">
            <v xml:space="preserve">west </v>
          </cell>
          <cell r="I551" t="str">
            <v>2.4kg</v>
          </cell>
          <cell r="J551" t="str">
            <v>₹155</v>
          </cell>
          <cell r="K551">
            <v>8</v>
          </cell>
          <cell r="L551" t="str">
            <v>29-Jan-2024</v>
          </cell>
          <cell r="M551" t="str">
            <v>Delivered</v>
          </cell>
          <cell r="N551">
            <v>3</v>
          </cell>
          <cell r="O551" t="str">
            <v xml:space="preserve"> No</v>
          </cell>
        </row>
        <row r="552">
          <cell r="A552" t="str">
            <v>SHP-101183</v>
          </cell>
          <cell r="B552" t="str">
            <v>01/03/2024</v>
          </cell>
          <cell r="C552" t="str">
            <v>Kolkata</v>
          </cell>
          <cell r="D552" t="str">
            <v>delhivery</v>
          </cell>
          <cell r="E552" t="str">
            <v>Surface</v>
          </cell>
          <cell r="F552" t="str">
            <v xml:space="preserve">pharma  </v>
          </cell>
          <cell r="G552" t="str">
            <v>NORTH</v>
          </cell>
          <cell r="I552" t="str">
            <v>2.2kg</v>
          </cell>
          <cell r="J552" t="str">
            <v xml:space="preserve">Rs 193 </v>
          </cell>
          <cell r="K552">
            <v>6</v>
          </cell>
          <cell r="L552" t="str">
            <v xml:space="preserve"> 08/03/2024 </v>
          </cell>
          <cell r="M552" t="str">
            <v>Delayed</v>
          </cell>
          <cell r="N552">
            <v>5</v>
          </cell>
          <cell r="O552" t="str">
            <v>no</v>
          </cell>
        </row>
        <row r="553">
          <cell r="A553" t="str">
            <v>SHP-100313</v>
          </cell>
          <cell r="B553" t="str">
            <v xml:space="preserve"> 13/01/2024 </v>
          </cell>
          <cell r="C553" t="str">
            <v>BENGALURU</v>
          </cell>
          <cell r="D553" t="str">
            <v>xpressbees</v>
          </cell>
          <cell r="E553" t="str">
            <v>ROAD</v>
          </cell>
          <cell r="F553" t="str">
            <v>ELECTRONICS</v>
          </cell>
          <cell r="G553" t="str">
            <v>EAST</v>
          </cell>
          <cell r="I553" t="str">
            <v xml:space="preserve">8.0 Kg </v>
          </cell>
          <cell r="J553" t="str">
            <v>₹236</v>
          </cell>
          <cell r="K553">
            <v>8</v>
          </cell>
          <cell r="L553" t="str">
            <v>22/01/2024</v>
          </cell>
          <cell r="M553" t="str">
            <v>Delayed</v>
          </cell>
          <cell r="N553">
            <v>3</v>
          </cell>
          <cell r="O553" t="str">
            <v xml:space="preserve"> No</v>
          </cell>
        </row>
        <row r="554">
          <cell r="A554" t="str">
            <v>SHP-100962</v>
          </cell>
          <cell r="B554" t="str">
            <v>2024-05-21</v>
          </cell>
          <cell r="C554" t="str">
            <v xml:space="preserve">kolkata </v>
          </cell>
          <cell r="D554" t="str">
            <v>DTDC</v>
          </cell>
          <cell r="E554" t="str">
            <v xml:space="preserve"> ROAD </v>
          </cell>
          <cell r="F554" t="str">
            <v xml:space="preserve"> GROCERY &amp; FMCG </v>
          </cell>
          <cell r="G554" t="str">
            <v xml:space="preserve"> NORTH </v>
          </cell>
          <cell r="I554" t="str">
            <v>10.0</v>
          </cell>
          <cell r="J554" t="str">
            <v>318</v>
          </cell>
          <cell r="K554">
            <v>8</v>
          </cell>
          <cell r="L554" t="str">
            <v>2024-05-28</v>
          </cell>
          <cell r="M554" t="str">
            <v xml:space="preserve"> Delivered</v>
          </cell>
          <cell r="N554">
            <v>4</v>
          </cell>
          <cell r="O554" t="str">
            <v>No</v>
          </cell>
        </row>
        <row r="555">
          <cell r="A555" t="str">
            <v>SHP-101379</v>
          </cell>
          <cell r="B555" t="str">
            <v>2024-03-06</v>
          </cell>
          <cell r="C555" t="str">
            <v xml:space="preserve">chennai </v>
          </cell>
          <cell r="D555" t="str">
            <v>ECOM EXPRESS</v>
          </cell>
          <cell r="E555" t="str">
            <v xml:space="preserve">surface </v>
          </cell>
          <cell r="F555" t="str">
            <v xml:space="preserve"> ELECTRONICS </v>
          </cell>
          <cell r="G555" t="str">
            <v>South</v>
          </cell>
          <cell r="I555" t="str">
            <v>3.5</v>
          </cell>
          <cell r="J555" t="str">
            <v>₹111</v>
          </cell>
          <cell r="K555">
            <v>4</v>
          </cell>
          <cell r="L555" t="str">
            <v>11/03/2024</v>
          </cell>
          <cell r="M555" t="str">
            <v xml:space="preserve">delayed </v>
          </cell>
          <cell r="N555">
            <v>3</v>
          </cell>
          <cell r="O555" t="str">
            <v>YES</v>
          </cell>
        </row>
        <row r="556">
          <cell r="A556" t="str">
            <v>SHP-100829</v>
          </cell>
          <cell r="B556" t="str">
            <v>2024-01-01</v>
          </cell>
          <cell r="C556" t="str">
            <v>KOLKATA</v>
          </cell>
          <cell r="D556" t="str">
            <v xml:space="preserve">BLUEDART </v>
          </cell>
          <cell r="E556" t="str">
            <v>air</v>
          </cell>
          <cell r="F556" t="str">
            <v>furniture</v>
          </cell>
          <cell r="G556" t="str">
            <v>South</v>
          </cell>
          <cell r="I556" t="str">
            <v xml:space="preserve">64.5 Kg </v>
          </cell>
          <cell r="J556" t="str">
            <v xml:space="preserve">Rs 3105 </v>
          </cell>
          <cell r="K556">
            <v>4</v>
          </cell>
          <cell r="L556" t="str">
            <v>06-Jan-2024</v>
          </cell>
          <cell r="M556" t="str">
            <v xml:space="preserve"> DAMAGED</v>
          </cell>
          <cell r="O556" t="str">
            <v>YES</v>
          </cell>
        </row>
        <row r="557">
          <cell r="A557" t="str">
            <v>SHP-100477</v>
          </cell>
          <cell r="B557" t="str">
            <v>2024-03-12</v>
          </cell>
          <cell r="C557" t="str">
            <v>Bengaluru</v>
          </cell>
          <cell r="D557" t="str">
            <v>Xpress Bees</v>
          </cell>
          <cell r="E557" t="str">
            <v>Surface</v>
          </cell>
          <cell r="F557" t="str">
            <v>Pharma</v>
          </cell>
          <cell r="G557" t="str">
            <v>EAST</v>
          </cell>
          <cell r="I557" t="str">
            <v>2.6</v>
          </cell>
          <cell r="J557" t="str">
            <v xml:space="preserve">Rs 237 </v>
          </cell>
          <cell r="K557">
            <v>6</v>
          </cell>
          <cell r="L557" t="str">
            <v>20/03/2024</v>
          </cell>
          <cell r="M557" t="str">
            <v>Delayed</v>
          </cell>
          <cell r="N557">
            <v>3</v>
          </cell>
          <cell r="O557" t="str">
            <v xml:space="preserve">yes </v>
          </cell>
        </row>
        <row r="558">
          <cell r="A558" t="str">
            <v>SHP-100746</v>
          </cell>
          <cell r="B558" t="str">
            <v xml:space="preserve"> 10/04/2024 </v>
          </cell>
          <cell r="C558" t="str">
            <v xml:space="preserve"> DELHI </v>
          </cell>
          <cell r="D558" t="str">
            <v xml:space="preserve"> DTDC</v>
          </cell>
          <cell r="E558" t="str">
            <v>Surface</v>
          </cell>
          <cell r="F558" t="str">
            <v xml:space="preserve">  PHARMA </v>
          </cell>
          <cell r="G558" t="str">
            <v xml:space="preserve">west </v>
          </cell>
          <cell r="I558" t="str">
            <v xml:space="preserve">1.4 Kg </v>
          </cell>
          <cell r="J558" t="str">
            <v>165</v>
          </cell>
          <cell r="K558">
            <v>6</v>
          </cell>
          <cell r="L558" t="str">
            <v>16/04/2024</v>
          </cell>
          <cell r="M558" t="str">
            <v>DELIVERED</v>
          </cell>
          <cell r="N558">
            <v>4</v>
          </cell>
          <cell r="O558" t="str">
            <v>No</v>
          </cell>
        </row>
        <row r="559">
          <cell r="A559" t="str">
            <v>SHP-101031</v>
          </cell>
          <cell r="B559" t="str">
            <v>19/03/2024</v>
          </cell>
          <cell r="C559" t="str">
            <v>Bengaluru</v>
          </cell>
          <cell r="D559" t="str">
            <v>delhivery</v>
          </cell>
          <cell r="E559" t="str">
            <v>SURFACE</v>
          </cell>
          <cell r="F559" t="str">
            <v xml:space="preserve">pharma </v>
          </cell>
          <cell r="G559" t="str">
            <v>North</v>
          </cell>
          <cell r="I559" t="str">
            <v>0.7KG</v>
          </cell>
          <cell r="J559" t="str">
            <v>161</v>
          </cell>
          <cell r="K559">
            <v>6</v>
          </cell>
          <cell r="L559" t="str">
            <v>26/03/2024</v>
          </cell>
          <cell r="M559" t="str">
            <v xml:space="preserve"> Delayed</v>
          </cell>
          <cell r="N559">
            <v>1</v>
          </cell>
          <cell r="O559" t="str">
            <v>no</v>
          </cell>
        </row>
        <row r="560">
          <cell r="A560" t="str">
            <v>SHP-100673</v>
          </cell>
          <cell r="B560" t="str">
            <v>20/04/2024</v>
          </cell>
          <cell r="D560" t="str">
            <v>delhivery</v>
          </cell>
          <cell r="E560" t="str">
            <v xml:space="preserve">road </v>
          </cell>
          <cell r="F560" t="str">
            <v xml:space="preserve"> AUTOMOTIVE PARTS </v>
          </cell>
          <cell r="G560" t="str">
            <v xml:space="preserve"> WEST </v>
          </cell>
          <cell r="I560" t="str">
            <v>11.4kg</v>
          </cell>
          <cell r="J560" t="str">
            <v xml:space="preserve">Rs 346 </v>
          </cell>
          <cell r="K560">
            <v>8</v>
          </cell>
          <cell r="L560" t="str">
            <v xml:space="preserve"> 05/05/2024 </v>
          </cell>
          <cell r="M560" t="str">
            <v>Delayed</v>
          </cell>
          <cell r="N560">
            <v>5</v>
          </cell>
          <cell r="O560" t="str">
            <v>no</v>
          </cell>
        </row>
        <row r="561">
          <cell r="A561" t="str">
            <v>SHP-100585</v>
          </cell>
          <cell r="B561" t="str">
            <v>2024-06-17</v>
          </cell>
          <cell r="C561" t="str">
            <v>Bengaluru</v>
          </cell>
          <cell r="D561" t="str">
            <v xml:space="preserve"> Delhivery</v>
          </cell>
          <cell r="E561" t="str">
            <v>SURFACE</v>
          </cell>
          <cell r="F561" t="str">
            <v xml:space="preserve">grocery &amp; fmcg </v>
          </cell>
          <cell r="G561" t="str">
            <v>south</v>
          </cell>
          <cell r="I561" t="str">
            <v xml:space="preserve">13.4 Kg </v>
          </cell>
          <cell r="J561" t="str">
            <v>286</v>
          </cell>
          <cell r="K561">
            <v>4</v>
          </cell>
          <cell r="L561" t="str">
            <v>27/06/2024</v>
          </cell>
          <cell r="M561" t="str">
            <v>DELAYED</v>
          </cell>
          <cell r="N561">
            <v>3</v>
          </cell>
          <cell r="O561" t="str">
            <v>Y</v>
          </cell>
        </row>
        <row r="562">
          <cell r="A562" t="str">
            <v>SHP-100492</v>
          </cell>
          <cell r="B562" t="str">
            <v xml:space="preserve"> 11/05/2024 </v>
          </cell>
          <cell r="C562" t="str">
            <v>Hyderabad</v>
          </cell>
          <cell r="D562" t="str">
            <v>Ecom  Express</v>
          </cell>
          <cell r="E562" t="str">
            <v>road</v>
          </cell>
          <cell r="F562" t="str">
            <v xml:space="preserve"> FURNITURE </v>
          </cell>
          <cell r="G562" t="str">
            <v xml:space="preserve">west </v>
          </cell>
          <cell r="I562" t="str">
            <v xml:space="preserve">46.6 Kg </v>
          </cell>
          <cell r="J562" t="str">
            <v xml:space="preserve">Rs 627 </v>
          </cell>
          <cell r="K562">
            <v>6</v>
          </cell>
          <cell r="L562" t="str">
            <v>2024-05-17</v>
          </cell>
          <cell r="M562" t="str">
            <v xml:space="preserve"> Delivered</v>
          </cell>
          <cell r="N562">
            <v>5</v>
          </cell>
          <cell r="O562" t="str">
            <v xml:space="preserve"> No</v>
          </cell>
        </row>
        <row r="563">
          <cell r="A563" t="str">
            <v>SHP-101280</v>
          </cell>
          <cell r="B563" t="str">
            <v xml:space="preserve"> 28/03/2024 </v>
          </cell>
          <cell r="C563" t="str">
            <v>DELHI</v>
          </cell>
          <cell r="D563" t="str">
            <v xml:space="preserve">BLUEDART </v>
          </cell>
          <cell r="E563" t="str">
            <v xml:space="preserve"> AIR </v>
          </cell>
          <cell r="F563" t="str">
            <v>Automotive  Parts</v>
          </cell>
          <cell r="G563" t="str">
            <v xml:space="preserve">east </v>
          </cell>
          <cell r="I563" t="str">
            <v xml:space="preserve">20.1 Kg </v>
          </cell>
          <cell r="J563" t="str">
            <v xml:space="preserve">Rs 1104 </v>
          </cell>
          <cell r="K563">
            <v>4</v>
          </cell>
          <cell r="L563" t="str">
            <v>2024-04-01</v>
          </cell>
          <cell r="M563" t="str">
            <v>DELIVERED</v>
          </cell>
          <cell r="N563">
            <v>4</v>
          </cell>
          <cell r="O563" t="str">
            <v>no</v>
          </cell>
        </row>
        <row r="564">
          <cell r="A564" t="str">
            <v>SHP-101220</v>
          </cell>
          <cell r="B564" t="str">
            <v xml:space="preserve"> 11/03/2024 </v>
          </cell>
          <cell r="C564" t="str">
            <v xml:space="preserve"> KOLKATA </v>
          </cell>
          <cell r="D564" t="str">
            <v>BlueDart</v>
          </cell>
          <cell r="E564" t="str">
            <v>Air</v>
          </cell>
          <cell r="F564" t="str">
            <v>APPAREL</v>
          </cell>
          <cell r="G564" t="str">
            <v>east</v>
          </cell>
          <cell r="I564" t="str">
            <v>1.3kg</v>
          </cell>
          <cell r="J564" t="str">
            <v xml:space="preserve">Rs 117 </v>
          </cell>
          <cell r="K564">
            <v>2</v>
          </cell>
          <cell r="L564" t="str">
            <v>13/03/2024</v>
          </cell>
          <cell r="M564" t="str">
            <v>DELIVERED</v>
          </cell>
          <cell r="N564">
            <v>5</v>
          </cell>
          <cell r="O564" t="str">
            <v>no</v>
          </cell>
        </row>
        <row r="565">
          <cell r="A565" t="str">
            <v>SHP-101373</v>
          </cell>
          <cell r="B565" t="str">
            <v>21-Jan-2024</v>
          </cell>
          <cell r="C565" t="str">
            <v>CHENNAI</v>
          </cell>
          <cell r="D565" t="str">
            <v xml:space="preserve">Dtdc </v>
          </cell>
          <cell r="E565" t="str">
            <v>AIR</v>
          </cell>
          <cell r="F565" t="str">
            <v xml:space="preserve">furniture  </v>
          </cell>
          <cell r="G565" t="str">
            <v>SOUTH</v>
          </cell>
          <cell r="I565" t="str">
            <v>35.1kg</v>
          </cell>
          <cell r="J565" t="str">
            <v>₹1,630</v>
          </cell>
          <cell r="K565">
            <v>2</v>
          </cell>
          <cell r="L565" t="str">
            <v xml:space="preserve"> 25/01/2024 </v>
          </cell>
          <cell r="M565" t="str">
            <v>DELAYED</v>
          </cell>
          <cell r="N565">
            <v>3</v>
          </cell>
          <cell r="O565" t="str">
            <v xml:space="preserve"> No</v>
          </cell>
        </row>
        <row r="566">
          <cell r="A566" t="str">
            <v>SHP-100070</v>
          </cell>
          <cell r="B566" t="str">
            <v>22-Feb-2024</v>
          </cell>
          <cell r="C566" t="str">
            <v xml:space="preserve">bengaluru </v>
          </cell>
          <cell r="D566" t="str">
            <v>xpressbees</v>
          </cell>
          <cell r="E566" t="str">
            <v xml:space="preserve"> ROAD </v>
          </cell>
          <cell r="F566" t="str">
            <v>Apparel</v>
          </cell>
          <cell r="G566" t="str">
            <v xml:space="preserve"> WEST </v>
          </cell>
          <cell r="I566" t="str">
            <v>5.6KG</v>
          </cell>
          <cell r="J566" t="str">
            <v>₹257</v>
          </cell>
          <cell r="K566">
            <v>8</v>
          </cell>
          <cell r="L566" t="str">
            <v>06-Mar-2024</v>
          </cell>
          <cell r="M566" t="str">
            <v>DELAYED</v>
          </cell>
          <cell r="N566">
            <v>2</v>
          </cell>
          <cell r="O566" t="str">
            <v>Y</v>
          </cell>
        </row>
        <row r="567">
          <cell r="A567" t="str">
            <v>SHP-101096</v>
          </cell>
          <cell r="B567" t="str">
            <v>19/03/2024</v>
          </cell>
          <cell r="C567" t="str">
            <v xml:space="preserve"> BENGALURU </v>
          </cell>
          <cell r="D567" t="str">
            <v>DELHIVERY</v>
          </cell>
          <cell r="E567" t="str">
            <v>road</v>
          </cell>
          <cell r="F567" t="str">
            <v>Electronics</v>
          </cell>
          <cell r="G567" t="str">
            <v>SOUTH</v>
          </cell>
          <cell r="I567" t="str">
            <v>1.9KG</v>
          </cell>
          <cell r="J567" t="str">
            <v>₹80</v>
          </cell>
          <cell r="K567">
            <v>6</v>
          </cell>
          <cell r="L567" t="str">
            <v>2024-04-01</v>
          </cell>
          <cell r="M567" t="str">
            <v>damaged</v>
          </cell>
          <cell r="O567" t="str">
            <v>N</v>
          </cell>
        </row>
        <row r="568">
          <cell r="A568" t="str">
            <v>SHP-101164</v>
          </cell>
          <cell r="B568" t="str">
            <v xml:space="preserve"> 15/05/2024 </v>
          </cell>
          <cell r="C568" t="str">
            <v xml:space="preserve"> CHENNAI </v>
          </cell>
          <cell r="D568" t="str">
            <v>dtdc</v>
          </cell>
          <cell r="E568" t="str">
            <v>Surface</v>
          </cell>
          <cell r="F568" t="str">
            <v>FURNITURE</v>
          </cell>
          <cell r="G568" t="str">
            <v xml:space="preserve"> WEST </v>
          </cell>
          <cell r="I568" t="str">
            <v xml:space="preserve">25.5 Kg </v>
          </cell>
          <cell r="J568" t="str">
            <v>711</v>
          </cell>
          <cell r="K568">
            <v>6</v>
          </cell>
          <cell r="L568" t="str">
            <v>2024-05-29</v>
          </cell>
          <cell r="M568" t="str">
            <v xml:space="preserve"> Delayed</v>
          </cell>
          <cell r="N568">
            <v>4</v>
          </cell>
          <cell r="O568" t="str">
            <v>N</v>
          </cell>
        </row>
        <row r="569">
          <cell r="A569" t="str">
            <v>SHP-100884</v>
          </cell>
          <cell r="B569" t="str">
            <v>2024-05-07</v>
          </cell>
          <cell r="C569" t="str">
            <v>CHENNAI</v>
          </cell>
          <cell r="D569" t="str">
            <v xml:space="preserve"> Delhivery</v>
          </cell>
          <cell r="E569" t="str">
            <v>road</v>
          </cell>
          <cell r="F569" t="str">
            <v xml:space="preserve">automotive parts </v>
          </cell>
          <cell r="G569" t="str">
            <v>West</v>
          </cell>
          <cell r="I569" t="str">
            <v xml:space="preserve">21.7 Kg </v>
          </cell>
          <cell r="J569" t="str">
            <v xml:space="preserve">Rs 478 </v>
          </cell>
          <cell r="K569">
            <v>8</v>
          </cell>
          <cell r="L569" t="str">
            <v>14/05/2024</v>
          </cell>
          <cell r="M569" t="str">
            <v>delivered</v>
          </cell>
          <cell r="N569">
            <v>4</v>
          </cell>
          <cell r="O569" t="str">
            <v>Yes</v>
          </cell>
        </row>
        <row r="570">
          <cell r="A570" t="str">
            <v>SHP-101232</v>
          </cell>
          <cell r="B570" t="str">
            <v>2024-05-09</v>
          </cell>
          <cell r="C570" t="str">
            <v>chennai</v>
          </cell>
          <cell r="D570" t="str">
            <v>DELHIVERY</v>
          </cell>
          <cell r="E570" t="str">
            <v xml:space="preserve"> ROAD </v>
          </cell>
          <cell r="F570" t="str">
            <v xml:space="preserve">  GROCERY &amp; FMCG </v>
          </cell>
          <cell r="G570" t="str">
            <v>North</v>
          </cell>
          <cell r="I570" t="str">
            <v xml:space="preserve">16.0 Kg </v>
          </cell>
          <cell r="J570" t="str">
            <v xml:space="preserve">Rs 427 </v>
          </cell>
          <cell r="K570">
            <v>8</v>
          </cell>
          <cell r="L570" t="str">
            <v>2024-05-16</v>
          </cell>
          <cell r="M570" t="str">
            <v>Delivered</v>
          </cell>
          <cell r="N570">
            <v>5</v>
          </cell>
          <cell r="O570" t="str">
            <v>no</v>
          </cell>
        </row>
        <row r="571">
          <cell r="A571" t="str">
            <v>SHP-100028</v>
          </cell>
          <cell r="B571" t="str">
            <v>12-May-2024</v>
          </cell>
          <cell r="C571" t="str">
            <v xml:space="preserve">kolkata </v>
          </cell>
          <cell r="D571" t="str">
            <v xml:space="preserve">BLUEDART </v>
          </cell>
          <cell r="E571" t="str">
            <v xml:space="preserve"> SURFACE </v>
          </cell>
          <cell r="F571" t="str">
            <v xml:space="preserve">automotive parts </v>
          </cell>
          <cell r="G571" t="str">
            <v xml:space="preserve"> WEST </v>
          </cell>
          <cell r="I571" t="str">
            <v>37.5KG</v>
          </cell>
          <cell r="J571" t="str">
            <v>1,012</v>
          </cell>
          <cell r="K571">
            <v>6</v>
          </cell>
          <cell r="L571" t="str">
            <v xml:space="preserve"> 17/05/2024 </v>
          </cell>
          <cell r="M571" t="str">
            <v>delivered</v>
          </cell>
          <cell r="N571">
            <v>5</v>
          </cell>
          <cell r="O571" t="str">
            <v>no</v>
          </cell>
        </row>
        <row r="572">
          <cell r="A572" t="str">
            <v>SHP-101262</v>
          </cell>
          <cell r="B572" t="str">
            <v>01/02/2024</v>
          </cell>
          <cell r="C572" t="str">
            <v>HYDERABAD</v>
          </cell>
          <cell r="D572" t="str">
            <v>Delhivery</v>
          </cell>
          <cell r="E572" t="str">
            <v xml:space="preserve">road </v>
          </cell>
          <cell r="F572" t="str">
            <v xml:space="preserve">  FURNITURE </v>
          </cell>
          <cell r="G572" t="str">
            <v>west</v>
          </cell>
          <cell r="I572" t="str">
            <v>27.4KG</v>
          </cell>
          <cell r="J572" t="str">
            <v>₹415</v>
          </cell>
          <cell r="K572">
            <v>6</v>
          </cell>
          <cell r="L572" t="str">
            <v xml:space="preserve"> 09/02/2024 </v>
          </cell>
          <cell r="M572" t="str">
            <v>Delayed</v>
          </cell>
          <cell r="N572">
            <v>2</v>
          </cell>
          <cell r="O572" t="str">
            <v xml:space="preserve">yes </v>
          </cell>
        </row>
        <row r="573">
          <cell r="A573" t="str">
            <v>SHP-101357</v>
          </cell>
          <cell r="B573" t="str">
            <v>02/02/2024</v>
          </cell>
          <cell r="C573" t="str">
            <v>delhi</v>
          </cell>
          <cell r="D573" t="str">
            <v>Ecom Express</v>
          </cell>
          <cell r="E573" t="str">
            <v>AIR</v>
          </cell>
          <cell r="F573" t="str">
            <v>electronics</v>
          </cell>
          <cell r="G573" t="str">
            <v xml:space="preserve"> NORTH </v>
          </cell>
          <cell r="I573" t="str">
            <v xml:space="preserve">5.5 Kg </v>
          </cell>
          <cell r="J573" t="str">
            <v xml:space="preserve">Rs 245 </v>
          </cell>
          <cell r="K573">
            <v>2</v>
          </cell>
          <cell r="L573" t="str">
            <v>05/02/2024</v>
          </cell>
          <cell r="M573" t="str">
            <v>damaged</v>
          </cell>
          <cell r="O573" t="str">
            <v>YES</v>
          </cell>
        </row>
        <row r="574">
          <cell r="A574" t="str">
            <v>SHP-100759</v>
          </cell>
          <cell r="B574" t="str">
            <v>18-Jun-2024</v>
          </cell>
          <cell r="C574" t="str">
            <v>Mumbai</v>
          </cell>
          <cell r="D574" t="str">
            <v>BlueDart</v>
          </cell>
          <cell r="E574" t="str">
            <v>Surface</v>
          </cell>
          <cell r="F574" t="str">
            <v xml:space="preserve"> AUTOMOTIVE PARTS </v>
          </cell>
          <cell r="G574" t="str">
            <v>WEST</v>
          </cell>
          <cell r="I574" t="str">
            <v>5.9KG</v>
          </cell>
          <cell r="J574" t="str">
            <v>155</v>
          </cell>
          <cell r="K574">
            <v>4</v>
          </cell>
          <cell r="L574" t="str">
            <v>22-Jun-2024</v>
          </cell>
          <cell r="M574" t="str">
            <v>Delivered</v>
          </cell>
          <cell r="N574">
            <v>5</v>
          </cell>
          <cell r="O574" t="str">
            <v>YES</v>
          </cell>
        </row>
        <row r="575">
          <cell r="A575" t="str">
            <v>SHP-100480</v>
          </cell>
          <cell r="B575" t="str">
            <v>15/04/2024</v>
          </cell>
          <cell r="C575" t="str">
            <v xml:space="preserve"> DELHI </v>
          </cell>
          <cell r="D575" t="str">
            <v>dtdc</v>
          </cell>
          <cell r="E575" t="str">
            <v xml:space="preserve"> SURFACE </v>
          </cell>
          <cell r="F575" t="str">
            <v xml:space="preserve"> APPAREL </v>
          </cell>
          <cell r="G575" t="str">
            <v xml:space="preserve"> WEST </v>
          </cell>
          <cell r="I575" t="str">
            <v>6.3</v>
          </cell>
          <cell r="J575" t="str">
            <v xml:space="preserve">Rs 313 </v>
          </cell>
          <cell r="K575">
            <v>6</v>
          </cell>
          <cell r="L575" t="str">
            <v>22-Apr-2024</v>
          </cell>
          <cell r="M575" t="str">
            <v>Delayed</v>
          </cell>
          <cell r="N575">
            <v>4</v>
          </cell>
          <cell r="O575" t="str">
            <v>N</v>
          </cell>
        </row>
        <row r="576">
          <cell r="A576" t="str">
            <v>SHP-101532</v>
          </cell>
          <cell r="B576" t="str">
            <v>2024-06-09</v>
          </cell>
          <cell r="C576" t="str">
            <v>BENGALURU</v>
          </cell>
          <cell r="D576" t="str">
            <v>Ecom  Express</v>
          </cell>
          <cell r="E576" t="str">
            <v>Surface</v>
          </cell>
          <cell r="F576" t="str">
            <v xml:space="preserve"> AUTOMOTIVE PARTS </v>
          </cell>
          <cell r="G576" t="str">
            <v>west</v>
          </cell>
          <cell r="I576" t="str">
            <v>10.8kg</v>
          </cell>
          <cell r="J576" t="str">
            <v>407</v>
          </cell>
          <cell r="K576">
            <v>6</v>
          </cell>
          <cell r="L576" t="str">
            <v xml:space="preserve"> 14/06/2024 </v>
          </cell>
          <cell r="M576" t="str">
            <v xml:space="preserve"> Delivered</v>
          </cell>
          <cell r="N576">
            <v>5</v>
          </cell>
          <cell r="O576" t="str">
            <v>No</v>
          </cell>
        </row>
        <row r="577">
          <cell r="A577" t="str">
            <v>SHP-100051</v>
          </cell>
          <cell r="B577" t="str">
            <v>23/05/2024</v>
          </cell>
          <cell r="C577" t="str">
            <v xml:space="preserve"> DELHI </v>
          </cell>
          <cell r="D577" t="str">
            <v>Blue Dart</v>
          </cell>
          <cell r="E577" t="str">
            <v xml:space="preserve"> ROAD </v>
          </cell>
          <cell r="F577" t="str">
            <v xml:space="preserve"> GROCERY &amp; FMCG </v>
          </cell>
          <cell r="G577" t="str">
            <v xml:space="preserve">south </v>
          </cell>
          <cell r="I577" t="str">
            <v>12.3KG</v>
          </cell>
          <cell r="J577" t="str">
            <v>349</v>
          </cell>
          <cell r="K577">
            <v>8</v>
          </cell>
          <cell r="L577" t="str">
            <v xml:space="preserve"> 30/05/2024 </v>
          </cell>
          <cell r="M577" t="str">
            <v>returned</v>
          </cell>
          <cell r="O577" t="str">
            <v>N</v>
          </cell>
        </row>
        <row r="578">
          <cell r="A578" t="str">
            <v>SHP-100903</v>
          </cell>
          <cell r="B578" t="str">
            <v>08-Jun-2024</v>
          </cell>
          <cell r="C578" t="str">
            <v>Delhi</v>
          </cell>
          <cell r="D578" t="str">
            <v>Ecom Express</v>
          </cell>
          <cell r="E578" t="str">
            <v xml:space="preserve"> SURFACE </v>
          </cell>
          <cell r="F578" t="str">
            <v xml:space="preserve">apparel </v>
          </cell>
          <cell r="G578" t="str">
            <v>East</v>
          </cell>
          <cell r="I578" t="str">
            <v>6.2kg</v>
          </cell>
          <cell r="J578" t="str">
            <v>₹295</v>
          </cell>
          <cell r="K578">
            <v>6</v>
          </cell>
          <cell r="L578" t="str">
            <v>13-Jun-2024</v>
          </cell>
          <cell r="M578" t="str">
            <v>DELIVERED</v>
          </cell>
          <cell r="N578">
            <v>5</v>
          </cell>
          <cell r="O578" t="str">
            <v>no</v>
          </cell>
        </row>
        <row r="579">
          <cell r="A579" t="str">
            <v>SHP-100300</v>
          </cell>
          <cell r="B579" t="str">
            <v xml:space="preserve"> 16/04/2024 </v>
          </cell>
          <cell r="C579" t="str">
            <v xml:space="preserve"> KOLKATA </v>
          </cell>
          <cell r="D579" t="str">
            <v>delhivery</v>
          </cell>
          <cell r="E579" t="str">
            <v xml:space="preserve">surface </v>
          </cell>
          <cell r="F579" t="str">
            <v>pharma</v>
          </cell>
          <cell r="G579" t="str">
            <v xml:space="preserve">west </v>
          </cell>
          <cell r="I579" t="str">
            <v>0.9</v>
          </cell>
          <cell r="J579" t="str">
            <v>₹164</v>
          </cell>
          <cell r="K579">
            <v>6</v>
          </cell>
          <cell r="L579" t="str">
            <v>25/04/2024</v>
          </cell>
          <cell r="M579" t="str">
            <v xml:space="preserve">delayed </v>
          </cell>
          <cell r="N579">
            <v>3</v>
          </cell>
          <cell r="O579" t="str">
            <v>N</v>
          </cell>
        </row>
        <row r="580">
          <cell r="A580" t="str">
            <v>SHP-100652</v>
          </cell>
          <cell r="B580" t="str">
            <v xml:space="preserve"> 23/04/2024 </v>
          </cell>
          <cell r="C580" t="str">
            <v xml:space="preserve"> DELHI </v>
          </cell>
          <cell r="D580" t="str">
            <v>XpressBees</v>
          </cell>
          <cell r="E580" t="str">
            <v>air</v>
          </cell>
          <cell r="F580" t="str">
            <v>Pharma</v>
          </cell>
          <cell r="G580" t="str">
            <v xml:space="preserve">north </v>
          </cell>
          <cell r="I580" t="str">
            <v>4.8</v>
          </cell>
          <cell r="J580" t="str">
            <v xml:space="preserve">Rs 259 </v>
          </cell>
          <cell r="K580">
            <v>2</v>
          </cell>
          <cell r="L580" t="str">
            <v xml:space="preserve"> 25/04/2024 </v>
          </cell>
          <cell r="M580" t="str">
            <v>DELIVERED</v>
          </cell>
          <cell r="N580">
            <v>5</v>
          </cell>
          <cell r="O580" t="str">
            <v>Y</v>
          </cell>
        </row>
        <row r="581">
          <cell r="A581" t="str">
            <v>SHP-100345</v>
          </cell>
          <cell r="B581" t="str">
            <v xml:space="preserve"> 20/05/2024 </v>
          </cell>
          <cell r="C581" t="str">
            <v>Chennai</v>
          </cell>
          <cell r="D581" t="str">
            <v>delhivery</v>
          </cell>
          <cell r="E581" t="str">
            <v>air</v>
          </cell>
          <cell r="F581" t="str">
            <v>PHARMA</v>
          </cell>
          <cell r="G581" t="str">
            <v>South</v>
          </cell>
          <cell r="I581" t="str">
            <v>4.8KG</v>
          </cell>
          <cell r="J581" t="str">
            <v>₹230</v>
          </cell>
          <cell r="K581">
            <v>2</v>
          </cell>
          <cell r="L581" t="str">
            <v>21/05/2024</v>
          </cell>
          <cell r="M581" t="str">
            <v xml:space="preserve"> Delivered</v>
          </cell>
          <cell r="N581">
            <v>4</v>
          </cell>
          <cell r="O581" t="str">
            <v>N</v>
          </cell>
        </row>
        <row r="582">
          <cell r="I582" t="str">
            <v>10.0</v>
          </cell>
        </row>
        <row r="583">
          <cell r="A583" t="str">
            <v>SHP-101309</v>
          </cell>
          <cell r="B583" t="str">
            <v>03/05/2024</v>
          </cell>
          <cell r="C583" t="str">
            <v xml:space="preserve">chennai </v>
          </cell>
          <cell r="D583" t="str">
            <v>dtdc</v>
          </cell>
          <cell r="E583" t="str">
            <v>air</v>
          </cell>
          <cell r="F583" t="str">
            <v>Furniture</v>
          </cell>
          <cell r="G583" t="str">
            <v xml:space="preserve">west </v>
          </cell>
          <cell r="I583" t="str">
            <v xml:space="preserve">23.0 Kg </v>
          </cell>
          <cell r="J583" t="str">
            <v>1,221</v>
          </cell>
          <cell r="K583">
            <v>4</v>
          </cell>
          <cell r="L583" t="str">
            <v>15-May-2024</v>
          </cell>
          <cell r="M583" t="str">
            <v xml:space="preserve">delayed </v>
          </cell>
          <cell r="N583">
            <v>4</v>
          </cell>
          <cell r="O583" t="str">
            <v>No</v>
          </cell>
        </row>
        <row r="584">
          <cell r="A584" t="str">
            <v>SHP-100122</v>
          </cell>
          <cell r="B584" t="str">
            <v>28/05/2024</v>
          </cell>
          <cell r="C584" t="str">
            <v xml:space="preserve"> MUMBAI </v>
          </cell>
          <cell r="D584" t="str">
            <v>ECOM EXPRESS</v>
          </cell>
          <cell r="E584" t="str">
            <v xml:space="preserve"> AIR </v>
          </cell>
          <cell r="F584" t="str">
            <v xml:space="preserve">grocery  &amp; fmcg </v>
          </cell>
          <cell r="G584" t="str">
            <v>North</v>
          </cell>
          <cell r="I584" t="str">
            <v xml:space="preserve">13.6 Kg </v>
          </cell>
          <cell r="J584" t="str">
            <v xml:space="preserve">Rs 743 </v>
          </cell>
          <cell r="K584">
            <v>4</v>
          </cell>
          <cell r="L584" t="str">
            <v>2024-06-01</v>
          </cell>
          <cell r="M584" t="str">
            <v>Delivered</v>
          </cell>
          <cell r="N584">
            <v>5</v>
          </cell>
          <cell r="O584" t="str">
            <v xml:space="preserve"> No</v>
          </cell>
        </row>
        <row r="585">
          <cell r="A585" t="str">
            <v>SHP-100272</v>
          </cell>
          <cell r="B585" t="str">
            <v>24-Mar-2024</v>
          </cell>
          <cell r="C585" t="str">
            <v>CHENNAI</v>
          </cell>
          <cell r="D585" t="str">
            <v>Blue Dart</v>
          </cell>
          <cell r="E585" t="str">
            <v>ROAD</v>
          </cell>
          <cell r="F585" t="str">
            <v xml:space="preserve"> AUTOMOTIVE PARTS </v>
          </cell>
          <cell r="G585" t="str">
            <v xml:space="preserve">north </v>
          </cell>
          <cell r="I585" t="str">
            <v>31.1</v>
          </cell>
          <cell r="J585" t="str">
            <v>592</v>
          </cell>
          <cell r="K585">
            <v>8</v>
          </cell>
          <cell r="L585" t="str">
            <v xml:space="preserve"> 02/04/2024 </v>
          </cell>
          <cell r="M585" t="str">
            <v xml:space="preserve"> Delayed</v>
          </cell>
          <cell r="N585">
            <v>3</v>
          </cell>
          <cell r="O585" t="str">
            <v>No</v>
          </cell>
        </row>
        <row r="586">
          <cell r="A586" t="str">
            <v>SHP-100687</v>
          </cell>
          <cell r="B586" t="str">
            <v>07/01/2024</v>
          </cell>
          <cell r="C586" t="str">
            <v>bengaluru</v>
          </cell>
          <cell r="D586" t="str">
            <v>ECOM EXPRESS</v>
          </cell>
          <cell r="E586" t="str">
            <v>road</v>
          </cell>
          <cell r="F586" t="str">
            <v xml:space="preserve"> AUTOMOTIVE PARTS </v>
          </cell>
          <cell r="G586" t="str">
            <v>South</v>
          </cell>
          <cell r="I586" t="str">
            <v xml:space="preserve">31.3 Kg </v>
          </cell>
          <cell r="J586" t="str">
            <v>₹483</v>
          </cell>
          <cell r="K586">
            <v>6</v>
          </cell>
          <cell r="L586" t="str">
            <v>2024-01-14</v>
          </cell>
          <cell r="M586" t="str">
            <v xml:space="preserve"> Delayed</v>
          </cell>
          <cell r="N586">
            <v>3</v>
          </cell>
          <cell r="O586" t="str">
            <v>N</v>
          </cell>
        </row>
        <row r="587">
          <cell r="A587" t="str">
            <v>SHP-100989</v>
          </cell>
          <cell r="B587" t="str">
            <v xml:space="preserve"> 19/05/2024 </v>
          </cell>
          <cell r="C587" t="str">
            <v>Kolkata</v>
          </cell>
          <cell r="D587" t="str">
            <v>delhivery</v>
          </cell>
          <cell r="E587" t="str">
            <v xml:space="preserve"> AIR </v>
          </cell>
          <cell r="F587" t="str">
            <v>Grocery  &amp; FMCG</v>
          </cell>
          <cell r="G587" t="str">
            <v>NORTH</v>
          </cell>
          <cell r="I587" t="str">
            <v xml:space="preserve">5.4 Kg </v>
          </cell>
          <cell r="J587" t="str">
            <v>₹414</v>
          </cell>
          <cell r="K587">
            <v>4</v>
          </cell>
          <cell r="L587" t="str">
            <v>24/05/2024</v>
          </cell>
          <cell r="M587" t="str">
            <v xml:space="preserve"> Delayed</v>
          </cell>
          <cell r="N587">
            <v>5</v>
          </cell>
          <cell r="O587" t="str">
            <v>no</v>
          </cell>
        </row>
        <row r="588">
          <cell r="A588" t="str">
            <v>SHP-100467</v>
          </cell>
          <cell r="B588" t="str">
            <v xml:space="preserve"> 03/06/2024 </v>
          </cell>
          <cell r="C588" t="str">
            <v xml:space="preserve"> KOLKATA </v>
          </cell>
          <cell r="D588" t="str">
            <v>Blue Dart</v>
          </cell>
          <cell r="E588" t="str">
            <v>Surface</v>
          </cell>
          <cell r="F588" t="str">
            <v>Electronics</v>
          </cell>
          <cell r="G588" t="str">
            <v>south</v>
          </cell>
          <cell r="I588" t="str">
            <v>7.6</v>
          </cell>
          <cell r="J588" t="str">
            <v>339</v>
          </cell>
          <cell r="K588">
            <v>6</v>
          </cell>
          <cell r="L588" t="str">
            <v>2024-06-10</v>
          </cell>
          <cell r="M588" t="str">
            <v>Delayed</v>
          </cell>
          <cell r="N588">
            <v>2</v>
          </cell>
          <cell r="O588" t="str">
            <v>No</v>
          </cell>
        </row>
        <row r="589">
          <cell r="A589" t="str">
            <v>SHP-101318</v>
          </cell>
          <cell r="B589" t="str">
            <v>04/03/2024</v>
          </cell>
          <cell r="C589" t="str">
            <v xml:space="preserve">mumbai </v>
          </cell>
          <cell r="D589" t="str">
            <v>Ecom  Express</v>
          </cell>
          <cell r="E589" t="str">
            <v>Surface</v>
          </cell>
          <cell r="F589" t="str">
            <v>Grocery  &amp; FMCG</v>
          </cell>
          <cell r="G589" t="str">
            <v xml:space="preserve">north </v>
          </cell>
          <cell r="I589" t="str">
            <v>18.7</v>
          </cell>
          <cell r="J589" t="str">
            <v xml:space="preserve">Rs 572 </v>
          </cell>
          <cell r="K589">
            <v>6</v>
          </cell>
          <cell r="L589" t="str">
            <v>11-Mar-2024</v>
          </cell>
          <cell r="M589" t="str">
            <v>DELAYED</v>
          </cell>
          <cell r="N589">
            <v>4</v>
          </cell>
          <cell r="O589" t="str">
            <v>N</v>
          </cell>
        </row>
        <row r="590">
          <cell r="A590" t="str">
            <v>SHP-100642</v>
          </cell>
          <cell r="B590" t="str">
            <v>04/01/2024</v>
          </cell>
          <cell r="C590" t="str">
            <v>BENGALURU</v>
          </cell>
          <cell r="D590" t="str">
            <v>Xpress Bees</v>
          </cell>
          <cell r="E590" t="str">
            <v>air</v>
          </cell>
          <cell r="F590" t="str">
            <v>furniture</v>
          </cell>
          <cell r="G590" t="str">
            <v>WEST</v>
          </cell>
          <cell r="I590" t="str">
            <v>74.6KG</v>
          </cell>
          <cell r="J590" t="str">
            <v>₹3,540</v>
          </cell>
          <cell r="K590">
            <v>4</v>
          </cell>
          <cell r="L590" t="str">
            <v>2024-01-09</v>
          </cell>
          <cell r="M590" t="str">
            <v xml:space="preserve">delayed </v>
          </cell>
          <cell r="N590">
            <v>4</v>
          </cell>
          <cell r="O590" t="str">
            <v xml:space="preserve"> No</v>
          </cell>
        </row>
        <row r="591">
          <cell r="A591" t="str">
            <v>SHP-101441</v>
          </cell>
          <cell r="B591" t="str">
            <v xml:space="preserve"> 09/04/2024 </v>
          </cell>
          <cell r="C591" t="str">
            <v xml:space="preserve"> KOLKATA </v>
          </cell>
          <cell r="D591" t="str">
            <v xml:space="preserve">Dtdc </v>
          </cell>
          <cell r="E591" t="str">
            <v>surface</v>
          </cell>
          <cell r="F591" t="str">
            <v xml:space="preserve">  PHARMA </v>
          </cell>
          <cell r="G591" t="str">
            <v xml:space="preserve"> EAST </v>
          </cell>
          <cell r="I591" t="str">
            <v>4.5KG</v>
          </cell>
          <cell r="J591" t="str">
            <v>₹142</v>
          </cell>
          <cell r="K591">
            <v>4</v>
          </cell>
          <cell r="L591" t="str">
            <v>12/04/2024</v>
          </cell>
          <cell r="M591" t="str">
            <v>delivered</v>
          </cell>
          <cell r="N591">
            <v>3</v>
          </cell>
          <cell r="O591" t="str">
            <v>No</v>
          </cell>
        </row>
        <row r="592">
          <cell r="A592" t="str">
            <v>SHP-101486</v>
          </cell>
          <cell r="B592" t="str">
            <v>07-Jan-2024</v>
          </cell>
          <cell r="C592" t="str">
            <v xml:space="preserve">delhi </v>
          </cell>
          <cell r="D592" t="str">
            <v xml:space="preserve"> Delhivery</v>
          </cell>
          <cell r="E592" t="str">
            <v>Air</v>
          </cell>
          <cell r="F592" t="str">
            <v>furniture</v>
          </cell>
          <cell r="G592" t="str">
            <v xml:space="preserve">south </v>
          </cell>
          <cell r="I592" t="str">
            <v xml:space="preserve">59.1 Kg </v>
          </cell>
          <cell r="J592" t="str">
            <v>2,792</v>
          </cell>
          <cell r="K592">
            <v>4</v>
          </cell>
          <cell r="L592" t="str">
            <v xml:space="preserve"> 13/01/2024 </v>
          </cell>
          <cell r="M592" t="str">
            <v xml:space="preserve"> Delayed</v>
          </cell>
          <cell r="N592">
            <v>4</v>
          </cell>
          <cell r="O592" t="str">
            <v>No</v>
          </cell>
        </row>
        <row r="593">
          <cell r="A593" t="str">
            <v>SHP-100744</v>
          </cell>
          <cell r="B593" t="str">
            <v xml:space="preserve"> 17/01/2024 </v>
          </cell>
          <cell r="C593" t="str">
            <v>kolkata</v>
          </cell>
          <cell r="D593" t="str">
            <v xml:space="preserve"> XPRESSBEES</v>
          </cell>
          <cell r="E593" t="str">
            <v xml:space="preserve"> AIR </v>
          </cell>
          <cell r="F593" t="str">
            <v>GROCERY &amp; FMCG</v>
          </cell>
          <cell r="G593" t="str">
            <v>east</v>
          </cell>
          <cell r="I593" t="str">
            <v>11.9</v>
          </cell>
          <cell r="J593" t="str">
            <v xml:space="preserve">Rs 510 </v>
          </cell>
          <cell r="K593">
            <v>2</v>
          </cell>
          <cell r="L593" t="str">
            <v>2024-01-27</v>
          </cell>
          <cell r="M593" t="str">
            <v xml:space="preserve">delayed </v>
          </cell>
          <cell r="N593">
            <v>2</v>
          </cell>
          <cell r="O593" t="str">
            <v>No</v>
          </cell>
        </row>
        <row r="594">
          <cell r="A594" t="str">
            <v>SHP-100827</v>
          </cell>
          <cell r="B594" t="str">
            <v>10-Feb-2024</v>
          </cell>
          <cell r="C594" t="str">
            <v>chennai</v>
          </cell>
          <cell r="D594" t="str">
            <v>Ecom Express</v>
          </cell>
          <cell r="E594" t="str">
            <v xml:space="preserve">surface </v>
          </cell>
          <cell r="F594" t="str">
            <v xml:space="preserve"> ELECTRONICS </v>
          </cell>
          <cell r="G594" t="str">
            <v>east</v>
          </cell>
          <cell r="I594" t="str">
            <v xml:space="preserve">10.7 Kg </v>
          </cell>
          <cell r="J594" t="str">
            <v>374</v>
          </cell>
          <cell r="K594">
            <v>6</v>
          </cell>
          <cell r="L594" t="str">
            <v>15-Feb-2024</v>
          </cell>
          <cell r="M594" t="str">
            <v xml:space="preserve"> Delivered</v>
          </cell>
          <cell r="N594">
            <v>4</v>
          </cell>
          <cell r="O594" t="str">
            <v>Y</v>
          </cell>
        </row>
        <row r="595">
          <cell r="A595" t="str">
            <v>SHP-100041</v>
          </cell>
          <cell r="B595" t="str">
            <v>25/04/2024</v>
          </cell>
          <cell r="C595" t="str">
            <v>Bengaluru</v>
          </cell>
          <cell r="D595" t="str">
            <v xml:space="preserve">Dtdc </v>
          </cell>
          <cell r="E595" t="str">
            <v>ROAD</v>
          </cell>
          <cell r="F595" t="str">
            <v xml:space="preserve"> AUTOMOTIVE PARTS </v>
          </cell>
          <cell r="G595" t="str">
            <v xml:space="preserve"> WEST </v>
          </cell>
          <cell r="I595" t="str">
            <v>38.5kg</v>
          </cell>
          <cell r="J595" t="str">
            <v>₹729</v>
          </cell>
          <cell r="K595">
            <v>8</v>
          </cell>
          <cell r="L595" t="str">
            <v>2024-05-10</v>
          </cell>
          <cell r="M595" t="str">
            <v>Delayed</v>
          </cell>
          <cell r="N595">
            <v>5</v>
          </cell>
          <cell r="O595" t="str">
            <v xml:space="preserve"> No</v>
          </cell>
        </row>
        <row r="596">
          <cell r="A596" t="str">
            <v>SHP-101453</v>
          </cell>
          <cell r="B596" t="str">
            <v>07/04/2024</v>
          </cell>
          <cell r="C596" t="str">
            <v>kolkata</v>
          </cell>
          <cell r="D596" t="str">
            <v>DELHIVERY</v>
          </cell>
          <cell r="E596" t="str">
            <v>Air</v>
          </cell>
          <cell r="F596" t="str">
            <v xml:space="preserve"> FURNITURE </v>
          </cell>
          <cell r="G596" t="str">
            <v>West</v>
          </cell>
          <cell r="I596" t="str">
            <v>53.8</v>
          </cell>
          <cell r="J596" t="str">
            <v>₹2,546</v>
          </cell>
          <cell r="K596">
            <v>4</v>
          </cell>
          <cell r="L596" t="str">
            <v>11-Apr-2024</v>
          </cell>
          <cell r="M596" t="str">
            <v>Delivered</v>
          </cell>
          <cell r="N596">
            <v>5</v>
          </cell>
          <cell r="O596" t="str">
            <v>YES</v>
          </cell>
        </row>
        <row r="597">
          <cell r="A597" t="str">
            <v>SHP-100469</v>
          </cell>
          <cell r="B597" t="str">
            <v xml:space="preserve"> 26/03/2024 </v>
          </cell>
          <cell r="C597" t="str">
            <v>kolkata</v>
          </cell>
          <cell r="D597" t="str">
            <v>delhivery</v>
          </cell>
          <cell r="E597" t="str">
            <v xml:space="preserve"> ROAD </v>
          </cell>
          <cell r="F597" t="str">
            <v>Pharma</v>
          </cell>
          <cell r="G597" t="str">
            <v xml:space="preserve"> WEST </v>
          </cell>
          <cell r="I597" t="str">
            <v>2.7KG</v>
          </cell>
          <cell r="J597" t="str">
            <v>₹161</v>
          </cell>
          <cell r="K597">
            <v>8</v>
          </cell>
          <cell r="L597" t="str">
            <v>04/04/2024</v>
          </cell>
          <cell r="M597" t="str">
            <v xml:space="preserve"> Delayed</v>
          </cell>
          <cell r="N597">
            <v>2</v>
          </cell>
          <cell r="O597" t="str">
            <v>YES</v>
          </cell>
        </row>
        <row r="598">
          <cell r="A598" t="str">
            <v>SHP-101098</v>
          </cell>
          <cell r="B598" t="str">
            <v>14-Jun-2024</v>
          </cell>
          <cell r="C598" t="str">
            <v>Kolkata</v>
          </cell>
          <cell r="D598" t="str">
            <v>xpressbees</v>
          </cell>
          <cell r="E598" t="str">
            <v>AIR</v>
          </cell>
          <cell r="F598" t="str">
            <v>ELECTRONICS</v>
          </cell>
          <cell r="G598" t="str">
            <v xml:space="preserve">west </v>
          </cell>
          <cell r="I598" t="str">
            <v>5.6KG</v>
          </cell>
          <cell r="J598" t="str">
            <v>388</v>
          </cell>
          <cell r="K598">
            <v>4</v>
          </cell>
          <cell r="L598" t="str">
            <v>17/06/2024</v>
          </cell>
          <cell r="M598" t="str">
            <v>DELIVERED</v>
          </cell>
          <cell r="N598">
            <v>4</v>
          </cell>
          <cell r="O598" t="str">
            <v>Y</v>
          </cell>
        </row>
        <row r="599">
          <cell r="A599" t="str">
            <v>SHP-101392</v>
          </cell>
          <cell r="B599" t="str">
            <v xml:space="preserve"> 11/02/2024 </v>
          </cell>
          <cell r="C599" t="str">
            <v xml:space="preserve"> MUMBAI </v>
          </cell>
          <cell r="D599" t="str">
            <v>Delhivery</v>
          </cell>
          <cell r="E599" t="str">
            <v xml:space="preserve"> AIR </v>
          </cell>
          <cell r="F599" t="str">
            <v xml:space="preserve"> GROCERY &amp; FMCG </v>
          </cell>
          <cell r="G599" t="str">
            <v xml:space="preserve"> WEST </v>
          </cell>
          <cell r="I599" t="str">
            <v>4.9kg</v>
          </cell>
          <cell r="J599" t="str">
            <v>₹268</v>
          </cell>
          <cell r="K599">
            <v>2</v>
          </cell>
          <cell r="L599" t="str">
            <v>2024-02-12</v>
          </cell>
          <cell r="M599" t="str">
            <v>delivered</v>
          </cell>
          <cell r="N599">
            <v>5</v>
          </cell>
          <cell r="O599" t="str">
            <v xml:space="preserve"> No</v>
          </cell>
        </row>
        <row r="600">
          <cell r="A600" t="str">
            <v>SHP-100874</v>
          </cell>
          <cell r="B600" t="str">
            <v>07-Jan-2024</v>
          </cell>
          <cell r="C600" t="str">
            <v>delhi</v>
          </cell>
          <cell r="D600" t="str">
            <v>delhivery</v>
          </cell>
          <cell r="E600" t="str">
            <v xml:space="preserve"> SURFACE </v>
          </cell>
          <cell r="F600" t="str">
            <v>Electronics</v>
          </cell>
          <cell r="G600" t="str">
            <v xml:space="preserve"> EAST </v>
          </cell>
          <cell r="I600" t="str">
            <v>13.8KG</v>
          </cell>
          <cell r="J600" t="str">
            <v xml:space="preserve">Rs 513 </v>
          </cell>
          <cell r="K600">
            <v>6</v>
          </cell>
          <cell r="L600" t="str">
            <v>13/01/2024</v>
          </cell>
          <cell r="M600" t="str">
            <v>Delivered</v>
          </cell>
          <cell r="N600">
            <v>3</v>
          </cell>
          <cell r="O600" t="str">
            <v xml:space="preserve"> No</v>
          </cell>
        </row>
        <row r="601">
          <cell r="I601" t="str">
            <v>16.1kg</v>
          </cell>
        </row>
        <row r="602">
          <cell r="A602" t="str">
            <v>SHP-101202</v>
          </cell>
          <cell r="B602" t="str">
            <v>01-Feb-2024</v>
          </cell>
          <cell r="C602" t="str">
            <v>DELHI</v>
          </cell>
          <cell r="D602" t="str">
            <v>ecom express</v>
          </cell>
          <cell r="E602" t="str">
            <v>road</v>
          </cell>
          <cell r="F602" t="str">
            <v xml:space="preserve">apparel </v>
          </cell>
          <cell r="G602" t="str">
            <v>East</v>
          </cell>
          <cell r="I602" t="str">
            <v>1.4kg</v>
          </cell>
          <cell r="J602" t="str">
            <v>212</v>
          </cell>
          <cell r="K602">
            <v>8</v>
          </cell>
          <cell r="L602" t="str">
            <v>10-Feb-2024</v>
          </cell>
          <cell r="M602" t="str">
            <v>Delayed</v>
          </cell>
          <cell r="N602">
            <v>2</v>
          </cell>
          <cell r="O602" t="str">
            <v xml:space="preserve"> No</v>
          </cell>
        </row>
        <row r="603">
          <cell r="A603" t="str">
            <v>SHP-100003</v>
          </cell>
          <cell r="B603" t="str">
            <v>2024-04-05</v>
          </cell>
          <cell r="C603" t="str">
            <v xml:space="preserve">hyderabad </v>
          </cell>
          <cell r="D603" t="str">
            <v>XpressBees</v>
          </cell>
          <cell r="E603" t="str">
            <v xml:space="preserve">road </v>
          </cell>
          <cell r="F603" t="str">
            <v>FURNITURE</v>
          </cell>
          <cell r="G603" t="str">
            <v>West</v>
          </cell>
          <cell r="I603" t="str">
            <v>39.9</v>
          </cell>
          <cell r="J603" t="str">
            <v xml:space="preserve">Rs 541 </v>
          </cell>
          <cell r="K603">
            <v>6</v>
          </cell>
          <cell r="L603" t="str">
            <v>2024-04-12</v>
          </cell>
          <cell r="M603" t="str">
            <v>DELAYED</v>
          </cell>
          <cell r="N603">
            <v>1</v>
          </cell>
          <cell r="O603" t="str">
            <v>N</v>
          </cell>
        </row>
        <row r="604">
          <cell r="A604" t="str">
            <v>SHP-101428</v>
          </cell>
          <cell r="B604" t="str">
            <v xml:space="preserve"> 11/03/2024 </v>
          </cell>
          <cell r="C604" t="str">
            <v xml:space="preserve">delhi </v>
          </cell>
          <cell r="D604" t="str">
            <v>Xpress Bees</v>
          </cell>
          <cell r="E604" t="str">
            <v>Road</v>
          </cell>
          <cell r="F604" t="str">
            <v>Furniture</v>
          </cell>
          <cell r="G604" t="str">
            <v>north</v>
          </cell>
          <cell r="I604" t="str">
            <v>45.5KG</v>
          </cell>
          <cell r="J604" t="str">
            <v>₹656</v>
          </cell>
          <cell r="K604">
            <v>6</v>
          </cell>
          <cell r="L604" t="str">
            <v>26/03/2024</v>
          </cell>
          <cell r="M604" t="str">
            <v>DELAYED</v>
          </cell>
          <cell r="N604">
            <v>4</v>
          </cell>
          <cell r="O604" t="str">
            <v>Y</v>
          </cell>
        </row>
        <row r="605">
          <cell r="A605" t="str">
            <v>SHP-100975</v>
          </cell>
          <cell r="B605" t="str">
            <v xml:space="preserve"> 25/01/2024 </v>
          </cell>
          <cell r="C605" t="str">
            <v>BENGALURU</v>
          </cell>
          <cell r="D605" t="str">
            <v>bluedart</v>
          </cell>
          <cell r="E605" t="str">
            <v xml:space="preserve"> SURFACE </v>
          </cell>
          <cell r="F605" t="str">
            <v xml:space="preserve">furniture </v>
          </cell>
          <cell r="G605" t="str">
            <v xml:space="preserve">east </v>
          </cell>
          <cell r="I605" t="str">
            <v>19.6kg</v>
          </cell>
          <cell r="J605" t="str">
            <v>₹584</v>
          </cell>
          <cell r="K605">
            <v>6</v>
          </cell>
          <cell r="L605" t="str">
            <v xml:space="preserve"> 31/01/2024 </v>
          </cell>
          <cell r="M605" t="str">
            <v xml:space="preserve"> Delivered</v>
          </cell>
          <cell r="N605">
            <v>4</v>
          </cell>
          <cell r="O605" t="str">
            <v>Yes</v>
          </cell>
        </row>
        <row r="606">
          <cell r="A606" t="str">
            <v>SHP-100011</v>
          </cell>
          <cell r="B606" t="str">
            <v>2024-06-10</v>
          </cell>
          <cell r="C606" t="str">
            <v xml:space="preserve"> MUMBAI </v>
          </cell>
          <cell r="D606" t="str">
            <v>xpressbees</v>
          </cell>
          <cell r="E606" t="str">
            <v>Road</v>
          </cell>
          <cell r="F606" t="str">
            <v xml:space="preserve"> APPAREL </v>
          </cell>
          <cell r="G606" t="str">
            <v xml:space="preserve"> SOUTH </v>
          </cell>
          <cell r="I606" t="str">
            <v>1.7kg</v>
          </cell>
          <cell r="J606" t="str">
            <v xml:space="preserve">Rs 174 </v>
          </cell>
          <cell r="K606">
            <v>8</v>
          </cell>
          <cell r="L606" t="str">
            <v>17-Jun-2024</v>
          </cell>
          <cell r="M606" t="str">
            <v>DELIVERED</v>
          </cell>
          <cell r="N606">
            <v>4</v>
          </cell>
          <cell r="O606" t="str">
            <v>no</v>
          </cell>
        </row>
        <row r="607">
          <cell r="A607" t="str">
            <v>SHP-101328</v>
          </cell>
          <cell r="B607" t="str">
            <v>17/04/2024</v>
          </cell>
          <cell r="C607" t="str">
            <v xml:space="preserve"> DELHI </v>
          </cell>
          <cell r="D607" t="str">
            <v>DELHIVERY</v>
          </cell>
          <cell r="E607" t="str">
            <v>ROAD</v>
          </cell>
          <cell r="F607" t="str">
            <v>GROCERY &amp; FMCG</v>
          </cell>
          <cell r="G607" t="str">
            <v>West</v>
          </cell>
          <cell r="I607" t="str">
            <v>10.8KG</v>
          </cell>
          <cell r="J607" t="str">
            <v>315</v>
          </cell>
          <cell r="K607">
            <v>8</v>
          </cell>
          <cell r="L607" t="str">
            <v xml:space="preserve"> 25/04/2024 </v>
          </cell>
          <cell r="M607" t="str">
            <v xml:space="preserve"> Delivered</v>
          </cell>
          <cell r="N607">
            <v>4</v>
          </cell>
          <cell r="O607" t="str">
            <v>N</v>
          </cell>
        </row>
        <row r="608">
          <cell r="A608" t="str">
            <v>SHP-100968</v>
          </cell>
          <cell r="B608" t="str">
            <v xml:space="preserve"> 13/04/2024 </v>
          </cell>
          <cell r="C608" t="str">
            <v>Delhi</v>
          </cell>
          <cell r="D608" t="str">
            <v>Blue Dart</v>
          </cell>
          <cell r="E608" t="str">
            <v xml:space="preserve"> SURFACE </v>
          </cell>
          <cell r="F608" t="str">
            <v>automotive parts</v>
          </cell>
          <cell r="G608" t="str">
            <v xml:space="preserve"> EAST </v>
          </cell>
          <cell r="I608" t="str">
            <v xml:space="preserve">37.1 Kg </v>
          </cell>
          <cell r="J608" t="str">
            <v xml:space="preserve">Rs 977 </v>
          </cell>
          <cell r="K608">
            <v>6</v>
          </cell>
          <cell r="L608" t="str">
            <v>18-Apr-2024</v>
          </cell>
          <cell r="M608" t="str">
            <v>DELIVERED</v>
          </cell>
          <cell r="N608">
            <v>5</v>
          </cell>
          <cell r="O608" t="str">
            <v xml:space="preserve">yes </v>
          </cell>
        </row>
        <row r="609">
          <cell r="A609" t="str">
            <v>SHP-100521</v>
          </cell>
          <cell r="B609" t="str">
            <v>2024-06-17</v>
          </cell>
          <cell r="C609" t="str">
            <v>Hyderabad</v>
          </cell>
          <cell r="D609" t="str">
            <v>ECOM EXPRESS</v>
          </cell>
          <cell r="E609" t="str">
            <v>surface</v>
          </cell>
          <cell r="F609" t="str">
            <v>automotive parts</v>
          </cell>
          <cell r="G609" t="str">
            <v>WEST</v>
          </cell>
          <cell r="I609" t="str">
            <v>34.5kg</v>
          </cell>
          <cell r="J609" t="str">
            <v>₹776</v>
          </cell>
          <cell r="K609">
            <v>4</v>
          </cell>
          <cell r="L609" t="str">
            <v>2024-06-25</v>
          </cell>
          <cell r="M609" t="str">
            <v xml:space="preserve"> DAMAGED</v>
          </cell>
          <cell r="O609" t="str">
            <v>Yes</v>
          </cell>
        </row>
        <row r="610">
          <cell r="A610" t="str">
            <v>SHP-101230</v>
          </cell>
          <cell r="B610" t="str">
            <v xml:space="preserve"> 18/01/2024 </v>
          </cell>
          <cell r="C610" t="str">
            <v xml:space="preserve">kolkata </v>
          </cell>
          <cell r="D610" t="str">
            <v>bluedart</v>
          </cell>
          <cell r="E610" t="str">
            <v>Road</v>
          </cell>
          <cell r="F610" t="str">
            <v xml:space="preserve"> APPAREL </v>
          </cell>
          <cell r="G610" t="str">
            <v>south</v>
          </cell>
          <cell r="I610" t="str">
            <v>3.9KG</v>
          </cell>
          <cell r="J610" t="str">
            <v>₹219</v>
          </cell>
          <cell r="K610">
            <v>8</v>
          </cell>
          <cell r="L610" t="str">
            <v>26/01/2024</v>
          </cell>
          <cell r="M610" t="str">
            <v>DELIVERED</v>
          </cell>
          <cell r="N610">
            <v>5</v>
          </cell>
          <cell r="O610" t="str">
            <v>no</v>
          </cell>
        </row>
        <row r="611">
          <cell r="A611" t="str">
            <v>SHP-100631</v>
          </cell>
          <cell r="B611" t="str">
            <v>25/03/2024</v>
          </cell>
          <cell r="C611" t="str">
            <v xml:space="preserve">mumbai </v>
          </cell>
          <cell r="D611" t="str">
            <v>delhivery</v>
          </cell>
          <cell r="E611" t="str">
            <v>ROAD</v>
          </cell>
          <cell r="F611" t="str">
            <v>AUTOMOTIVE PARTS</v>
          </cell>
          <cell r="G611" t="str">
            <v>South</v>
          </cell>
          <cell r="I611" t="str">
            <v>34.0kg</v>
          </cell>
          <cell r="J611" t="str">
            <v>629</v>
          </cell>
          <cell r="K611">
            <v>8</v>
          </cell>
          <cell r="L611" t="str">
            <v>01-Apr-2024</v>
          </cell>
          <cell r="M611" t="str">
            <v>Delivered</v>
          </cell>
          <cell r="N611">
            <v>3</v>
          </cell>
          <cell r="O611" t="str">
            <v xml:space="preserve"> No</v>
          </cell>
        </row>
        <row r="612">
          <cell r="A612" t="str">
            <v>SHP-100976</v>
          </cell>
          <cell r="B612" t="str">
            <v>04-Apr-2024</v>
          </cell>
          <cell r="C612" t="str">
            <v>MUMBAI</v>
          </cell>
          <cell r="D612" t="str">
            <v>delhivery</v>
          </cell>
          <cell r="E612" t="str">
            <v>SURFACE</v>
          </cell>
          <cell r="F612" t="str">
            <v xml:space="preserve"> PHARMA </v>
          </cell>
          <cell r="G612" t="str">
            <v>south</v>
          </cell>
          <cell r="I612" t="str">
            <v>3.4KG</v>
          </cell>
          <cell r="J612" t="str">
            <v xml:space="preserve">Rs 209 </v>
          </cell>
          <cell r="K612">
            <v>6</v>
          </cell>
          <cell r="L612" t="str">
            <v xml:space="preserve"> 09/04/2024 </v>
          </cell>
          <cell r="M612" t="str">
            <v>DELIVERED</v>
          </cell>
          <cell r="N612">
            <v>4</v>
          </cell>
          <cell r="O612" t="str">
            <v>no</v>
          </cell>
        </row>
        <row r="613">
          <cell r="A613" t="str">
            <v>SHP-100716</v>
          </cell>
          <cell r="B613" t="str">
            <v xml:space="preserve"> 07/03/2024 </v>
          </cell>
          <cell r="C613" t="str">
            <v xml:space="preserve">chennai </v>
          </cell>
          <cell r="D613" t="str">
            <v xml:space="preserve"> XPRESSBEES</v>
          </cell>
          <cell r="E613" t="str">
            <v>air</v>
          </cell>
          <cell r="F613" t="str">
            <v xml:space="preserve"> FURNITURE </v>
          </cell>
          <cell r="G613" t="str">
            <v xml:space="preserve"> NORTH </v>
          </cell>
          <cell r="I613" t="str">
            <v>53.7kg</v>
          </cell>
          <cell r="J613" t="str">
            <v>₹2,549</v>
          </cell>
          <cell r="K613">
            <v>4</v>
          </cell>
          <cell r="L613" t="str">
            <v>12-Mar-2024</v>
          </cell>
          <cell r="M613" t="str">
            <v>damaged</v>
          </cell>
          <cell r="O613" t="str">
            <v>No</v>
          </cell>
        </row>
        <row r="614">
          <cell r="A614" t="str">
            <v>SHP-101095</v>
          </cell>
          <cell r="B614" t="str">
            <v xml:space="preserve"> 10/03/2024 </v>
          </cell>
          <cell r="C614" t="str">
            <v>BENGALURU</v>
          </cell>
          <cell r="D614" t="str">
            <v>DTDC</v>
          </cell>
          <cell r="E614" t="str">
            <v xml:space="preserve"> SURFACE </v>
          </cell>
          <cell r="F614" t="str">
            <v>ELECTRONICS</v>
          </cell>
          <cell r="G614" t="str">
            <v>south</v>
          </cell>
          <cell r="I614" t="str">
            <v>7.0kg</v>
          </cell>
          <cell r="J614" t="str">
            <v>₹177</v>
          </cell>
          <cell r="K614">
            <v>4</v>
          </cell>
          <cell r="L614" t="str">
            <v>2024-03-15</v>
          </cell>
          <cell r="M614" t="str">
            <v>DELAYED</v>
          </cell>
          <cell r="N614">
            <v>4</v>
          </cell>
          <cell r="O614" t="str">
            <v>YES</v>
          </cell>
        </row>
        <row r="615">
          <cell r="A615" t="str">
            <v>SHP-100097</v>
          </cell>
          <cell r="B615" t="str">
            <v>12/04/2024</v>
          </cell>
          <cell r="C615" t="str">
            <v xml:space="preserve">delhi </v>
          </cell>
          <cell r="D615" t="str">
            <v>Delhivery</v>
          </cell>
          <cell r="E615" t="str">
            <v>ROAD</v>
          </cell>
          <cell r="F615" t="str">
            <v xml:space="preserve"> APPAREL </v>
          </cell>
          <cell r="G615" t="str">
            <v xml:space="preserve"> EAST </v>
          </cell>
          <cell r="I615" t="str">
            <v>2.7KG</v>
          </cell>
          <cell r="J615" t="str">
            <v>₹223</v>
          </cell>
          <cell r="K615">
            <v>8</v>
          </cell>
          <cell r="L615" t="str">
            <v>25-Apr-2024</v>
          </cell>
          <cell r="M615" t="str">
            <v>DELAYED</v>
          </cell>
          <cell r="N615">
            <v>4</v>
          </cell>
          <cell r="O615" t="str">
            <v>No</v>
          </cell>
        </row>
        <row r="616">
          <cell r="A616" t="str">
            <v>SHP-100678</v>
          </cell>
          <cell r="B616" t="str">
            <v>24-May-2024</v>
          </cell>
          <cell r="C616" t="str">
            <v>mumbai</v>
          </cell>
          <cell r="D616" t="str">
            <v>ecom express</v>
          </cell>
          <cell r="E616" t="str">
            <v>Air</v>
          </cell>
          <cell r="F616" t="str">
            <v xml:space="preserve"> FURNITURE </v>
          </cell>
          <cell r="G616" t="str">
            <v>SOUTH</v>
          </cell>
          <cell r="I616" t="str">
            <v>61.8</v>
          </cell>
          <cell r="J616" t="str">
            <v>2,906</v>
          </cell>
          <cell r="K616">
            <v>4</v>
          </cell>
          <cell r="L616" t="str">
            <v xml:space="preserve"> 28/05/2024 </v>
          </cell>
          <cell r="M616" t="str">
            <v>DELIVERED</v>
          </cell>
          <cell r="N616">
            <v>5</v>
          </cell>
          <cell r="O616" t="str">
            <v xml:space="preserve">yes </v>
          </cell>
        </row>
        <row r="617">
          <cell r="A617" t="str">
            <v>SHP-100970</v>
          </cell>
          <cell r="B617" t="str">
            <v>2024-05-11</v>
          </cell>
          <cell r="C617" t="str">
            <v>HYDERABAD</v>
          </cell>
          <cell r="D617" t="str">
            <v>bluedart</v>
          </cell>
          <cell r="E617" t="str">
            <v>Surface</v>
          </cell>
          <cell r="F617" t="str">
            <v>pharma</v>
          </cell>
          <cell r="G617" t="str">
            <v>north</v>
          </cell>
          <cell r="I617" t="str">
            <v xml:space="preserve">1.5 Kg </v>
          </cell>
          <cell r="J617" t="str">
            <v>₹202</v>
          </cell>
          <cell r="K617">
            <v>6</v>
          </cell>
          <cell r="L617" t="str">
            <v>17/05/2024</v>
          </cell>
          <cell r="M617" t="str">
            <v>delivered</v>
          </cell>
          <cell r="N617">
            <v>4</v>
          </cell>
          <cell r="O617" t="str">
            <v>Y</v>
          </cell>
        </row>
        <row r="618">
          <cell r="A618" t="str">
            <v>SHP-100700</v>
          </cell>
          <cell r="B618" t="str">
            <v>21/03/2024</v>
          </cell>
          <cell r="C618" t="str">
            <v xml:space="preserve">bengaluru </v>
          </cell>
          <cell r="D618" t="str">
            <v>xpressbees</v>
          </cell>
          <cell r="E618" t="str">
            <v xml:space="preserve">road </v>
          </cell>
          <cell r="F618" t="str">
            <v xml:space="preserve">automotive parts </v>
          </cell>
          <cell r="G618" t="str">
            <v>north</v>
          </cell>
          <cell r="I618" t="str">
            <v xml:space="preserve">34.7 Kg </v>
          </cell>
          <cell r="J618" t="str">
            <v>₹656</v>
          </cell>
          <cell r="K618">
            <v>8</v>
          </cell>
          <cell r="L618" t="str">
            <v>30-Mar-2024</v>
          </cell>
          <cell r="M618" t="str">
            <v>DELAYED</v>
          </cell>
          <cell r="N618">
            <v>4</v>
          </cell>
          <cell r="O618" t="str">
            <v>Yes</v>
          </cell>
        </row>
        <row r="619">
          <cell r="A619" t="str">
            <v>SHP-101009</v>
          </cell>
          <cell r="B619" t="str">
            <v>2024-04-13</v>
          </cell>
          <cell r="C619" t="str">
            <v xml:space="preserve"> DELHI </v>
          </cell>
          <cell r="D619" t="str">
            <v>Ecom Express</v>
          </cell>
          <cell r="E619" t="str">
            <v>SURFACE</v>
          </cell>
          <cell r="F619" t="str">
            <v>AUTOMOTIVE PARTS</v>
          </cell>
          <cell r="G619" t="str">
            <v>WEST</v>
          </cell>
          <cell r="I619" t="str">
            <v xml:space="preserve">20.0 Kg </v>
          </cell>
          <cell r="J619" t="str">
            <v xml:space="preserve">Rs 608 </v>
          </cell>
          <cell r="K619">
            <v>6</v>
          </cell>
          <cell r="L619" t="str">
            <v>2024-04-18</v>
          </cell>
          <cell r="M619" t="str">
            <v xml:space="preserve"> Delivered</v>
          </cell>
          <cell r="N619">
            <v>5</v>
          </cell>
          <cell r="O619" t="str">
            <v>Y</v>
          </cell>
        </row>
        <row r="620">
          <cell r="A620" t="str">
            <v>SHP-101127</v>
          </cell>
          <cell r="B620" t="str">
            <v>23-Apr-2024</v>
          </cell>
          <cell r="C620" t="str">
            <v xml:space="preserve"> HYDERABAD </v>
          </cell>
          <cell r="D620" t="str">
            <v>Xpress Bees</v>
          </cell>
          <cell r="E620" t="str">
            <v xml:space="preserve"> SURFACE </v>
          </cell>
          <cell r="F620" t="str">
            <v xml:space="preserve">  AUTOMOTIVE PARTS </v>
          </cell>
          <cell r="G620" t="str">
            <v xml:space="preserve"> SOUTH </v>
          </cell>
          <cell r="I620" t="str">
            <v>24.8</v>
          </cell>
          <cell r="J620" t="str">
            <v>₹742</v>
          </cell>
          <cell r="K620">
            <v>6</v>
          </cell>
          <cell r="L620" t="str">
            <v>29/04/2024</v>
          </cell>
          <cell r="M620" t="str">
            <v>DELIVERED</v>
          </cell>
          <cell r="N620">
            <v>5</v>
          </cell>
          <cell r="O620" t="str">
            <v>No</v>
          </cell>
        </row>
        <row r="621">
          <cell r="A621" t="str">
            <v>SHP-101519</v>
          </cell>
          <cell r="B621" t="str">
            <v>13/06/2024</v>
          </cell>
          <cell r="C621" t="str">
            <v>Kolkata</v>
          </cell>
          <cell r="D621" t="str">
            <v xml:space="preserve"> DTDC</v>
          </cell>
          <cell r="E621" t="str">
            <v>Road</v>
          </cell>
          <cell r="F621" t="str">
            <v>GROCERY &amp; FMCG</v>
          </cell>
          <cell r="G621" t="str">
            <v>North</v>
          </cell>
          <cell r="I621" t="str">
            <v>14.5kg</v>
          </cell>
          <cell r="J621" t="str">
            <v>372</v>
          </cell>
          <cell r="K621">
            <v>8</v>
          </cell>
          <cell r="L621" t="str">
            <v>2024-06-21</v>
          </cell>
          <cell r="M621" t="str">
            <v>DELIVERED</v>
          </cell>
          <cell r="N621">
            <v>5</v>
          </cell>
          <cell r="O621" t="str">
            <v>N</v>
          </cell>
        </row>
        <row r="622">
          <cell r="A622" t="str">
            <v>SHP-101145</v>
          </cell>
          <cell r="B622" t="str">
            <v>10-Feb-2024</v>
          </cell>
          <cell r="C622" t="str">
            <v>BENGALURU</v>
          </cell>
          <cell r="D622" t="str">
            <v>Blue Dart</v>
          </cell>
          <cell r="E622" t="str">
            <v>Air</v>
          </cell>
          <cell r="F622" t="str">
            <v>Electronics</v>
          </cell>
          <cell r="G622" t="str">
            <v xml:space="preserve"> EAST </v>
          </cell>
          <cell r="I622" t="str">
            <v xml:space="preserve">4.1 Kg </v>
          </cell>
          <cell r="J622" t="str">
            <v>384</v>
          </cell>
          <cell r="K622">
            <v>4</v>
          </cell>
          <cell r="L622" t="str">
            <v>2024-02-13</v>
          </cell>
          <cell r="M622" t="str">
            <v xml:space="preserve"> Delivered</v>
          </cell>
          <cell r="N622">
            <v>5</v>
          </cell>
          <cell r="O622" t="str">
            <v>YES</v>
          </cell>
        </row>
        <row r="623">
          <cell r="A623" t="str">
            <v>SHP-100948</v>
          </cell>
          <cell r="B623" t="str">
            <v xml:space="preserve"> 12/06/2024 </v>
          </cell>
          <cell r="C623" t="str">
            <v xml:space="preserve"> HYDERABAD </v>
          </cell>
          <cell r="D623" t="str">
            <v xml:space="preserve">BLUEDART </v>
          </cell>
          <cell r="E623" t="str">
            <v xml:space="preserve"> ROAD </v>
          </cell>
          <cell r="F623" t="str">
            <v>Grocery &amp; FMCG</v>
          </cell>
          <cell r="G623" t="str">
            <v>west</v>
          </cell>
          <cell r="I623" t="str">
            <v>17.9kg</v>
          </cell>
          <cell r="J623" t="str">
            <v>₹289</v>
          </cell>
          <cell r="K623">
            <v>6</v>
          </cell>
          <cell r="L623" t="str">
            <v>18-Jun-2024</v>
          </cell>
          <cell r="M623" t="str">
            <v>delivered</v>
          </cell>
          <cell r="N623">
            <v>4</v>
          </cell>
          <cell r="O623" t="str">
            <v xml:space="preserve"> No</v>
          </cell>
        </row>
        <row r="624">
          <cell r="A624" t="str">
            <v>SHP-100518</v>
          </cell>
          <cell r="B624" t="str">
            <v xml:space="preserve"> 10/01/2024 </v>
          </cell>
          <cell r="C624" t="str">
            <v xml:space="preserve"> BENGALURU </v>
          </cell>
          <cell r="D624" t="str">
            <v>delhivery</v>
          </cell>
          <cell r="E624" t="str">
            <v xml:space="preserve">surface </v>
          </cell>
          <cell r="F624" t="str">
            <v>grocery &amp; fmcg</v>
          </cell>
          <cell r="G624" t="str">
            <v xml:space="preserve">west </v>
          </cell>
          <cell r="I624" t="str">
            <v>14.8</v>
          </cell>
          <cell r="J624" t="str">
            <v>526</v>
          </cell>
          <cell r="K624">
            <v>6</v>
          </cell>
          <cell r="L624" t="str">
            <v>17/01/2024</v>
          </cell>
          <cell r="M624" t="str">
            <v>DELAYED</v>
          </cell>
          <cell r="N624">
            <v>3</v>
          </cell>
          <cell r="O624" t="str">
            <v>no</v>
          </cell>
        </row>
        <row r="625">
          <cell r="A625" t="str">
            <v>SHP-100885</v>
          </cell>
          <cell r="B625" t="str">
            <v>2024-04-07</v>
          </cell>
          <cell r="C625" t="str">
            <v>bengaluru</v>
          </cell>
          <cell r="D625" t="str">
            <v xml:space="preserve"> DTDC</v>
          </cell>
          <cell r="E625" t="str">
            <v xml:space="preserve">road </v>
          </cell>
          <cell r="F625" t="str">
            <v xml:space="preserve"> PHARMA </v>
          </cell>
          <cell r="G625" t="str">
            <v xml:space="preserve">east </v>
          </cell>
          <cell r="I625" t="str">
            <v>3.0KG</v>
          </cell>
          <cell r="J625" t="str">
            <v xml:space="preserve">Rs 208 </v>
          </cell>
          <cell r="K625">
            <v>8</v>
          </cell>
          <cell r="L625" t="str">
            <v xml:space="preserve"> 24/04/2024 </v>
          </cell>
          <cell r="M625" t="str">
            <v>Delayed</v>
          </cell>
          <cell r="N625">
            <v>1</v>
          </cell>
          <cell r="O625" t="str">
            <v xml:space="preserve"> No</v>
          </cell>
        </row>
        <row r="626">
          <cell r="A626" t="str">
            <v>SHP-100621</v>
          </cell>
          <cell r="B626" t="str">
            <v>20-Jan-2024</v>
          </cell>
          <cell r="C626" t="str">
            <v>BENGALURU</v>
          </cell>
          <cell r="D626" t="str">
            <v>Delhivery</v>
          </cell>
          <cell r="E626" t="str">
            <v>Road</v>
          </cell>
          <cell r="F626" t="str">
            <v>grocery &amp; fmcg</v>
          </cell>
          <cell r="G626" t="str">
            <v xml:space="preserve"> EAST </v>
          </cell>
          <cell r="I626" t="str">
            <v>10.3</v>
          </cell>
          <cell r="J626" t="str">
            <v>284</v>
          </cell>
          <cell r="K626">
            <v>8</v>
          </cell>
          <cell r="L626" t="str">
            <v xml:space="preserve"> 28/01/2024 </v>
          </cell>
          <cell r="M626" t="str">
            <v>Delivered</v>
          </cell>
          <cell r="N626">
            <v>4</v>
          </cell>
          <cell r="O626" t="str">
            <v>Y</v>
          </cell>
        </row>
        <row r="627">
          <cell r="A627" t="str">
            <v>SHP-100260</v>
          </cell>
          <cell r="B627" t="str">
            <v>20-Apr-2024</v>
          </cell>
          <cell r="C627" t="str">
            <v>KOLKATA</v>
          </cell>
          <cell r="D627" t="str">
            <v>ECOM EXPRESS</v>
          </cell>
          <cell r="E627" t="str">
            <v>surface</v>
          </cell>
          <cell r="F627" t="str">
            <v>FURNITURE</v>
          </cell>
          <cell r="G627" t="str">
            <v xml:space="preserve">south </v>
          </cell>
          <cell r="I627" t="str">
            <v>37.8</v>
          </cell>
          <cell r="J627" t="str">
            <v xml:space="preserve">Rs 992 </v>
          </cell>
          <cell r="K627">
            <v>6</v>
          </cell>
          <cell r="L627" t="str">
            <v>26/04/2024</v>
          </cell>
          <cell r="M627" t="str">
            <v>Delivered</v>
          </cell>
          <cell r="N627">
            <v>4</v>
          </cell>
          <cell r="O627" t="str">
            <v>no</v>
          </cell>
        </row>
        <row r="628">
          <cell r="A628" t="str">
            <v>SHP-100568</v>
          </cell>
          <cell r="B628" t="str">
            <v>2024-05-16</v>
          </cell>
          <cell r="C628" t="str">
            <v xml:space="preserve">mumbai </v>
          </cell>
          <cell r="D628" t="str">
            <v>Ecom Express</v>
          </cell>
          <cell r="E628" t="str">
            <v>Surface</v>
          </cell>
          <cell r="F628" t="str">
            <v>PHARMA</v>
          </cell>
          <cell r="G628" t="str">
            <v>South</v>
          </cell>
          <cell r="I628" t="str">
            <v>3.3kg</v>
          </cell>
          <cell r="J628" t="str">
            <v>210</v>
          </cell>
          <cell r="K628">
            <v>6</v>
          </cell>
          <cell r="L628" t="str">
            <v>2024-05-23</v>
          </cell>
          <cell r="M628" t="str">
            <v xml:space="preserve">delayed </v>
          </cell>
          <cell r="N628">
            <v>4</v>
          </cell>
          <cell r="O628" t="str">
            <v>no</v>
          </cell>
        </row>
        <row r="629">
          <cell r="A629" t="str">
            <v>SHP-100802</v>
          </cell>
          <cell r="B629" t="str">
            <v xml:space="preserve"> 17/01/2024 </v>
          </cell>
          <cell r="C629" t="str">
            <v>Chennai</v>
          </cell>
          <cell r="D629" t="str">
            <v xml:space="preserve"> XPRESSBEES</v>
          </cell>
          <cell r="E629" t="str">
            <v>air</v>
          </cell>
          <cell r="F629" t="str">
            <v>Automotive  Parts</v>
          </cell>
          <cell r="G629" t="str">
            <v>East</v>
          </cell>
          <cell r="I629" t="str">
            <v>16.8</v>
          </cell>
          <cell r="J629" t="str">
            <v>880</v>
          </cell>
          <cell r="K629">
            <v>4</v>
          </cell>
          <cell r="L629" t="str">
            <v>22-Jan-2024</v>
          </cell>
          <cell r="M629" t="str">
            <v xml:space="preserve">delayed </v>
          </cell>
          <cell r="N629">
            <v>4</v>
          </cell>
          <cell r="O629" t="str">
            <v xml:space="preserve">yes </v>
          </cell>
        </row>
        <row r="630">
          <cell r="A630" t="str">
            <v>SHP-100711</v>
          </cell>
          <cell r="B630" t="str">
            <v xml:space="preserve"> 12/05/2024 </v>
          </cell>
          <cell r="C630" t="str">
            <v xml:space="preserve"> BENGALURU </v>
          </cell>
          <cell r="D630" t="str">
            <v>xpressbees</v>
          </cell>
          <cell r="E630" t="str">
            <v xml:space="preserve">air </v>
          </cell>
          <cell r="F630" t="str">
            <v xml:space="preserve"> ELECTRONICS </v>
          </cell>
          <cell r="G630" t="str">
            <v>north</v>
          </cell>
          <cell r="I630" t="str">
            <v>9.9</v>
          </cell>
          <cell r="J630" t="str">
            <v>₹569</v>
          </cell>
          <cell r="K630">
            <v>4</v>
          </cell>
          <cell r="L630" t="str">
            <v>15-May-2024</v>
          </cell>
          <cell r="M630" t="str">
            <v>Delivered</v>
          </cell>
          <cell r="N630">
            <v>5</v>
          </cell>
          <cell r="O630" t="str">
            <v>Y</v>
          </cell>
        </row>
        <row r="631">
          <cell r="A631" t="str">
            <v>SHP-101219</v>
          </cell>
          <cell r="B631" t="str">
            <v>25-Mar-2024</v>
          </cell>
          <cell r="D631" t="str">
            <v xml:space="preserve"> Delhivery</v>
          </cell>
          <cell r="E631" t="str">
            <v>Surface</v>
          </cell>
          <cell r="F631" t="str">
            <v xml:space="preserve">grocery &amp; fmcg </v>
          </cell>
          <cell r="G631" t="str">
            <v xml:space="preserve"> EAST </v>
          </cell>
          <cell r="I631" t="str">
            <v>9.6KG</v>
          </cell>
          <cell r="J631" t="str">
            <v xml:space="preserve">Rs 395 </v>
          </cell>
          <cell r="K631">
            <v>6</v>
          </cell>
          <cell r="L631" t="str">
            <v xml:space="preserve"> 31/03/2024 </v>
          </cell>
          <cell r="M631" t="str">
            <v>DELIVERED</v>
          </cell>
          <cell r="N631">
            <v>5</v>
          </cell>
          <cell r="O631" t="str">
            <v>YES</v>
          </cell>
        </row>
        <row r="632">
          <cell r="A632" t="str">
            <v>SHP-101006</v>
          </cell>
          <cell r="B632" t="str">
            <v>14-Apr-2024</v>
          </cell>
          <cell r="C632" t="str">
            <v>Delhi</v>
          </cell>
          <cell r="D632" t="str">
            <v>DELHIVERY</v>
          </cell>
          <cell r="E632" t="str">
            <v xml:space="preserve"> AIR </v>
          </cell>
          <cell r="F632" t="str">
            <v xml:space="preserve">furniture </v>
          </cell>
          <cell r="G632" t="str">
            <v>SOUTH</v>
          </cell>
          <cell r="I632" t="str">
            <v>30.8KG</v>
          </cell>
          <cell r="J632" t="str">
            <v>1,576</v>
          </cell>
          <cell r="K632">
            <v>4</v>
          </cell>
          <cell r="L632" t="str">
            <v xml:space="preserve"> 17/04/2024 </v>
          </cell>
          <cell r="M632" t="str">
            <v>damaged</v>
          </cell>
          <cell r="O632" t="str">
            <v>N</v>
          </cell>
        </row>
        <row r="633">
          <cell r="A633" t="str">
            <v>SHP-100952</v>
          </cell>
          <cell r="B633" t="str">
            <v>14-Mar-2024</v>
          </cell>
          <cell r="C633" t="str">
            <v>DELHI</v>
          </cell>
          <cell r="D633" t="str">
            <v>Ecom Express</v>
          </cell>
          <cell r="E633" t="str">
            <v>Air</v>
          </cell>
          <cell r="F633" t="str">
            <v>Apparel</v>
          </cell>
          <cell r="G633" t="str">
            <v>SOUTH</v>
          </cell>
          <cell r="I633" t="str">
            <v xml:space="preserve">7.6 Kg </v>
          </cell>
          <cell r="J633" t="str">
            <v xml:space="preserve">Rs 472 </v>
          </cell>
          <cell r="K633">
            <v>4</v>
          </cell>
          <cell r="L633" t="str">
            <v>2024-03-27</v>
          </cell>
          <cell r="M633" t="str">
            <v xml:space="preserve">delayed </v>
          </cell>
          <cell r="N633">
            <v>5</v>
          </cell>
          <cell r="O633" t="str">
            <v>YES</v>
          </cell>
        </row>
        <row r="634">
          <cell r="A634" t="str">
            <v>SHP-100790</v>
          </cell>
          <cell r="B634" t="str">
            <v xml:space="preserve"> 16/06/2024 </v>
          </cell>
          <cell r="C634" t="str">
            <v xml:space="preserve">delhi </v>
          </cell>
          <cell r="D634" t="str">
            <v>XpressBees</v>
          </cell>
          <cell r="E634" t="str">
            <v>SURFACE</v>
          </cell>
          <cell r="F634" t="str">
            <v xml:space="preserve">  ELECTRONICS </v>
          </cell>
          <cell r="G634" t="str">
            <v>WEST</v>
          </cell>
          <cell r="I634" t="str">
            <v xml:space="preserve">4.5 Kg </v>
          </cell>
          <cell r="J634" t="str">
            <v>264</v>
          </cell>
          <cell r="K634">
            <v>6</v>
          </cell>
          <cell r="L634" t="str">
            <v>22/06/2024</v>
          </cell>
          <cell r="M634" t="str">
            <v>damaged</v>
          </cell>
          <cell r="O634" t="str">
            <v>YES</v>
          </cell>
        </row>
        <row r="635">
          <cell r="A635" t="str">
            <v>SHP-101203</v>
          </cell>
          <cell r="B635" t="str">
            <v>09/04/2024</v>
          </cell>
          <cell r="C635" t="str">
            <v>HYDERABAD</v>
          </cell>
          <cell r="D635" t="str">
            <v>BlueDart</v>
          </cell>
          <cell r="E635" t="str">
            <v>ROAD</v>
          </cell>
          <cell r="F635" t="str">
            <v>Electronics</v>
          </cell>
          <cell r="G635" t="str">
            <v>WEST</v>
          </cell>
          <cell r="I635" t="str">
            <v>9.6KG</v>
          </cell>
          <cell r="J635" t="str">
            <v>₹186</v>
          </cell>
          <cell r="K635">
            <v>6</v>
          </cell>
          <cell r="L635" t="str">
            <v xml:space="preserve"> 16/04/2024 </v>
          </cell>
          <cell r="M635" t="str">
            <v>Delayed</v>
          </cell>
          <cell r="N635">
            <v>3</v>
          </cell>
          <cell r="O635" t="str">
            <v xml:space="preserve"> No</v>
          </cell>
        </row>
        <row r="636">
          <cell r="A636" t="str">
            <v>SHP-100317</v>
          </cell>
          <cell r="B636" t="str">
            <v>08-Apr-2024</v>
          </cell>
          <cell r="C636" t="str">
            <v>MUMBAI</v>
          </cell>
          <cell r="D636" t="str">
            <v>Ecom Express</v>
          </cell>
          <cell r="E636" t="str">
            <v>Air</v>
          </cell>
          <cell r="F636" t="str">
            <v>AUTOMOTIVE PARTS</v>
          </cell>
          <cell r="G636" t="str">
            <v xml:space="preserve"> SOUTH </v>
          </cell>
          <cell r="I636" t="str">
            <v xml:space="preserve">25.8 Kg </v>
          </cell>
          <cell r="J636" t="str">
            <v xml:space="preserve">Rs 1320 </v>
          </cell>
          <cell r="K636">
            <v>4</v>
          </cell>
          <cell r="L636" t="str">
            <v>15/04/2024</v>
          </cell>
          <cell r="M636" t="str">
            <v>DELAYED</v>
          </cell>
          <cell r="N636">
            <v>1</v>
          </cell>
          <cell r="O636" t="str">
            <v>Y</v>
          </cell>
        </row>
        <row r="637">
          <cell r="A637" t="str">
            <v>SHP-101038</v>
          </cell>
          <cell r="B637" t="str">
            <v xml:space="preserve"> 03/01/2024 </v>
          </cell>
          <cell r="C637" t="str">
            <v>Kolkata</v>
          </cell>
          <cell r="D637" t="str">
            <v>ECOM EXPRESS</v>
          </cell>
          <cell r="E637" t="str">
            <v>SURFACE</v>
          </cell>
          <cell r="F637" t="str">
            <v xml:space="preserve">grocery &amp; fmcg </v>
          </cell>
          <cell r="G637" t="str">
            <v>EAST</v>
          </cell>
          <cell r="I637" t="str">
            <v>12.8</v>
          </cell>
          <cell r="J637" t="str">
            <v>₹314</v>
          </cell>
          <cell r="K637">
            <v>4</v>
          </cell>
          <cell r="L637" t="str">
            <v>08/01/2024</v>
          </cell>
          <cell r="M637" t="str">
            <v xml:space="preserve"> Delayed</v>
          </cell>
          <cell r="N637">
            <v>3</v>
          </cell>
          <cell r="O637" t="str">
            <v>Y</v>
          </cell>
        </row>
        <row r="638">
          <cell r="A638" t="str">
            <v>SHP-100837</v>
          </cell>
          <cell r="B638" t="str">
            <v>18-May-2024</v>
          </cell>
          <cell r="C638" t="str">
            <v>BENGALURU</v>
          </cell>
          <cell r="D638" t="str">
            <v xml:space="preserve"> Delhivery</v>
          </cell>
          <cell r="E638" t="str">
            <v xml:space="preserve">air </v>
          </cell>
          <cell r="F638" t="str">
            <v>PHARMA</v>
          </cell>
          <cell r="G638" t="str">
            <v>North</v>
          </cell>
          <cell r="I638" t="str">
            <v xml:space="preserve">4.7 Kg </v>
          </cell>
          <cell r="J638" t="str">
            <v xml:space="preserve">Rs 403 </v>
          </cell>
          <cell r="K638">
            <v>4</v>
          </cell>
          <cell r="L638" t="str">
            <v>23-May-2024</v>
          </cell>
          <cell r="M638" t="str">
            <v xml:space="preserve">delayed </v>
          </cell>
          <cell r="N638">
            <v>2</v>
          </cell>
          <cell r="O638" t="str">
            <v>YES</v>
          </cell>
        </row>
        <row r="639">
          <cell r="A639" t="str">
            <v>SHP-101272</v>
          </cell>
          <cell r="B639" t="str">
            <v>06/03/2024</v>
          </cell>
          <cell r="C639" t="str">
            <v>Chennai</v>
          </cell>
          <cell r="D639" t="str">
            <v>Xpress Bees</v>
          </cell>
          <cell r="E639" t="str">
            <v>Road</v>
          </cell>
          <cell r="F639" t="str">
            <v xml:space="preserve">grocery &amp; fmcg </v>
          </cell>
          <cell r="G639" t="str">
            <v xml:space="preserve"> WEST </v>
          </cell>
          <cell r="I639" t="str">
            <v xml:space="preserve">11.9 Kg </v>
          </cell>
          <cell r="J639" t="str">
            <v>₹352</v>
          </cell>
          <cell r="K639">
            <v>8</v>
          </cell>
          <cell r="L639" t="str">
            <v>15/03/2024</v>
          </cell>
          <cell r="M639" t="str">
            <v>Delayed</v>
          </cell>
          <cell r="N639">
            <v>2</v>
          </cell>
          <cell r="O639" t="str">
            <v>no</v>
          </cell>
        </row>
        <row r="640">
          <cell r="A640" t="str">
            <v>SHP-101282</v>
          </cell>
          <cell r="B640" t="str">
            <v>24/03/2024</v>
          </cell>
          <cell r="C640" t="str">
            <v xml:space="preserve"> MUMBAI </v>
          </cell>
          <cell r="D640" t="str">
            <v>dtdc</v>
          </cell>
          <cell r="E640" t="str">
            <v xml:space="preserve">road </v>
          </cell>
          <cell r="F640" t="str">
            <v>Grocery &amp; FMCG</v>
          </cell>
          <cell r="G640" t="str">
            <v>east</v>
          </cell>
          <cell r="I640" t="str">
            <v>16.5</v>
          </cell>
          <cell r="J640" t="str">
            <v xml:space="preserve">Rs 383 </v>
          </cell>
          <cell r="K640">
            <v>8</v>
          </cell>
          <cell r="L640" t="str">
            <v>2024-04-03</v>
          </cell>
          <cell r="M640" t="str">
            <v xml:space="preserve"> Delayed</v>
          </cell>
          <cell r="N640">
            <v>3</v>
          </cell>
          <cell r="O640" t="str">
            <v xml:space="preserve">yes </v>
          </cell>
        </row>
        <row r="641">
          <cell r="A641" t="str">
            <v>SHP-100574</v>
          </cell>
          <cell r="B641" t="str">
            <v>13-Jan-2024</v>
          </cell>
          <cell r="C641" t="str">
            <v xml:space="preserve"> HYDERABAD </v>
          </cell>
          <cell r="D641" t="str">
            <v>XpressBees</v>
          </cell>
          <cell r="E641" t="str">
            <v xml:space="preserve"> AIR </v>
          </cell>
          <cell r="F641" t="str">
            <v>Pharma</v>
          </cell>
          <cell r="G641" t="str">
            <v>East</v>
          </cell>
          <cell r="I641" t="str">
            <v>1.0</v>
          </cell>
          <cell r="J641" t="str">
            <v xml:space="preserve">Rs 249 </v>
          </cell>
          <cell r="K641">
            <v>4</v>
          </cell>
          <cell r="L641" t="str">
            <v>18-Jan-2024</v>
          </cell>
          <cell r="M641" t="str">
            <v xml:space="preserve"> Delayed</v>
          </cell>
          <cell r="N641">
            <v>1</v>
          </cell>
          <cell r="O641" t="str">
            <v>No</v>
          </cell>
        </row>
        <row r="642">
          <cell r="A642" t="str">
            <v>SHP-100156</v>
          </cell>
          <cell r="B642" t="str">
            <v>17-Mar-2024</v>
          </cell>
          <cell r="C642" t="str">
            <v xml:space="preserve">chennai </v>
          </cell>
          <cell r="D642" t="str">
            <v xml:space="preserve">Dtdc </v>
          </cell>
          <cell r="E642" t="str">
            <v xml:space="preserve"> SURFACE </v>
          </cell>
          <cell r="F642" t="str">
            <v xml:space="preserve"> AUTOMOTIVE PARTS </v>
          </cell>
          <cell r="G642" t="str">
            <v>North</v>
          </cell>
          <cell r="I642" t="str">
            <v>29.4KG</v>
          </cell>
          <cell r="J642" t="str">
            <v>₹836</v>
          </cell>
          <cell r="K642">
            <v>6</v>
          </cell>
          <cell r="L642" t="str">
            <v xml:space="preserve"> 23/03/2024 </v>
          </cell>
          <cell r="M642" t="str">
            <v xml:space="preserve"> Delivered</v>
          </cell>
          <cell r="N642">
            <v>4</v>
          </cell>
          <cell r="O642" t="str">
            <v>Yes</v>
          </cell>
        </row>
        <row r="643">
          <cell r="A643" t="str">
            <v>SHP-101214</v>
          </cell>
          <cell r="B643" t="str">
            <v>23-Apr-2024</v>
          </cell>
          <cell r="C643" t="str">
            <v xml:space="preserve"> CHENNAI </v>
          </cell>
          <cell r="D643" t="str">
            <v>dtdc</v>
          </cell>
          <cell r="E643" t="str">
            <v>ROAD</v>
          </cell>
          <cell r="F643" t="str">
            <v>Pharma</v>
          </cell>
          <cell r="G643" t="str">
            <v xml:space="preserve">west </v>
          </cell>
          <cell r="I643" t="str">
            <v xml:space="preserve">2.2 Kg </v>
          </cell>
          <cell r="J643" t="str">
            <v xml:space="preserve">Rs 227 </v>
          </cell>
          <cell r="K643">
            <v>8</v>
          </cell>
          <cell r="L643" t="str">
            <v>01/05/2024</v>
          </cell>
          <cell r="M643" t="str">
            <v>DELIVERED</v>
          </cell>
          <cell r="N643">
            <v>4</v>
          </cell>
          <cell r="O643" t="str">
            <v>Y</v>
          </cell>
        </row>
        <row r="644">
          <cell r="A644" t="str">
            <v>SHP-101437</v>
          </cell>
          <cell r="B644" t="str">
            <v>08/01/2024</v>
          </cell>
          <cell r="C644" t="str">
            <v>HYDERABAD</v>
          </cell>
          <cell r="D644" t="str">
            <v xml:space="preserve">Dtdc </v>
          </cell>
          <cell r="E644" t="str">
            <v xml:space="preserve"> AIR </v>
          </cell>
          <cell r="F644" t="str">
            <v>FURNITURE</v>
          </cell>
          <cell r="G644" t="str">
            <v xml:space="preserve">east </v>
          </cell>
          <cell r="I644" t="str">
            <v>79.5</v>
          </cell>
          <cell r="J644" t="str">
            <v>₹3,727</v>
          </cell>
          <cell r="K644">
            <v>4</v>
          </cell>
          <cell r="L644" t="str">
            <v>2024-01-19</v>
          </cell>
          <cell r="M644" t="str">
            <v xml:space="preserve"> Delayed</v>
          </cell>
          <cell r="N644">
            <v>4</v>
          </cell>
          <cell r="O644" t="str">
            <v>Yes</v>
          </cell>
        </row>
        <row r="645">
          <cell r="A645" t="str">
            <v>SHP-101419</v>
          </cell>
          <cell r="B645" t="str">
            <v>2024-02-01</v>
          </cell>
          <cell r="C645" t="str">
            <v>DELHI</v>
          </cell>
          <cell r="D645" t="str">
            <v>BlueDart</v>
          </cell>
          <cell r="E645" t="str">
            <v>ROAD</v>
          </cell>
          <cell r="F645" t="str">
            <v xml:space="preserve">furniture </v>
          </cell>
          <cell r="G645" t="str">
            <v>East</v>
          </cell>
          <cell r="I645" t="str">
            <v>41.9kg</v>
          </cell>
          <cell r="J645" t="str">
            <v>₹771</v>
          </cell>
          <cell r="K645">
            <v>8</v>
          </cell>
          <cell r="L645" t="str">
            <v xml:space="preserve"> 09/02/2024 </v>
          </cell>
          <cell r="M645" t="str">
            <v>Delivered</v>
          </cell>
          <cell r="N645">
            <v>2</v>
          </cell>
          <cell r="O645" t="str">
            <v>N</v>
          </cell>
        </row>
        <row r="646">
          <cell r="A646" t="str">
            <v>SHP-100063</v>
          </cell>
          <cell r="B646" t="str">
            <v>03/05/2024</v>
          </cell>
          <cell r="C646" t="str">
            <v xml:space="preserve">mumbai </v>
          </cell>
          <cell r="D646" t="str">
            <v>XpressBees</v>
          </cell>
          <cell r="E646" t="str">
            <v>Surface</v>
          </cell>
          <cell r="F646" t="str">
            <v xml:space="preserve"> APPAREL </v>
          </cell>
          <cell r="G646" t="str">
            <v>West</v>
          </cell>
          <cell r="I646" t="str">
            <v xml:space="preserve">7.2 Kg </v>
          </cell>
          <cell r="J646" t="str">
            <v xml:space="preserve">Rs 210 </v>
          </cell>
          <cell r="K646">
            <v>4</v>
          </cell>
          <cell r="L646" t="str">
            <v>06-May-2024</v>
          </cell>
          <cell r="M646" t="str">
            <v>DELIVERED</v>
          </cell>
          <cell r="N646">
            <v>4</v>
          </cell>
          <cell r="O646" t="str">
            <v>N</v>
          </cell>
        </row>
        <row r="647">
          <cell r="A647" t="str">
            <v>SHP-101059</v>
          </cell>
          <cell r="B647" t="str">
            <v xml:space="preserve"> 10/03/2024 </v>
          </cell>
          <cell r="C647" t="str">
            <v>delhi</v>
          </cell>
          <cell r="D647" t="str">
            <v>ECOM EXPRESS</v>
          </cell>
          <cell r="E647" t="str">
            <v>surface</v>
          </cell>
          <cell r="F647" t="str">
            <v>Grocery &amp; FMCG</v>
          </cell>
          <cell r="G647" t="str">
            <v>east</v>
          </cell>
          <cell r="I647" t="str">
            <v xml:space="preserve">6.1 Kg </v>
          </cell>
          <cell r="J647" t="str">
            <v>317</v>
          </cell>
          <cell r="K647">
            <v>6</v>
          </cell>
          <cell r="L647" t="str">
            <v>16/03/2024</v>
          </cell>
          <cell r="M647" t="str">
            <v>delivered</v>
          </cell>
          <cell r="N647">
            <v>4</v>
          </cell>
          <cell r="O647" t="str">
            <v xml:space="preserve"> No</v>
          </cell>
        </row>
        <row r="648">
          <cell r="A648" t="str">
            <v>SHP-100159</v>
          </cell>
          <cell r="B648" t="str">
            <v>2024-02-01</v>
          </cell>
          <cell r="C648" t="str">
            <v>chennai</v>
          </cell>
          <cell r="D648" t="str">
            <v>DTDC</v>
          </cell>
          <cell r="E648" t="str">
            <v xml:space="preserve"> AIR </v>
          </cell>
          <cell r="F648" t="str">
            <v>Pharma</v>
          </cell>
          <cell r="G648" t="str">
            <v>WEST</v>
          </cell>
          <cell r="I648" t="str">
            <v>3.9kg</v>
          </cell>
          <cell r="J648" t="str">
            <v xml:space="preserve">Rs 317 </v>
          </cell>
          <cell r="K648">
            <v>4</v>
          </cell>
          <cell r="L648" t="str">
            <v>04/02/2024</v>
          </cell>
          <cell r="M648" t="str">
            <v>Delivered</v>
          </cell>
          <cell r="N648">
            <v>3</v>
          </cell>
          <cell r="O648" t="str">
            <v>YES</v>
          </cell>
        </row>
        <row r="649">
          <cell r="A649" t="str">
            <v>SHP-101542</v>
          </cell>
          <cell r="B649" t="str">
            <v>16/04/2024</v>
          </cell>
          <cell r="C649" t="str">
            <v xml:space="preserve"> BENGALURU </v>
          </cell>
          <cell r="D649" t="str">
            <v>bluedart</v>
          </cell>
          <cell r="E649" t="str">
            <v>Air</v>
          </cell>
          <cell r="F649" t="str">
            <v>automotive parts</v>
          </cell>
          <cell r="G649" t="str">
            <v>East</v>
          </cell>
          <cell r="I649" t="str">
            <v>14.0</v>
          </cell>
          <cell r="J649" t="str">
            <v>₹770</v>
          </cell>
          <cell r="K649">
            <v>4</v>
          </cell>
          <cell r="L649" t="str">
            <v xml:space="preserve"> 19/04/2024 </v>
          </cell>
          <cell r="M649" t="str">
            <v xml:space="preserve"> Delivered</v>
          </cell>
          <cell r="N649">
            <v>5</v>
          </cell>
          <cell r="O649" t="str">
            <v>N</v>
          </cell>
        </row>
        <row r="650">
          <cell r="I650" t="str">
            <v>32.7KG</v>
          </cell>
        </row>
        <row r="651">
          <cell r="A651" t="str">
            <v>SHP-101330</v>
          </cell>
          <cell r="B651" t="str">
            <v>06-May-2024</v>
          </cell>
          <cell r="C651" t="str">
            <v>Chennai</v>
          </cell>
          <cell r="D651" t="str">
            <v>Ecom Express</v>
          </cell>
          <cell r="E651" t="str">
            <v>Air</v>
          </cell>
          <cell r="F651" t="str">
            <v>electronics</v>
          </cell>
          <cell r="G651" t="str">
            <v>West</v>
          </cell>
          <cell r="I651" t="str">
            <v>11.6KG</v>
          </cell>
          <cell r="J651" t="str">
            <v>₹657</v>
          </cell>
          <cell r="K651">
            <v>4</v>
          </cell>
          <cell r="L651" t="str">
            <v>10/05/2024</v>
          </cell>
          <cell r="M651" t="str">
            <v>Delivered</v>
          </cell>
          <cell r="N651">
            <v>3</v>
          </cell>
          <cell r="O651" t="str">
            <v xml:space="preserve"> No</v>
          </cell>
        </row>
        <row r="652">
          <cell r="A652" t="str">
            <v>SHP-100515</v>
          </cell>
          <cell r="B652" t="str">
            <v>25-Jan-2024</v>
          </cell>
          <cell r="C652" t="str">
            <v>Chennai</v>
          </cell>
          <cell r="D652" t="str">
            <v>delhivery</v>
          </cell>
          <cell r="E652" t="str">
            <v>ROAD</v>
          </cell>
          <cell r="F652" t="str">
            <v>electronics</v>
          </cell>
          <cell r="G652" t="str">
            <v xml:space="preserve">west </v>
          </cell>
          <cell r="I652" t="str">
            <v xml:space="preserve">1.4 Kg </v>
          </cell>
          <cell r="J652" t="str">
            <v>₹166</v>
          </cell>
          <cell r="K652">
            <v>8</v>
          </cell>
          <cell r="L652" t="str">
            <v>03/02/2024</v>
          </cell>
          <cell r="M652" t="str">
            <v>DELAYED</v>
          </cell>
          <cell r="N652">
            <v>4</v>
          </cell>
          <cell r="O652" t="str">
            <v>no</v>
          </cell>
        </row>
        <row r="653">
          <cell r="A653" t="str">
            <v>SHP-100494</v>
          </cell>
          <cell r="B653" t="str">
            <v xml:space="preserve"> 10/02/2024 </v>
          </cell>
          <cell r="C653" t="str">
            <v xml:space="preserve"> KOLKATA </v>
          </cell>
          <cell r="D653" t="str">
            <v>ECOM EXPRESS</v>
          </cell>
          <cell r="E653" t="str">
            <v>road</v>
          </cell>
          <cell r="F653" t="str">
            <v>Grocery &amp; FMCG</v>
          </cell>
          <cell r="G653" t="str">
            <v>East</v>
          </cell>
          <cell r="I653" t="str">
            <v>6.2KG</v>
          </cell>
          <cell r="J653" t="str">
            <v>119</v>
          </cell>
          <cell r="K653">
            <v>6</v>
          </cell>
          <cell r="L653" t="str">
            <v>17/02/2024</v>
          </cell>
          <cell r="M653" t="str">
            <v xml:space="preserve">delayed </v>
          </cell>
          <cell r="N653">
            <v>1</v>
          </cell>
          <cell r="O653" t="str">
            <v xml:space="preserve"> No</v>
          </cell>
        </row>
        <row r="654">
          <cell r="A654" t="str">
            <v>SHP-100760</v>
          </cell>
          <cell r="B654" t="str">
            <v>09/05/2024</v>
          </cell>
          <cell r="C654" t="str">
            <v xml:space="preserve"> BENGALURU </v>
          </cell>
          <cell r="D654" t="str">
            <v xml:space="preserve">BLUEDART </v>
          </cell>
          <cell r="E654" t="str">
            <v>Road</v>
          </cell>
          <cell r="F654" t="str">
            <v xml:space="preserve">grocery  &amp; fmcg </v>
          </cell>
          <cell r="G654" t="str">
            <v>South</v>
          </cell>
          <cell r="I654" t="str">
            <v xml:space="preserve">4.3 Kg </v>
          </cell>
          <cell r="J654" t="str">
            <v>80</v>
          </cell>
          <cell r="K654">
            <v>6</v>
          </cell>
          <cell r="L654" t="str">
            <v>2024-05-14</v>
          </cell>
          <cell r="M654" t="str">
            <v>damaged</v>
          </cell>
          <cell r="O654" t="str">
            <v>Yes</v>
          </cell>
        </row>
        <row r="655">
          <cell r="A655" t="str">
            <v>SHP-100450</v>
          </cell>
          <cell r="B655" t="str">
            <v>2024-05-28</v>
          </cell>
          <cell r="C655" t="str">
            <v xml:space="preserve">bengaluru </v>
          </cell>
          <cell r="D655" t="str">
            <v>DELHIVERY</v>
          </cell>
          <cell r="E655" t="str">
            <v>air</v>
          </cell>
          <cell r="F655" t="str">
            <v>ELECTRONICS</v>
          </cell>
          <cell r="G655" t="str">
            <v xml:space="preserve"> NORTH </v>
          </cell>
          <cell r="I655" t="str">
            <v>4.2</v>
          </cell>
          <cell r="J655" t="str">
            <v xml:space="preserve">Rs 339 </v>
          </cell>
          <cell r="K655">
            <v>4</v>
          </cell>
          <cell r="L655" t="str">
            <v>2024-05-31</v>
          </cell>
          <cell r="M655" t="str">
            <v>delivered</v>
          </cell>
          <cell r="N655">
            <v>4</v>
          </cell>
          <cell r="O655" t="str">
            <v>Y</v>
          </cell>
        </row>
        <row r="656">
          <cell r="A656" t="str">
            <v>SHP-101140</v>
          </cell>
          <cell r="B656" t="str">
            <v>23-Feb-2024</v>
          </cell>
          <cell r="C656" t="str">
            <v xml:space="preserve"> CHENNAI </v>
          </cell>
          <cell r="D656" t="str">
            <v>Ecom  Express</v>
          </cell>
          <cell r="E656" t="str">
            <v xml:space="preserve">air </v>
          </cell>
          <cell r="F656" t="str">
            <v>electronics</v>
          </cell>
          <cell r="G656" t="str">
            <v>SOUTH</v>
          </cell>
          <cell r="I656" t="str">
            <v>12.2</v>
          </cell>
          <cell r="J656" t="str">
            <v>₹597</v>
          </cell>
          <cell r="K656">
            <v>2</v>
          </cell>
          <cell r="L656" t="str">
            <v>2024-02-26</v>
          </cell>
          <cell r="M656" t="str">
            <v xml:space="preserve"> DAMAGED</v>
          </cell>
          <cell r="O656" t="str">
            <v>no</v>
          </cell>
        </row>
        <row r="657">
          <cell r="A657" t="str">
            <v>SHP-100761</v>
          </cell>
          <cell r="B657" t="str">
            <v>07-Mar-2024</v>
          </cell>
          <cell r="C657" t="str">
            <v>MUMBAI</v>
          </cell>
          <cell r="D657" t="str">
            <v>delhivery</v>
          </cell>
          <cell r="E657" t="str">
            <v xml:space="preserve">road </v>
          </cell>
          <cell r="F657" t="str">
            <v>Automotive  Parts</v>
          </cell>
          <cell r="G657" t="str">
            <v xml:space="preserve"> SOUTH </v>
          </cell>
          <cell r="I657" t="str">
            <v>6.2</v>
          </cell>
          <cell r="J657" t="str">
            <v>226</v>
          </cell>
          <cell r="K657">
            <v>8</v>
          </cell>
          <cell r="L657" t="str">
            <v>2024-03-16</v>
          </cell>
          <cell r="M657" t="str">
            <v>Delayed</v>
          </cell>
          <cell r="N657">
            <v>1</v>
          </cell>
          <cell r="O657" t="str">
            <v>no</v>
          </cell>
        </row>
        <row r="658">
          <cell r="A658" t="str">
            <v>SHP-100322</v>
          </cell>
          <cell r="B658" t="str">
            <v xml:space="preserve"> 13/06/2024 </v>
          </cell>
          <cell r="C658" t="str">
            <v xml:space="preserve">kolkata </v>
          </cell>
          <cell r="D658" t="str">
            <v xml:space="preserve">Dtdc </v>
          </cell>
          <cell r="E658" t="str">
            <v>surface</v>
          </cell>
          <cell r="F658" t="str">
            <v>Apparel</v>
          </cell>
          <cell r="G658" t="str">
            <v>west</v>
          </cell>
          <cell r="I658" t="str">
            <v>5.1</v>
          </cell>
          <cell r="J658" t="str">
            <v>262</v>
          </cell>
          <cell r="K658">
            <v>6</v>
          </cell>
          <cell r="L658" t="str">
            <v>20-Jun-2024</v>
          </cell>
          <cell r="M658" t="str">
            <v>DELAYED</v>
          </cell>
          <cell r="N658">
            <v>2</v>
          </cell>
          <cell r="O658" t="str">
            <v>N</v>
          </cell>
        </row>
        <row r="659">
          <cell r="A659" t="str">
            <v>SHP-100980</v>
          </cell>
          <cell r="B659" t="str">
            <v>2024-05-18</v>
          </cell>
          <cell r="C659" t="str">
            <v>Chennai</v>
          </cell>
          <cell r="D659" t="str">
            <v>Ecom Express</v>
          </cell>
          <cell r="E659" t="str">
            <v xml:space="preserve"> AIR </v>
          </cell>
          <cell r="F659" t="str">
            <v>GROCERY &amp; FMCG</v>
          </cell>
          <cell r="G659" t="str">
            <v xml:space="preserve"> EAST </v>
          </cell>
          <cell r="I659" t="str">
            <v>17.5</v>
          </cell>
          <cell r="J659" t="str">
            <v>₹968</v>
          </cell>
          <cell r="K659">
            <v>4</v>
          </cell>
          <cell r="L659" t="str">
            <v>2024-05-31</v>
          </cell>
          <cell r="M659" t="str">
            <v xml:space="preserve">delayed </v>
          </cell>
          <cell r="N659">
            <v>4</v>
          </cell>
          <cell r="O659" t="str">
            <v>Y</v>
          </cell>
        </row>
        <row r="660">
          <cell r="A660" t="str">
            <v>SHP-100594</v>
          </cell>
          <cell r="B660" t="str">
            <v xml:space="preserve"> 24/02/2024 </v>
          </cell>
          <cell r="C660" t="str">
            <v>delhi</v>
          </cell>
          <cell r="D660" t="str">
            <v xml:space="preserve"> Delhivery</v>
          </cell>
          <cell r="E660" t="str">
            <v>Air</v>
          </cell>
          <cell r="F660" t="str">
            <v>AUTOMOTIVE PARTS</v>
          </cell>
          <cell r="G660" t="str">
            <v>east</v>
          </cell>
          <cell r="I660" t="str">
            <v>6.5</v>
          </cell>
          <cell r="J660" t="str">
            <v>₹479</v>
          </cell>
          <cell r="K660">
            <v>4</v>
          </cell>
          <cell r="L660" t="str">
            <v>28/02/2024</v>
          </cell>
          <cell r="M660" t="str">
            <v xml:space="preserve"> Delivered</v>
          </cell>
          <cell r="N660">
            <v>2</v>
          </cell>
          <cell r="O660" t="str">
            <v>YES</v>
          </cell>
        </row>
        <row r="661">
          <cell r="A661" t="str">
            <v>SHP-100774</v>
          </cell>
          <cell r="B661" t="str">
            <v>06-Jun-2024</v>
          </cell>
          <cell r="C661" t="str">
            <v xml:space="preserve">mumbai </v>
          </cell>
          <cell r="D661" t="str">
            <v>Ecom  Express</v>
          </cell>
          <cell r="E661" t="str">
            <v xml:space="preserve"> ROAD </v>
          </cell>
          <cell r="F661" t="str">
            <v xml:space="preserve"> ELECTRONICS </v>
          </cell>
          <cell r="G661" t="str">
            <v xml:space="preserve"> SOUTH </v>
          </cell>
          <cell r="I661" t="str">
            <v>4.1KG</v>
          </cell>
          <cell r="J661" t="str">
            <v xml:space="preserve">Rs 223 </v>
          </cell>
          <cell r="K661">
            <v>8</v>
          </cell>
          <cell r="L661" t="str">
            <v xml:space="preserve"> 15/06/2024 </v>
          </cell>
          <cell r="M661" t="str">
            <v>Delayed</v>
          </cell>
          <cell r="N661">
            <v>4</v>
          </cell>
          <cell r="O661" t="str">
            <v>YES</v>
          </cell>
        </row>
        <row r="662">
          <cell r="A662" t="str">
            <v>SHP-100526</v>
          </cell>
          <cell r="B662" t="str">
            <v>2024-02-07</v>
          </cell>
          <cell r="C662" t="str">
            <v>HYDERABAD</v>
          </cell>
          <cell r="D662" t="str">
            <v xml:space="preserve"> Delhivery</v>
          </cell>
          <cell r="E662" t="str">
            <v>air</v>
          </cell>
          <cell r="F662" t="str">
            <v>Electronics</v>
          </cell>
          <cell r="G662" t="str">
            <v xml:space="preserve">west </v>
          </cell>
          <cell r="I662" t="str">
            <v>7.5</v>
          </cell>
          <cell r="J662" t="str">
            <v xml:space="preserve">Rs 330 </v>
          </cell>
          <cell r="K662">
            <v>2</v>
          </cell>
          <cell r="L662" t="str">
            <v>2024-02-10</v>
          </cell>
          <cell r="M662" t="str">
            <v xml:space="preserve">delayed </v>
          </cell>
          <cell r="N662">
            <v>3</v>
          </cell>
          <cell r="O662" t="str">
            <v>No</v>
          </cell>
        </row>
        <row r="663">
          <cell r="A663" t="str">
            <v>SHP-100845</v>
          </cell>
          <cell r="B663" t="str">
            <v xml:space="preserve"> 27/05/2024 </v>
          </cell>
          <cell r="C663" t="str">
            <v>KOLKATA</v>
          </cell>
          <cell r="D663" t="str">
            <v>BlueDart</v>
          </cell>
          <cell r="E663" t="str">
            <v xml:space="preserve">surface </v>
          </cell>
          <cell r="F663" t="str">
            <v>APPAREL</v>
          </cell>
          <cell r="G663" t="str">
            <v xml:space="preserve"> SOUTH </v>
          </cell>
          <cell r="I663" t="str">
            <v>3.4kg</v>
          </cell>
          <cell r="J663" t="str">
            <v>₹219</v>
          </cell>
          <cell r="K663">
            <v>6</v>
          </cell>
          <cell r="L663" t="str">
            <v>03-Jun-2024</v>
          </cell>
          <cell r="M663" t="str">
            <v xml:space="preserve">delayed </v>
          </cell>
          <cell r="N663">
            <v>4</v>
          </cell>
          <cell r="O663" t="str">
            <v>Y</v>
          </cell>
        </row>
        <row r="664">
          <cell r="A664" t="str">
            <v>SHP-101590</v>
          </cell>
          <cell r="B664" t="str">
            <v xml:space="preserve"> 23/02/2024 </v>
          </cell>
          <cell r="C664" t="str">
            <v>Delhi</v>
          </cell>
          <cell r="D664" t="str">
            <v>XpressBees</v>
          </cell>
          <cell r="E664" t="str">
            <v>Air</v>
          </cell>
          <cell r="F664" t="str">
            <v>GROCERY &amp; FMCG</v>
          </cell>
          <cell r="G664" t="str">
            <v>west</v>
          </cell>
          <cell r="I664" t="str">
            <v>3.6</v>
          </cell>
          <cell r="J664" t="str">
            <v>₹354</v>
          </cell>
          <cell r="K664">
            <v>4</v>
          </cell>
          <cell r="L664" t="str">
            <v>26/02/2024</v>
          </cell>
          <cell r="M664" t="str">
            <v>delivered</v>
          </cell>
          <cell r="N664">
            <v>3</v>
          </cell>
          <cell r="O664" t="str">
            <v>No</v>
          </cell>
        </row>
        <row r="665">
          <cell r="A665" t="str">
            <v>SHP-100283</v>
          </cell>
          <cell r="B665" t="str">
            <v xml:space="preserve"> 18/02/2024 </v>
          </cell>
          <cell r="C665" t="str">
            <v>Chennai</v>
          </cell>
          <cell r="D665" t="str">
            <v>DELHIVERY</v>
          </cell>
          <cell r="E665" t="str">
            <v xml:space="preserve"> AIR </v>
          </cell>
          <cell r="F665" t="str">
            <v>PHARMA</v>
          </cell>
          <cell r="G665" t="str">
            <v>west</v>
          </cell>
          <cell r="I665" t="str">
            <v>1.4</v>
          </cell>
          <cell r="J665" t="str">
            <v xml:space="preserve">Rs 268 </v>
          </cell>
          <cell r="K665">
            <v>4</v>
          </cell>
          <cell r="L665" t="str">
            <v>2024-02-21</v>
          </cell>
          <cell r="M665" t="str">
            <v>DELIVERED</v>
          </cell>
          <cell r="N665">
            <v>4</v>
          </cell>
          <cell r="O665" t="str">
            <v>No</v>
          </cell>
        </row>
        <row r="666">
          <cell r="A666" t="str">
            <v>SHP-101462</v>
          </cell>
          <cell r="B666" t="str">
            <v>24/05/2024</v>
          </cell>
          <cell r="C666" t="str">
            <v>Bengaluru</v>
          </cell>
          <cell r="D666" t="str">
            <v xml:space="preserve"> Delhivery</v>
          </cell>
          <cell r="E666" t="str">
            <v>Road</v>
          </cell>
          <cell r="F666" t="str">
            <v xml:space="preserve">pharma </v>
          </cell>
          <cell r="G666" t="str">
            <v>SOUTH</v>
          </cell>
          <cell r="I666" t="str">
            <v>4.0</v>
          </cell>
          <cell r="J666" t="str">
            <v>80</v>
          </cell>
          <cell r="K666">
            <v>6</v>
          </cell>
          <cell r="L666" t="str">
            <v>2024-06-04</v>
          </cell>
          <cell r="M666" t="str">
            <v xml:space="preserve">delayed </v>
          </cell>
          <cell r="N666">
            <v>4</v>
          </cell>
          <cell r="O666" t="str">
            <v>YES</v>
          </cell>
        </row>
        <row r="667">
          <cell r="A667" t="str">
            <v>SHP-101438</v>
          </cell>
          <cell r="B667" t="str">
            <v xml:space="preserve"> 23/03/2024 </v>
          </cell>
          <cell r="C667" t="str">
            <v>chennai</v>
          </cell>
          <cell r="D667" t="str">
            <v xml:space="preserve"> Delhivery</v>
          </cell>
          <cell r="E667" t="str">
            <v>Road</v>
          </cell>
          <cell r="F667" t="str">
            <v xml:space="preserve">grocery &amp; fmcg </v>
          </cell>
          <cell r="G667" t="str">
            <v xml:space="preserve">east </v>
          </cell>
          <cell r="I667" t="str">
            <v>8.1</v>
          </cell>
          <cell r="J667" t="str">
            <v>₹239</v>
          </cell>
          <cell r="K667">
            <v>8</v>
          </cell>
          <cell r="L667" t="str">
            <v>02/04/2024</v>
          </cell>
          <cell r="M667" t="str">
            <v>Delayed</v>
          </cell>
          <cell r="N667">
            <v>1</v>
          </cell>
          <cell r="O667" t="str">
            <v xml:space="preserve"> No</v>
          </cell>
        </row>
        <row r="668">
          <cell r="A668" t="str">
            <v>SHP-101345</v>
          </cell>
          <cell r="B668" t="str">
            <v xml:space="preserve"> 02/01/2024 </v>
          </cell>
          <cell r="D668" t="str">
            <v>Delhivery</v>
          </cell>
          <cell r="E668" t="str">
            <v>air</v>
          </cell>
          <cell r="F668" t="str">
            <v>Grocery &amp; FMCG</v>
          </cell>
          <cell r="G668" t="str">
            <v>SOUTH</v>
          </cell>
          <cell r="I668" t="str">
            <v>11.9</v>
          </cell>
          <cell r="J668" t="str">
            <v xml:space="preserve">Rs 523 </v>
          </cell>
          <cell r="K668">
            <v>2</v>
          </cell>
          <cell r="L668" t="str">
            <v>04/01/2024</v>
          </cell>
          <cell r="M668" t="str">
            <v>Delivered</v>
          </cell>
          <cell r="N668">
            <v>2</v>
          </cell>
          <cell r="O668" t="str">
            <v>no</v>
          </cell>
        </row>
        <row r="669">
          <cell r="A669" t="str">
            <v>SHP-100743</v>
          </cell>
          <cell r="B669" t="str">
            <v>03/06/2024</v>
          </cell>
          <cell r="C669" t="str">
            <v xml:space="preserve">kolkata </v>
          </cell>
          <cell r="D669" t="str">
            <v>XpressBees</v>
          </cell>
          <cell r="E669" t="str">
            <v xml:space="preserve">road </v>
          </cell>
          <cell r="F669" t="str">
            <v>Pharma</v>
          </cell>
          <cell r="G669" t="str">
            <v>East</v>
          </cell>
          <cell r="I669" t="str">
            <v>4.1KG</v>
          </cell>
          <cell r="J669" t="str">
            <v>80</v>
          </cell>
          <cell r="K669">
            <v>6</v>
          </cell>
          <cell r="L669" t="str">
            <v>09/06/2024</v>
          </cell>
          <cell r="M669" t="str">
            <v>delivered</v>
          </cell>
          <cell r="N669">
            <v>4</v>
          </cell>
          <cell r="O669" t="str">
            <v>Yes</v>
          </cell>
        </row>
        <row r="670">
          <cell r="A670" t="str">
            <v>SHP-100552</v>
          </cell>
          <cell r="B670" t="str">
            <v>20-Apr-2024</v>
          </cell>
          <cell r="C670" t="str">
            <v xml:space="preserve">delhi </v>
          </cell>
          <cell r="D670" t="str">
            <v>ECOM EXPRESS</v>
          </cell>
          <cell r="E670" t="str">
            <v xml:space="preserve"> AIR </v>
          </cell>
          <cell r="F670" t="str">
            <v>Grocery  &amp; FMCG</v>
          </cell>
          <cell r="G670" t="str">
            <v>South</v>
          </cell>
          <cell r="I670" t="str">
            <v>4.1</v>
          </cell>
          <cell r="J670" t="str">
            <v>374</v>
          </cell>
          <cell r="K670">
            <v>4</v>
          </cell>
          <cell r="L670" t="str">
            <v xml:space="preserve"> 25/04/2024 </v>
          </cell>
          <cell r="M670" t="str">
            <v>DELAYED</v>
          </cell>
          <cell r="N670">
            <v>1</v>
          </cell>
          <cell r="O670" t="str">
            <v xml:space="preserve"> No</v>
          </cell>
        </row>
        <row r="671">
          <cell r="A671" t="str">
            <v>SHP-100449</v>
          </cell>
          <cell r="B671" t="str">
            <v>01/05/2024</v>
          </cell>
          <cell r="C671" t="str">
            <v xml:space="preserve"> DELHI </v>
          </cell>
          <cell r="D671" t="str">
            <v xml:space="preserve"> DTDC</v>
          </cell>
          <cell r="E671" t="str">
            <v>air</v>
          </cell>
          <cell r="F671" t="str">
            <v>electronics</v>
          </cell>
          <cell r="G671" t="str">
            <v xml:space="preserve">east </v>
          </cell>
          <cell r="I671" t="str">
            <v>13.8KG</v>
          </cell>
          <cell r="J671" t="str">
            <v>763</v>
          </cell>
          <cell r="K671">
            <v>4</v>
          </cell>
          <cell r="L671" t="str">
            <v>2024-05-05</v>
          </cell>
          <cell r="M671" t="str">
            <v>DELIVERED</v>
          </cell>
          <cell r="N671">
            <v>5</v>
          </cell>
          <cell r="O671" t="str">
            <v>No</v>
          </cell>
        </row>
        <row r="672">
          <cell r="A672" t="str">
            <v>SHP-101432</v>
          </cell>
          <cell r="B672" t="str">
            <v xml:space="preserve"> 10/01/2024 </v>
          </cell>
          <cell r="C672" t="str">
            <v>Mumbai</v>
          </cell>
          <cell r="D672" t="str">
            <v>Xpress Bees</v>
          </cell>
          <cell r="E672" t="str">
            <v>Road</v>
          </cell>
          <cell r="F672" t="str">
            <v>Grocery &amp; FMCG</v>
          </cell>
          <cell r="G672" t="str">
            <v>east</v>
          </cell>
          <cell r="I672" t="str">
            <v>17.2KG</v>
          </cell>
          <cell r="J672" t="str">
            <v>383</v>
          </cell>
          <cell r="K672">
            <v>8</v>
          </cell>
          <cell r="L672" t="str">
            <v>2024-01-22</v>
          </cell>
          <cell r="M672" t="str">
            <v>DELAYED</v>
          </cell>
          <cell r="N672">
            <v>1</v>
          </cell>
          <cell r="O672" t="str">
            <v>N</v>
          </cell>
        </row>
        <row r="673">
          <cell r="A673" t="str">
            <v>SHP-101253</v>
          </cell>
          <cell r="B673" t="str">
            <v>23-Jun-2024</v>
          </cell>
          <cell r="C673" t="str">
            <v>BENGALURU</v>
          </cell>
          <cell r="D673" t="str">
            <v xml:space="preserve">BLUEDART </v>
          </cell>
          <cell r="E673" t="str">
            <v xml:space="preserve"> ROAD </v>
          </cell>
          <cell r="F673" t="str">
            <v>PHARMA</v>
          </cell>
          <cell r="G673" t="str">
            <v xml:space="preserve">west </v>
          </cell>
          <cell r="I673" t="str">
            <v>1.0kg</v>
          </cell>
          <cell r="J673" t="str">
            <v>₹149</v>
          </cell>
          <cell r="K673">
            <v>8</v>
          </cell>
          <cell r="L673" t="str">
            <v>2024-07-02</v>
          </cell>
          <cell r="M673" t="str">
            <v xml:space="preserve">delayed </v>
          </cell>
          <cell r="N673">
            <v>1</v>
          </cell>
          <cell r="O673" t="str">
            <v>no</v>
          </cell>
        </row>
        <row r="674">
          <cell r="A674" t="str">
            <v>SHP-100351</v>
          </cell>
          <cell r="B674" t="str">
            <v>11/01/2024</v>
          </cell>
          <cell r="C674" t="str">
            <v>kolkata</v>
          </cell>
          <cell r="D674" t="str">
            <v>Delhivery</v>
          </cell>
          <cell r="E674" t="str">
            <v>Air</v>
          </cell>
          <cell r="F674" t="str">
            <v>Pharma</v>
          </cell>
          <cell r="G674" t="str">
            <v xml:space="preserve"> SOUTH </v>
          </cell>
          <cell r="I674" t="str">
            <v>2.5KG</v>
          </cell>
          <cell r="J674" t="str">
            <v>254</v>
          </cell>
          <cell r="K674">
            <v>4</v>
          </cell>
          <cell r="L674" t="str">
            <v xml:space="preserve"> 15/01/2024 </v>
          </cell>
          <cell r="M674" t="str">
            <v>Delivered</v>
          </cell>
          <cell r="N674">
            <v>5</v>
          </cell>
          <cell r="O674" t="str">
            <v>No</v>
          </cell>
        </row>
        <row r="675">
          <cell r="A675" t="str">
            <v>SHP-100231</v>
          </cell>
          <cell r="B675" t="str">
            <v>26-Jun-2024</v>
          </cell>
          <cell r="C675" t="str">
            <v>Hyderabad</v>
          </cell>
          <cell r="D675" t="str">
            <v>Blue Dart</v>
          </cell>
          <cell r="E675" t="str">
            <v xml:space="preserve"> ROAD </v>
          </cell>
          <cell r="F675" t="str">
            <v xml:space="preserve">electronics  </v>
          </cell>
          <cell r="G675" t="str">
            <v>West</v>
          </cell>
          <cell r="I675" t="str">
            <v>7.2KG</v>
          </cell>
          <cell r="J675" t="str">
            <v>₹137</v>
          </cell>
          <cell r="K675">
            <v>6</v>
          </cell>
          <cell r="L675" t="str">
            <v xml:space="preserve"> 01/07/2024 </v>
          </cell>
          <cell r="M675" t="str">
            <v xml:space="preserve"> DAMAGED</v>
          </cell>
          <cell r="O675" t="str">
            <v xml:space="preserve">yes </v>
          </cell>
        </row>
        <row r="676">
          <cell r="A676" t="str">
            <v>SHP-101084</v>
          </cell>
          <cell r="B676" t="str">
            <v xml:space="preserve"> 21/06/2024 </v>
          </cell>
          <cell r="C676" t="str">
            <v xml:space="preserve"> MUMBAI </v>
          </cell>
          <cell r="D676" t="str">
            <v>ECOM EXPRESS</v>
          </cell>
          <cell r="E676" t="str">
            <v>Road</v>
          </cell>
          <cell r="F676" t="str">
            <v>furniture</v>
          </cell>
          <cell r="G676" t="str">
            <v>WEST</v>
          </cell>
          <cell r="I676" t="str">
            <v>40.6</v>
          </cell>
          <cell r="J676" t="str">
            <v>₹607</v>
          </cell>
          <cell r="K676">
            <v>6</v>
          </cell>
          <cell r="L676" t="str">
            <v xml:space="preserve"> 26/06/2024 </v>
          </cell>
          <cell r="M676" t="str">
            <v>DELIVERED</v>
          </cell>
          <cell r="N676">
            <v>5</v>
          </cell>
          <cell r="O676" t="str">
            <v>Yes</v>
          </cell>
        </row>
        <row r="677">
          <cell r="A677" t="str">
            <v>SHP-101274</v>
          </cell>
          <cell r="B677" t="str">
            <v>23-May-2024</v>
          </cell>
          <cell r="C677" t="str">
            <v>Mumbai</v>
          </cell>
          <cell r="D677" t="str">
            <v>Ecom  Express</v>
          </cell>
          <cell r="E677" t="str">
            <v>road</v>
          </cell>
          <cell r="F677" t="str">
            <v xml:space="preserve"> GROCERY &amp; FMCG </v>
          </cell>
          <cell r="G677" t="str">
            <v xml:space="preserve">south </v>
          </cell>
          <cell r="I677" t="str">
            <v>13.9</v>
          </cell>
          <cell r="J677" t="str">
            <v xml:space="preserve">Rs 369 </v>
          </cell>
          <cell r="K677">
            <v>8</v>
          </cell>
          <cell r="L677" t="str">
            <v>2024-05-31</v>
          </cell>
          <cell r="M677" t="str">
            <v>Delivered</v>
          </cell>
          <cell r="N677">
            <v>4</v>
          </cell>
          <cell r="O677" t="str">
            <v>no</v>
          </cell>
        </row>
        <row r="678">
          <cell r="A678" t="str">
            <v>SHP-101386</v>
          </cell>
          <cell r="B678" t="str">
            <v>2024-06-12</v>
          </cell>
          <cell r="C678" t="str">
            <v xml:space="preserve">delhi </v>
          </cell>
          <cell r="D678" t="str">
            <v>bluedart</v>
          </cell>
          <cell r="E678" t="str">
            <v>SURFACE</v>
          </cell>
          <cell r="F678" t="str">
            <v>Apparel</v>
          </cell>
          <cell r="G678" t="str">
            <v xml:space="preserve">east </v>
          </cell>
          <cell r="I678" t="str">
            <v>1.0kg</v>
          </cell>
          <cell r="J678" t="str">
            <v xml:space="preserve">Rs 153 </v>
          </cell>
          <cell r="K678">
            <v>6</v>
          </cell>
          <cell r="L678" t="str">
            <v xml:space="preserve"> 17/06/2024 </v>
          </cell>
          <cell r="M678" t="str">
            <v>delivered</v>
          </cell>
          <cell r="N678">
            <v>4</v>
          </cell>
          <cell r="O678" t="str">
            <v>No</v>
          </cell>
        </row>
        <row r="679">
          <cell r="I679" t="str">
            <v>25.7kg</v>
          </cell>
        </row>
        <row r="680">
          <cell r="A680" t="str">
            <v>SHP-100523</v>
          </cell>
          <cell r="B680" t="str">
            <v xml:space="preserve"> 13/04/2024 </v>
          </cell>
          <cell r="D680" t="str">
            <v xml:space="preserve"> XPRESSBEES</v>
          </cell>
          <cell r="E680" t="str">
            <v>air</v>
          </cell>
          <cell r="F680" t="str">
            <v>automotive parts</v>
          </cell>
          <cell r="G680" t="str">
            <v>SOUTH</v>
          </cell>
          <cell r="I680" t="str">
            <v>14.5</v>
          </cell>
          <cell r="J680" t="str">
            <v>₹830</v>
          </cell>
          <cell r="K680">
            <v>4</v>
          </cell>
          <cell r="L680" t="str">
            <v xml:space="preserve"> 16/04/2024 </v>
          </cell>
          <cell r="M680" t="str">
            <v xml:space="preserve"> Delivered</v>
          </cell>
          <cell r="N680">
            <v>4</v>
          </cell>
          <cell r="O680" t="str">
            <v xml:space="preserve"> No</v>
          </cell>
        </row>
        <row r="681">
          <cell r="A681" t="str">
            <v>SHP-100329</v>
          </cell>
          <cell r="B681" t="str">
            <v xml:space="preserve"> 27/05/2024 </v>
          </cell>
          <cell r="C681" t="str">
            <v xml:space="preserve"> DELHI </v>
          </cell>
          <cell r="D681" t="str">
            <v>XpressBees</v>
          </cell>
          <cell r="E681" t="str">
            <v xml:space="preserve">air </v>
          </cell>
          <cell r="F681" t="str">
            <v>APPAREL</v>
          </cell>
          <cell r="G681" t="str">
            <v xml:space="preserve"> EAST </v>
          </cell>
          <cell r="I681" t="str">
            <v>1.9KG</v>
          </cell>
          <cell r="J681" t="str">
            <v>230</v>
          </cell>
          <cell r="K681">
            <v>4</v>
          </cell>
          <cell r="L681" t="str">
            <v>07-Jun-2024</v>
          </cell>
          <cell r="M681" t="str">
            <v>Damaged</v>
          </cell>
          <cell r="O681" t="str">
            <v xml:space="preserve"> No</v>
          </cell>
        </row>
        <row r="682">
          <cell r="A682" t="str">
            <v>SHP-100600</v>
          </cell>
          <cell r="B682" t="str">
            <v xml:space="preserve"> 16/02/2024 </v>
          </cell>
          <cell r="C682" t="str">
            <v>CHENNAI</v>
          </cell>
          <cell r="D682" t="str">
            <v>DTDC</v>
          </cell>
          <cell r="E682" t="str">
            <v xml:space="preserve">air </v>
          </cell>
          <cell r="F682" t="str">
            <v>ELECTRONICS</v>
          </cell>
          <cell r="G682" t="str">
            <v xml:space="preserve"> SOUTH </v>
          </cell>
          <cell r="I682" t="str">
            <v>1.5kg</v>
          </cell>
          <cell r="J682" t="str">
            <v>₹80</v>
          </cell>
          <cell r="K682">
            <v>2</v>
          </cell>
          <cell r="L682" t="str">
            <v>17/02/2024</v>
          </cell>
          <cell r="M682" t="str">
            <v>DELIVERED</v>
          </cell>
          <cell r="N682">
            <v>5</v>
          </cell>
          <cell r="O682" t="str">
            <v>N</v>
          </cell>
        </row>
        <row r="683">
          <cell r="A683" t="str">
            <v>SHP-101210</v>
          </cell>
          <cell r="B683" t="str">
            <v>08/01/2024</v>
          </cell>
          <cell r="D683" t="str">
            <v>Blue Dart</v>
          </cell>
          <cell r="E683" t="str">
            <v>ROAD</v>
          </cell>
          <cell r="F683" t="str">
            <v xml:space="preserve">automotive  parts </v>
          </cell>
          <cell r="G683" t="str">
            <v>EAST</v>
          </cell>
          <cell r="I683" t="str">
            <v>10.7kg</v>
          </cell>
          <cell r="J683" t="str">
            <v xml:space="preserve">Rs 321 </v>
          </cell>
          <cell r="K683">
            <v>8</v>
          </cell>
          <cell r="L683" t="str">
            <v>2024-01-17</v>
          </cell>
          <cell r="M683" t="str">
            <v xml:space="preserve">delayed </v>
          </cell>
          <cell r="N683">
            <v>4</v>
          </cell>
          <cell r="O683" t="str">
            <v>N</v>
          </cell>
        </row>
        <row r="684">
          <cell r="A684" t="str">
            <v>SHP-100554</v>
          </cell>
          <cell r="B684" t="str">
            <v>11/02/2024</v>
          </cell>
          <cell r="C684" t="str">
            <v xml:space="preserve"> KOLKATA </v>
          </cell>
          <cell r="D684" t="str">
            <v>bluedart</v>
          </cell>
          <cell r="E684" t="str">
            <v xml:space="preserve">surface </v>
          </cell>
          <cell r="F684" t="str">
            <v>pharma</v>
          </cell>
          <cell r="G684" t="str">
            <v>east</v>
          </cell>
          <cell r="I684" t="str">
            <v>4.5KG</v>
          </cell>
          <cell r="J684" t="str">
            <v>98</v>
          </cell>
          <cell r="K684">
            <v>4</v>
          </cell>
          <cell r="L684" t="str">
            <v xml:space="preserve"> 15/02/2024 </v>
          </cell>
          <cell r="M684" t="str">
            <v>DELIVERED</v>
          </cell>
          <cell r="N684">
            <v>5</v>
          </cell>
          <cell r="O684" t="str">
            <v>N</v>
          </cell>
        </row>
        <row r="685">
          <cell r="A685" t="str">
            <v>SHP-100089</v>
          </cell>
          <cell r="B685" t="str">
            <v>19-May-2024</v>
          </cell>
          <cell r="D685" t="str">
            <v>ecom express</v>
          </cell>
          <cell r="E685" t="str">
            <v>AIR</v>
          </cell>
          <cell r="F685" t="str">
            <v>AUTOMOTIVE PARTS</v>
          </cell>
          <cell r="G685" t="str">
            <v xml:space="preserve">east </v>
          </cell>
          <cell r="I685" t="str">
            <v>8.3</v>
          </cell>
          <cell r="J685" t="str">
            <v>₹581</v>
          </cell>
          <cell r="K685">
            <v>4</v>
          </cell>
          <cell r="L685" t="str">
            <v>22-May-2024</v>
          </cell>
          <cell r="M685" t="str">
            <v>DELIVERED</v>
          </cell>
          <cell r="N685">
            <v>5</v>
          </cell>
          <cell r="O685" t="str">
            <v>no</v>
          </cell>
        </row>
        <row r="686">
          <cell r="A686" t="str">
            <v>SHP-101541</v>
          </cell>
          <cell r="B686" t="str">
            <v>14/01/2024</v>
          </cell>
          <cell r="C686" t="str">
            <v>bengaluru</v>
          </cell>
          <cell r="D686" t="str">
            <v>ecom express</v>
          </cell>
          <cell r="E686" t="str">
            <v>Surface</v>
          </cell>
          <cell r="F686" t="str">
            <v>automotive  parts</v>
          </cell>
          <cell r="G686" t="str">
            <v>south</v>
          </cell>
          <cell r="I686" t="str">
            <v xml:space="preserve">6.7 Kg </v>
          </cell>
          <cell r="J686" t="str">
            <v xml:space="preserve">Rs 167 </v>
          </cell>
          <cell r="K686">
            <v>4</v>
          </cell>
          <cell r="L686" t="str">
            <v xml:space="preserve"> 19/01/2024 </v>
          </cell>
          <cell r="M686" t="str">
            <v xml:space="preserve"> Delayed</v>
          </cell>
          <cell r="N686">
            <v>1</v>
          </cell>
          <cell r="O686" t="str">
            <v>no</v>
          </cell>
        </row>
        <row r="687">
          <cell r="A687" t="str">
            <v>SHP-100922</v>
          </cell>
          <cell r="B687" t="str">
            <v>07-Apr-2024</v>
          </cell>
          <cell r="C687" t="str">
            <v xml:space="preserve"> KOLKATA </v>
          </cell>
          <cell r="D687" t="str">
            <v>DTDC</v>
          </cell>
          <cell r="E687" t="str">
            <v xml:space="preserve">road </v>
          </cell>
          <cell r="F687" t="str">
            <v>Automotive  Parts</v>
          </cell>
          <cell r="G687" t="str">
            <v>South</v>
          </cell>
          <cell r="I687" t="str">
            <v xml:space="preserve">10.8 Kg </v>
          </cell>
          <cell r="J687" t="str">
            <v>356</v>
          </cell>
          <cell r="K687">
            <v>8</v>
          </cell>
          <cell r="L687" t="str">
            <v>2024-04-15</v>
          </cell>
          <cell r="M687" t="str">
            <v>delivered</v>
          </cell>
          <cell r="N687">
            <v>2</v>
          </cell>
          <cell r="O687" t="str">
            <v>No</v>
          </cell>
        </row>
        <row r="688">
          <cell r="A688" t="str">
            <v>SHP-101470</v>
          </cell>
          <cell r="B688" t="str">
            <v>25-Jun-2024</v>
          </cell>
          <cell r="C688" t="str">
            <v>Chennai</v>
          </cell>
          <cell r="D688" t="str">
            <v>Xpress Bees</v>
          </cell>
          <cell r="E688" t="str">
            <v xml:space="preserve">air </v>
          </cell>
          <cell r="F688" t="str">
            <v xml:space="preserve">automotive  parts </v>
          </cell>
          <cell r="G688" t="str">
            <v xml:space="preserve"> EAST </v>
          </cell>
          <cell r="I688" t="str">
            <v>39.6</v>
          </cell>
          <cell r="J688" t="str">
            <v>₹1,953</v>
          </cell>
          <cell r="K688">
            <v>4</v>
          </cell>
          <cell r="L688" t="str">
            <v xml:space="preserve"> 30/06/2024 </v>
          </cell>
          <cell r="M688" t="str">
            <v>Delayed</v>
          </cell>
          <cell r="N688">
            <v>3</v>
          </cell>
          <cell r="O688" t="str">
            <v>Y</v>
          </cell>
        </row>
        <row r="689">
          <cell r="A689" t="str">
            <v>SHP-101356</v>
          </cell>
          <cell r="B689" t="str">
            <v>2024-06-24</v>
          </cell>
          <cell r="C689" t="str">
            <v xml:space="preserve">mumbai </v>
          </cell>
          <cell r="D689" t="str">
            <v>xpressbees</v>
          </cell>
          <cell r="E689" t="str">
            <v xml:space="preserve"> AIR </v>
          </cell>
          <cell r="F689" t="str">
            <v>Pharma</v>
          </cell>
          <cell r="G689" t="str">
            <v>NORTH</v>
          </cell>
          <cell r="I689" t="str">
            <v>3.9kg</v>
          </cell>
          <cell r="J689" t="str">
            <v>₹305</v>
          </cell>
          <cell r="K689">
            <v>4</v>
          </cell>
          <cell r="L689" t="str">
            <v>03/07/2024</v>
          </cell>
          <cell r="M689" t="str">
            <v xml:space="preserve"> Delayed</v>
          </cell>
          <cell r="N689">
            <v>3</v>
          </cell>
          <cell r="O689" t="str">
            <v>No</v>
          </cell>
        </row>
        <row r="690">
          <cell r="A690" t="str">
            <v>SHP-100990</v>
          </cell>
          <cell r="B690" t="str">
            <v>21-Feb-2024</v>
          </cell>
          <cell r="C690" t="str">
            <v>hyderabad</v>
          </cell>
          <cell r="D690" t="str">
            <v>delhivery</v>
          </cell>
          <cell r="E690" t="str">
            <v>road</v>
          </cell>
          <cell r="F690" t="str">
            <v xml:space="preserve">pharma  </v>
          </cell>
          <cell r="G690" t="str">
            <v>east</v>
          </cell>
          <cell r="I690" t="str">
            <v xml:space="preserve">3.4 Kg </v>
          </cell>
          <cell r="J690" t="str">
            <v xml:space="preserve">Rs 220 </v>
          </cell>
          <cell r="K690">
            <v>8</v>
          </cell>
          <cell r="L690" t="str">
            <v>2024-03-01</v>
          </cell>
          <cell r="M690" t="str">
            <v>DELAYED</v>
          </cell>
          <cell r="N690">
            <v>3</v>
          </cell>
          <cell r="O690" t="str">
            <v xml:space="preserve"> No</v>
          </cell>
        </row>
        <row r="691">
          <cell r="A691" t="str">
            <v>SHP-101398</v>
          </cell>
          <cell r="B691" t="str">
            <v xml:space="preserve"> 03/03/2024 </v>
          </cell>
          <cell r="C691" t="str">
            <v>mumbai</v>
          </cell>
          <cell r="D691" t="str">
            <v xml:space="preserve"> Delhivery</v>
          </cell>
          <cell r="E691" t="str">
            <v xml:space="preserve">surface </v>
          </cell>
          <cell r="F691" t="str">
            <v xml:space="preserve"> PHARMA </v>
          </cell>
          <cell r="G691" t="str">
            <v xml:space="preserve">north </v>
          </cell>
          <cell r="I691" t="str">
            <v>1.5KG</v>
          </cell>
          <cell r="J691" t="str">
            <v xml:space="preserve">Rs 197 </v>
          </cell>
          <cell r="K691">
            <v>6</v>
          </cell>
          <cell r="L691" t="str">
            <v>12/03/2024</v>
          </cell>
          <cell r="M691" t="str">
            <v xml:space="preserve">delayed </v>
          </cell>
          <cell r="N691">
            <v>2</v>
          </cell>
          <cell r="O691" t="str">
            <v xml:space="preserve"> No</v>
          </cell>
        </row>
        <row r="692">
          <cell r="A692" t="str">
            <v>SHP-100059</v>
          </cell>
          <cell r="B692" t="str">
            <v xml:space="preserve"> 28/04/2024 </v>
          </cell>
          <cell r="C692" t="str">
            <v xml:space="preserve"> KOLKATA </v>
          </cell>
          <cell r="D692" t="str">
            <v>Delhivery</v>
          </cell>
          <cell r="E692" t="str">
            <v>SURFACE</v>
          </cell>
          <cell r="F692" t="str">
            <v xml:space="preserve">grocery &amp; fmcg </v>
          </cell>
          <cell r="G692" t="str">
            <v>SOUTH</v>
          </cell>
          <cell r="I692" t="str">
            <v>3.4KG</v>
          </cell>
          <cell r="J692" t="str">
            <v>₹233</v>
          </cell>
          <cell r="K692">
            <v>6</v>
          </cell>
          <cell r="L692" t="str">
            <v>2024-05-05</v>
          </cell>
          <cell r="M692" t="str">
            <v>Delayed</v>
          </cell>
          <cell r="N692">
            <v>3</v>
          </cell>
          <cell r="O692" t="str">
            <v>no</v>
          </cell>
        </row>
        <row r="693">
          <cell r="A693" t="str">
            <v>SHP-100043</v>
          </cell>
          <cell r="B693" t="str">
            <v>09/02/2024</v>
          </cell>
          <cell r="C693" t="str">
            <v>chennai</v>
          </cell>
          <cell r="D693" t="str">
            <v>BlueDart</v>
          </cell>
          <cell r="E693" t="str">
            <v>surface</v>
          </cell>
          <cell r="F693" t="str">
            <v>furniture</v>
          </cell>
          <cell r="G693" t="str">
            <v xml:space="preserve">south </v>
          </cell>
          <cell r="I693" t="str">
            <v xml:space="preserve">26.3 Kg </v>
          </cell>
          <cell r="J693" t="str">
            <v>₹588</v>
          </cell>
          <cell r="K693">
            <v>4</v>
          </cell>
          <cell r="L693" t="str">
            <v>2024-02-12</v>
          </cell>
          <cell r="M693" t="str">
            <v>delivered</v>
          </cell>
          <cell r="N693">
            <v>5</v>
          </cell>
          <cell r="O693" t="str">
            <v>N</v>
          </cell>
        </row>
        <row r="694">
          <cell r="A694" t="str">
            <v>SHP-101368</v>
          </cell>
          <cell r="B694" t="str">
            <v>07-Jun-2024</v>
          </cell>
          <cell r="C694" t="str">
            <v>bengaluru</v>
          </cell>
          <cell r="D694" t="str">
            <v>DTDC</v>
          </cell>
          <cell r="E694" t="str">
            <v>air</v>
          </cell>
          <cell r="F694" t="str">
            <v>GROCERY  &amp; FMCG</v>
          </cell>
          <cell r="G694" t="str">
            <v xml:space="preserve"> SOUTH </v>
          </cell>
          <cell r="I694" t="str">
            <v>10.3kg</v>
          </cell>
          <cell r="J694" t="str">
            <v xml:space="preserve">Rs 456 </v>
          </cell>
          <cell r="K694">
            <v>2</v>
          </cell>
          <cell r="L694" t="str">
            <v>10-Jun-2024</v>
          </cell>
          <cell r="M694" t="str">
            <v>Delayed</v>
          </cell>
          <cell r="N694">
            <v>2</v>
          </cell>
          <cell r="O694" t="str">
            <v>N</v>
          </cell>
        </row>
        <row r="695">
          <cell r="A695" t="str">
            <v>SHP-101410</v>
          </cell>
          <cell r="B695" t="str">
            <v>2024-04-16</v>
          </cell>
          <cell r="C695" t="str">
            <v>mumbai</v>
          </cell>
          <cell r="D695" t="str">
            <v>xpressbees</v>
          </cell>
          <cell r="E695" t="str">
            <v xml:space="preserve"> ROAD </v>
          </cell>
          <cell r="F695" t="str">
            <v>APPAREL</v>
          </cell>
          <cell r="G695" t="str">
            <v xml:space="preserve">south </v>
          </cell>
          <cell r="I695" t="str">
            <v>1.4KG</v>
          </cell>
          <cell r="J695" t="str">
            <v>157</v>
          </cell>
          <cell r="K695">
            <v>8</v>
          </cell>
          <cell r="L695" t="str">
            <v>25-Apr-2024</v>
          </cell>
          <cell r="M695" t="str">
            <v xml:space="preserve"> Delayed</v>
          </cell>
          <cell r="N695">
            <v>1</v>
          </cell>
          <cell r="O695" t="str">
            <v>N</v>
          </cell>
        </row>
        <row r="696">
          <cell r="A696" t="str">
            <v>SHP-100823</v>
          </cell>
          <cell r="B696" t="str">
            <v xml:space="preserve"> 02/05/2024 </v>
          </cell>
          <cell r="C696" t="str">
            <v xml:space="preserve"> HYDERABAD </v>
          </cell>
          <cell r="D696" t="str">
            <v>dtdc</v>
          </cell>
          <cell r="E696" t="str">
            <v xml:space="preserve"> SURFACE </v>
          </cell>
          <cell r="F696" t="str">
            <v>pharma</v>
          </cell>
          <cell r="G696" t="str">
            <v>south</v>
          </cell>
          <cell r="I696" t="str">
            <v>2.3kg</v>
          </cell>
          <cell r="J696" t="str">
            <v xml:space="preserve">Rs 233 </v>
          </cell>
          <cell r="K696">
            <v>6</v>
          </cell>
          <cell r="L696" t="str">
            <v>08-May-2024</v>
          </cell>
          <cell r="M696" t="str">
            <v>Delivered</v>
          </cell>
          <cell r="N696">
            <v>4</v>
          </cell>
          <cell r="O696" t="str">
            <v>no</v>
          </cell>
        </row>
        <row r="697">
          <cell r="A697" t="str">
            <v>SHP-101102</v>
          </cell>
          <cell r="B697" t="str">
            <v>2024-05-27</v>
          </cell>
          <cell r="C697" t="str">
            <v>BENGALURU</v>
          </cell>
          <cell r="D697" t="str">
            <v>ecom express</v>
          </cell>
          <cell r="E697" t="str">
            <v>surface</v>
          </cell>
          <cell r="F697" t="str">
            <v>ELECTRONICS</v>
          </cell>
          <cell r="G697" t="str">
            <v>NORTH</v>
          </cell>
          <cell r="I697" t="str">
            <v>13.9</v>
          </cell>
          <cell r="J697" t="str">
            <v xml:space="preserve">Rs 508 </v>
          </cell>
          <cell r="K697">
            <v>6</v>
          </cell>
          <cell r="L697" t="str">
            <v>03/06/2024</v>
          </cell>
          <cell r="M697" t="str">
            <v>Delayed</v>
          </cell>
          <cell r="N697">
            <v>3</v>
          </cell>
          <cell r="O697" t="str">
            <v>YES</v>
          </cell>
        </row>
        <row r="698">
          <cell r="A698" t="str">
            <v>SHP-100396</v>
          </cell>
          <cell r="B698" t="str">
            <v xml:space="preserve"> 02/02/2024 </v>
          </cell>
          <cell r="C698" t="str">
            <v>MUMBAI</v>
          </cell>
          <cell r="D698" t="str">
            <v>XpressBees</v>
          </cell>
          <cell r="E698" t="str">
            <v>SURFACE</v>
          </cell>
          <cell r="F698" t="str">
            <v xml:space="preserve"> PHARMA </v>
          </cell>
          <cell r="G698" t="str">
            <v>west</v>
          </cell>
          <cell r="I698" t="str">
            <v>0.8</v>
          </cell>
          <cell r="J698" t="str">
            <v xml:space="preserve">Rs 80 </v>
          </cell>
          <cell r="K698">
            <v>4</v>
          </cell>
          <cell r="L698" t="str">
            <v>06-Feb-2024</v>
          </cell>
          <cell r="M698" t="str">
            <v>Delivered</v>
          </cell>
          <cell r="N698">
            <v>3</v>
          </cell>
          <cell r="O698" t="str">
            <v xml:space="preserve"> No</v>
          </cell>
        </row>
        <row r="699">
          <cell r="A699" t="str">
            <v>SHP-100645</v>
          </cell>
          <cell r="B699" t="str">
            <v>05/03/2024</v>
          </cell>
          <cell r="C699" t="str">
            <v>MUMBAI</v>
          </cell>
          <cell r="D699" t="str">
            <v xml:space="preserve"> DTDC</v>
          </cell>
          <cell r="E699" t="str">
            <v>SURFACE</v>
          </cell>
          <cell r="F699" t="str">
            <v>electronics</v>
          </cell>
          <cell r="G699" t="str">
            <v>West</v>
          </cell>
          <cell r="I699" t="str">
            <v xml:space="preserve">12.0 Kg </v>
          </cell>
          <cell r="J699" t="str">
            <v xml:space="preserve">Rs 279 </v>
          </cell>
          <cell r="K699">
            <v>4</v>
          </cell>
          <cell r="L699" t="str">
            <v xml:space="preserve"> 08/03/2024 </v>
          </cell>
          <cell r="M699" t="str">
            <v>Delivered</v>
          </cell>
          <cell r="N699">
            <v>4</v>
          </cell>
          <cell r="O699" t="str">
            <v xml:space="preserve">yes </v>
          </cell>
        </row>
        <row r="700">
          <cell r="A700" t="str">
            <v>SHP-101577</v>
          </cell>
          <cell r="B700" t="str">
            <v>10-Jan-2024</v>
          </cell>
          <cell r="C700" t="str">
            <v xml:space="preserve"> CHENNAI </v>
          </cell>
          <cell r="D700" t="str">
            <v xml:space="preserve">BLUEDART </v>
          </cell>
          <cell r="E700" t="str">
            <v>ROAD</v>
          </cell>
          <cell r="F700" t="str">
            <v>Electronics</v>
          </cell>
          <cell r="G700" t="str">
            <v>South</v>
          </cell>
          <cell r="I700" t="str">
            <v>1.1KG</v>
          </cell>
          <cell r="J700" t="str">
            <v>₹80</v>
          </cell>
          <cell r="K700">
            <v>6</v>
          </cell>
          <cell r="L700" t="str">
            <v>16-Jan-2024</v>
          </cell>
          <cell r="M700" t="str">
            <v>Delivered</v>
          </cell>
          <cell r="N700">
            <v>4</v>
          </cell>
          <cell r="O700" t="str">
            <v>Yes</v>
          </cell>
        </row>
        <row r="701">
          <cell r="A701" t="str">
            <v>SHP-100496</v>
          </cell>
          <cell r="B701" t="str">
            <v>13/05/2024</v>
          </cell>
          <cell r="C701" t="str">
            <v>CHENNAI</v>
          </cell>
          <cell r="D701" t="str">
            <v>xpressbees</v>
          </cell>
          <cell r="E701" t="str">
            <v xml:space="preserve">road </v>
          </cell>
          <cell r="F701" t="str">
            <v xml:space="preserve"> FURNITURE </v>
          </cell>
          <cell r="G701" t="str">
            <v>West</v>
          </cell>
          <cell r="I701" t="str">
            <v>16.4KG</v>
          </cell>
          <cell r="J701" t="str">
            <v>362</v>
          </cell>
          <cell r="K701">
            <v>8</v>
          </cell>
          <cell r="L701" t="str">
            <v>2024-05-22</v>
          </cell>
          <cell r="M701" t="str">
            <v xml:space="preserve"> Delayed</v>
          </cell>
          <cell r="N701">
            <v>1</v>
          </cell>
          <cell r="O701" t="str">
            <v>N</v>
          </cell>
        </row>
        <row r="702">
          <cell r="A702" t="str">
            <v>SHP-100640</v>
          </cell>
          <cell r="B702" t="str">
            <v xml:space="preserve"> 28/04/2024 </v>
          </cell>
          <cell r="C702" t="str">
            <v xml:space="preserve">kolkata </v>
          </cell>
          <cell r="D702" t="str">
            <v xml:space="preserve"> DTDC</v>
          </cell>
          <cell r="E702" t="str">
            <v xml:space="preserve">surface </v>
          </cell>
          <cell r="F702" t="str">
            <v>Apparel</v>
          </cell>
          <cell r="G702" t="str">
            <v>west</v>
          </cell>
          <cell r="I702" t="str">
            <v xml:space="preserve">3.7 Kg </v>
          </cell>
          <cell r="J702" t="str">
            <v>283</v>
          </cell>
          <cell r="K702">
            <v>6</v>
          </cell>
          <cell r="L702" t="str">
            <v xml:space="preserve"> 05/05/2024 </v>
          </cell>
          <cell r="M702" t="str">
            <v>DELAYED</v>
          </cell>
          <cell r="N702">
            <v>4</v>
          </cell>
          <cell r="O702" t="str">
            <v xml:space="preserve"> No</v>
          </cell>
        </row>
        <row r="703">
          <cell r="A703" t="str">
            <v>SHP-100388</v>
          </cell>
          <cell r="B703" t="str">
            <v xml:space="preserve"> 02/03/2024 </v>
          </cell>
          <cell r="C703" t="str">
            <v>Kolkata</v>
          </cell>
          <cell r="D703" t="str">
            <v>ecom express</v>
          </cell>
          <cell r="E703" t="str">
            <v xml:space="preserve"> AIR </v>
          </cell>
          <cell r="F703" t="str">
            <v>Apparel</v>
          </cell>
          <cell r="G703" t="str">
            <v xml:space="preserve">south </v>
          </cell>
          <cell r="I703" t="str">
            <v xml:space="preserve">4.4 Kg </v>
          </cell>
          <cell r="J703" t="str">
            <v>₹327</v>
          </cell>
          <cell r="K703">
            <v>4</v>
          </cell>
          <cell r="L703" t="str">
            <v>13/03/2024</v>
          </cell>
          <cell r="M703" t="str">
            <v xml:space="preserve"> Delayed</v>
          </cell>
          <cell r="N703">
            <v>4</v>
          </cell>
          <cell r="O703" t="str">
            <v xml:space="preserve"> No</v>
          </cell>
        </row>
        <row r="704">
          <cell r="A704" t="str">
            <v>SHP-100371</v>
          </cell>
          <cell r="B704" t="str">
            <v xml:space="preserve"> 09/05/2024 </v>
          </cell>
          <cell r="C704" t="str">
            <v xml:space="preserve">mumbai </v>
          </cell>
          <cell r="D704" t="str">
            <v>ecom express</v>
          </cell>
          <cell r="E704" t="str">
            <v>ROAD</v>
          </cell>
          <cell r="F704" t="str">
            <v xml:space="preserve">grocery &amp; fmcg </v>
          </cell>
          <cell r="G704" t="str">
            <v xml:space="preserve"> SOUTH </v>
          </cell>
          <cell r="I704" t="str">
            <v>15.7KG</v>
          </cell>
          <cell r="J704" t="str">
            <v xml:space="preserve">Rs 370 </v>
          </cell>
          <cell r="K704">
            <v>8</v>
          </cell>
          <cell r="L704" t="str">
            <v>21/05/2024</v>
          </cell>
          <cell r="M704" t="str">
            <v>Delayed</v>
          </cell>
          <cell r="N704">
            <v>3</v>
          </cell>
          <cell r="O704" t="str">
            <v>Y</v>
          </cell>
        </row>
        <row r="705">
          <cell r="A705" t="str">
            <v>SHP-100966</v>
          </cell>
          <cell r="B705" t="str">
            <v xml:space="preserve"> 11/01/2024 </v>
          </cell>
          <cell r="C705" t="str">
            <v>BENGALURU</v>
          </cell>
          <cell r="D705" t="str">
            <v xml:space="preserve"> Delhivery</v>
          </cell>
          <cell r="E705" t="str">
            <v xml:space="preserve">surface </v>
          </cell>
          <cell r="F705" t="str">
            <v>Electronics</v>
          </cell>
          <cell r="G705" t="str">
            <v xml:space="preserve">east </v>
          </cell>
          <cell r="I705" t="str">
            <v>5.5KG</v>
          </cell>
          <cell r="J705" t="str">
            <v>₹316</v>
          </cell>
          <cell r="K705">
            <v>6</v>
          </cell>
          <cell r="L705" t="str">
            <v>17/01/2024</v>
          </cell>
          <cell r="M705" t="str">
            <v xml:space="preserve"> Delivered</v>
          </cell>
          <cell r="N705">
            <v>3</v>
          </cell>
          <cell r="O705" t="str">
            <v xml:space="preserve"> No</v>
          </cell>
        </row>
        <row r="706">
          <cell r="A706" t="str">
            <v>SHP-101422</v>
          </cell>
          <cell r="B706" t="str">
            <v>2024-04-13</v>
          </cell>
          <cell r="C706" t="str">
            <v>mumbai</v>
          </cell>
          <cell r="D706" t="str">
            <v>ECOM EXPRESS</v>
          </cell>
          <cell r="E706" t="str">
            <v>air</v>
          </cell>
          <cell r="F706" t="str">
            <v>Electronics</v>
          </cell>
          <cell r="G706" t="str">
            <v>NORTH</v>
          </cell>
          <cell r="I706" t="str">
            <v xml:space="preserve">4.6 Kg </v>
          </cell>
          <cell r="J706" t="str">
            <v>₹396</v>
          </cell>
          <cell r="K706">
            <v>4</v>
          </cell>
          <cell r="L706" t="str">
            <v>2024-04-22</v>
          </cell>
          <cell r="M706" t="str">
            <v xml:space="preserve"> DAMAGED</v>
          </cell>
          <cell r="O706" t="str">
            <v>N</v>
          </cell>
        </row>
        <row r="707">
          <cell r="A707" t="str">
            <v>SHP-100747</v>
          </cell>
          <cell r="B707" t="str">
            <v xml:space="preserve"> 18/03/2024 </v>
          </cell>
          <cell r="C707" t="str">
            <v>mumbai</v>
          </cell>
          <cell r="D707" t="str">
            <v>delhivery</v>
          </cell>
          <cell r="E707" t="str">
            <v xml:space="preserve">surface </v>
          </cell>
          <cell r="F707" t="str">
            <v>apparel</v>
          </cell>
          <cell r="G707" t="str">
            <v>EAST</v>
          </cell>
          <cell r="I707" t="str">
            <v xml:space="preserve">5.9 Kg </v>
          </cell>
          <cell r="J707" t="str">
            <v>₹326</v>
          </cell>
          <cell r="K707">
            <v>6</v>
          </cell>
          <cell r="L707" t="str">
            <v>24/03/2024</v>
          </cell>
          <cell r="M707" t="str">
            <v>delivered</v>
          </cell>
          <cell r="N707">
            <v>4</v>
          </cell>
          <cell r="O707" t="str">
            <v xml:space="preserve"> No</v>
          </cell>
        </row>
        <row r="708">
          <cell r="A708" t="str">
            <v>SHP-100581</v>
          </cell>
          <cell r="B708" t="str">
            <v>12-Apr-2024</v>
          </cell>
          <cell r="C708" t="str">
            <v>mumbai</v>
          </cell>
          <cell r="D708" t="str">
            <v>XpressBees</v>
          </cell>
          <cell r="E708" t="str">
            <v xml:space="preserve">air </v>
          </cell>
          <cell r="F708" t="str">
            <v>Furniture</v>
          </cell>
          <cell r="G708" t="str">
            <v>south</v>
          </cell>
          <cell r="I708" t="str">
            <v>31.7KG</v>
          </cell>
          <cell r="J708" t="str">
            <v>₹1,591</v>
          </cell>
          <cell r="K708">
            <v>4</v>
          </cell>
          <cell r="L708" t="str">
            <v>2024-04-16</v>
          </cell>
          <cell r="M708" t="str">
            <v>delivered</v>
          </cell>
          <cell r="N708">
            <v>5</v>
          </cell>
          <cell r="O708" t="str">
            <v>Yes</v>
          </cell>
        </row>
        <row r="709">
          <cell r="A709" t="str">
            <v>SHP-100578</v>
          </cell>
          <cell r="B709" t="str">
            <v>27/01/2024</v>
          </cell>
          <cell r="C709" t="str">
            <v xml:space="preserve">bengaluru </v>
          </cell>
          <cell r="D709" t="str">
            <v>Blue Dart</v>
          </cell>
          <cell r="E709" t="str">
            <v>SURFACE</v>
          </cell>
          <cell r="F709" t="str">
            <v>Automotive  Parts</v>
          </cell>
          <cell r="G709" t="str">
            <v>North</v>
          </cell>
          <cell r="I709" t="str">
            <v xml:space="preserve">16.6 Kg </v>
          </cell>
          <cell r="J709" t="str">
            <v xml:space="preserve">Rs 558 </v>
          </cell>
          <cell r="K709">
            <v>6</v>
          </cell>
          <cell r="L709" t="str">
            <v>03/02/2024</v>
          </cell>
          <cell r="M709" t="str">
            <v>Damaged</v>
          </cell>
          <cell r="O709" t="str">
            <v>Y</v>
          </cell>
        </row>
        <row r="710">
          <cell r="A710" t="str">
            <v>SHP-100171</v>
          </cell>
          <cell r="B710" t="str">
            <v>25/05/2024</v>
          </cell>
          <cell r="C710" t="str">
            <v>Mumbai</v>
          </cell>
          <cell r="D710" t="str">
            <v>ecom express</v>
          </cell>
          <cell r="E710" t="str">
            <v>road</v>
          </cell>
          <cell r="F710" t="str">
            <v>PHARMA</v>
          </cell>
          <cell r="G710" t="str">
            <v>NORTH</v>
          </cell>
          <cell r="I710" t="str">
            <v>2.4</v>
          </cell>
          <cell r="J710" t="str">
            <v>196</v>
          </cell>
          <cell r="K710">
            <v>8</v>
          </cell>
          <cell r="L710" t="str">
            <v>03-Jun-2024</v>
          </cell>
          <cell r="M710" t="str">
            <v>Delayed</v>
          </cell>
          <cell r="N710">
            <v>2</v>
          </cell>
          <cell r="O710" t="str">
            <v xml:space="preserve"> No</v>
          </cell>
        </row>
        <row r="711">
          <cell r="A711" t="str">
            <v>SHP-101100</v>
          </cell>
          <cell r="B711" t="str">
            <v xml:space="preserve"> 04/02/2024 </v>
          </cell>
          <cell r="C711" t="str">
            <v>KOLKATA</v>
          </cell>
          <cell r="D711" t="str">
            <v>Blue Dart</v>
          </cell>
          <cell r="E711" t="str">
            <v>AIR</v>
          </cell>
          <cell r="F711" t="str">
            <v>FURNITURE</v>
          </cell>
          <cell r="G711" t="str">
            <v xml:space="preserve"> SOUTH </v>
          </cell>
          <cell r="I711" t="str">
            <v xml:space="preserve">40.6 Kg </v>
          </cell>
          <cell r="J711" t="str">
            <v>2,025</v>
          </cell>
          <cell r="K711">
            <v>4</v>
          </cell>
          <cell r="L711" t="str">
            <v xml:space="preserve"> 08/02/2024 </v>
          </cell>
          <cell r="M711" t="str">
            <v>Delivered</v>
          </cell>
          <cell r="N711">
            <v>3</v>
          </cell>
          <cell r="O711" t="str">
            <v>Y</v>
          </cell>
        </row>
        <row r="712">
          <cell r="A712" t="str">
            <v>SHP-100135</v>
          </cell>
          <cell r="B712" t="str">
            <v xml:space="preserve"> 03/02/2024 </v>
          </cell>
          <cell r="C712" t="str">
            <v xml:space="preserve">delhi </v>
          </cell>
          <cell r="D712" t="str">
            <v>Ecom  Express</v>
          </cell>
          <cell r="E712" t="str">
            <v xml:space="preserve"> SURFACE </v>
          </cell>
          <cell r="F712" t="str">
            <v>Furniture</v>
          </cell>
          <cell r="G712" t="str">
            <v>east</v>
          </cell>
          <cell r="I712" t="str">
            <v xml:space="preserve">23.2 Kg </v>
          </cell>
          <cell r="J712" t="str">
            <v>660</v>
          </cell>
          <cell r="K712">
            <v>6</v>
          </cell>
          <cell r="L712" t="str">
            <v>2024-02-09</v>
          </cell>
          <cell r="M712" t="str">
            <v>DELIVERED</v>
          </cell>
          <cell r="N712">
            <v>5</v>
          </cell>
          <cell r="O712" t="str">
            <v>N</v>
          </cell>
        </row>
        <row r="713">
          <cell r="A713" t="str">
            <v>SHP-100859</v>
          </cell>
          <cell r="B713" t="str">
            <v>16/03/2024</v>
          </cell>
          <cell r="C713" t="str">
            <v>KOLKATA</v>
          </cell>
          <cell r="D713" t="str">
            <v>DTDC</v>
          </cell>
          <cell r="E713" t="str">
            <v>AIR</v>
          </cell>
          <cell r="F713" t="str">
            <v>Apparel</v>
          </cell>
          <cell r="G713" t="str">
            <v>WEST</v>
          </cell>
          <cell r="I713" t="str">
            <v xml:space="preserve">2.9 Kg </v>
          </cell>
          <cell r="J713" t="str">
            <v xml:space="preserve">Rs 331 </v>
          </cell>
          <cell r="K713">
            <v>4</v>
          </cell>
          <cell r="L713" t="str">
            <v>2024-03-19</v>
          </cell>
          <cell r="M713" t="str">
            <v xml:space="preserve">RETURNED </v>
          </cell>
          <cell r="O713" t="str">
            <v xml:space="preserve">yes </v>
          </cell>
        </row>
        <row r="714">
          <cell r="A714" t="str">
            <v>SHP-101564</v>
          </cell>
          <cell r="B714" t="str">
            <v xml:space="preserve"> 08/06/2024 </v>
          </cell>
          <cell r="C714" t="str">
            <v>BENGALURU</v>
          </cell>
          <cell r="D714" t="str">
            <v>xpressbees</v>
          </cell>
          <cell r="E714" t="str">
            <v xml:space="preserve">road </v>
          </cell>
          <cell r="F714" t="str">
            <v>ELECTRONICS</v>
          </cell>
          <cell r="G714" t="str">
            <v>SOUTH</v>
          </cell>
          <cell r="I714" t="str">
            <v>5.5KG</v>
          </cell>
          <cell r="J714" t="str">
            <v xml:space="preserve">Rs 89 </v>
          </cell>
          <cell r="K714">
            <v>6</v>
          </cell>
          <cell r="L714" t="str">
            <v>15/06/2024</v>
          </cell>
          <cell r="M714" t="str">
            <v>DELAYED</v>
          </cell>
          <cell r="N714">
            <v>5</v>
          </cell>
          <cell r="O714" t="str">
            <v xml:space="preserve">yes </v>
          </cell>
        </row>
        <row r="715">
          <cell r="A715" t="str">
            <v>SHP-100570</v>
          </cell>
          <cell r="B715" t="str">
            <v>09/01/2024</v>
          </cell>
          <cell r="C715" t="str">
            <v>Mumbai</v>
          </cell>
          <cell r="D715" t="str">
            <v>XpressBees</v>
          </cell>
          <cell r="E715" t="str">
            <v>surface</v>
          </cell>
          <cell r="F715" t="str">
            <v xml:space="preserve"> GROCERY &amp; FMCG </v>
          </cell>
          <cell r="G715" t="str">
            <v xml:space="preserve">west </v>
          </cell>
          <cell r="J715" t="str">
            <v>84</v>
          </cell>
          <cell r="K715">
            <v>4</v>
          </cell>
          <cell r="L715" t="str">
            <v>14-Jan-2024</v>
          </cell>
          <cell r="M715" t="str">
            <v xml:space="preserve">delayed </v>
          </cell>
          <cell r="N715">
            <v>1</v>
          </cell>
          <cell r="O715" t="str">
            <v>Y</v>
          </cell>
        </row>
        <row r="716">
          <cell r="A716" t="str">
            <v>SHP-101030</v>
          </cell>
          <cell r="B716" t="str">
            <v>09-Mar-2024</v>
          </cell>
          <cell r="C716" t="str">
            <v xml:space="preserve"> HYDERABAD </v>
          </cell>
          <cell r="D716" t="str">
            <v>BlueDart</v>
          </cell>
          <cell r="E716" t="str">
            <v>SURFACE</v>
          </cell>
          <cell r="F716" t="str">
            <v>furniture</v>
          </cell>
          <cell r="G716" t="str">
            <v xml:space="preserve">west </v>
          </cell>
          <cell r="I716" t="str">
            <v>64.9</v>
          </cell>
          <cell r="J716" t="str">
            <v xml:space="preserve">Rs 1465 </v>
          </cell>
          <cell r="K716">
            <v>4</v>
          </cell>
          <cell r="L716" t="str">
            <v>2024-03-13</v>
          </cell>
          <cell r="M716" t="str">
            <v xml:space="preserve"> Delivered</v>
          </cell>
          <cell r="N716">
            <v>5</v>
          </cell>
          <cell r="O716" t="str">
            <v>Y</v>
          </cell>
        </row>
        <row r="717">
          <cell r="A717" t="str">
            <v>SHP-101417</v>
          </cell>
          <cell r="B717" t="str">
            <v>05/03/2024</v>
          </cell>
          <cell r="C717" t="str">
            <v>KOLKATA</v>
          </cell>
          <cell r="D717" t="str">
            <v>Ecom Express</v>
          </cell>
          <cell r="E717" t="str">
            <v>Road</v>
          </cell>
          <cell r="F717" t="str">
            <v>Pharma</v>
          </cell>
          <cell r="G717" t="str">
            <v>SOUTH</v>
          </cell>
          <cell r="I717" t="str">
            <v>1.4</v>
          </cell>
          <cell r="J717" t="str">
            <v xml:space="preserve">Rs 216 </v>
          </cell>
          <cell r="K717">
            <v>8</v>
          </cell>
          <cell r="L717" t="str">
            <v>13-Mar-2024</v>
          </cell>
          <cell r="M717" t="str">
            <v>Delivered</v>
          </cell>
          <cell r="N717">
            <v>5</v>
          </cell>
          <cell r="O717" t="str">
            <v>No</v>
          </cell>
        </row>
        <row r="718">
          <cell r="I718" t="str">
            <v>1.5kg</v>
          </cell>
        </row>
        <row r="719">
          <cell r="A719" t="str">
            <v>SHP-100773</v>
          </cell>
          <cell r="B719" t="str">
            <v xml:space="preserve"> 20/05/2024 </v>
          </cell>
          <cell r="C719" t="str">
            <v>bengaluru</v>
          </cell>
          <cell r="D719" t="str">
            <v>Delhivery</v>
          </cell>
          <cell r="E719" t="str">
            <v>surface</v>
          </cell>
          <cell r="F719" t="str">
            <v>pharma</v>
          </cell>
          <cell r="G719" t="str">
            <v>south</v>
          </cell>
          <cell r="I719" t="str">
            <v xml:space="preserve">2.7 Kg </v>
          </cell>
          <cell r="J719" t="str">
            <v>80</v>
          </cell>
          <cell r="K719">
            <v>4</v>
          </cell>
          <cell r="L719" t="str">
            <v xml:space="preserve"> 24/05/2024 </v>
          </cell>
          <cell r="M719" t="str">
            <v>delivered</v>
          </cell>
          <cell r="N719">
            <v>4</v>
          </cell>
          <cell r="O719" t="str">
            <v>N</v>
          </cell>
        </row>
        <row r="720">
          <cell r="A720" t="str">
            <v>SHP-100851</v>
          </cell>
          <cell r="B720" t="str">
            <v xml:space="preserve"> 22/01/2024 </v>
          </cell>
          <cell r="C720" t="str">
            <v>Mumbai</v>
          </cell>
          <cell r="D720" t="str">
            <v xml:space="preserve"> DTDC</v>
          </cell>
          <cell r="E720" t="str">
            <v>AIR</v>
          </cell>
          <cell r="F720" t="str">
            <v xml:space="preserve">furniture </v>
          </cell>
          <cell r="G720" t="str">
            <v xml:space="preserve">north </v>
          </cell>
          <cell r="I720" t="str">
            <v>17.0</v>
          </cell>
          <cell r="J720" t="str">
            <v xml:space="preserve">Rs 907 </v>
          </cell>
          <cell r="K720">
            <v>4</v>
          </cell>
          <cell r="L720" t="str">
            <v xml:space="preserve"> 27/01/2024 </v>
          </cell>
          <cell r="M720" t="str">
            <v xml:space="preserve">delayed </v>
          </cell>
          <cell r="N720">
            <v>3</v>
          </cell>
          <cell r="O720" t="str">
            <v>Y</v>
          </cell>
        </row>
        <row r="721">
          <cell r="A721" t="str">
            <v>SHP-101118</v>
          </cell>
          <cell r="B721" t="str">
            <v>11/02/2024</v>
          </cell>
          <cell r="C721" t="str">
            <v>Delhi</v>
          </cell>
          <cell r="D721" t="str">
            <v xml:space="preserve">Dtdc </v>
          </cell>
          <cell r="E721" t="str">
            <v xml:space="preserve"> ROAD </v>
          </cell>
          <cell r="F721" t="str">
            <v>Electronics</v>
          </cell>
          <cell r="G721" t="str">
            <v>north</v>
          </cell>
          <cell r="I721" t="str">
            <v>10.7kg</v>
          </cell>
          <cell r="J721" t="str">
            <v xml:space="preserve">Rs 195 </v>
          </cell>
          <cell r="K721">
            <v>6</v>
          </cell>
          <cell r="L721" t="str">
            <v>17/02/2024</v>
          </cell>
          <cell r="M721" t="str">
            <v>delivered</v>
          </cell>
          <cell r="N721">
            <v>5</v>
          </cell>
          <cell r="O721" t="str">
            <v xml:space="preserve">yes </v>
          </cell>
        </row>
        <row r="722">
          <cell r="A722" t="str">
            <v>SHP-101335</v>
          </cell>
          <cell r="B722" t="str">
            <v>03/02/2024</v>
          </cell>
          <cell r="C722" t="str">
            <v xml:space="preserve"> CHENNAI </v>
          </cell>
          <cell r="D722" t="str">
            <v>xpressbees</v>
          </cell>
          <cell r="E722" t="str">
            <v>AIR</v>
          </cell>
          <cell r="F722" t="str">
            <v xml:space="preserve"> PHARMA </v>
          </cell>
          <cell r="G722" t="str">
            <v xml:space="preserve">west </v>
          </cell>
          <cell r="I722" t="str">
            <v>3.1kg</v>
          </cell>
          <cell r="J722" t="str">
            <v>281</v>
          </cell>
          <cell r="K722">
            <v>4</v>
          </cell>
          <cell r="L722" t="str">
            <v>06/02/2024</v>
          </cell>
          <cell r="M722" t="str">
            <v>DELIVERED</v>
          </cell>
          <cell r="N722">
            <v>5</v>
          </cell>
          <cell r="O722" t="str">
            <v>Yes</v>
          </cell>
        </row>
        <row r="723">
          <cell r="A723" t="str">
            <v>SHP-100601</v>
          </cell>
          <cell r="B723" t="str">
            <v>2024-05-14</v>
          </cell>
          <cell r="C723" t="str">
            <v>Delhi</v>
          </cell>
          <cell r="D723" t="str">
            <v>dtdc</v>
          </cell>
          <cell r="E723" t="str">
            <v xml:space="preserve"> AIR </v>
          </cell>
          <cell r="F723" t="str">
            <v>grocery  &amp; fmcg</v>
          </cell>
          <cell r="G723" t="str">
            <v>EAST</v>
          </cell>
          <cell r="I723" t="str">
            <v>12.9</v>
          </cell>
          <cell r="J723" t="str">
            <v xml:space="preserve">Rs 726 </v>
          </cell>
          <cell r="K723">
            <v>4</v>
          </cell>
          <cell r="L723" t="str">
            <v>22/05/2024</v>
          </cell>
          <cell r="M723" t="str">
            <v>DELAYED</v>
          </cell>
          <cell r="N723">
            <v>3</v>
          </cell>
          <cell r="O723" t="str">
            <v xml:space="preserve"> No</v>
          </cell>
        </row>
        <row r="724">
          <cell r="A724" t="str">
            <v>SHP-100663</v>
          </cell>
          <cell r="B724" t="str">
            <v>07-Mar-2024</v>
          </cell>
          <cell r="C724" t="str">
            <v xml:space="preserve">delhi </v>
          </cell>
          <cell r="D724" t="str">
            <v>Ecom Express</v>
          </cell>
          <cell r="E724" t="str">
            <v>road</v>
          </cell>
          <cell r="F724" t="str">
            <v>APPAREL</v>
          </cell>
          <cell r="G724" t="str">
            <v>SOUTH</v>
          </cell>
          <cell r="I724" t="str">
            <v>3.4</v>
          </cell>
          <cell r="J724" t="str">
            <v>169</v>
          </cell>
          <cell r="K724">
            <v>8</v>
          </cell>
          <cell r="L724" t="str">
            <v>14/03/2024</v>
          </cell>
          <cell r="M724" t="str">
            <v>delivered</v>
          </cell>
          <cell r="N724">
            <v>1</v>
          </cell>
          <cell r="O724" t="str">
            <v xml:space="preserve"> No</v>
          </cell>
        </row>
        <row r="725">
          <cell r="A725" t="str">
            <v>SHP-100548</v>
          </cell>
          <cell r="B725" t="str">
            <v>2024-06-14</v>
          </cell>
          <cell r="C725" t="str">
            <v>Hyderabad</v>
          </cell>
          <cell r="D725" t="str">
            <v>delhivery</v>
          </cell>
          <cell r="E725" t="str">
            <v>air</v>
          </cell>
          <cell r="F725" t="str">
            <v xml:space="preserve"> GROCERY &amp; FMCG </v>
          </cell>
          <cell r="G725" t="str">
            <v xml:space="preserve"> WEST </v>
          </cell>
          <cell r="I725" t="str">
            <v>9.2KG</v>
          </cell>
          <cell r="J725" t="str">
            <v>469</v>
          </cell>
          <cell r="K725">
            <v>2</v>
          </cell>
          <cell r="L725" t="str">
            <v xml:space="preserve"> 17/06/2024 </v>
          </cell>
          <cell r="M725" t="str">
            <v xml:space="preserve"> Delayed</v>
          </cell>
          <cell r="N725">
            <v>1</v>
          </cell>
          <cell r="O725" t="str">
            <v>N</v>
          </cell>
        </row>
        <row r="726">
          <cell r="A726" t="str">
            <v>SHP-100781</v>
          </cell>
          <cell r="B726" t="str">
            <v>12/01/2024</v>
          </cell>
          <cell r="C726" t="str">
            <v>DELHI</v>
          </cell>
          <cell r="D726" t="str">
            <v>DTDC</v>
          </cell>
          <cell r="E726" t="str">
            <v>Surface</v>
          </cell>
          <cell r="F726" t="str">
            <v xml:space="preserve">pharma </v>
          </cell>
          <cell r="G726" t="str">
            <v xml:space="preserve">east </v>
          </cell>
          <cell r="I726" t="str">
            <v>3.3</v>
          </cell>
          <cell r="J726" t="str">
            <v>239</v>
          </cell>
          <cell r="K726">
            <v>6</v>
          </cell>
          <cell r="L726" t="str">
            <v>2024-01-19</v>
          </cell>
          <cell r="M726" t="str">
            <v xml:space="preserve"> Delayed</v>
          </cell>
          <cell r="N726">
            <v>4</v>
          </cell>
          <cell r="O726" t="str">
            <v xml:space="preserve"> No</v>
          </cell>
        </row>
        <row r="727">
          <cell r="A727" t="str">
            <v>SHP-101477</v>
          </cell>
          <cell r="B727" t="str">
            <v>04/04/2024</v>
          </cell>
          <cell r="C727" t="str">
            <v xml:space="preserve"> HYDERABAD </v>
          </cell>
          <cell r="D727" t="str">
            <v>BlueDart</v>
          </cell>
          <cell r="E727" t="str">
            <v>road</v>
          </cell>
          <cell r="F727" t="str">
            <v>FURNITURE</v>
          </cell>
          <cell r="G727" t="str">
            <v>North</v>
          </cell>
          <cell r="I727" t="str">
            <v>66.2KG</v>
          </cell>
          <cell r="J727" t="str">
            <v>1,094</v>
          </cell>
          <cell r="K727">
            <v>8</v>
          </cell>
          <cell r="L727" t="str">
            <v xml:space="preserve"> 12/04/2024 </v>
          </cell>
          <cell r="M727" t="str">
            <v>delivered</v>
          </cell>
          <cell r="N727">
            <v>2</v>
          </cell>
          <cell r="O727" t="str">
            <v xml:space="preserve"> No</v>
          </cell>
        </row>
        <row r="728">
          <cell r="A728" t="str">
            <v>SHP-101310</v>
          </cell>
          <cell r="B728" t="str">
            <v>21-May-2024</v>
          </cell>
          <cell r="C728" t="str">
            <v>BENGALURU</v>
          </cell>
          <cell r="D728" t="str">
            <v>XpressBees</v>
          </cell>
          <cell r="E728" t="str">
            <v xml:space="preserve"> AIR </v>
          </cell>
          <cell r="F728" t="str">
            <v xml:space="preserve">apparel  </v>
          </cell>
          <cell r="G728" t="str">
            <v>West</v>
          </cell>
          <cell r="I728" t="str">
            <v>5.9kg</v>
          </cell>
          <cell r="J728" t="str">
            <v>₹434</v>
          </cell>
          <cell r="K728">
            <v>4</v>
          </cell>
          <cell r="L728" t="str">
            <v>28/05/2024</v>
          </cell>
          <cell r="M728" t="str">
            <v>Delayed</v>
          </cell>
          <cell r="N728">
            <v>1</v>
          </cell>
          <cell r="O728" t="str">
            <v>YES</v>
          </cell>
        </row>
        <row r="729">
          <cell r="A729" t="str">
            <v>SHP-100027</v>
          </cell>
          <cell r="B729" t="str">
            <v>2024-01-09</v>
          </cell>
          <cell r="C729" t="str">
            <v>Mumbai</v>
          </cell>
          <cell r="D729" t="str">
            <v>Delhivery</v>
          </cell>
          <cell r="E729" t="str">
            <v>surface</v>
          </cell>
          <cell r="F729" t="str">
            <v>AUTOMOTIVE PARTS</v>
          </cell>
          <cell r="G729" t="str">
            <v xml:space="preserve">north </v>
          </cell>
          <cell r="I729" t="str">
            <v xml:space="preserve">30.3 Kg </v>
          </cell>
          <cell r="J729" t="str">
            <v>₹858</v>
          </cell>
          <cell r="K729">
            <v>6</v>
          </cell>
          <cell r="L729" t="str">
            <v xml:space="preserve"> 14/01/2024 </v>
          </cell>
          <cell r="M729" t="str">
            <v>DELIVERED</v>
          </cell>
          <cell r="N729">
            <v>5</v>
          </cell>
          <cell r="O729" t="str">
            <v xml:space="preserve">yes </v>
          </cell>
        </row>
        <row r="730">
          <cell r="A730" t="str">
            <v>SHP-101057</v>
          </cell>
          <cell r="B730" t="str">
            <v>02-May-2024</v>
          </cell>
          <cell r="C730" t="str">
            <v>chennai</v>
          </cell>
          <cell r="D730" t="str">
            <v xml:space="preserve">BLUEDART </v>
          </cell>
          <cell r="E730" t="str">
            <v>air</v>
          </cell>
          <cell r="F730" t="str">
            <v xml:space="preserve">grocery  &amp; fmcg </v>
          </cell>
          <cell r="G730" t="str">
            <v xml:space="preserve">east </v>
          </cell>
          <cell r="I730" t="str">
            <v xml:space="preserve">16.6 Kg </v>
          </cell>
          <cell r="J730" t="str">
            <v>933</v>
          </cell>
          <cell r="K730">
            <v>4</v>
          </cell>
          <cell r="L730" t="str">
            <v>2024-05-05</v>
          </cell>
          <cell r="M730" t="str">
            <v>Delivered</v>
          </cell>
          <cell r="N730">
            <v>4</v>
          </cell>
          <cell r="O730" t="str">
            <v>No</v>
          </cell>
        </row>
        <row r="731">
          <cell r="A731" t="str">
            <v>SHP-100921</v>
          </cell>
          <cell r="B731" t="str">
            <v>2024-05-19</v>
          </cell>
          <cell r="C731" t="str">
            <v>BENGALURU</v>
          </cell>
          <cell r="D731" t="str">
            <v>Ecom  Express</v>
          </cell>
          <cell r="E731" t="str">
            <v xml:space="preserve">surface </v>
          </cell>
          <cell r="F731" t="str">
            <v xml:space="preserve">apparel </v>
          </cell>
          <cell r="G731" t="str">
            <v>west</v>
          </cell>
          <cell r="I731" t="str">
            <v xml:space="preserve">7.6 Kg </v>
          </cell>
          <cell r="J731" t="str">
            <v>₹328</v>
          </cell>
          <cell r="K731">
            <v>6</v>
          </cell>
          <cell r="L731" t="str">
            <v>2024-05-26</v>
          </cell>
          <cell r="M731" t="str">
            <v xml:space="preserve">delayed </v>
          </cell>
          <cell r="N731">
            <v>2</v>
          </cell>
          <cell r="O731" t="str">
            <v>N</v>
          </cell>
        </row>
        <row r="732">
          <cell r="A732" t="str">
            <v>SHP-101050</v>
          </cell>
          <cell r="B732" t="str">
            <v>20/05/2024</v>
          </cell>
          <cell r="C732" t="str">
            <v>DELHI</v>
          </cell>
          <cell r="D732" t="str">
            <v xml:space="preserve"> DTDC</v>
          </cell>
          <cell r="E732" t="str">
            <v>Air</v>
          </cell>
          <cell r="F732" t="str">
            <v>electronics</v>
          </cell>
          <cell r="G732" t="str">
            <v>WEST</v>
          </cell>
          <cell r="I732" t="str">
            <v xml:space="preserve">9.8 Kg </v>
          </cell>
          <cell r="J732" t="str">
            <v>₹594</v>
          </cell>
          <cell r="K732">
            <v>4</v>
          </cell>
          <cell r="L732" t="str">
            <v>25-May-2024</v>
          </cell>
          <cell r="M732" t="str">
            <v>DELAYED</v>
          </cell>
          <cell r="N732">
            <v>2</v>
          </cell>
          <cell r="O732" t="str">
            <v>No</v>
          </cell>
        </row>
        <row r="733">
          <cell r="A733" t="str">
            <v>SHP-100878</v>
          </cell>
          <cell r="B733" t="str">
            <v xml:space="preserve"> 16/03/2024 </v>
          </cell>
          <cell r="C733" t="str">
            <v>Bengaluru</v>
          </cell>
          <cell r="D733" t="str">
            <v>bluedart</v>
          </cell>
          <cell r="E733" t="str">
            <v xml:space="preserve"> ROAD </v>
          </cell>
          <cell r="F733" t="str">
            <v>AUTOMOTIVE PARTS</v>
          </cell>
          <cell r="G733" t="str">
            <v xml:space="preserve"> SOUTH </v>
          </cell>
          <cell r="I733" t="str">
            <v>20.8</v>
          </cell>
          <cell r="J733" t="str">
            <v>₹303</v>
          </cell>
          <cell r="K733">
            <v>6</v>
          </cell>
          <cell r="L733" t="str">
            <v xml:space="preserve"> 21/03/2024 </v>
          </cell>
          <cell r="M733" t="str">
            <v xml:space="preserve"> Delivered</v>
          </cell>
          <cell r="N733">
            <v>5</v>
          </cell>
          <cell r="O733" t="str">
            <v xml:space="preserve">yes </v>
          </cell>
        </row>
        <row r="734">
          <cell r="A734" t="str">
            <v>SHP-101412</v>
          </cell>
          <cell r="B734" t="str">
            <v>2024-01-04</v>
          </cell>
          <cell r="C734" t="str">
            <v xml:space="preserve"> HYDERABAD </v>
          </cell>
          <cell r="D734" t="str">
            <v xml:space="preserve"> DTDC</v>
          </cell>
          <cell r="E734" t="str">
            <v>Air</v>
          </cell>
          <cell r="F734" t="str">
            <v xml:space="preserve"> AUTOMOTIVE PARTS </v>
          </cell>
          <cell r="G734" t="str">
            <v xml:space="preserve"> WEST </v>
          </cell>
          <cell r="I734" t="str">
            <v xml:space="preserve">11.4 Kg </v>
          </cell>
          <cell r="J734" t="str">
            <v xml:space="preserve">Rs 512 </v>
          </cell>
          <cell r="K734">
            <v>2</v>
          </cell>
          <cell r="L734" t="str">
            <v>2024-01-06</v>
          </cell>
          <cell r="M734" t="str">
            <v xml:space="preserve"> Delivered</v>
          </cell>
          <cell r="N734">
            <v>5</v>
          </cell>
          <cell r="O734" t="str">
            <v>N</v>
          </cell>
        </row>
        <row r="735">
          <cell r="A735" t="str">
            <v>SHP-100695</v>
          </cell>
          <cell r="B735" t="str">
            <v>09/04/2024</v>
          </cell>
          <cell r="C735" t="str">
            <v>KOLKATA</v>
          </cell>
          <cell r="D735" t="str">
            <v>dtdc</v>
          </cell>
          <cell r="E735" t="str">
            <v>Air</v>
          </cell>
          <cell r="F735" t="str">
            <v xml:space="preserve"> GROCERY &amp; FMCG </v>
          </cell>
          <cell r="G735" t="str">
            <v>south</v>
          </cell>
          <cell r="I735" t="str">
            <v>10.8</v>
          </cell>
          <cell r="J735" t="str">
            <v xml:space="preserve">Rs 621 </v>
          </cell>
          <cell r="K735">
            <v>4</v>
          </cell>
          <cell r="L735" t="str">
            <v xml:space="preserve"> 14/04/2024 </v>
          </cell>
          <cell r="M735" t="str">
            <v>Delayed</v>
          </cell>
          <cell r="N735">
            <v>1</v>
          </cell>
          <cell r="O735" t="str">
            <v>Yes</v>
          </cell>
        </row>
        <row r="736">
          <cell r="A736" t="str">
            <v>SHP-100509</v>
          </cell>
          <cell r="B736" t="str">
            <v xml:space="preserve"> 20/03/2024 </v>
          </cell>
          <cell r="C736" t="str">
            <v>HYDERABAD</v>
          </cell>
          <cell r="D736" t="str">
            <v xml:space="preserve"> DTDC</v>
          </cell>
          <cell r="E736" t="str">
            <v>SURFACE</v>
          </cell>
          <cell r="F736" t="str">
            <v xml:space="preserve">automotive  parts </v>
          </cell>
          <cell r="G736" t="str">
            <v>east</v>
          </cell>
          <cell r="I736" t="str">
            <v>7.7</v>
          </cell>
          <cell r="J736" t="str">
            <v xml:space="preserve">Rs 323 </v>
          </cell>
          <cell r="K736">
            <v>6</v>
          </cell>
          <cell r="L736" t="str">
            <v>2024-03-26</v>
          </cell>
          <cell r="M736" t="str">
            <v>delivered</v>
          </cell>
          <cell r="N736">
            <v>5</v>
          </cell>
          <cell r="O736" t="str">
            <v>no</v>
          </cell>
        </row>
        <row r="737">
          <cell r="A737" t="str">
            <v>SHP-100801</v>
          </cell>
          <cell r="B737" t="str">
            <v xml:space="preserve"> 02/05/2024 </v>
          </cell>
          <cell r="C737" t="str">
            <v>chennai</v>
          </cell>
          <cell r="D737" t="str">
            <v xml:space="preserve">Dtdc </v>
          </cell>
          <cell r="E737" t="str">
            <v>Road</v>
          </cell>
          <cell r="F737" t="str">
            <v xml:space="preserve">automotive parts </v>
          </cell>
          <cell r="G737" t="str">
            <v xml:space="preserve"> NORTH </v>
          </cell>
          <cell r="I737" t="str">
            <v>34.1</v>
          </cell>
          <cell r="J737" t="str">
            <v>₹610</v>
          </cell>
          <cell r="K737">
            <v>8</v>
          </cell>
          <cell r="L737" t="str">
            <v xml:space="preserve"> 10/05/2024 </v>
          </cell>
          <cell r="M737" t="str">
            <v xml:space="preserve"> Delivered</v>
          </cell>
          <cell r="N737">
            <v>3</v>
          </cell>
          <cell r="O737" t="str">
            <v>No</v>
          </cell>
        </row>
        <row r="738">
          <cell r="A738" t="str">
            <v>SHP-101433</v>
          </cell>
          <cell r="B738" t="str">
            <v>14-Mar-2024</v>
          </cell>
          <cell r="C738" t="str">
            <v>Kolkata</v>
          </cell>
          <cell r="D738" t="str">
            <v>delhivery</v>
          </cell>
          <cell r="E738" t="str">
            <v xml:space="preserve"> ROAD </v>
          </cell>
          <cell r="F738" t="str">
            <v>Pharma</v>
          </cell>
          <cell r="G738" t="str">
            <v>West</v>
          </cell>
          <cell r="I738" t="str">
            <v xml:space="preserve">4.8 Kg </v>
          </cell>
          <cell r="J738" t="str">
            <v>₹271</v>
          </cell>
          <cell r="K738">
            <v>8</v>
          </cell>
          <cell r="L738" t="str">
            <v>2024-03-21</v>
          </cell>
          <cell r="M738" t="str">
            <v>DELIVERED</v>
          </cell>
          <cell r="N738">
            <v>3</v>
          </cell>
          <cell r="O738" t="str">
            <v>Y</v>
          </cell>
        </row>
        <row r="739">
          <cell r="A739" t="str">
            <v>SHP-100865</v>
          </cell>
          <cell r="B739" t="str">
            <v>2024-05-21</v>
          </cell>
          <cell r="C739" t="str">
            <v>Hyderabad</v>
          </cell>
          <cell r="D739" t="str">
            <v>xpressbees</v>
          </cell>
          <cell r="E739" t="str">
            <v>AIR</v>
          </cell>
          <cell r="F739" t="str">
            <v xml:space="preserve"> PHARMA </v>
          </cell>
          <cell r="G739" t="str">
            <v>North</v>
          </cell>
          <cell r="I739" t="str">
            <v>4.2kg</v>
          </cell>
          <cell r="J739" t="str">
            <v>₹335</v>
          </cell>
          <cell r="K739">
            <v>4</v>
          </cell>
          <cell r="L739" t="str">
            <v>25/05/2024</v>
          </cell>
          <cell r="M739" t="str">
            <v>DELIVERED</v>
          </cell>
          <cell r="N739">
            <v>5</v>
          </cell>
          <cell r="O739" t="str">
            <v>no</v>
          </cell>
        </row>
        <row r="740">
          <cell r="A740" t="str">
            <v>SHP-100853</v>
          </cell>
          <cell r="B740" t="str">
            <v xml:space="preserve"> 12/02/2024 </v>
          </cell>
          <cell r="C740" t="str">
            <v xml:space="preserve">chennai </v>
          </cell>
          <cell r="D740" t="str">
            <v>xpressbees</v>
          </cell>
          <cell r="E740" t="str">
            <v xml:space="preserve">air </v>
          </cell>
          <cell r="F740" t="str">
            <v>Automotive Parts</v>
          </cell>
          <cell r="G740" t="str">
            <v xml:space="preserve">west </v>
          </cell>
          <cell r="I740" t="str">
            <v>26.4kg</v>
          </cell>
          <cell r="J740" t="str">
            <v>₹1,378</v>
          </cell>
          <cell r="K740">
            <v>4</v>
          </cell>
          <cell r="L740" t="str">
            <v>16-Feb-2024</v>
          </cell>
          <cell r="M740" t="str">
            <v xml:space="preserve"> Delivered</v>
          </cell>
          <cell r="N740">
            <v>4</v>
          </cell>
          <cell r="O740" t="str">
            <v>YES</v>
          </cell>
        </row>
        <row r="741">
          <cell r="A741" t="str">
            <v>SHP-100037</v>
          </cell>
          <cell r="B741" t="str">
            <v>2024-02-20</v>
          </cell>
          <cell r="C741" t="str">
            <v>delhi</v>
          </cell>
          <cell r="D741" t="str">
            <v xml:space="preserve">BLUEDART </v>
          </cell>
          <cell r="E741" t="str">
            <v xml:space="preserve">road </v>
          </cell>
          <cell r="F741" t="str">
            <v xml:space="preserve">automotive  parts </v>
          </cell>
          <cell r="G741" t="str">
            <v xml:space="preserve">north </v>
          </cell>
          <cell r="I741" t="str">
            <v>14.7KG</v>
          </cell>
          <cell r="J741" t="str">
            <v>₹227</v>
          </cell>
          <cell r="K741">
            <v>6</v>
          </cell>
          <cell r="L741" t="str">
            <v xml:space="preserve"> 27/02/2024 </v>
          </cell>
          <cell r="M741" t="str">
            <v>Delayed</v>
          </cell>
          <cell r="N741">
            <v>2</v>
          </cell>
          <cell r="O741" t="str">
            <v>YES</v>
          </cell>
        </row>
        <row r="742">
          <cell r="A742" t="str">
            <v>SHP-100809</v>
          </cell>
          <cell r="B742" t="str">
            <v>2024-03-22</v>
          </cell>
          <cell r="C742" t="str">
            <v xml:space="preserve">bengaluru </v>
          </cell>
          <cell r="D742" t="str">
            <v>XpressBees</v>
          </cell>
          <cell r="E742" t="str">
            <v>AIR</v>
          </cell>
          <cell r="F742" t="str">
            <v>grocery &amp; fmcg</v>
          </cell>
          <cell r="G742" t="str">
            <v>EAST</v>
          </cell>
          <cell r="I742" t="str">
            <v>5.0</v>
          </cell>
          <cell r="J742" t="str">
            <v>368</v>
          </cell>
          <cell r="K742">
            <v>4</v>
          </cell>
          <cell r="L742" t="str">
            <v xml:space="preserve"> 25/03/2024 </v>
          </cell>
          <cell r="M742" t="str">
            <v xml:space="preserve"> Delivered</v>
          </cell>
          <cell r="N742">
            <v>5</v>
          </cell>
          <cell r="O742" t="str">
            <v xml:space="preserve">yes </v>
          </cell>
        </row>
        <row r="743">
          <cell r="A743" t="str">
            <v>SHP-100163</v>
          </cell>
          <cell r="B743" t="str">
            <v>21/02/2024</v>
          </cell>
          <cell r="C743" t="str">
            <v>Mumbai</v>
          </cell>
          <cell r="D743" t="str">
            <v xml:space="preserve"> XPRESSBEES</v>
          </cell>
          <cell r="E743" t="str">
            <v xml:space="preserve"> SURFACE </v>
          </cell>
          <cell r="F743" t="str">
            <v>Electronics</v>
          </cell>
          <cell r="G743" t="str">
            <v xml:space="preserve"> WEST </v>
          </cell>
          <cell r="I743" t="str">
            <v xml:space="preserve">14.2 Kg </v>
          </cell>
          <cell r="J743" t="str">
            <v>339</v>
          </cell>
          <cell r="K743">
            <v>4</v>
          </cell>
          <cell r="L743" t="str">
            <v>26/02/2024</v>
          </cell>
          <cell r="M743" t="str">
            <v xml:space="preserve"> Delayed</v>
          </cell>
          <cell r="N743">
            <v>2</v>
          </cell>
          <cell r="O743" t="str">
            <v>Yes</v>
          </cell>
        </row>
        <row r="744">
          <cell r="A744" t="str">
            <v>SHP-101576</v>
          </cell>
          <cell r="B744" t="str">
            <v>01-Mar-2024</v>
          </cell>
          <cell r="C744" t="str">
            <v xml:space="preserve">mumbai </v>
          </cell>
          <cell r="D744" t="str">
            <v xml:space="preserve">Dtdc </v>
          </cell>
          <cell r="E744" t="str">
            <v>SURFACE</v>
          </cell>
          <cell r="F744" t="str">
            <v>automotive parts</v>
          </cell>
          <cell r="G744" t="str">
            <v xml:space="preserve"> NORTH </v>
          </cell>
          <cell r="I744" t="str">
            <v xml:space="preserve">19.2 Kg </v>
          </cell>
          <cell r="J744" t="str">
            <v>577</v>
          </cell>
          <cell r="K744">
            <v>6</v>
          </cell>
          <cell r="L744" t="str">
            <v>07/03/2024</v>
          </cell>
          <cell r="M744" t="str">
            <v>delivered</v>
          </cell>
          <cell r="N744">
            <v>4</v>
          </cell>
          <cell r="O744" t="str">
            <v xml:space="preserve">yes </v>
          </cell>
        </row>
        <row r="745">
          <cell r="A745" t="str">
            <v>SHP-101075</v>
          </cell>
          <cell r="B745" t="str">
            <v>10-Mar-2024</v>
          </cell>
          <cell r="C745" t="str">
            <v>DELHI</v>
          </cell>
          <cell r="D745" t="str">
            <v>BlueDart</v>
          </cell>
          <cell r="E745" t="str">
            <v>Air</v>
          </cell>
          <cell r="F745" t="str">
            <v>apparel</v>
          </cell>
          <cell r="G745" t="str">
            <v>West</v>
          </cell>
          <cell r="I745" t="str">
            <v xml:space="preserve">7.6 Kg </v>
          </cell>
          <cell r="J745" t="str">
            <v>₹514</v>
          </cell>
          <cell r="K745">
            <v>4</v>
          </cell>
          <cell r="L745" t="str">
            <v>2024-03-13</v>
          </cell>
          <cell r="M745" t="str">
            <v>DELIVERED</v>
          </cell>
          <cell r="N745">
            <v>5</v>
          </cell>
          <cell r="O745" t="str">
            <v>no</v>
          </cell>
        </row>
        <row r="746">
          <cell r="A746" t="str">
            <v>SHP-100015</v>
          </cell>
          <cell r="B746" t="str">
            <v>04/04/2024</v>
          </cell>
          <cell r="C746" t="str">
            <v>kolkata</v>
          </cell>
          <cell r="D746" t="str">
            <v>Blue Dart</v>
          </cell>
          <cell r="E746" t="str">
            <v>SURFACE</v>
          </cell>
          <cell r="F746" t="str">
            <v>Electronics</v>
          </cell>
          <cell r="G746" t="str">
            <v>West</v>
          </cell>
          <cell r="I746" t="str">
            <v>14.0KG</v>
          </cell>
          <cell r="J746" t="str">
            <v xml:space="preserve">Rs 430 </v>
          </cell>
          <cell r="K746">
            <v>6</v>
          </cell>
          <cell r="L746" t="str">
            <v>2024-04-10</v>
          </cell>
          <cell r="M746" t="str">
            <v>delivered</v>
          </cell>
          <cell r="N746">
            <v>4</v>
          </cell>
          <cell r="O746" t="str">
            <v>N</v>
          </cell>
        </row>
        <row r="747">
          <cell r="A747" t="str">
            <v>SHP-101122</v>
          </cell>
          <cell r="B747" t="str">
            <v>02-Apr-2024</v>
          </cell>
          <cell r="C747" t="str">
            <v xml:space="preserve">mumbai </v>
          </cell>
          <cell r="D747" t="str">
            <v>delhivery</v>
          </cell>
          <cell r="E747" t="str">
            <v>road</v>
          </cell>
          <cell r="F747" t="str">
            <v xml:space="preserve">automotive parts </v>
          </cell>
          <cell r="G747" t="str">
            <v xml:space="preserve"> WEST </v>
          </cell>
          <cell r="I747" t="str">
            <v>36.9kg</v>
          </cell>
          <cell r="J747" t="str">
            <v>520</v>
          </cell>
          <cell r="K747">
            <v>6</v>
          </cell>
          <cell r="L747" t="str">
            <v>2024-04-07</v>
          </cell>
          <cell r="M747" t="str">
            <v>delivered</v>
          </cell>
          <cell r="N747">
            <v>4</v>
          </cell>
          <cell r="O747" t="str">
            <v>N</v>
          </cell>
        </row>
        <row r="748">
          <cell r="A748" t="str">
            <v>SHP-100814</v>
          </cell>
          <cell r="B748" t="str">
            <v>20/04/2024</v>
          </cell>
          <cell r="C748" t="str">
            <v xml:space="preserve"> CHENNAI </v>
          </cell>
          <cell r="D748" t="str">
            <v xml:space="preserve">Dtdc </v>
          </cell>
          <cell r="E748" t="str">
            <v>ROAD</v>
          </cell>
          <cell r="F748" t="str">
            <v>grocery &amp; fmcg</v>
          </cell>
          <cell r="G748" t="str">
            <v xml:space="preserve"> NORTH </v>
          </cell>
          <cell r="J748" t="str">
            <v xml:space="preserve">Rs 423 </v>
          </cell>
          <cell r="K748">
            <v>8</v>
          </cell>
          <cell r="L748" t="str">
            <v>28/04/2024</v>
          </cell>
          <cell r="M748" t="str">
            <v>delivered</v>
          </cell>
          <cell r="N748">
            <v>5</v>
          </cell>
          <cell r="O748" t="str">
            <v>Y</v>
          </cell>
        </row>
        <row r="749">
          <cell r="A749" t="str">
            <v>SHP-100584</v>
          </cell>
          <cell r="B749" t="str">
            <v xml:space="preserve"> 09/05/2024 </v>
          </cell>
          <cell r="C749" t="str">
            <v>Chennai</v>
          </cell>
          <cell r="D749" t="str">
            <v xml:space="preserve">Dtdc </v>
          </cell>
          <cell r="E749" t="str">
            <v xml:space="preserve">air </v>
          </cell>
          <cell r="F749" t="str">
            <v>FURNITURE</v>
          </cell>
          <cell r="G749" t="str">
            <v xml:space="preserve">east </v>
          </cell>
          <cell r="I749" t="str">
            <v>78.4</v>
          </cell>
          <cell r="J749" t="str">
            <v>3,710</v>
          </cell>
          <cell r="K749">
            <v>4</v>
          </cell>
          <cell r="L749" t="str">
            <v>12-May-2024</v>
          </cell>
          <cell r="M749" t="str">
            <v>Delivered</v>
          </cell>
          <cell r="N749">
            <v>5</v>
          </cell>
          <cell r="O749" t="str">
            <v>YES</v>
          </cell>
        </row>
        <row r="750">
          <cell r="A750" t="str">
            <v>SHP-100121</v>
          </cell>
          <cell r="B750" t="str">
            <v>2024-02-10</v>
          </cell>
          <cell r="C750" t="str">
            <v>bengaluru</v>
          </cell>
          <cell r="D750" t="str">
            <v>xpressbees</v>
          </cell>
          <cell r="E750" t="str">
            <v>ROAD</v>
          </cell>
          <cell r="F750" t="str">
            <v xml:space="preserve">  AUTOMOTIVE PARTS </v>
          </cell>
          <cell r="G750" t="str">
            <v>east</v>
          </cell>
          <cell r="I750" t="str">
            <v xml:space="preserve">27.7 Kg </v>
          </cell>
          <cell r="J750" t="str">
            <v xml:space="preserve">Rs 574 </v>
          </cell>
          <cell r="K750">
            <v>8</v>
          </cell>
          <cell r="L750" t="str">
            <v>18-Feb-2024</v>
          </cell>
          <cell r="M750" t="str">
            <v>delivered</v>
          </cell>
          <cell r="N750">
            <v>5</v>
          </cell>
          <cell r="O750" t="str">
            <v>No</v>
          </cell>
        </row>
        <row r="751">
          <cell r="A751" t="str">
            <v>SHP-100379</v>
          </cell>
          <cell r="B751" t="str">
            <v>2024-02-22</v>
          </cell>
          <cell r="C751" t="str">
            <v>KOLKATA</v>
          </cell>
          <cell r="D751" t="str">
            <v xml:space="preserve"> XPRESSBEES</v>
          </cell>
          <cell r="E751" t="str">
            <v>road</v>
          </cell>
          <cell r="F751" t="str">
            <v xml:space="preserve">  GROCERY &amp; FMCG </v>
          </cell>
          <cell r="G751" t="str">
            <v>EAST</v>
          </cell>
          <cell r="I751" t="str">
            <v>18.8kg</v>
          </cell>
          <cell r="J751" t="str">
            <v>₹249</v>
          </cell>
          <cell r="K751">
            <v>6</v>
          </cell>
          <cell r="L751" t="str">
            <v>27-Feb-2024</v>
          </cell>
          <cell r="M751" t="str">
            <v xml:space="preserve"> Delivered</v>
          </cell>
          <cell r="N751">
            <v>5</v>
          </cell>
          <cell r="O751" t="str">
            <v xml:space="preserve">yes </v>
          </cell>
        </row>
        <row r="752">
          <cell r="A752" t="str">
            <v>SHP-101451</v>
          </cell>
          <cell r="B752" t="str">
            <v>27/05/2024</v>
          </cell>
          <cell r="C752" t="str">
            <v>mumbai</v>
          </cell>
          <cell r="D752" t="str">
            <v>Delhivery</v>
          </cell>
          <cell r="E752" t="str">
            <v xml:space="preserve"> SURFACE </v>
          </cell>
          <cell r="F752" t="str">
            <v>apparel</v>
          </cell>
          <cell r="G752" t="str">
            <v xml:space="preserve"> WEST </v>
          </cell>
          <cell r="I752" t="str">
            <v>6.7kg</v>
          </cell>
          <cell r="J752" t="str">
            <v xml:space="preserve">Rs 187 </v>
          </cell>
          <cell r="K752">
            <v>4</v>
          </cell>
          <cell r="L752" t="str">
            <v>31-May-2024</v>
          </cell>
          <cell r="M752" t="str">
            <v xml:space="preserve">RETURNED </v>
          </cell>
          <cell r="O752" t="str">
            <v>No</v>
          </cell>
        </row>
        <row r="753">
          <cell r="A753" t="str">
            <v>SHP-101027</v>
          </cell>
          <cell r="B753" t="str">
            <v xml:space="preserve"> 25/01/2024 </v>
          </cell>
          <cell r="C753" t="str">
            <v xml:space="preserve">mumbai </v>
          </cell>
          <cell r="D753" t="str">
            <v>Delhivery</v>
          </cell>
          <cell r="E753" t="str">
            <v>Surface</v>
          </cell>
          <cell r="F753" t="str">
            <v xml:space="preserve">apparel </v>
          </cell>
          <cell r="G753" t="str">
            <v xml:space="preserve"> WEST </v>
          </cell>
          <cell r="I753" t="str">
            <v>2.5kg</v>
          </cell>
          <cell r="J753" t="str">
            <v xml:space="preserve">Rs 88 </v>
          </cell>
          <cell r="K753">
            <v>4</v>
          </cell>
          <cell r="L753" t="str">
            <v xml:space="preserve"> 29/01/2024 </v>
          </cell>
          <cell r="M753" t="str">
            <v>DELIVERED</v>
          </cell>
          <cell r="N753">
            <v>5</v>
          </cell>
          <cell r="O753" t="str">
            <v>no</v>
          </cell>
        </row>
        <row r="754">
          <cell r="A754" t="str">
            <v>SHP-101533</v>
          </cell>
          <cell r="B754" t="str">
            <v>2024-02-07</v>
          </cell>
          <cell r="C754" t="str">
            <v xml:space="preserve"> KOLKATA </v>
          </cell>
          <cell r="D754" t="str">
            <v>Blue Dart</v>
          </cell>
          <cell r="E754" t="str">
            <v xml:space="preserve"> SURFACE </v>
          </cell>
          <cell r="F754" t="str">
            <v xml:space="preserve">furniture </v>
          </cell>
          <cell r="G754" t="str">
            <v xml:space="preserve">north </v>
          </cell>
          <cell r="I754" t="str">
            <v>66.2kg</v>
          </cell>
          <cell r="J754" t="str">
            <v>₹1,642</v>
          </cell>
          <cell r="K754">
            <v>6</v>
          </cell>
          <cell r="L754" t="str">
            <v>12/02/2024</v>
          </cell>
          <cell r="M754" t="str">
            <v>Delivered</v>
          </cell>
          <cell r="N754">
            <v>4</v>
          </cell>
          <cell r="O754" t="str">
            <v>Y</v>
          </cell>
        </row>
        <row r="755">
          <cell r="A755" t="str">
            <v>SHP-101364</v>
          </cell>
          <cell r="B755" t="str">
            <v xml:space="preserve"> 07/05/2024 </v>
          </cell>
          <cell r="C755" t="str">
            <v>CHENNAI</v>
          </cell>
          <cell r="D755" t="str">
            <v>xpressbees</v>
          </cell>
          <cell r="E755" t="str">
            <v xml:space="preserve">surface </v>
          </cell>
          <cell r="F755" t="str">
            <v>apparel</v>
          </cell>
          <cell r="G755" t="str">
            <v>South</v>
          </cell>
          <cell r="I755" t="str">
            <v xml:space="preserve">6.1 Kg </v>
          </cell>
          <cell r="J755" t="str">
            <v>150</v>
          </cell>
          <cell r="K755">
            <v>4</v>
          </cell>
          <cell r="L755" t="str">
            <v>11-May-2024</v>
          </cell>
          <cell r="M755" t="str">
            <v xml:space="preserve"> Delivered</v>
          </cell>
          <cell r="N755">
            <v>5</v>
          </cell>
          <cell r="O755" t="str">
            <v>No</v>
          </cell>
        </row>
        <row r="756">
          <cell r="A756" t="str">
            <v>SHP-100376</v>
          </cell>
          <cell r="B756" t="str">
            <v>27-Mar-2024</v>
          </cell>
          <cell r="C756" t="str">
            <v>bengaluru</v>
          </cell>
          <cell r="D756" t="str">
            <v>Ecom  Express</v>
          </cell>
          <cell r="E756" t="str">
            <v>ROAD</v>
          </cell>
          <cell r="F756" t="str">
            <v xml:space="preserve">grocery &amp; fmcg </v>
          </cell>
          <cell r="G756" t="str">
            <v>North</v>
          </cell>
          <cell r="I756" t="str">
            <v>15.9KG</v>
          </cell>
          <cell r="J756" t="str">
            <v>₹415</v>
          </cell>
          <cell r="K756">
            <v>8</v>
          </cell>
          <cell r="L756" t="str">
            <v>03/04/2024</v>
          </cell>
          <cell r="M756" t="str">
            <v>Delivered</v>
          </cell>
          <cell r="N756">
            <v>5</v>
          </cell>
          <cell r="O756" t="str">
            <v>no</v>
          </cell>
        </row>
        <row r="757">
          <cell r="A757" t="str">
            <v>SHP-101584</v>
          </cell>
          <cell r="B757" t="str">
            <v>03-Jun-2024</v>
          </cell>
          <cell r="C757" t="str">
            <v>KOLKATA</v>
          </cell>
          <cell r="D757" t="str">
            <v xml:space="preserve"> DTDC</v>
          </cell>
          <cell r="E757" t="str">
            <v xml:space="preserve">surface </v>
          </cell>
          <cell r="F757" t="str">
            <v>Apparel</v>
          </cell>
          <cell r="G757" t="str">
            <v>SOUTH</v>
          </cell>
          <cell r="I757" t="str">
            <v xml:space="preserve">2.8 Kg </v>
          </cell>
          <cell r="J757" t="str">
            <v>₹222</v>
          </cell>
          <cell r="K757">
            <v>6</v>
          </cell>
          <cell r="L757" t="str">
            <v>09-Jun-2024</v>
          </cell>
          <cell r="M757" t="str">
            <v>Delivered</v>
          </cell>
          <cell r="N757">
            <v>5</v>
          </cell>
          <cell r="O757" t="str">
            <v>no</v>
          </cell>
        </row>
        <row r="758">
          <cell r="A758" t="str">
            <v>SHP-100754</v>
          </cell>
          <cell r="B758" t="str">
            <v>2024-03-20</v>
          </cell>
          <cell r="C758" t="str">
            <v>bengaluru</v>
          </cell>
          <cell r="D758" t="str">
            <v>DTDC</v>
          </cell>
          <cell r="E758" t="str">
            <v>air</v>
          </cell>
          <cell r="F758" t="str">
            <v>apparel</v>
          </cell>
          <cell r="G758" t="str">
            <v>EAST</v>
          </cell>
          <cell r="I758" t="str">
            <v>4.6</v>
          </cell>
          <cell r="J758" t="str">
            <v xml:space="preserve">Rs 391 </v>
          </cell>
          <cell r="K758">
            <v>4</v>
          </cell>
          <cell r="L758" t="str">
            <v>23-Mar-2024</v>
          </cell>
          <cell r="M758" t="str">
            <v>DELIVERED</v>
          </cell>
          <cell r="N758">
            <v>5</v>
          </cell>
          <cell r="O758" t="str">
            <v>YES</v>
          </cell>
        </row>
        <row r="759">
          <cell r="A759" t="str">
            <v>SHP-101377</v>
          </cell>
          <cell r="B759" t="str">
            <v>25/01/2024</v>
          </cell>
          <cell r="C759" t="str">
            <v xml:space="preserve">delhi </v>
          </cell>
          <cell r="D759" t="str">
            <v xml:space="preserve"> DTDC</v>
          </cell>
          <cell r="E759" t="str">
            <v>Road</v>
          </cell>
          <cell r="F759" t="str">
            <v>Furniture</v>
          </cell>
          <cell r="G759" t="str">
            <v xml:space="preserve">east </v>
          </cell>
          <cell r="I759" t="str">
            <v>16.9kg</v>
          </cell>
          <cell r="J759" t="str">
            <v xml:space="preserve">Rs 363 </v>
          </cell>
          <cell r="K759">
            <v>8</v>
          </cell>
          <cell r="L759" t="str">
            <v xml:space="preserve"> 10/02/2024 </v>
          </cell>
          <cell r="M759" t="str">
            <v xml:space="preserve"> Delayed</v>
          </cell>
          <cell r="N759">
            <v>4</v>
          </cell>
          <cell r="O759" t="str">
            <v>no</v>
          </cell>
        </row>
        <row r="760">
          <cell r="A760" t="str">
            <v>SHP-100426</v>
          </cell>
          <cell r="B760" t="str">
            <v xml:space="preserve"> 26/06/2024 </v>
          </cell>
          <cell r="C760" t="str">
            <v xml:space="preserve"> DELHI </v>
          </cell>
          <cell r="D760" t="str">
            <v>Ecom  Express</v>
          </cell>
          <cell r="E760" t="str">
            <v>Air</v>
          </cell>
          <cell r="F760" t="str">
            <v>Furniture</v>
          </cell>
          <cell r="G760" t="str">
            <v xml:space="preserve">east </v>
          </cell>
          <cell r="I760" t="str">
            <v>44.2</v>
          </cell>
          <cell r="J760" t="str">
            <v>₹2,134</v>
          </cell>
          <cell r="K760">
            <v>4</v>
          </cell>
          <cell r="L760" t="str">
            <v>29-Jun-2024</v>
          </cell>
          <cell r="M760" t="str">
            <v xml:space="preserve"> Delivered</v>
          </cell>
          <cell r="N760">
            <v>3</v>
          </cell>
          <cell r="O760" t="str">
            <v>no</v>
          </cell>
        </row>
        <row r="761">
          <cell r="A761" t="str">
            <v>SHP-100586</v>
          </cell>
          <cell r="B761" t="str">
            <v>2024-02-20</v>
          </cell>
          <cell r="C761" t="str">
            <v>KOLKATA</v>
          </cell>
          <cell r="D761" t="str">
            <v xml:space="preserve"> XPRESSBEES</v>
          </cell>
          <cell r="E761" t="str">
            <v xml:space="preserve"> SURFACE </v>
          </cell>
          <cell r="F761" t="str">
            <v xml:space="preserve"> ELECTRONICS </v>
          </cell>
          <cell r="G761" t="str">
            <v>West</v>
          </cell>
          <cell r="I761" t="str">
            <v xml:space="preserve">9.3 Kg </v>
          </cell>
          <cell r="J761" t="str">
            <v>₹360</v>
          </cell>
          <cell r="K761">
            <v>6</v>
          </cell>
          <cell r="L761" t="str">
            <v>27-Feb-2024</v>
          </cell>
          <cell r="M761" t="str">
            <v>DELAYED</v>
          </cell>
          <cell r="N761">
            <v>4</v>
          </cell>
          <cell r="O761" t="str">
            <v>no</v>
          </cell>
        </row>
        <row r="762">
          <cell r="A762" t="str">
            <v>SHP-101008</v>
          </cell>
          <cell r="B762" t="str">
            <v>23/03/2024</v>
          </cell>
          <cell r="C762" t="str">
            <v xml:space="preserve"> HYDERABAD </v>
          </cell>
          <cell r="D762" t="str">
            <v>BlueDart</v>
          </cell>
          <cell r="E762" t="str">
            <v xml:space="preserve">road </v>
          </cell>
          <cell r="F762" t="str">
            <v xml:space="preserve">grocery &amp; fmcg </v>
          </cell>
          <cell r="G762" t="str">
            <v xml:space="preserve">north </v>
          </cell>
          <cell r="I762" t="str">
            <v>19.6kg</v>
          </cell>
          <cell r="J762" t="str">
            <v>397</v>
          </cell>
          <cell r="K762">
            <v>8</v>
          </cell>
          <cell r="L762" t="str">
            <v>31-Mar-2024</v>
          </cell>
          <cell r="M762" t="str">
            <v>Delivered</v>
          </cell>
          <cell r="N762">
            <v>5</v>
          </cell>
          <cell r="O762" t="str">
            <v>YES</v>
          </cell>
        </row>
        <row r="763">
          <cell r="A763" t="str">
            <v>SHP-100232</v>
          </cell>
          <cell r="B763" t="str">
            <v>2024-05-26</v>
          </cell>
          <cell r="C763" t="str">
            <v>Kolkata</v>
          </cell>
          <cell r="D763" t="str">
            <v>Ecom  Express</v>
          </cell>
          <cell r="E763" t="str">
            <v xml:space="preserve"> AIR </v>
          </cell>
          <cell r="F763" t="str">
            <v>grocery &amp; fmcg</v>
          </cell>
          <cell r="G763" t="str">
            <v xml:space="preserve"> NORTH </v>
          </cell>
          <cell r="I763" t="str">
            <v>6.3kg</v>
          </cell>
          <cell r="J763" t="str">
            <v xml:space="preserve">Rs 478 </v>
          </cell>
          <cell r="K763">
            <v>4</v>
          </cell>
          <cell r="L763" t="str">
            <v>07/06/2024</v>
          </cell>
          <cell r="M763" t="str">
            <v xml:space="preserve"> Delayed</v>
          </cell>
          <cell r="N763">
            <v>4</v>
          </cell>
          <cell r="O763" t="str">
            <v>Yes</v>
          </cell>
        </row>
        <row r="764">
          <cell r="A764" t="str">
            <v>SHP-100186</v>
          </cell>
          <cell r="B764" t="str">
            <v xml:space="preserve"> 19/03/2024 </v>
          </cell>
          <cell r="C764" t="str">
            <v>hyderabad</v>
          </cell>
          <cell r="D764" t="str">
            <v>Blue Dart</v>
          </cell>
          <cell r="E764" t="str">
            <v xml:space="preserve"> ROAD </v>
          </cell>
          <cell r="F764" t="str">
            <v>Electronics</v>
          </cell>
          <cell r="G764" t="str">
            <v>WEST</v>
          </cell>
          <cell r="I764" t="str">
            <v>9.2KG</v>
          </cell>
          <cell r="J764" t="str">
            <v>₹177</v>
          </cell>
          <cell r="K764">
            <v>6</v>
          </cell>
          <cell r="L764" t="str">
            <v>24/03/2024</v>
          </cell>
          <cell r="M764" t="str">
            <v>Delivered</v>
          </cell>
          <cell r="N764">
            <v>4</v>
          </cell>
          <cell r="O764" t="str">
            <v>N</v>
          </cell>
        </row>
        <row r="765">
          <cell r="A765" t="str">
            <v>SHP-100643</v>
          </cell>
          <cell r="B765" t="str">
            <v>11/02/2024</v>
          </cell>
          <cell r="C765" t="str">
            <v>Kolkata</v>
          </cell>
          <cell r="D765" t="str">
            <v>BlueDart</v>
          </cell>
          <cell r="E765" t="str">
            <v>ROAD</v>
          </cell>
          <cell r="F765" t="str">
            <v>ELECTRONICS</v>
          </cell>
          <cell r="G765" t="str">
            <v>WEST</v>
          </cell>
          <cell r="I765" t="str">
            <v xml:space="preserve">10.6 Kg </v>
          </cell>
          <cell r="J765" t="str">
            <v>₹297</v>
          </cell>
          <cell r="K765">
            <v>8</v>
          </cell>
          <cell r="L765" t="str">
            <v xml:space="preserve"> 20/02/2024 </v>
          </cell>
          <cell r="M765" t="str">
            <v>Delayed</v>
          </cell>
          <cell r="N765">
            <v>3</v>
          </cell>
          <cell r="O765" t="str">
            <v>YES</v>
          </cell>
        </row>
        <row r="766">
          <cell r="A766" t="str">
            <v>SHP-100689</v>
          </cell>
          <cell r="B766" t="str">
            <v>19-Jun-2024</v>
          </cell>
          <cell r="C766" t="str">
            <v>CHENNAI</v>
          </cell>
          <cell r="D766" t="str">
            <v>ECOM EXPRESS</v>
          </cell>
          <cell r="E766" t="str">
            <v>surface</v>
          </cell>
          <cell r="F766" t="str">
            <v xml:space="preserve"> AUTOMOTIVE PARTS </v>
          </cell>
          <cell r="G766" t="str">
            <v>east</v>
          </cell>
          <cell r="I766" t="str">
            <v>7.3KG</v>
          </cell>
          <cell r="J766" t="str">
            <v xml:space="preserve">Rs 305 </v>
          </cell>
          <cell r="K766">
            <v>6</v>
          </cell>
          <cell r="L766" t="str">
            <v>2024-06-30</v>
          </cell>
          <cell r="M766" t="str">
            <v>DELAYED</v>
          </cell>
          <cell r="N766">
            <v>2</v>
          </cell>
          <cell r="O766" t="str">
            <v>YES</v>
          </cell>
        </row>
        <row r="767">
          <cell r="A767" t="str">
            <v>SHP-100170</v>
          </cell>
          <cell r="B767" t="str">
            <v>10-Feb-2024</v>
          </cell>
          <cell r="C767" t="str">
            <v>Mumbai</v>
          </cell>
          <cell r="D767" t="str">
            <v xml:space="preserve"> XPRESSBEES</v>
          </cell>
          <cell r="E767" t="str">
            <v xml:space="preserve"> ROAD </v>
          </cell>
          <cell r="F767" t="str">
            <v xml:space="preserve">grocery &amp; fmcg </v>
          </cell>
          <cell r="G767" t="str">
            <v>West</v>
          </cell>
          <cell r="I767" t="str">
            <v xml:space="preserve">4.2 Kg </v>
          </cell>
          <cell r="J767" t="str">
            <v>95</v>
          </cell>
          <cell r="K767">
            <v>6</v>
          </cell>
          <cell r="L767" t="str">
            <v>2024-02-15</v>
          </cell>
          <cell r="M767" t="str">
            <v>delivered</v>
          </cell>
          <cell r="N767">
            <v>4</v>
          </cell>
          <cell r="O767" t="str">
            <v xml:space="preserve"> No</v>
          </cell>
        </row>
        <row r="768">
          <cell r="A768" t="str">
            <v>SHP-101273</v>
          </cell>
          <cell r="B768" t="str">
            <v>12-May-2024</v>
          </cell>
          <cell r="C768" t="str">
            <v>KOLKATA</v>
          </cell>
          <cell r="D768" t="str">
            <v>Blue Dart</v>
          </cell>
          <cell r="E768" t="str">
            <v xml:space="preserve"> ROAD </v>
          </cell>
          <cell r="F768" t="str">
            <v>FURNITURE</v>
          </cell>
          <cell r="G768" t="str">
            <v>south</v>
          </cell>
          <cell r="I768" t="str">
            <v>53.0KG</v>
          </cell>
          <cell r="J768" t="str">
            <v>881</v>
          </cell>
          <cell r="K768">
            <v>8</v>
          </cell>
          <cell r="L768" t="str">
            <v xml:space="preserve"> 21/05/2024 </v>
          </cell>
          <cell r="M768" t="str">
            <v xml:space="preserve"> Delayed</v>
          </cell>
          <cell r="N768">
            <v>1</v>
          </cell>
          <cell r="O768" t="str">
            <v>YES</v>
          </cell>
        </row>
        <row r="769">
          <cell r="A769" t="str">
            <v>SHP-100166</v>
          </cell>
          <cell r="B769" t="str">
            <v>2024-02-28</v>
          </cell>
          <cell r="C769" t="str">
            <v>KOLKATA</v>
          </cell>
          <cell r="D769" t="str">
            <v>delhivery</v>
          </cell>
          <cell r="E769" t="str">
            <v xml:space="preserve"> ROAD </v>
          </cell>
          <cell r="F769" t="str">
            <v>apparel</v>
          </cell>
          <cell r="G769" t="str">
            <v xml:space="preserve"> EAST </v>
          </cell>
          <cell r="I769" t="str">
            <v xml:space="preserve">2.2 Kg </v>
          </cell>
          <cell r="J769" t="str">
            <v xml:space="preserve">Rs 80 </v>
          </cell>
          <cell r="K769">
            <v>6</v>
          </cell>
          <cell r="L769" t="str">
            <v>2024-03-04</v>
          </cell>
          <cell r="M769" t="str">
            <v>damaged</v>
          </cell>
          <cell r="O769" t="str">
            <v xml:space="preserve"> No</v>
          </cell>
        </row>
        <row r="770">
          <cell r="A770" t="str">
            <v>SHP-101051</v>
          </cell>
          <cell r="B770" t="str">
            <v>21-Jun-2024</v>
          </cell>
          <cell r="C770" t="str">
            <v>Hyderabad</v>
          </cell>
          <cell r="D770" t="str">
            <v>Blue Dart</v>
          </cell>
          <cell r="E770" t="str">
            <v xml:space="preserve"> AIR </v>
          </cell>
          <cell r="F770" t="str">
            <v>FURNITURE</v>
          </cell>
          <cell r="G770" t="str">
            <v xml:space="preserve"> EAST </v>
          </cell>
          <cell r="I770" t="str">
            <v xml:space="preserve">65.7 Kg </v>
          </cell>
          <cell r="J770" t="str">
            <v xml:space="preserve">Rs 3113 </v>
          </cell>
          <cell r="K770">
            <v>4</v>
          </cell>
          <cell r="L770" t="str">
            <v xml:space="preserve"> 25/06/2024 </v>
          </cell>
          <cell r="M770" t="str">
            <v>delivered</v>
          </cell>
          <cell r="N770">
            <v>4</v>
          </cell>
          <cell r="O770" t="str">
            <v>N</v>
          </cell>
        </row>
        <row r="771">
          <cell r="A771" t="str">
            <v>SHP-101471</v>
          </cell>
          <cell r="B771" t="str">
            <v>11-Jan-2024</v>
          </cell>
          <cell r="C771" t="str">
            <v>chennai</v>
          </cell>
          <cell r="D771" t="str">
            <v>ecom express</v>
          </cell>
          <cell r="E771" t="str">
            <v xml:space="preserve"> SURFACE </v>
          </cell>
          <cell r="F771" t="str">
            <v xml:space="preserve">furniture </v>
          </cell>
          <cell r="G771" t="str">
            <v>WEST</v>
          </cell>
          <cell r="I771" t="str">
            <v>65.2KG</v>
          </cell>
          <cell r="J771" t="str">
            <v>1,604</v>
          </cell>
          <cell r="K771">
            <v>6</v>
          </cell>
          <cell r="L771" t="str">
            <v>17-Jan-2024</v>
          </cell>
          <cell r="M771" t="str">
            <v xml:space="preserve"> Delivered</v>
          </cell>
          <cell r="N771">
            <v>3</v>
          </cell>
          <cell r="O771" t="str">
            <v>YES</v>
          </cell>
        </row>
        <row r="772">
          <cell r="A772" t="str">
            <v>SHP-101141</v>
          </cell>
          <cell r="B772" t="str">
            <v>2024-04-07</v>
          </cell>
          <cell r="C772" t="str">
            <v xml:space="preserve"> CHENNAI </v>
          </cell>
          <cell r="D772" t="str">
            <v>Ecom Express</v>
          </cell>
          <cell r="E772" t="str">
            <v>road</v>
          </cell>
          <cell r="F772" t="str">
            <v>ELECTRONICS</v>
          </cell>
          <cell r="G772" t="str">
            <v>WEST</v>
          </cell>
          <cell r="I772" t="str">
            <v>3.9kg</v>
          </cell>
          <cell r="J772" t="str">
            <v xml:space="preserve">Rs 264 </v>
          </cell>
          <cell r="K772">
            <v>8</v>
          </cell>
          <cell r="L772" t="str">
            <v>14/04/2024</v>
          </cell>
          <cell r="M772" t="str">
            <v>Delivered</v>
          </cell>
          <cell r="N772">
            <v>4</v>
          </cell>
          <cell r="O772" t="str">
            <v>YES</v>
          </cell>
        </row>
        <row r="773">
          <cell r="A773" t="str">
            <v>SHP-100863</v>
          </cell>
          <cell r="B773" t="str">
            <v xml:space="preserve"> 27/01/2024 </v>
          </cell>
          <cell r="C773" t="str">
            <v xml:space="preserve">bengaluru </v>
          </cell>
          <cell r="D773" t="str">
            <v>BlueDart</v>
          </cell>
          <cell r="E773" t="str">
            <v>AIR</v>
          </cell>
          <cell r="F773" t="str">
            <v xml:space="preserve">  APPAREL </v>
          </cell>
          <cell r="G773" t="str">
            <v xml:space="preserve">east </v>
          </cell>
          <cell r="I773" t="str">
            <v>6.1KG</v>
          </cell>
          <cell r="J773" t="str">
            <v>₹461</v>
          </cell>
          <cell r="K773">
            <v>4</v>
          </cell>
          <cell r="L773" t="str">
            <v>2024-01-31</v>
          </cell>
          <cell r="M773" t="str">
            <v xml:space="preserve"> Delivered</v>
          </cell>
          <cell r="N773">
            <v>4</v>
          </cell>
          <cell r="O773" t="str">
            <v>Y</v>
          </cell>
        </row>
        <row r="774">
          <cell r="A774" t="str">
            <v>SHP-100858</v>
          </cell>
          <cell r="B774" t="str">
            <v>2024-05-22</v>
          </cell>
          <cell r="C774" t="str">
            <v>bengaluru</v>
          </cell>
          <cell r="D774" t="str">
            <v>XpressBees</v>
          </cell>
          <cell r="E774" t="str">
            <v>AIR</v>
          </cell>
          <cell r="F774" t="str">
            <v>grocery &amp; fmcg</v>
          </cell>
          <cell r="G774" t="str">
            <v>East</v>
          </cell>
          <cell r="I774" t="str">
            <v xml:space="preserve">15.1 Kg </v>
          </cell>
          <cell r="J774" t="str">
            <v xml:space="preserve">Rs 808 </v>
          </cell>
          <cell r="K774">
            <v>4</v>
          </cell>
          <cell r="L774" t="str">
            <v>2024-05-26</v>
          </cell>
          <cell r="M774" t="str">
            <v>Delivered</v>
          </cell>
          <cell r="N774">
            <v>4</v>
          </cell>
          <cell r="O774" t="str">
            <v xml:space="preserve">yes </v>
          </cell>
        </row>
        <row r="775">
          <cell r="A775" t="str">
            <v>SHP-100633</v>
          </cell>
          <cell r="B775" t="str">
            <v xml:space="preserve"> 16/02/2024 </v>
          </cell>
          <cell r="C775" t="str">
            <v xml:space="preserve">bengaluru </v>
          </cell>
          <cell r="D775" t="str">
            <v xml:space="preserve">BLUEDART </v>
          </cell>
          <cell r="E775" t="str">
            <v>Road</v>
          </cell>
          <cell r="F775" t="str">
            <v>PHARMA</v>
          </cell>
          <cell r="G775" t="str">
            <v xml:space="preserve"> SOUTH </v>
          </cell>
          <cell r="I775" t="str">
            <v xml:space="preserve">2.7 Kg </v>
          </cell>
          <cell r="J775" t="str">
            <v>₹80</v>
          </cell>
          <cell r="K775">
            <v>6</v>
          </cell>
          <cell r="L775" t="str">
            <v>2024-02-23</v>
          </cell>
          <cell r="M775" t="str">
            <v>Delayed</v>
          </cell>
          <cell r="N775">
            <v>1</v>
          </cell>
          <cell r="O775" t="str">
            <v>no</v>
          </cell>
        </row>
        <row r="776">
          <cell r="A776" t="str">
            <v>SHP-101304</v>
          </cell>
          <cell r="B776" t="str">
            <v xml:space="preserve"> 03/01/2024 </v>
          </cell>
          <cell r="C776" t="str">
            <v>chennai</v>
          </cell>
          <cell r="D776" t="str">
            <v>Blue Dart</v>
          </cell>
          <cell r="E776" t="str">
            <v>road</v>
          </cell>
          <cell r="F776" t="str">
            <v xml:space="preserve">automotive parts </v>
          </cell>
          <cell r="G776" t="str">
            <v>EAST</v>
          </cell>
          <cell r="I776" t="str">
            <v>8.3</v>
          </cell>
          <cell r="J776" t="str">
            <v>323</v>
          </cell>
          <cell r="K776">
            <v>8</v>
          </cell>
          <cell r="L776" t="str">
            <v>12-Jan-2024</v>
          </cell>
          <cell r="M776" t="str">
            <v>damaged</v>
          </cell>
          <cell r="O776" t="str">
            <v xml:space="preserve"> No</v>
          </cell>
        </row>
        <row r="777">
          <cell r="A777" t="str">
            <v>SHP-101402</v>
          </cell>
          <cell r="B777" t="str">
            <v xml:space="preserve"> 16/01/2024 </v>
          </cell>
          <cell r="C777" t="str">
            <v xml:space="preserve"> CHENNAI </v>
          </cell>
          <cell r="D777" t="str">
            <v xml:space="preserve"> XPRESSBEES</v>
          </cell>
          <cell r="E777" t="str">
            <v xml:space="preserve">air </v>
          </cell>
          <cell r="F777" t="str">
            <v>Electronics</v>
          </cell>
          <cell r="G777" t="str">
            <v>east</v>
          </cell>
          <cell r="I777" t="str">
            <v>12.2KG</v>
          </cell>
          <cell r="J777" t="str">
            <v>755</v>
          </cell>
          <cell r="K777">
            <v>4</v>
          </cell>
          <cell r="L777" t="str">
            <v>19-Jan-2024</v>
          </cell>
          <cell r="M777" t="str">
            <v>DELIVERED</v>
          </cell>
          <cell r="N777">
            <v>5</v>
          </cell>
          <cell r="O777" t="str">
            <v>no</v>
          </cell>
        </row>
        <row r="778">
          <cell r="A778" t="str">
            <v>SHP-100248</v>
          </cell>
          <cell r="B778" t="str">
            <v>2024-04-25</v>
          </cell>
          <cell r="C778" t="str">
            <v xml:space="preserve"> KOLKATA </v>
          </cell>
          <cell r="D778" t="str">
            <v>Ecom Express</v>
          </cell>
          <cell r="E778" t="str">
            <v xml:space="preserve">surface </v>
          </cell>
          <cell r="F778" t="str">
            <v xml:space="preserve"> GROCERY &amp; FMCG </v>
          </cell>
          <cell r="G778" t="str">
            <v xml:space="preserve">east </v>
          </cell>
          <cell r="I778" t="str">
            <v xml:space="preserve">11.9 Kg </v>
          </cell>
          <cell r="J778" t="str">
            <v>304</v>
          </cell>
          <cell r="K778">
            <v>4</v>
          </cell>
          <cell r="L778" t="str">
            <v xml:space="preserve"> 28/04/2024 </v>
          </cell>
          <cell r="M778" t="str">
            <v xml:space="preserve"> Delivered</v>
          </cell>
          <cell r="N778">
            <v>3</v>
          </cell>
          <cell r="O778" t="str">
            <v>No</v>
          </cell>
        </row>
        <row r="779">
          <cell r="A779" t="str">
            <v>SHP-101268</v>
          </cell>
          <cell r="B779" t="str">
            <v xml:space="preserve"> 01/05/2024 </v>
          </cell>
          <cell r="C779" t="str">
            <v>Kolkata</v>
          </cell>
          <cell r="D779" t="str">
            <v xml:space="preserve"> Delhivery</v>
          </cell>
          <cell r="E779" t="str">
            <v xml:space="preserve">road </v>
          </cell>
          <cell r="F779" t="str">
            <v xml:space="preserve">pharma </v>
          </cell>
          <cell r="G779" t="str">
            <v>South</v>
          </cell>
          <cell r="I779" t="str">
            <v xml:space="preserve">1.6 Kg </v>
          </cell>
          <cell r="J779" t="str">
            <v xml:space="preserve">Rs 185 </v>
          </cell>
          <cell r="K779">
            <v>8</v>
          </cell>
          <cell r="L779" t="str">
            <v>2024-05-10</v>
          </cell>
          <cell r="M779" t="str">
            <v>DELAYED</v>
          </cell>
          <cell r="N779">
            <v>3</v>
          </cell>
          <cell r="O779" t="str">
            <v>no</v>
          </cell>
        </row>
        <row r="780">
          <cell r="A780" t="str">
            <v>SHP-100925</v>
          </cell>
          <cell r="B780" t="str">
            <v xml:space="preserve"> 27/04/2024 </v>
          </cell>
          <cell r="C780" t="str">
            <v>CHENNAI</v>
          </cell>
          <cell r="D780" t="str">
            <v xml:space="preserve"> Delhivery</v>
          </cell>
          <cell r="E780" t="str">
            <v xml:space="preserve">surface </v>
          </cell>
          <cell r="F780" t="str">
            <v>Pharma</v>
          </cell>
          <cell r="G780" t="str">
            <v xml:space="preserve"> NORTH </v>
          </cell>
          <cell r="I780" t="str">
            <v>4.3</v>
          </cell>
          <cell r="J780" t="str">
            <v>287</v>
          </cell>
          <cell r="K780">
            <v>6</v>
          </cell>
          <cell r="L780" t="str">
            <v>2024-05-02</v>
          </cell>
          <cell r="M780" t="str">
            <v xml:space="preserve"> Delivered</v>
          </cell>
          <cell r="N780">
            <v>4</v>
          </cell>
          <cell r="O780" t="str">
            <v>No</v>
          </cell>
        </row>
        <row r="781">
          <cell r="A781" t="str">
            <v>SHP-101151</v>
          </cell>
          <cell r="B781" t="str">
            <v>01-May-2024</v>
          </cell>
          <cell r="C781" t="str">
            <v xml:space="preserve"> KOLKATA </v>
          </cell>
          <cell r="D781" t="str">
            <v>dtdc</v>
          </cell>
          <cell r="E781" t="str">
            <v xml:space="preserve"> ROAD </v>
          </cell>
          <cell r="F781" t="str">
            <v>Grocery &amp; FMCG</v>
          </cell>
          <cell r="G781" t="str">
            <v>south</v>
          </cell>
          <cell r="I781" t="str">
            <v>13.6</v>
          </cell>
          <cell r="J781" t="str">
            <v>₹369</v>
          </cell>
          <cell r="K781">
            <v>8</v>
          </cell>
          <cell r="L781" t="str">
            <v>10/05/2024</v>
          </cell>
          <cell r="M781" t="str">
            <v xml:space="preserve">delayed </v>
          </cell>
          <cell r="N781">
            <v>3</v>
          </cell>
          <cell r="O781" t="str">
            <v>Y</v>
          </cell>
        </row>
        <row r="782">
          <cell r="A782" t="str">
            <v>SHP-101358</v>
          </cell>
          <cell r="B782" t="str">
            <v>03/05/2024</v>
          </cell>
          <cell r="C782" t="str">
            <v xml:space="preserve"> DELHI </v>
          </cell>
          <cell r="D782" t="str">
            <v xml:space="preserve"> DTDC</v>
          </cell>
          <cell r="E782" t="str">
            <v xml:space="preserve"> ROAD </v>
          </cell>
          <cell r="F782" t="str">
            <v>FURNITURE</v>
          </cell>
          <cell r="G782" t="str">
            <v xml:space="preserve">north </v>
          </cell>
          <cell r="I782" t="str">
            <v xml:space="preserve">27.1 Kg </v>
          </cell>
          <cell r="J782" t="str">
            <v xml:space="preserve">Rs 438 </v>
          </cell>
          <cell r="K782">
            <v>6</v>
          </cell>
          <cell r="L782" t="str">
            <v>15-May-2024</v>
          </cell>
          <cell r="M782" t="str">
            <v xml:space="preserve">delayed </v>
          </cell>
          <cell r="N782">
            <v>3</v>
          </cell>
          <cell r="O782" t="str">
            <v>no</v>
          </cell>
        </row>
        <row r="783">
          <cell r="A783" t="str">
            <v>SHP-100883</v>
          </cell>
          <cell r="B783" t="str">
            <v xml:space="preserve"> 03/04/2024 </v>
          </cell>
          <cell r="C783" t="str">
            <v>bengaluru</v>
          </cell>
          <cell r="D783" t="str">
            <v>XpressBees</v>
          </cell>
          <cell r="E783" t="str">
            <v>Surface</v>
          </cell>
          <cell r="F783" t="str">
            <v>Grocery  &amp; FMCG</v>
          </cell>
          <cell r="G783" t="str">
            <v xml:space="preserve"> EAST </v>
          </cell>
          <cell r="I783" t="str">
            <v>15.3</v>
          </cell>
          <cell r="J783" t="str">
            <v>₹526</v>
          </cell>
          <cell r="K783">
            <v>6</v>
          </cell>
          <cell r="L783" t="str">
            <v>10/04/2024</v>
          </cell>
          <cell r="M783" t="str">
            <v xml:space="preserve"> Delayed</v>
          </cell>
          <cell r="N783">
            <v>3</v>
          </cell>
          <cell r="O783" t="str">
            <v>Y</v>
          </cell>
        </row>
        <row r="784">
          <cell r="A784" t="str">
            <v>SHP-100203</v>
          </cell>
          <cell r="B784" t="str">
            <v xml:space="preserve"> 14/05/2024 </v>
          </cell>
          <cell r="C784" t="str">
            <v>Mumbai</v>
          </cell>
          <cell r="D784" t="str">
            <v>DELHIVERY</v>
          </cell>
          <cell r="E784" t="str">
            <v xml:space="preserve"> AIR </v>
          </cell>
          <cell r="F784" t="str">
            <v>ELECTRONICS</v>
          </cell>
          <cell r="G784" t="str">
            <v xml:space="preserve">east </v>
          </cell>
          <cell r="I784" t="str">
            <v>10.9KG</v>
          </cell>
          <cell r="J784" t="str">
            <v xml:space="preserve">Rs 700 </v>
          </cell>
          <cell r="K784">
            <v>4</v>
          </cell>
          <cell r="L784" t="str">
            <v>2024-05-23</v>
          </cell>
          <cell r="M784" t="str">
            <v>DELAYED</v>
          </cell>
          <cell r="N784">
            <v>2</v>
          </cell>
          <cell r="O784" t="str">
            <v>YES</v>
          </cell>
        </row>
        <row r="785">
          <cell r="A785" t="str">
            <v>SHP-100189</v>
          </cell>
          <cell r="B785" t="str">
            <v xml:space="preserve"> 01/06/2024 </v>
          </cell>
          <cell r="C785" t="str">
            <v>DELHI</v>
          </cell>
          <cell r="D785" t="str">
            <v>Ecom Express</v>
          </cell>
          <cell r="E785" t="str">
            <v xml:space="preserve">road </v>
          </cell>
          <cell r="F785" t="str">
            <v xml:space="preserve"> FURNITURE </v>
          </cell>
          <cell r="G785" t="str">
            <v>south</v>
          </cell>
          <cell r="I785" t="str">
            <v>70.4</v>
          </cell>
          <cell r="J785" t="str">
            <v>1,108</v>
          </cell>
          <cell r="K785">
            <v>8</v>
          </cell>
          <cell r="L785" t="str">
            <v>2024-06-10</v>
          </cell>
          <cell r="M785" t="str">
            <v xml:space="preserve"> Delayed</v>
          </cell>
          <cell r="N785">
            <v>2</v>
          </cell>
          <cell r="O785" t="str">
            <v>No</v>
          </cell>
        </row>
        <row r="786">
          <cell r="A786" t="str">
            <v>SHP-100370</v>
          </cell>
          <cell r="B786" t="str">
            <v>21-Jan-2024</v>
          </cell>
          <cell r="C786" t="str">
            <v xml:space="preserve"> MUMBAI </v>
          </cell>
          <cell r="D786" t="str">
            <v>BlueDart</v>
          </cell>
          <cell r="E786" t="str">
            <v>ROAD</v>
          </cell>
          <cell r="F786" t="str">
            <v>APPAREL</v>
          </cell>
          <cell r="G786" t="str">
            <v>West</v>
          </cell>
          <cell r="I786" t="str">
            <v>2.2KG</v>
          </cell>
          <cell r="J786" t="str">
            <v>80</v>
          </cell>
          <cell r="K786">
            <v>6</v>
          </cell>
          <cell r="L786" t="str">
            <v>26-Jan-2024</v>
          </cell>
          <cell r="M786" t="str">
            <v>DELIVERED</v>
          </cell>
          <cell r="N786">
            <v>4</v>
          </cell>
          <cell r="O786" t="str">
            <v>Yes</v>
          </cell>
        </row>
        <row r="787">
          <cell r="A787" t="str">
            <v>SHP-100679</v>
          </cell>
          <cell r="B787" t="str">
            <v xml:space="preserve"> 19/05/2024 </v>
          </cell>
          <cell r="C787" t="str">
            <v>DELHI</v>
          </cell>
          <cell r="D787" t="str">
            <v>Xpress Bees</v>
          </cell>
          <cell r="E787" t="str">
            <v>ROAD</v>
          </cell>
          <cell r="F787" t="str">
            <v xml:space="preserve">furniture </v>
          </cell>
          <cell r="G787" t="str">
            <v xml:space="preserve"> SOUTH </v>
          </cell>
          <cell r="I787" t="str">
            <v xml:space="preserve">46.7 Kg </v>
          </cell>
          <cell r="J787" t="str">
            <v>₹806</v>
          </cell>
          <cell r="K787">
            <v>8</v>
          </cell>
          <cell r="L787" t="str">
            <v>28/05/2024</v>
          </cell>
          <cell r="M787" t="str">
            <v xml:space="preserve">delayed </v>
          </cell>
          <cell r="N787">
            <v>2</v>
          </cell>
          <cell r="O787" t="str">
            <v>N</v>
          </cell>
        </row>
        <row r="788">
          <cell r="A788" t="str">
            <v>SHP-101531</v>
          </cell>
          <cell r="B788" t="str">
            <v>16-Jan-2024</v>
          </cell>
          <cell r="C788" t="str">
            <v>kolkata</v>
          </cell>
          <cell r="D788" t="str">
            <v>XpressBees</v>
          </cell>
          <cell r="E788" t="str">
            <v xml:space="preserve"> SURFACE </v>
          </cell>
          <cell r="F788" t="str">
            <v xml:space="preserve"> PHARMA </v>
          </cell>
          <cell r="G788" t="str">
            <v xml:space="preserve"> EAST </v>
          </cell>
          <cell r="I788" t="str">
            <v xml:space="preserve">2.8 Kg </v>
          </cell>
          <cell r="J788" t="str">
            <v>₹100</v>
          </cell>
          <cell r="K788">
            <v>4</v>
          </cell>
          <cell r="L788" t="str">
            <v>20/01/2024</v>
          </cell>
          <cell r="M788" t="str">
            <v>Delivered</v>
          </cell>
          <cell r="N788">
            <v>5</v>
          </cell>
          <cell r="O788" t="str">
            <v xml:space="preserve"> No</v>
          </cell>
        </row>
        <row r="789">
          <cell r="A789" t="str">
            <v>SHP-100525</v>
          </cell>
          <cell r="B789" t="str">
            <v xml:space="preserve"> 21/04/2024 </v>
          </cell>
          <cell r="C789" t="str">
            <v>Kolkata</v>
          </cell>
          <cell r="D789" t="str">
            <v>ecom express</v>
          </cell>
          <cell r="E789" t="str">
            <v>road</v>
          </cell>
          <cell r="F789" t="str">
            <v xml:space="preserve">apparel </v>
          </cell>
          <cell r="G789" t="str">
            <v>South</v>
          </cell>
          <cell r="I789" t="str">
            <v>1.9KG</v>
          </cell>
          <cell r="J789" t="str">
            <v xml:space="preserve">Rs 217 </v>
          </cell>
          <cell r="K789">
            <v>8</v>
          </cell>
          <cell r="L789" t="str">
            <v xml:space="preserve"> 04/05/2024 </v>
          </cell>
          <cell r="M789" t="str">
            <v>returned</v>
          </cell>
          <cell r="O789" t="str">
            <v>No</v>
          </cell>
        </row>
        <row r="790">
          <cell r="A790" t="str">
            <v>SHP-101042</v>
          </cell>
          <cell r="B790" t="str">
            <v>2024-03-01</v>
          </cell>
          <cell r="C790" t="str">
            <v xml:space="preserve">bengaluru </v>
          </cell>
          <cell r="D790" t="str">
            <v>DTDC</v>
          </cell>
          <cell r="E790" t="str">
            <v>road</v>
          </cell>
          <cell r="F790" t="str">
            <v xml:space="preserve"> GROCERY &amp; FMCG </v>
          </cell>
          <cell r="G790" t="str">
            <v>north</v>
          </cell>
          <cell r="I790" t="str">
            <v>15.6kg</v>
          </cell>
          <cell r="J790" t="str">
            <v>₹419</v>
          </cell>
          <cell r="K790">
            <v>8</v>
          </cell>
          <cell r="L790" t="str">
            <v xml:space="preserve"> 09/03/2024 </v>
          </cell>
          <cell r="M790" t="str">
            <v>delivered</v>
          </cell>
          <cell r="N790">
            <v>3</v>
          </cell>
          <cell r="O790" t="str">
            <v>No</v>
          </cell>
        </row>
        <row r="791">
          <cell r="A791" t="str">
            <v>SHP-100665</v>
          </cell>
          <cell r="B791" t="str">
            <v xml:space="preserve"> 23/05/2024 </v>
          </cell>
          <cell r="C791" t="str">
            <v>Delhi</v>
          </cell>
          <cell r="D791" t="str">
            <v>XpressBees</v>
          </cell>
          <cell r="E791" t="str">
            <v>Surface</v>
          </cell>
          <cell r="F791" t="str">
            <v>AUTOMOTIVE PARTS</v>
          </cell>
          <cell r="G791" t="str">
            <v xml:space="preserve"> NORTH </v>
          </cell>
          <cell r="I791" t="str">
            <v>39.1kg</v>
          </cell>
          <cell r="J791" t="str">
            <v xml:space="preserve">Rs 887 </v>
          </cell>
          <cell r="K791">
            <v>4</v>
          </cell>
          <cell r="L791" t="str">
            <v>28-May-2024</v>
          </cell>
          <cell r="M791" t="str">
            <v xml:space="preserve"> Delayed</v>
          </cell>
          <cell r="N791">
            <v>2</v>
          </cell>
          <cell r="O791" t="str">
            <v>YES</v>
          </cell>
        </row>
        <row r="792">
          <cell r="A792" t="str">
            <v>SHP-100457</v>
          </cell>
          <cell r="B792" t="str">
            <v>2024-04-17</v>
          </cell>
          <cell r="C792" t="str">
            <v>delhi</v>
          </cell>
          <cell r="D792" t="str">
            <v xml:space="preserve"> XPRESSBEES</v>
          </cell>
          <cell r="E792" t="str">
            <v xml:space="preserve">air </v>
          </cell>
          <cell r="F792" t="str">
            <v>Automotive Parts</v>
          </cell>
          <cell r="G792" t="str">
            <v xml:space="preserve">north </v>
          </cell>
          <cell r="I792" t="str">
            <v>6.7KG</v>
          </cell>
          <cell r="J792" t="str">
            <v>340</v>
          </cell>
          <cell r="K792">
            <v>2</v>
          </cell>
          <cell r="L792" t="str">
            <v>20/04/2024</v>
          </cell>
          <cell r="M792" t="str">
            <v>DELAYED</v>
          </cell>
          <cell r="N792">
            <v>3</v>
          </cell>
          <cell r="O792" t="str">
            <v xml:space="preserve"> No</v>
          </cell>
        </row>
        <row r="793">
          <cell r="A793" t="str">
            <v>SHP-100507</v>
          </cell>
          <cell r="B793" t="str">
            <v xml:space="preserve"> 19/05/2024 </v>
          </cell>
          <cell r="C793" t="str">
            <v xml:space="preserve">mumbai </v>
          </cell>
          <cell r="D793" t="str">
            <v xml:space="preserve">Dtdc </v>
          </cell>
          <cell r="E793" t="str">
            <v>Road</v>
          </cell>
          <cell r="F793" t="str">
            <v xml:space="preserve">  AUTOMOTIVE PARTS </v>
          </cell>
          <cell r="G793" t="str">
            <v xml:space="preserve">north </v>
          </cell>
          <cell r="I793" t="str">
            <v>39.5kg</v>
          </cell>
          <cell r="J793" t="str">
            <v>684</v>
          </cell>
          <cell r="K793">
            <v>8</v>
          </cell>
          <cell r="L793" t="str">
            <v>05/06/2024</v>
          </cell>
          <cell r="M793" t="str">
            <v>DELAYED</v>
          </cell>
          <cell r="N793">
            <v>3</v>
          </cell>
          <cell r="O793" t="str">
            <v>N</v>
          </cell>
        </row>
        <row r="794">
          <cell r="A794" t="str">
            <v>SHP-101353</v>
          </cell>
          <cell r="B794" t="str">
            <v>23/04/2024</v>
          </cell>
          <cell r="C794" t="str">
            <v>Mumbai</v>
          </cell>
          <cell r="D794" t="str">
            <v>bluedart</v>
          </cell>
          <cell r="E794" t="str">
            <v>road</v>
          </cell>
          <cell r="F794" t="str">
            <v>Furniture</v>
          </cell>
          <cell r="G794" t="str">
            <v>East</v>
          </cell>
          <cell r="I794" t="str">
            <v>61.3kg</v>
          </cell>
          <cell r="J794" t="str">
            <v>₹1,062</v>
          </cell>
          <cell r="K794">
            <v>8</v>
          </cell>
          <cell r="L794" t="str">
            <v>30-Apr-2024</v>
          </cell>
          <cell r="M794" t="str">
            <v xml:space="preserve"> Delivered</v>
          </cell>
          <cell r="N794">
            <v>5</v>
          </cell>
          <cell r="O794" t="str">
            <v>Y</v>
          </cell>
        </row>
        <row r="795">
          <cell r="A795" t="str">
            <v>SHP-101583</v>
          </cell>
          <cell r="B795" t="str">
            <v xml:space="preserve"> 11/06/2024 </v>
          </cell>
          <cell r="C795" t="str">
            <v xml:space="preserve"> HYDERABAD </v>
          </cell>
          <cell r="D795" t="str">
            <v xml:space="preserve"> DTDC</v>
          </cell>
          <cell r="E795" t="str">
            <v>surface</v>
          </cell>
          <cell r="F795" t="str">
            <v xml:space="preserve"> APPAREL </v>
          </cell>
          <cell r="G795" t="str">
            <v xml:space="preserve">north </v>
          </cell>
          <cell r="I795" t="str">
            <v>2.5KG</v>
          </cell>
          <cell r="J795" t="str">
            <v>199</v>
          </cell>
          <cell r="K795">
            <v>6</v>
          </cell>
          <cell r="L795" t="str">
            <v>17-Jun-2024</v>
          </cell>
          <cell r="M795" t="str">
            <v>DELIVERED</v>
          </cell>
          <cell r="N795">
            <v>5</v>
          </cell>
          <cell r="O795" t="str">
            <v>Yes</v>
          </cell>
        </row>
        <row r="796">
          <cell r="A796" t="str">
            <v>SHP-100369</v>
          </cell>
          <cell r="B796" t="str">
            <v>07/06/2024</v>
          </cell>
          <cell r="C796" t="str">
            <v>Kolkata</v>
          </cell>
          <cell r="D796" t="str">
            <v>DTDC</v>
          </cell>
          <cell r="E796" t="str">
            <v xml:space="preserve">road </v>
          </cell>
          <cell r="F796" t="str">
            <v xml:space="preserve">electronics </v>
          </cell>
          <cell r="G796" t="str">
            <v>east</v>
          </cell>
          <cell r="I796" t="str">
            <v>14.7kg</v>
          </cell>
          <cell r="J796" t="str">
            <v xml:space="preserve">Rs 239 </v>
          </cell>
          <cell r="K796">
            <v>6</v>
          </cell>
          <cell r="L796" t="str">
            <v>14/06/2024</v>
          </cell>
          <cell r="M796" t="str">
            <v>DELAYED</v>
          </cell>
          <cell r="N796">
            <v>4</v>
          </cell>
          <cell r="O796" t="str">
            <v>Yes</v>
          </cell>
        </row>
        <row r="797">
          <cell r="A797" t="str">
            <v>SHP-100569</v>
          </cell>
          <cell r="B797" t="str">
            <v>2024-03-03</v>
          </cell>
          <cell r="C797" t="str">
            <v>MUMBAI</v>
          </cell>
          <cell r="D797" t="str">
            <v>Ecom  Express</v>
          </cell>
          <cell r="E797" t="str">
            <v>ROAD</v>
          </cell>
          <cell r="F797" t="str">
            <v xml:space="preserve">pharma  </v>
          </cell>
          <cell r="G797" t="str">
            <v xml:space="preserve">east </v>
          </cell>
          <cell r="I797" t="str">
            <v>0.9kg</v>
          </cell>
          <cell r="J797" t="str">
            <v>197</v>
          </cell>
          <cell r="K797">
            <v>8</v>
          </cell>
          <cell r="L797" t="str">
            <v>11-Mar-2024</v>
          </cell>
          <cell r="M797" t="str">
            <v>Delivered</v>
          </cell>
          <cell r="N797">
            <v>5</v>
          </cell>
          <cell r="O797" t="str">
            <v>No</v>
          </cell>
        </row>
        <row r="798">
          <cell r="A798" t="str">
            <v>SHP-101548</v>
          </cell>
          <cell r="B798" t="str">
            <v xml:space="preserve"> 05/03/2024 </v>
          </cell>
          <cell r="C798" t="str">
            <v>CHENNAI</v>
          </cell>
          <cell r="D798" t="str">
            <v>DTDC</v>
          </cell>
          <cell r="E798" t="str">
            <v>Road</v>
          </cell>
          <cell r="F798" t="str">
            <v>automotive parts</v>
          </cell>
          <cell r="G798" t="str">
            <v>WEST</v>
          </cell>
          <cell r="I798" t="str">
            <v>20.7kg</v>
          </cell>
          <cell r="J798" t="str">
            <v xml:space="preserve">Rs 418 </v>
          </cell>
          <cell r="K798">
            <v>8</v>
          </cell>
          <cell r="L798" t="str">
            <v>12-Mar-2024</v>
          </cell>
          <cell r="M798" t="str">
            <v>Delivered</v>
          </cell>
          <cell r="N798">
            <v>5</v>
          </cell>
          <cell r="O798" t="str">
            <v xml:space="preserve"> No</v>
          </cell>
        </row>
        <row r="799">
          <cell r="A799" t="str">
            <v>SHP-101257</v>
          </cell>
          <cell r="B799" t="str">
            <v>2024-01-03</v>
          </cell>
          <cell r="C799" t="str">
            <v xml:space="preserve">kolkata </v>
          </cell>
          <cell r="D799" t="str">
            <v>XpressBees</v>
          </cell>
          <cell r="E799" t="str">
            <v xml:space="preserve">air </v>
          </cell>
          <cell r="F799" t="str">
            <v>FURNITURE</v>
          </cell>
          <cell r="G799" t="str">
            <v>south</v>
          </cell>
          <cell r="I799" t="str">
            <v xml:space="preserve">25.7 Kg </v>
          </cell>
          <cell r="J799" t="str">
            <v>1,282</v>
          </cell>
          <cell r="K799">
            <v>4</v>
          </cell>
          <cell r="L799" t="str">
            <v xml:space="preserve"> 08/01/2024 </v>
          </cell>
          <cell r="M799" t="str">
            <v>Returned</v>
          </cell>
          <cell r="O799" t="str">
            <v>no</v>
          </cell>
        </row>
        <row r="800">
          <cell r="A800" t="str">
            <v>SHP-100181</v>
          </cell>
          <cell r="B800" t="str">
            <v>19/05/2024</v>
          </cell>
          <cell r="C800" t="str">
            <v>hyderabad</v>
          </cell>
          <cell r="D800" t="str">
            <v xml:space="preserve">BLUEDART </v>
          </cell>
          <cell r="E800" t="str">
            <v>air</v>
          </cell>
          <cell r="F800" t="str">
            <v>Automotive Parts</v>
          </cell>
          <cell r="G800" t="str">
            <v xml:space="preserve">south </v>
          </cell>
          <cell r="I800" t="str">
            <v>15.8</v>
          </cell>
          <cell r="J800" t="str">
            <v>891</v>
          </cell>
          <cell r="K800">
            <v>4</v>
          </cell>
          <cell r="L800" t="str">
            <v>2024-05-24</v>
          </cell>
          <cell r="M800" t="str">
            <v>returned</v>
          </cell>
          <cell r="O800" t="str">
            <v>no</v>
          </cell>
        </row>
        <row r="801">
          <cell r="A801" t="str">
            <v>SHP-100403</v>
          </cell>
          <cell r="B801" t="str">
            <v>2024-05-20</v>
          </cell>
          <cell r="C801" t="str">
            <v>mumbai</v>
          </cell>
          <cell r="D801" t="str">
            <v>ecom express</v>
          </cell>
          <cell r="E801" t="str">
            <v>Surface</v>
          </cell>
          <cell r="F801" t="str">
            <v xml:space="preserve">  FURNITURE </v>
          </cell>
          <cell r="G801" t="str">
            <v>north</v>
          </cell>
          <cell r="I801" t="str">
            <v xml:space="preserve">45.6 Kg </v>
          </cell>
          <cell r="J801" t="str">
            <v>1,129</v>
          </cell>
          <cell r="K801">
            <v>6</v>
          </cell>
          <cell r="L801" t="str">
            <v>2024-05-25</v>
          </cell>
          <cell r="M801" t="str">
            <v xml:space="preserve"> Delivered</v>
          </cell>
          <cell r="N801">
            <v>3</v>
          </cell>
          <cell r="O801" t="str">
            <v xml:space="preserve">yes </v>
          </cell>
        </row>
        <row r="802">
          <cell r="A802" t="str">
            <v>SHP-101062</v>
          </cell>
          <cell r="B802" t="str">
            <v>21-Feb-2024</v>
          </cell>
          <cell r="C802" t="str">
            <v>Delhi</v>
          </cell>
          <cell r="D802" t="str">
            <v>xpressbees</v>
          </cell>
          <cell r="E802" t="str">
            <v xml:space="preserve">air </v>
          </cell>
          <cell r="F802" t="str">
            <v>Pharma</v>
          </cell>
          <cell r="G802" t="str">
            <v>south</v>
          </cell>
          <cell r="I802" t="str">
            <v xml:space="preserve">4.9 Kg </v>
          </cell>
          <cell r="J802" t="str">
            <v xml:space="preserve">Rs 369 </v>
          </cell>
          <cell r="K802">
            <v>4</v>
          </cell>
          <cell r="L802" t="str">
            <v>26/02/2024</v>
          </cell>
          <cell r="M802" t="str">
            <v xml:space="preserve"> Delayed</v>
          </cell>
          <cell r="N802">
            <v>3</v>
          </cell>
          <cell r="O802" t="str">
            <v>N</v>
          </cell>
        </row>
        <row r="803">
          <cell r="A803" t="str">
            <v>SHP-100080</v>
          </cell>
          <cell r="B803" t="str">
            <v>14-Feb-2024</v>
          </cell>
          <cell r="C803" t="str">
            <v xml:space="preserve">chennai </v>
          </cell>
          <cell r="D803" t="str">
            <v>Xpress Bees</v>
          </cell>
          <cell r="E803" t="str">
            <v xml:space="preserve"> ROAD </v>
          </cell>
          <cell r="F803" t="str">
            <v xml:space="preserve">furniture </v>
          </cell>
          <cell r="G803" t="str">
            <v xml:space="preserve">east </v>
          </cell>
          <cell r="I803" t="str">
            <v xml:space="preserve">52.9 Kg </v>
          </cell>
          <cell r="J803" t="str">
            <v>946</v>
          </cell>
          <cell r="K803">
            <v>8</v>
          </cell>
          <cell r="L803" t="str">
            <v>23-Feb-2024</v>
          </cell>
          <cell r="M803" t="str">
            <v xml:space="preserve">delayed </v>
          </cell>
          <cell r="N803">
            <v>3</v>
          </cell>
          <cell r="O803" t="str">
            <v>N</v>
          </cell>
        </row>
        <row r="804">
          <cell r="A804" t="str">
            <v>SHP-100308</v>
          </cell>
          <cell r="B804" t="str">
            <v xml:space="preserve"> 28/05/2024 </v>
          </cell>
          <cell r="C804" t="str">
            <v>Bengaluru</v>
          </cell>
          <cell r="D804" t="str">
            <v xml:space="preserve"> DTDC</v>
          </cell>
          <cell r="E804" t="str">
            <v>Surface</v>
          </cell>
          <cell r="F804" t="str">
            <v>FURNITURE</v>
          </cell>
          <cell r="G804" t="str">
            <v>SOUTH</v>
          </cell>
          <cell r="I804" t="str">
            <v>41.5KG</v>
          </cell>
          <cell r="J804" t="str">
            <v>₹967</v>
          </cell>
          <cell r="K804">
            <v>4</v>
          </cell>
          <cell r="L804" t="str">
            <v>2024-06-04</v>
          </cell>
          <cell r="M804" t="str">
            <v>Delayed</v>
          </cell>
          <cell r="N804">
            <v>5</v>
          </cell>
          <cell r="O804" t="str">
            <v>N</v>
          </cell>
        </row>
        <row r="805">
          <cell r="A805" t="str">
            <v>SHP-100055</v>
          </cell>
          <cell r="B805" t="str">
            <v>13/02/2024</v>
          </cell>
          <cell r="C805" t="str">
            <v xml:space="preserve"> MUMBAI </v>
          </cell>
          <cell r="D805" t="str">
            <v>DTDC</v>
          </cell>
          <cell r="E805" t="str">
            <v xml:space="preserve"> ROAD </v>
          </cell>
          <cell r="F805" t="str">
            <v xml:space="preserve">electronics </v>
          </cell>
          <cell r="G805" t="str">
            <v>south</v>
          </cell>
          <cell r="I805" t="str">
            <v>6.8</v>
          </cell>
          <cell r="J805" t="str">
            <v>246</v>
          </cell>
          <cell r="K805">
            <v>8</v>
          </cell>
          <cell r="L805" t="str">
            <v xml:space="preserve"> 22/02/2024 </v>
          </cell>
          <cell r="M805" t="str">
            <v xml:space="preserve">delayed </v>
          </cell>
          <cell r="N805">
            <v>1</v>
          </cell>
          <cell r="O805" t="str">
            <v>No</v>
          </cell>
        </row>
        <row r="806">
          <cell r="A806" t="str">
            <v>SHP-100474</v>
          </cell>
          <cell r="B806" t="str">
            <v xml:space="preserve"> 21/02/2024 </v>
          </cell>
          <cell r="C806" t="str">
            <v>CHENNAI</v>
          </cell>
          <cell r="D806" t="str">
            <v>ecom express</v>
          </cell>
          <cell r="E806" t="str">
            <v>Road</v>
          </cell>
          <cell r="F806" t="str">
            <v>AUTOMOTIVE PARTS</v>
          </cell>
          <cell r="G806" t="str">
            <v>NORTH</v>
          </cell>
          <cell r="I806" t="str">
            <v>20.0KG</v>
          </cell>
          <cell r="J806" t="str">
            <v xml:space="preserve">Rs 459 </v>
          </cell>
          <cell r="K806">
            <v>8</v>
          </cell>
          <cell r="L806" t="str">
            <v>2024-02-29</v>
          </cell>
          <cell r="M806" t="str">
            <v>delivered</v>
          </cell>
          <cell r="N806">
            <v>5</v>
          </cell>
          <cell r="O806" t="str">
            <v>Yes</v>
          </cell>
        </row>
        <row r="807">
          <cell r="A807" t="str">
            <v>SHP-100714</v>
          </cell>
          <cell r="B807" t="str">
            <v>10-Jun-2024</v>
          </cell>
          <cell r="C807" t="str">
            <v>kolkata</v>
          </cell>
          <cell r="D807" t="str">
            <v>xpressbees</v>
          </cell>
          <cell r="E807" t="str">
            <v>Road</v>
          </cell>
          <cell r="F807" t="str">
            <v xml:space="preserve">pharma </v>
          </cell>
          <cell r="G807" t="str">
            <v xml:space="preserve">north </v>
          </cell>
          <cell r="I807" t="str">
            <v>0.7</v>
          </cell>
          <cell r="J807" t="str">
            <v>134</v>
          </cell>
          <cell r="K807">
            <v>8</v>
          </cell>
          <cell r="L807" t="str">
            <v>19/06/2024</v>
          </cell>
          <cell r="M807" t="str">
            <v>Delayed</v>
          </cell>
          <cell r="N807">
            <v>3</v>
          </cell>
          <cell r="O807" t="str">
            <v>N</v>
          </cell>
        </row>
        <row r="808">
          <cell r="A808" t="str">
            <v>SHP-100639</v>
          </cell>
          <cell r="B808" t="str">
            <v>2024-02-02</v>
          </cell>
          <cell r="C808" t="str">
            <v xml:space="preserve">hyderabad </v>
          </cell>
          <cell r="D808" t="str">
            <v xml:space="preserve"> XPRESSBEES</v>
          </cell>
          <cell r="E808" t="str">
            <v xml:space="preserve"> SURFACE </v>
          </cell>
          <cell r="F808" t="str">
            <v>Furniture</v>
          </cell>
          <cell r="G808" t="str">
            <v>NORTH</v>
          </cell>
          <cell r="I808" t="str">
            <v xml:space="preserve">38.6 Kg </v>
          </cell>
          <cell r="J808" t="str">
            <v>1,033</v>
          </cell>
          <cell r="K808">
            <v>6</v>
          </cell>
          <cell r="L808" t="str">
            <v>2024-02-09</v>
          </cell>
          <cell r="M808" t="str">
            <v>Delayed</v>
          </cell>
          <cell r="N808">
            <v>3</v>
          </cell>
          <cell r="O808" t="str">
            <v xml:space="preserve"> No</v>
          </cell>
        </row>
        <row r="809">
          <cell r="A809" t="str">
            <v>SHP-101443</v>
          </cell>
          <cell r="B809" t="str">
            <v xml:space="preserve"> 15/06/2024 </v>
          </cell>
          <cell r="C809" t="str">
            <v>KOLKATA</v>
          </cell>
          <cell r="D809" t="str">
            <v xml:space="preserve"> DTDC</v>
          </cell>
          <cell r="E809" t="str">
            <v>surface</v>
          </cell>
          <cell r="F809" t="str">
            <v xml:space="preserve">apparel </v>
          </cell>
          <cell r="G809" t="str">
            <v xml:space="preserve">south </v>
          </cell>
          <cell r="I809" t="str">
            <v xml:space="preserve">4.0 Kg </v>
          </cell>
          <cell r="J809" t="str">
            <v>₹236</v>
          </cell>
          <cell r="K809">
            <v>6</v>
          </cell>
          <cell r="L809" t="str">
            <v>2024-06-21</v>
          </cell>
          <cell r="M809" t="str">
            <v>Delivered</v>
          </cell>
          <cell r="N809">
            <v>4</v>
          </cell>
          <cell r="O809" t="str">
            <v>N</v>
          </cell>
        </row>
        <row r="810">
          <cell r="A810" t="str">
            <v>SHP-100187</v>
          </cell>
          <cell r="B810" t="str">
            <v>04-May-2024</v>
          </cell>
          <cell r="C810" t="str">
            <v xml:space="preserve">mumbai </v>
          </cell>
          <cell r="D810" t="str">
            <v>xpressbees</v>
          </cell>
          <cell r="E810" t="str">
            <v xml:space="preserve"> ROAD </v>
          </cell>
          <cell r="F810" t="str">
            <v>Pharma</v>
          </cell>
          <cell r="G810" t="str">
            <v>EAST</v>
          </cell>
          <cell r="I810" t="str">
            <v>2.2KG</v>
          </cell>
          <cell r="J810" t="str">
            <v>207</v>
          </cell>
          <cell r="K810">
            <v>8</v>
          </cell>
          <cell r="L810" t="str">
            <v xml:space="preserve"> 12/05/2024 </v>
          </cell>
          <cell r="M810" t="str">
            <v>Delivered</v>
          </cell>
          <cell r="N810">
            <v>5</v>
          </cell>
          <cell r="O810" t="str">
            <v>no</v>
          </cell>
        </row>
        <row r="811">
          <cell r="A811" t="str">
            <v>SHP-100085</v>
          </cell>
          <cell r="B811" t="str">
            <v>24/04/2024</v>
          </cell>
          <cell r="C811" t="str">
            <v>HYDERABAD</v>
          </cell>
          <cell r="D811" t="str">
            <v>DELHIVERY</v>
          </cell>
          <cell r="E811" t="str">
            <v xml:space="preserve">road </v>
          </cell>
          <cell r="F811" t="str">
            <v>Grocery &amp; FMCG</v>
          </cell>
          <cell r="G811" t="str">
            <v>west</v>
          </cell>
          <cell r="I811" t="str">
            <v xml:space="preserve">5.2 Kg </v>
          </cell>
          <cell r="J811" t="str">
            <v xml:space="preserve">Rs 80 </v>
          </cell>
          <cell r="K811">
            <v>6</v>
          </cell>
          <cell r="L811" t="str">
            <v>29/04/2024</v>
          </cell>
          <cell r="M811" t="str">
            <v xml:space="preserve"> Delivered</v>
          </cell>
          <cell r="N811">
            <v>3</v>
          </cell>
          <cell r="O811" t="str">
            <v xml:space="preserve">yes </v>
          </cell>
        </row>
        <row r="812">
          <cell r="A812" t="str">
            <v>SHP-101394</v>
          </cell>
          <cell r="B812" t="str">
            <v>2024-01-15</v>
          </cell>
          <cell r="C812" t="str">
            <v xml:space="preserve">delhi </v>
          </cell>
          <cell r="D812" t="str">
            <v>Ecom  Express</v>
          </cell>
          <cell r="E812" t="str">
            <v xml:space="preserve">air </v>
          </cell>
          <cell r="F812" t="str">
            <v xml:space="preserve"> PHARMA </v>
          </cell>
          <cell r="G812" t="str">
            <v xml:space="preserve">south </v>
          </cell>
          <cell r="I812" t="str">
            <v xml:space="preserve">3.7 Kg </v>
          </cell>
          <cell r="J812" t="str">
            <v>348</v>
          </cell>
          <cell r="K812">
            <v>4</v>
          </cell>
          <cell r="L812" t="str">
            <v>20-Jan-2024</v>
          </cell>
          <cell r="M812" t="str">
            <v xml:space="preserve"> Delayed</v>
          </cell>
          <cell r="N812">
            <v>1</v>
          </cell>
          <cell r="O812" t="str">
            <v xml:space="preserve">yes </v>
          </cell>
        </row>
        <row r="813">
          <cell r="A813" t="str">
            <v>SHP-100196</v>
          </cell>
          <cell r="B813" t="str">
            <v xml:space="preserve"> 14/01/2024 </v>
          </cell>
          <cell r="C813" t="str">
            <v xml:space="preserve"> KOLKATA </v>
          </cell>
          <cell r="D813" t="str">
            <v>Ecom  Express</v>
          </cell>
          <cell r="E813" t="str">
            <v>Road</v>
          </cell>
          <cell r="F813" t="str">
            <v>APPAREL</v>
          </cell>
          <cell r="G813" t="str">
            <v>EAST</v>
          </cell>
          <cell r="I813" t="str">
            <v>5.5KG</v>
          </cell>
          <cell r="J813" t="str">
            <v>80</v>
          </cell>
          <cell r="K813">
            <v>6</v>
          </cell>
          <cell r="L813" t="str">
            <v xml:space="preserve"> 20/01/2024 </v>
          </cell>
          <cell r="M813" t="str">
            <v xml:space="preserve"> Delivered</v>
          </cell>
          <cell r="N813">
            <v>5</v>
          </cell>
          <cell r="O813" t="str">
            <v>N</v>
          </cell>
        </row>
        <row r="814">
          <cell r="A814" t="str">
            <v>SHP-101538</v>
          </cell>
          <cell r="B814" t="str">
            <v>15/01/2024</v>
          </cell>
          <cell r="C814" t="str">
            <v xml:space="preserve">hyderabad </v>
          </cell>
          <cell r="D814" t="str">
            <v xml:space="preserve">Dtdc </v>
          </cell>
          <cell r="E814" t="str">
            <v xml:space="preserve">road </v>
          </cell>
          <cell r="F814" t="str">
            <v xml:space="preserve"> APPAREL </v>
          </cell>
          <cell r="G814" t="str">
            <v>east</v>
          </cell>
          <cell r="I814" t="str">
            <v xml:space="preserve">4.4 Kg </v>
          </cell>
          <cell r="J814" t="str">
            <v>₹258</v>
          </cell>
          <cell r="K814">
            <v>8</v>
          </cell>
          <cell r="L814" t="str">
            <v>25/01/2024</v>
          </cell>
          <cell r="M814" t="str">
            <v xml:space="preserve">delayed </v>
          </cell>
          <cell r="N814">
            <v>5</v>
          </cell>
          <cell r="O814" t="str">
            <v xml:space="preserve">yes </v>
          </cell>
        </row>
        <row r="815">
          <cell r="A815" t="str">
            <v>SHP-101378</v>
          </cell>
          <cell r="B815" t="str">
            <v>2024-02-07</v>
          </cell>
          <cell r="C815" t="str">
            <v xml:space="preserve"> CHENNAI </v>
          </cell>
          <cell r="D815" t="str">
            <v xml:space="preserve"> Delhivery</v>
          </cell>
          <cell r="E815" t="str">
            <v>air</v>
          </cell>
          <cell r="F815" t="str">
            <v>Furniture</v>
          </cell>
          <cell r="G815" t="str">
            <v>NORTH</v>
          </cell>
          <cell r="I815" t="str">
            <v>73.1kg</v>
          </cell>
          <cell r="J815" t="str">
            <v>3,458</v>
          </cell>
          <cell r="K815">
            <v>4</v>
          </cell>
          <cell r="L815" t="str">
            <v>2024-02-17</v>
          </cell>
          <cell r="M815" t="str">
            <v xml:space="preserve">delayed </v>
          </cell>
          <cell r="N815">
            <v>3</v>
          </cell>
          <cell r="O815" t="str">
            <v>no</v>
          </cell>
        </row>
        <row r="816">
          <cell r="A816" t="str">
            <v>SHP-101245</v>
          </cell>
          <cell r="B816" t="str">
            <v xml:space="preserve"> 06/01/2024 </v>
          </cell>
          <cell r="C816" t="str">
            <v xml:space="preserve"> CHENNAI </v>
          </cell>
          <cell r="D816" t="str">
            <v>BlueDart</v>
          </cell>
          <cell r="E816" t="str">
            <v>Air</v>
          </cell>
          <cell r="F816" t="str">
            <v>FURNITURE</v>
          </cell>
          <cell r="G816" t="str">
            <v xml:space="preserve">south </v>
          </cell>
          <cell r="I816" t="str">
            <v>26.7KG</v>
          </cell>
          <cell r="J816" t="str">
            <v>₹1,214</v>
          </cell>
          <cell r="K816">
            <v>2</v>
          </cell>
          <cell r="L816" t="str">
            <v xml:space="preserve"> 09/01/2024 </v>
          </cell>
          <cell r="M816" t="str">
            <v xml:space="preserve">delayed </v>
          </cell>
          <cell r="N816">
            <v>2</v>
          </cell>
          <cell r="O816" t="str">
            <v xml:space="preserve"> No</v>
          </cell>
        </row>
        <row r="817">
          <cell r="A817" t="str">
            <v>SHP-101338</v>
          </cell>
          <cell r="B817" t="str">
            <v>2024-02-03</v>
          </cell>
          <cell r="C817" t="str">
            <v xml:space="preserve"> KOLKATA </v>
          </cell>
          <cell r="D817" t="str">
            <v>dtdc</v>
          </cell>
          <cell r="E817" t="str">
            <v xml:space="preserve">air </v>
          </cell>
          <cell r="F817" t="str">
            <v>AUTOMOTIVE PARTS</v>
          </cell>
          <cell r="G817" t="str">
            <v>South</v>
          </cell>
          <cell r="I817" t="str">
            <v>16.4</v>
          </cell>
          <cell r="J817" t="str">
            <v xml:space="preserve">Rs 894 </v>
          </cell>
          <cell r="K817">
            <v>4</v>
          </cell>
          <cell r="L817" t="str">
            <v>06-Feb-2024</v>
          </cell>
          <cell r="M817" t="str">
            <v xml:space="preserve"> Delivered</v>
          </cell>
          <cell r="N817">
            <v>4</v>
          </cell>
          <cell r="O817" t="str">
            <v>no</v>
          </cell>
        </row>
        <row r="818">
          <cell r="A818" t="str">
            <v>SHP-100084</v>
          </cell>
          <cell r="B818" t="str">
            <v>2024-02-12</v>
          </cell>
          <cell r="C818" t="str">
            <v>hyderabad</v>
          </cell>
          <cell r="D818" t="str">
            <v>Delhivery</v>
          </cell>
          <cell r="E818" t="str">
            <v>surface</v>
          </cell>
          <cell r="F818" t="str">
            <v>ELECTRONICS</v>
          </cell>
          <cell r="G818" t="str">
            <v xml:space="preserve">north </v>
          </cell>
          <cell r="I818" t="str">
            <v>1.5</v>
          </cell>
          <cell r="J818" t="str">
            <v xml:space="preserve">Rs 184 </v>
          </cell>
          <cell r="K818">
            <v>6</v>
          </cell>
          <cell r="L818" t="str">
            <v>2024-02-17</v>
          </cell>
          <cell r="M818" t="str">
            <v>Delivered</v>
          </cell>
          <cell r="N818">
            <v>4</v>
          </cell>
          <cell r="O818" t="str">
            <v>No</v>
          </cell>
        </row>
        <row r="819">
          <cell r="A819" t="str">
            <v>SHP-100583</v>
          </cell>
          <cell r="B819" t="str">
            <v>18-Apr-2024</v>
          </cell>
          <cell r="C819" t="str">
            <v>bengaluru</v>
          </cell>
          <cell r="D819" t="str">
            <v>delhivery</v>
          </cell>
          <cell r="E819" t="str">
            <v>Road</v>
          </cell>
          <cell r="F819" t="str">
            <v xml:space="preserve">apparel </v>
          </cell>
          <cell r="G819" t="str">
            <v xml:space="preserve">west </v>
          </cell>
          <cell r="I819" t="str">
            <v>0.9</v>
          </cell>
          <cell r="J819" t="str">
            <v>₹192</v>
          </cell>
          <cell r="K819">
            <v>8</v>
          </cell>
          <cell r="L819" t="str">
            <v>27-Apr-2024</v>
          </cell>
          <cell r="M819" t="str">
            <v>Delayed</v>
          </cell>
          <cell r="N819">
            <v>1</v>
          </cell>
          <cell r="O819" t="str">
            <v>YES</v>
          </cell>
        </row>
        <row r="820">
          <cell r="A820" t="str">
            <v>SHP-101101</v>
          </cell>
          <cell r="B820" t="str">
            <v>27/05/2024</v>
          </cell>
          <cell r="C820" t="str">
            <v xml:space="preserve"> BENGALURU </v>
          </cell>
          <cell r="D820" t="str">
            <v>ECOM EXPRESS</v>
          </cell>
          <cell r="E820" t="str">
            <v xml:space="preserve"> AIR </v>
          </cell>
          <cell r="F820" t="str">
            <v xml:space="preserve"> GROCERY &amp; FMCG </v>
          </cell>
          <cell r="G820" t="str">
            <v xml:space="preserve"> WEST </v>
          </cell>
          <cell r="I820" t="str">
            <v>16.9KG</v>
          </cell>
          <cell r="J820" t="str">
            <v xml:space="preserve">Rs 903 </v>
          </cell>
          <cell r="K820">
            <v>4</v>
          </cell>
          <cell r="L820" t="str">
            <v>30-May-2024</v>
          </cell>
          <cell r="M820" t="str">
            <v>Damaged</v>
          </cell>
          <cell r="O820" t="str">
            <v>N</v>
          </cell>
        </row>
        <row r="821">
          <cell r="A821" t="str">
            <v>SHP-100152</v>
          </cell>
          <cell r="B821" t="str">
            <v>07-Mar-2024</v>
          </cell>
          <cell r="C821" t="str">
            <v>BENGALURU</v>
          </cell>
          <cell r="D821" t="str">
            <v xml:space="preserve"> DTDC</v>
          </cell>
          <cell r="E821" t="str">
            <v>air</v>
          </cell>
          <cell r="F821" t="str">
            <v xml:space="preserve">apparel  </v>
          </cell>
          <cell r="G821" t="str">
            <v xml:space="preserve"> EAST </v>
          </cell>
          <cell r="I821" t="str">
            <v>6.5</v>
          </cell>
          <cell r="J821" t="str">
            <v>477</v>
          </cell>
          <cell r="K821">
            <v>4</v>
          </cell>
          <cell r="L821" t="str">
            <v>12/03/2024</v>
          </cell>
          <cell r="M821" t="str">
            <v>DELAYED</v>
          </cell>
          <cell r="N821">
            <v>3</v>
          </cell>
          <cell r="O821" t="str">
            <v>no</v>
          </cell>
        </row>
        <row r="822">
          <cell r="A822" t="str">
            <v>SHP-101176</v>
          </cell>
          <cell r="B822" t="str">
            <v>2024-02-26</v>
          </cell>
          <cell r="C822" t="str">
            <v>MUMBAI</v>
          </cell>
          <cell r="D822" t="str">
            <v>dtdc</v>
          </cell>
          <cell r="E822" t="str">
            <v xml:space="preserve">air </v>
          </cell>
          <cell r="F822" t="str">
            <v>AUTOMOTIVE PARTS</v>
          </cell>
          <cell r="G822" t="str">
            <v>NORTH</v>
          </cell>
          <cell r="I822" t="str">
            <v>14.1kg</v>
          </cell>
          <cell r="J822" t="str">
            <v xml:space="preserve">Rs 824 </v>
          </cell>
          <cell r="K822">
            <v>4</v>
          </cell>
          <cell r="L822" t="str">
            <v>02-Mar-2024</v>
          </cell>
          <cell r="M822" t="str">
            <v xml:space="preserve">delayed </v>
          </cell>
          <cell r="N822">
            <v>2</v>
          </cell>
          <cell r="O822" t="str">
            <v>Yes</v>
          </cell>
        </row>
        <row r="823">
          <cell r="A823" t="str">
            <v>SHP-100938</v>
          </cell>
          <cell r="B823" t="str">
            <v>02/05/2024</v>
          </cell>
          <cell r="C823" t="str">
            <v xml:space="preserve"> BENGALURU </v>
          </cell>
          <cell r="D823" t="str">
            <v>ECOM EXPRESS</v>
          </cell>
          <cell r="E823" t="str">
            <v>AIR</v>
          </cell>
          <cell r="F823" t="str">
            <v xml:space="preserve">furniture </v>
          </cell>
          <cell r="G823" t="str">
            <v xml:space="preserve"> NORTH </v>
          </cell>
          <cell r="I823" t="str">
            <v>46.0kg</v>
          </cell>
          <cell r="J823" t="str">
            <v xml:space="preserve">Rs 2222 </v>
          </cell>
          <cell r="K823">
            <v>4</v>
          </cell>
          <cell r="L823" t="str">
            <v>2024-05-07</v>
          </cell>
          <cell r="M823" t="str">
            <v>Delayed</v>
          </cell>
          <cell r="N823">
            <v>2</v>
          </cell>
          <cell r="O823" t="str">
            <v>N</v>
          </cell>
        </row>
        <row r="824">
          <cell r="A824" t="str">
            <v>SHP-101554</v>
          </cell>
          <cell r="B824" t="str">
            <v>2024-05-02</v>
          </cell>
          <cell r="C824" t="str">
            <v xml:space="preserve">bengaluru </v>
          </cell>
          <cell r="D824" t="str">
            <v>XpressBees</v>
          </cell>
          <cell r="E824" t="str">
            <v>AIR</v>
          </cell>
          <cell r="F824" t="str">
            <v>Automotive Parts</v>
          </cell>
          <cell r="G824" t="str">
            <v xml:space="preserve"> NORTH </v>
          </cell>
          <cell r="I824" t="str">
            <v>9.9</v>
          </cell>
          <cell r="J824" t="str">
            <v>595</v>
          </cell>
          <cell r="K824">
            <v>4</v>
          </cell>
          <cell r="L824" t="str">
            <v>07-May-2024</v>
          </cell>
          <cell r="M824" t="str">
            <v xml:space="preserve">delayed </v>
          </cell>
          <cell r="N824">
            <v>4</v>
          </cell>
          <cell r="O824" t="str">
            <v>N</v>
          </cell>
        </row>
        <row r="825">
          <cell r="A825" t="str">
            <v>SHP-100572</v>
          </cell>
          <cell r="B825" t="str">
            <v>15-May-2024</v>
          </cell>
          <cell r="C825" t="str">
            <v xml:space="preserve">hyderabad </v>
          </cell>
          <cell r="D825" t="str">
            <v>DTDC</v>
          </cell>
          <cell r="E825" t="str">
            <v>Surface</v>
          </cell>
          <cell r="F825" t="str">
            <v>apparel</v>
          </cell>
          <cell r="G825" t="str">
            <v>East</v>
          </cell>
          <cell r="I825" t="str">
            <v>4.2</v>
          </cell>
          <cell r="J825" t="str">
            <v xml:space="preserve">Rs 265 </v>
          </cell>
          <cell r="K825">
            <v>6</v>
          </cell>
          <cell r="L825" t="str">
            <v>2024-05-22</v>
          </cell>
          <cell r="M825" t="str">
            <v>DELAYED</v>
          </cell>
          <cell r="N825">
            <v>1</v>
          </cell>
          <cell r="O825" t="str">
            <v>no</v>
          </cell>
        </row>
        <row r="826">
          <cell r="I826" t="str">
            <v>7.3kg</v>
          </cell>
        </row>
        <row r="827">
          <cell r="A827" t="str">
            <v>SHP-100435</v>
          </cell>
          <cell r="B827" t="str">
            <v>04-Mar-2024</v>
          </cell>
          <cell r="C827" t="str">
            <v>DELHI</v>
          </cell>
          <cell r="D827" t="str">
            <v>delhivery</v>
          </cell>
          <cell r="E827" t="str">
            <v xml:space="preserve"> SURFACE </v>
          </cell>
          <cell r="F827" t="str">
            <v xml:space="preserve">electronics </v>
          </cell>
          <cell r="G827" t="str">
            <v>EAST</v>
          </cell>
          <cell r="I827" t="str">
            <v xml:space="preserve">9.3 Kg </v>
          </cell>
          <cell r="J827" t="str">
            <v>391</v>
          </cell>
          <cell r="K827">
            <v>6</v>
          </cell>
          <cell r="L827" t="str">
            <v>14-Mar-2024</v>
          </cell>
          <cell r="M827" t="str">
            <v xml:space="preserve">delayed </v>
          </cell>
          <cell r="N827">
            <v>5</v>
          </cell>
          <cell r="O827" t="str">
            <v xml:space="preserve"> No</v>
          </cell>
        </row>
        <row r="828">
          <cell r="A828" t="str">
            <v>SHP-100382</v>
          </cell>
          <cell r="B828" t="str">
            <v xml:space="preserve"> 13/05/2024 </v>
          </cell>
          <cell r="C828" t="str">
            <v>hyderabad</v>
          </cell>
          <cell r="D828" t="str">
            <v>ecom express</v>
          </cell>
          <cell r="E828" t="str">
            <v xml:space="preserve"> ROAD </v>
          </cell>
          <cell r="F828" t="str">
            <v xml:space="preserve">furniture  </v>
          </cell>
          <cell r="G828" t="str">
            <v xml:space="preserve"> EAST </v>
          </cell>
          <cell r="I828" t="str">
            <v xml:space="preserve">62.7 Kg </v>
          </cell>
          <cell r="J828" t="str">
            <v>1,030</v>
          </cell>
          <cell r="K828">
            <v>8</v>
          </cell>
          <cell r="L828" t="str">
            <v>2024-05-22</v>
          </cell>
          <cell r="M828" t="str">
            <v xml:space="preserve">delayed </v>
          </cell>
          <cell r="N828">
            <v>1</v>
          </cell>
          <cell r="O828" t="str">
            <v>No</v>
          </cell>
        </row>
        <row r="829">
          <cell r="A829" t="str">
            <v>SHP-100137</v>
          </cell>
          <cell r="B829" t="str">
            <v>02-May-2024</v>
          </cell>
          <cell r="C829" t="str">
            <v>Bengaluru</v>
          </cell>
          <cell r="D829" t="str">
            <v>Ecom  Express</v>
          </cell>
          <cell r="E829" t="str">
            <v>ROAD</v>
          </cell>
          <cell r="F829" t="str">
            <v xml:space="preserve"> GROCERY &amp; FMCG </v>
          </cell>
          <cell r="G829" t="str">
            <v>WEST</v>
          </cell>
          <cell r="I829" t="str">
            <v>7.6KG</v>
          </cell>
          <cell r="J829" t="str">
            <v>₹295</v>
          </cell>
          <cell r="K829">
            <v>8</v>
          </cell>
          <cell r="L829" t="str">
            <v>12-May-2024</v>
          </cell>
          <cell r="M829" t="str">
            <v xml:space="preserve">delayed </v>
          </cell>
          <cell r="N829">
            <v>2</v>
          </cell>
          <cell r="O829" t="str">
            <v>Y</v>
          </cell>
        </row>
        <row r="830">
          <cell r="A830" t="str">
            <v>SHP-101370</v>
          </cell>
          <cell r="B830" t="str">
            <v>03-Jan-2024</v>
          </cell>
          <cell r="C830" t="str">
            <v>CHENNAI</v>
          </cell>
          <cell r="D830" t="str">
            <v>xpressbees</v>
          </cell>
          <cell r="E830" t="str">
            <v xml:space="preserve"> ROAD </v>
          </cell>
          <cell r="F830" t="str">
            <v>GROCERY &amp; FMCG</v>
          </cell>
          <cell r="G830" t="str">
            <v xml:space="preserve">east </v>
          </cell>
          <cell r="I830" t="str">
            <v>13.2KG</v>
          </cell>
          <cell r="J830" t="str">
            <v xml:space="preserve">Rs 306 </v>
          </cell>
          <cell r="K830">
            <v>8</v>
          </cell>
          <cell r="L830" t="str">
            <v>12/01/2024</v>
          </cell>
          <cell r="M830" t="str">
            <v>DELAYED</v>
          </cell>
          <cell r="N830">
            <v>1</v>
          </cell>
          <cell r="O830" t="str">
            <v>no</v>
          </cell>
        </row>
        <row r="831">
          <cell r="A831" t="str">
            <v>SHP-101079</v>
          </cell>
          <cell r="B831" t="str">
            <v>25/04/2024</v>
          </cell>
          <cell r="C831" t="str">
            <v>Kolkata</v>
          </cell>
          <cell r="D831" t="str">
            <v>Xpress Bees</v>
          </cell>
          <cell r="E831" t="str">
            <v>Surface</v>
          </cell>
          <cell r="F831" t="str">
            <v>Automotive Parts</v>
          </cell>
          <cell r="G831" t="str">
            <v xml:space="preserve">south </v>
          </cell>
          <cell r="I831" t="str">
            <v>13.2KG</v>
          </cell>
          <cell r="J831" t="str">
            <v>₹443</v>
          </cell>
          <cell r="K831">
            <v>6</v>
          </cell>
          <cell r="L831" t="str">
            <v>02/05/2024</v>
          </cell>
          <cell r="M831" t="str">
            <v xml:space="preserve">delayed </v>
          </cell>
          <cell r="N831">
            <v>2</v>
          </cell>
          <cell r="O831" t="str">
            <v>N</v>
          </cell>
        </row>
        <row r="832">
          <cell r="A832" t="str">
            <v>SHP-100279</v>
          </cell>
          <cell r="B832" t="str">
            <v xml:space="preserve"> 10/02/2024 </v>
          </cell>
          <cell r="C832" t="str">
            <v xml:space="preserve"> BENGALURU </v>
          </cell>
          <cell r="D832" t="str">
            <v>Xpress Bees</v>
          </cell>
          <cell r="E832" t="str">
            <v>AIR</v>
          </cell>
          <cell r="F832" t="str">
            <v xml:space="preserve"> PHARMA </v>
          </cell>
          <cell r="G832" t="str">
            <v xml:space="preserve"> SOUTH </v>
          </cell>
          <cell r="I832" t="str">
            <v xml:space="preserve">4.0 Kg </v>
          </cell>
          <cell r="J832" t="str">
            <v xml:space="preserve">Rs 198 </v>
          </cell>
          <cell r="K832">
            <v>2</v>
          </cell>
          <cell r="L832" t="str">
            <v>13/02/2024</v>
          </cell>
          <cell r="M832" t="str">
            <v xml:space="preserve"> Delayed</v>
          </cell>
          <cell r="N832">
            <v>2</v>
          </cell>
          <cell r="O832" t="str">
            <v>N</v>
          </cell>
        </row>
        <row r="833">
          <cell r="A833" t="str">
            <v>SHP-100390</v>
          </cell>
          <cell r="B833" t="str">
            <v xml:space="preserve"> 06/03/2024 </v>
          </cell>
          <cell r="C833" t="str">
            <v xml:space="preserve">chennai </v>
          </cell>
          <cell r="D833" t="str">
            <v xml:space="preserve"> Delhivery</v>
          </cell>
          <cell r="E833" t="str">
            <v xml:space="preserve"> AIR </v>
          </cell>
          <cell r="F833" t="str">
            <v>automotive parts</v>
          </cell>
          <cell r="G833" t="str">
            <v xml:space="preserve"> SOUTH </v>
          </cell>
          <cell r="I833" t="str">
            <v>26.6</v>
          </cell>
          <cell r="J833" t="str">
            <v xml:space="preserve">Rs 1191 </v>
          </cell>
          <cell r="K833">
            <v>2</v>
          </cell>
          <cell r="L833" t="str">
            <v xml:space="preserve"> 12/03/2024 </v>
          </cell>
          <cell r="M833" t="str">
            <v xml:space="preserve">delayed </v>
          </cell>
          <cell r="N833">
            <v>5</v>
          </cell>
          <cell r="O833" t="str">
            <v>N</v>
          </cell>
        </row>
        <row r="834">
          <cell r="A834" t="str">
            <v>SHP-100164</v>
          </cell>
          <cell r="B834" t="str">
            <v>10/01/2024</v>
          </cell>
          <cell r="C834" t="str">
            <v xml:space="preserve">chennai </v>
          </cell>
          <cell r="D834" t="str">
            <v>bluedart</v>
          </cell>
          <cell r="E834" t="str">
            <v>Air</v>
          </cell>
          <cell r="F834" t="str">
            <v>PHARMA</v>
          </cell>
          <cell r="G834" t="str">
            <v xml:space="preserve">south </v>
          </cell>
          <cell r="I834" t="str">
            <v>1.4KG</v>
          </cell>
          <cell r="J834" t="str">
            <v xml:space="preserve">Rs 80 </v>
          </cell>
          <cell r="K834">
            <v>2</v>
          </cell>
          <cell r="L834" t="str">
            <v xml:space="preserve"> 11/01/2024 </v>
          </cell>
          <cell r="M834" t="str">
            <v>DELIVERED</v>
          </cell>
          <cell r="N834">
            <v>4</v>
          </cell>
          <cell r="O834" t="str">
            <v>Y</v>
          </cell>
        </row>
        <row r="835">
          <cell r="A835" t="str">
            <v>SHP-100129</v>
          </cell>
          <cell r="B835" t="str">
            <v>2024-02-20</v>
          </cell>
          <cell r="C835" t="str">
            <v>bengaluru</v>
          </cell>
          <cell r="D835" t="str">
            <v>xpressbees</v>
          </cell>
          <cell r="E835" t="str">
            <v xml:space="preserve"> ROAD </v>
          </cell>
          <cell r="F835" t="str">
            <v>APPAREL</v>
          </cell>
          <cell r="G835" t="str">
            <v>NORTH</v>
          </cell>
          <cell r="I835" t="str">
            <v xml:space="preserve">5.0 Kg </v>
          </cell>
          <cell r="J835" t="str">
            <v xml:space="preserve">Rs 232 </v>
          </cell>
          <cell r="K835">
            <v>8</v>
          </cell>
          <cell r="L835" t="str">
            <v>2024-03-01</v>
          </cell>
          <cell r="M835" t="str">
            <v>returned</v>
          </cell>
          <cell r="O835" t="str">
            <v>Y</v>
          </cell>
        </row>
        <row r="836">
          <cell r="A836" t="str">
            <v>SHP-100872</v>
          </cell>
          <cell r="B836" t="str">
            <v>24/05/2024</v>
          </cell>
          <cell r="C836" t="str">
            <v xml:space="preserve"> HYDERABAD </v>
          </cell>
          <cell r="D836" t="str">
            <v xml:space="preserve"> Delhivery</v>
          </cell>
          <cell r="E836" t="str">
            <v xml:space="preserve">surface </v>
          </cell>
          <cell r="F836" t="str">
            <v>Furniture</v>
          </cell>
          <cell r="G836" t="str">
            <v>West</v>
          </cell>
          <cell r="I836" t="str">
            <v>59.3</v>
          </cell>
          <cell r="J836" t="str">
            <v xml:space="preserve">Rs 1278 </v>
          </cell>
          <cell r="K836">
            <v>4</v>
          </cell>
          <cell r="L836" t="str">
            <v xml:space="preserve"> 28/05/2024 </v>
          </cell>
          <cell r="M836" t="str">
            <v>DELIVERED</v>
          </cell>
          <cell r="N836">
            <v>4</v>
          </cell>
          <cell r="O836" t="str">
            <v xml:space="preserve"> No</v>
          </cell>
        </row>
        <row r="837">
          <cell r="A837" t="str">
            <v>SHP-100850</v>
          </cell>
          <cell r="B837" t="str">
            <v xml:space="preserve"> 21/01/2024 </v>
          </cell>
          <cell r="C837" t="str">
            <v>delhi</v>
          </cell>
          <cell r="D837" t="str">
            <v>Blue Dart</v>
          </cell>
          <cell r="E837" t="str">
            <v xml:space="preserve">surface </v>
          </cell>
          <cell r="F837" t="str">
            <v xml:space="preserve"> FURNITURE </v>
          </cell>
          <cell r="G837" t="str">
            <v>west</v>
          </cell>
          <cell r="I837" t="str">
            <v>44.9KG</v>
          </cell>
          <cell r="J837" t="str">
            <v>1,124</v>
          </cell>
          <cell r="K837">
            <v>6</v>
          </cell>
          <cell r="L837" t="str">
            <v xml:space="preserve"> 27/01/2024 </v>
          </cell>
          <cell r="M837" t="str">
            <v xml:space="preserve"> Delivered</v>
          </cell>
          <cell r="N837">
            <v>5</v>
          </cell>
          <cell r="O837" t="str">
            <v>no</v>
          </cell>
        </row>
        <row r="838">
          <cell r="A838" t="str">
            <v>SHP-100558</v>
          </cell>
          <cell r="B838" t="str">
            <v>13/06/2024</v>
          </cell>
          <cell r="C838" t="str">
            <v>hyderabad</v>
          </cell>
          <cell r="D838" t="str">
            <v>Blue Dart</v>
          </cell>
          <cell r="E838" t="str">
            <v>Surface</v>
          </cell>
          <cell r="F838" t="str">
            <v>pharma</v>
          </cell>
          <cell r="G838" t="str">
            <v xml:space="preserve">west </v>
          </cell>
          <cell r="I838" t="str">
            <v>3.3</v>
          </cell>
          <cell r="J838" t="str">
            <v>84</v>
          </cell>
          <cell r="K838">
            <v>4</v>
          </cell>
          <cell r="L838" t="str">
            <v xml:space="preserve"> 16/06/2024 </v>
          </cell>
          <cell r="M838" t="str">
            <v>DELIVERED</v>
          </cell>
          <cell r="N838">
            <v>5</v>
          </cell>
          <cell r="O838" t="str">
            <v>N</v>
          </cell>
        </row>
        <row r="839">
          <cell r="A839" t="str">
            <v>SHP-100400</v>
          </cell>
          <cell r="B839" t="str">
            <v>24/04/2024</v>
          </cell>
          <cell r="C839" t="str">
            <v>Kolkata</v>
          </cell>
          <cell r="D839" t="str">
            <v xml:space="preserve"> Delhivery</v>
          </cell>
          <cell r="E839" t="str">
            <v>surface</v>
          </cell>
          <cell r="F839" t="str">
            <v>Electronics</v>
          </cell>
          <cell r="G839" t="str">
            <v xml:space="preserve"> NORTH </v>
          </cell>
          <cell r="I839" t="str">
            <v>11.8</v>
          </cell>
          <cell r="J839" t="str">
            <v xml:space="preserve">Rs 425 </v>
          </cell>
          <cell r="K839">
            <v>6</v>
          </cell>
          <cell r="L839" t="str">
            <v>30/04/2024</v>
          </cell>
          <cell r="M839" t="str">
            <v xml:space="preserve"> Delivered</v>
          </cell>
          <cell r="N839">
            <v>4</v>
          </cell>
          <cell r="O839" t="str">
            <v>No</v>
          </cell>
        </row>
        <row r="840">
          <cell r="A840" t="str">
            <v>SHP-100730</v>
          </cell>
          <cell r="B840" t="str">
            <v xml:space="preserve"> 21/05/2024 </v>
          </cell>
          <cell r="C840" t="str">
            <v xml:space="preserve"> DELHI </v>
          </cell>
          <cell r="D840" t="str">
            <v>bluedart</v>
          </cell>
          <cell r="E840" t="str">
            <v xml:space="preserve">road </v>
          </cell>
          <cell r="F840" t="str">
            <v xml:space="preserve">furniture </v>
          </cell>
          <cell r="G840" t="str">
            <v>SOUTH</v>
          </cell>
          <cell r="I840" t="str">
            <v xml:space="preserve">33.6 Kg </v>
          </cell>
          <cell r="J840" t="str">
            <v>673</v>
          </cell>
          <cell r="K840">
            <v>8</v>
          </cell>
          <cell r="L840" t="str">
            <v xml:space="preserve"> 30/05/2024 </v>
          </cell>
          <cell r="M840" t="str">
            <v xml:space="preserve"> Delayed</v>
          </cell>
          <cell r="N840">
            <v>5</v>
          </cell>
          <cell r="O840" t="str">
            <v xml:space="preserve"> No</v>
          </cell>
        </row>
        <row r="841">
          <cell r="A841" t="str">
            <v>SHP-100303</v>
          </cell>
          <cell r="B841" t="str">
            <v xml:space="preserve"> 20/03/2024 </v>
          </cell>
          <cell r="C841" t="str">
            <v xml:space="preserve"> DELHI </v>
          </cell>
          <cell r="D841" t="str">
            <v>dtdc</v>
          </cell>
          <cell r="E841" t="str">
            <v xml:space="preserve"> SURFACE </v>
          </cell>
          <cell r="F841" t="str">
            <v xml:space="preserve"> APPAREL </v>
          </cell>
          <cell r="G841" t="str">
            <v xml:space="preserve">north </v>
          </cell>
          <cell r="I841" t="str">
            <v>6.1</v>
          </cell>
          <cell r="J841" t="str">
            <v>₹137</v>
          </cell>
          <cell r="K841">
            <v>4</v>
          </cell>
          <cell r="L841" t="str">
            <v>27/03/2024</v>
          </cell>
          <cell r="M841" t="str">
            <v>Delayed</v>
          </cell>
          <cell r="N841">
            <v>4</v>
          </cell>
          <cell r="O841" t="str">
            <v>no</v>
          </cell>
        </row>
        <row r="842">
          <cell r="A842" t="str">
            <v>SHP-100335</v>
          </cell>
          <cell r="B842" t="str">
            <v xml:space="preserve"> 01/05/2024 </v>
          </cell>
          <cell r="C842" t="str">
            <v>BENGALURU</v>
          </cell>
          <cell r="D842" t="str">
            <v>Delhivery</v>
          </cell>
          <cell r="E842" t="str">
            <v>AIR</v>
          </cell>
          <cell r="F842" t="str">
            <v xml:space="preserve"> PHARMA </v>
          </cell>
          <cell r="G842" t="str">
            <v xml:space="preserve"> NORTH </v>
          </cell>
          <cell r="I842" t="str">
            <v>3.3KG</v>
          </cell>
          <cell r="J842" t="str">
            <v xml:space="preserve">Rs 319 </v>
          </cell>
          <cell r="K842">
            <v>4</v>
          </cell>
          <cell r="L842" t="str">
            <v>2024-05-06</v>
          </cell>
          <cell r="M842" t="str">
            <v>Delayed</v>
          </cell>
          <cell r="N842">
            <v>2</v>
          </cell>
          <cell r="O842" t="str">
            <v>N</v>
          </cell>
        </row>
        <row r="843">
          <cell r="A843" t="str">
            <v>SHP-101029</v>
          </cell>
          <cell r="B843" t="str">
            <v>08/05/2024</v>
          </cell>
          <cell r="C843" t="str">
            <v xml:space="preserve"> KOLKATA </v>
          </cell>
          <cell r="D843" t="str">
            <v>XpressBees</v>
          </cell>
          <cell r="E843" t="str">
            <v xml:space="preserve">road </v>
          </cell>
          <cell r="F843" t="str">
            <v xml:space="preserve">grocery &amp; fmcg </v>
          </cell>
          <cell r="G843" t="str">
            <v xml:space="preserve"> NORTH </v>
          </cell>
          <cell r="I843" t="str">
            <v>3.2KG</v>
          </cell>
          <cell r="J843" t="str">
            <v>212</v>
          </cell>
          <cell r="K843">
            <v>8</v>
          </cell>
          <cell r="L843" t="str">
            <v>2024-05-17</v>
          </cell>
          <cell r="M843" t="str">
            <v xml:space="preserve">delayed </v>
          </cell>
          <cell r="N843">
            <v>1</v>
          </cell>
          <cell r="O843" t="str">
            <v>YES</v>
          </cell>
        </row>
        <row r="844">
          <cell r="A844" t="str">
            <v>SHP-100413</v>
          </cell>
          <cell r="B844" t="str">
            <v>13/02/2024</v>
          </cell>
          <cell r="C844" t="str">
            <v>mumbai</v>
          </cell>
          <cell r="D844" t="str">
            <v>BlueDart</v>
          </cell>
          <cell r="E844" t="str">
            <v xml:space="preserve"> ROAD </v>
          </cell>
          <cell r="F844" t="str">
            <v>GROCERY &amp; FMCG</v>
          </cell>
          <cell r="G844" t="str">
            <v>NORTH</v>
          </cell>
          <cell r="I844" t="str">
            <v>14.1</v>
          </cell>
          <cell r="J844" t="str">
            <v xml:space="preserve">Rs 380 </v>
          </cell>
          <cell r="K844">
            <v>8</v>
          </cell>
          <cell r="L844" t="str">
            <v xml:space="preserve"> 22/02/2024 </v>
          </cell>
          <cell r="M844" t="str">
            <v xml:space="preserve"> Delayed</v>
          </cell>
          <cell r="N844">
            <v>3</v>
          </cell>
          <cell r="O844" t="str">
            <v>no</v>
          </cell>
        </row>
        <row r="845">
          <cell r="A845" t="str">
            <v>SHP-100653</v>
          </cell>
          <cell r="B845" t="str">
            <v>04-Jan-2024</v>
          </cell>
          <cell r="C845" t="str">
            <v xml:space="preserve"> HYDERABAD </v>
          </cell>
          <cell r="D845" t="str">
            <v xml:space="preserve">Dtdc </v>
          </cell>
          <cell r="E845" t="str">
            <v>air</v>
          </cell>
          <cell r="F845" t="str">
            <v xml:space="preserve">apparel </v>
          </cell>
          <cell r="G845" t="str">
            <v>North</v>
          </cell>
          <cell r="I845" t="str">
            <v xml:space="preserve">6.9 Kg </v>
          </cell>
          <cell r="J845" t="str">
            <v xml:space="preserve">Rs 431 </v>
          </cell>
          <cell r="K845">
            <v>4</v>
          </cell>
          <cell r="L845" t="str">
            <v>08-Jan-2024</v>
          </cell>
          <cell r="M845" t="str">
            <v>Delivered</v>
          </cell>
          <cell r="N845">
            <v>5</v>
          </cell>
          <cell r="O845" t="str">
            <v>Y</v>
          </cell>
        </row>
        <row r="846">
          <cell r="A846" t="str">
            <v>SHP-100598</v>
          </cell>
          <cell r="B846" t="str">
            <v xml:space="preserve"> 06/05/2024 </v>
          </cell>
          <cell r="C846" t="str">
            <v>kolkata</v>
          </cell>
          <cell r="D846" t="str">
            <v>delhivery</v>
          </cell>
          <cell r="E846" t="str">
            <v>AIR</v>
          </cell>
          <cell r="F846" t="str">
            <v>Apparel</v>
          </cell>
          <cell r="G846" t="str">
            <v xml:space="preserve"> EAST </v>
          </cell>
          <cell r="I846" t="str">
            <v>1.9</v>
          </cell>
          <cell r="J846" t="str">
            <v xml:space="preserve">Rs 80 </v>
          </cell>
          <cell r="K846">
            <v>2</v>
          </cell>
          <cell r="L846" t="str">
            <v xml:space="preserve"> 15/05/2024 </v>
          </cell>
          <cell r="M846" t="str">
            <v>Delayed</v>
          </cell>
          <cell r="N846">
            <v>4</v>
          </cell>
          <cell r="O846" t="str">
            <v>N</v>
          </cell>
        </row>
        <row r="847">
          <cell r="A847" t="str">
            <v>SHP-100794</v>
          </cell>
          <cell r="B847" t="str">
            <v>19-Mar-2024</v>
          </cell>
          <cell r="C847" t="str">
            <v>mumbai</v>
          </cell>
          <cell r="D847" t="str">
            <v>XpressBees</v>
          </cell>
          <cell r="E847" t="str">
            <v>Surface</v>
          </cell>
          <cell r="F847" t="str">
            <v xml:space="preserve">apparel </v>
          </cell>
          <cell r="G847" t="str">
            <v>south</v>
          </cell>
          <cell r="I847" t="str">
            <v>3.7KG</v>
          </cell>
          <cell r="J847" t="str">
            <v xml:space="preserve">Rs 232 </v>
          </cell>
          <cell r="K847">
            <v>6</v>
          </cell>
          <cell r="L847" t="str">
            <v>25/03/2024</v>
          </cell>
          <cell r="M847" t="str">
            <v xml:space="preserve"> Delivered</v>
          </cell>
          <cell r="N847">
            <v>4</v>
          </cell>
          <cell r="O847" t="str">
            <v>YES</v>
          </cell>
        </row>
        <row r="848">
          <cell r="A848" t="str">
            <v>SHP-100489</v>
          </cell>
          <cell r="B848" t="str">
            <v>04/03/2024</v>
          </cell>
          <cell r="C848" t="str">
            <v xml:space="preserve"> HYDERABAD </v>
          </cell>
          <cell r="D848" t="str">
            <v xml:space="preserve">Dtdc </v>
          </cell>
          <cell r="E848" t="str">
            <v xml:space="preserve"> AIR </v>
          </cell>
          <cell r="F848" t="str">
            <v>automotive parts</v>
          </cell>
          <cell r="G848" t="str">
            <v>South</v>
          </cell>
          <cell r="I848" t="str">
            <v>12.5</v>
          </cell>
          <cell r="J848" t="str">
            <v xml:space="preserve">Rs 702 </v>
          </cell>
          <cell r="K848">
            <v>4</v>
          </cell>
          <cell r="L848" t="str">
            <v xml:space="preserve"> 07/03/2024 </v>
          </cell>
          <cell r="M848" t="str">
            <v xml:space="preserve"> Delivered</v>
          </cell>
          <cell r="N848">
            <v>3</v>
          </cell>
          <cell r="O848" t="str">
            <v>no</v>
          </cell>
        </row>
        <row r="849">
          <cell r="A849" t="str">
            <v>SHP-101126</v>
          </cell>
          <cell r="B849" t="str">
            <v>2024-03-14</v>
          </cell>
          <cell r="C849" t="str">
            <v>hyderabad</v>
          </cell>
          <cell r="D849" t="str">
            <v>Xpress Bees</v>
          </cell>
          <cell r="E849" t="str">
            <v xml:space="preserve"> AIR </v>
          </cell>
          <cell r="F849" t="str">
            <v xml:space="preserve">  GROCERY &amp; FMCG </v>
          </cell>
          <cell r="G849" t="str">
            <v>SOUTH</v>
          </cell>
          <cell r="I849" t="str">
            <v>17.7kg</v>
          </cell>
          <cell r="J849" t="str">
            <v xml:space="preserve">Rs 953 </v>
          </cell>
          <cell r="K849">
            <v>4</v>
          </cell>
          <cell r="L849" t="str">
            <v xml:space="preserve"> 26/03/2024 </v>
          </cell>
          <cell r="M849" t="str">
            <v>DELAYED</v>
          </cell>
          <cell r="N849">
            <v>5</v>
          </cell>
          <cell r="O849" t="str">
            <v>N</v>
          </cell>
        </row>
        <row r="850">
          <cell r="A850" t="str">
            <v>SHP-101023</v>
          </cell>
          <cell r="B850" t="str">
            <v>22/03/2024</v>
          </cell>
          <cell r="C850" t="str">
            <v>kolkata</v>
          </cell>
          <cell r="D850" t="str">
            <v xml:space="preserve">Dtdc </v>
          </cell>
          <cell r="E850" t="str">
            <v xml:space="preserve"> ROAD </v>
          </cell>
          <cell r="F850" t="str">
            <v xml:space="preserve">grocery &amp; fmcg </v>
          </cell>
          <cell r="G850" t="str">
            <v xml:space="preserve">east </v>
          </cell>
          <cell r="I850" t="str">
            <v xml:space="preserve">2.5 Kg </v>
          </cell>
          <cell r="J850" t="str">
            <v>80</v>
          </cell>
          <cell r="K850">
            <v>6</v>
          </cell>
          <cell r="L850" t="str">
            <v>01/04/2024</v>
          </cell>
          <cell r="M850" t="str">
            <v xml:space="preserve">delayed </v>
          </cell>
          <cell r="N850">
            <v>3</v>
          </cell>
          <cell r="O850" t="str">
            <v xml:space="preserve">yes </v>
          </cell>
        </row>
        <row r="851">
          <cell r="A851" t="str">
            <v>SHP-101322</v>
          </cell>
          <cell r="B851" t="str">
            <v>09-May-2024</v>
          </cell>
          <cell r="C851" t="str">
            <v xml:space="preserve">delhi </v>
          </cell>
          <cell r="D851" t="str">
            <v>DTDC</v>
          </cell>
          <cell r="E851" t="str">
            <v>surface</v>
          </cell>
          <cell r="F851" t="str">
            <v>Pharma</v>
          </cell>
          <cell r="G851" t="str">
            <v>WEST</v>
          </cell>
          <cell r="I851" t="str">
            <v>2.7KG</v>
          </cell>
          <cell r="J851" t="str">
            <v>261</v>
          </cell>
          <cell r="K851">
            <v>6</v>
          </cell>
          <cell r="L851" t="str">
            <v>2024-05-16</v>
          </cell>
          <cell r="M851" t="str">
            <v xml:space="preserve"> Delayed</v>
          </cell>
          <cell r="N851">
            <v>3</v>
          </cell>
          <cell r="O851" t="str">
            <v xml:space="preserve"> No</v>
          </cell>
        </row>
        <row r="852">
          <cell r="A852" t="str">
            <v>SHP-101086</v>
          </cell>
          <cell r="B852" t="str">
            <v>2024-05-23</v>
          </cell>
          <cell r="C852" t="str">
            <v>mumbai</v>
          </cell>
          <cell r="D852" t="str">
            <v>Delhivery</v>
          </cell>
          <cell r="E852" t="str">
            <v>SURFACE</v>
          </cell>
          <cell r="F852" t="str">
            <v>furniture</v>
          </cell>
          <cell r="G852" t="str">
            <v>north</v>
          </cell>
          <cell r="I852" t="str">
            <v>79.6</v>
          </cell>
          <cell r="J852" t="str">
            <v xml:space="preserve">Rs 1897 </v>
          </cell>
          <cell r="K852">
            <v>6</v>
          </cell>
          <cell r="L852" t="str">
            <v>30/05/2024</v>
          </cell>
          <cell r="M852" t="str">
            <v>Damaged</v>
          </cell>
          <cell r="O852" t="str">
            <v>YES</v>
          </cell>
        </row>
        <row r="853">
          <cell r="A853" t="str">
            <v>SHP-101521</v>
          </cell>
          <cell r="B853" t="str">
            <v>2024-01-17</v>
          </cell>
          <cell r="C853" t="str">
            <v>MUMBAI</v>
          </cell>
          <cell r="D853" t="str">
            <v>dtdc</v>
          </cell>
          <cell r="E853" t="str">
            <v>Surface</v>
          </cell>
          <cell r="F853" t="str">
            <v xml:space="preserve">automotive parts </v>
          </cell>
          <cell r="G853" t="str">
            <v>EAST</v>
          </cell>
          <cell r="I853" t="str">
            <v>25.4</v>
          </cell>
          <cell r="J853" t="str">
            <v xml:space="preserve">Rs 713 </v>
          </cell>
          <cell r="K853">
            <v>6</v>
          </cell>
          <cell r="L853" t="str">
            <v>2024-01-24</v>
          </cell>
          <cell r="M853" t="str">
            <v>Delayed</v>
          </cell>
          <cell r="N853">
            <v>4</v>
          </cell>
          <cell r="O853" t="str">
            <v>YES</v>
          </cell>
        </row>
        <row r="854">
          <cell r="A854" t="str">
            <v>SHP-100172</v>
          </cell>
          <cell r="B854" t="str">
            <v>14/03/2024</v>
          </cell>
          <cell r="C854" t="str">
            <v xml:space="preserve"> KOLKATA </v>
          </cell>
          <cell r="D854" t="str">
            <v xml:space="preserve"> DTDC</v>
          </cell>
          <cell r="E854" t="str">
            <v>SURFACE</v>
          </cell>
          <cell r="F854" t="str">
            <v xml:space="preserve"> PHARMA </v>
          </cell>
          <cell r="G854" t="str">
            <v>north</v>
          </cell>
          <cell r="I854" t="str">
            <v xml:space="preserve">3.9 Kg </v>
          </cell>
          <cell r="J854" t="str">
            <v>269</v>
          </cell>
          <cell r="K854">
            <v>6</v>
          </cell>
          <cell r="L854" t="str">
            <v>21/03/2024</v>
          </cell>
          <cell r="M854" t="str">
            <v>DELAYED</v>
          </cell>
          <cell r="N854">
            <v>5</v>
          </cell>
          <cell r="O854" t="str">
            <v xml:space="preserve"> No</v>
          </cell>
        </row>
        <row r="855">
          <cell r="A855" t="str">
            <v>SHP-100009</v>
          </cell>
          <cell r="B855" t="str">
            <v>2024-05-11</v>
          </cell>
          <cell r="C855" t="str">
            <v>chennai</v>
          </cell>
          <cell r="D855" t="str">
            <v>Ecom Express</v>
          </cell>
          <cell r="E855" t="str">
            <v>surface</v>
          </cell>
          <cell r="F855" t="str">
            <v xml:space="preserve">furniture </v>
          </cell>
          <cell r="G855" t="str">
            <v xml:space="preserve"> WEST </v>
          </cell>
          <cell r="I855" t="str">
            <v xml:space="preserve">54.0 Kg </v>
          </cell>
          <cell r="J855" t="str">
            <v>1,322</v>
          </cell>
          <cell r="K855">
            <v>6</v>
          </cell>
          <cell r="L855" t="str">
            <v>16/05/2024</v>
          </cell>
          <cell r="M855" t="str">
            <v>Delivered</v>
          </cell>
          <cell r="N855">
            <v>4</v>
          </cell>
          <cell r="O855" t="str">
            <v xml:space="preserve"> No</v>
          </cell>
        </row>
        <row r="856">
          <cell r="A856" t="str">
            <v>SHP-100278</v>
          </cell>
          <cell r="B856" t="str">
            <v>13-May-2024</v>
          </cell>
          <cell r="C856" t="str">
            <v>bengaluru</v>
          </cell>
          <cell r="D856" t="str">
            <v xml:space="preserve"> XPRESSBEES</v>
          </cell>
          <cell r="E856" t="str">
            <v xml:space="preserve">road </v>
          </cell>
          <cell r="F856" t="str">
            <v xml:space="preserve">automotive parts </v>
          </cell>
          <cell r="G856" t="str">
            <v>NORTH</v>
          </cell>
          <cell r="I856" t="str">
            <v>5.0kg</v>
          </cell>
          <cell r="J856" t="str">
            <v>240</v>
          </cell>
          <cell r="K856">
            <v>8</v>
          </cell>
          <cell r="L856" t="str">
            <v>20/05/2024</v>
          </cell>
          <cell r="M856" t="str">
            <v>Delivered</v>
          </cell>
          <cell r="N856">
            <v>4</v>
          </cell>
          <cell r="O856" t="str">
            <v>N</v>
          </cell>
        </row>
        <row r="857">
          <cell r="A857" t="str">
            <v>SHP-100616</v>
          </cell>
          <cell r="B857" t="str">
            <v>01/04/2024</v>
          </cell>
          <cell r="C857" t="str">
            <v xml:space="preserve">bengaluru </v>
          </cell>
          <cell r="D857" t="str">
            <v xml:space="preserve"> DTDC</v>
          </cell>
          <cell r="E857" t="str">
            <v>surface</v>
          </cell>
          <cell r="F857" t="str">
            <v xml:space="preserve"> FURNITURE </v>
          </cell>
          <cell r="G857" t="str">
            <v xml:space="preserve">south </v>
          </cell>
          <cell r="I857" t="str">
            <v xml:space="preserve">18.6 Kg </v>
          </cell>
          <cell r="J857" t="str">
            <v>425</v>
          </cell>
          <cell r="K857">
            <v>4</v>
          </cell>
          <cell r="L857" t="str">
            <v>10-Apr-2024</v>
          </cell>
          <cell r="M857" t="str">
            <v xml:space="preserve">delayed </v>
          </cell>
          <cell r="N857">
            <v>2</v>
          </cell>
          <cell r="O857" t="str">
            <v>no</v>
          </cell>
        </row>
        <row r="858">
          <cell r="A858" t="str">
            <v>SHP-101301</v>
          </cell>
          <cell r="B858" t="str">
            <v>03-Apr-2024</v>
          </cell>
          <cell r="C858" t="str">
            <v xml:space="preserve">delhi </v>
          </cell>
          <cell r="D858" t="str">
            <v>Delhivery</v>
          </cell>
          <cell r="E858" t="str">
            <v>surface</v>
          </cell>
          <cell r="F858" t="str">
            <v>Automotive Parts</v>
          </cell>
          <cell r="G858" t="str">
            <v>east</v>
          </cell>
          <cell r="I858" t="str">
            <v>38.6</v>
          </cell>
          <cell r="J858" t="str">
            <v xml:space="preserve">Rs 1014 </v>
          </cell>
          <cell r="K858">
            <v>6</v>
          </cell>
          <cell r="L858" t="str">
            <v>2024-04-10</v>
          </cell>
          <cell r="M858" t="str">
            <v>Delayed</v>
          </cell>
          <cell r="N858">
            <v>1</v>
          </cell>
          <cell r="O858" t="str">
            <v>no</v>
          </cell>
        </row>
        <row r="859">
          <cell r="A859" t="str">
            <v>SHP-100516</v>
          </cell>
          <cell r="B859" t="str">
            <v>02-Feb-2024</v>
          </cell>
          <cell r="C859" t="str">
            <v>KOLKATA</v>
          </cell>
          <cell r="D859" t="str">
            <v>delhivery</v>
          </cell>
          <cell r="E859" t="str">
            <v xml:space="preserve"> AIR </v>
          </cell>
          <cell r="F859" t="str">
            <v>automotive parts</v>
          </cell>
          <cell r="G859" t="str">
            <v>NORTH</v>
          </cell>
          <cell r="I859" t="str">
            <v>22.7kg</v>
          </cell>
          <cell r="J859" t="str">
            <v>1,222</v>
          </cell>
          <cell r="K859">
            <v>4</v>
          </cell>
          <cell r="L859" t="str">
            <v>12-Feb-2024</v>
          </cell>
          <cell r="M859" t="str">
            <v xml:space="preserve">delayed </v>
          </cell>
          <cell r="N859">
            <v>2</v>
          </cell>
          <cell r="O859" t="str">
            <v>No</v>
          </cell>
        </row>
        <row r="860">
          <cell r="A860" t="str">
            <v>SHP-100539</v>
          </cell>
          <cell r="B860" t="str">
            <v>2024-03-14</v>
          </cell>
          <cell r="C860" t="str">
            <v xml:space="preserve">hyderabad </v>
          </cell>
          <cell r="D860" t="str">
            <v>XpressBees</v>
          </cell>
          <cell r="E860" t="str">
            <v>ROAD</v>
          </cell>
          <cell r="F860" t="str">
            <v>Electronics</v>
          </cell>
          <cell r="G860" t="str">
            <v>east</v>
          </cell>
          <cell r="I860" t="str">
            <v>9.6kg</v>
          </cell>
          <cell r="J860" t="str">
            <v>₹293</v>
          </cell>
          <cell r="K860">
            <v>8</v>
          </cell>
          <cell r="L860" t="str">
            <v>2024-03-26</v>
          </cell>
          <cell r="M860" t="str">
            <v xml:space="preserve">delayed </v>
          </cell>
          <cell r="N860">
            <v>3</v>
          </cell>
          <cell r="O860" t="str">
            <v>N</v>
          </cell>
        </row>
        <row r="861">
          <cell r="A861" t="str">
            <v>SHP-100411</v>
          </cell>
          <cell r="B861" t="str">
            <v xml:space="preserve"> 19/03/2024 </v>
          </cell>
          <cell r="C861" t="str">
            <v xml:space="preserve"> CHENNAI </v>
          </cell>
          <cell r="D861" t="str">
            <v>Xpress Bees</v>
          </cell>
          <cell r="E861" t="str">
            <v>surface</v>
          </cell>
          <cell r="F861" t="str">
            <v>Grocery &amp; FMCG</v>
          </cell>
          <cell r="G861" t="str">
            <v>east</v>
          </cell>
          <cell r="I861" t="str">
            <v>13.8KG</v>
          </cell>
          <cell r="J861" t="str">
            <v>471</v>
          </cell>
          <cell r="K861">
            <v>6</v>
          </cell>
          <cell r="L861" t="str">
            <v>24-Mar-2024</v>
          </cell>
          <cell r="M861" t="str">
            <v>DELIVERED</v>
          </cell>
          <cell r="N861">
            <v>5</v>
          </cell>
          <cell r="O861" t="str">
            <v xml:space="preserve"> No</v>
          </cell>
        </row>
        <row r="862">
          <cell r="A862" t="str">
            <v>SHP-100501</v>
          </cell>
          <cell r="B862" t="str">
            <v xml:space="preserve"> 26/01/2024 </v>
          </cell>
          <cell r="C862" t="str">
            <v xml:space="preserve">hyderabad </v>
          </cell>
          <cell r="D862" t="str">
            <v>delhivery</v>
          </cell>
          <cell r="E862" t="str">
            <v xml:space="preserve"> SURFACE </v>
          </cell>
          <cell r="F862" t="str">
            <v xml:space="preserve">  PHARMA </v>
          </cell>
          <cell r="G862" t="str">
            <v>East</v>
          </cell>
          <cell r="I862" t="str">
            <v>2.3</v>
          </cell>
          <cell r="J862" t="str">
            <v>₹177</v>
          </cell>
          <cell r="K862">
            <v>6</v>
          </cell>
          <cell r="L862" t="str">
            <v>02/02/2024</v>
          </cell>
          <cell r="M862" t="str">
            <v>Delayed</v>
          </cell>
          <cell r="N862">
            <v>5</v>
          </cell>
          <cell r="O862" t="str">
            <v>Y</v>
          </cell>
        </row>
        <row r="863">
          <cell r="A863" t="str">
            <v>SHP-100327</v>
          </cell>
          <cell r="B863" t="str">
            <v>2024-05-20</v>
          </cell>
          <cell r="C863" t="str">
            <v>hyderabad</v>
          </cell>
          <cell r="D863" t="str">
            <v>dtdc</v>
          </cell>
          <cell r="E863" t="str">
            <v>AIR</v>
          </cell>
          <cell r="F863" t="str">
            <v>automotive parts</v>
          </cell>
          <cell r="G863" t="str">
            <v>east</v>
          </cell>
          <cell r="I863" t="str">
            <v xml:space="preserve">30.4 Kg </v>
          </cell>
          <cell r="J863" t="str">
            <v xml:space="preserve">Rs 1552 </v>
          </cell>
          <cell r="K863">
            <v>4</v>
          </cell>
          <cell r="L863" t="str">
            <v>25-May-2024</v>
          </cell>
          <cell r="M863" t="str">
            <v>DELAYED</v>
          </cell>
          <cell r="N863">
            <v>4</v>
          </cell>
          <cell r="O863" t="str">
            <v>N</v>
          </cell>
        </row>
        <row r="864">
          <cell r="A864" t="str">
            <v>SHP-100414</v>
          </cell>
          <cell r="B864" t="str">
            <v>15/06/2024</v>
          </cell>
          <cell r="C864" t="str">
            <v>Mumbai</v>
          </cell>
          <cell r="D864" t="str">
            <v>xpressbees</v>
          </cell>
          <cell r="E864" t="str">
            <v>road</v>
          </cell>
          <cell r="F864" t="str">
            <v>Electronics</v>
          </cell>
          <cell r="G864" t="str">
            <v xml:space="preserve">north </v>
          </cell>
          <cell r="I864" t="str">
            <v xml:space="preserve">8.7 Kg </v>
          </cell>
          <cell r="J864" t="str">
            <v xml:space="preserve">Rs 274 </v>
          </cell>
          <cell r="K864">
            <v>8</v>
          </cell>
          <cell r="L864" t="str">
            <v xml:space="preserve"> 24/06/2024 </v>
          </cell>
          <cell r="M864" t="str">
            <v xml:space="preserve"> Delayed</v>
          </cell>
          <cell r="N864">
            <v>4</v>
          </cell>
          <cell r="O864" t="str">
            <v>No</v>
          </cell>
        </row>
        <row r="865">
          <cell r="A865" t="str">
            <v>SHP-100986</v>
          </cell>
          <cell r="B865" t="str">
            <v>2024-05-19</v>
          </cell>
          <cell r="C865" t="str">
            <v xml:space="preserve"> KOLKATA </v>
          </cell>
          <cell r="D865" t="str">
            <v xml:space="preserve">BLUEDART </v>
          </cell>
          <cell r="E865" t="str">
            <v>surface</v>
          </cell>
          <cell r="F865" t="str">
            <v>electronics</v>
          </cell>
          <cell r="G865" t="str">
            <v>NORTH</v>
          </cell>
          <cell r="I865" t="str">
            <v>14.6</v>
          </cell>
          <cell r="J865" t="str">
            <v>₹514</v>
          </cell>
          <cell r="K865">
            <v>6</v>
          </cell>
          <cell r="L865" t="str">
            <v>25-May-2024</v>
          </cell>
          <cell r="M865" t="str">
            <v>delivered</v>
          </cell>
          <cell r="N865">
            <v>4</v>
          </cell>
          <cell r="O865" t="str">
            <v>N</v>
          </cell>
        </row>
        <row r="866">
          <cell r="A866" t="str">
            <v>SHP-100907</v>
          </cell>
          <cell r="B866" t="str">
            <v xml:space="preserve"> 08/02/2024 </v>
          </cell>
          <cell r="C866" t="str">
            <v xml:space="preserve">chennai </v>
          </cell>
          <cell r="D866" t="str">
            <v>ecom express</v>
          </cell>
          <cell r="E866" t="str">
            <v xml:space="preserve"> AIR </v>
          </cell>
          <cell r="F866" t="str">
            <v>grocery &amp; fmcg</v>
          </cell>
          <cell r="G866" t="str">
            <v>East</v>
          </cell>
          <cell r="I866" t="str">
            <v>17.2kg</v>
          </cell>
          <cell r="J866" t="str">
            <v>₹954</v>
          </cell>
          <cell r="K866">
            <v>4</v>
          </cell>
          <cell r="L866" t="str">
            <v>2024-02-12</v>
          </cell>
          <cell r="M866" t="str">
            <v>delivered</v>
          </cell>
          <cell r="N866">
            <v>5</v>
          </cell>
          <cell r="O866" t="str">
            <v>Y</v>
          </cell>
        </row>
        <row r="867">
          <cell r="A867" t="str">
            <v>SHP-100165</v>
          </cell>
          <cell r="B867" t="str">
            <v>2024-03-07</v>
          </cell>
          <cell r="C867" t="str">
            <v xml:space="preserve">bengaluru </v>
          </cell>
          <cell r="D867" t="str">
            <v>xpressbees</v>
          </cell>
          <cell r="E867" t="str">
            <v xml:space="preserve"> SURFACE </v>
          </cell>
          <cell r="F867" t="str">
            <v xml:space="preserve"> AUTOMOTIVE PARTS </v>
          </cell>
          <cell r="G867" t="str">
            <v>north</v>
          </cell>
          <cell r="I867" t="str">
            <v>37.7</v>
          </cell>
          <cell r="J867" t="str">
            <v>955</v>
          </cell>
          <cell r="K867">
            <v>6</v>
          </cell>
          <cell r="L867" t="str">
            <v>14-Mar-2024</v>
          </cell>
          <cell r="M867" t="str">
            <v>Delayed</v>
          </cell>
          <cell r="N867">
            <v>2</v>
          </cell>
          <cell r="O867" t="str">
            <v>No</v>
          </cell>
        </row>
        <row r="868">
          <cell r="A868" t="str">
            <v>SHP-100626</v>
          </cell>
          <cell r="B868" t="str">
            <v xml:space="preserve"> 05/04/2024 </v>
          </cell>
          <cell r="C868" t="str">
            <v>HYDERABAD</v>
          </cell>
          <cell r="D868" t="str">
            <v xml:space="preserve"> DTDC</v>
          </cell>
          <cell r="E868" t="str">
            <v>Road</v>
          </cell>
          <cell r="F868" t="str">
            <v>AUTOMOTIVE PARTS</v>
          </cell>
          <cell r="G868" t="str">
            <v>east</v>
          </cell>
          <cell r="I868" t="str">
            <v>25.5KG</v>
          </cell>
          <cell r="J868" t="str">
            <v>541</v>
          </cell>
          <cell r="K868">
            <v>8</v>
          </cell>
          <cell r="L868" t="str">
            <v xml:space="preserve"> 13/04/2024 </v>
          </cell>
          <cell r="M868" t="str">
            <v xml:space="preserve"> Delivered</v>
          </cell>
          <cell r="N868">
            <v>4</v>
          </cell>
          <cell r="O868" t="str">
            <v>N</v>
          </cell>
        </row>
        <row r="869">
          <cell r="A869" t="str">
            <v>SHP-100914</v>
          </cell>
          <cell r="B869" t="str">
            <v xml:space="preserve"> 17/04/2024 </v>
          </cell>
          <cell r="C869" t="str">
            <v>Hyderabad</v>
          </cell>
          <cell r="D869" t="str">
            <v>Blue Dart</v>
          </cell>
          <cell r="E869" t="str">
            <v>Road</v>
          </cell>
          <cell r="F869" t="str">
            <v>Grocery &amp; FMCG</v>
          </cell>
          <cell r="G869" t="str">
            <v xml:space="preserve"> EAST </v>
          </cell>
          <cell r="I869" t="str">
            <v xml:space="preserve">8.9 Kg </v>
          </cell>
          <cell r="J869" t="str">
            <v>₹291</v>
          </cell>
          <cell r="K869">
            <v>8</v>
          </cell>
          <cell r="L869" t="str">
            <v>26-Apr-2024</v>
          </cell>
          <cell r="M869" t="str">
            <v xml:space="preserve">delayed </v>
          </cell>
          <cell r="N869">
            <v>1</v>
          </cell>
          <cell r="O869" t="str">
            <v>Y</v>
          </cell>
        </row>
        <row r="870">
          <cell r="A870" t="str">
            <v>SHP-100895</v>
          </cell>
          <cell r="B870" t="str">
            <v>2024-01-26</v>
          </cell>
          <cell r="C870" t="str">
            <v xml:space="preserve"> DELHI </v>
          </cell>
          <cell r="D870" t="str">
            <v xml:space="preserve">BLUEDART </v>
          </cell>
          <cell r="E870" t="str">
            <v>SURFACE</v>
          </cell>
          <cell r="F870" t="str">
            <v>pharma</v>
          </cell>
          <cell r="G870" t="str">
            <v>south</v>
          </cell>
          <cell r="I870" t="str">
            <v>4.0</v>
          </cell>
          <cell r="J870" t="str">
            <v>₹289</v>
          </cell>
          <cell r="K870">
            <v>6</v>
          </cell>
          <cell r="L870" t="str">
            <v>31/01/2024</v>
          </cell>
          <cell r="M870" t="str">
            <v>Delivered</v>
          </cell>
          <cell r="N870">
            <v>4</v>
          </cell>
          <cell r="O870" t="str">
            <v xml:space="preserve"> No</v>
          </cell>
        </row>
        <row r="871">
          <cell r="A871" t="str">
            <v>SHP-101578</v>
          </cell>
          <cell r="B871" t="str">
            <v>2024-05-23</v>
          </cell>
          <cell r="C871" t="str">
            <v>Mumbai</v>
          </cell>
          <cell r="D871" t="str">
            <v>Xpress Bees</v>
          </cell>
          <cell r="E871" t="str">
            <v xml:space="preserve"> SURFACE </v>
          </cell>
          <cell r="F871" t="str">
            <v>Electronics</v>
          </cell>
          <cell r="G871" t="str">
            <v xml:space="preserve"> WEST </v>
          </cell>
          <cell r="I871" t="str">
            <v xml:space="preserve">6.7 Kg </v>
          </cell>
          <cell r="J871" t="str">
            <v xml:space="preserve">Rs 122 </v>
          </cell>
          <cell r="K871">
            <v>4</v>
          </cell>
          <cell r="L871" t="str">
            <v>28/05/2024</v>
          </cell>
          <cell r="M871" t="str">
            <v>Delayed</v>
          </cell>
          <cell r="N871">
            <v>4</v>
          </cell>
          <cell r="O871" t="str">
            <v>Y</v>
          </cell>
        </row>
        <row r="872">
          <cell r="A872" t="str">
            <v>SHP-100183</v>
          </cell>
          <cell r="B872" t="str">
            <v>2024-01-23</v>
          </cell>
          <cell r="C872" t="str">
            <v>HYDERABAD</v>
          </cell>
          <cell r="D872" t="str">
            <v xml:space="preserve"> XPRESSBEES</v>
          </cell>
          <cell r="E872" t="str">
            <v>surface</v>
          </cell>
          <cell r="F872" t="str">
            <v>apparel</v>
          </cell>
          <cell r="G872" t="str">
            <v xml:space="preserve"> NORTH </v>
          </cell>
          <cell r="I872" t="str">
            <v>0.9KG</v>
          </cell>
          <cell r="J872" t="str">
            <v>197</v>
          </cell>
          <cell r="K872">
            <v>6</v>
          </cell>
          <cell r="L872" t="str">
            <v xml:space="preserve"> 29/01/2024 </v>
          </cell>
          <cell r="M872" t="str">
            <v>Delivered</v>
          </cell>
          <cell r="N872">
            <v>4</v>
          </cell>
          <cell r="O872" t="str">
            <v>N</v>
          </cell>
        </row>
        <row r="873">
          <cell r="A873" t="str">
            <v>SHP-100368</v>
          </cell>
          <cell r="B873" t="str">
            <v xml:space="preserve"> 23/03/2024 </v>
          </cell>
          <cell r="C873" t="str">
            <v>kolkata</v>
          </cell>
          <cell r="D873" t="str">
            <v xml:space="preserve"> DTDC</v>
          </cell>
          <cell r="E873" t="str">
            <v xml:space="preserve">surface </v>
          </cell>
          <cell r="F873" t="str">
            <v>Furniture</v>
          </cell>
          <cell r="G873" t="str">
            <v>NORTH</v>
          </cell>
          <cell r="I873" t="str">
            <v>31.8kg</v>
          </cell>
          <cell r="J873" t="str">
            <v xml:space="preserve">Rs 824 </v>
          </cell>
          <cell r="K873">
            <v>6</v>
          </cell>
          <cell r="L873" t="str">
            <v xml:space="preserve"> 28/03/2024 </v>
          </cell>
          <cell r="M873" t="str">
            <v>delivered</v>
          </cell>
          <cell r="N873">
            <v>5</v>
          </cell>
          <cell r="O873" t="str">
            <v xml:space="preserve"> No</v>
          </cell>
        </row>
        <row r="874">
          <cell r="A874" t="str">
            <v>SHP-100101</v>
          </cell>
          <cell r="B874" t="str">
            <v>2024-04-10</v>
          </cell>
          <cell r="C874" t="str">
            <v xml:space="preserve"> HYDERABAD </v>
          </cell>
          <cell r="D874" t="str">
            <v>BlueDart</v>
          </cell>
          <cell r="E874" t="str">
            <v xml:space="preserve"> ROAD </v>
          </cell>
          <cell r="F874" t="str">
            <v>APPAREL</v>
          </cell>
          <cell r="G874" t="str">
            <v xml:space="preserve">north </v>
          </cell>
          <cell r="I874" t="str">
            <v xml:space="preserve">4.4 Kg </v>
          </cell>
          <cell r="J874" t="str">
            <v>₹255</v>
          </cell>
          <cell r="K874">
            <v>8</v>
          </cell>
          <cell r="L874" t="str">
            <v>17-Apr-2024</v>
          </cell>
          <cell r="M874" t="str">
            <v xml:space="preserve"> Delivered</v>
          </cell>
          <cell r="N874">
            <v>5</v>
          </cell>
          <cell r="O874" t="str">
            <v xml:space="preserve"> No</v>
          </cell>
        </row>
        <row r="875">
          <cell r="A875" t="str">
            <v>SHP-100563</v>
          </cell>
          <cell r="B875" t="str">
            <v>2024-03-02</v>
          </cell>
          <cell r="C875" t="str">
            <v>mumbai</v>
          </cell>
          <cell r="D875" t="str">
            <v>Xpress Bees</v>
          </cell>
          <cell r="E875" t="str">
            <v xml:space="preserve"> AIR </v>
          </cell>
          <cell r="F875" t="str">
            <v>Furniture</v>
          </cell>
          <cell r="G875" t="str">
            <v>South</v>
          </cell>
          <cell r="I875" t="str">
            <v>51.6KG</v>
          </cell>
          <cell r="J875" t="str">
            <v>2,524</v>
          </cell>
          <cell r="K875">
            <v>4</v>
          </cell>
          <cell r="L875" t="str">
            <v xml:space="preserve"> 12/03/2024 </v>
          </cell>
          <cell r="M875" t="str">
            <v>DELAYED</v>
          </cell>
          <cell r="N875">
            <v>4</v>
          </cell>
          <cell r="O875" t="str">
            <v>no</v>
          </cell>
        </row>
        <row r="876">
          <cell r="A876" t="str">
            <v>SHP-100964</v>
          </cell>
          <cell r="B876" t="str">
            <v>25/02/2024</v>
          </cell>
          <cell r="C876" t="str">
            <v>HYDERABAD</v>
          </cell>
          <cell r="D876" t="str">
            <v>xpressbees</v>
          </cell>
          <cell r="E876" t="str">
            <v>road</v>
          </cell>
          <cell r="F876" t="str">
            <v>pharma</v>
          </cell>
          <cell r="G876" t="str">
            <v xml:space="preserve">west </v>
          </cell>
          <cell r="I876" t="str">
            <v xml:space="preserve">4.9 Kg </v>
          </cell>
          <cell r="J876" t="str">
            <v>₹120</v>
          </cell>
          <cell r="K876">
            <v>6</v>
          </cell>
          <cell r="L876" t="str">
            <v xml:space="preserve"> 03/03/2024 </v>
          </cell>
          <cell r="M876" t="str">
            <v>DELAYED</v>
          </cell>
          <cell r="N876">
            <v>2</v>
          </cell>
          <cell r="O876" t="str">
            <v>N</v>
          </cell>
        </row>
        <row r="877">
          <cell r="A877" t="str">
            <v>SHP-100115</v>
          </cell>
          <cell r="B877" t="str">
            <v xml:space="preserve"> 12/05/2024 </v>
          </cell>
          <cell r="C877" t="str">
            <v xml:space="preserve">mumbai </v>
          </cell>
          <cell r="D877" t="str">
            <v>DELHIVERY</v>
          </cell>
          <cell r="E877" t="str">
            <v xml:space="preserve">road </v>
          </cell>
          <cell r="F877" t="str">
            <v>Pharma</v>
          </cell>
          <cell r="G877" t="str">
            <v>East</v>
          </cell>
          <cell r="I877" t="str">
            <v>4.3</v>
          </cell>
          <cell r="J877" t="str">
            <v>₹194</v>
          </cell>
          <cell r="K877">
            <v>8</v>
          </cell>
          <cell r="L877" t="str">
            <v>19-May-2024</v>
          </cell>
          <cell r="M877" t="str">
            <v xml:space="preserve"> Delivered</v>
          </cell>
          <cell r="N877">
            <v>2</v>
          </cell>
          <cell r="O877" t="str">
            <v>No</v>
          </cell>
        </row>
        <row r="878">
          <cell r="A878" t="str">
            <v>SHP-100305</v>
          </cell>
          <cell r="B878" t="str">
            <v>2024-04-06</v>
          </cell>
          <cell r="C878" t="str">
            <v xml:space="preserve"> HYDERABAD </v>
          </cell>
          <cell r="D878" t="str">
            <v xml:space="preserve">Dtdc </v>
          </cell>
          <cell r="E878" t="str">
            <v xml:space="preserve">road </v>
          </cell>
          <cell r="F878" t="str">
            <v xml:space="preserve">furniture </v>
          </cell>
          <cell r="G878" t="str">
            <v>east</v>
          </cell>
          <cell r="I878" t="str">
            <v>28.9KG</v>
          </cell>
          <cell r="J878" t="str">
            <v>587</v>
          </cell>
          <cell r="K878">
            <v>8</v>
          </cell>
          <cell r="L878" t="str">
            <v>2024-04-15</v>
          </cell>
          <cell r="M878" t="str">
            <v>Delayed</v>
          </cell>
          <cell r="N878">
            <v>1</v>
          </cell>
          <cell r="O878" t="str">
            <v>N</v>
          </cell>
        </row>
        <row r="879">
          <cell r="A879" t="str">
            <v>SHP-101182</v>
          </cell>
          <cell r="B879" t="str">
            <v>2024-06-26</v>
          </cell>
          <cell r="C879" t="str">
            <v xml:space="preserve">mumbai </v>
          </cell>
          <cell r="D879" t="str">
            <v xml:space="preserve">BLUEDART </v>
          </cell>
          <cell r="E879" t="str">
            <v>ROAD</v>
          </cell>
          <cell r="F879" t="str">
            <v xml:space="preserve">furniture </v>
          </cell>
          <cell r="G879" t="str">
            <v xml:space="preserve">west </v>
          </cell>
          <cell r="I879" t="str">
            <v>63.2kg</v>
          </cell>
          <cell r="J879" t="str">
            <v>₹875</v>
          </cell>
          <cell r="K879">
            <v>6</v>
          </cell>
          <cell r="M879" t="str">
            <v>In-Transit</v>
          </cell>
          <cell r="O879" t="str">
            <v>YES</v>
          </cell>
        </row>
        <row r="880">
          <cell r="A880" t="str">
            <v>SHP-100354</v>
          </cell>
          <cell r="B880" t="str">
            <v xml:space="preserve"> 28/06/2024 </v>
          </cell>
          <cell r="C880" t="str">
            <v>chennai</v>
          </cell>
          <cell r="D880" t="str">
            <v>dtdc</v>
          </cell>
          <cell r="E880" t="str">
            <v xml:space="preserve"> AIR </v>
          </cell>
          <cell r="F880" t="str">
            <v xml:space="preserve">pharma </v>
          </cell>
          <cell r="G880" t="str">
            <v xml:space="preserve"> WEST </v>
          </cell>
          <cell r="I880" t="str">
            <v>2.8KG</v>
          </cell>
          <cell r="J880" t="str">
            <v xml:space="preserve">Rs 292 </v>
          </cell>
          <cell r="K880">
            <v>4</v>
          </cell>
          <cell r="L880" t="str">
            <v>03/07/2024</v>
          </cell>
          <cell r="M880" t="str">
            <v xml:space="preserve"> Delayed</v>
          </cell>
          <cell r="N880">
            <v>3</v>
          </cell>
          <cell r="O880" t="str">
            <v>no</v>
          </cell>
        </row>
        <row r="881">
          <cell r="A881" t="str">
            <v>SHP-101154</v>
          </cell>
          <cell r="B881" t="str">
            <v xml:space="preserve"> 04/03/2024 </v>
          </cell>
          <cell r="C881" t="str">
            <v>bengaluru</v>
          </cell>
          <cell r="D881" t="str">
            <v>Blue Dart</v>
          </cell>
          <cell r="E881" t="str">
            <v xml:space="preserve"> SURFACE </v>
          </cell>
          <cell r="F881" t="str">
            <v>Automotive Parts</v>
          </cell>
          <cell r="G881" t="str">
            <v xml:space="preserve">north </v>
          </cell>
          <cell r="I881" t="str">
            <v>26.0kg</v>
          </cell>
          <cell r="J881" t="str">
            <v>₹749</v>
          </cell>
          <cell r="K881">
            <v>6</v>
          </cell>
          <cell r="L881" t="str">
            <v>2024-03-11</v>
          </cell>
          <cell r="M881" t="str">
            <v>Delayed</v>
          </cell>
          <cell r="N881">
            <v>1</v>
          </cell>
          <cell r="O881" t="str">
            <v>Yes</v>
          </cell>
        </row>
        <row r="882">
          <cell r="A882" t="str">
            <v>SHP-101045</v>
          </cell>
          <cell r="B882" t="str">
            <v>2024-02-21</v>
          </cell>
          <cell r="C882" t="str">
            <v>DELHI</v>
          </cell>
          <cell r="D882" t="str">
            <v>BlueDart</v>
          </cell>
          <cell r="E882" t="str">
            <v>Air</v>
          </cell>
          <cell r="F882" t="str">
            <v>Electronics</v>
          </cell>
          <cell r="G882" t="str">
            <v xml:space="preserve"> WEST </v>
          </cell>
          <cell r="I882" t="str">
            <v>13.5</v>
          </cell>
          <cell r="J882" t="str">
            <v>₹752</v>
          </cell>
          <cell r="K882">
            <v>4</v>
          </cell>
          <cell r="L882" t="str">
            <v xml:space="preserve"> 26/02/2024 </v>
          </cell>
          <cell r="M882" t="str">
            <v xml:space="preserve"> Delayed</v>
          </cell>
          <cell r="N882">
            <v>2</v>
          </cell>
          <cell r="O882" t="str">
            <v>no</v>
          </cell>
        </row>
        <row r="883">
          <cell r="A883" t="str">
            <v>SHP-100493</v>
          </cell>
          <cell r="B883" t="str">
            <v>15-Jun-2024</v>
          </cell>
          <cell r="C883" t="str">
            <v>MUMBAI</v>
          </cell>
          <cell r="D883" t="str">
            <v>delhivery</v>
          </cell>
          <cell r="E883" t="str">
            <v xml:space="preserve">air </v>
          </cell>
          <cell r="F883" t="str">
            <v>electronics</v>
          </cell>
          <cell r="G883" t="str">
            <v xml:space="preserve"> WEST </v>
          </cell>
          <cell r="I883" t="str">
            <v>14.8KG</v>
          </cell>
          <cell r="J883" t="str">
            <v>₹709</v>
          </cell>
          <cell r="K883">
            <v>2</v>
          </cell>
          <cell r="L883" t="str">
            <v>2024-06-16</v>
          </cell>
          <cell r="M883" t="str">
            <v>Delivered</v>
          </cell>
          <cell r="N883">
            <v>3</v>
          </cell>
          <cell r="O883" t="str">
            <v>Y</v>
          </cell>
        </row>
        <row r="884">
          <cell r="A884" t="str">
            <v>SHP-100318</v>
          </cell>
          <cell r="B884" t="str">
            <v>22-Apr-2024</v>
          </cell>
          <cell r="C884" t="str">
            <v xml:space="preserve"> MUMBAI </v>
          </cell>
          <cell r="D884" t="str">
            <v>Blue Dart</v>
          </cell>
          <cell r="E884" t="str">
            <v xml:space="preserve"> SURFACE </v>
          </cell>
          <cell r="F884" t="str">
            <v xml:space="preserve">pharma </v>
          </cell>
          <cell r="G884" t="str">
            <v>SOUTH</v>
          </cell>
          <cell r="I884" t="str">
            <v>3.7kg</v>
          </cell>
          <cell r="J884" t="str">
            <v>225</v>
          </cell>
          <cell r="K884">
            <v>6</v>
          </cell>
          <cell r="L884" t="str">
            <v>2024-04-29</v>
          </cell>
          <cell r="M884" t="str">
            <v xml:space="preserve"> Delayed</v>
          </cell>
          <cell r="N884">
            <v>3</v>
          </cell>
          <cell r="O884" t="str">
            <v>no</v>
          </cell>
        </row>
        <row r="885">
          <cell r="A885" t="str">
            <v>SHP-100902</v>
          </cell>
          <cell r="B885" t="str">
            <v>2024-05-04</v>
          </cell>
          <cell r="C885" t="str">
            <v xml:space="preserve">bengaluru </v>
          </cell>
          <cell r="D885" t="str">
            <v>bluedart</v>
          </cell>
          <cell r="E885" t="str">
            <v xml:space="preserve">air </v>
          </cell>
          <cell r="F885" t="str">
            <v>AUTOMOTIVE PARTS</v>
          </cell>
          <cell r="G885" t="str">
            <v xml:space="preserve"> NORTH </v>
          </cell>
          <cell r="I885" t="str">
            <v xml:space="preserve">5.1 Kg </v>
          </cell>
          <cell r="J885" t="str">
            <v xml:space="preserve">Rs 394 </v>
          </cell>
          <cell r="K885">
            <v>4</v>
          </cell>
          <cell r="L885" t="str">
            <v>09/05/2024</v>
          </cell>
          <cell r="M885" t="str">
            <v>DELAYED</v>
          </cell>
          <cell r="N885">
            <v>2</v>
          </cell>
          <cell r="O885" t="str">
            <v>N</v>
          </cell>
        </row>
        <row r="886">
          <cell r="A886" t="str">
            <v>SHP-100116</v>
          </cell>
          <cell r="B886" t="str">
            <v>2024-06-22</v>
          </cell>
          <cell r="C886" t="str">
            <v xml:space="preserve"> HYDERABAD </v>
          </cell>
          <cell r="D886" t="str">
            <v xml:space="preserve">BLUEDART </v>
          </cell>
          <cell r="E886" t="str">
            <v>ROAD</v>
          </cell>
          <cell r="F886" t="str">
            <v>PHARMA</v>
          </cell>
          <cell r="G886" t="str">
            <v>west</v>
          </cell>
          <cell r="I886" t="str">
            <v>4.9KG</v>
          </cell>
          <cell r="J886" t="str">
            <v xml:space="preserve">Rs 80 </v>
          </cell>
          <cell r="K886">
            <v>6</v>
          </cell>
          <cell r="L886" t="str">
            <v xml:space="preserve"> 29/06/2024 </v>
          </cell>
          <cell r="M886" t="str">
            <v>DELAYED</v>
          </cell>
          <cell r="N886">
            <v>2</v>
          </cell>
          <cell r="O886" t="str">
            <v>Yes</v>
          </cell>
        </row>
        <row r="887">
          <cell r="A887" t="str">
            <v>SHP-100869</v>
          </cell>
          <cell r="B887" t="str">
            <v>21/02/2024</v>
          </cell>
          <cell r="C887" t="str">
            <v xml:space="preserve">chennai </v>
          </cell>
          <cell r="D887" t="str">
            <v xml:space="preserve"> XPRESSBEES</v>
          </cell>
          <cell r="E887" t="str">
            <v>Surface</v>
          </cell>
          <cell r="F887" t="str">
            <v>furniture</v>
          </cell>
          <cell r="G887" t="str">
            <v xml:space="preserve">west </v>
          </cell>
          <cell r="I887" t="str">
            <v xml:space="preserve">28.0 Kg </v>
          </cell>
          <cell r="J887" t="str">
            <v>777</v>
          </cell>
          <cell r="K887">
            <v>6</v>
          </cell>
          <cell r="L887" t="str">
            <v>2024-02-27</v>
          </cell>
          <cell r="M887" t="str">
            <v xml:space="preserve"> Delivered</v>
          </cell>
          <cell r="N887">
            <v>3</v>
          </cell>
          <cell r="O887" t="str">
            <v>Y</v>
          </cell>
        </row>
        <row r="888">
          <cell r="A888" t="str">
            <v>SHP-100596</v>
          </cell>
          <cell r="B888" t="str">
            <v>19-Jun-2024</v>
          </cell>
          <cell r="C888" t="str">
            <v xml:space="preserve">bengaluru </v>
          </cell>
          <cell r="D888" t="str">
            <v>Blue Dart</v>
          </cell>
          <cell r="E888" t="str">
            <v>air</v>
          </cell>
          <cell r="F888" t="str">
            <v>PHARMA</v>
          </cell>
          <cell r="G888" t="str">
            <v xml:space="preserve"> NORTH </v>
          </cell>
          <cell r="I888" t="str">
            <v>4.1kg</v>
          </cell>
          <cell r="J888" t="str">
            <v xml:space="preserve">Rs 355 </v>
          </cell>
          <cell r="K888">
            <v>4</v>
          </cell>
          <cell r="L888" t="str">
            <v xml:space="preserve"> 24/06/2024 </v>
          </cell>
          <cell r="M888" t="str">
            <v xml:space="preserve">delayed </v>
          </cell>
          <cell r="N888">
            <v>3</v>
          </cell>
          <cell r="O888" t="str">
            <v>No</v>
          </cell>
        </row>
        <row r="889">
          <cell r="A889" t="str">
            <v>SHP-100646</v>
          </cell>
          <cell r="B889" t="str">
            <v xml:space="preserve"> 22/04/2024 </v>
          </cell>
          <cell r="D889" t="str">
            <v>XpressBees</v>
          </cell>
          <cell r="E889" t="str">
            <v xml:space="preserve">road </v>
          </cell>
          <cell r="F889" t="str">
            <v xml:space="preserve">automotive parts </v>
          </cell>
          <cell r="G889" t="str">
            <v>East</v>
          </cell>
          <cell r="I889" t="str">
            <v xml:space="preserve">18.1 Kg </v>
          </cell>
          <cell r="J889" t="str">
            <v>419</v>
          </cell>
          <cell r="K889">
            <v>8</v>
          </cell>
          <cell r="L889" t="str">
            <v>2024-05-08</v>
          </cell>
          <cell r="M889" t="str">
            <v xml:space="preserve">delayed </v>
          </cell>
          <cell r="N889">
            <v>4</v>
          </cell>
          <cell r="O889" t="str">
            <v>N</v>
          </cell>
        </row>
        <row r="890">
          <cell r="A890" t="str">
            <v>SHP-101546</v>
          </cell>
          <cell r="B890" t="str">
            <v>2024-05-04</v>
          </cell>
          <cell r="C890" t="str">
            <v>HYDERABAD</v>
          </cell>
          <cell r="D890" t="str">
            <v>DELHIVERY</v>
          </cell>
          <cell r="E890" t="str">
            <v>surface</v>
          </cell>
          <cell r="F890" t="str">
            <v>Automotive  Parts</v>
          </cell>
          <cell r="G890" t="str">
            <v xml:space="preserve"> WEST </v>
          </cell>
          <cell r="I890" t="str">
            <v>26.6</v>
          </cell>
          <cell r="J890" t="str">
            <v>₹575</v>
          </cell>
          <cell r="K890">
            <v>4</v>
          </cell>
          <cell r="L890" t="str">
            <v xml:space="preserve"> 07/05/2024 </v>
          </cell>
          <cell r="M890" t="str">
            <v>DELIVERED</v>
          </cell>
          <cell r="N890">
            <v>4</v>
          </cell>
          <cell r="O890" t="str">
            <v>N</v>
          </cell>
        </row>
        <row r="891">
          <cell r="A891" t="str">
            <v>SHP-101369</v>
          </cell>
          <cell r="B891" t="str">
            <v>2024-01-03</v>
          </cell>
          <cell r="C891" t="str">
            <v xml:space="preserve">kolkata </v>
          </cell>
          <cell r="D891" t="str">
            <v>xpressbees</v>
          </cell>
          <cell r="E891" t="str">
            <v xml:space="preserve">surface </v>
          </cell>
          <cell r="F891" t="str">
            <v>Grocery  &amp; FMCG</v>
          </cell>
          <cell r="G891" t="str">
            <v xml:space="preserve">east </v>
          </cell>
          <cell r="I891" t="str">
            <v xml:space="preserve">17.5 Kg </v>
          </cell>
          <cell r="J891" t="str">
            <v xml:space="preserve">Rs 410 </v>
          </cell>
          <cell r="K891">
            <v>4</v>
          </cell>
          <cell r="L891" t="str">
            <v>12/01/2024</v>
          </cell>
          <cell r="M891" t="str">
            <v xml:space="preserve">delayed </v>
          </cell>
          <cell r="N891">
            <v>2</v>
          </cell>
          <cell r="O891" t="str">
            <v>N</v>
          </cell>
        </row>
        <row r="892">
          <cell r="A892" t="str">
            <v>SHP-100723</v>
          </cell>
          <cell r="B892" t="str">
            <v xml:space="preserve"> 11/04/2024 </v>
          </cell>
          <cell r="C892" t="str">
            <v>chennai</v>
          </cell>
          <cell r="D892" t="str">
            <v>DTDC</v>
          </cell>
          <cell r="E892" t="str">
            <v>Road</v>
          </cell>
          <cell r="F892" t="str">
            <v>FURNITURE</v>
          </cell>
          <cell r="G892" t="str">
            <v>east</v>
          </cell>
          <cell r="I892" t="str">
            <v>61.5KG</v>
          </cell>
          <cell r="J892" t="str">
            <v xml:space="preserve">Rs 988 </v>
          </cell>
          <cell r="K892">
            <v>8</v>
          </cell>
          <cell r="L892" t="str">
            <v xml:space="preserve"> 20/04/2024 </v>
          </cell>
          <cell r="M892" t="str">
            <v xml:space="preserve"> DAMAGED</v>
          </cell>
          <cell r="O892" t="str">
            <v>No</v>
          </cell>
        </row>
        <row r="893">
          <cell r="A893" t="str">
            <v>SHP-100068</v>
          </cell>
          <cell r="B893" t="str">
            <v>2024-01-16</v>
          </cell>
          <cell r="C893" t="str">
            <v xml:space="preserve"> MUMBAI </v>
          </cell>
          <cell r="D893" t="str">
            <v>BlueDart</v>
          </cell>
          <cell r="E893" t="str">
            <v>road</v>
          </cell>
          <cell r="F893" t="str">
            <v>Apparel</v>
          </cell>
          <cell r="G893" t="str">
            <v xml:space="preserve"> EAST </v>
          </cell>
          <cell r="I893" t="str">
            <v xml:space="preserve">3.9 Kg </v>
          </cell>
          <cell r="J893" t="str">
            <v xml:space="preserve">Rs 215 </v>
          </cell>
          <cell r="K893">
            <v>8</v>
          </cell>
          <cell r="L893" t="str">
            <v xml:space="preserve"> 23/01/2024 </v>
          </cell>
          <cell r="M893" t="str">
            <v>delivered</v>
          </cell>
          <cell r="N893">
            <v>5</v>
          </cell>
          <cell r="O893" t="str">
            <v>Yes</v>
          </cell>
        </row>
        <row r="894">
          <cell r="A894" t="str">
            <v>SHP-100456</v>
          </cell>
          <cell r="B894" t="str">
            <v>26-Jan-2024</v>
          </cell>
          <cell r="C894" t="str">
            <v>HYDERABAD</v>
          </cell>
          <cell r="D894" t="str">
            <v>Xpress Bees</v>
          </cell>
          <cell r="E894" t="str">
            <v>ROAD</v>
          </cell>
          <cell r="F894" t="str">
            <v xml:space="preserve"> ELECTRONICS </v>
          </cell>
          <cell r="G894" t="str">
            <v>South</v>
          </cell>
          <cell r="I894" t="str">
            <v>9.1KG</v>
          </cell>
          <cell r="J894" t="str">
            <v>₹271</v>
          </cell>
          <cell r="K894">
            <v>8</v>
          </cell>
          <cell r="L894" t="str">
            <v>03-Feb-2024</v>
          </cell>
          <cell r="M894" t="str">
            <v>DELIVERED</v>
          </cell>
          <cell r="N894">
            <v>5</v>
          </cell>
          <cell r="O894" t="str">
            <v>YES</v>
          </cell>
        </row>
        <row r="895">
          <cell r="A895" t="str">
            <v>SHP-101582</v>
          </cell>
          <cell r="B895" t="str">
            <v>16-May-2024</v>
          </cell>
          <cell r="C895" t="str">
            <v xml:space="preserve"> BENGALURU </v>
          </cell>
          <cell r="D895" t="str">
            <v xml:space="preserve">BLUEDART </v>
          </cell>
          <cell r="E895" t="str">
            <v>surface</v>
          </cell>
          <cell r="F895" t="str">
            <v xml:space="preserve">  ELECTRONICS </v>
          </cell>
          <cell r="G895" t="str">
            <v xml:space="preserve">west </v>
          </cell>
          <cell r="I895" t="str">
            <v>11.4KG</v>
          </cell>
          <cell r="J895" t="str">
            <v xml:space="preserve">Rs 431 </v>
          </cell>
          <cell r="K895">
            <v>6</v>
          </cell>
          <cell r="L895" t="str">
            <v>2024-05-21</v>
          </cell>
          <cell r="M895" t="str">
            <v>Delivered</v>
          </cell>
          <cell r="N895">
            <v>4</v>
          </cell>
          <cell r="O895" t="str">
            <v>N</v>
          </cell>
        </row>
        <row r="896">
          <cell r="A896" t="str">
            <v>SHP-101420</v>
          </cell>
          <cell r="B896" t="str">
            <v>2024-06-09</v>
          </cell>
          <cell r="C896" t="str">
            <v>Kolkata</v>
          </cell>
          <cell r="D896" t="str">
            <v>delhivery</v>
          </cell>
          <cell r="E896" t="str">
            <v xml:space="preserve"> SURFACE </v>
          </cell>
          <cell r="F896" t="str">
            <v>grocery  &amp; fmcg</v>
          </cell>
          <cell r="G896" t="str">
            <v>south</v>
          </cell>
          <cell r="I896" t="str">
            <v>13.2kg</v>
          </cell>
          <cell r="J896" t="str">
            <v>₹491</v>
          </cell>
          <cell r="K896">
            <v>6</v>
          </cell>
          <cell r="L896" t="str">
            <v xml:space="preserve"> 16/06/2024 </v>
          </cell>
          <cell r="M896" t="str">
            <v>DELAYED</v>
          </cell>
          <cell r="N896">
            <v>2</v>
          </cell>
          <cell r="O896" t="str">
            <v xml:space="preserve"> No</v>
          </cell>
        </row>
        <row r="897">
          <cell r="A897" t="str">
            <v>SHP-100947</v>
          </cell>
          <cell r="B897" t="str">
            <v>12-Apr-2024</v>
          </cell>
          <cell r="C897" t="str">
            <v>MUMBAI</v>
          </cell>
          <cell r="D897" t="str">
            <v>DTDC</v>
          </cell>
          <cell r="E897" t="str">
            <v>Air</v>
          </cell>
          <cell r="F897" t="str">
            <v xml:space="preserve"> FURNITURE </v>
          </cell>
          <cell r="G897" t="str">
            <v xml:space="preserve"> NORTH </v>
          </cell>
          <cell r="I897" t="str">
            <v>60.4</v>
          </cell>
          <cell r="J897" t="str">
            <v>₹2,860</v>
          </cell>
          <cell r="K897">
            <v>4</v>
          </cell>
          <cell r="L897" t="str">
            <v xml:space="preserve"> 17/04/2024 </v>
          </cell>
          <cell r="M897" t="str">
            <v>DELAYED</v>
          </cell>
          <cell r="N897">
            <v>4</v>
          </cell>
          <cell r="O897" t="str">
            <v xml:space="preserve"> No</v>
          </cell>
        </row>
        <row r="898">
          <cell r="A898" t="str">
            <v>SHP-100799</v>
          </cell>
          <cell r="B898" t="str">
            <v>2024-04-15</v>
          </cell>
          <cell r="C898" t="str">
            <v>Chennai</v>
          </cell>
          <cell r="D898" t="str">
            <v xml:space="preserve"> DTDC</v>
          </cell>
          <cell r="E898" t="str">
            <v>surface</v>
          </cell>
          <cell r="F898" t="str">
            <v xml:space="preserve"> AUTOMOTIVE PARTS </v>
          </cell>
          <cell r="G898" t="str">
            <v xml:space="preserve">north </v>
          </cell>
          <cell r="I898" t="str">
            <v xml:space="preserve">29.1 Kg </v>
          </cell>
          <cell r="J898" t="str">
            <v>₹785</v>
          </cell>
          <cell r="K898">
            <v>6</v>
          </cell>
          <cell r="L898" t="str">
            <v xml:space="preserve"> 22/04/2024 </v>
          </cell>
          <cell r="M898" t="str">
            <v>DELAYED</v>
          </cell>
          <cell r="N898">
            <v>1</v>
          </cell>
          <cell r="O898" t="str">
            <v xml:space="preserve">yes </v>
          </cell>
        </row>
        <row r="899">
          <cell r="A899" t="str">
            <v>SHP-100060</v>
          </cell>
          <cell r="B899" t="str">
            <v>2024-03-14</v>
          </cell>
          <cell r="C899" t="str">
            <v>kolkata</v>
          </cell>
          <cell r="D899" t="str">
            <v>ECOM EXPRESS</v>
          </cell>
          <cell r="E899" t="str">
            <v>AIR</v>
          </cell>
          <cell r="F899" t="str">
            <v>electronics</v>
          </cell>
          <cell r="G899" t="str">
            <v>WEST</v>
          </cell>
          <cell r="I899" t="str">
            <v>12.5</v>
          </cell>
          <cell r="J899" t="str">
            <v>704</v>
          </cell>
          <cell r="K899">
            <v>4</v>
          </cell>
          <cell r="L899" t="str">
            <v>18-Mar-2024</v>
          </cell>
          <cell r="M899" t="str">
            <v>delivered</v>
          </cell>
          <cell r="N899">
            <v>4</v>
          </cell>
          <cell r="O899" t="str">
            <v xml:space="preserve"> No</v>
          </cell>
        </row>
        <row r="900">
          <cell r="A900" t="str">
            <v>SHP-101366</v>
          </cell>
          <cell r="B900" t="str">
            <v>2024-06-23</v>
          </cell>
          <cell r="C900" t="str">
            <v xml:space="preserve"> MUMBAI </v>
          </cell>
          <cell r="D900" t="str">
            <v>ecom express</v>
          </cell>
          <cell r="E900" t="str">
            <v>Surface</v>
          </cell>
          <cell r="F900" t="str">
            <v>apparel</v>
          </cell>
          <cell r="G900" t="str">
            <v>North</v>
          </cell>
          <cell r="I900" t="str">
            <v>3.0KG</v>
          </cell>
          <cell r="J900" t="str">
            <v xml:space="preserve">Rs 227 </v>
          </cell>
          <cell r="K900">
            <v>6</v>
          </cell>
          <cell r="L900" t="str">
            <v>2024-07-03</v>
          </cell>
          <cell r="M900" t="str">
            <v>DELAYED</v>
          </cell>
          <cell r="N900">
            <v>3</v>
          </cell>
          <cell r="O900" t="str">
            <v xml:space="preserve"> No</v>
          </cell>
        </row>
        <row r="901">
          <cell r="A901" t="str">
            <v>SHP-100298</v>
          </cell>
          <cell r="B901" t="str">
            <v>2024-03-20</v>
          </cell>
          <cell r="C901" t="str">
            <v xml:space="preserve">delhi </v>
          </cell>
          <cell r="D901" t="str">
            <v>Xpress Bees</v>
          </cell>
          <cell r="E901" t="str">
            <v>SURFACE</v>
          </cell>
          <cell r="F901" t="str">
            <v xml:space="preserve">automotive  parts </v>
          </cell>
          <cell r="G901" t="str">
            <v>SOUTH</v>
          </cell>
          <cell r="I901" t="str">
            <v>18.7</v>
          </cell>
          <cell r="J901" t="str">
            <v>608</v>
          </cell>
          <cell r="K901">
            <v>6</v>
          </cell>
          <cell r="L901" t="str">
            <v>27/03/2024</v>
          </cell>
          <cell r="M901" t="str">
            <v>Delayed</v>
          </cell>
          <cell r="N901">
            <v>4</v>
          </cell>
          <cell r="O901" t="str">
            <v xml:space="preserve">yes </v>
          </cell>
        </row>
        <row r="902">
          <cell r="A902" t="str">
            <v>SHP-100959</v>
          </cell>
          <cell r="B902" t="str">
            <v>26/01/2024</v>
          </cell>
          <cell r="C902" t="str">
            <v>Bengaluru</v>
          </cell>
          <cell r="D902" t="str">
            <v xml:space="preserve">Dtdc </v>
          </cell>
          <cell r="E902" t="str">
            <v>Road</v>
          </cell>
          <cell r="F902" t="str">
            <v xml:space="preserve">  GROCERY &amp; FMCG </v>
          </cell>
          <cell r="G902" t="str">
            <v>west</v>
          </cell>
          <cell r="I902" t="str">
            <v>14.0KG</v>
          </cell>
          <cell r="J902" t="str">
            <v>₹320</v>
          </cell>
          <cell r="K902">
            <v>8</v>
          </cell>
          <cell r="L902" t="str">
            <v>06/02/2024</v>
          </cell>
          <cell r="M902" t="str">
            <v xml:space="preserve"> Delayed</v>
          </cell>
          <cell r="N902">
            <v>4</v>
          </cell>
          <cell r="O902" t="str">
            <v xml:space="preserve"> No</v>
          </cell>
        </row>
        <row r="903">
          <cell r="A903" t="str">
            <v>SHP-101400</v>
          </cell>
          <cell r="B903" t="str">
            <v xml:space="preserve"> 10/01/2024 </v>
          </cell>
          <cell r="C903" t="str">
            <v>mumbai</v>
          </cell>
          <cell r="D903" t="str">
            <v>Delhivery</v>
          </cell>
          <cell r="E903" t="str">
            <v xml:space="preserve">air </v>
          </cell>
          <cell r="F903" t="str">
            <v>Automotive Parts</v>
          </cell>
          <cell r="G903" t="str">
            <v>North</v>
          </cell>
          <cell r="I903" t="str">
            <v>25.7</v>
          </cell>
          <cell r="J903" t="str">
            <v>1,362</v>
          </cell>
          <cell r="K903">
            <v>4</v>
          </cell>
          <cell r="L903" t="str">
            <v xml:space="preserve"> 17/01/2024 </v>
          </cell>
          <cell r="M903" t="str">
            <v xml:space="preserve">delayed </v>
          </cell>
          <cell r="N903">
            <v>1</v>
          </cell>
          <cell r="O903" t="str">
            <v>N</v>
          </cell>
        </row>
        <row r="904">
          <cell r="A904" t="str">
            <v>SHP-100944</v>
          </cell>
          <cell r="B904" t="str">
            <v>2024-01-16</v>
          </cell>
          <cell r="C904" t="str">
            <v>HYDERABAD</v>
          </cell>
          <cell r="D904" t="str">
            <v xml:space="preserve">Dtdc </v>
          </cell>
          <cell r="E904" t="str">
            <v xml:space="preserve">air </v>
          </cell>
          <cell r="F904" t="str">
            <v>grocery &amp; fmcg</v>
          </cell>
          <cell r="G904" t="str">
            <v>East</v>
          </cell>
          <cell r="I904" t="str">
            <v>16.1KG</v>
          </cell>
          <cell r="J904" t="str">
            <v>883</v>
          </cell>
          <cell r="K904">
            <v>4</v>
          </cell>
          <cell r="L904" t="str">
            <v>2024-01-29</v>
          </cell>
          <cell r="M904" t="str">
            <v xml:space="preserve"> Delayed</v>
          </cell>
          <cell r="N904">
            <v>4</v>
          </cell>
          <cell r="O904" t="str">
            <v>YES</v>
          </cell>
        </row>
        <row r="905">
          <cell r="A905" t="str">
            <v>SHP-101360</v>
          </cell>
          <cell r="B905" t="str">
            <v>08/06/2024</v>
          </cell>
          <cell r="C905" t="str">
            <v>BENGALURU</v>
          </cell>
          <cell r="D905" t="str">
            <v>Ecom  Express</v>
          </cell>
          <cell r="E905" t="str">
            <v>ROAD</v>
          </cell>
          <cell r="F905" t="str">
            <v xml:space="preserve"> FURNITURE </v>
          </cell>
          <cell r="G905" t="str">
            <v>West</v>
          </cell>
          <cell r="I905" t="str">
            <v>78.8</v>
          </cell>
          <cell r="J905" t="str">
            <v>₹1,273</v>
          </cell>
          <cell r="K905">
            <v>8</v>
          </cell>
          <cell r="L905" t="str">
            <v>23-Jun-2024</v>
          </cell>
          <cell r="M905" t="str">
            <v xml:space="preserve">delayed </v>
          </cell>
          <cell r="N905">
            <v>5</v>
          </cell>
          <cell r="O905" t="str">
            <v>no</v>
          </cell>
        </row>
        <row r="906">
          <cell r="A906" t="str">
            <v>SHP-101249</v>
          </cell>
          <cell r="B906" t="str">
            <v xml:space="preserve"> 11/02/2024 </v>
          </cell>
          <cell r="C906" t="str">
            <v xml:space="preserve"> KOLKATA </v>
          </cell>
          <cell r="D906" t="str">
            <v xml:space="preserve"> XPRESSBEES</v>
          </cell>
          <cell r="E906" t="str">
            <v xml:space="preserve"> ROAD </v>
          </cell>
          <cell r="F906" t="str">
            <v xml:space="preserve"> APPAREL </v>
          </cell>
          <cell r="G906" t="str">
            <v xml:space="preserve">north </v>
          </cell>
          <cell r="I906" t="str">
            <v>4.4kg</v>
          </cell>
          <cell r="J906" t="str">
            <v xml:space="preserve">Rs 236 </v>
          </cell>
          <cell r="K906">
            <v>8</v>
          </cell>
          <cell r="L906" t="str">
            <v>2024-02-19</v>
          </cell>
          <cell r="M906" t="str">
            <v>delivered</v>
          </cell>
          <cell r="N906">
            <v>4</v>
          </cell>
          <cell r="O906" t="str">
            <v>N</v>
          </cell>
        </row>
        <row r="907">
          <cell r="A907" t="str">
            <v>SHP-100939</v>
          </cell>
          <cell r="B907" t="str">
            <v>2024-02-27</v>
          </cell>
          <cell r="C907" t="str">
            <v>delhi</v>
          </cell>
          <cell r="D907" t="str">
            <v>xpressbees</v>
          </cell>
          <cell r="E907" t="str">
            <v>SURFACE</v>
          </cell>
          <cell r="F907" t="str">
            <v>Furniture</v>
          </cell>
          <cell r="G907" t="str">
            <v>east</v>
          </cell>
          <cell r="I907" t="str">
            <v>16.6KG</v>
          </cell>
          <cell r="J907" t="str">
            <v>518</v>
          </cell>
          <cell r="K907">
            <v>6</v>
          </cell>
          <cell r="L907" t="str">
            <v>2024-03-12</v>
          </cell>
          <cell r="M907" t="str">
            <v>DELAYED</v>
          </cell>
          <cell r="N907">
            <v>2</v>
          </cell>
          <cell r="O907" t="str">
            <v>no</v>
          </cell>
        </row>
        <row r="908">
          <cell r="A908" t="str">
            <v>SHP-100177</v>
          </cell>
          <cell r="B908" t="str">
            <v>03-Jan-2024</v>
          </cell>
          <cell r="C908" t="str">
            <v>bengaluru</v>
          </cell>
          <cell r="D908" t="str">
            <v>xpressbees</v>
          </cell>
          <cell r="E908" t="str">
            <v>Road</v>
          </cell>
          <cell r="F908" t="str">
            <v xml:space="preserve">pharma </v>
          </cell>
          <cell r="G908" t="str">
            <v>East</v>
          </cell>
          <cell r="I908" t="str">
            <v>2.5</v>
          </cell>
          <cell r="J908" t="str">
            <v>₹185</v>
          </cell>
          <cell r="K908">
            <v>8</v>
          </cell>
          <cell r="L908" t="str">
            <v>2024-01-11</v>
          </cell>
          <cell r="M908" t="str">
            <v>delivered</v>
          </cell>
          <cell r="N908">
            <v>5</v>
          </cell>
          <cell r="O908" t="str">
            <v>No</v>
          </cell>
        </row>
        <row r="909">
          <cell r="A909" t="str">
            <v>SHP-101296</v>
          </cell>
          <cell r="B909" t="str">
            <v xml:space="preserve"> 22/03/2024 </v>
          </cell>
          <cell r="C909" t="str">
            <v>HYDERABAD</v>
          </cell>
          <cell r="D909" t="str">
            <v>delhivery</v>
          </cell>
          <cell r="E909" t="str">
            <v>Air</v>
          </cell>
          <cell r="F909" t="str">
            <v xml:space="preserve"> PHARMA </v>
          </cell>
          <cell r="G909" t="str">
            <v xml:space="preserve"> WEST </v>
          </cell>
          <cell r="I909" t="str">
            <v>0.9KG</v>
          </cell>
          <cell r="J909" t="str">
            <v>80</v>
          </cell>
          <cell r="K909">
            <v>2</v>
          </cell>
          <cell r="L909" t="str">
            <v>2024-03-23</v>
          </cell>
          <cell r="M909" t="str">
            <v>DELIVERED</v>
          </cell>
          <cell r="N909">
            <v>3</v>
          </cell>
          <cell r="O909" t="str">
            <v>No</v>
          </cell>
        </row>
        <row r="910">
          <cell r="A910" t="str">
            <v>SHP-101055</v>
          </cell>
          <cell r="B910" t="str">
            <v>01-Jun-2024</v>
          </cell>
          <cell r="C910" t="str">
            <v xml:space="preserve">kolkata </v>
          </cell>
          <cell r="D910" t="str">
            <v xml:space="preserve"> Delhivery</v>
          </cell>
          <cell r="E910" t="str">
            <v xml:space="preserve">surface </v>
          </cell>
          <cell r="F910" t="str">
            <v>pharma</v>
          </cell>
          <cell r="G910" t="str">
            <v>West</v>
          </cell>
          <cell r="I910" t="str">
            <v>3.6</v>
          </cell>
          <cell r="J910" t="str">
            <v xml:space="preserve">Rs 268 </v>
          </cell>
          <cell r="K910">
            <v>6</v>
          </cell>
          <cell r="L910" t="str">
            <v>07-Jun-2024</v>
          </cell>
          <cell r="M910" t="str">
            <v>Delivered</v>
          </cell>
          <cell r="N910">
            <v>4</v>
          </cell>
          <cell r="O910" t="str">
            <v>No</v>
          </cell>
        </row>
        <row r="911">
          <cell r="A911" t="str">
            <v>SHP-100764</v>
          </cell>
          <cell r="B911" t="str">
            <v>2024-02-18</v>
          </cell>
          <cell r="C911" t="str">
            <v>HYDERABAD</v>
          </cell>
          <cell r="D911" t="str">
            <v>ecom express</v>
          </cell>
          <cell r="E911" t="str">
            <v>SURFACE</v>
          </cell>
          <cell r="F911" t="str">
            <v>Apparel</v>
          </cell>
          <cell r="G911" t="str">
            <v>south</v>
          </cell>
          <cell r="I911" t="str">
            <v>1.9</v>
          </cell>
          <cell r="J911" t="str">
            <v>243</v>
          </cell>
          <cell r="K911">
            <v>6</v>
          </cell>
          <cell r="L911" t="str">
            <v>25/02/2024</v>
          </cell>
          <cell r="M911" t="str">
            <v xml:space="preserve">delayed </v>
          </cell>
          <cell r="N911">
            <v>3</v>
          </cell>
          <cell r="O911" t="str">
            <v xml:space="preserve"> No</v>
          </cell>
        </row>
        <row r="912">
          <cell r="A912" t="str">
            <v>SHP-100285</v>
          </cell>
          <cell r="B912" t="str">
            <v>06-Jan-2024</v>
          </cell>
          <cell r="C912" t="str">
            <v>Delhi</v>
          </cell>
          <cell r="D912" t="str">
            <v>xpressbees</v>
          </cell>
          <cell r="E912" t="str">
            <v xml:space="preserve">air </v>
          </cell>
          <cell r="F912" t="str">
            <v xml:space="preserve">automotive  parts </v>
          </cell>
          <cell r="G912" t="str">
            <v xml:space="preserve">north </v>
          </cell>
          <cell r="I912" t="str">
            <v>24.4kg</v>
          </cell>
          <cell r="J912" t="str">
            <v>₹1,137</v>
          </cell>
          <cell r="K912">
            <v>2</v>
          </cell>
          <cell r="L912" t="str">
            <v xml:space="preserve"> 08/01/2024 </v>
          </cell>
          <cell r="M912" t="str">
            <v xml:space="preserve"> Delivered</v>
          </cell>
          <cell r="N912">
            <v>4</v>
          </cell>
          <cell r="O912" t="str">
            <v>N</v>
          </cell>
        </row>
        <row r="913">
          <cell r="A913" t="str">
            <v>SHP-101528</v>
          </cell>
          <cell r="B913" t="str">
            <v xml:space="preserve"> 18/01/2024 </v>
          </cell>
          <cell r="C913" t="str">
            <v>Chennai</v>
          </cell>
          <cell r="D913" t="str">
            <v xml:space="preserve"> DTDC</v>
          </cell>
          <cell r="E913" t="str">
            <v>Air</v>
          </cell>
          <cell r="F913" t="str">
            <v>Electronics</v>
          </cell>
          <cell r="G913" t="str">
            <v xml:space="preserve"> SOUTH </v>
          </cell>
          <cell r="I913" t="str">
            <v>3.2</v>
          </cell>
          <cell r="J913" t="str">
            <v>₹190</v>
          </cell>
          <cell r="K913">
            <v>2</v>
          </cell>
          <cell r="L913" t="str">
            <v xml:space="preserve"> 27/01/2024 </v>
          </cell>
          <cell r="M913" t="str">
            <v>DELAYED</v>
          </cell>
          <cell r="N913">
            <v>2</v>
          </cell>
          <cell r="O913" t="str">
            <v>No</v>
          </cell>
        </row>
        <row r="914">
          <cell r="A914" t="str">
            <v>SHP-100242</v>
          </cell>
          <cell r="B914" t="str">
            <v xml:space="preserve"> 15/04/2024 </v>
          </cell>
          <cell r="C914" t="str">
            <v xml:space="preserve"> DELHI </v>
          </cell>
          <cell r="D914" t="str">
            <v xml:space="preserve">Dtdc </v>
          </cell>
          <cell r="E914" t="str">
            <v>surface</v>
          </cell>
          <cell r="F914" t="str">
            <v xml:space="preserve">  GROCERY &amp; FMCG </v>
          </cell>
          <cell r="G914" t="str">
            <v>East</v>
          </cell>
          <cell r="I914" t="str">
            <v>3.0</v>
          </cell>
          <cell r="J914" t="str">
            <v xml:space="preserve">Rs 216 </v>
          </cell>
          <cell r="K914">
            <v>6</v>
          </cell>
          <cell r="L914" t="str">
            <v>22/04/2024</v>
          </cell>
          <cell r="M914" t="str">
            <v>DELAYED</v>
          </cell>
          <cell r="N914">
            <v>5</v>
          </cell>
          <cell r="O914" t="str">
            <v>no</v>
          </cell>
        </row>
        <row r="915">
          <cell r="A915" t="str">
            <v>SHP-100796</v>
          </cell>
          <cell r="B915" t="str">
            <v>08/05/2024</v>
          </cell>
          <cell r="C915" t="str">
            <v>Delhi</v>
          </cell>
          <cell r="D915" t="str">
            <v>DTDC</v>
          </cell>
          <cell r="E915" t="str">
            <v>road</v>
          </cell>
          <cell r="F915" t="str">
            <v>FURNITURE</v>
          </cell>
          <cell r="G915" t="str">
            <v>East</v>
          </cell>
          <cell r="I915" t="str">
            <v xml:space="preserve">76.1 Kg </v>
          </cell>
          <cell r="J915" t="str">
            <v>₹1,188</v>
          </cell>
          <cell r="K915">
            <v>8</v>
          </cell>
          <cell r="L915" t="str">
            <v>22-May-2024</v>
          </cell>
          <cell r="M915" t="str">
            <v xml:space="preserve"> DAMAGED</v>
          </cell>
          <cell r="O915" t="str">
            <v>no</v>
          </cell>
        </row>
        <row r="916">
          <cell r="A916" t="str">
            <v>SHP-101289</v>
          </cell>
          <cell r="B916" t="str">
            <v>08/03/2024</v>
          </cell>
          <cell r="C916" t="str">
            <v>CHENNAI</v>
          </cell>
          <cell r="D916" t="str">
            <v>delhivery</v>
          </cell>
          <cell r="E916" t="str">
            <v>surface</v>
          </cell>
          <cell r="F916" t="str">
            <v>Furniture</v>
          </cell>
          <cell r="G916" t="str">
            <v xml:space="preserve">south </v>
          </cell>
          <cell r="I916" t="str">
            <v xml:space="preserve">22.6 Kg </v>
          </cell>
          <cell r="J916" t="str">
            <v xml:space="preserve">Rs 552 </v>
          </cell>
          <cell r="K916">
            <v>4</v>
          </cell>
          <cell r="L916" t="str">
            <v>2024-03-12</v>
          </cell>
          <cell r="M916" t="str">
            <v>Delivered</v>
          </cell>
          <cell r="N916">
            <v>2</v>
          </cell>
          <cell r="O916" t="str">
            <v>Y</v>
          </cell>
        </row>
        <row r="917">
          <cell r="A917" t="str">
            <v>SHP-101297</v>
          </cell>
          <cell r="B917" t="str">
            <v>27-Jan-2024</v>
          </cell>
          <cell r="C917" t="str">
            <v>BENGALURU</v>
          </cell>
          <cell r="D917" t="str">
            <v>Ecom Express</v>
          </cell>
          <cell r="E917" t="str">
            <v>Air</v>
          </cell>
          <cell r="F917" t="str">
            <v>apparel</v>
          </cell>
          <cell r="G917" t="str">
            <v>EAST</v>
          </cell>
          <cell r="I917" t="str">
            <v>1.4kg</v>
          </cell>
          <cell r="J917" t="str">
            <v xml:space="preserve">Rs 234 </v>
          </cell>
          <cell r="K917">
            <v>4</v>
          </cell>
          <cell r="L917" t="str">
            <v>2024-02-01</v>
          </cell>
          <cell r="M917" t="str">
            <v>Delayed</v>
          </cell>
          <cell r="N917">
            <v>2</v>
          </cell>
          <cell r="O917" t="str">
            <v>YES</v>
          </cell>
        </row>
        <row r="918">
          <cell r="A918" t="str">
            <v>SHP-100866</v>
          </cell>
          <cell r="B918" t="str">
            <v xml:space="preserve"> 03/05/2024 </v>
          </cell>
          <cell r="C918" t="str">
            <v xml:space="preserve"> KOLKATA </v>
          </cell>
          <cell r="D918" t="str">
            <v xml:space="preserve"> Delhivery</v>
          </cell>
          <cell r="E918" t="str">
            <v>road</v>
          </cell>
          <cell r="F918" t="str">
            <v>AUTOMOTIVE PARTS</v>
          </cell>
          <cell r="G918" t="str">
            <v xml:space="preserve"> WEST </v>
          </cell>
          <cell r="I918" t="str">
            <v>7.1kg</v>
          </cell>
          <cell r="J918" t="str">
            <v>296</v>
          </cell>
          <cell r="K918">
            <v>8</v>
          </cell>
          <cell r="L918" t="str">
            <v>12/05/2024</v>
          </cell>
          <cell r="M918" t="str">
            <v xml:space="preserve"> Delayed</v>
          </cell>
          <cell r="N918">
            <v>2</v>
          </cell>
          <cell r="O918" t="str">
            <v>N</v>
          </cell>
        </row>
        <row r="919">
          <cell r="A919" t="str">
            <v>SHP-100138</v>
          </cell>
          <cell r="B919" t="str">
            <v xml:space="preserve"> 05/06/2024 </v>
          </cell>
          <cell r="C919" t="str">
            <v>DELHI</v>
          </cell>
          <cell r="D919" t="str">
            <v>bluedart</v>
          </cell>
          <cell r="E919" t="str">
            <v>Road</v>
          </cell>
          <cell r="F919" t="str">
            <v xml:space="preserve">electronics </v>
          </cell>
          <cell r="G919" t="str">
            <v>WEST</v>
          </cell>
          <cell r="I919" t="str">
            <v>3.9</v>
          </cell>
          <cell r="J919" t="str">
            <v>208</v>
          </cell>
          <cell r="K919">
            <v>8</v>
          </cell>
          <cell r="L919" t="str">
            <v xml:space="preserve"> 12/06/2024 </v>
          </cell>
          <cell r="M919" t="str">
            <v>delivered</v>
          </cell>
          <cell r="N919">
            <v>1</v>
          </cell>
          <cell r="O919" t="str">
            <v>no</v>
          </cell>
        </row>
        <row r="920">
          <cell r="A920" t="str">
            <v>SHP-100749</v>
          </cell>
          <cell r="B920" t="str">
            <v xml:space="preserve"> 25/03/2024 </v>
          </cell>
          <cell r="C920" t="str">
            <v>Mumbai</v>
          </cell>
          <cell r="D920" t="str">
            <v>DTDC</v>
          </cell>
          <cell r="E920" t="str">
            <v>Air</v>
          </cell>
          <cell r="F920" t="str">
            <v>FURNITURE</v>
          </cell>
          <cell r="G920" t="str">
            <v>south</v>
          </cell>
          <cell r="I920" t="str">
            <v>39.9KG</v>
          </cell>
          <cell r="J920" t="str">
            <v>1,929</v>
          </cell>
          <cell r="K920">
            <v>4</v>
          </cell>
          <cell r="L920" t="str">
            <v>04-Apr-2024</v>
          </cell>
          <cell r="M920" t="str">
            <v>DELAYED</v>
          </cell>
          <cell r="N920">
            <v>3</v>
          </cell>
          <cell r="O920" t="str">
            <v>No</v>
          </cell>
        </row>
        <row r="921">
          <cell r="A921" t="str">
            <v>SHP-101011</v>
          </cell>
          <cell r="B921" t="str">
            <v>18/04/2024</v>
          </cell>
          <cell r="C921" t="str">
            <v>Chennai</v>
          </cell>
          <cell r="D921" t="str">
            <v>delhivery</v>
          </cell>
          <cell r="E921" t="str">
            <v>air</v>
          </cell>
          <cell r="F921" t="str">
            <v>Electronics</v>
          </cell>
          <cell r="G921" t="str">
            <v xml:space="preserve"> SOUTH </v>
          </cell>
          <cell r="I921" t="str">
            <v>12.1kg</v>
          </cell>
          <cell r="J921" t="str">
            <v>593</v>
          </cell>
          <cell r="K921">
            <v>2</v>
          </cell>
          <cell r="L921" t="str">
            <v>20/04/2024</v>
          </cell>
          <cell r="M921" t="str">
            <v>delivered</v>
          </cell>
          <cell r="N921">
            <v>4</v>
          </cell>
          <cell r="O921" t="str">
            <v>no</v>
          </cell>
        </row>
        <row r="922">
          <cell r="A922" t="str">
            <v>SHP-101080</v>
          </cell>
          <cell r="B922" t="str">
            <v>09-Jan-2024</v>
          </cell>
          <cell r="C922" t="str">
            <v>Mumbai</v>
          </cell>
          <cell r="D922" t="str">
            <v>bluedart</v>
          </cell>
          <cell r="E922" t="str">
            <v xml:space="preserve">road </v>
          </cell>
          <cell r="F922" t="str">
            <v>ELECTRONICS</v>
          </cell>
          <cell r="G922" t="str">
            <v>EAST</v>
          </cell>
          <cell r="I922" t="str">
            <v>14.6KG</v>
          </cell>
          <cell r="J922" t="str">
            <v xml:space="preserve">Rs 393 </v>
          </cell>
          <cell r="K922">
            <v>8</v>
          </cell>
          <cell r="L922" t="str">
            <v>2024-01-16</v>
          </cell>
          <cell r="M922" t="str">
            <v>Delivered</v>
          </cell>
          <cell r="N922">
            <v>4</v>
          </cell>
          <cell r="O922" t="str">
            <v>No</v>
          </cell>
        </row>
        <row r="923">
          <cell r="A923" t="str">
            <v>SHP-100490</v>
          </cell>
          <cell r="B923" t="str">
            <v xml:space="preserve"> 23/03/2024 </v>
          </cell>
          <cell r="C923" t="str">
            <v>mumbai</v>
          </cell>
          <cell r="D923" t="str">
            <v>Blue Dart</v>
          </cell>
          <cell r="E923" t="str">
            <v>ROAD</v>
          </cell>
          <cell r="F923" t="str">
            <v xml:space="preserve"> GROCERY &amp; FMCG </v>
          </cell>
          <cell r="G923" t="str">
            <v xml:space="preserve"> SOUTH </v>
          </cell>
          <cell r="I923" t="str">
            <v>15.8</v>
          </cell>
          <cell r="J923" t="str">
            <v>344</v>
          </cell>
          <cell r="K923">
            <v>8</v>
          </cell>
          <cell r="L923" t="str">
            <v>30-Mar-2024</v>
          </cell>
          <cell r="M923" t="str">
            <v xml:space="preserve"> Delivered</v>
          </cell>
          <cell r="N923">
            <v>5</v>
          </cell>
          <cell r="O923" t="str">
            <v>No</v>
          </cell>
        </row>
        <row r="924">
          <cell r="A924" t="str">
            <v>SHP-100334</v>
          </cell>
          <cell r="B924" t="str">
            <v>18-Feb-2024</v>
          </cell>
          <cell r="C924" t="str">
            <v>HYDERABAD</v>
          </cell>
          <cell r="D924" t="str">
            <v>xpressbees</v>
          </cell>
          <cell r="E924" t="str">
            <v xml:space="preserve">surface </v>
          </cell>
          <cell r="F924" t="str">
            <v>FURNITURE</v>
          </cell>
          <cell r="G924" t="str">
            <v>north</v>
          </cell>
          <cell r="I924" t="str">
            <v>27.7</v>
          </cell>
          <cell r="J924" t="str">
            <v xml:space="preserve">Rs 798 </v>
          </cell>
          <cell r="K924">
            <v>6</v>
          </cell>
          <cell r="L924" t="str">
            <v>2024-03-03</v>
          </cell>
          <cell r="M924" t="str">
            <v xml:space="preserve">delayed </v>
          </cell>
          <cell r="N924">
            <v>2</v>
          </cell>
          <cell r="O924" t="str">
            <v>no</v>
          </cell>
        </row>
        <row r="925">
          <cell r="A925" t="str">
            <v>SHP-101209</v>
          </cell>
          <cell r="B925" t="str">
            <v>2024-04-12</v>
          </cell>
          <cell r="C925" t="str">
            <v>mumbai</v>
          </cell>
          <cell r="D925" t="str">
            <v>Blue Dart</v>
          </cell>
          <cell r="E925" t="str">
            <v xml:space="preserve">air </v>
          </cell>
          <cell r="F925" t="str">
            <v>pharma</v>
          </cell>
          <cell r="G925" t="str">
            <v>East</v>
          </cell>
          <cell r="I925" t="str">
            <v>2.0</v>
          </cell>
          <cell r="J925" t="str">
            <v>₹292</v>
          </cell>
          <cell r="K925">
            <v>4</v>
          </cell>
          <cell r="L925" t="str">
            <v xml:space="preserve"> 15/04/2024 </v>
          </cell>
          <cell r="M925" t="str">
            <v>DELIVERED</v>
          </cell>
          <cell r="N925">
            <v>4</v>
          </cell>
          <cell r="O925" t="str">
            <v>No</v>
          </cell>
        </row>
        <row r="926">
          <cell r="A926" t="str">
            <v>SHP-101033</v>
          </cell>
          <cell r="B926" t="str">
            <v>03/04/2024</v>
          </cell>
          <cell r="C926" t="str">
            <v xml:space="preserve">bengaluru </v>
          </cell>
          <cell r="D926" t="str">
            <v>ecom express</v>
          </cell>
          <cell r="E926" t="str">
            <v>SURFACE</v>
          </cell>
          <cell r="F926" t="str">
            <v xml:space="preserve">automotive parts </v>
          </cell>
          <cell r="G926" t="str">
            <v>north</v>
          </cell>
          <cell r="I926" t="str">
            <v>15.3kg</v>
          </cell>
          <cell r="J926" t="str">
            <v>513</v>
          </cell>
          <cell r="K926">
            <v>6</v>
          </cell>
          <cell r="L926" t="str">
            <v>2024-04-10</v>
          </cell>
          <cell r="M926" t="str">
            <v xml:space="preserve"> Delayed</v>
          </cell>
          <cell r="N926">
            <v>4</v>
          </cell>
          <cell r="O926" t="str">
            <v xml:space="preserve"> No</v>
          </cell>
        </row>
        <row r="927">
          <cell r="A927" t="str">
            <v>SHP-100384</v>
          </cell>
          <cell r="B927" t="str">
            <v>11-May-2024</v>
          </cell>
          <cell r="C927" t="str">
            <v>Delhi</v>
          </cell>
          <cell r="D927" t="str">
            <v>ecom express</v>
          </cell>
          <cell r="E927" t="str">
            <v>surface</v>
          </cell>
          <cell r="F927" t="str">
            <v xml:space="preserve"> APPAREL </v>
          </cell>
          <cell r="G927" t="str">
            <v xml:space="preserve">west </v>
          </cell>
          <cell r="I927" t="str">
            <v>5.7KG</v>
          </cell>
          <cell r="J927" t="str">
            <v xml:space="preserve">Rs 302 </v>
          </cell>
          <cell r="K927">
            <v>6</v>
          </cell>
          <cell r="L927" t="str">
            <v>24/05/2024</v>
          </cell>
          <cell r="M927" t="str">
            <v xml:space="preserve"> Delayed</v>
          </cell>
          <cell r="N927">
            <v>3</v>
          </cell>
          <cell r="O927" t="str">
            <v xml:space="preserve"> No</v>
          </cell>
        </row>
        <row r="928">
          <cell r="A928" t="str">
            <v>SHP-100680</v>
          </cell>
          <cell r="B928" t="str">
            <v>2024-01-08</v>
          </cell>
          <cell r="C928" t="str">
            <v>DELHI</v>
          </cell>
          <cell r="D928" t="str">
            <v>XpressBees</v>
          </cell>
          <cell r="E928" t="str">
            <v>Surface</v>
          </cell>
          <cell r="F928" t="str">
            <v xml:space="preserve"> ELECTRONICS </v>
          </cell>
          <cell r="G928" t="str">
            <v xml:space="preserve"> EAST </v>
          </cell>
          <cell r="I928" t="str">
            <v xml:space="preserve">9.6 Kg </v>
          </cell>
          <cell r="J928" t="str">
            <v>365</v>
          </cell>
          <cell r="K928">
            <v>6</v>
          </cell>
          <cell r="L928" t="str">
            <v>13-Jan-2024</v>
          </cell>
          <cell r="M928" t="str">
            <v>Delivered</v>
          </cell>
          <cell r="N928">
            <v>5</v>
          </cell>
          <cell r="O928" t="str">
            <v>Y</v>
          </cell>
        </row>
        <row r="929">
          <cell r="A929" t="str">
            <v>SHP-101194</v>
          </cell>
          <cell r="B929" t="str">
            <v>04-Jan-2024</v>
          </cell>
          <cell r="C929" t="str">
            <v xml:space="preserve">chennai </v>
          </cell>
          <cell r="D929" t="str">
            <v xml:space="preserve">BLUEDART </v>
          </cell>
          <cell r="E929" t="str">
            <v xml:space="preserve"> AIR </v>
          </cell>
          <cell r="F929" t="str">
            <v>FURNITURE</v>
          </cell>
          <cell r="G929" t="str">
            <v>West</v>
          </cell>
          <cell r="I929" t="str">
            <v>77.3kg</v>
          </cell>
          <cell r="J929" t="str">
            <v>3,633</v>
          </cell>
          <cell r="K929">
            <v>4</v>
          </cell>
          <cell r="L929" t="str">
            <v xml:space="preserve"> 09/01/2024 </v>
          </cell>
          <cell r="M929" t="str">
            <v xml:space="preserve"> Delayed</v>
          </cell>
          <cell r="N929">
            <v>3</v>
          </cell>
          <cell r="O929" t="str">
            <v xml:space="preserve">yes </v>
          </cell>
        </row>
        <row r="930">
          <cell r="A930" t="str">
            <v>SHP-100498</v>
          </cell>
          <cell r="B930" t="str">
            <v>2024-02-05</v>
          </cell>
          <cell r="C930" t="str">
            <v>kolkata</v>
          </cell>
          <cell r="D930" t="str">
            <v>Blue Dart</v>
          </cell>
          <cell r="E930" t="str">
            <v>air</v>
          </cell>
          <cell r="F930" t="str">
            <v xml:space="preserve">automotive parts </v>
          </cell>
          <cell r="G930" t="str">
            <v>WEST</v>
          </cell>
          <cell r="I930" t="str">
            <v>30.7KG</v>
          </cell>
          <cell r="J930" t="str">
            <v xml:space="preserve">Rs 1521 </v>
          </cell>
          <cell r="K930">
            <v>4</v>
          </cell>
          <cell r="L930" t="str">
            <v>09/02/2024</v>
          </cell>
          <cell r="M930" t="str">
            <v xml:space="preserve"> Delivered</v>
          </cell>
          <cell r="N930">
            <v>2</v>
          </cell>
          <cell r="O930" t="str">
            <v>YES</v>
          </cell>
        </row>
        <row r="931">
          <cell r="A931" t="str">
            <v>SHP-101525</v>
          </cell>
          <cell r="B931" t="str">
            <v xml:space="preserve"> 12/05/2024 </v>
          </cell>
          <cell r="C931" t="str">
            <v>MUMBAI</v>
          </cell>
          <cell r="D931" t="str">
            <v>DELHIVERY</v>
          </cell>
          <cell r="E931" t="str">
            <v>road</v>
          </cell>
          <cell r="F931" t="str">
            <v xml:space="preserve"> PHARMA </v>
          </cell>
          <cell r="G931" t="str">
            <v>West</v>
          </cell>
          <cell r="I931" t="str">
            <v>0.9KG</v>
          </cell>
          <cell r="J931" t="str">
            <v>₹80</v>
          </cell>
          <cell r="K931">
            <v>6</v>
          </cell>
          <cell r="L931" t="str">
            <v>18/05/2024</v>
          </cell>
          <cell r="M931" t="str">
            <v>delivered</v>
          </cell>
          <cell r="N931">
            <v>5</v>
          </cell>
          <cell r="O931" t="str">
            <v xml:space="preserve"> No</v>
          </cell>
        </row>
        <row r="932">
          <cell r="A932" t="str">
            <v>SHP-100204</v>
          </cell>
          <cell r="B932" t="str">
            <v>05/03/2024</v>
          </cell>
          <cell r="C932" t="str">
            <v xml:space="preserve"> BENGALURU </v>
          </cell>
          <cell r="D932" t="str">
            <v xml:space="preserve"> Delhivery</v>
          </cell>
          <cell r="E932" t="str">
            <v xml:space="preserve"> SURFACE </v>
          </cell>
          <cell r="F932" t="str">
            <v>Furniture</v>
          </cell>
          <cell r="G932" t="str">
            <v xml:space="preserve">south </v>
          </cell>
          <cell r="I932" t="str">
            <v>78.4</v>
          </cell>
          <cell r="J932" t="str">
            <v>₹1,705</v>
          </cell>
          <cell r="K932">
            <v>4</v>
          </cell>
          <cell r="L932" t="str">
            <v xml:space="preserve"> 09/03/2024 </v>
          </cell>
          <cell r="M932" t="str">
            <v>DELIVERED</v>
          </cell>
          <cell r="N932">
            <v>5</v>
          </cell>
          <cell r="O932" t="str">
            <v>Yes</v>
          </cell>
        </row>
        <row r="933">
          <cell r="A933" t="str">
            <v>SHP-101510</v>
          </cell>
          <cell r="B933" t="str">
            <v>12-May-2024</v>
          </cell>
          <cell r="C933" t="str">
            <v>mumbai</v>
          </cell>
          <cell r="D933" t="str">
            <v>BlueDart</v>
          </cell>
          <cell r="E933" t="str">
            <v xml:space="preserve">road </v>
          </cell>
          <cell r="F933" t="str">
            <v>Electronics</v>
          </cell>
          <cell r="G933" t="str">
            <v xml:space="preserve"> NORTH </v>
          </cell>
          <cell r="I933" t="str">
            <v>1.6KG</v>
          </cell>
          <cell r="J933" t="str">
            <v xml:space="preserve">Rs 172 </v>
          </cell>
          <cell r="K933">
            <v>8</v>
          </cell>
          <cell r="L933" t="str">
            <v xml:space="preserve"> 21/05/2024 </v>
          </cell>
          <cell r="M933" t="str">
            <v xml:space="preserve">delayed </v>
          </cell>
          <cell r="N933">
            <v>4</v>
          </cell>
          <cell r="O933" t="str">
            <v xml:space="preserve">yes </v>
          </cell>
        </row>
        <row r="934">
          <cell r="A934" t="str">
            <v>SHP-101161</v>
          </cell>
          <cell r="B934" t="str">
            <v xml:space="preserve"> 23/01/2024 </v>
          </cell>
          <cell r="C934" t="str">
            <v>MUMBAI</v>
          </cell>
          <cell r="D934" t="str">
            <v>Xpress Bees</v>
          </cell>
          <cell r="E934" t="str">
            <v>Air</v>
          </cell>
          <cell r="F934" t="str">
            <v xml:space="preserve"> FURNITURE </v>
          </cell>
          <cell r="G934" t="str">
            <v xml:space="preserve"> EAST </v>
          </cell>
          <cell r="I934" t="str">
            <v xml:space="preserve">19.7 Kg </v>
          </cell>
          <cell r="J934" t="str">
            <v>₹1,089</v>
          </cell>
          <cell r="K934">
            <v>4</v>
          </cell>
          <cell r="L934" t="str">
            <v xml:space="preserve"> 27/01/2024 </v>
          </cell>
          <cell r="M934" t="str">
            <v>Delivered</v>
          </cell>
          <cell r="N934">
            <v>1</v>
          </cell>
          <cell r="O934" t="str">
            <v xml:space="preserve">yes </v>
          </cell>
        </row>
        <row r="935">
          <cell r="A935" t="str">
            <v>SHP-100998</v>
          </cell>
          <cell r="B935" t="str">
            <v>04-Jun-2024</v>
          </cell>
          <cell r="C935" t="str">
            <v xml:space="preserve">hyderabad </v>
          </cell>
          <cell r="D935" t="str">
            <v>Ecom  Express</v>
          </cell>
          <cell r="E935" t="str">
            <v>AIR</v>
          </cell>
          <cell r="F935" t="str">
            <v>Grocery &amp; FMCG</v>
          </cell>
          <cell r="G935" t="str">
            <v>South</v>
          </cell>
          <cell r="I935" t="str">
            <v>16.4kg</v>
          </cell>
          <cell r="J935" t="str">
            <v>₹907</v>
          </cell>
          <cell r="K935">
            <v>4</v>
          </cell>
          <cell r="L935" t="str">
            <v>09-Jun-2024</v>
          </cell>
          <cell r="M935" t="str">
            <v>DELAYED</v>
          </cell>
          <cell r="N935">
            <v>3</v>
          </cell>
          <cell r="O935" t="str">
            <v>no</v>
          </cell>
        </row>
        <row r="936">
          <cell r="A936" t="str">
            <v>SHP-100954</v>
          </cell>
          <cell r="B936" t="str">
            <v>21/02/2024</v>
          </cell>
          <cell r="C936" t="str">
            <v>kolkata</v>
          </cell>
          <cell r="D936" t="str">
            <v>BlueDart</v>
          </cell>
          <cell r="E936" t="str">
            <v xml:space="preserve">road </v>
          </cell>
          <cell r="F936" t="str">
            <v>ELECTRONICS</v>
          </cell>
          <cell r="G936" t="str">
            <v>north</v>
          </cell>
          <cell r="I936" t="str">
            <v xml:space="preserve">10.5 Kg </v>
          </cell>
          <cell r="J936" t="str">
            <v>315</v>
          </cell>
          <cell r="K936">
            <v>8</v>
          </cell>
          <cell r="L936" t="str">
            <v xml:space="preserve"> 28/02/2024 </v>
          </cell>
          <cell r="M936" t="str">
            <v>delivered</v>
          </cell>
          <cell r="N936">
            <v>5</v>
          </cell>
          <cell r="O936" t="str">
            <v>N</v>
          </cell>
        </row>
        <row r="937">
          <cell r="A937" t="str">
            <v>SHP-101284</v>
          </cell>
          <cell r="B937" t="str">
            <v>2024-01-24</v>
          </cell>
          <cell r="C937" t="str">
            <v>MUMBAI</v>
          </cell>
          <cell r="D937" t="str">
            <v>XpressBees</v>
          </cell>
          <cell r="E937" t="str">
            <v xml:space="preserve"> AIR </v>
          </cell>
          <cell r="F937" t="str">
            <v xml:space="preserve">electronics </v>
          </cell>
          <cell r="G937" t="str">
            <v xml:space="preserve"> NORTH </v>
          </cell>
          <cell r="I937" t="str">
            <v>14.5kg</v>
          </cell>
          <cell r="J937" t="str">
            <v>₹860</v>
          </cell>
          <cell r="K937">
            <v>4</v>
          </cell>
          <cell r="L937" t="str">
            <v>27/01/2024</v>
          </cell>
          <cell r="M937" t="str">
            <v>delivered</v>
          </cell>
          <cell r="N937">
            <v>1</v>
          </cell>
          <cell r="O937" t="str">
            <v>No</v>
          </cell>
        </row>
        <row r="938">
          <cell r="A938" t="str">
            <v>SHP-100389</v>
          </cell>
          <cell r="B938" t="str">
            <v>2024-04-09</v>
          </cell>
          <cell r="C938" t="str">
            <v>Kolkata</v>
          </cell>
          <cell r="D938" t="str">
            <v>DELHIVERY</v>
          </cell>
          <cell r="E938" t="str">
            <v xml:space="preserve"> AIR </v>
          </cell>
          <cell r="F938" t="str">
            <v xml:space="preserve">electronics  </v>
          </cell>
          <cell r="G938" t="str">
            <v xml:space="preserve"> SOUTH </v>
          </cell>
          <cell r="I938" t="str">
            <v xml:space="preserve">2.9 Kg </v>
          </cell>
          <cell r="J938" t="str">
            <v xml:space="preserve">Rs 297 </v>
          </cell>
          <cell r="K938">
            <v>4</v>
          </cell>
          <cell r="L938" t="str">
            <v>16-Apr-2024</v>
          </cell>
          <cell r="M938" t="str">
            <v xml:space="preserve">delayed </v>
          </cell>
          <cell r="N938">
            <v>3</v>
          </cell>
          <cell r="O938" t="str">
            <v>Yes</v>
          </cell>
        </row>
        <row r="939">
          <cell r="A939" t="str">
            <v>SHP-100685</v>
          </cell>
          <cell r="B939" t="str">
            <v>07/02/2024</v>
          </cell>
          <cell r="C939" t="str">
            <v>bengaluru</v>
          </cell>
          <cell r="D939" t="str">
            <v xml:space="preserve"> Delhivery</v>
          </cell>
          <cell r="E939" t="str">
            <v xml:space="preserve"> AIR </v>
          </cell>
          <cell r="F939" t="str">
            <v>ELECTRONICS</v>
          </cell>
          <cell r="G939" t="str">
            <v>south</v>
          </cell>
          <cell r="I939" t="str">
            <v xml:space="preserve">1.3 Kg </v>
          </cell>
          <cell r="J939" t="str">
            <v>₹80</v>
          </cell>
          <cell r="K939">
            <v>2</v>
          </cell>
          <cell r="L939" t="str">
            <v xml:space="preserve"> 08/02/2024 </v>
          </cell>
          <cell r="M939" t="str">
            <v>delivered</v>
          </cell>
          <cell r="N939">
            <v>4</v>
          </cell>
          <cell r="O939" t="str">
            <v>N</v>
          </cell>
        </row>
        <row r="940">
          <cell r="A940" t="str">
            <v>SHP-100190</v>
          </cell>
          <cell r="B940" t="str">
            <v xml:space="preserve"> 01/01/2024 </v>
          </cell>
          <cell r="C940" t="str">
            <v>delhi</v>
          </cell>
          <cell r="D940" t="str">
            <v>BlueDart</v>
          </cell>
          <cell r="E940" t="str">
            <v xml:space="preserve">road </v>
          </cell>
          <cell r="F940" t="str">
            <v xml:space="preserve"> AUTOMOTIVE PARTS </v>
          </cell>
          <cell r="G940" t="str">
            <v>EAST</v>
          </cell>
          <cell r="I940" t="str">
            <v>21.2kg</v>
          </cell>
          <cell r="J940" t="str">
            <v xml:space="preserve">Rs 432 </v>
          </cell>
          <cell r="K940">
            <v>8</v>
          </cell>
          <cell r="L940" t="str">
            <v>08-Jan-2024</v>
          </cell>
          <cell r="M940" t="str">
            <v>returned</v>
          </cell>
          <cell r="O940" t="str">
            <v xml:space="preserve">yes </v>
          </cell>
        </row>
        <row r="941">
          <cell r="A941" t="str">
            <v>SHP-100713</v>
          </cell>
          <cell r="B941" t="str">
            <v>12-Jan-2024</v>
          </cell>
          <cell r="C941" t="str">
            <v>Mumbai</v>
          </cell>
          <cell r="D941" t="str">
            <v>DTDC</v>
          </cell>
          <cell r="E941" t="str">
            <v>ROAD</v>
          </cell>
          <cell r="F941" t="str">
            <v xml:space="preserve">automotive  parts </v>
          </cell>
          <cell r="G941" t="str">
            <v>west</v>
          </cell>
          <cell r="I941" t="str">
            <v xml:space="preserve">39.6 Kg </v>
          </cell>
          <cell r="J941" t="str">
            <v>₹612</v>
          </cell>
          <cell r="K941">
            <v>6</v>
          </cell>
          <cell r="L941" t="str">
            <v>2024-01-18</v>
          </cell>
          <cell r="M941" t="str">
            <v xml:space="preserve"> Delivered</v>
          </cell>
          <cell r="N941">
            <v>5</v>
          </cell>
          <cell r="O941" t="str">
            <v>no</v>
          </cell>
        </row>
        <row r="942">
          <cell r="A942" t="str">
            <v>SHP-100347</v>
          </cell>
          <cell r="B942" t="str">
            <v>06/03/2024</v>
          </cell>
          <cell r="C942" t="str">
            <v>chennai</v>
          </cell>
          <cell r="D942" t="str">
            <v xml:space="preserve">Dtdc </v>
          </cell>
          <cell r="E942" t="str">
            <v>SURFACE</v>
          </cell>
          <cell r="F942" t="str">
            <v>AUTOMOTIVE PARTS</v>
          </cell>
          <cell r="G942" t="str">
            <v>North</v>
          </cell>
          <cell r="I942" t="str">
            <v>5.0</v>
          </cell>
          <cell r="J942" t="str">
            <v xml:space="preserve">Rs 242 </v>
          </cell>
          <cell r="K942">
            <v>6</v>
          </cell>
          <cell r="L942" t="str">
            <v>12/03/2024</v>
          </cell>
          <cell r="M942" t="str">
            <v>Delivered</v>
          </cell>
          <cell r="N942">
            <v>5</v>
          </cell>
          <cell r="O942" t="str">
            <v>no</v>
          </cell>
        </row>
        <row r="943">
          <cell r="A943" t="str">
            <v>SHP-101325</v>
          </cell>
          <cell r="B943" t="str">
            <v>10/02/2024</v>
          </cell>
          <cell r="C943" t="str">
            <v>hyderabad</v>
          </cell>
          <cell r="D943" t="str">
            <v xml:space="preserve">Dtdc </v>
          </cell>
          <cell r="E943" t="str">
            <v xml:space="preserve">air </v>
          </cell>
          <cell r="F943" t="str">
            <v xml:space="preserve">furniture </v>
          </cell>
          <cell r="G943" t="str">
            <v xml:space="preserve"> SOUTH </v>
          </cell>
          <cell r="I943" t="str">
            <v xml:space="preserve">15.9 Kg </v>
          </cell>
          <cell r="J943" t="str">
            <v xml:space="preserve">Rs 915 </v>
          </cell>
          <cell r="K943">
            <v>4</v>
          </cell>
          <cell r="L943" t="str">
            <v>15/02/2024</v>
          </cell>
          <cell r="M943" t="str">
            <v xml:space="preserve">delayed </v>
          </cell>
          <cell r="N943">
            <v>4</v>
          </cell>
          <cell r="O943" t="str">
            <v>no</v>
          </cell>
        </row>
        <row r="944">
          <cell r="A944" t="str">
            <v>SHP-100086</v>
          </cell>
          <cell r="B944" t="str">
            <v>2024-03-22</v>
          </cell>
          <cell r="C944" t="str">
            <v>MUMBAI</v>
          </cell>
          <cell r="D944" t="str">
            <v>Blue Dart</v>
          </cell>
          <cell r="E944" t="str">
            <v>SURFACE</v>
          </cell>
          <cell r="F944" t="str">
            <v xml:space="preserve"> FURNITURE </v>
          </cell>
          <cell r="G944" t="str">
            <v xml:space="preserve">north </v>
          </cell>
          <cell r="I944" t="str">
            <v>74.9kg</v>
          </cell>
          <cell r="J944" t="str">
            <v xml:space="preserve">Rs 1788 </v>
          </cell>
          <cell r="K944">
            <v>6</v>
          </cell>
          <cell r="L944" t="str">
            <v xml:space="preserve"> 28/03/2024 </v>
          </cell>
          <cell r="M944" t="str">
            <v xml:space="preserve"> DAMAGED</v>
          </cell>
          <cell r="O944" t="str">
            <v>No</v>
          </cell>
        </row>
        <row r="945">
          <cell r="A945" t="str">
            <v>SHP-100124</v>
          </cell>
          <cell r="B945" t="str">
            <v xml:space="preserve"> 11/06/2024 </v>
          </cell>
          <cell r="C945" t="str">
            <v>Chennai</v>
          </cell>
          <cell r="D945" t="str">
            <v>dtdc</v>
          </cell>
          <cell r="E945" t="str">
            <v>ROAD</v>
          </cell>
          <cell r="F945" t="str">
            <v>APPAREL</v>
          </cell>
          <cell r="G945" t="str">
            <v>north</v>
          </cell>
          <cell r="I945" t="str">
            <v>7.6kg</v>
          </cell>
          <cell r="J945" t="str">
            <v xml:space="preserve">Rs 300 </v>
          </cell>
          <cell r="K945">
            <v>8</v>
          </cell>
          <cell r="L945" t="str">
            <v>18-Jun-2024</v>
          </cell>
          <cell r="M945" t="str">
            <v xml:space="preserve">RETURNED </v>
          </cell>
          <cell r="O945" t="str">
            <v>Yes</v>
          </cell>
        </row>
        <row r="946">
          <cell r="A946" t="str">
            <v>SHP-100736</v>
          </cell>
          <cell r="B946" t="str">
            <v>18-Mar-2024</v>
          </cell>
          <cell r="C946" t="str">
            <v xml:space="preserve"> CHENNAI </v>
          </cell>
          <cell r="D946" t="str">
            <v>XpressBees</v>
          </cell>
          <cell r="E946" t="str">
            <v>road</v>
          </cell>
          <cell r="F946" t="str">
            <v>pharma</v>
          </cell>
          <cell r="G946" t="str">
            <v>north</v>
          </cell>
          <cell r="I946" t="str">
            <v>2.7</v>
          </cell>
          <cell r="J946" t="str">
            <v>₹207</v>
          </cell>
          <cell r="K946">
            <v>8</v>
          </cell>
          <cell r="L946" t="str">
            <v>02/04/2024</v>
          </cell>
          <cell r="M946" t="str">
            <v xml:space="preserve"> Delayed</v>
          </cell>
          <cell r="N946">
            <v>3</v>
          </cell>
          <cell r="O946" t="str">
            <v>N</v>
          </cell>
        </row>
        <row r="947">
          <cell r="A947" t="str">
            <v>SHP-101234</v>
          </cell>
          <cell r="B947" t="str">
            <v>15-Mar-2024</v>
          </cell>
          <cell r="C947" t="str">
            <v xml:space="preserve"> KOLKATA </v>
          </cell>
          <cell r="D947" t="str">
            <v>bluedart</v>
          </cell>
          <cell r="E947" t="str">
            <v>road</v>
          </cell>
          <cell r="F947" t="str">
            <v xml:space="preserve"> ELECTRONICS </v>
          </cell>
          <cell r="G947" t="str">
            <v>NORTH</v>
          </cell>
          <cell r="I947" t="str">
            <v xml:space="preserve">11.3 Kg </v>
          </cell>
          <cell r="J947" t="str">
            <v xml:space="preserve">Rs 351 </v>
          </cell>
          <cell r="K947">
            <v>8</v>
          </cell>
          <cell r="L947" t="str">
            <v>2024-03-22</v>
          </cell>
          <cell r="M947" t="str">
            <v>returned</v>
          </cell>
          <cell r="O947" t="str">
            <v xml:space="preserve">yes </v>
          </cell>
        </row>
        <row r="948">
          <cell r="A948" t="str">
            <v>SHP-101197</v>
          </cell>
          <cell r="B948" t="str">
            <v>01-Jan-2024</v>
          </cell>
          <cell r="C948" t="str">
            <v>delhi</v>
          </cell>
          <cell r="D948" t="str">
            <v>Delhivery</v>
          </cell>
          <cell r="E948" t="str">
            <v>SURFACE</v>
          </cell>
          <cell r="F948" t="str">
            <v xml:space="preserve">pharma </v>
          </cell>
          <cell r="G948" t="str">
            <v xml:space="preserve">north </v>
          </cell>
          <cell r="I948" t="str">
            <v>1.9</v>
          </cell>
          <cell r="J948" t="str">
            <v>₹80</v>
          </cell>
          <cell r="K948">
            <v>4</v>
          </cell>
          <cell r="L948" t="str">
            <v xml:space="preserve"> 06/01/2024 </v>
          </cell>
          <cell r="M948" t="str">
            <v>DELAYED</v>
          </cell>
          <cell r="N948">
            <v>1</v>
          </cell>
          <cell r="O948" t="str">
            <v>No</v>
          </cell>
        </row>
        <row r="949">
          <cell r="A949" t="str">
            <v>SHP-100440</v>
          </cell>
          <cell r="B949" t="str">
            <v>23-Feb-2024</v>
          </cell>
          <cell r="C949" t="str">
            <v xml:space="preserve"> KOLKATA </v>
          </cell>
          <cell r="D949" t="str">
            <v>DTDC</v>
          </cell>
          <cell r="E949" t="str">
            <v xml:space="preserve">road </v>
          </cell>
          <cell r="F949" t="str">
            <v xml:space="preserve">furniture </v>
          </cell>
          <cell r="G949" t="str">
            <v>north</v>
          </cell>
          <cell r="I949" t="str">
            <v>60.7kg</v>
          </cell>
          <cell r="J949" t="str">
            <v>975</v>
          </cell>
          <cell r="K949">
            <v>8</v>
          </cell>
          <cell r="L949" t="str">
            <v>09/03/2024</v>
          </cell>
          <cell r="M949" t="str">
            <v>Delayed</v>
          </cell>
          <cell r="N949">
            <v>1</v>
          </cell>
          <cell r="O949" t="str">
            <v>No</v>
          </cell>
        </row>
        <row r="950">
          <cell r="A950" t="str">
            <v>SHP-101395</v>
          </cell>
          <cell r="B950" t="str">
            <v>09-Mar-2024</v>
          </cell>
          <cell r="C950" t="str">
            <v>MUMBAI</v>
          </cell>
          <cell r="D950" t="str">
            <v>DTDC</v>
          </cell>
          <cell r="E950" t="str">
            <v>road</v>
          </cell>
          <cell r="F950" t="str">
            <v xml:space="preserve"> PHARMA </v>
          </cell>
          <cell r="G950" t="str">
            <v xml:space="preserve">west </v>
          </cell>
          <cell r="I950" t="str">
            <v xml:space="preserve">0.6 Kg </v>
          </cell>
          <cell r="J950" t="str">
            <v xml:space="preserve">Rs 80 </v>
          </cell>
          <cell r="K950">
            <v>6</v>
          </cell>
          <cell r="L950" t="str">
            <v>14-Mar-2024</v>
          </cell>
          <cell r="M950" t="str">
            <v>Delivered</v>
          </cell>
          <cell r="N950">
            <v>5</v>
          </cell>
          <cell r="O950" t="str">
            <v>Yes</v>
          </cell>
        </row>
        <row r="951">
          <cell r="A951" t="str">
            <v>SHP-101389</v>
          </cell>
          <cell r="B951" t="str">
            <v xml:space="preserve"> 24/05/2024 </v>
          </cell>
          <cell r="C951" t="str">
            <v>Hyderabad</v>
          </cell>
          <cell r="D951" t="str">
            <v>XpressBees</v>
          </cell>
          <cell r="E951" t="str">
            <v xml:space="preserve"> SURFACE </v>
          </cell>
          <cell r="F951" t="str">
            <v xml:space="preserve">pharma  </v>
          </cell>
          <cell r="G951" t="str">
            <v>North</v>
          </cell>
          <cell r="I951" t="str">
            <v xml:space="preserve">2.1 Kg </v>
          </cell>
          <cell r="J951" t="str">
            <v>₹255</v>
          </cell>
          <cell r="K951">
            <v>6</v>
          </cell>
          <cell r="L951" t="str">
            <v xml:space="preserve"> 03/06/2024 </v>
          </cell>
          <cell r="M951" t="str">
            <v>Delayed</v>
          </cell>
          <cell r="N951">
            <v>1</v>
          </cell>
          <cell r="O951" t="str">
            <v xml:space="preserve">yes </v>
          </cell>
        </row>
        <row r="952">
          <cell r="A952" t="str">
            <v>SHP-101083</v>
          </cell>
          <cell r="B952" t="str">
            <v>05-May-2024</v>
          </cell>
          <cell r="C952" t="str">
            <v>hyderabad</v>
          </cell>
          <cell r="D952" t="str">
            <v>DELHIVERY</v>
          </cell>
          <cell r="E952" t="str">
            <v>road</v>
          </cell>
          <cell r="F952" t="str">
            <v xml:space="preserve">  FURNITURE </v>
          </cell>
          <cell r="G952" t="str">
            <v>NORTH</v>
          </cell>
          <cell r="I952" t="str">
            <v>34.1</v>
          </cell>
          <cell r="J952" t="str">
            <v>₹645</v>
          </cell>
          <cell r="K952">
            <v>8</v>
          </cell>
          <cell r="L952" t="str">
            <v>16/05/2024</v>
          </cell>
          <cell r="M952" t="str">
            <v xml:space="preserve">delayed </v>
          </cell>
          <cell r="N952">
            <v>1</v>
          </cell>
          <cell r="O952" t="str">
            <v>No</v>
          </cell>
        </row>
        <row r="953">
          <cell r="A953" t="str">
            <v>SHP-100226</v>
          </cell>
          <cell r="B953" t="str">
            <v xml:space="preserve"> 26/03/2024 </v>
          </cell>
          <cell r="C953" t="str">
            <v>Hyderabad</v>
          </cell>
          <cell r="D953" t="str">
            <v>BlueDart</v>
          </cell>
          <cell r="E953" t="str">
            <v>ROAD</v>
          </cell>
          <cell r="F953" t="str">
            <v xml:space="preserve">  ELECTRONICS </v>
          </cell>
          <cell r="G953" t="str">
            <v>south</v>
          </cell>
          <cell r="I953" t="str">
            <v>7.2kg</v>
          </cell>
          <cell r="J953" t="str">
            <v>₹267</v>
          </cell>
          <cell r="K953">
            <v>8</v>
          </cell>
          <cell r="L953" t="str">
            <v>2024-04-04</v>
          </cell>
          <cell r="M953" t="str">
            <v xml:space="preserve"> Delayed</v>
          </cell>
          <cell r="N953">
            <v>5</v>
          </cell>
          <cell r="O953" t="str">
            <v xml:space="preserve"> No</v>
          </cell>
        </row>
        <row r="954">
          <cell r="A954" t="str">
            <v>SHP-100755</v>
          </cell>
          <cell r="B954" t="str">
            <v>22/06/2024</v>
          </cell>
          <cell r="C954" t="str">
            <v xml:space="preserve"> HYDERABAD </v>
          </cell>
          <cell r="D954" t="str">
            <v>ecom express</v>
          </cell>
          <cell r="E954" t="str">
            <v>AIR</v>
          </cell>
          <cell r="F954" t="str">
            <v>AUTOMOTIVE PARTS</v>
          </cell>
          <cell r="G954" t="str">
            <v>SOUTH</v>
          </cell>
          <cell r="I954" t="str">
            <v xml:space="preserve">5.3 Kg </v>
          </cell>
          <cell r="J954" t="str">
            <v>440</v>
          </cell>
          <cell r="K954">
            <v>4</v>
          </cell>
          <cell r="L954" t="str">
            <v>25-Jun-2024</v>
          </cell>
          <cell r="M954" t="str">
            <v>DELIVERED</v>
          </cell>
          <cell r="N954">
            <v>4</v>
          </cell>
          <cell r="O954" t="str">
            <v>No</v>
          </cell>
        </row>
        <row r="955">
          <cell r="A955" t="str">
            <v>SHP-101560</v>
          </cell>
          <cell r="B955" t="str">
            <v xml:space="preserve"> 15/06/2024 </v>
          </cell>
          <cell r="C955" t="str">
            <v>MUMBAI</v>
          </cell>
          <cell r="D955" t="str">
            <v>dtdc</v>
          </cell>
          <cell r="E955" t="str">
            <v>air</v>
          </cell>
          <cell r="F955" t="str">
            <v>FURNITURE</v>
          </cell>
          <cell r="G955" t="str">
            <v>West</v>
          </cell>
          <cell r="I955" t="str">
            <v>65.5</v>
          </cell>
          <cell r="J955" t="str">
            <v xml:space="preserve">Rs 2965 </v>
          </cell>
          <cell r="K955">
            <v>2</v>
          </cell>
          <cell r="L955" t="str">
            <v>16-Jun-2024</v>
          </cell>
          <cell r="M955" t="str">
            <v>Delivered</v>
          </cell>
          <cell r="N955">
            <v>5</v>
          </cell>
          <cell r="O955" t="str">
            <v>YES</v>
          </cell>
        </row>
        <row r="956">
          <cell r="A956" t="str">
            <v>SHP-100729</v>
          </cell>
          <cell r="B956" t="str">
            <v xml:space="preserve"> 03/05/2024 </v>
          </cell>
          <cell r="C956" t="str">
            <v>Mumbai</v>
          </cell>
          <cell r="D956" t="str">
            <v>XpressBees</v>
          </cell>
          <cell r="E956" t="str">
            <v>SURFACE</v>
          </cell>
          <cell r="F956" t="str">
            <v xml:space="preserve">automotive parts </v>
          </cell>
          <cell r="G956" t="str">
            <v>EAST</v>
          </cell>
          <cell r="I956" t="str">
            <v>27.6KG</v>
          </cell>
          <cell r="J956" t="str">
            <v>783</v>
          </cell>
          <cell r="K956">
            <v>6</v>
          </cell>
          <cell r="L956" t="str">
            <v>12/05/2024</v>
          </cell>
          <cell r="M956" t="str">
            <v>Delayed</v>
          </cell>
          <cell r="N956">
            <v>4</v>
          </cell>
          <cell r="O956" t="str">
            <v xml:space="preserve">yes </v>
          </cell>
        </row>
        <row r="957">
          <cell r="A957" t="str">
            <v>SHP-101070</v>
          </cell>
          <cell r="B957" t="str">
            <v>23-May-2024</v>
          </cell>
          <cell r="C957" t="str">
            <v>hyderabad</v>
          </cell>
          <cell r="D957" t="str">
            <v>dtdc</v>
          </cell>
          <cell r="E957" t="str">
            <v xml:space="preserve">surface </v>
          </cell>
          <cell r="F957" t="str">
            <v xml:space="preserve">furniture </v>
          </cell>
          <cell r="G957" t="str">
            <v>west</v>
          </cell>
          <cell r="I957" t="str">
            <v xml:space="preserve">21.7 Kg </v>
          </cell>
          <cell r="J957" t="str">
            <v xml:space="preserve">Rs 515 </v>
          </cell>
          <cell r="K957">
            <v>4</v>
          </cell>
          <cell r="L957" t="str">
            <v>27/05/2024</v>
          </cell>
          <cell r="M957" t="str">
            <v>Delivered</v>
          </cell>
          <cell r="N957">
            <v>5</v>
          </cell>
          <cell r="O957" t="str">
            <v xml:space="preserve"> No</v>
          </cell>
        </row>
        <row r="958">
          <cell r="A958" t="str">
            <v>SHP-100672</v>
          </cell>
          <cell r="B958" t="str">
            <v>2024-03-04</v>
          </cell>
          <cell r="C958" t="str">
            <v>hyderabad</v>
          </cell>
          <cell r="D958" t="str">
            <v>Delhivery</v>
          </cell>
          <cell r="E958" t="str">
            <v>Surface</v>
          </cell>
          <cell r="F958" t="str">
            <v>APPAREL</v>
          </cell>
          <cell r="G958" t="str">
            <v>west</v>
          </cell>
          <cell r="I958" t="str">
            <v>7.1</v>
          </cell>
          <cell r="J958" t="str">
            <v xml:space="preserve">Rs 216 </v>
          </cell>
          <cell r="K958">
            <v>4</v>
          </cell>
          <cell r="L958" t="str">
            <v>13-Mar-2024</v>
          </cell>
          <cell r="M958" t="str">
            <v xml:space="preserve">delayed </v>
          </cell>
          <cell r="N958">
            <v>2</v>
          </cell>
          <cell r="O958" t="str">
            <v xml:space="preserve"> No</v>
          </cell>
        </row>
        <row r="959">
          <cell r="A959" t="str">
            <v>SHP-101380</v>
          </cell>
          <cell r="B959" t="str">
            <v>24/06/2024</v>
          </cell>
          <cell r="C959" t="str">
            <v>chennai</v>
          </cell>
          <cell r="D959" t="str">
            <v xml:space="preserve">Dtdc </v>
          </cell>
          <cell r="E959" t="str">
            <v>AIR</v>
          </cell>
          <cell r="F959" t="str">
            <v>apparel</v>
          </cell>
          <cell r="G959" t="str">
            <v>west</v>
          </cell>
          <cell r="I959" t="str">
            <v>6.6</v>
          </cell>
          <cell r="J959" t="str">
            <v xml:space="preserve">Rs 447 </v>
          </cell>
          <cell r="K959">
            <v>4</v>
          </cell>
          <cell r="L959" t="str">
            <v>03/07/2024</v>
          </cell>
          <cell r="M959" t="str">
            <v xml:space="preserve">delayed </v>
          </cell>
          <cell r="N959">
            <v>5</v>
          </cell>
          <cell r="O959" t="str">
            <v>no</v>
          </cell>
        </row>
        <row r="960">
          <cell r="A960" t="str">
            <v>SHP-101278</v>
          </cell>
          <cell r="B960" t="str">
            <v>2024-06-08</v>
          </cell>
          <cell r="C960" t="str">
            <v>Mumbai</v>
          </cell>
          <cell r="D960" t="str">
            <v>Ecom  Express</v>
          </cell>
          <cell r="E960" t="str">
            <v>Road</v>
          </cell>
          <cell r="F960" t="str">
            <v xml:space="preserve"> GROCERY &amp; FMCG </v>
          </cell>
          <cell r="G960" t="str">
            <v>East</v>
          </cell>
          <cell r="I960" t="str">
            <v>2.5kg</v>
          </cell>
          <cell r="J960" t="str">
            <v>₹190</v>
          </cell>
          <cell r="K960">
            <v>8</v>
          </cell>
          <cell r="L960" t="str">
            <v>2024-06-17</v>
          </cell>
          <cell r="M960" t="str">
            <v>DELAYED</v>
          </cell>
          <cell r="N960">
            <v>3</v>
          </cell>
          <cell r="O960" t="str">
            <v>Y</v>
          </cell>
        </row>
        <row r="961">
          <cell r="A961" t="str">
            <v>SHP-100244</v>
          </cell>
          <cell r="B961" t="str">
            <v xml:space="preserve"> 26/04/2024 </v>
          </cell>
          <cell r="C961" t="str">
            <v>bengaluru</v>
          </cell>
          <cell r="D961" t="str">
            <v xml:space="preserve"> DTDC</v>
          </cell>
          <cell r="E961" t="str">
            <v xml:space="preserve"> SURFACE </v>
          </cell>
          <cell r="F961" t="str">
            <v>FURNITURE</v>
          </cell>
          <cell r="G961" t="str">
            <v xml:space="preserve"> EAST </v>
          </cell>
          <cell r="I961" t="str">
            <v>58.5kg</v>
          </cell>
          <cell r="J961" t="str">
            <v xml:space="preserve">Rs 1469 </v>
          </cell>
          <cell r="K961">
            <v>6</v>
          </cell>
          <cell r="L961" t="str">
            <v>02-May-2024</v>
          </cell>
          <cell r="M961" t="str">
            <v xml:space="preserve"> Delivered</v>
          </cell>
          <cell r="N961">
            <v>4</v>
          </cell>
          <cell r="O961" t="str">
            <v>No</v>
          </cell>
        </row>
        <row r="962">
          <cell r="A962" t="str">
            <v>SHP-100295</v>
          </cell>
          <cell r="B962" t="str">
            <v xml:space="preserve"> 05/02/2024 </v>
          </cell>
          <cell r="C962" t="str">
            <v>delhi</v>
          </cell>
          <cell r="D962" t="str">
            <v xml:space="preserve">BLUEDART </v>
          </cell>
          <cell r="E962" t="str">
            <v>Surface</v>
          </cell>
          <cell r="F962" t="str">
            <v>pharma</v>
          </cell>
          <cell r="G962" t="str">
            <v>East</v>
          </cell>
          <cell r="I962" t="str">
            <v xml:space="preserve">1.2 Kg </v>
          </cell>
          <cell r="J962" t="str">
            <v xml:space="preserve">Rs 173 </v>
          </cell>
          <cell r="K962">
            <v>6</v>
          </cell>
          <cell r="L962" t="str">
            <v>11-Feb-2024</v>
          </cell>
          <cell r="M962" t="str">
            <v xml:space="preserve"> Delivered</v>
          </cell>
          <cell r="N962">
            <v>4</v>
          </cell>
          <cell r="O962" t="str">
            <v>Y</v>
          </cell>
        </row>
        <row r="963">
          <cell r="A963" t="str">
            <v>SHP-100561</v>
          </cell>
          <cell r="B963" t="str">
            <v>2024-05-26</v>
          </cell>
          <cell r="C963" t="str">
            <v xml:space="preserve"> DELHI </v>
          </cell>
          <cell r="D963" t="str">
            <v>DTDC</v>
          </cell>
          <cell r="E963" t="str">
            <v>road</v>
          </cell>
          <cell r="F963" t="str">
            <v>GROCERY &amp; FMCG</v>
          </cell>
          <cell r="G963" t="str">
            <v xml:space="preserve"> NORTH </v>
          </cell>
          <cell r="I963" t="str">
            <v>8.9kg</v>
          </cell>
          <cell r="J963" t="str">
            <v xml:space="preserve">Rs 106 </v>
          </cell>
          <cell r="K963">
            <v>6</v>
          </cell>
          <cell r="L963" t="str">
            <v>10-Jun-2024</v>
          </cell>
          <cell r="M963" t="str">
            <v>Delayed</v>
          </cell>
          <cell r="N963">
            <v>3</v>
          </cell>
          <cell r="O963" t="str">
            <v>N</v>
          </cell>
        </row>
        <row r="964">
          <cell r="A964" t="str">
            <v>SHP-100192</v>
          </cell>
          <cell r="B964" t="str">
            <v xml:space="preserve"> 19/01/2024 </v>
          </cell>
          <cell r="C964" t="str">
            <v>delhi</v>
          </cell>
          <cell r="D964" t="str">
            <v>BlueDart</v>
          </cell>
          <cell r="E964" t="str">
            <v>Air</v>
          </cell>
          <cell r="F964" t="str">
            <v>Pharma</v>
          </cell>
          <cell r="G964" t="str">
            <v xml:space="preserve">west </v>
          </cell>
          <cell r="I964" t="str">
            <v>1.8KG</v>
          </cell>
          <cell r="J964" t="str">
            <v>227</v>
          </cell>
          <cell r="K964">
            <v>4</v>
          </cell>
          <cell r="L964" t="str">
            <v>23/01/2024</v>
          </cell>
          <cell r="M964" t="str">
            <v>delivered</v>
          </cell>
          <cell r="N964">
            <v>2</v>
          </cell>
          <cell r="O964" t="str">
            <v>no</v>
          </cell>
        </row>
        <row r="965">
          <cell r="A965" t="str">
            <v>SHP-101436</v>
          </cell>
          <cell r="B965" t="str">
            <v xml:space="preserve"> 27/05/2024 </v>
          </cell>
          <cell r="C965" t="str">
            <v>BENGALURU</v>
          </cell>
          <cell r="D965" t="str">
            <v>ECOM EXPRESS</v>
          </cell>
          <cell r="E965" t="str">
            <v>ROAD</v>
          </cell>
          <cell r="F965" t="str">
            <v>apparel</v>
          </cell>
          <cell r="G965" t="str">
            <v>EAST</v>
          </cell>
          <cell r="I965" t="str">
            <v xml:space="preserve">4.0 Kg </v>
          </cell>
          <cell r="J965" t="str">
            <v xml:space="preserve">Rs 202 </v>
          </cell>
          <cell r="K965">
            <v>8</v>
          </cell>
          <cell r="L965" t="str">
            <v>05/06/2024</v>
          </cell>
          <cell r="M965" t="str">
            <v xml:space="preserve"> Delayed</v>
          </cell>
          <cell r="N965">
            <v>4</v>
          </cell>
          <cell r="O965" t="str">
            <v>N</v>
          </cell>
        </row>
        <row r="966">
          <cell r="A966" t="str">
            <v>SHP-100273</v>
          </cell>
          <cell r="B966" t="str">
            <v>05-Jan-2024</v>
          </cell>
          <cell r="C966" t="str">
            <v xml:space="preserve">mumbai </v>
          </cell>
          <cell r="D966" t="str">
            <v>XpressBees</v>
          </cell>
          <cell r="E966" t="str">
            <v>Surface</v>
          </cell>
          <cell r="F966" t="str">
            <v>electronics</v>
          </cell>
          <cell r="G966" t="str">
            <v xml:space="preserve"> EAST </v>
          </cell>
          <cell r="I966" t="str">
            <v>12.9</v>
          </cell>
          <cell r="J966" t="str">
            <v xml:space="preserve">Rs 452 </v>
          </cell>
          <cell r="K966">
            <v>6</v>
          </cell>
          <cell r="L966" t="str">
            <v>13/01/2024</v>
          </cell>
          <cell r="M966" t="str">
            <v>Delayed</v>
          </cell>
          <cell r="N966">
            <v>3</v>
          </cell>
          <cell r="O966" t="str">
            <v xml:space="preserve"> No</v>
          </cell>
        </row>
        <row r="967">
          <cell r="A967" t="str">
            <v>SHP-100589</v>
          </cell>
          <cell r="B967" t="str">
            <v>26/04/2024</v>
          </cell>
          <cell r="C967" t="str">
            <v>Bengaluru</v>
          </cell>
          <cell r="D967" t="str">
            <v xml:space="preserve"> DTDC</v>
          </cell>
          <cell r="E967" t="str">
            <v>Road</v>
          </cell>
          <cell r="F967" t="str">
            <v>ELECTRONICS</v>
          </cell>
          <cell r="G967" t="str">
            <v>EAST</v>
          </cell>
          <cell r="I967" t="str">
            <v>8.3KG</v>
          </cell>
          <cell r="J967" t="str">
            <v>255</v>
          </cell>
          <cell r="K967">
            <v>8</v>
          </cell>
          <cell r="L967" t="str">
            <v>2024-05-06</v>
          </cell>
          <cell r="M967" t="str">
            <v xml:space="preserve">delayed </v>
          </cell>
          <cell r="N967">
            <v>2</v>
          </cell>
          <cell r="O967" t="str">
            <v>Yes</v>
          </cell>
        </row>
        <row r="968">
          <cell r="A968" t="str">
            <v>SHP-101581</v>
          </cell>
          <cell r="B968" t="str">
            <v>18-Jan-2024</v>
          </cell>
          <cell r="C968" t="str">
            <v>Delhi</v>
          </cell>
          <cell r="D968" t="str">
            <v>delhivery</v>
          </cell>
          <cell r="E968" t="str">
            <v xml:space="preserve"> ROAD </v>
          </cell>
          <cell r="F968" t="str">
            <v xml:space="preserve">apparel </v>
          </cell>
          <cell r="G968" t="str">
            <v>south</v>
          </cell>
          <cell r="I968" t="str">
            <v>3.2kg</v>
          </cell>
          <cell r="J968" t="str">
            <v>₹233</v>
          </cell>
          <cell r="K968">
            <v>8</v>
          </cell>
          <cell r="L968" t="str">
            <v xml:space="preserve"> 27/01/2024 </v>
          </cell>
          <cell r="M968" t="str">
            <v xml:space="preserve">RETURNED </v>
          </cell>
          <cell r="O968" t="str">
            <v xml:space="preserve">yes </v>
          </cell>
        </row>
        <row r="969">
          <cell r="A969" t="str">
            <v>SHP-100686</v>
          </cell>
          <cell r="B969" t="str">
            <v xml:space="preserve"> 22/04/2024 </v>
          </cell>
          <cell r="C969" t="str">
            <v>HYDERABAD</v>
          </cell>
          <cell r="D969" t="str">
            <v>DTDC</v>
          </cell>
          <cell r="E969" t="str">
            <v>SURFACE</v>
          </cell>
          <cell r="F969" t="str">
            <v>automotive parts</v>
          </cell>
          <cell r="G969" t="str">
            <v xml:space="preserve">north </v>
          </cell>
          <cell r="I969" t="str">
            <v>7.7</v>
          </cell>
          <cell r="J969" t="str">
            <v>₹309</v>
          </cell>
          <cell r="K969">
            <v>6</v>
          </cell>
          <cell r="L969" t="str">
            <v>2024-04-27</v>
          </cell>
          <cell r="M969" t="str">
            <v xml:space="preserve"> Delivered</v>
          </cell>
          <cell r="N969">
            <v>3</v>
          </cell>
          <cell r="O969" t="str">
            <v>Yes</v>
          </cell>
        </row>
        <row r="970">
          <cell r="A970" t="str">
            <v>SHP-100795</v>
          </cell>
          <cell r="B970" t="str">
            <v>17/06/2024</v>
          </cell>
          <cell r="C970" t="str">
            <v xml:space="preserve">kolkata </v>
          </cell>
          <cell r="D970" t="str">
            <v xml:space="preserve"> DTDC</v>
          </cell>
          <cell r="E970" t="str">
            <v>Road</v>
          </cell>
          <cell r="F970" t="str">
            <v xml:space="preserve">apparel </v>
          </cell>
          <cell r="G970" t="str">
            <v>west</v>
          </cell>
          <cell r="I970" t="str">
            <v>6.8</v>
          </cell>
          <cell r="J970" t="str">
            <v>₹254</v>
          </cell>
          <cell r="K970">
            <v>8</v>
          </cell>
          <cell r="L970" t="str">
            <v>24/06/2024</v>
          </cell>
          <cell r="M970" t="str">
            <v>Delivered</v>
          </cell>
          <cell r="N970">
            <v>5</v>
          </cell>
          <cell r="O970" t="str">
            <v>Yes</v>
          </cell>
        </row>
        <row r="971">
          <cell r="A971" t="str">
            <v>SHP-100619</v>
          </cell>
          <cell r="B971" t="str">
            <v>03-Jun-2024</v>
          </cell>
          <cell r="C971" t="str">
            <v xml:space="preserve"> DELHI </v>
          </cell>
          <cell r="D971" t="str">
            <v>dtdc</v>
          </cell>
          <cell r="E971" t="str">
            <v>AIR</v>
          </cell>
          <cell r="F971" t="str">
            <v>pharma</v>
          </cell>
          <cell r="G971" t="str">
            <v>West</v>
          </cell>
          <cell r="I971" t="str">
            <v>3.3kg</v>
          </cell>
          <cell r="J971" t="str">
            <v>273</v>
          </cell>
          <cell r="K971">
            <v>4</v>
          </cell>
          <cell r="L971" t="str">
            <v>16/06/2024</v>
          </cell>
          <cell r="M971" t="str">
            <v>DELAYED</v>
          </cell>
          <cell r="N971">
            <v>1</v>
          </cell>
          <cell r="O971" t="str">
            <v xml:space="preserve"> No</v>
          </cell>
        </row>
        <row r="972">
          <cell r="A972" t="str">
            <v>SHP-100451</v>
          </cell>
          <cell r="B972" t="str">
            <v xml:space="preserve"> 14/03/2024 </v>
          </cell>
          <cell r="C972" t="str">
            <v>mumbai</v>
          </cell>
          <cell r="D972" t="str">
            <v>bluedart</v>
          </cell>
          <cell r="E972" t="str">
            <v xml:space="preserve">road </v>
          </cell>
          <cell r="F972" t="str">
            <v xml:space="preserve"> ELECTRONICS </v>
          </cell>
          <cell r="G972" t="str">
            <v>east</v>
          </cell>
          <cell r="I972" t="str">
            <v xml:space="preserve">11.6 Kg </v>
          </cell>
          <cell r="J972" t="str">
            <v xml:space="preserve">Rs 288 </v>
          </cell>
          <cell r="K972">
            <v>8</v>
          </cell>
          <cell r="L972" t="str">
            <v>21-Mar-2024</v>
          </cell>
          <cell r="M972" t="str">
            <v>Delivered</v>
          </cell>
          <cell r="N972">
            <v>3</v>
          </cell>
          <cell r="O972" t="str">
            <v>No</v>
          </cell>
        </row>
        <row r="973">
          <cell r="A973" t="str">
            <v>SHP-101468</v>
          </cell>
          <cell r="B973" t="str">
            <v>21/04/2024</v>
          </cell>
          <cell r="C973" t="str">
            <v xml:space="preserve">kolkata </v>
          </cell>
          <cell r="D973" t="str">
            <v xml:space="preserve">Dtdc </v>
          </cell>
          <cell r="E973" t="str">
            <v xml:space="preserve">surface </v>
          </cell>
          <cell r="F973" t="str">
            <v xml:space="preserve">apparel </v>
          </cell>
          <cell r="G973" t="str">
            <v>east</v>
          </cell>
          <cell r="I973" t="str">
            <v>5.4KG</v>
          </cell>
          <cell r="J973" t="str">
            <v>104</v>
          </cell>
          <cell r="K973">
            <v>4</v>
          </cell>
          <cell r="L973" t="str">
            <v xml:space="preserve"> 02/05/2024 </v>
          </cell>
          <cell r="M973" t="str">
            <v xml:space="preserve">delayed </v>
          </cell>
          <cell r="N973">
            <v>4</v>
          </cell>
          <cell r="O973" t="str">
            <v>No</v>
          </cell>
        </row>
        <row r="974">
          <cell r="A974" t="str">
            <v>SHP-101557</v>
          </cell>
          <cell r="B974" t="str">
            <v>18-Mar-2024</v>
          </cell>
          <cell r="C974" t="str">
            <v>hyderabad</v>
          </cell>
          <cell r="D974" t="str">
            <v>dtdc</v>
          </cell>
          <cell r="E974" t="str">
            <v>Air</v>
          </cell>
          <cell r="F974" t="str">
            <v>Grocery &amp; FMCG</v>
          </cell>
          <cell r="G974" t="str">
            <v>EAST</v>
          </cell>
          <cell r="I974" t="str">
            <v>15.6KG</v>
          </cell>
          <cell r="J974" t="str">
            <v>891</v>
          </cell>
          <cell r="K974">
            <v>4</v>
          </cell>
          <cell r="L974" t="str">
            <v xml:space="preserve"> 23/03/2024 </v>
          </cell>
          <cell r="M974" t="str">
            <v xml:space="preserve"> Delayed</v>
          </cell>
          <cell r="N974">
            <v>2</v>
          </cell>
          <cell r="O974" t="str">
            <v>no</v>
          </cell>
        </row>
        <row r="975">
          <cell r="A975" t="str">
            <v>SHP-100425</v>
          </cell>
          <cell r="B975" t="str">
            <v>16/02/2024</v>
          </cell>
          <cell r="C975" t="str">
            <v>Kolkata</v>
          </cell>
          <cell r="D975" t="str">
            <v>ecom express</v>
          </cell>
          <cell r="E975" t="str">
            <v xml:space="preserve"> ROAD </v>
          </cell>
          <cell r="F975" t="str">
            <v xml:space="preserve">grocery &amp; fmcg </v>
          </cell>
          <cell r="G975" t="str">
            <v xml:space="preserve"> SOUTH </v>
          </cell>
          <cell r="I975" t="str">
            <v>5.6kg</v>
          </cell>
          <cell r="J975" t="str">
            <v xml:space="preserve">Rs 244 </v>
          </cell>
          <cell r="K975">
            <v>8</v>
          </cell>
          <cell r="L975" t="str">
            <v xml:space="preserve"> 25/02/2024 </v>
          </cell>
          <cell r="M975" t="str">
            <v>Delayed</v>
          </cell>
          <cell r="N975">
            <v>4</v>
          </cell>
          <cell r="O975" t="str">
            <v>no</v>
          </cell>
        </row>
        <row r="976">
          <cell r="A976" t="str">
            <v>SHP-100504</v>
          </cell>
          <cell r="B976" t="str">
            <v>2024-02-06</v>
          </cell>
          <cell r="C976" t="str">
            <v>bengaluru</v>
          </cell>
          <cell r="D976" t="str">
            <v>ECOM EXPRESS</v>
          </cell>
          <cell r="E976" t="str">
            <v xml:space="preserve">road </v>
          </cell>
          <cell r="F976" t="str">
            <v xml:space="preserve">  GROCERY &amp; FMCG </v>
          </cell>
          <cell r="G976" t="str">
            <v xml:space="preserve"> WEST </v>
          </cell>
          <cell r="I976" t="str">
            <v>11.9kg</v>
          </cell>
          <cell r="J976" t="str">
            <v>₹295</v>
          </cell>
          <cell r="K976">
            <v>8</v>
          </cell>
          <cell r="L976" t="str">
            <v>15-Feb-2024</v>
          </cell>
          <cell r="M976" t="str">
            <v xml:space="preserve"> DAMAGED</v>
          </cell>
          <cell r="O976" t="str">
            <v xml:space="preserve"> No</v>
          </cell>
        </row>
        <row r="977">
          <cell r="A977" t="str">
            <v>SHP-100965</v>
          </cell>
          <cell r="B977" t="str">
            <v>27-Feb-2024</v>
          </cell>
          <cell r="C977" t="str">
            <v xml:space="preserve"> BENGALURU </v>
          </cell>
          <cell r="D977" t="str">
            <v>dtdc</v>
          </cell>
          <cell r="E977" t="str">
            <v>SURFACE</v>
          </cell>
          <cell r="F977" t="str">
            <v>GROCERY  &amp; FMCG</v>
          </cell>
          <cell r="G977" t="str">
            <v xml:space="preserve">south </v>
          </cell>
          <cell r="I977" t="str">
            <v>2.9kg</v>
          </cell>
          <cell r="J977" t="str">
            <v>₹80</v>
          </cell>
          <cell r="K977">
            <v>4</v>
          </cell>
          <cell r="L977" t="str">
            <v xml:space="preserve"> 02/03/2024 </v>
          </cell>
          <cell r="M977" t="str">
            <v xml:space="preserve"> Delivered</v>
          </cell>
          <cell r="N977">
            <v>5</v>
          </cell>
          <cell r="O977" t="str">
            <v xml:space="preserve">yes </v>
          </cell>
        </row>
        <row r="978">
          <cell r="A978" t="str">
            <v>SHP-100079</v>
          </cell>
          <cell r="B978" t="str">
            <v>17-May-2024</v>
          </cell>
          <cell r="C978" t="str">
            <v>MUMBAI</v>
          </cell>
          <cell r="D978" t="str">
            <v>Ecom  Express</v>
          </cell>
          <cell r="E978" t="str">
            <v>Air</v>
          </cell>
          <cell r="F978" t="str">
            <v xml:space="preserve">pharma </v>
          </cell>
          <cell r="G978" t="str">
            <v xml:space="preserve">west </v>
          </cell>
          <cell r="I978" t="str">
            <v>4.3KG</v>
          </cell>
          <cell r="J978" t="str">
            <v xml:space="preserve">Rs 211 </v>
          </cell>
          <cell r="K978">
            <v>2</v>
          </cell>
          <cell r="L978" t="str">
            <v>2024-05-19</v>
          </cell>
          <cell r="M978" t="str">
            <v>DELIVERED</v>
          </cell>
          <cell r="N978">
            <v>5</v>
          </cell>
          <cell r="O978" t="str">
            <v>Y</v>
          </cell>
        </row>
        <row r="979">
          <cell r="A979" t="str">
            <v>SHP-100847</v>
          </cell>
          <cell r="B979" t="str">
            <v>2024-04-19</v>
          </cell>
          <cell r="C979" t="str">
            <v>DELHI</v>
          </cell>
          <cell r="D979" t="str">
            <v>ECOM EXPRESS</v>
          </cell>
          <cell r="E979" t="str">
            <v>Air</v>
          </cell>
          <cell r="F979" t="str">
            <v xml:space="preserve">  PHARMA </v>
          </cell>
          <cell r="G979" t="str">
            <v xml:space="preserve">south </v>
          </cell>
          <cell r="I979" t="str">
            <v xml:space="preserve">3.4 Kg </v>
          </cell>
          <cell r="J979" t="str">
            <v>₹310</v>
          </cell>
          <cell r="K979">
            <v>4</v>
          </cell>
          <cell r="L979" t="str">
            <v>2024-04-22</v>
          </cell>
          <cell r="M979" t="str">
            <v>delivered</v>
          </cell>
          <cell r="N979">
            <v>5</v>
          </cell>
          <cell r="O979" t="str">
            <v>YES</v>
          </cell>
        </row>
        <row r="980">
          <cell r="A980" t="str">
            <v>SHP-100210</v>
          </cell>
          <cell r="B980" t="str">
            <v>02-Apr-2024</v>
          </cell>
          <cell r="C980" t="str">
            <v xml:space="preserve">kolkata </v>
          </cell>
          <cell r="E980" t="str">
            <v xml:space="preserve">surface </v>
          </cell>
          <cell r="F980" t="str">
            <v xml:space="preserve">grocery &amp; fmcg </v>
          </cell>
          <cell r="G980" t="str">
            <v>North</v>
          </cell>
          <cell r="I980" t="str">
            <v>6.4</v>
          </cell>
          <cell r="J980" t="str">
            <v>311</v>
          </cell>
          <cell r="K980">
            <v>6</v>
          </cell>
          <cell r="L980" t="str">
            <v xml:space="preserve"> 14/04/2024 </v>
          </cell>
          <cell r="M980" t="str">
            <v xml:space="preserve">delayed </v>
          </cell>
          <cell r="N980">
            <v>3</v>
          </cell>
          <cell r="O980" t="str">
            <v xml:space="preserve"> No</v>
          </cell>
        </row>
        <row r="981">
          <cell r="A981" t="str">
            <v>SHP-101174</v>
          </cell>
          <cell r="B981" t="str">
            <v>01/04/2024</v>
          </cell>
          <cell r="C981" t="str">
            <v>Delhi</v>
          </cell>
          <cell r="D981" t="str">
            <v>ECOM EXPRESS</v>
          </cell>
          <cell r="E981" t="str">
            <v>surface</v>
          </cell>
          <cell r="F981" t="str">
            <v xml:space="preserve">  AUTOMOTIVE PARTS </v>
          </cell>
          <cell r="G981" t="str">
            <v>WEST</v>
          </cell>
          <cell r="I981" t="str">
            <v>26.4KG</v>
          </cell>
          <cell r="J981" t="str">
            <v xml:space="preserve">Rs 712 </v>
          </cell>
          <cell r="K981">
            <v>6</v>
          </cell>
          <cell r="L981" t="str">
            <v>2024-04-08</v>
          </cell>
          <cell r="M981" t="str">
            <v xml:space="preserve"> Delayed</v>
          </cell>
          <cell r="N981">
            <v>5</v>
          </cell>
          <cell r="O981" t="str">
            <v xml:space="preserve"> No</v>
          </cell>
        </row>
        <row r="982">
          <cell r="A982" t="str">
            <v>SHP-100310</v>
          </cell>
          <cell r="B982" t="str">
            <v xml:space="preserve"> 17/03/2024 </v>
          </cell>
          <cell r="C982" t="str">
            <v>Chennai</v>
          </cell>
          <cell r="D982" t="str">
            <v>DTDC</v>
          </cell>
          <cell r="E982" t="str">
            <v>AIR</v>
          </cell>
          <cell r="F982" t="str">
            <v>furniture</v>
          </cell>
          <cell r="G982" t="str">
            <v>EAST</v>
          </cell>
          <cell r="I982" t="str">
            <v>58.1KG</v>
          </cell>
          <cell r="J982" t="str">
            <v>₹2,811</v>
          </cell>
          <cell r="K982">
            <v>4</v>
          </cell>
          <cell r="L982" t="str">
            <v>28/03/2024</v>
          </cell>
          <cell r="M982" t="str">
            <v>DELAYED</v>
          </cell>
          <cell r="N982">
            <v>3</v>
          </cell>
          <cell r="O982" t="str">
            <v>no</v>
          </cell>
        </row>
        <row r="983">
          <cell r="A983" t="str">
            <v>SHP-100726</v>
          </cell>
          <cell r="B983" t="str">
            <v>21/06/2024</v>
          </cell>
          <cell r="C983" t="str">
            <v>Mumbai</v>
          </cell>
          <cell r="D983" t="str">
            <v xml:space="preserve"> Delhivery</v>
          </cell>
          <cell r="E983" t="str">
            <v>Air</v>
          </cell>
          <cell r="F983" t="str">
            <v>Automotive Parts</v>
          </cell>
          <cell r="G983" t="str">
            <v xml:space="preserve"> NORTH </v>
          </cell>
          <cell r="I983" t="str">
            <v xml:space="preserve">23.2 Kg </v>
          </cell>
          <cell r="J983" t="str">
            <v>₹1,184</v>
          </cell>
          <cell r="K983">
            <v>4</v>
          </cell>
          <cell r="L983" t="str">
            <v>26-Jun-2024</v>
          </cell>
          <cell r="M983" t="str">
            <v>Delayed</v>
          </cell>
          <cell r="N983">
            <v>5</v>
          </cell>
          <cell r="O983" t="str">
            <v>Yes</v>
          </cell>
        </row>
        <row r="984">
          <cell r="A984" t="str">
            <v>SHP-100830</v>
          </cell>
          <cell r="B984" t="str">
            <v xml:space="preserve"> 17/02/2024 </v>
          </cell>
          <cell r="C984" t="str">
            <v>Hyderabad</v>
          </cell>
          <cell r="D984" t="str">
            <v>bluedart</v>
          </cell>
          <cell r="E984" t="str">
            <v>SURFACE</v>
          </cell>
          <cell r="F984" t="str">
            <v xml:space="preserve"> GROCERY &amp; FMCG </v>
          </cell>
          <cell r="G984" t="str">
            <v>west</v>
          </cell>
          <cell r="I984" t="str">
            <v>11.3kg</v>
          </cell>
          <cell r="J984" t="str">
            <v xml:space="preserve">Rs 263 </v>
          </cell>
          <cell r="K984">
            <v>4</v>
          </cell>
          <cell r="L984" t="str">
            <v xml:space="preserve"> 21/02/2024 </v>
          </cell>
          <cell r="M984" t="str">
            <v>delivered</v>
          </cell>
          <cell r="N984">
            <v>4</v>
          </cell>
          <cell r="O984" t="str">
            <v>N</v>
          </cell>
        </row>
        <row r="985">
          <cell r="A985" t="str">
            <v>SHP-101066</v>
          </cell>
          <cell r="B985" t="str">
            <v>15/06/2024</v>
          </cell>
          <cell r="C985" t="str">
            <v>Chennai</v>
          </cell>
          <cell r="D985" t="str">
            <v>Delhivery</v>
          </cell>
          <cell r="E985" t="str">
            <v xml:space="preserve"> AIR </v>
          </cell>
          <cell r="F985" t="str">
            <v xml:space="preserve"> APPAREL </v>
          </cell>
          <cell r="G985" t="str">
            <v>West</v>
          </cell>
          <cell r="I985" t="str">
            <v xml:space="preserve">5.3 Kg </v>
          </cell>
          <cell r="J985" t="str">
            <v xml:space="preserve">Rs 389 </v>
          </cell>
          <cell r="K985">
            <v>4</v>
          </cell>
          <cell r="L985" t="str">
            <v>18-Jun-2024</v>
          </cell>
          <cell r="M985" t="str">
            <v>Delivered</v>
          </cell>
          <cell r="N985">
            <v>5</v>
          </cell>
          <cell r="O985" t="str">
            <v>YES</v>
          </cell>
        </row>
        <row r="986">
          <cell r="A986" t="str">
            <v>SHP-101208</v>
          </cell>
          <cell r="B986" t="str">
            <v>24/01/2024</v>
          </cell>
          <cell r="C986" t="str">
            <v xml:space="preserve"> KOLKATA </v>
          </cell>
          <cell r="D986" t="str">
            <v>dtdc</v>
          </cell>
          <cell r="E986" t="str">
            <v>air</v>
          </cell>
          <cell r="F986" t="str">
            <v xml:space="preserve"> APPAREL </v>
          </cell>
          <cell r="G986" t="str">
            <v xml:space="preserve"> SOUTH </v>
          </cell>
          <cell r="I986" t="str">
            <v>2.4KG</v>
          </cell>
          <cell r="J986" t="str">
            <v>₹292</v>
          </cell>
          <cell r="K986">
            <v>4</v>
          </cell>
          <cell r="L986" t="str">
            <v xml:space="preserve"> 27/01/2024 </v>
          </cell>
          <cell r="M986" t="str">
            <v>DELIVERED</v>
          </cell>
          <cell r="N986">
            <v>3</v>
          </cell>
          <cell r="O986" t="str">
            <v>No</v>
          </cell>
        </row>
        <row r="987">
          <cell r="A987" t="str">
            <v>SHP-101475</v>
          </cell>
          <cell r="B987" t="str">
            <v xml:space="preserve"> 08/04/2024 </v>
          </cell>
          <cell r="C987" t="str">
            <v>kolkata</v>
          </cell>
          <cell r="D987" t="str">
            <v>Ecom Express</v>
          </cell>
          <cell r="E987" t="str">
            <v>road</v>
          </cell>
          <cell r="F987" t="str">
            <v xml:space="preserve"> PHARMA </v>
          </cell>
          <cell r="G987" t="str">
            <v>East</v>
          </cell>
          <cell r="I987" t="str">
            <v>4.9kg</v>
          </cell>
          <cell r="J987" t="str">
            <v>₹95</v>
          </cell>
          <cell r="K987">
            <v>6</v>
          </cell>
          <cell r="L987" t="str">
            <v>13-Apr-2024</v>
          </cell>
          <cell r="M987" t="str">
            <v>Delivered</v>
          </cell>
          <cell r="N987">
            <v>4</v>
          </cell>
          <cell r="O987" t="str">
            <v>No</v>
          </cell>
        </row>
        <row r="988">
          <cell r="A988" t="str">
            <v>SHP-101271</v>
          </cell>
          <cell r="B988" t="str">
            <v xml:space="preserve"> 21/03/2024 </v>
          </cell>
          <cell r="C988" t="str">
            <v>chennai</v>
          </cell>
          <cell r="D988" t="str">
            <v>DTDC</v>
          </cell>
          <cell r="E988" t="str">
            <v xml:space="preserve">road </v>
          </cell>
          <cell r="F988" t="str">
            <v>Pharma</v>
          </cell>
          <cell r="G988" t="str">
            <v>NORTH</v>
          </cell>
          <cell r="I988" t="str">
            <v>1.7KG</v>
          </cell>
          <cell r="J988" t="str">
            <v>187</v>
          </cell>
          <cell r="K988">
            <v>8</v>
          </cell>
          <cell r="L988" t="str">
            <v>2024-04-03</v>
          </cell>
          <cell r="M988" t="str">
            <v>DELAYED</v>
          </cell>
          <cell r="N988">
            <v>3</v>
          </cell>
          <cell r="O988" t="str">
            <v xml:space="preserve"> No</v>
          </cell>
        </row>
        <row r="989">
          <cell r="A989" t="str">
            <v>SHP-101390</v>
          </cell>
          <cell r="B989" t="str">
            <v xml:space="preserve"> 13/03/2024 </v>
          </cell>
          <cell r="C989" t="str">
            <v>Kolkata</v>
          </cell>
          <cell r="D989" t="str">
            <v>Delhivery</v>
          </cell>
          <cell r="E989" t="str">
            <v xml:space="preserve">air </v>
          </cell>
          <cell r="F989" t="str">
            <v xml:space="preserve"> FURNITURE </v>
          </cell>
          <cell r="G989" t="str">
            <v xml:space="preserve"> EAST </v>
          </cell>
          <cell r="I989" t="str">
            <v>74.7kg</v>
          </cell>
          <cell r="J989" t="str">
            <v xml:space="preserve">Rs 3376 </v>
          </cell>
          <cell r="K989">
            <v>2</v>
          </cell>
          <cell r="L989" t="str">
            <v>14-Mar-2024</v>
          </cell>
          <cell r="M989" t="str">
            <v>delivered</v>
          </cell>
          <cell r="N989">
            <v>5</v>
          </cell>
          <cell r="O989" t="str">
            <v>Yes</v>
          </cell>
        </row>
        <row r="990">
          <cell r="A990" t="str">
            <v>SHP-100142</v>
          </cell>
          <cell r="B990" t="str">
            <v>2024-05-01</v>
          </cell>
          <cell r="C990" t="str">
            <v xml:space="preserve">delhi </v>
          </cell>
          <cell r="D990" t="str">
            <v>ECOM EXPRESS</v>
          </cell>
          <cell r="E990" t="str">
            <v>air</v>
          </cell>
          <cell r="F990" t="str">
            <v xml:space="preserve">apparel </v>
          </cell>
          <cell r="G990" t="str">
            <v xml:space="preserve"> NORTH </v>
          </cell>
          <cell r="I990" t="str">
            <v>6.8KG</v>
          </cell>
          <cell r="J990" t="str">
            <v xml:space="preserve">Rs 333 </v>
          </cell>
          <cell r="K990">
            <v>2</v>
          </cell>
          <cell r="L990" t="str">
            <v>05/05/2024</v>
          </cell>
          <cell r="M990" t="str">
            <v>Delayed</v>
          </cell>
          <cell r="N990">
            <v>5</v>
          </cell>
          <cell r="O990" t="str">
            <v>Yes</v>
          </cell>
        </row>
        <row r="991">
          <cell r="A991" t="str">
            <v>SHP-100860</v>
          </cell>
          <cell r="B991" t="str">
            <v>24-Feb-2024</v>
          </cell>
          <cell r="C991" t="str">
            <v xml:space="preserve"> CHENNAI </v>
          </cell>
          <cell r="D991" t="str">
            <v>DTDC</v>
          </cell>
          <cell r="E991" t="str">
            <v xml:space="preserve"> ROAD </v>
          </cell>
          <cell r="F991" t="str">
            <v>Apparel</v>
          </cell>
          <cell r="G991" t="str">
            <v>WEST</v>
          </cell>
          <cell r="I991" t="str">
            <v xml:space="preserve">3.3 Kg </v>
          </cell>
          <cell r="J991" t="str">
            <v>197</v>
          </cell>
          <cell r="K991">
            <v>8</v>
          </cell>
          <cell r="L991" t="str">
            <v>2024-03-02</v>
          </cell>
          <cell r="M991" t="str">
            <v xml:space="preserve"> Delivered</v>
          </cell>
          <cell r="N991">
            <v>4</v>
          </cell>
          <cell r="O991" t="str">
            <v>No</v>
          </cell>
        </row>
        <row r="992">
          <cell r="A992" t="str">
            <v>SHP-100929</v>
          </cell>
          <cell r="B992" t="str">
            <v>25/01/2024</v>
          </cell>
          <cell r="C992" t="str">
            <v>BENGALURU</v>
          </cell>
          <cell r="D992" t="str">
            <v>Delhivery</v>
          </cell>
          <cell r="E992" t="str">
            <v>ROAD</v>
          </cell>
          <cell r="F992" t="str">
            <v>AUTOMOTIVE PARTS</v>
          </cell>
          <cell r="G992" t="str">
            <v>NORTH</v>
          </cell>
          <cell r="I992" t="str">
            <v>35.3kg</v>
          </cell>
          <cell r="J992" t="str">
            <v>669</v>
          </cell>
          <cell r="K992">
            <v>8</v>
          </cell>
          <cell r="L992" t="str">
            <v>02-Feb-2024</v>
          </cell>
          <cell r="M992" t="str">
            <v xml:space="preserve"> Delivered</v>
          </cell>
          <cell r="N992">
            <v>4</v>
          </cell>
          <cell r="O992" t="str">
            <v>no</v>
          </cell>
        </row>
        <row r="993">
          <cell r="A993" t="str">
            <v>SHP-100430</v>
          </cell>
          <cell r="B993" t="str">
            <v>21/05/2024</v>
          </cell>
          <cell r="C993" t="str">
            <v xml:space="preserve"> HYDERABAD </v>
          </cell>
          <cell r="D993" t="str">
            <v xml:space="preserve">Dtdc </v>
          </cell>
          <cell r="E993" t="str">
            <v>air</v>
          </cell>
          <cell r="F993" t="str">
            <v xml:space="preserve">electronics  </v>
          </cell>
          <cell r="G993" t="str">
            <v>West</v>
          </cell>
          <cell r="I993" t="str">
            <v>2.3kg</v>
          </cell>
          <cell r="J993" t="str">
            <v xml:space="preserve">Rs 107 </v>
          </cell>
          <cell r="K993">
            <v>2</v>
          </cell>
          <cell r="L993" t="str">
            <v>25-May-2024</v>
          </cell>
          <cell r="M993" t="str">
            <v xml:space="preserve"> Delayed</v>
          </cell>
          <cell r="N993">
            <v>3</v>
          </cell>
          <cell r="O993" t="str">
            <v>No</v>
          </cell>
        </row>
        <row r="994">
          <cell r="A994" t="str">
            <v>SHP-100604</v>
          </cell>
          <cell r="B994" t="str">
            <v>22-Apr-2024</v>
          </cell>
          <cell r="C994" t="str">
            <v xml:space="preserve">mumbai </v>
          </cell>
          <cell r="D994" t="str">
            <v>bluedart</v>
          </cell>
          <cell r="E994" t="str">
            <v>SURFACE</v>
          </cell>
          <cell r="F994" t="str">
            <v xml:space="preserve"> ELECTRONICS </v>
          </cell>
          <cell r="G994" t="str">
            <v xml:space="preserve"> WEST </v>
          </cell>
          <cell r="I994" t="str">
            <v>8.0KG</v>
          </cell>
          <cell r="J994" t="str">
            <v>164</v>
          </cell>
          <cell r="K994">
            <v>4</v>
          </cell>
          <cell r="L994" t="str">
            <v>25/04/2024</v>
          </cell>
          <cell r="M994" t="str">
            <v>Delivered</v>
          </cell>
          <cell r="N994">
            <v>3</v>
          </cell>
          <cell r="O994" t="str">
            <v>no</v>
          </cell>
        </row>
        <row r="995">
          <cell r="A995" t="str">
            <v>SHP-101113</v>
          </cell>
          <cell r="B995" t="str">
            <v xml:space="preserve"> 02/01/2024 </v>
          </cell>
          <cell r="C995" t="str">
            <v>Bengaluru</v>
          </cell>
          <cell r="D995" t="str">
            <v xml:space="preserve"> DTDC</v>
          </cell>
          <cell r="E995" t="str">
            <v>road</v>
          </cell>
          <cell r="F995" t="str">
            <v>apparel</v>
          </cell>
          <cell r="G995" t="str">
            <v xml:space="preserve">east </v>
          </cell>
          <cell r="I995" t="str">
            <v xml:space="preserve">1.3 Kg </v>
          </cell>
          <cell r="J995" t="str">
            <v>₹214</v>
          </cell>
          <cell r="K995">
            <v>8</v>
          </cell>
          <cell r="L995" t="str">
            <v>18/01/2024</v>
          </cell>
          <cell r="M995" t="str">
            <v xml:space="preserve"> Delayed</v>
          </cell>
          <cell r="N995">
            <v>2</v>
          </cell>
          <cell r="O995" t="str">
            <v>no</v>
          </cell>
        </row>
        <row r="996">
          <cell r="A996" t="str">
            <v>SHP-101409</v>
          </cell>
          <cell r="B996" t="str">
            <v>2024-04-14</v>
          </cell>
          <cell r="C996" t="str">
            <v xml:space="preserve">kolkata </v>
          </cell>
          <cell r="D996" t="str">
            <v>dtdc</v>
          </cell>
          <cell r="E996" t="str">
            <v>SURFACE</v>
          </cell>
          <cell r="F996" t="str">
            <v>Pharma</v>
          </cell>
          <cell r="G996" t="str">
            <v>SOUTH</v>
          </cell>
          <cell r="I996" t="str">
            <v>4.0</v>
          </cell>
          <cell r="J996" t="str">
            <v>294</v>
          </cell>
          <cell r="K996">
            <v>6</v>
          </cell>
          <cell r="L996" t="str">
            <v>20/04/2024</v>
          </cell>
          <cell r="M996" t="str">
            <v xml:space="preserve"> Delivered</v>
          </cell>
          <cell r="N996">
            <v>5</v>
          </cell>
          <cell r="O996" t="str">
            <v>Yes</v>
          </cell>
        </row>
        <row r="997">
          <cell r="A997" t="str">
            <v>SHP-100071</v>
          </cell>
          <cell r="B997" t="str">
            <v>23-Jan-2024</v>
          </cell>
          <cell r="C997" t="str">
            <v xml:space="preserve">hyderabad </v>
          </cell>
          <cell r="D997" t="str">
            <v>DTDC</v>
          </cell>
          <cell r="E997" t="str">
            <v xml:space="preserve">road </v>
          </cell>
          <cell r="F997" t="str">
            <v>pharma</v>
          </cell>
          <cell r="G997" t="str">
            <v>South</v>
          </cell>
          <cell r="I997" t="str">
            <v xml:space="preserve">2.6 Kg </v>
          </cell>
          <cell r="J997" t="str">
            <v xml:space="preserve">Rs 186 </v>
          </cell>
          <cell r="K997">
            <v>8</v>
          </cell>
          <cell r="L997" t="str">
            <v>2024-02-01</v>
          </cell>
          <cell r="M997" t="str">
            <v xml:space="preserve"> Delayed</v>
          </cell>
          <cell r="N997">
            <v>4</v>
          </cell>
          <cell r="O997" t="str">
            <v>No</v>
          </cell>
        </row>
        <row r="998">
          <cell r="A998" t="str">
            <v>SHP-101188</v>
          </cell>
          <cell r="B998" t="str">
            <v>11-Jan-2024</v>
          </cell>
          <cell r="C998" t="str">
            <v>HYDERABAD</v>
          </cell>
          <cell r="D998" t="str">
            <v>DELHIVERY</v>
          </cell>
          <cell r="E998" t="str">
            <v>Road</v>
          </cell>
          <cell r="F998" t="str">
            <v xml:space="preserve"> PHARMA </v>
          </cell>
          <cell r="G998" t="str">
            <v>east</v>
          </cell>
          <cell r="I998" t="str">
            <v>2.7KG</v>
          </cell>
          <cell r="J998" t="str">
            <v xml:space="preserve">Rs 218 </v>
          </cell>
          <cell r="K998">
            <v>8</v>
          </cell>
          <cell r="L998" t="str">
            <v>19-Jan-2024</v>
          </cell>
          <cell r="M998" t="str">
            <v xml:space="preserve"> Delivered</v>
          </cell>
          <cell r="N998">
            <v>5</v>
          </cell>
          <cell r="O998" t="str">
            <v>No</v>
          </cell>
        </row>
        <row r="999">
          <cell r="A999" t="str">
            <v>SHP-100162</v>
          </cell>
          <cell r="B999" t="str">
            <v>02-Feb-2024</v>
          </cell>
          <cell r="C999" t="str">
            <v>bengaluru</v>
          </cell>
          <cell r="D999" t="str">
            <v>delhivery</v>
          </cell>
          <cell r="E999" t="str">
            <v xml:space="preserve"> AIR </v>
          </cell>
          <cell r="F999" t="str">
            <v>apparel</v>
          </cell>
          <cell r="G999" t="str">
            <v>East</v>
          </cell>
          <cell r="I999" t="str">
            <v xml:space="preserve">7.9 Kg </v>
          </cell>
          <cell r="J999" t="str">
            <v>496</v>
          </cell>
          <cell r="K999">
            <v>4</v>
          </cell>
          <cell r="L999" t="str">
            <v xml:space="preserve"> 07/02/2024 </v>
          </cell>
          <cell r="M999" t="str">
            <v xml:space="preserve"> Delayed</v>
          </cell>
          <cell r="N999">
            <v>1</v>
          </cell>
          <cell r="O999" t="str">
            <v>Y</v>
          </cell>
        </row>
        <row r="1000">
          <cell r="A1000" t="str">
            <v>SHP-100901</v>
          </cell>
          <cell r="B1000" t="str">
            <v>2024-03-26</v>
          </cell>
          <cell r="C1000" t="str">
            <v xml:space="preserve">delhi </v>
          </cell>
          <cell r="D1000" t="str">
            <v>delhivery</v>
          </cell>
          <cell r="E1000" t="str">
            <v>air</v>
          </cell>
          <cell r="F1000" t="str">
            <v>furniture</v>
          </cell>
          <cell r="G1000" t="str">
            <v>EAST</v>
          </cell>
          <cell r="I1000" t="str">
            <v xml:space="preserve">41.6 Kg </v>
          </cell>
          <cell r="J1000" t="str">
            <v>2,075</v>
          </cell>
          <cell r="K1000">
            <v>4</v>
          </cell>
          <cell r="L1000" t="str">
            <v>31/03/2024</v>
          </cell>
          <cell r="M1000" t="str">
            <v>Delayed</v>
          </cell>
          <cell r="N1000">
            <v>2</v>
          </cell>
          <cell r="O1000" t="str">
            <v>No</v>
          </cell>
        </row>
        <row r="1001">
          <cell r="A1001" t="str">
            <v>SHP-100592</v>
          </cell>
          <cell r="B1001" t="str">
            <v>05-Apr-2024</v>
          </cell>
          <cell r="C1001" t="str">
            <v>Kolkata</v>
          </cell>
          <cell r="D1001" t="str">
            <v xml:space="preserve"> Delhivery</v>
          </cell>
          <cell r="E1001" t="str">
            <v xml:space="preserve"> SURFACE </v>
          </cell>
          <cell r="F1001" t="str">
            <v>Electronics</v>
          </cell>
          <cell r="G1001" t="str">
            <v xml:space="preserve">north </v>
          </cell>
          <cell r="I1001" t="str">
            <v>6.7kg</v>
          </cell>
          <cell r="J1001" t="str">
            <v>290</v>
          </cell>
          <cell r="K1001">
            <v>6</v>
          </cell>
          <cell r="L1001" t="str">
            <v xml:space="preserve"> 10/04/2024 </v>
          </cell>
          <cell r="M1001" t="str">
            <v>Delivered</v>
          </cell>
          <cell r="N1001">
            <v>4</v>
          </cell>
          <cell r="O1001" t="str">
            <v>No</v>
          </cell>
        </row>
        <row r="1002">
          <cell r="A1002" t="str">
            <v>SHP-100511</v>
          </cell>
          <cell r="B1002" t="str">
            <v>05-Jun-2024</v>
          </cell>
          <cell r="C1002" t="str">
            <v>Mumbai</v>
          </cell>
          <cell r="D1002" t="str">
            <v xml:space="preserve"> DTDC</v>
          </cell>
          <cell r="E1002" t="str">
            <v xml:space="preserve">surface </v>
          </cell>
          <cell r="F1002" t="str">
            <v xml:space="preserve">pharma  </v>
          </cell>
          <cell r="G1002" t="str">
            <v>east</v>
          </cell>
          <cell r="I1002" t="str">
            <v>1.3</v>
          </cell>
          <cell r="J1002" t="str">
            <v xml:space="preserve">Rs 163 </v>
          </cell>
          <cell r="K1002">
            <v>6</v>
          </cell>
          <cell r="L1002" t="str">
            <v>10-Jun-2024</v>
          </cell>
          <cell r="M1002" t="str">
            <v>Delivered</v>
          </cell>
          <cell r="N1002">
            <v>4</v>
          </cell>
          <cell r="O1002" t="str">
            <v>Yes</v>
          </cell>
        </row>
        <row r="1003">
          <cell r="A1003" t="str">
            <v>SHP-100864</v>
          </cell>
          <cell r="B1003" t="str">
            <v>2024-05-23</v>
          </cell>
          <cell r="C1003" t="str">
            <v xml:space="preserve">delhi </v>
          </cell>
          <cell r="D1003" t="str">
            <v xml:space="preserve">Dtdc </v>
          </cell>
          <cell r="E1003" t="str">
            <v>Road</v>
          </cell>
          <cell r="F1003" t="str">
            <v>apparel</v>
          </cell>
          <cell r="G1003" t="str">
            <v>north</v>
          </cell>
          <cell r="I1003" t="str">
            <v>3.2KG</v>
          </cell>
          <cell r="J1003" t="str">
            <v>₹89</v>
          </cell>
          <cell r="K1003">
            <v>6</v>
          </cell>
          <cell r="L1003" t="str">
            <v>30-May-2024</v>
          </cell>
          <cell r="M1003" t="str">
            <v xml:space="preserve"> Delayed</v>
          </cell>
          <cell r="N1003">
            <v>3</v>
          </cell>
          <cell r="O1003" t="str">
            <v xml:space="preserve">yes </v>
          </cell>
        </row>
        <row r="1004">
          <cell r="A1004" t="str">
            <v>SHP-101168</v>
          </cell>
          <cell r="B1004" t="str">
            <v>21-Apr-2024</v>
          </cell>
          <cell r="C1004" t="str">
            <v xml:space="preserve"> HYDERABAD </v>
          </cell>
          <cell r="D1004" t="str">
            <v>Ecom  Express</v>
          </cell>
          <cell r="E1004" t="str">
            <v>AIR</v>
          </cell>
          <cell r="F1004" t="str">
            <v>Electronics</v>
          </cell>
          <cell r="G1004" t="str">
            <v xml:space="preserve"> EAST </v>
          </cell>
          <cell r="I1004" t="str">
            <v>8.2KG</v>
          </cell>
          <cell r="J1004" t="str">
            <v xml:space="preserve">Rs 531 </v>
          </cell>
          <cell r="K1004">
            <v>4</v>
          </cell>
          <cell r="L1004" t="str">
            <v>25-Apr-2024</v>
          </cell>
          <cell r="M1004" t="str">
            <v>Delivered</v>
          </cell>
          <cell r="N1004">
            <v>4</v>
          </cell>
          <cell r="O1004" t="str">
            <v>N</v>
          </cell>
        </row>
        <row r="1005">
          <cell r="A1005" t="str">
            <v>SHP-100655</v>
          </cell>
          <cell r="B1005" t="str">
            <v>2024-06-20</v>
          </cell>
          <cell r="C1005" t="str">
            <v xml:space="preserve">bengaluru </v>
          </cell>
          <cell r="D1005" t="str">
            <v>ecom express</v>
          </cell>
          <cell r="E1005" t="str">
            <v>SURFACE</v>
          </cell>
          <cell r="F1005" t="str">
            <v xml:space="preserve"> GROCERY &amp; FMCG </v>
          </cell>
          <cell r="G1005" t="str">
            <v>north</v>
          </cell>
          <cell r="I1005" t="str">
            <v>18.5KG</v>
          </cell>
          <cell r="J1005" t="str">
            <v xml:space="preserve">Rs 589 </v>
          </cell>
          <cell r="K1005">
            <v>6</v>
          </cell>
          <cell r="L1005" t="str">
            <v xml:space="preserve"> 26/06/2024 </v>
          </cell>
          <cell r="M1005" t="str">
            <v xml:space="preserve"> Delivered</v>
          </cell>
          <cell r="N1005">
            <v>3</v>
          </cell>
          <cell r="O1005" t="str">
            <v>Yes</v>
          </cell>
        </row>
        <row r="1006">
          <cell r="A1006" t="str">
            <v>SHP-100848</v>
          </cell>
          <cell r="B1006" t="str">
            <v>2024-05-15</v>
          </cell>
          <cell r="C1006" t="str">
            <v xml:space="preserve">chennai </v>
          </cell>
          <cell r="D1006" t="str">
            <v xml:space="preserve"> XPRESSBEES</v>
          </cell>
          <cell r="E1006" t="str">
            <v xml:space="preserve"> ROAD </v>
          </cell>
          <cell r="F1006" t="str">
            <v>pharma</v>
          </cell>
          <cell r="G1006" t="str">
            <v>West</v>
          </cell>
          <cell r="I1006" t="str">
            <v>2.3kg</v>
          </cell>
          <cell r="J1006" t="str">
            <v>208</v>
          </cell>
          <cell r="K1006">
            <v>8</v>
          </cell>
          <cell r="L1006" t="str">
            <v xml:space="preserve"> 27/05/2024 </v>
          </cell>
          <cell r="M1006" t="str">
            <v xml:space="preserve"> Delayed</v>
          </cell>
          <cell r="N1006">
            <v>4</v>
          </cell>
          <cell r="O1006" t="str">
            <v xml:space="preserve"> No</v>
          </cell>
        </row>
        <row r="1007">
          <cell r="A1007" t="str">
            <v>SHP-100805</v>
          </cell>
          <cell r="B1007" t="str">
            <v xml:space="preserve"> 08/05/2024 </v>
          </cell>
          <cell r="C1007" t="str">
            <v>bengaluru</v>
          </cell>
          <cell r="D1007" t="str">
            <v xml:space="preserve"> XPRESSBEES</v>
          </cell>
          <cell r="E1007" t="str">
            <v>SURFACE</v>
          </cell>
          <cell r="F1007" t="str">
            <v>electronics</v>
          </cell>
          <cell r="G1007" t="str">
            <v xml:space="preserve"> EAST </v>
          </cell>
          <cell r="I1007" t="str">
            <v>3.3kg</v>
          </cell>
          <cell r="J1007" t="str">
            <v>₹210</v>
          </cell>
          <cell r="K1007">
            <v>6</v>
          </cell>
          <cell r="L1007" t="str">
            <v>14-May-2024</v>
          </cell>
          <cell r="M1007" t="str">
            <v xml:space="preserve"> Delivered</v>
          </cell>
          <cell r="N1007">
            <v>2</v>
          </cell>
          <cell r="O1007" t="str">
            <v xml:space="preserve">yes </v>
          </cell>
        </row>
        <row r="1008">
          <cell r="A1008" t="str">
            <v>SHP-100820</v>
          </cell>
          <cell r="B1008" t="str">
            <v>13-Apr-2024</v>
          </cell>
          <cell r="C1008" t="str">
            <v>chennai</v>
          </cell>
          <cell r="D1008" t="str">
            <v>Ecom  Express</v>
          </cell>
          <cell r="E1008" t="str">
            <v xml:space="preserve"> SURFACE </v>
          </cell>
          <cell r="F1008" t="str">
            <v>apparel</v>
          </cell>
          <cell r="G1008" t="str">
            <v>South</v>
          </cell>
          <cell r="I1008" t="str">
            <v xml:space="preserve">0.8 Kg </v>
          </cell>
          <cell r="J1008" t="str">
            <v>80</v>
          </cell>
          <cell r="K1008">
            <v>4</v>
          </cell>
          <cell r="L1008" t="str">
            <v>16-Apr-2024</v>
          </cell>
          <cell r="M1008" t="str">
            <v>DELIVERED</v>
          </cell>
          <cell r="N1008">
            <v>2</v>
          </cell>
          <cell r="O1008" t="str">
            <v>No</v>
          </cell>
        </row>
        <row r="1009">
          <cell r="A1009" t="str">
            <v>SHP-101037</v>
          </cell>
          <cell r="B1009" t="str">
            <v xml:space="preserve"> 23/03/2024 </v>
          </cell>
          <cell r="C1009" t="str">
            <v>Mumbai</v>
          </cell>
          <cell r="D1009" t="str">
            <v>bluedart</v>
          </cell>
          <cell r="E1009" t="str">
            <v>road</v>
          </cell>
          <cell r="F1009" t="str">
            <v>pharma</v>
          </cell>
          <cell r="G1009" t="str">
            <v>East</v>
          </cell>
          <cell r="I1009" t="str">
            <v>2.2kg</v>
          </cell>
          <cell r="J1009" t="str">
            <v xml:space="preserve">Rs 209 </v>
          </cell>
          <cell r="K1009">
            <v>8</v>
          </cell>
          <cell r="L1009" t="str">
            <v>30-Mar-2024</v>
          </cell>
          <cell r="M1009" t="str">
            <v>delivered</v>
          </cell>
          <cell r="N1009">
            <v>4</v>
          </cell>
          <cell r="O1009" t="str">
            <v>No</v>
          </cell>
        </row>
        <row r="1010">
          <cell r="A1010" t="str">
            <v>SHP-101226</v>
          </cell>
          <cell r="B1010" t="str">
            <v xml:space="preserve"> 04/05/2024 </v>
          </cell>
          <cell r="C1010" t="str">
            <v>Delhi</v>
          </cell>
          <cell r="D1010" t="str">
            <v xml:space="preserve">Dtdc </v>
          </cell>
          <cell r="E1010" t="str">
            <v>Air</v>
          </cell>
          <cell r="F1010" t="str">
            <v xml:space="preserve"> GROCERY &amp; FMCG </v>
          </cell>
          <cell r="G1010" t="str">
            <v>NORTH</v>
          </cell>
          <cell r="I1010" t="str">
            <v>15.9KG</v>
          </cell>
          <cell r="J1010" t="str">
            <v>758</v>
          </cell>
          <cell r="K1010">
            <v>2</v>
          </cell>
          <cell r="L1010" t="str">
            <v>05-May-2024</v>
          </cell>
          <cell r="M1010" t="str">
            <v>delivered</v>
          </cell>
          <cell r="N1010">
            <v>3</v>
          </cell>
          <cell r="O1010" t="str">
            <v xml:space="preserve"> No</v>
          </cell>
        </row>
        <row r="1011">
          <cell r="A1011" t="str">
            <v>SHP-101092</v>
          </cell>
          <cell r="B1011" t="str">
            <v xml:space="preserve"> 14/05/2024 </v>
          </cell>
          <cell r="C1011" t="str">
            <v>HYDERABAD</v>
          </cell>
          <cell r="D1011" t="str">
            <v xml:space="preserve"> Delhivery</v>
          </cell>
          <cell r="E1011" t="str">
            <v>Surface</v>
          </cell>
          <cell r="F1011" t="str">
            <v xml:space="preserve">automotive  parts </v>
          </cell>
          <cell r="G1011" t="str">
            <v xml:space="preserve">east </v>
          </cell>
          <cell r="I1011" t="str">
            <v>32.9KG</v>
          </cell>
          <cell r="J1011" t="str">
            <v xml:space="preserve">Rs 858 </v>
          </cell>
          <cell r="K1011">
            <v>6</v>
          </cell>
          <cell r="L1011" t="str">
            <v>20-May-2024</v>
          </cell>
          <cell r="M1011" t="str">
            <v>delivered</v>
          </cell>
          <cell r="N1011">
            <v>4</v>
          </cell>
          <cell r="O1011" t="str">
            <v>No</v>
          </cell>
        </row>
        <row r="1012">
          <cell r="A1012" t="str">
            <v>SHP-100217</v>
          </cell>
          <cell r="B1012" t="str">
            <v xml:space="preserve"> 17/01/2024 </v>
          </cell>
          <cell r="C1012" t="str">
            <v>MUMBAI</v>
          </cell>
          <cell r="D1012" t="str">
            <v>DELHIVERY</v>
          </cell>
          <cell r="E1012" t="str">
            <v>SURFACE</v>
          </cell>
          <cell r="F1012" t="str">
            <v>furniture</v>
          </cell>
          <cell r="G1012" t="str">
            <v>NORTH</v>
          </cell>
          <cell r="I1012" t="str">
            <v>62.5KG</v>
          </cell>
          <cell r="J1012" t="str">
            <v>₹1,547</v>
          </cell>
          <cell r="K1012">
            <v>6</v>
          </cell>
          <cell r="L1012" t="str">
            <v xml:space="preserve"> 23/01/2024 </v>
          </cell>
          <cell r="M1012" t="str">
            <v>delivered</v>
          </cell>
          <cell r="N1012">
            <v>4</v>
          </cell>
          <cell r="O1012" t="str">
            <v>YES</v>
          </cell>
        </row>
        <row r="1013">
          <cell r="A1013" t="str">
            <v>SHP-101171</v>
          </cell>
          <cell r="B1013" t="str">
            <v>02/02/2024</v>
          </cell>
          <cell r="C1013" t="str">
            <v>chennai</v>
          </cell>
          <cell r="D1013" t="str">
            <v xml:space="preserve"> DTDC</v>
          </cell>
          <cell r="E1013" t="str">
            <v>air</v>
          </cell>
          <cell r="F1013" t="str">
            <v>ELECTRONICS</v>
          </cell>
          <cell r="G1013" t="str">
            <v>WEST</v>
          </cell>
          <cell r="I1013" t="str">
            <v>5.3</v>
          </cell>
          <cell r="J1013" t="str">
            <v xml:space="preserve">Rs 384 </v>
          </cell>
          <cell r="K1013">
            <v>4</v>
          </cell>
          <cell r="L1013" t="str">
            <v xml:space="preserve"> 07/02/2024 </v>
          </cell>
          <cell r="M1013" t="str">
            <v>DELAYED</v>
          </cell>
          <cell r="N1013">
            <v>1</v>
          </cell>
          <cell r="O1013" t="str">
            <v xml:space="preserve">yes </v>
          </cell>
        </row>
        <row r="1014">
          <cell r="A1014" t="str">
            <v>SHP-100381</v>
          </cell>
          <cell r="B1014" t="str">
            <v>12-Mar-2024</v>
          </cell>
          <cell r="C1014" t="str">
            <v xml:space="preserve"> DELHI </v>
          </cell>
          <cell r="D1014" t="str">
            <v>ecom express</v>
          </cell>
          <cell r="E1014" t="str">
            <v>Air</v>
          </cell>
          <cell r="F1014" t="str">
            <v>electronics</v>
          </cell>
          <cell r="G1014" t="str">
            <v xml:space="preserve"> SOUTH </v>
          </cell>
          <cell r="I1014" t="str">
            <v>11.2kg</v>
          </cell>
          <cell r="J1014" t="str">
            <v>679</v>
          </cell>
          <cell r="K1014">
            <v>4</v>
          </cell>
          <cell r="L1014" t="str">
            <v>15-Mar-2024</v>
          </cell>
          <cell r="M1014" t="str">
            <v>DELIVERED</v>
          </cell>
          <cell r="N1014">
            <v>5</v>
          </cell>
          <cell r="O1014" t="str">
            <v xml:space="preserve"> No</v>
          </cell>
        </row>
        <row r="1015">
          <cell r="A1015" t="str">
            <v>SHP-100849</v>
          </cell>
          <cell r="B1015" t="str">
            <v>15-Feb-2024</v>
          </cell>
          <cell r="C1015" t="str">
            <v>MUMBAI</v>
          </cell>
          <cell r="D1015" t="str">
            <v>bluedart</v>
          </cell>
          <cell r="E1015" t="str">
            <v>ROAD</v>
          </cell>
          <cell r="F1015" t="str">
            <v>furniture</v>
          </cell>
          <cell r="G1015" t="str">
            <v>EAST</v>
          </cell>
          <cell r="I1015" t="str">
            <v>60.0</v>
          </cell>
          <cell r="J1015" t="str">
            <v xml:space="preserve">Rs 1023 </v>
          </cell>
          <cell r="K1015">
            <v>8</v>
          </cell>
          <cell r="L1015" t="str">
            <v>23/02/2024</v>
          </cell>
          <cell r="M1015" t="str">
            <v>DELIVERED</v>
          </cell>
          <cell r="N1015">
            <v>4</v>
          </cell>
          <cell r="O1015" t="str">
            <v>no</v>
          </cell>
        </row>
        <row r="1016">
          <cell r="A1016" t="str">
            <v>SHP-100256</v>
          </cell>
          <cell r="B1016" t="str">
            <v>2024-05-01</v>
          </cell>
          <cell r="C1016" t="str">
            <v xml:space="preserve"> CHENNAI </v>
          </cell>
          <cell r="D1016" t="str">
            <v>Delhivery</v>
          </cell>
          <cell r="E1016" t="str">
            <v>SURFACE</v>
          </cell>
          <cell r="F1016" t="str">
            <v>APPAREL</v>
          </cell>
          <cell r="G1016" t="str">
            <v>South</v>
          </cell>
          <cell r="I1016" t="str">
            <v>2.3kg</v>
          </cell>
          <cell r="J1016" t="str">
            <v>₹80</v>
          </cell>
          <cell r="K1016">
            <v>4</v>
          </cell>
          <cell r="L1016" t="str">
            <v>2024-05-05</v>
          </cell>
          <cell r="M1016" t="str">
            <v>DELIVERED</v>
          </cell>
          <cell r="N1016">
            <v>4</v>
          </cell>
          <cell r="O1016" t="str">
            <v>N</v>
          </cell>
        </row>
        <row r="1017">
          <cell r="A1017" t="str">
            <v>SHP-100675</v>
          </cell>
          <cell r="B1017" t="str">
            <v>2024-05-21</v>
          </cell>
          <cell r="C1017" t="str">
            <v>HYDERABAD</v>
          </cell>
          <cell r="D1017" t="str">
            <v xml:space="preserve">Dtdc </v>
          </cell>
          <cell r="E1017" t="str">
            <v xml:space="preserve"> ROAD </v>
          </cell>
          <cell r="F1017" t="str">
            <v>Pharma</v>
          </cell>
          <cell r="G1017" t="str">
            <v xml:space="preserve"> WEST </v>
          </cell>
          <cell r="I1017" t="str">
            <v xml:space="preserve">3.4 Kg </v>
          </cell>
          <cell r="J1017" t="str">
            <v>81</v>
          </cell>
          <cell r="K1017">
            <v>6</v>
          </cell>
          <cell r="L1017" t="str">
            <v xml:space="preserve"> 05/06/2024 </v>
          </cell>
          <cell r="M1017" t="str">
            <v xml:space="preserve"> Delayed</v>
          </cell>
          <cell r="N1017">
            <v>4</v>
          </cell>
          <cell r="O1017" t="str">
            <v>Yes</v>
          </cell>
        </row>
        <row r="1018">
          <cell r="A1018" t="str">
            <v>SHP-100064</v>
          </cell>
          <cell r="B1018" t="str">
            <v>2024-02-07</v>
          </cell>
          <cell r="C1018" t="str">
            <v xml:space="preserve"> CHENNAI </v>
          </cell>
          <cell r="D1018" t="str">
            <v>xpressbees</v>
          </cell>
          <cell r="E1018" t="str">
            <v>SURFACE</v>
          </cell>
          <cell r="F1018" t="str">
            <v xml:space="preserve">apparel </v>
          </cell>
          <cell r="G1018" t="str">
            <v>WEST</v>
          </cell>
          <cell r="I1018" t="str">
            <v>2.4kg</v>
          </cell>
          <cell r="J1018" t="str">
            <v xml:space="preserve">Rs 189 </v>
          </cell>
          <cell r="K1018">
            <v>6</v>
          </cell>
          <cell r="L1018" t="str">
            <v>20/02/2024</v>
          </cell>
          <cell r="M1018" t="str">
            <v>DELAYED</v>
          </cell>
          <cell r="N1018">
            <v>4</v>
          </cell>
          <cell r="O1018" t="str">
            <v>N</v>
          </cell>
        </row>
        <row r="1019">
          <cell r="A1019" t="str">
            <v>SHP-100319</v>
          </cell>
          <cell r="B1019" t="str">
            <v>24/05/2024</v>
          </cell>
          <cell r="C1019" t="str">
            <v>Kolkata</v>
          </cell>
          <cell r="D1019" t="str">
            <v xml:space="preserve"> XPRESSBEES</v>
          </cell>
          <cell r="E1019" t="str">
            <v>SURFACE</v>
          </cell>
          <cell r="F1019" t="str">
            <v xml:space="preserve"> ELECTRONICS </v>
          </cell>
          <cell r="G1019" t="str">
            <v>South</v>
          </cell>
          <cell r="I1019" t="str">
            <v>4.7kg</v>
          </cell>
          <cell r="J1019" t="str">
            <v>₹229</v>
          </cell>
          <cell r="K1019">
            <v>6</v>
          </cell>
          <cell r="L1019" t="str">
            <v>29/05/2024</v>
          </cell>
          <cell r="M1019" t="str">
            <v>delivered</v>
          </cell>
          <cell r="N1019">
            <v>5</v>
          </cell>
          <cell r="O1019" t="str">
            <v>no</v>
          </cell>
        </row>
        <row r="1020">
          <cell r="A1020" t="str">
            <v>SHP-100669</v>
          </cell>
          <cell r="B1020" t="str">
            <v>10-Jan-2024</v>
          </cell>
          <cell r="C1020" t="str">
            <v xml:space="preserve">delhi </v>
          </cell>
          <cell r="D1020" t="str">
            <v xml:space="preserve">Dtdc </v>
          </cell>
          <cell r="E1020" t="str">
            <v>Air</v>
          </cell>
          <cell r="F1020" t="str">
            <v>furniture</v>
          </cell>
          <cell r="G1020" t="str">
            <v>EAST</v>
          </cell>
          <cell r="I1020" t="str">
            <v>52.9KG</v>
          </cell>
          <cell r="J1020" t="str">
            <v xml:space="preserve">Rs 2536 </v>
          </cell>
          <cell r="K1020">
            <v>4</v>
          </cell>
          <cell r="L1020" t="str">
            <v xml:space="preserve"> 20/01/2024 </v>
          </cell>
          <cell r="M1020" t="str">
            <v xml:space="preserve"> Delayed</v>
          </cell>
          <cell r="N1020">
            <v>5</v>
          </cell>
          <cell r="O1020" t="str">
            <v>Yes</v>
          </cell>
        </row>
        <row r="1021">
          <cell r="A1021" t="str">
            <v>SHP-101530</v>
          </cell>
          <cell r="B1021" t="str">
            <v>2024-02-25</v>
          </cell>
          <cell r="C1021" t="str">
            <v xml:space="preserve"> HYDERABAD </v>
          </cell>
          <cell r="D1021" t="str">
            <v>XpressBees</v>
          </cell>
          <cell r="E1021" t="str">
            <v xml:space="preserve"> AIR </v>
          </cell>
          <cell r="F1021" t="str">
            <v xml:space="preserve"> APPAREL </v>
          </cell>
          <cell r="G1021" t="str">
            <v>North</v>
          </cell>
          <cell r="I1021" t="str">
            <v>1.8KG</v>
          </cell>
          <cell r="J1021" t="str">
            <v xml:space="preserve">Rs 224 </v>
          </cell>
          <cell r="K1021">
            <v>4</v>
          </cell>
          <cell r="L1021" t="str">
            <v xml:space="preserve"> 29/02/2024 </v>
          </cell>
          <cell r="M1021" t="str">
            <v xml:space="preserve"> Delivered</v>
          </cell>
          <cell r="N1021">
            <v>5</v>
          </cell>
          <cell r="O1021" t="str">
            <v>Yes</v>
          </cell>
        </row>
        <row r="1022">
          <cell r="A1022" t="str">
            <v>SHP-100792</v>
          </cell>
          <cell r="B1022" t="str">
            <v>11-Feb-2024</v>
          </cell>
          <cell r="C1022" t="str">
            <v>delhi</v>
          </cell>
          <cell r="D1022" t="str">
            <v xml:space="preserve"> DTDC</v>
          </cell>
          <cell r="E1022" t="str">
            <v xml:space="preserve"> AIR </v>
          </cell>
          <cell r="F1022" t="str">
            <v>apparel</v>
          </cell>
          <cell r="G1022" t="str">
            <v xml:space="preserve"> EAST </v>
          </cell>
          <cell r="I1022" t="str">
            <v>6.9KG</v>
          </cell>
          <cell r="J1022" t="str">
            <v>₹486</v>
          </cell>
          <cell r="K1022">
            <v>4</v>
          </cell>
          <cell r="L1022" t="str">
            <v xml:space="preserve"> 15/02/2024 </v>
          </cell>
          <cell r="M1022" t="str">
            <v xml:space="preserve"> Delivered</v>
          </cell>
          <cell r="N1022">
            <v>3</v>
          </cell>
          <cell r="O1022" t="str">
            <v xml:space="preserve"> No</v>
          </cell>
        </row>
        <row r="1023">
          <cell r="A1023" t="str">
            <v>SHP-100880</v>
          </cell>
          <cell r="B1023" t="str">
            <v>21/03/2024</v>
          </cell>
          <cell r="C1023" t="str">
            <v xml:space="preserve">hyderabad </v>
          </cell>
          <cell r="D1023" t="str">
            <v>Ecom  Express</v>
          </cell>
          <cell r="E1023" t="str">
            <v xml:space="preserve"> SURFACE </v>
          </cell>
          <cell r="F1023" t="str">
            <v xml:space="preserve">furniture </v>
          </cell>
          <cell r="G1023" t="str">
            <v>East</v>
          </cell>
          <cell r="I1023" t="str">
            <v>18.3</v>
          </cell>
          <cell r="J1023" t="str">
            <v xml:space="preserve">Rs 575 </v>
          </cell>
          <cell r="K1023">
            <v>6</v>
          </cell>
          <cell r="L1023" t="str">
            <v>28-Mar-2024</v>
          </cell>
          <cell r="M1023" t="str">
            <v xml:space="preserve"> Delayed</v>
          </cell>
          <cell r="N1023">
            <v>1</v>
          </cell>
          <cell r="O1023" t="str">
            <v xml:space="preserve">yes </v>
          </cell>
        </row>
        <row r="1024">
          <cell r="A1024" t="str">
            <v>SHP-101034</v>
          </cell>
          <cell r="B1024" t="str">
            <v>25-Apr-2024</v>
          </cell>
          <cell r="C1024" t="str">
            <v xml:space="preserve">hyderabad </v>
          </cell>
          <cell r="D1024" t="str">
            <v>Ecom Express</v>
          </cell>
          <cell r="E1024" t="str">
            <v xml:space="preserve"> AIR </v>
          </cell>
          <cell r="F1024" t="str">
            <v xml:space="preserve"> GROCERY &amp; FMCG </v>
          </cell>
          <cell r="G1024" t="str">
            <v>South</v>
          </cell>
          <cell r="I1024" t="str">
            <v>5.4KG</v>
          </cell>
          <cell r="J1024" t="str">
            <v>424</v>
          </cell>
          <cell r="K1024">
            <v>4</v>
          </cell>
          <cell r="L1024" t="str">
            <v>2024-04-28</v>
          </cell>
          <cell r="M1024" t="str">
            <v>DELIVERED</v>
          </cell>
          <cell r="N1024">
            <v>5</v>
          </cell>
          <cell r="O1024" t="str">
            <v>No</v>
          </cell>
        </row>
        <row r="1025">
          <cell r="A1025" t="str">
            <v>SHP-100915</v>
          </cell>
          <cell r="B1025" t="str">
            <v>18/06/2024</v>
          </cell>
          <cell r="C1025" t="str">
            <v xml:space="preserve">mumbai </v>
          </cell>
          <cell r="D1025" t="str">
            <v>DELHIVERY</v>
          </cell>
          <cell r="E1025" t="str">
            <v xml:space="preserve">road </v>
          </cell>
          <cell r="F1025" t="str">
            <v xml:space="preserve"> GROCERY &amp; FMCG </v>
          </cell>
          <cell r="G1025" t="str">
            <v>North</v>
          </cell>
          <cell r="I1025" t="str">
            <v>14.7</v>
          </cell>
          <cell r="J1025" t="str">
            <v>₹408</v>
          </cell>
          <cell r="K1025">
            <v>8</v>
          </cell>
          <cell r="L1025" t="str">
            <v xml:space="preserve"> 26/06/2024 </v>
          </cell>
          <cell r="M1025" t="str">
            <v>delivered</v>
          </cell>
          <cell r="N1025">
            <v>4</v>
          </cell>
          <cell r="O1025" t="str">
            <v xml:space="preserve">yes </v>
          </cell>
        </row>
        <row r="1026">
          <cell r="A1026" t="str">
            <v>SHP-100732</v>
          </cell>
          <cell r="B1026" t="str">
            <v>2024-01-17</v>
          </cell>
          <cell r="C1026" t="str">
            <v>KOLKATA</v>
          </cell>
          <cell r="D1026" t="str">
            <v>XpressBees</v>
          </cell>
          <cell r="E1026" t="str">
            <v>Surface</v>
          </cell>
          <cell r="F1026" t="str">
            <v>grocery &amp; fmcg</v>
          </cell>
          <cell r="G1026" t="str">
            <v>WEST</v>
          </cell>
          <cell r="I1026" t="str">
            <v xml:space="preserve">2.3 Kg </v>
          </cell>
          <cell r="J1026" t="str">
            <v>229</v>
          </cell>
          <cell r="K1026">
            <v>6</v>
          </cell>
          <cell r="L1026" t="str">
            <v>23/01/2024</v>
          </cell>
          <cell r="M1026" t="str">
            <v>Delivered</v>
          </cell>
          <cell r="N1026">
            <v>4</v>
          </cell>
          <cell r="O1026" t="str">
            <v>Y</v>
          </cell>
        </row>
        <row r="1027">
          <cell r="A1027" t="str">
            <v>SHP-101137</v>
          </cell>
          <cell r="B1027" t="str">
            <v>22-Apr-2024</v>
          </cell>
          <cell r="C1027" t="str">
            <v>Chennai</v>
          </cell>
          <cell r="D1027" t="str">
            <v>BlueDart</v>
          </cell>
          <cell r="E1027" t="str">
            <v>Surface</v>
          </cell>
          <cell r="F1027" t="str">
            <v>PHARMA</v>
          </cell>
          <cell r="G1027" t="str">
            <v>West</v>
          </cell>
          <cell r="I1027" t="str">
            <v xml:space="preserve">2.2 Kg </v>
          </cell>
          <cell r="J1027" t="str">
            <v>₹179</v>
          </cell>
          <cell r="K1027">
            <v>6</v>
          </cell>
          <cell r="L1027" t="str">
            <v xml:space="preserve"> 28/04/2024 </v>
          </cell>
          <cell r="M1027" t="str">
            <v>delivered</v>
          </cell>
          <cell r="N1027">
            <v>5</v>
          </cell>
          <cell r="O1027" t="str">
            <v>YES</v>
          </cell>
        </row>
        <row r="1028">
          <cell r="A1028" t="str">
            <v>SHP-100978</v>
          </cell>
          <cell r="B1028" t="str">
            <v>18-Apr-2024</v>
          </cell>
          <cell r="C1028" t="str">
            <v>MUMBAI</v>
          </cell>
          <cell r="D1028" t="str">
            <v xml:space="preserve">BLUEDART </v>
          </cell>
          <cell r="E1028" t="str">
            <v xml:space="preserve">air </v>
          </cell>
          <cell r="F1028" t="str">
            <v>Electronics</v>
          </cell>
          <cell r="G1028" t="str">
            <v>EAST</v>
          </cell>
          <cell r="I1028" t="str">
            <v>14.3</v>
          </cell>
          <cell r="J1028" t="str">
            <v>775</v>
          </cell>
          <cell r="K1028">
            <v>4</v>
          </cell>
          <cell r="L1028" t="str">
            <v>23-Apr-2024</v>
          </cell>
          <cell r="M1028" t="str">
            <v>DELAYED</v>
          </cell>
          <cell r="N1028">
            <v>2</v>
          </cell>
          <cell r="O1028" t="str">
            <v>no</v>
          </cell>
        </row>
        <row r="1029">
          <cell r="A1029" t="str">
            <v>SHP-101150</v>
          </cell>
          <cell r="B1029" t="str">
            <v>2024-03-06</v>
          </cell>
          <cell r="C1029" t="str">
            <v>hyderabad</v>
          </cell>
          <cell r="D1029" t="str">
            <v>bluedart</v>
          </cell>
          <cell r="E1029" t="str">
            <v>SURFACE</v>
          </cell>
          <cell r="F1029" t="str">
            <v xml:space="preserve">automotive parts </v>
          </cell>
          <cell r="G1029" t="str">
            <v>EAST</v>
          </cell>
          <cell r="I1029" t="str">
            <v>34.3kg</v>
          </cell>
          <cell r="J1029" t="str">
            <v xml:space="preserve">Rs 894 </v>
          </cell>
          <cell r="K1029">
            <v>6</v>
          </cell>
          <cell r="L1029" t="str">
            <v>13/03/2024</v>
          </cell>
          <cell r="M1029" t="str">
            <v>Delayed</v>
          </cell>
          <cell r="N1029">
            <v>1</v>
          </cell>
          <cell r="O1029" t="str">
            <v>no</v>
          </cell>
        </row>
        <row r="1030">
          <cell r="A1030" t="str">
            <v>SHP-101575</v>
          </cell>
          <cell r="B1030" t="str">
            <v>25/06/2024</v>
          </cell>
          <cell r="C1030" t="str">
            <v>bengaluru</v>
          </cell>
          <cell r="D1030" t="str">
            <v>Ecom  Express</v>
          </cell>
          <cell r="E1030" t="str">
            <v>Road</v>
          </cell>
          <cell r="F1030" t="str">
            <v>Automotive Parts</v>
          </cell>
          <cell r="G1030" t="str">
            <v>west</v>
          </cell>
          <cell r="I1030" t="str">
            <v>10.2</v>
          </cell>
          <cell r="J1030" t="str">
            <v>₹302</v>
          </cell>
          <cell r="K1030">
            <v>8</v>
          </cell>
          <cell r="M1030" t="str">
            <v xml:space="preserve">IN-TRANSIT </v>
          </cell>
          <cell r="O1030" t="str">
            <v>no</v>
          </cell>
        </row>
        <row r="1031">
          <cell r="A1031" t="str">
            <v>SHP-101047</v>
          </cell>
          <cell r="B1031" t="str">
            <v>2024-02-15</v>
          </cell>
          <cell r="C1031" t="str">
            <v>hyderabad</v>
          </cell>
          <cell r="D1031" t="str">
            <v xml:space="preserve"> Delhivery</v>
          </cell>
          <cell r="E1031" t="str">
            <v xml:space="preserve">surface </v>
          </cell>
          <cell r="F1031" t="str">
            <v xml:space="preserve">automotive parts </v>
          </cell>
          <cell r="G1031" t="str">
            <v xml:space="preserve"> SOUTH </v>
          </cell>
          <cell r="I1031" t="str">
            <v xml:space="preserve">36.5 Kg </v>
          </cell>
          <cell r="J1031" t="str">
            <v>₹945</v>
          </cell>
          <cell r="K1031">
            <v>6</v>
          </cell>
          <cell r="L1031" t="str">
            <v>22/02/2024</v>
          </cell>
          <cell r="M1031" t="str">
            <v>Delayed</v>
          </cell>
          <cell r="N1031">
            <v>3</v>
          </cell>
          <cell r="O1031" t="str">
            <v>YES</v>
          </cell>
        </row>
        <row r="1032">
          <cell r="A1032" t="str">
            <v>SHP-100644</v>
          </cell>
          <cell r="B1032" t="str">
            <v xml:space="preserve"> 19/02/2024 </v>
          </cell>
          <cell r="C1032" t="str">
            <v xml:space="preserve"> CHENNAI </v>
          </cell>
          <cell r="D1032" t="str">
            <v>xpressbees</v>
          </cell>
          <cell r="E1032" t="str">
            <v>ROAD</v>
          </cell>
          <cell r="F1032" t="str">
            <v>GROCERY &amp; FMCG</v>
          </cell>
          <cell r="G1032" t="str">
            <v>East</v>
          </cell>
          <cell r="I1032" t="str">
            <v>6.8KG</v>
          </cell>
          <cell r="J1032" t="str">
            <v xml:space="preserve">Rs 216 </v>
          </cell>
          <cell r="K1032">
            <v>8</v>
          </cell>
          <cell r="L1032" t="str">
            <v>26/02/2024</v>
          </cell>
          <cell r="M1032" t="str">
            <v>delivered</v>
          </cell>
          <cell r="N1032">
            <v>5</v>
          </cell>
          <cell r="O1032" t="str">
            <v>YES</v>
          </cell>
        </row>
        <row r="1033">
          <cell r="A1033" t="str">
            <v>SHP-100136</v>
          </cell>
          <cell r="B1033" t="str">
            <v xml:space="preserve"> 25/04/2024 </v>
          </cell>
          <cell r="C1033" t="str">
            <v xml:space="preserve"> MUMBAI </v>
          </cell>
          <cell r="D1033" t="str">
            <v>xpressbees</v>
          </cell>
          <cell r="E1033" t="str">
            <v>air</v>
          </cell>
          <cell r="F1033" t="str">
            <v>apparel</v>
          </cell>
          <cell r="G1033" t="str">
            <v xml:space="preserve">north </v>
          </cell>
          <cell r="I1033" t="str">
            <v xml:space="preserve">1.9 Kg </v>
          </cell>
          <cell r="J1033" t="str">
            <v>₹290</v>
          </cell>
          <cell r="K1033">
            <v>4</v>
          </cell>
          <cell r="L1033" t="str">
            <v>2024-04-28</v>
          </cell>
          <cell r="M1033" t="str">
            <v xml:space="preserve"> Delivered</v>
          </cell>
          <cell r="N1033">
            <v>2</v>
          </cell>
          <cell r="O1033" t="str">
            <v>N</v>
          </cell>
        </row>
        <row r="1034">
          <cell r="A1034" t="str">
            <v>SHP-101559</v>
          </cell>
          <cell r="B1034" t="str">
            <v>09-Feb-2024</v>
          </cell>
          <cell r="C1034" t="str">
            <v>chennai</v>
          </cell>
          <cell r="D1034" t="str">
            <v>XpressBees</v>
          </cell>
          <cell r="E1034" t="str">
            <v xml:space="preserve"> AIR </v>
          </cell>
          <cell r="F1034" t="str">
            <v xml:space="preserve"> AUTOMOTIVE PARTS </v>
          </cell>
          <cell r="G1034" t="str">
            <v xml:space="preserve">east </v>
          </cell>
          <cell r="I1034" t="str">
            <v>26.8KG</v>
          </cell>
          <cell r="J1034" t="str">
            <v>1,394</v>
          </cell>
          <cell r="K1034">
            <v>4</v>
          </cell>
          <cell r="L1034" t="str">
            <v>16/02/2024</v>
          </cell>
          <cell r="M1034" t="str">
            <v>DELAYED</v>
          </cell>
          <cell r="N1034">
            <v>3</v>
          </cell>
          <cell r="O1034" t="str">
            <v xml:space="preserve">yes </v>
          </cell>
        </row>
        <row r="1035">
          <cell r="A1035" t="str">
            <v>SHP-100934</v>
          </cell>
          <cell r="B1035" t="str">
            <v>21-May-2024</v>
          </cell>
          <cell r="C1035" t="str">
            <v>KOLKATA</v>
          </cell>
          <cell r="D1035" t="str">
            <v>BlueDart</v>
          </cell>
          <cell r="E1035" t="str">
            <v>ROAD</v>
          </cell>
          <cell r="F1035" t="str">
            <v xml:space="preserve"> FURNITURE </v>
          </cell>
          <cell r="G1035" t="str">
            <v>south</v>
          </cell>
          <cell r="I1035" t="str">
            <v xml:space="preserve">15.1 Kg </v>
          </cell>
          <cell r="J1035" t="str">
            <v>362</v>
          </cell>
          <cell r="K1035">
            <v>8</v>
          </cell>
          <cell r="L1035" t="str">
            <v>29-May-2024</v>
          </cell>
          <cell r="M1035" t="str">
            <v>delivered</v>
          </cell>
          <cell r="N1035">
            <v>1</v>
          </cell>
          <cell r="O1035" t="str">
            <v xml:space="preserve">yes </v>
          </cell>
        </row>
        <row r="1036">
          <cell r="A1036" t="str">
            <v>SHP-101291</v>
          </cell>
          <cell r="B1036" t="str">
            <v>2024-03-15</v>
          </cell>
          <cell r="C1036" t="str">
            <v>Delhi</v>
          </cell>
          <cell r="D1036" t="str">
            <v>dtdc</v>
          </cell>
          <cell r="E1036" t="str">
            <v xml:space="preserve">road </v>
          </cell>
          <cell r="F1036" t="str">
            <v>pharma</v>
          </cell>
          <cell r="G1036" t="str">
            <v>South</v>
          </cell>
          <cell r="I1036" t="str">
            <v>1.6KG</v>
          </cell>
          <cell r="J1036" t="str">
            <v>161</v>
          </cell>
          <cell r="K1036">
            <v>8</v>
          </cell>
          <cell r="L1036" t="str">
            <v>24/03/2024</v>
          </cell>
          <cell r="M1036" t="str">
            <v>DELAYED</v>
          </cell>
          <cell r="N1036">
            <v>1</v>
          </cell>
          <cell r="O1036" t="str">
            <v>no</v>
          </cell>
        </row>
        <row r="1037">
          <cell r="A1037" t="str">
            <v>SHP-100977</v>
          </cell>
          <cell r="B1037" t="str">
            <v>2024-04-06</v>
          </cell>
          <cell r="C1037" t="str">
            <v>Kolkata</v>
          </cell>
          <cell r="D1037" t="str">
            <v>xpressbees</v>
          </cell>
          <cell r="E1037" t="str">
            <v xml:space="preserve">air </v>
          </cell>
          <cell r="F1037" t="str">
            <v>AUTOMOTIVE PARTS</v>
          </cell>
          <cell r="G1037" t="str">
            <v>East</v>
          </cell>
          <cell r="I1037" t="str">
            <v>24.0</v>
          </cell>
          <cell r="J1037" t="str">
            <v>1,062</v>
          </cell>
          <cell r="K1037">
            <v>2</v>
          </cell>
          <cell r="L1037" t="str">
            <v xml:space="preserve"> 08/04/2024 </v>
          </cell>
          <cell r="M1037" t="str">
            <v xml:space="preserve"> Delivered</v>
          </cell>
          <cell r="N1037">
            <v>5</v>
          </cell>
          <cell r="O1037" t="str">
            <v>Y</v>
          </cell>
        </row>
        <row r="1038">
          <cell r="A1038" t="str">
            <v>SHP-100894</v>
          </cell>
          <cell r="B1038" t="str">
            <v>02/06/2024</v>
          </cell>
          <cell r="C1038" t="str">
            <v>hyderabad</v>
          </cell>
          <cell r="D1038" t="str">
            <v>Xpress Bees</v>
          </cell>
          <cell r="E1038" t="str">
            <v xml:space="preserve">road </v>
          </cell>
          <cell r="F1038" t="str">
            <v xml:space="preserve">grocery &amp; fmcg </v>
          </cell>
          <cell r="G1038" t="str">
            <v xml:space="preserve"> NORTH </v>
          </cell>
          <cell r="I1038" t="str">
            <v xml:space="preserve">17.9 Kg </v>
          </cell>
          <cell r="J1038" t="str">
            <v>₹393</v>
          </cell>
          <cell r="K1038">
            <v>8</v>
          </cell>
          <cell r="L1038" t="str">
            <v>10/06/2024</v>
          </cell>
          <cell r="M1038" t="str">
            <v>Delivered</v>
          </cell>
          <cell r="N1038">
            <v>4</v>
          </cell>
          <cell r="O1038" t="str">
            <v>YES</v>
          </cell>
        </row>
        <row r="1039">
          <cell r="A1039" t="str">
            <v>SHP-100453</v>
          </cell>
          <cell r="B1039" t="str">
            <v>06/06/2024</v>
          </cell>
          <cell r="C1039" t="str">
            <v>Chennai</v>
          </cell>
          <cell r="D1039" t="str">
            <v>DTDC</v>
          </cell>
          <cell r="E1039" t="str">
            <v xml:space="preserve">surface </v>
          </cell>
          <cell r="F1039" t="str">
            <v>APPAREL</v>
          </cell>
          <cell r="G1039" t="str">
            <v xml:space="preserve">east </v>
          </cell>
          <cell r="I1039" t="str">
            <v>6.4kg</v>
          </cell>
          <cell r="J1039" t="str">
            <v xml:space="preserve">Rs 330 </v>
          </cell>
          <cell r="K1039">
            <v>6</v>
          </cell>
          <cell r="L1039" t="str">
            <v xml:space="preserve"> 11/06/2024 </v>
          </cell>
          <cell r="M1039" t="str">
            <v xml:space="preserve"> Delivered</v>
          </cell>
          <cell r="N1039">
            <v>4</v>
          </cell>
          <cell r="O1039" t="str">
            <v>No</v>
          </cell>
        </row>
        <row r="1040">
          <cell r="A1040" t="str">
            <v>SHP-101549</v>
          </cell>
          <cell r="B1040" t="str">
            <v>03-Jun-2024</v>
          </cell>
          <cell r="C1040" t="str">
            <v xml:space="preserve">hyderabad </v>
          </cell>
          <cell r="D1040" t="str">
            <v>xpressbees</v>
          </cell>
          <cell r="E1040" t="str">
            <v xml:space="preserve"> SURFACE </v>
          </cell>
          <cell r="F1040" t="str">
            <v xml:space="preserve"> GROCERY &amp; FMCG </v>
          </cell>
          <cell r="G1040" t="str">
            <v>north</v>
          </cell>
          <cell r="I1040" t="str">
            <v>7.1</v>
          </cell>
          <cell r="J1040" t="str">
            <v xml:space="preserve">Rs 322 </v>
          </cell>
          <cell r="K1040">
            <v>6</v>
          </cell>
          <cell r="L1040" t="str">
            <v>09/06/2024</v>
          </cell>
          <cell r="M1040" t="str">
            <v>delivered</v>
          </cell>
          <cell r="N1040">
            <v>5</v>
          </cell>
          <cell r="O1040" t="str">
            <v>Yes</v>
          </cell>
        </row>
        <row r="1041">
          <cell r="A1041" t="str">
            <v>SHP-100941</v>
          </cell>
          <cell r="B1041" t="str">
            <v xml:space="preserve"> 21/06/2024 </v>
          </cell>
          <cell r="C1041" t="str">
            <v xml:space="preserve">chennai </v>
          </cell>
          <cell r="D1041" t="str">
            <v>DTDC</v>
          </cell>
          <cell r="E1041" t="str">
            <v>air</v>
          </cell>
          <cell r="F1041" t="str">
            <v xml:space="preserve">  APPAREL </v>
          </cell>
          <cell r="G1041" t="str">
            <v>WEST</v>
          </cell>
          <cell r="I1041" t="str">
            <v>1.5</v>
          </cell>
          <cell r="J1041" t="str">
            <v>₹230</v>
          </cell>
          <cell r="K1041">
            <v>4</v>
          </cell>
          <cell r="L1041" t="str">
            <v>25-Jun-2024</v>
          </cell>
          <cell r="M1041" t="str">
            <v>Delivered</v>
          </cell>
          <cell r="N1041">
            <v>5</v>
          </cell>
          <cell r="O1041" t="str">
            <v xml:space="preserve"> No</v>
          </cell>
        </row>
        <row r="1042">
          <cell r="A1042" t="str">
            <v>SHP-101570</v>
          </cell>
          <cell r="B1042" t="str">
            <v>28/06/2024</v>
          </cell>
          <cell r="C1042" t="str">
            <v xml:space="preserve"> DELHI </v>
          </cell>
          <cell r="D1042" t="str">
            <v>XpressBees</v>
          </cell>
          <cell r="E1042" t="str">
            <v>surface</v>
          </cell>
          <cell r="F1042" t="str">
            <v xml:space="preserve">automotive parts </v>
          </cell>
          <cell r="G1042" t="str">
            <v xml:space="preserve"> WEST </v>
          </cell>
          <cell r="I1042" t="str">
            <v>29.7KG</v>
          </cell>
          <cell r="J1042" t="str">
            <v>₹792</v>
          </cell>
          <cell r="K1042">
            <v>6</v>
          </cell>
          <cell r="M1042" t="str">
            <v>in transit</v>
          </cell>
          <cell r="O1042" t="str">
            <v>Y</v>
          </cell>
        </row>
        <row r="1043">
          <cell r="A1043" t="str">
            <v>SHP-101327</v>
          </cell>
          <cell r="B1043" t="str">
            <v>2024-02-01</v>
          </cell>
          <cell r="C1043" t="str">
            <v xml:space="preserve"> KOLKATA </v>
          </cell>
          <cell r="D1043" t="str">
            <v>Xpress Bees</v>
          </cell>
          <cell r="E1043" t="str">
            <v xml:space="preserve"> SURFACE </v>
          </cell>
          <cell r="F1043" t="str">
            <v xml:space="preserve">apparel </v>
          </cell>
          <cell r="G1043" t="str">
            <v>WEST</v>
          </cell>
          <cell r="I1043" t="str">
            <v>7.8kg</v>
          </cell>
          <cell r="J1043" t="str">
            <v xml:space="preserve">Rs 358 </v>
          </cell>
          <cell r="K1043">
            <v>6</v>
          </cell>
          <cell r="L1043" t="str">
            <v>06-Feb-2024</v>
          </cell>
          <cell r="M1043" t="str">
            <v>Delivered</v>
          </cell>
          <cell r="N1043">
            <v>5</v>
          </cell>
          <cell r="O1043" t="str">
            <v>no</v>
          </cell>
        </row>
        <row r="1044">
          <cell r="A1044" t="str">
            <v>SHP-100257</v>
          </cell>
          <cell r="B1044" t="str">
            <v>2024-02-19</v>
          </cell>
          <cell r="C1044" t="str">
            <v xml:space="preserve">bengaluru </v>
          </cell>
          <cell r="D1044" t="str">
            <v>Delhivery</v>
          </cell>
          <cell r="E1044" t="str">
            <v>road</v>
          </cell>
          <cell r="F1044" t="str">
            <v xml:space="preserve"> APPAREL </v>
          </cell>
          <cell r="G1044" t="str">
            <v xml:space="preserve">east </v>
          </cell>
          <cell r="I1044" t="str">
            <v>3.6</v>
          </cell>
          <cell r="J1044" t="str">
            <v xml:space="preserve">Rs 223 </v>
          </cell>
          <cell r="K1044">
            <v>8</v>
          </cell>
          <cell r="L1044" t="str">
            <v>26/02/2024</v>
          </cell>
          <cell r="M1044" t="str">
            <v xml:space="preserve"> Delivered</v>
          </cell>
          <cell r="N1044">
            <v>4</v>
          </cell>
          <cell r="O1044" t="str">
            <v>No</v>
          </cell>
        </row>
        <row r="1045">
          <cell r="A1045" t="str">
            <v>SHP-100505</v>
          </cell>
          <cell r="B1045" t="str">
            <v>01-Feb-2024</v>
          </cell>
          <cell r="C1045" t="str">
            <v xml:space="preserve"> MUMBAI </v>
          </cell>
          <cell r="D1045" t="str">
            <v>Ecom  Express</v>
          </cell>
          <cell r="E1045" t="str">
            <v>air</v>
          </cell>
          <cell r="F1045" t="str">
            <v xml:space="preserve">  GROCERY &amp; FMCG </v>
          </cell>
          <cell r="G1045" t="str">
            <v xml:space="preserve">north </v>
          </cell>
          <cell r="I1045" t="str">
            <v>19.3KG</v>
          </cell>
          <cell r="J1045" t="str">
            <v>₹1,051</v>
          </cell>
          <cell r="K1045">
            <v>4</v>
          </cell>
          <cell r="L1045" t="str">
            <v>06/02/2024</v>
          </cell>
          <cell r="M1045" t="str">
            <v xml:space="preserve">delayed </v>
          </cell>
          <cell r="N1045">
            <v>1</v>
          </cell>
          <cell r="O1045" t="str">
            <v>No</v>
          </cell>
        </row>
        <row r="1046">
          <cell r="A1046" t="str">
            <v>SHP-100931</v>
          </cell>
          <cell r="B1046" t="str">
            <v>07-Apr-2024</v>
          </cell>
          <cell r="C1046" t="str">
            <v>Delhi</v>
          </cell>
          <cell r="D1046" t="str">
            <v>DTDC</v>
          </cell>
          <cell r="E1046" t="str">
            <v>surface</v>
          </cell>
          <cell r="F1046" t="str">
            <v>Apparel</v>
          </cell>
          <cell r="G1046" t="str">
            <v>EAST</v>
          </cell>
          <cell r="I1046" t="str">
            <v xml:space="preserve">3.8 Kg </v>
          </cell>
          <cell r="J1046" t="str">
            <v>291</v>
          </cell>
          <cell r="K1046">
            <v>6</v>
          </cell>
          <cell r="L1046" t="str">
            <v>13/04/2024</v>
          </cell>
          <cell r="M1046" t="str">
            <v>delivered</v>
          </cell>
          <cell r="N1046">
            <v>4</v>
          </cell>
          <cell r="O1046" t="str">
            <v>No</v>
          </cell>
        </row>
        <row r="1047">
          <cell r="A1047" t="str">
            <v>SHP-101241</v>
          </cell>
          <cell r="B1047" t="str">
            <v>28-May-2024</v>
          </cell>
          <cell r="C1047" t="str">
            <v xml:space="preserve">mumbai </v>
          </cell>
          <cell r="D1047" t="str">
            <v>Xpress Bees</v>
          </cell>
          <cell r="E1047" t="str">
            <v>ROAD</v>
          </cell>
          <cell r="F1047" t="str">
            <v xml:space="preserve"> AUTOMOTIVE PARTS </v>
          </cell>
          <cell r="G1047" t="str">
            <v xml:space="preserve">east </v>
          </cell>
          <cell r="I1047" t="str">
            <v>28.3</v>
          </cell>
          <cell r="J1047" t="str">
            <v xml:space="preserve">Rs 523 </v>
          </cell>
          <cell r="K1047">
            <v>8</v>
          </cell>
          <cell r="L1047" t="str">
            <v xml:space="preserve"> 14/06/2024 </v>
          </cell>
          <cell r="M1047" t="str">
            <v xml:space="preserve">delayed </v>
          </cell>
          <cell r="N1047">
            <v>3</v>
          </cell>
          <cell r="O1047" t="str">
            <v>No</v>
          </cell>
        </row>
        <row r="1048">
          <cell r="A1048" t="str">
            <v>SHP-100169</v>
          </cell>
          <cell r="B1048" t="str">
            <v xml:space="preserve"> 02/06/2024 </v>
          </cell>
          <cell r="C1048" t="str">
            <v>DELHI</v>
          </cell>
          <cell r="D1048" t="str">
            <v>Xpress Bees</v>
          </cell>
          <cell r="E1048" t="str">
            <v>road</v>
          </cell>
          <cell r="F1048" t="str">
            <v xml:space="preserve">apparel </v>
          </cell>
          <cell r="G1048" t="str">
            <v xml:space="preserve"> SOUTH </v>
          </cell>
          <cell r="I1048" t="str">
            <v>4.4</v>
          </cell>
          <cell r="J1048" t="str">
            <v xml:space="preserve">Rs 232 </v>
          </cell>
          <cell r="K1048">
            <v>8</v>
          </cell>
          <cell r="L1048" t="str">
            <v>10/06/2024</v>
          </cell>
          <cell r="M1048" t="str">
            <v>DELIVERED</v>
          </cell>
          <cell r="N1048">
            <v>5</v>
          </cell>
          <cell r="O1048" t="str">
            <v>no</v>
          </cell>
        </row>
        <row r="1049">
          <cell r="A1049" t="str">
            <v>SHP-100131</v>
          </cell>
          <cell r="B1049" t="str">
            <v>2024-06-07</v>
          </cell>
          <cell r="C1049" t="str">
            <v xml:space="preserve">hyderabad </v>
          </cell>
          <cell r="D1049" t="str">
            <v>DELHIVERY</v>
          </cell>
          <cell r="E1049" t="str">
            <v>road</v>
          </cell>
          <cell r="F1049" t="str">
            <v xml:space="preserve">pharma </v>
          </cell>
          <cell r="G1049" t="str">
            <v>east</v>
          </cell>
          <cell r="I1049" t="str">
            <v>3.3KG</v>
          </cell>
          <cell r="J1049" t="str">
            <v>250</v>
          </cell>
          <cell r="K1049">
            <v>8</v>
          </cell>
          <cell r="L1049" t="str">
            <v>2024-06-16</v>
          </cell>
          <cell r="M1049" t="str">
            <v>Delayed</v>
          </cell>
          <cell r="N1049">
            <v>2</v>
          </cell>
          <cell r="O1049" t="str">
            <v>Y</v>
          </cell>
        </row>
        <row r="1050">
          <cell r="A1050" t="str">
            <v>SHP-100406</v>
          </cell>
          <cell r="B1050" t="str">
            <v>08/06/2024</v>
          </cell>
          <cell r="C1050" t="str">
            <v>Hyderabad</v>
          </cell>
          <cell r="D1050" t="str">
            <v>dtdc</v>
          </cell>
          <cell r="E1050" t="str">
            <v>surface</v>
          </cell>
          <cell r="F1050" t="str">
            <v>PHARMA</v>
          </cell>
          <cell r="G1050" t="str">
            <v>east</v>
          </cell>
          <cell r="I1050" t="str">
            <v xml:space="preserve">0.6 Kg </v>
          </cell>
          <cell r="J1050" t="str">
            <v>135</v>
          </cell>
          <cell r="K1050">
            <v>6</v>
          </cell>
          <cell r="L1050" t="str">
            <v>2024-06-13</v>
          </cell>
          <cell r="M1050" t="str">
            <v>DELIVERED</v>
          </cell>
          <cell r="N1050">
            <v>4</v>
          </cell>
          <cell r="O1050" t="str">
            <v xml:space="preserve"> No</v>
          </cell>
        </row>
        <row r="1051">
          <cell r="A1051" t="str">
            <v>SHP-100844</v>
          </cell>
          <cell r="B1051" t="str">
            <v>2024-04-12</v>
          </cell>
          <cell r="C1051" t="str">
            <v>DELHI</v>
          </cell>
          <cell r="D1051" t="str">
            <v>Ecom Express</v>
          </cell>
          <cell r="E1051" t="str">
            <v>Air</v>
          </cell>
          <cell r="F1051" t="str">
            <v xml:space="preserve"> GROCERY &amp; FMCG </v>
          </cell>
          <cell r="G1051" t="str">
            <v>NORTH</v>
          </cell>
          <cell r="I1051" t="str">
            <v>10.1</v>
          </cell>
          <cell r="J1051" t="str">
            <v>₹432</v>
          </cell>
          <cell r="K1051">
            <v>2</v>
          </cell>
          <cell r="L1051" t="str">
            <v>2024-04-15</v>
          </cell>
          <cell r="M1051" t="str">
            <v xml:space="preserve">delayed </v>
          </cell>
          <cell r="N1051">
            <v>4</v>
          </cell>
          <cell r="O1051" t="str">
            <v xml:space="preserve"> No</v>
          </cell>
        </row>
        <row r="1052">
          <cell r="A1052" t="str">
            <v>SHP-100981</v>
          </cell>
          <cell r="B1052" t="str">
            <v xml:space="preserve"> 26/05/2024 </v>
          </cell>
          <cell r="C1052" t="str">
            <v>kolkata</v>
          </cell>
          <cell r="D1052" t="str">
            <v>bluedart</v>
          </cell>
          <cell r="E1052" t="str">
            <v>Air</v>
          </cell>
          <cell r="F1052" t="str">
            <v>Pharma</v>
          </cell>
          <cell r="G1052" t="str">
            <v xml:space="preserve"> EAST </v>
          </cell>
          <cell r="I1052" t="str">
            <v>0.9kg</v>
          </cell>
          <cell r="J1052" t="str">
            <v>80</v>
          </cell>
          <cell r="K1052">
            <v>2</v>
          </cell>
          <cell r="L1052" t="str">
            <v>27/05/2024</v>
          </cell>
          <cell r="M1052" t="str">
            <v xml:space="preserve"> Delivered</v>
          </cell>
          <cell r="N1052">
            <v>5</v>
          </cell>
          <cell r="O1052" t="str">
            <v>Y</v>
          </cell>
        </row>
        <row r="1053">
          <cell r="A1053" t="str">
            <v>SHP-101506</v>
          </cell>
          <cell r="B1053" t="str">
            <v>26-Jan-2024</v>
          </cell>
          <cell r="C1053" t="str">
            <v>KOLKATA</v>
          </cell>
          <cell r="D1053" t="str">
            <v xml:space="preserve"> XPRESSBEES</v>
          </cell>
          <cell r="E1053" t="str">
            <v>SURFACE</v>
          </cell>
          <cell r="F1053" t="str">
            <v>Grocery &amp; FMCG</v>
          </cell>
          <cell r="G1053" t="str">
            <v xml:space="preserve"> SOUTH </v>
          </cell>
          <cell r="I1053" t="str">
            <v>11.7kg</v>
          </cell>
          <cell r="J1053" t="str">
            <v>439</v>
          </cell>
          <cell r="K1053">
            <v>6</v>
          </cell>
          <cell r="L1053" t="str">
            <v xml:space="preserve"> 31/01/2024 </v>
          </cell>
          <cell r="M1053" t="str">
            <v xml:space="preserve"> Delivered</v>
          </cell>
          <cell r="N1053">
            <v>3</v>
          </cell>
          <cell r="O1053" t="str">
            <v>No</v>
          </cell>
        </row>
        <row r="1054">
          <cell r="A1054" t="str">
            <v>SHP-100724</v>
          </cell>
          <cell r="B1054" t="str">
            <v>09-Feb-2024</v>
          </cell>
          <cell r="C1054" t="str">
            <v>Delhi</v>
          </cell>
          <cell r="D1054" t="str">
            <v>bluedart</v>
          </cell>
          <cell r="E1054" t="str">
            <v xml:space="preserve">surface </v>
          </cell>
          <cell r="F1054" t="str">
            <v xml:space="preserve">pharma </v>
          </cell>
          <cell r="G1054" t="str">
            <v xml:space="preserve">south </v>
          </cell>
          <cell r="I1054" t="str">
            <v>2.8KG</v>
          </cell>
          <cell r="J1054" t="str">
            <v>214</v>
          </cell>
          <cell r="K1054">
            <v>6</v>
          </cell>
          <cell r="L1054" t="str">
            <v>2024-02-15</v>
          </cell>
          <cell r="M1054" t="str">
            <v>delivered</v>
          </cell>
          <cell r="N1054">
            <v>4</v>
          </cell>
          <cell r="O1054" t="str">
            <v>No</v>
          </cell>
        </row>
        <row r="1055">
          <cell r="A1055" t="str">
            <v>SHP-100434</v>
          </cell>
          <cell r="B1055" t="str">
            <v>09-Jun-2024</v>
          </cell>
          <cell r="C1055" t="str">
            <v xml:space="preserve">chennai </v>
          </cell>
          <cell r="D1055" t="str">
            <v xml:space="preserve">Dtdc </v>
          </cell>
          <cell r="E1055" t="str">
            <v>surface</v>
          </cell>
          <cell r="F1055" t="str">
            <v>electronics</v>
          </cell>
          <cell r="G1055" t="str">
            <v>SOUTH</v>
          </cell>
          <cell r="I1055" t="str">
            <v>1.0KG</v>
          </cell>
          <cell r="J1055" t="str">
            <v xml:space="preserve">Rs 80 </v>
          </cell>
          <cell r="K1055">
            <v>4</v>
          </cell>
          <cell r="L1055" t="str">
            <v>12/06/2024</v>
          </cell>
          <cell r="M1055" t="str">
            <v>delivered</v>
          </cell>
          <cell r="N1055">
            <v>5</v>
          </cell>
          <cell r="O1055" t="str">
            <v>Y</v>
          </cell>
        </row>
        <row r="1056">
          <cell r="A1056" t="str">
            <v>SHP-100149</v>
          </cell>
          <cell r="B1056" t="str">
            <v xml:space="preserve"> 09/03/2024 </v>
          </cell>
          <cell r="C1056" t="str">
            <v>Delhi</v>
          </cell>
          <cell r="D1056" t="str">
            <v>Ecom Express</v>
          </cell>
          <cell r="E1056" t="str">
            <v>Surface</v>
          </cell>
          <cell r="F1056" t="str">
            <v>APPAREL</v>
          </cell>
          <cell r="G1056" t="str">
            <v xml:space="preserve"> EAST </v>
          </cell>
          <cell r="I1056" t="str">
            <v>6.2</v>
          </cell>
          <cell r="J1056" t="str">
            <v>344</v>
          </cell>
          <cell r="K1056">
            <v>6</v>
          </cell>
          <cell r="L1056" t="str">
            <v xml:space="preserve"> 16/03/2024 </v>
          </cell>
          <cell r="M1056" t="str">
            <v>Delayed</v>
          </cell>
          <cell r="N1056">
            <v>3</v>
          </cell>
          <cell r="O1056" t="str">
            <v xml:space="preserve">yes </v>
          </cell>
        </row>
        <row r="1057">
          <cell r="A1057" t="str">
            <v>SHP-101599</v>
          </cell>
          <cell r="B1057" t="str">
            <v>02-Mar-2024</v>
          </cell>
          <cell r="C1057" t="str">
            <v xml:space="preserve"> CHENNAI </v>
          </cell>
          <cell r="D1057" t="str">
            <v>Blue Dart</v>
          </cell>
          <cell r="E1057" t="str">
            <v>Air</v>
          </cell>
          <cell r="F1057" t="str">
            <v>AUTOMOTIVE  PARTS</v>
          </cell>
          <cell r="G1057" t="str">
            <v>WEST</v>
          </cell>
          <cell r="I1057" t="str">
            <v xml:space="preserve">7.9 Kg </v>
          </cell>
          <cell r="J1057" t="str">
            <v xml:space="preserve">Rs 550 </v>
          </cell>
          <cell r="K1057">
            <v>4</v>
          </cell>
          <cell r="L1057" t="str">
            <v>06/03/2024</v>
          </cell>
          <cell r="M1057" t="str">
            <v>Delivered</v>
          </cell>
          <cell r="N1057">
            <v>4</v>
          </cell>
          <cell r="O1057" t="str">
            <v>Y</v>
          </cell>
        </row>
        <row r="1058">
          <cell r="A1058" t="str">
            <v>SHP-101039</v>
          </cell>
          <cell r="B1058" t="str">
            <v>2024-06-27</v>
          </cell>
          <cell r="C1058" t="str">
            <v>Mumbai</v>
          </cell>
          <cell r="D1058" t="str">
            <v>Delhivery</v>
          </cell>
          <cell r="E1058" t="str">
            <v xml:space="preserve">air </v>
          </cell>
          <cell r="F1058" t="str">
            <v>PHARMA</v>
          </cell>
          <cell r="G1058" t="str">
            <v>West</v>
          </cell>
          <cell r="I1058" t="str">
            <v xml:space="preserve">0.9 Kg </v>
          </cell>
          <cell r="J1058" t="str">
            <v xml:space="preserve">Rs 80 </v>
          </cell>
          <cell r="K1058">
            <v>2</v>
          </cell>
          <cell r="L1058" t="str">
            <v>30-Jun-2024</v>
          </cell>
          <cell r="M1058" t="str">
            <v xml:space="preserve">delayed </v>
          </cell>
          <cell r="N1058">
            <v>3</v>
          </cell>
          <cell r="O1058" t="str">
            <v>Y</v>
          </cell>
        </row>
        <row r="1059">
          <cell r="A1059" t="str">
            <v>SHP-100417</v>
          </cell>
          <cell r="B1059" t="str">
            <v>2024-05-20</v>
          </cell>
          <cell r="C1059" t="str">
            <v>Bengaluru</v>
          </cell>
          <cell r="D1059" t="str">
            <v xml:space="preserve"> XPRESSBEES</v>
          </cell>
          <cell r="E1059" t="str">
            <v>Road</v>
          </cell>
          <cell r="F1059" t="str">
            <v>Furniture</v>
          </cell>
          <cell r="G1059" t="str">
            <v>WEST</v>
          </cell>
          <cell r="I1059" t="str">
            <v xml:space="preserve">63.8 Kg </v>
          </cell>
          <cell r="J1059" t="str">
            <v>1,050</v>
          </cell>
          <cell r="K1059">
            <v>8</v>
          </cell>
          <cell r="L1059" t="str">
            <v>27-May-2024</v>
          </cell>
          <cell r="M1059" t="str">
            <v>delivered</v>
          </cell>
          <cell r="N1059">
            <v>5</v>
          </cell>
          <cell r="O1059" t="str">
            <v xml:space="preserve"> No</v>
          </cell>
        </row>
        <row r="1060">
          <cell r="A1060" t="str">
            <v>SHP-100441</v>
          </cell>
          <cell r="B1060" t="str">
            <v xml:space="preserve"> 18/05/2024 </v>
          </cell>
          <cell r="C1060" t="str">
            <v>Hyderabad</v>
          </cell>
          <cell r="D1060" t="str">
            <v xml:space="preserve">Dtdc </v>
          </cell>
          <cell r="E1060" t="str">
            <v>Road</v>
          </cell>
          <cell r="F1060" t="str">
            <v xml:space="preserve">pharma  </v>
          </cell>
          <cell r="G1060" t="str">
            <v>East</v>
          </cell>
          <cell r="I1060" t="str">
            <v xml:space="preserve">4.6 Kg </v>
          </cell>
          <cell r="J1060" t="str">
            <v xml:space="preserve">Rs 216 </v>
          </cell>
          <cell r="K1060">
            <v>8</v>
          </cell>
          <cell r="L1060" t="str">
            <v>25-May-2024</v>
          </cell>
          <cell r="M1060" t="str">
            <v xml:space="preserve"> Delivered</v>
          </cell>
          <cell r="N1060">
            <v>4</v>
          </cell>
          <cell r="O1060" t="str">
            <v xml:space="preserve">yes </v>
          </cell>
        </row>
        <row r="1061">
          <cell r="A1061" t="str">
            <v>SHP-100771</v>
          </cell>
          <cell r="B1061" t="str">
            <v>01/06/2024</v>
          </cell>
          <cell r="C1061" t="str">
            <v xml:space="preserve"> HYDERABAD </v>
          </cell>
          <cell r="D1061" t="str">
            <v>Blue Dart</v>
          </cell>
          <cell r="E1061" t="str">
            <v>Air</v>
          </cell>
          <cell r="F1061" t="str">
            <v>GROCERY &amp; FMCG</v>
          </cell>
          <cell r="G1061" t="str">
            <v xml:space="preserve"> NORTH </v>
          </cell>
          <cell r="I1061" t="str">
            <v xml:space="preserve">8.5 Kg </v>
          </cell>
          <cell r="J1061" t="str">
            <v>572</v>
          </cell>
          <cell r="K1061">
            <v>4</v>
          </cell>
          <cell r="L1061" t="str">
            <v>04-Jun-2024</v>
          </cell>
          <cell r="M1061" t="str">
            <v>delivered</v>
          </cell>
          <cell r="N1061">
            <v>5</v>
          </cell>
          <cell r="O1061" t="str">
            <v>Y</v>
          </cell>
        </row>
        <row r="1062">
          <cell r="A1062" t="str">
            <v>SHP-101281</v>
          </cell>
          <cell r="B1062" t="str">
            <v>22/02/2024</v>
          </cell>
          <cell r="C1062" t="str">
            <v>KOLKATA</v>
          </cell>
          <cell r="D1062" t="str">
            <v>xpressbees</v>
          </cell>
          <cell r="E1062" t="str">
            <v>air</v>
          </cell>
          <cell r="F1062" t="str">
            <v>electronics</v>
          </cell>
          <cell r="G1062" t="str">
            <v xml:space="preserve"> EAST </v>
          </cell>
          <cell r="I1062" t="str">
            <v>9.7kg</v>
          </cell>
          <cell r="J1062" t="str">
            <v xml:space="preserve">Rs 427 </v>
          </cell>
          <cell r="K1062">
            <v>2</v>
          </cell>
          <cell r="L1062" t="str">
            <v>2024-02-25</v>
          </cell>
          <cell r="M1062" t="str">
            <v>DELAYED</v>
          </cell>
          <cell r="N1062">
            <v>3</v>
          </cell>
          <cell r="O1062" t="str">
            <v>Y</v>
          </cell>
        </row>
        <row r="1063">
          <cell r="A1063" t="str">
            <v>SHP-101404</v>
          </cell>
          <cell r="B1063" t="str">
            <v>01-Jan-2024</v>
          </cell>
          <cell r="C1063" t="str">
            <v>mumbai</v>
          </cell>
          <cell r="D1063" t="str">
            <v>Blue Dart</v>
          </cell>
          <cell r="E1063" t="str">
            <v>ROAD</v>
          </cell>
          <cell r="F1063" t="str">
            <v xml:space="preserve"> FURNITURE </v>
          </cell>
          <cell r="G1063" t="str">
            <v xml:space="preserve"> EAST </v>
          </cell>
          <cell r="I1063" t="str">
            <v xml:space="preserve">68.5 Kg </v>
          </cell>
          <cell r="J1063" t="str">
            <v>₹1,138</v>
          </cell>
          <cell r="K1063">
            <v>8</v>
          </cell>
          <cell r="L1063" t="str">
            <v>09-Jan-2024</v>
          </cell>
          <cell r="M1063" t="str">
            <v>delivered</v>
          </cell>
          <cell r="N1063">
            <v>5</v>
          </cell>
          <cell r="O1063" t="str">
            <v xml:space="preserve"> No</v>
          </cell>
        </row>
        <row r="1064">
          <cell r="A1064" t="str">
            <v>SHP-100180</v>
          </cell>
          <cell r="B1064" t="str">
            <v>09-Jan-2024</v>
          </cell>
          <cell r="C1064" t="str">
            <v>delhi</v>
          </cell>
          <cell r="D1064" t="str">
            <v>Ecom  Express</v>
          </cell>
          <cell r="E1064" t="str">
            <v>ROAD</v>
          </cell>
          <cell r="F1064" t="str">
            <v xml:space="preserve"> FURNITURE </v>
          </cell>
          <cell r="G1064" t="str">
            <v xml:space="preserve">south </v>
          </cell>
          <cell r="I1064" t="str">
            <v>58.2</v>
          </cell>
          <cell r="J1064" t="str">
            <v xml:space="preserve">Rs 966 </v>
          </cell>
          <cell r="K1064">
            <v>8</v>
          </cell>
          <cell r="L1064" t="str">
            <v xml:space="preserve"> 26/01/2024 </v>
          </cell>
          <cell r="M1064" t="str">
            <v>DELAYED</v>
          </cell>
          <cell r="N1064">
            <v>1</v>
          </cell>
          <cell r="O1064" t="str">
            <v xml:space="preserve"> No</v>
          </cell>
        </row>
        <row r="1065">
          <cell r="A1065" t="str">
            <v>SHP-100140</v>
          </cell>
          <cell r="B1065" t="str">
            <v>2024-06-08</v>
          </cell>
          <cell r="C1065" t="str">
            <v>Hyderabad</v>
          </cell>
          <cell r="D1065" t="str">
            <v xml:space="preserve">Dtdc </v>
          </cell>
          <cell r="E1065" t="str">
            <v>Road</v>
          </cell>
          <cell r="F1065" t="str">
            <v xml:space="preserve">electronics </v>
          </cell>
          <cell r="G1065" t="str">
            <v>North</v>
          </cell>
          <cell r="I1065" t="str">
            <v>4.5kg</v>
          </cell>
          <cell r="J1065" t="str">
            <v>249</v>
          </cell>
          <cell r="K1065">
            <v>8</v>
          </cell>
          <cell r="L1065" t="str">
            <v xml:space="preserve"> 16/06/2024 </v>
          </cell>
          <cell r="M1065" t="str">
            <v>delivered</v>
          </cell>
          <cell r="N1065">
            <v>5</v>
          </cell>
          <cell r="O1065" t="str">
            <v>no</v>
          </cell>
        </row>
        <row r="1066">
          <cell r="A1066" t="str">
            <v>SHP-100567</v>
          </cell>
          <cell r="B1066" t="str">
            <v xml:space="preserve"> 16/01/2024 </v>
          </cell>
          <cell r="C1066" t="str">
            <v>Mumbai</v>
          </cell>
          <cell r="D1066" t="str">
            <v>ECOM EXPRESS</v>
          </cell>
          <cell r="E1066" t="str">
            <v xml:space="preserve"> AIR </v>
          </cell>
          <cell r="F1066" t="str">
            <v>Automotive Parts</v>
          </cell>
          <cell r="G1066" t="str">
            <v xml:space="preserve"> SOUTH </v>
          </cell>
          <cell r="I1066" t="str">
            <v xml:space="preserve">20.3 Kg </v>
          </cell>
          <cell r="J1066" t="str">
            <v>1,098</v>
          </cell>
          <cell r="K1066">
            <v>4</v>
          </cell>
          <cell r="L1066" t="str">
            <v>2024-01-19</v>
          </cell>
          <cell r="M1066" t="str">
            <v>delivered</v>
          </cell>
          <cell r="N1066">
            <v>5</v>
          </cell>
          <cell r="O1066" t="str">
            <v>No</v>
          </cell>
        </row>
        <row r="1067">
          <cell r="A1067" t="str">
            <v>SHP-101185</v>
          </cell>
          <cell r="B1067" t="str">
            <v>23/02/2024</v>
          </cell>
          <cell r="C1067" t="str">
            <v xml:space="preserve">bengaluru </v>
          </cell>
          <cell r="D1067" t="str">
            <v xml:space="preserve">Dtdc </v>
          </cell>
          <cell r="E1067" t="str">
            <v>ROAD</v>
          </cell>
          <cell r="F1067" t="str">
            <v>electronics</v>
          </cell>
          <cell r="G1067" t="str">
            <v>WEST</v>
          </cell>
          <cell r="I1067" t="str">
            <v>10.2</v>
          </cell>
          <cell r="J1067" t="str">
            <v xml:space="preserve">Rs 351 </v>
          </cell>
          <cell r="K1067">
            <v>8</v>
          </cell>
          <cell r="L1067" t="str">
            <v>01-Mar-2024</v>
          </cell>
          <cell r="M1067" t="str">
            <v>Damaged</v>
          </cell>
          <cell r="O1067" t="str">
            <v>Yes</v>
          </cell>
        </row>
        <row r="1068">
          <cell r="A1068" t="str">
            <v>SHP-101043</v>
          </cell>
          <cell r="B1068" t="str">
            <v xml:space="preserve"> 12/01/2024 </v>
          </cell>
          <cell r="C1068" t="str">
            <v>hyderabad</v>
          </cell>
          <cell r="D1068" t="str">
            <v xml:space="preserve"> XPRESSBEES</v>
          </cell>
          <cell r="E1068" t="str">
            <v>air</v>
          </cell>
          <cell r="F1068" t="str">
            <v>FURNITURE</v>
          </cell>
          <cell r="G1068" t="str">
            <v>west</v>
          </cell>
          <cell r="I1068" t="str">
            <v xml:space="preserve">74.7 Kg </v>
          </cell>
          <cell r="J1068" t="str">
            <v>₹3,412</v>
          </cell>
          <cell r="K1068">
            <v>2</v>
          </cell>
          <cell r="L1068" t="str">
            <v>2024-01-13</v>
          </cell>
          <cell r="M1068" t="str">
            <v>Delivered</v>
          </cell>
          <cell r="N1068">
            <v>4</v>
          </cell>
          <cell r="O1068" t="str">
            <v>No</v>
          </cell>
        </row>
        <row r="1069">
          <cell r="A1069" t="str">
            <v>SHP-100355</v>
          </cell>
          <cell r="B1069" t="str">
            <v>22/02/2024</v>
          </cell>
          <cell r="C1069" t="str">
            <v>MUMBAI</v>
          </cell>
          <cell r="D1069" t="str">
            <v>dtdc</v>
          </cell>
          <cell r="E1069" t="str">
            <v>ROAD</v>
          </cell>
          <cell r="F1069" t="str">
            <v xml:space="preserve"> PHARMA </v>
          </cell>
          <cell r="G1069" t="str">
            <v>west</v>
          </cell>
          <cell r="I1069" t="str">
            <v>4.9</v>
          </cell>
          <cell r="J1069" t="str">
            <v>₹104</v>
          </cell>
          <cell r="K1069">
            <v>6</v>
          </cell>
          <cell r="L1069" t="str">
            <v>28/02/2024</v>
          </cell>
          <cell r="M1069" t="str">
            <v>delivered</v>
          </cell>
          <cell r="N1069">
            <v>4</v>
          </cell>
          <cell r="O1069" t="str">
            <v>no</v>
          </cell>
        </row>
        <row r="1070">
          <cell r="A1070" t="str">
            <v>SHP-100409</v>
          </cell>
          <cell r="B1070" t="str">
            <v>19-Apr-2024</v>
          </cell>
          <cell r="C1070" t="str">
            <v>Bengaluru</v>
          </cell>
          <cell r="D1070" t="str">
            <v xml:space="preserve"> Delhivery</v>
          </cell>
          <cell r="E1070" t="str">
            <v xml:space="preserve"> SURFACE </v>
          </cell>
          <cell r="F1070" t="str">
            <v xml:space="preserve">pharma </v>
          </cell>
          <cell r="G1070" t="str">
            <v>south</v>
          </cell>
          <cell r="I1070" t="str">
            <v>3.2KG</v>
          </cell>
          <cell r="J1070" t="str">
            <v>91</v>
          </cell>
          <cell r="K1070">
            <v>4</v>
          </cell>
          <cell r="L1070" t="str">
            <v>02/05/2024</v>
          </cell>
          <cell r="M1070" t="str">
            <v xml:space="preserve"> Delayed</v>
          </cell>
          <cell r="N1070">
            <v>3</v>
          </cell>
          <cell r="O1070" t="str">
            <v>Y</v>
          </cell>
        </row>
        <row r="1071">
          <cell r="A1071" t="str">
            <v>SHP-101492</v>
          </cell>
          <cell r="B1071" t="str">
            <v xml:space="preserve"> 16/06/2024 </v>
          </cell>
          <cell r="C1071" t="str">
            <v>mumbai</v>
          </cell>
          <cell r="D1071" t="str">
            <v xml:space="preserve"> XPRESSBEES</v>
          </cell>
          <cell r="E1071" t="str">
            <v xml:space="preserve"> SURFACE </v>
          </cell>
          <cell r="F1071" t="str">
            <v>apparel</v>
          </cell>
          <cell r="G1071" t="str">
            <v>SOUTH</v>
          </cell>
          <cell r="I1071" t="str">
            <v xml:space="preserve">5.3 Kg </v>
          </cell>
          <cell r="J1071" t="str">
            <v xml:space="preserve">Rs 292 </v>
          </cell>
          <cell r="K1071">
            <v>6</v>
          </cell>
          <cell r="L1071" t="str">
            <v xml:space="preserve"> 22/06/2024 </v>
          </cell>
          <cell r="M1071" t="str">
            <v>delivered</v>
          </cell>
          <cell r="N1071">
            <v>4</v>
          </cell>
          <cell r="O1071" t="str">
            <v>N</v>
          </cell>
        </row>
        <row r="1072">
          <cell r="A1072" t="str">
            <v>SHP-101063</v>
          </cell>
          <cell r="B1072" t="str">
            <v>15-Feb-2024</v>
          </cell>
          <cell r="C1072" t="str">
            <v>Kolkata</v>
          </cell>
          <cell r="D1072" t="str">
            <v>Ecom  Express</v>
          </cell>
          <cell r="E1072" t="str">
            <v>Road</v>
          </cell>
          <cell r="F1072" t="str">
            <v xml:space="preserve"> ELECTRONICS </v>
          </cell>
          <cell r="G1072" t="str">
            <v xml:space="preserve"> NORTH </v>
          </cell>
          <cell r="I1072" t="str">
            <v>11.0kg</v>
          </cell>
          <cell r="J1072" t="str">
            <v xml:space="preserve">Rs 290 </v>
          </cell>
          <cell r="K1072">
            <v>8</v>
          </cell>
          <cell r="L1072" t="str">
            <v>23/02/2024</v>
          </cell>
          <cell r="M1072" t="str">
            <v>DELIVERED</v>
          </cell>
          <cell r="N1072">
            <v>3</v>
          </cell>
          <cell r="O1072" t="str">
            <v>Yes</v>
          </cell>
        </row>
        <row r="1073">
          <cell r="A1073" t="str">
            <v>SHP-100950</v>
          </cell>
          <cell r="B1073" t="str">
            <v>09/01/2024</v>
          </cell>
          <cell r="C1073" t="str">
            <v xml:space="preserve"> MUMBAI </v>
          </cell>
          <cell r="D1073" t="str">
            <v>Delhivery</v>
          </cell>
          <cell r="E1073" t="str">
            <v xml:space="preserve"> SURFACE </v>
          </cell>
          <cell r="F1073" t="str">
            <v>apparel</v>
          </cell>
          <cell r="G1073" t="str">
            <v>SOUTH</v>
          </cell>
          <cell r="I1073" t="str">
            <v>0.6</v>
          </cell>
          <cell r="J1073" t="str">
            <v xml:space="preserve">Rs 138 </v>
          </cell>
          <cell r="K1073">
            <v>6</v>
          </cell>
          <cell r="L1073" t="str">
            <v xml:space="preserve"> 14/01/2024 </v>
          </cell>
          <cell r="M1073" t="str">
            <v>delivered</v>
          </cell>
          <cell r="N1073">
            <v>4</v>
          </cell>
          <cell r="O1073" t="str">
            <v>Yes</v>
          </cell>
        </row>
        <row r="1074">
          <cell r="A1074" t="str">
            <v>SHP-101568</v>
          </cell>
          <cell r="B1074" t="str">
            <v xml:space="preserve"> 11/06/2024 </v>
          </cell>
          <cell r="C1074" t="str">
            <v>Kolkata</v>
          </cell>
          <cell r="D1074" t="str">
            <v xml:space="preserve"> DTDC</v>
          </cell>
          <cell r="E1074" t="str">
            <v xml:space="preserve">road </v>
          </cell>
          <cell r="F1074" t="str">
            <v>furniture</v>
          </cell>
          <cell r="G1074" t="str">
            <v>WEST</v>
          </cell>
          <cell r="I1074" t="str">
            <v>61.4</v>
          </cell>
          <cell r="J1074" t="str">
            <v xml:space="preserve">Rs 1049 </v>
          </cell>
          <cell r="K1074">
            <v>8</v>
          </cell>
          <cell r="L1074" t="str">
            <v xml:space="preserve"> 20/06/2024 </v>
          </cell>
          <cell r="M1074" t="str">
            <v>Returned</v>
          </cell>
          <cell r="O1074" t="str">
            <v>No</v>
          </cell>
        </row>
        <row r="1075">
          <cell r="A1075" t="str">
            <v>SHP-101283</v>
          </cell>
          <cell r="B1075" t="str">
            <v>28/03/2024</v>
          </cell>
          <cell r="C1075" t="str">
            <v>MUMBAI</v>
          </cell>
          <cell r="D1075" t="str">
            <v>XpressBees</v>
          </cell>
          <cell r="E1075" t="str">
            <v>AIR</v>
          </cell>
          <cell r="F1075" t="str">
            <v>pharma</v>
          </cell>
          <cell r="G1075" t="str">
            <v>South</v>
          </cell>
          <cell r="I1075" t="str">
            <v xml:space="preserve">3.8 Kg </v>
          </cell>
          <cell r="J1075" t="str">
            <v>366</v>
          </cell>
          <cell r="K1075">
            <v>4</v>
          </cell>
          <cell r="L1075" t="str">
            <v xml:space="preserve"> 01/04/2024 </v>
          </cell>
          <cell r="M1075" t="str">
            <v>Delivered</v>
          </cell>
          <cell r="N1075">
            <v>4</v>
          </cell>
          <cell r="O1075" t="str">
            <v>Y</v>
          </cell>
        </row>
        <row r="1076">
          <cell r="I1076" t="str">
            <v>1.8KG</v>
          </cell>
        </row>
        <row r="1077">
          <cell r="A1077" t="str">
            <v>SHP-101077</v>
          </cell>
          <cell r="B1077" t="str">
            <v>2024-04-07</v>
          </cell>
          <cell r="C1077" t="str">
            <v>bengaluru</v>
          </cell>
          <cell r="D1077" t="str">
            <v>ECOM EXPRESS</v>
          </cell>
          <cell r="E1077" t="str">
            <v>AIR</v>
          </cell>
          <cell r="F1077" t="str">
            <v>automotive parts</v>
          </cell>
          <cell r="G1077" t="str">
            <v xml:space="preserve">south </v>
          </cell>
          <cell r="I1077" t="str">
            <v>12.4</v>
          </cell>
          <cell r="J1077" t="str">
            <v xml:space="preserve">Rs 540 </v>
          </cell>
          <cell r="K1077">
            <v>2</v>
          </cell>
          <cell r="L1077" t="str">
            <v>10/04/2024</v>
          </cell>
          <cell r="M1077" t="str">
            <v>DELAYED</v>
          </cell>
          <cell r="N1077">
            <v>2</v>
          </cell>
          <cell r="O1077" t="str">
            <v>YES</v>
          </cell>
        </row>
        <row r="1078">
          <cell r="A1078" t="str">
            <v>SHP-100547</v>
          </cell>
          <cell r="B1078" t="str">
            <v>10-Mar-2024</v>
          </cell>
          <cell r="C1078" t="str">
            <v xml:space="preserve">chennai </v>
          </cell>
          <cell r="D1078" t="str">
            <v>Ecom  Express</v>
          </cell>
          <cell r="E1078" t="str">
            <v>Road</v>
          </cell>
          <cell r="F1078" t="str">
            <v>Electronics</v>
          </cell>
          <cell r="G1078" t="str">
            <v xml:space="preserve">south </v>
          </cell>
          <cell r="I1078" t="str">
            <v>6.5kg</v>
          </cell>
          <cell r="J1078" t="str">
            <v>103</v>
          </cell>
          <cell r="K1078">
            <v>6</v>
          </cell>
          <cell r="L1078" t="str">
            <v>2024-03-20</v>
          </cell>
          <cell r="M1078" t="str">
            <v>DELAYED</v>
          </cell>
          <cell r="N1078">
            <v>4</v>
          </cell>
          <cell r="O1078" t="str">
            <v>No</v>
          </cell>
        </row>
        <row r="1079">
          <cell r="A1079" t="str">
            <v>SHP-100506</v>
          </cell>
          <cell r="B1079" t="str">
            <v>07/01/2024</v>
          </cell>
          <cell r="C1079" t="str">
            <v>bengaluru</v>
          </cell>
          <cell r="D1079" t="str">
            <v xml:space="preserve"> XPRESSBEES</v>
          </cell>
          <cell r="E1079" t="str">
            <v xml:space="preserve"> AIR </v>
          </cell>
          <cell r="F1079" t="str">
            <v>FURNITURE</v>
          </cell>
          <cell r="G1079" t="str">
            <v xml:space="preserve">east </v>
          </cell>
          <cell r="I1079" t="str">
            <v>55.0kg</v>
          </cell>
          <cell r="J1079" t="str">
            <v>2,674</v>
          </cell>
          <cell r="K1079">
            <v>4</v>
          </cell>
          <cell r="L1079" t="str">
            <v>19-Jan-2024</v>
          </cell>
          <cell r="M1079" t="str">
            <v>DELAYED</v>
          </cell>
          <cell r="N1079">
            <v>2</v>
          </cell>
          <cell r="O1079" t="str">
            <v xml:space="preserve"> No</v>
          </cell>
        </row>
        <row r="1080">
          <cell r="A1080" t="str">
            <v>SHP-100282</v>
          </cell>
          <cell r="B1080" t="str">
            <v xml:space="preserve"> 07/01/2024 </v>
          </cell>
          <cell r="C1080" t="str">
            <v xml:space="preserve"> CHENNAI </v>
          </cell>
          <cell r="D1080" t="str">
            <v>ecom express</v>
          </cell>
          <cell r="E1080" t="str">
            <v>Surface</v>
          </cell>
          <cell r="F1080" t="str">
            <v>FURNITURE</v>
          </cell>
          <cell r="G1080" t="str">
            <v xml:space="preserve"> EAST </v>
          </cell>
          <cell r="I1080" t="str">
            <v>71.5</v>
          </cell>
          <cell r="J1080" t="str">
            <v>₹1,736</v>
          </cell>
          <cell r="K1080">
            <v>6</v>
          </cell>
          <cell r="L1080" t="str">
            <v xml:space="preserve"> 12/01/2024 </v>
          </cell>
          <cell r="M1080" t="str">
            <v>Delivered</v>
          </cell>
          <cell r="N1080">
            <v>4</v>
          </cell>
          <cell r="O1080" t="str">
            <v>YES</v>
          </cell>
        </row>
        <row r="1081">
          <cell r="A1081" t="str">
            <v>SHP-101060</v>
          </cell>
          <cell r="B1081" t="str">
            <v>25/02/2024</v>
          </cell>
          <cell r="C1081" t="str">
            <v>bengaluru</v>
          </cell>
          <cell r="D1081" t="str">
            <v>Xpress Bees</v>
          </cell>
          <cell r="E1081" t="str">
            <v>SURFACE</v>
          </cell>
          <cell r="F1081" t="str">
            <v xml:space="preserve">pharma </v>
          </cell>
          <cell r="G1081" t="str">
            <v xml:space="preserve">east </v>
          </cell>
          <cell r="I1081" t="str">
            <v>4.4</v>
          </cell>
          <cell r="J1081" t="str">
            <v xml:space="preserve">Rs 267 </v>
          </cell>
          <cell r="K1081">
            <v>6</v>
          </cell>
          <cell r="L1081" t="str">
            <v>03-Mar-2024</v>
          </cell>
          <cell r="M1081" t="str">
            <v>DELAYED</v>
          </cell>
          <cell r="N1081">
            <v>2</v>
          </cell>
          <cell r="O1081" t="str">
            <v xml:space="preserve">yes </v>
          </cell>
        </row>
        <row r="1082">
          <cell r="A1082" t="str">
            <v>SHP-100075</v>
          </cell>
          <cell r="B1082" t="str">
            <v xml:space="preserve"> 11/05/2024 </v>
          </cell>
          <cell r="C1082" t="str">
            <v xml:space="preserve"> HYDERABAD </v>
          </cell>
          <cell r="D1082" t="str">
            <v>Xpress Bees</v>
          </cell>
          <cell r="E1082" t="str">
            <v>surface</v>
          </cell>
          <cell r="F1082" t="str">
            <v xml:space="preserve">electronics </v>
          </cell>
          <cell r="G1082" t="str">
            <v>East</v>
          </cell>
          <cell r="I1082" t="str">
            <v xml:space="preserve">14.1 Kg </v>
          </cell>
          <cell r="J1082" t="str">
            <v>₹481</v>
          </cell>
          <cell r="K1082">
            <v>6</v>
          </cell>
          <cell r="L1082" t="str">
            <v>18-May-2024</v>
          </cell>
          <cell r="M1082" t="str">
            <v>Delayed</v>
          </cell>
          <cell r="N1082">
            <v>2</v>
          </cell>
          <cell r="O1082" t="str">
            <v>no</v>
          </cell>
        </row>
        <row r="1083">
          <cell r="A1083" t="str">
            <v>SHP-100373</v>
          </cell>
          <cell r="B1083" t="str">
            <v xml:space="preserve"> 10/03/2024 </v>
          </cell>
          <cell r="C1083" t="str">
            <v xml:space="preserve">kolkata </v>
          </cell>
          <cell r="D1083" t="str">
            <v>Ecom Express</v>
          </cell>
          <cell r="E1083" t="str">
            <v>ROAD</v>
          </cell>
          <cell r="F1083" t="str">
            <v xml:space="preserve">furniture </v>
          </cell>
          <cell r="G1083" t="str">
            <v>East</v>
          </cell>
          <cell r="I1083" t="str">
            <v>79.5KG</v>
          </cell>
          <cell r="J1083" t="str">
            <v>₹1,168</v>
          </cell>
          <cell r="K1083">
            <v>6</v>
          </cell>
          <cell r="L1083" t="str">
            <v xml:space="preserve"> 16/03/2024 </v>
          </cell>
          <cell r="M1083" t="str">
            <v xml:space="preserve"> Delivered</v>
          </cell>
          <cell r="N1083">
            <v>3</v>
          </cell>
          <cell r="O1083" t="str">
            <v>Yes</v>
          </cell>
        </row>
        <row r="1084">
          <cell r="A1084" t="str">
            <v>SHP-100957</v>
          </cell>
          <cell r="B1084" t="str">
            <v>13-Jun-2024</v>
          </cell>
          <cell r="C1084" t="str">
            <v>Kolkata</v>
          </cell>
          <cell r="D1084" t="str">
            <v xml:space="preserve">BLUEDART </v>
          </cell>
          <cell r="E1084" t="str">
            <v>Air</v>
          </cell>
          <cell r="F1084" t="str">
            <v xml:space="preserve"> PHARMA </v>
          </cell>
          <cell r="G1084" t="str">
            <v>WEST</v>
          </cell>
          <cell r="I1084" t="str">
            <v>3.0</v>
          </cell>
          <cell r="J1084" t="str">
            <v xml:space="preserve">Rs 328 </v>
          </cell>
          <cell r="K1084">
            <v>4</v>
          </cell>
          <cell r="L1084" t="str">
            <v>16/06/2024</v>
          </cell>
          <cell r="M1084" t="str">
            <v xml:space="preserve"> Delivered</v>
          </cell>
          <cell r="N1084">
            <v>5</v>
          </cell>
          <cell r="O1084" t="str">
            <v>No</v>
          </cell>
        </row>
        <row r="1085">
          <cell r="A1085" t="str">
            <v>SHP-101450</v>
          </cell>
          <cell r="B1085" t="str">
            <v>07-Mar-2024</v>
          </cell>
          <cell r="C1085" t="str">
            <v xml:space="preserve"> KOLKATA </v>
          </cell>
          <cell r="D1085" t="str">
            <v xml:space="preserve"> XPRESSBEES</v>
          </cell>
          <cell r="E1085" t="str">
            <v xml:space="preserve"> AIR </v>
          </cell>
          <cell r="F1085" t="str">
            <v>automotive parts</v>
          </cell>
          <cell r="G1085" t="str">
            <v xml:space="preserve">west </v>
          </cell>
          <cell r="I1085" t="str">
            <v>27.9kg</v>
          </cell>
          <cell r="J1085" t="str">
            <v>1,382</v>
          </cell>
          <cell r="K1085">
            <v>4</v>
          </cell>
          <cell r="L1085" t="str">
            <v xml:space="preserve"> 11/03/2024 </v>
          </cell>
          <cell r="M1085" t="str">
            <v xml:space="preserve"> Delivered</v>
          </cell>
          <cell r="N1085">
            <v>4</v>
          </cell>
          <cell r="O1085" t="str">
            <v>no</v>
          </cell>
        </row>
        <row r="1086">
          <cell r="A1086" t="str">
            <v>SHP-101363</v>
          </cell>
          <cell r="B1086" t="str">
            <v>09-Mar-2024</v>
          </cell>
          <cell r="C1086" t="str">
            <v xml:space="preserve">chennai </v>
          </cell>
          <cell r="D1086" t="str">
            <v>Blue Dart</v>
          </cell>
          <cell r="E1086" t="str">
            <v xml:space="preserve"> SURFACE </v>
          </cell>
          <cell r="F1086" t="str">
            <v>GROCERY &amp; FMCG</v>
          </cell>
          <cell r="G1086" t="str">
            <v xml:space="preserve">south </v>
          </cell>
          <cell r="I1086" t="str">
            <v xml:space="preserve">2.7 Kg </v>
          </cell>
          <cell r="J1086" t="str">
            <v>80</v>
          </cell>
          <cell r="K1086">
            <v>4</v>
          </cell>
          <cell r="L1086" t="str">
            <v>2024-03-14</v>
          </cell>
          <cell r="M1086" t="str">
            <v xml:space="preserve">delayed </v>
          </cell>
          <cell r="N1086">
            <v>3</v>
          </cell>
          <cell r="O1086" t="str">
            <v xml:space="preserve">yes </v>
          </cell>
        </row>
        <row r="1087">
          <cell r="A1087" t="str">
            <v>SHP-100211</v>
          </cell>
          <cell r="B1087" t="str">
            <v>02-Jan-2024</v>
          </cell>
          <cell r="C1087" t="str">
            <v>hyderabad</v>
          </cell>
          <cell r="D1087" t="str">
            <v>dtdc</v>
          </cell>
          <cell r="E1087" t="str">
            <v>Road</v>
          </cell>
          <cell r="F1087" t="str">
            <v>PHARMA</v>
          </cell>
          <cell r="G1087" t="str">
            <v xml:space="preserve">south </v>
          </cell>
          <cell r="I1087" t="str">
            <v>4.5kg</v>
          </cell>
          <cell r="J1087" t="str">
            <v>206</v>
          </cell>
          <cell r="K1087">
            <v>8</v>
          </cell>
          <cell r="L1087" t="str">
            <v>2024-01-11</v>
          </cell>
          <cell r="M1087" t="str">
            <v xml:space="preserve"> Delayed</v>
          </cell>
          <cell r="N1087">
            <v>3</v>
          </cell>
          <cell r="O1087" t="str">
            <v>N</v>
          </cell>
        </row>
        <row r="1088">
          <cell r="A1088" t="str">
            <v>SHP-100292</v>
          </cell>
          <cell r="B1088" t="str">
            <v xml:space="preserve"> 17/04/2024 </v>
          </cell>
          <cell r="C1088" t="str">
            <v xml:space="preserve">delhi </v>
          </cell>
          <cell r="D1088" t="str">
            <v>bluedart</v>
          </cell>
          <cell r="E1088" t="str">
            <v>air</v>
          </cell>
          <cell r="F1088" t="str">
            <v>PHARMA</v>
          </cell>
          <cell r="G1088" t="str">
            <v>west</v>
          </cell>
          <cell r="I1088" t="str">
            <v>3.6</v>
          </cell>
          <cell r="J1088" t="str">
            <v xml:space="preserve">Rs 302 </v>
          </cell>
          <cell r="K1088">
            <v>4</v>
          </cell>
          <cell r="L1088" t="str">
            <v>21-Apr-2024</v>
          </cell>
          <cell r="M1088" t="str">
            <v>DELIVERED</v>
          </cell>
          <cell r="N1088">
            <v>3</v>
          </cell>
          <cell r="O1088" t="str">
            <v>No</v>
          </cell>
        </row>
        <row r="1089">
          <cell r="A1089" t="str">
            <v>SHP-100611</v>
          </cell>
          <cell r="B1089" t="str">
            <v>11-Apr-2024</v>
          </cell>
          <cell r="C1089" t="str">
            <v>Hyderabad</v>
          </cell>
          <cell r="D1089" t="str">
            <v xml:space="preserve">BLUEDART </v>
          </cell>
          <cell r="E1089" t="str">
            <v xml:space="preserve">air </v>
          </cell>
          <cell r="F1089" t="str">
            <v>automotive parts</v>
          </cell>
          <cell r="G1089" t="str">
            <v>East</v>
          </cell>
          <cell r="I1089" t="str">
            <v>21.8kg</v>
          </cell>
          <cell r="J1089" t="str">
            <v xml:space="preserve">Rs 1174 </v>
          </cell>
          <cell r="K1089">
            <v>4</v>
          </cell>
          <cell r="L1089" t="str">
            <v>14/04/2024</v>
          </cell>
          <cell r="M1089" t="str">
            <v xml:space="preserve">RETURNED </v>
          </cell>
          <cell r="O1089" t="str">
            <v xml:space="preserve">yes </v>
          </cell>
        </row>
        <row r="1090">
          <cell r="A1090" t="str">
            <v>SHP-100657</v>
          </cell>
          <cell r="B1090" t="str">
            <v>03/04/2024</v>
          </cell>
          <cell r="C1090" t="str">
            <v>Chennai</v>
          </cell>
          <cell r="D1090" t="str">
            <v>DTDC</v>
          </cell>
          <cell r="E1090" t="str">
            <v>surface</v>
          </cell>
          <cell r="F1090" t="str">
            <v xml:space="preserve">grocery &amp; fmcg </v>
          </cell>
          <cell r="G1090" t="str">
            <v xml:space="preserve"> NORTH </v>
          </cell>
          <cell r="I1090" t="str">
            <v>2.7</v>
          </cell>
          <cell r="J1090" t="str">
            <v xml:space="preserve">Rs 192 </v>
          </cell>
          <cell r="K1090">
            <v>6</v>
          </cell>
          <cell r="L1090" t="str">
            <v>2024-04-15</v>
          </cell>
          <cell r="M1090" t="str">
            <v>Delayed</v>
          </cell>
          <cell r="N1090">
            <v>2</v>
          </cell>
          <cell r="O1090" t="str">
            <v>No</v>
          </cell>
        </row>
        <row r="1091">
          <cell r="A1091" t="str">
            <v>SHP-100831</v>
          </cell>
          <cell r="B1091" t="str">
            <v>17/02/2024</v>
          </cell>
          <cell r="C1091" t="str">
            <v xml:space="preserve">mumbai </v>
          </cell>
          <cell r="D1091" t="str">
            <v>Xpress Bees</v>
          </cell>
          <cell r="E1091" t="str">
            <v xml:space="preserve">air </v>
          </cell>
          <cell r="F1091" t="str">
            <v>automotive parts</v>
          </cell>
          <cell r="G1091" t="str">
            <v xml:space="preserve"> SOUTH </v>
          </cell>
          <cell r="I1091" t="str">
            <v>37.1KG</v>
          </cell>
          <cell r="J1091" t="str">
            <v>₹1,813</v>
          </cell>
          <cell r="K1091">
            <v>4</v>
          </cell>
          <cell r="L1091" t="str">
            <v>22/02/2024</v>
          </cell>
          <cell r="M1091" t="str">
            <v xml:space="preserve">delayed </v>
          </cell>
          <cell r="N1091">
            <v>2</v>
          </cell>
          <cell r="O1091" t="str">
            <v>N</v>
          </cell>
        </row>
        <row r="1092">
          <cell r="A1092" t="str">
            <v>SHP-101540</v>
          </cell>
          <cell r="B1092" t="str">
            <v>15/06/2024</v>
          </cell>
          <cell r="C1092" t="str">
            <v xml:space="preserve">delhi </v>
          </cell>
          <cell r="D1092" t="str">
            <v>xpressbees</v>
          </cell>
          <cell r="E1092" t="str">
            <v xml:space="preserve"> ROAD </v>
          </cell>
          <cell r="F1092" t="str">
            <v>Grocery &amp; FMCG</v>
          </cell>
          <cell r="G1092" t="str">
            <v>west</v>
          </cell>
          <cell r="I1092" t="str">
            <v xml:space="preserve">3.8 Kg </v>
          </cell>
          <cell r="J1092" t="str">
            <v xml:space="preserve">Rs 221 </v>
          </cell>
          <cell r="K1092">
            <v>8</v>
          </cell>
          <cell r="L1092" t="str">
            <v>28/06/2024</v>
          </cell>
          <cell r="M1092" t="str">
            <v xml:space="preserve"> Delayed</v>
          </cell>
          <cell r="N1092">
            <v>1</v>
          </cell>
          <cell r="O1092" t="str">
            <v>YES</v>
          </cell>
        </row>
        <row r="1093">
          <cell r="A1093" t="str">
            <v>SHP-101286</v>
          </cell>
          <cell r="B1093" t="str">
            <v>2024-03-07</v>
          </cell>
          <cell r="C1093" t="str">
            <v xml:space="preserve"> KOLKATA </v>
          </cell>
          <cell r="D1093" t="str">
            <v>ecom express</v>
          </cell>
          <cell r="E1093" t="str">
            <v>road</v>
          </cell>
          <cell r="F1093" t="str">
            <v xml:space="preserve">  GROCERY &amp; FMCG </v>
          </cell>
          <cell r="G1093" t="str">
            <v xml:space="preserve">west </v>
          </cell>
          <cell r="I1093" t="str">
            <v>12.8</v>
          </cell>
          <cell r="J1093" t="str">
            <v>359</v>
          </cell>
          <cell r="K1093">
            <v>8</v>
          </cell>
          <cell r="L1093" t="str">
            <v>2024-03-23</v>
          </cell>
          <cell r="M1093" t="str">
            <v xml:space="preserve">delayed </v>
          </cell>
          <cell r="N1093">
            <v>1</v>
          </cell>
          <cell r="O1093" t="str">
            <v>Y</v>
          </cell>
        </row>
        <row r="1094">
          <cell r="A1094" t="str">
            <v>SHP-100132</v>
          </cell>
          <cell r="B1094" t="str">
            <v>2024-03-26</v>
          </cell>
          <cell r="C1094" t="str">
            <v>Mumbai</v>
          </cell>
          <cell r="D1094" t="str">
            <v>DELHIVERY</v>
          </cell>
          <cell r="E1094" t="str">
            <v>surface</v>
          </cell>
          <cell r="F1094" t="str">
            <v xml:space="preserve"> PHARMA </v>
          </cell>
          <cell r="G1094" t="str">
            <v>North</v>
          </cell>
          <cell r="I1094" t="str">
            <v xml:space="preserve">3.7 Kg </v>
          </cell>
          <cell r="J1094" t="str">
            <v>₹237</v>
          </cell>
          <cell r="K1094">
            <v>6</v>
          </cell>
          <cell r="L1094" t="str">
            <v xml:space="preserve"> 01/04/2024 </v>
          </cell>
          <cell r="M1094" t="str">
            <v>DELIVERED</v>
          </cell>
          <cell r="N1094">
            <v>4</v>
          </cell>
          <cell r="O1094" t="str">
            <v>N</v>
          </cell>
        </row>
        <row r="1095">
          <cell r="A1095" t="str">
            <v>SHP-101550</v>
          </cell>
          <cell r="B1095" t="str">
            <v xml:space="preserve"> 07/05/2024 </v>
          </cell>
          <cell r="C1095" t="str">
            <v>mumbai</v>
          </cell>
          <cell r="D1095" t="str">
            <v>DELHIVERY</v>
          </cell>
          <cell r="E1095" t="str">
            <v>air</v>
          </cell>
          <cell r="F1095" t="str">
            <v>automotive  parts</v>
          </cell>
          <cell r="G1095" t="str">
            <v xml:space="preserve">north </v>
          </cell>
          <cell r="I1095" t="str">
            <v>14.7</v>
          </cell>
          <cell r="J1095" t="str">
            <v>₹836</v>
          </cell>
          <cell r="K1095">
            <v>4</v>
          </cell>
          <cell r="L1095" t="str">
            <v>11-May-2024</v>
          </cell>
          <cell r="M1095" t="str">
            <v>delivered</v>
          </cell>
          <cell r="N1095">
            <v>4</v>
          </cell>
          <cell r="O1095" t="str">
            <v>N</v>
          </cell>
        </row>
        <row r="1096">
          <cell r="A1096" t="str">
            <v>SHP-101252</v>
          </cell>
          <cell r="B1096" t="str">
            <v>2024-06-16</v>
          </cell>
          <cell r="C1096" t="str">
            <v>MUMBAI</v>
          </cell>
          <cell r="D1096" t="str">
            <v>BlueDart</v>
          </cell>
          <cell r="E1096" t="str">
            <v xml:space="preserve">air </v>
          </cell>
          <cell r="F1096" t="str">
            <v>furniture</v>
          </cell>
          <cell r="G1096" t="str">
            <v>SOUTH</v>
          </cell>
          <cell r="I1096" t="str">
            <v xml:space="preserve">46.3 Kg </v>
          </cell>
          <cell r="J1096" t="str">
            <v>2,228</v>
          </cell>
          <cell r="K1096">
            <v>4</v>
          </cell>
          <cell r="L1096" t="str">
            <v xml:space="preserve"> 21/06/2024 </v>
          </cell>
          <cell r="M1096" t="str">
            <v xml:space="preserve"> Delayed</v>
          </cell>
          <cell r="N1096">
            <v>2</v>
          </cell>
          <cell r="O1096" t="str">
            <v>YES</v>
          </cell>
        </row>
        <row r="1097">
          <cell r="A1097" t="str">
            <v>SHP-101155</v>
          </cell>
          <cell r="B1097" t="str">
            <v>23-Mar-2024</v>
          </cell>
          <cell r="C1097" t="str">
            <v xml:space="preserve"> KOLKATA </v>
          </cell>
          <cell r="D1097" t="str">
            <v>ECOM EXPRESS</v>
          </cell>
          <cell r="E1097" t="str">
            <v xml:space="preserve">road </v>
          </cell>
          <cell r="F1097" t="str">
            <v xml:space="preserve">  FURNITURE </v>
          </cell>
          <cell r="G1097" t="str">
            <v>SOUTH</v>
          </cell>
          <cell r="I1097" t="str">
            <v>21.0KG</v>
          </cell>
          <cell r="J1097" t="str">
            <v xml:space="preserve">Rs 493 </v>
          </cell>
          <cell r="K1097">
            <v>8</v>
          </cell>
          <cell r="L1097" t="str">
            <v xml:space="preserve"> 30/03/2024 </v>
          </cell>
          <cell r="M1097" t="str">
            <v xml:space="preserve">RETURNED </v>
          </cell>
          <cell r="O1097" t="str">
            <v xml:space="preserve"> No</v>
          </cell>
        </row>
        <row r="1098">
          <cell r="A1098" t="str">
            <v>SHP-100444</v>
          </cell>
          <cell r="B1098" t="str">
            <v>2024-06-10</v>
          </cell>
          <cell r="C1098" t="str">
            <v>BENGALURU</v>
          </cell>
          <cell r="D1098" t="str">
            <v>ecom express</v>
          </cell>
          <cell r="E1098" t="str">
            <v>surface</v>
          </cell>
          <cell r="F1098" t="str">
            <v xml:space="preserve">automotive parts </v>
          </cell>
          <cell r="G1098" t="str">
            <v>east</v>
          </cell>
          <cell r="I1098" t="str">
            <v>16.7kg</v>
          </cell>
          <cell r="J1098" t="str">
            <v xml:space="preserve">Rs 527 </v>
          </cell>
          <cell r="K1098">
            <v>6</v>
          </cell>
          <cell r="L1098" t="str">
            <v xml:space="preserve"> 15/06/2024 </v>
          </cell>
          <cell r="M1098" t="str">
            <v>DELIVERED</v>
          </cell>
          <cell r="N1098">
            <v>3</v>
          </cell>
          <cell r="O1098" t="str">
            <v>N</v>
          </cell>
        </row>
        <row r="1099">
          <cell r="A1099" t="str">
            <v>SHP-101138</v>
          </cell>
          <cell r="B1099" t="str">
            <v>2024-05-08</v>
          </cell>
          <cell r="C1099" t="str">
            <v>Kolkata</v>
          </cell>
          <cell r="D1099" t="str">
            <v>ecom express</v>
          </cell>
          <cell r="E1099" t="str">
            <v>Air</v>
          </cell>
          <cell r="F1099" t="str">
            <v>Pharma</v>
          </cell>
          <cell r="G1099" t="str">
            <v>NORTH</v>
          </cell>
          <cell r="I1099" t="str">
            <v xml:space="preserve">2.5 Kg </v>
          </cell>
          <cell r="J1099" t="str">
            <v>238</v>
          </cell>
          <cell r="K1099">
            <v>4</v>
          </cell>
          <cell r="L1099" t="str">
            <v>2024-05-12</v>
          </cell>
          <cell r="M1099" t="str">
            <v>Delivered</v>
          </cell>
          <cell r="N1099">
            <v>4</v>
          </cell>
          <cell r="O1099" t="str">
            <v xml:space="preserve">yes </v>
          </cell>
        </row>
        <row r="1100">
          <cell r="A1100" t="str">
            <v>SHP-101058</v>
          </cell>
          <cell r="B1100" t="str">
            <v>03/02/2024</v>
          </cell>
          <cell r="C1100" t="str">
            <v>kolkata</v>
          </cell>
          <cell r="D1100" t="str">
            <v>xpressbees</v>
          </cell>
          <cell r="E1100" t="str">
            <v>Air</v>
          </cell>
          <cell r="F1100" t="str">
            <v xml:space="preserve"> APPAREL </v>
          </cell>
          <cell r="G1100" t="str">
            <v>north</v>
          </cell>
          <cell r="I1100" t="str">
            <v>6.4</v>
          </cell>
          <cell r="J1100" t="str">
            <v>₹467</v>
          </cell>
          <cell r="K1100">
            <v>4</v>
          </cell>
          <cell r="L1100" t="str">
            <v>14/02/2024</v>
          </cell>
          <cell r="M1100" t="str">
            <v xml:space="preserve">delayed </v>
          </cell>
          <cell r="N1100">
            <v>3</v>
          </cell>
          <cell r="O1100" t="str">
            <v xml:space="preserve">yes </v>
          </cell>
        </row>
        <row r="1101">
          <cell r="A1101" t="str">
            <v>SHP-101408</v>
          </cell>
          <cell r="B1101" t="str">
            <v xml:space="preserve"> 17/02/2024 </v>
          </cell>
          <cell r="C1101" t="str">
            <v>bengaluru</v>
          </cell>
          <cell r="D1101" t="str">
            <v>DTDC</v>
          </cell>
          <cell r="E1101" t="str">
            <v>Air</v>
          </cell>
          <cell r="F1101" t="str">
            <v>apparel</v>
          </cell>
          <cell r="G1101" t="str">
            <v>South</v>
          </cell>
          <cell r="I1101" t="str">
            <v>1.7kg</v>
          </cell>
          <cell r="J1101" t="str">
            <v>93</v>
          </cell>
          <cell r="K1101">
            <v>2</v>
          </cell>
          <cell r="L1101" t="str">
            <v xml:space="preserve"> 19/02/2024 </v>
          </cell>
          <cell r="M1101" t="str">
            <v>delivered</v>
          </cell>
          <cell r="N1101">
            <v>4</v>
          </cell>
          <cell r="O1101" t="str">
            <v>N</v>
          </cell>
        </row>
        <row r="1102">
          <cell r="A1102" t="str">
            <v>SHP-100461</v>
          </cell>
          <cell r="B1102" t="str">
            <v>19/03/2024</v>
          </cell>
          <cell r="C1102" t="str">
            <v xml:space="preserve">mumbai </v>
          </cell>
          <cell r="E1102" t="str">
            <v xml:space="preserve"> ROAD </v>
          </cell>
          <cell r="F1102" t="str">
            <v>apparel</v>
          </cell>
          <cell r="G1102" t="str">
            <v xml:space="preserve"> WEST </v>
          </cell>
          <cell r="I1102" t="str">
            <v>6.6KG</v>
          </cell>
          <cell r="J1102" t="str">
            <v>111</v>
          </cell>
          <cell r="K1102">
            <v>6</v>
          </cell>
          <cell r="L1102" t="str">
            <v>03-Apr-2024</v>
          </cell>
          <cell r="M1102" t="str">
            <v xml:space="preserve"> Delayed</v>
          </cell>
          <cell r="N1102">
            <v>5</v>
          </cell>
          <cell r="O1102" t="str">
            <v xml:space="preserve">yes </v>
          </cell>
        </row>
        <row r="1103">
          <cell r="A1103" t="str">
            <v>SHP-100069</v>
          </cell>
          <cell r="B1103" t="str">
            <v>2024-03-08</v>
          </cell>
          <cell r="C1103" t="str">
            <v>bengaluru</v>
          </cell>
          <cell r="D1103" t="str">
            <v>Ecom  Express</v>
          </cell>
          <cell r="E1103" t="str">
            <v>Air</v>
          </cell>
          <cell r="F1103" t="str">
            <v xml:space="preserve">pharma </v>
          </cell>
          <cell r="G1103" t="str">
            <v xml:space="preserve">east </v>
          </cell>
          <cell r="I1103" t="str">
            <v xml:space="preserve">3.4 Kg </v>
          </cell>
          <cell r="J1103" t="str">
            <v>276</v>
          </cell>
          <cell r="K1103">
            <v>4</v>
          </cell>
          <cell r="L1103" t="str">
            <v>11-Mar-2024</v>
          </cell>
          <cell r="M1103" t="str">
            <v>delivered</v>
          </cell>
          <cell r="N1103">
            <v>5</v>
          </cell>
          <cell r="O1103" t="str">
            <v>no</v>
          </cell>
        </row>
        <row r="1104">
          <cell r="A1104" t="str">
            <v>SHP-101376</v>
          </cell>
          <cell r="B1104" t="str">
            <v>12-Feb-2024</v>
          </cell>
          <cell r="C1104" t="str">
            <v xml:space="preserve"> BENGALURU </v>
          </cell>
          <cell r="D1104" t="str">
            <v xml:space="preserve"> DTDC</v>
          </cell>
          <cell r="E1104" t="str">
            <v xml:space="preserve"> ROAD </v>
          </cell>
          <cell r="F1104" t="str">
            <v xml:space="preserve">  AUTOMOTIVE PARTS </v>
          </cell>
          <cell r="G1104" t="str">
            <v>NORTH</v>
          </cell>
          <cell r="I1104" t="str">
            <v>21.7kg</v>
          </cell>
          <cell r="J1104" t="str">
            <v>426</v>
          </cell>
          <cell r="K1104">
            <v>8</v>
          </cell>
          <cell r="L1104" t="str">
            <v>20-Feb-2024</v>
          </cell>
          <cell r="M1104" t="str">
            <v xml:space="preserve"> Delivered</v>
          </cell>
          <cell r="N1104">
            <v>2</v>
          </cell>
          <cell r="O1104" t="str">
            <v>Yes</v>
          </cell>
        </row>
        <row r="1105">
          <cell r="A1105" t="str">
            <v>SHP-100715</v>
          </cell>
          <cell r="B1105" t="str">
            <v xml:space="preserve"> 21/02/2024 </v>
          </cell>
          <cell r="C1105" t="str">
            <v xml:space="preserve"> HYDERABAD </v>
          </cell>
          <cell r="D1105" t="str">
            <v>XpressBees</v>
          </cell>
          <cell r="E1105" t="str">
            <v xml:space="preserve"> ROAD </v>
          </cell>
          <cell r="F1105" t="str">
            <v>Grocery &amp; FMCG</v>
          </cell>
          <cell r="G1105" t="str">
            <v xml:space="preserve">east </v>
          </cell>
          <cell r="I1105" t="str">
            <v xml:space="preserve">3.7 Kg </v>
          </cell>
          <cell r="J1105" t="str">
            <v>259</v>
          </cell>
          <cell r="K1105">
            <v>8</v>
          </cell>
          <cell r="L1105" t="str">
            <v>28-Feb-2024</v>
          </cell>
          <cell r="M1105" t="str">
            <v xml:space="preserve"> Delivered</v>
          </cell>
          <cell r="N1105">
            <v>5</v>
          </cell>
          <cell r="O1105" t="str">
            <v>Yes</v>
          </cell>
        </row>
        <row r="1106">
          <cell r="A1106" t="str">
            <v>SHP-100410</v>
          </cell>
          <cell r="B1106" t="str">
            <v>2024-01-04</v>
          </cell>
          <cell r="C1106" t="str">
            <v>DELHI</v>
          </cell>
          <cell r="D1106" t="str">
            <v>DTDC</v>
          </cell>
          <cell r="E1106" t="str">
            <v xml:space="preserve">air </v>
          </cell>
          <cell r="F1106" t="str">
            <v xml:space="preserve"> PHARMA </v>
          </cell>
          <cell r="G1106" t="str">
            <v xml:space="preserve">east </v>
          </cell>
          <cell r="I1106" t="str">
            <v>2.3</v>
          </cell>
          <cell r="J1106" t="str">
            <v xml:space="preserve">Rs 265 </v>
          </cell>
          <cell r="K1106">
            <v>4</v>
          </cell>
          <cell r="L1106" t="str">
            <v>09-Jan-2024</v>
          </cell>
          <cell r="M1106" t="str">
            <v>DELAYED</v>
          </cell>
          <cell r="N1106">
            <v>4</v>
          </cell>
          <cell r="O1106" t="str">
            <v>no</v>
          </cell>
        </row>
        <row r="1107">
          <cell r="A1107" t="str">
            <v>SHP-100048</v>
          </cell>
          <cell r="B1107" t="str">
            <v>2024-03-22</v>
          </cell>
          <cell r="C1107" t="str">
            <v>CHENNAI</v>
          </cell>
          <cell r="D1107" t="str">
            <v xml:space="preserve"> Delhivery</v>
          </cell>
          <cell r="E1107" t="str">
            <v>ROAD</v>
          </cell>
          <cell r="F1107" t="str">
            <v xml:space="preserve">grocery &amp; fmcg </v>
          </cell>
          <cell r="G1107" t="str">
            <v>south</v>
          </cell>
          <cell r="I1107" t="str">
            <v>10.7kg</v>
          </cell>
          <cell r="J1107" t="str">
            <v xml:space="preserve">Rs 155 </v>
          </cell>
          <cell r="K1107">
            <v>6</v>
          </cell>
          <cell r="L1107" t="str">
            <v>2024-03-30</v>
          </cell>
          <cell r="M1107" t="str">
            <v xml:space="preserve">delayed </v>
          </cell>
          <cell r="N1107">
            <v>3</v>
          </cell>
          <cell r="O1107" t="str">
            <v>N</v>
          </cell>
        </row>
        <row r="1108">
          <cell r="A1108" t="str">
            <v>SHP-100793</v>
          </cell>
          <cell r="B1108" t="str">
            <v>2024-03-21</v>
          </cell>
          <cell r="C1108" t="str">
            <v>Kolkata</v>
          </cell>
          <cell r="D1108" t="str">
            <v>Delhivery</v>
          </cell>
          <cell r="E1108" t="str">
            <v xml:space="preserve">road </v>
          </cell>
          <cell r="F1108" t="str">
            <v xml:space="preserve">grocery &amp; fmcg </v>
          </cell>
          <cell r="G1108" t="str">
            <v>SOUTH</v>
          </cell>
          <cell r="I1108" t="str">
            <v>7.5</v>
          </cell>
          <cell r="J1108" t="str">
            <v>273</v>
          </cell>
          <cell r="K1108">
            <v>8</v>
          </cell>
          <cell r="L1108" t="str">
            <v xml:space="preserve"> 30/03/2024 </v>
          </cell>
          <cell r="M1108" t="str">
            <v>DELAYED</v>
          </cell>
          <cell r="N1108">
            <v>4</v>
          </cell>
          <cell r="O1108" t="str">
            <v>Y</v>
          </cell>
        </row>
        <row r="1109">
          <cell r="A1109" t="str">
            <v>SHP-101293</v>
          </cell>
          <cell r="B1109" t="str">
            <v>2024-03-06</v>
          </cell>
          <cell r="C1109" t="str">
            <v>Kolkata</v>
          </cell>
          <cell r="D1109" t="str">
            <v>delhivery</v>
          </cell>
          <cell r="E1109" t="str">
            <v xml:space="preserve"> ROAD </v>
          </cell>
          <cell r="F1109" t="str">
            <v xml:space="preserve">electronics </v>
          </cell>
          <cell r="G1109" t="str">
            <v>west</v>
          </cell>
          <cell r="I1109" t="str">
            <v>14.2KG</v>
          </cell>
          <cell r="J1109" t="str">
            <v xml:space="preserve">Rs 324 </v>
          </cell>
          <cell r="K1109">
            <v>8</v>
          </cell>
          <cell r="L1109" t="str">
            <v>15-Mar-2024</v>
          </cell>
          <cell r="M1109" t="str">
            <v>DELAYED</v>
          </cell>
          <cell r="N1109">
            <v>2</v>
          </cell>
          <cell r="O1109" t="str">
            <v>Y</v>
          </cell>
        </row>
        <row r="1110">
          <cell r="A1110" t="str">
            <v>SHP-101347</v>
          </cell>
          <cell r="B1110" t="str">
            <v>2024-05-24</v>
          </cell>
          <cell r="C1110" t="str">
            <v>mumbai</v>
          </cell>
          <cell r="D1110" t="str">
            <v>XpressBees</v>
          </cell>
          <cell r="E1110" t="str">
            <v>AIR</v>
          </cell>
          <cell r="F1110" t="str">
            <v>FURNITURE</v>
          </cell>
          <cell r="G1110" t="str">
            <v>North</v>
          </cell>
          <cell r="I1110" t="str">
            <v>43.3KG</v>
          </cell>
          <cell r="J1110" t="str">
            <v xml:space="preserve">Rs 2075 </v>
          </cell>
          <cell r="K1110">
            <v>4</v>
          </cell>
          <cell r="L1110" t="str">
            <v>29-May-2024</v>
          </cell>
          <cell r="M1110" t="str">
            <v xml:space="preserve"> DAMAGED</v>
          </cell>
          <cell r="O1110" t="str">
            <v>no</v>
          </cell>
        </row>
        <row r="1111">
          <cell r="A1111" t="str">
            <v>SHP-101421</v>
          </cell>
          <cell r="B1111" t="str">
            <v xml:space="preserve"> 18/06/2024 </v>
          </cell>
          <cell r="C1111" t="str">
            <v xml:space="preserve"> CHENNAI </v>
          </cell>
          <cell r="D1111" t="str">
            <v>Blue Dart</v>
          </cell>
          <cell r="E1111" t="str">
            <v>road</v>
          </cell>
          <cell r="F1111" t="str">
            <v>ELECTRONICS</v>
          </cell>
          <cell r="G1111" t="str">
            <v xml:space="preserve">south </v>
          </cell>
          <cell r="I1111" t="str">
            <v>11.8KG</v>
          </cell>
          <cell r="J1111" t="str">
            <v>₹215</v>
          </cell>
          <cell r="K1111">
            <v>6</v>
          </cell>
          <cell r="L1111" t="str">
            <v>24-Jun-2024</v>
          </cell>
          <cell r="M1111" t="str">
            <v>Delivered</v>
          </cell>
          <cell r="N1111">
            <v>5</v>
          </cell>
          <cell r="O1111" t="str">
            <v>YES</v>
          </cell>
        </row>
        <row r="1112">
          <cell r="A1112" t="str">
            <v>SHP-101302</v>
          </cell>
          <cell r="B1112" t="str">
            <v>14-Apr-2024</v>
          </cell>
          <cell r="C1112" t="str">
            <v xml:space="preserve">bengaluru </v>
          </cell>
          <cell r="D1112" t="str">
            <v xml:space="preserve"> XPRESSBEES</v>
          </cell>
          <cell r="E1112" t="str">
            <v>surface</v>
          </cell>
          <cell r="F1112" t="str">
            <v xml:space="preserve"> PHARMA </v>
          </cell>
          <cell r="G1112" t="str">
            <v xml:space="preserve"> SOUTH </v>
          </cell>
          <cell r="I1112" t="str">
            <v>3.7KG</v>
          </cell>
          <cell r="J1112" t="str">
            <v>140</v>
          </cell>
          <cell r="K1112">
            <v>4</v>
          </cell>
          <cell r="L1112" t="str">
            <v>18/04/2024</v>
          </cell>
          <cell r="M1112" t="str">
            <v>delivered</v>
          </cell>
          <cell r="N1112">
            <v>4</v>
          </cell>
          <cell r="O1112" t="str">
            <v>Y</v>
          </cell>
        </row>
        <row r="1113">
          <cell r="A1113" t="str">
            <v>SHP-101201</v>
          </cell>
          <cell r="B1113" t="str">
            <v>2024-03-11</v>
          </cell>
          <cell r="C1113" t="str">
            <v>kolkata</v>
          </cell>
          <cell r="D1113" t="str">
            <v xml:space="preserve"> XPRESSBEES</v>
          </cell>
          <cell r="E1113" t="str">
            <v xml:space="preserve">road </v>
          </cell>
          <cell r="F1113" t="str">
            <v>automotive  parts</v>
          </cell>
          <cell r="G1113" t="str">
            <v xml:space="preserve">north </v>
          </cell>
          <cell r="I1113" t="str">
            <v>16.7</v>
          </cell>
          <cell r="J1113" t="str">
            <v>₹358</v>
          </cell>
          <cell r="K1113">
            <v>8</v>
          </cell>
          <cell r="L1113" t="str">
            <v xml:space="preserve"> 20/03/2024 </v>
          </cell>
          <cell r="M1113" t="str">
            <v xml:space="preserve">delayed </v>
          </cell>
          <cell r="N1113">
            <v>3</v>
          </cell>
          <cell r="O1113" t="str">
            <v>N</v>
          </cell>
        </row>
        <row r="1114">
          <cell r="A1114" t="str">
            <v>SHP-100151</v>
          </cell>
          <cell r="B1114" t="str">
            <v>12/02/2024</v>
          </cell>
          <cell r="C1114" t="str">
            <v>mumbai</v>
          </cell>
          <cell r="D1114" t="str">
            <v xml:space="preserve"> DTDC</v>
          </cell>
          <cell r="E1114" t="str">
            <v xml:space="preserve"> SURFACE </v>
          </cell>
          <cell r="F1114" t="str">
            <v xml:space="preserve">  GROCERY &amp; FMCG </v>
          </cell>
          <cell r="G1114" t="str">
            <v>east</v>
          </cell>
          <cell r="I1114" t="str">
            <v>19.6</v>
          </cell>
          <cell r="J1114" t="str">
            <v xml:space="preserve">Rs 635 </v>
          </cell>
          <cell r="K1114">
            <v>6</v>
          </cell>
          <cell r="L1114" t="str">
            <v>23-Feb-2024</v>
          </cell>
          <cell r="M1114" t="str">
            <v>DELAYED</v>
          </cell>
          <cell r="N1114">
            <v>5</v>
          </cell>
          <cell r="O1114" t="str">
            <v xml:space="preserve"> No</v>
          </cell>
        </row>
        <row r="1115">
          <cell r="A1115" t="str">
            <v>SHP-101355</v>
          </cell>
          <cell r="B1115" t="str">
            <v>27/01/2024</v>
          </cell>
          <cell r="C1115" t="str">
            <v>MUMBAI</v>
          </cell>
          <cell r="D1115" t="str">
            <v xml:space="preserve"> Delhivery</v>
          </cell>
          <cell r="E1115" t="str">
            <v>Air</v>
          </cell>
          <cell r="F1115" t="str">
            <v xml:space="preserve">furniture </v>
          </cell>
          <cell r="G1115" t="str">
            <v>NORTH</v>
          </cell>
          <cell r="I1115" t="str">
            <v xml:space="preserve">17.5 Kg </v>
          </cell>
          <cell r="J1115" t="str">
            <v>₹992</v>
          </cell>
          <cell r="K1115">
            <v>4</v>
          </cell>
          <cell r="L1115" t="str">
            <v>31/01/2024</v>
          </cell>
          <cell r="M1115" t="str">
            <v>delivered</v>
          </cell>
          <cell r="N1115">
            <v>5</v>
          </cell>
          <cell r="O1115" t="str">
            <v xml:space="preserve"> No</v>
          </cell>
        </row>
        <row r="1116">
          <cell r="A1116" t="str">
            <v>SHP-101511</v>
          </cell>
          <cell r="B1116" t="str">
            <v>07/04/2024</v>
          </cell>
          <cell r="C1116" t="str">
            <v>CHENNAI</v>
          </cell>
          <cell r="D1116" t="str">
            <v xml:space="preserve">BLUEDART </v>
          </cell>
          <cell r="E1116" t="str">
            <v>Surface</v>
          </cell>
          <cell r="F1116" t="str">
            <v xml:space="preserve"> APPAREL </v>
          </cell>
          <cell r="G1116" t="str">
            <v xml:space="preserve"> WEST </v>
          </cell>
          <cell r="I1116" t="str">
            <v>7.0KG</v>
          </cell>
          <cell r="J1116" t="str">
            <v xml:space="preserve">Rs 364 </v>
          </cell>
          <cell r="K1116">
            <v>6</v>
          </cell>
          <cell r="L1116" t="str">
            <v xml:space="preserve"> 14/04/2024 </v>
          </cell>
          <cell r="M1116" t="str">
            <v xml:space="preserve">delayed </v>
          </cell>
          <cell r="N1116">
            <v>4</v>
          </cell>
          <cell r="O1116" t="str">
            <v>N</v>
          </cell>
        </row>
        <row r="1117">
          <cell r="A1117" t="str">
            <v>SHP-100078</v>
          </cell>
          <cell r="B1117" t="str">
            <v xml:space="preserve"> 08/03/2024 </v>
          </cell>
          <cell r="C1117" t="str">
            <v>Kolkata</v>
          </cell>
          <cell r="D1117" t="str">
            <v>DELHIVERY</v>
          </cell>
          <cell r="E1117" t="str">
            <v>Road</v>
          </cell>
          <cell r="F1117" t="str">
            <v>PHARMA</v>
          </cell>
          <cell r="G1117" t="str">
            <v>WEST</v>
          </cell>
          <cell r="I1117" t="str">
            <v>4.3KG</v>
          </cell>
          <cell r="J1117" t="str">
            <v>₹261</v>
          </cell>
          <cell r="K1117">
            <v>8</v>
          </cell>
          <cell r="L1117" t="str">
            <v xml:space="preserve"> 16/03/2024 </v>
          </cell>
          <cell r="M1117" t="str">
            <v>DELIVERED</v>
          </cell>
          <cell r="N1117">
            <v>5</v>
          </cell>
          <cell r="O1117" t="str">
            <v>Y</v>
          </cell>
        </row>
        <row r="1118">
          <cell r="I1118" t="str">
            <v>2.4kg</v>
          </cell>
        </row>
        <row r="1119">
          <cell r="A1119" t="str">
            <v>SHP-100109</v>
          </cell>
          <cell r="B1119" t="str">
            <v>23-May-2024</v>
          </cell>
          <cell r="C1119" t="str">
            <v xml:space="preserve">chennai </v>
          </cell>
          <cell r="D1119" t="str">
            <v>dtdc</v>
          </cell>
          <cell r="E1119" t="str">
            <v>Road</v>
          </cell>
          <cell r="F1119" t="str">
            <v>Furniture</v>
          </cell>
          <cell r="G1119" t="str">
            <v xml:space="preserve">south </v>
          </cell>
          <cell r="I1119" t="str">
            <v>16.5</v>
          </cell>
          <cell r="J1119" t="str">
            <v xml:space="preserve">Rs 223 </v>
          </cell>
          <cell r="K1119">
            <v>6</v>
          </cell>
          <cell r="L1119" t="str">
            <v>2024-05-29</v>
          </cell>
          <cell r="M1119" t="str">
            <v>delivered</v>
          </cell>
          <cell r="N1119">
            <v>4</v>
          </cell>
          <cell r="O1119" t="str">
            <v>Y</v>
          </cell>
        </row>
        <row r="1120">
          <cell r="A1120" t="str">
            <v>SHP-100739</v>
          </cell>
          <cell r="B1120" t="str">
            <v>2024-02-09</v>
          </cell>
          <cell r="C1120" t="str">
            <v>MUMBAI</v>
          </cell>
          <cell r="D1120" t="str">
            <v xml:space="preserve">Dtdc </v>
          </cell>
          <cell r="E1120" t="str">
            <v>Air</v>
          </cell>
          <cell r="F1120" t="str">
            <v xml:space="preserve"> PHARMA </v>
          </cell>
          <cell r="G1120" t="str">
            <v>north</v>
          </cell>
          <cell r="I1120" t="str">
            <v>1.7KG</v>
          </cell>
          <cell r="J1120" t="str">
            <v>229</v>
          </cell>
          <cell r="K1120">
            <v>4</v>
          </cell>
          <cell r="L1120" t="str">
            <v xml:space="preserve"> 14/02/2024 </v>
          </cell>
          <cell r="M1120" t="str">
            <v>DELAYED</v>
          </cell>
          <cell r="N1120">
            <v>3</v>
          </cell>
          <cell r="O1120" t="str">
            <v>No</v>
          </cell>
        </row>
        <row r="1121">
          <cell r="A1121" t="str">
            <v>SHP-100093</v>
          </cell>
          <cell r="B1121" t="str">
            <v>21-Apr-2024</v>
          </cell>
          <cell r="C1121" t="str">
            <v>BENGALURU</v>
          </cell>
          <cell r="D1121" t="str">
            <v xml:space="preserve">Dtdc </v>
          </cell>
          <cell r="E1121" t="str">
            <v>Air</v>
          </cell>
          <cell r="F1121" t="str">
            <v>pharma</v>
          </cell>
          <cell r="G1121" t="str">
            <v>South</v>
          </cell>
          <cell r="I1121" t="str">
            <v>1.5</v>
          </cell>
          <cell r="J1121" t="str">
            <v>₹99</v>
          </cell>
          <cell r="K1121">
            <v>2</v>
          </cell>
          <cell r="L1121" t="str">
            <v>25-Apr-2024</v>
          </cell>
          <cell r="M1121" t="str">
            <v xml:space="preserve">delayed </v>
          </cell>
          <cell r="N1121">
            <v>4</v>
          </cell>
          <cell r="O1121" t="str">
            <v>no</v>
          </cell>
        </row>
        <row r="1122">
          <cell r="A1122" t="str">
            <v>SHP-100447</v>
          </cell>
          <cell r="B1122" t="str">
            <v>03/01/2024</v>
          </cell>
          <cell r="C1122" t="str">
            <v>kolkata</v>
          </cell>
          <cell r="D1122" t="str">
            <v xml:space="preserve">BLUEDART </v>
          </cell>
          <cell r="E1122" t="str">
            <v>Road</v>
          </cell>
          <cell r="F1122" t="str">
            <v xml:space="preserve">furniture </v>
          </cell>
          <cell r="G1122" t="str">
            <v>East</v>
          </cell>
          <cell r="I1122" t="str">
            <v>66.2kg</v>
          </cell>
          <cell r="J1122" t="str">
            <v xml:space="preserve">Rs 900 </v>
          </cell>
          <cell r="K1122">
            <v>6</v>
          </cell>
          <cell r="L1122" t="str">
            <v>2024-01-10</v>
          </cell>
          <cell r="M1122" t="str">
            <v xml:space="preserve">delayed </v>
          </cell>
          <cell r="N1122">
            <v>3</v>
          </cell>
          <cell r="O1122" t="str">
            <v>Yes</v>
          </cell>
        </row>
        <row r="1123">
          <cell r="A1123" t="str">
            <v>SHP-100167</v>
          </cell>
          <cell r="B1123" t="str">
            <v>28/01/2024</v>
          </cell>
          <cell r="C1123" t="str">
            <v>HYDERABAD</v>
          </cell>
          <cell r="D1123" t="str">
            <v>Ecom Express</v>
          </cell>
          <cell r="E1123" t="str">
            <v>SURFACE</v>
          </cell>
          <cell r="F1123" t="str">
            <v>grocery &amp; fmcg</v>
          </cell>
          <cell r="G1123" t="str">
            <v>South</v>
          </cell>
          <cell r="I1123" t="str">
            <v xml:space="preserve">8.4 Kg </v>
          </cell>
          <cell r="J1123" t="str">
            <v xml:space="preserve">Rs 386 </v>
          </cell>
          <cell r="K1123">
            <v>6</v>
          </cell>
          <cell r="L1123" t="str">
            <v>03-Feb-2024</v>
          </cell>
          <cell r="M1123" t="str">
            <v xml:space="preserve"> Delivered</v>
          </cell>
          <cell r="N1123">
            <v>4</v>
          </cell>
          <cell r="O1123" t="str">
            <v>N</v>
          </cell>
        </row>
        <row r="1124">
          <cell r="A1124" t="str">
            <v>SHP-101135</v>
          </cell>
          <cell r="B1124" t="str">
            <v xml:space="preserve"> 17/01/2024 </v>
          </cell>
          <cell r="C1124" t="str">
            <v>Mumbai</v>
          </cell>
          <cell r="D1124" t="str">
            <v xml:space="preserve">BLUEDART </v>
          </cell>
          <cell r="E1124" t="str">
            <v xml:space="preserve"> ROAD </v>
          </cell>
          <cell r="F1124" t="str">
            <v>Grocery &amp; FMCG</v>
          </cell>
          <cell r="G1124" t="str">
            <v xml:space="preserve">north </v>
          </cell>
          <cell r="I1124" t="str">
            <v>15.6kg</v>
          </cell>
          <cell r="J1124" t="str">
            <v xml:space="preserve">Rs 355 </v>
          </cell>
          <cell r="K1124">
            <v>8</v>
          </cell>
          <cell r="L1124" t="str">
            <v xml:space="preserve"> 24/01/2024 </v>
          </cell>
          <cell r="M1124" t="str">
            <v xml:space="preserve"> Delivered</v>
          </cell>
          <cell r="N1124">
            <v>2</v>
          </cell>
          <cell r="O1124" t="str">
            <v>no</v>
          </cell>
        </row>
        <row r="1125">
          <cell r="A1125" t="str">
            <v>SHP-100099</v>
          </cell>
          <cell r="B1125" t="str">
            <v>07/02/2024</v>
          </cell>
          <cell r="C1125" t="str">
            <v xml:space="preserve">mumbai </v>
          </cell>
          <cell r="D1125" t="str">
            <v>dtdc</v>
          </cell>
          <cell r="E1125" t="str">
            <v>SURFACE</v>
          </cell>
          <cell r="F1125" t="str">
            <v xml:space="preserve"> FURNITURE </v>
          </cell>
          <cell r="G1125" t="str">
            <v>NORTH</v>
          </cell>
          <cell r="I1125" t="str">
            <v>58.6</v>
          </cell>
          <cell r="J1125" t="str">
            <v>₹1,447</v>
          </cell>
          <cell r="K1125">
            <v>6</v>
          </cell>
          <cell r="L1125" t="str">
            <v xml:space="preserve"> 14/02/2024 </v>
          </cell>
          <cell r="M1125" t="str">
            <v>DELAYED</v>
          </cell>
          <cell r="N1125">
            <v>3</v>
          </cell>
          <cell r="O1125" t="str">
            <v>No</v>
          </cell>
        </row>
        <row r="1126">
          <cell r="A1126" t="str">
            <v>SHP-101476</v>
          </cell>
          <cell r="B1126" t="str">
            <v xml:space="preserve"> 19/06/2024 </v>
          </cell>
          <cell r="C1126" t="str">
            <v xml:space="preserve"> HYDERABAD </v>
          </cell>
          <cell r="D1126" t="str">
            <v>Ecom  Express</v>
          </cell>
          <cell r="E1126" t="str">
            <v>Air</v>
          </cell>
          <cell r="F1126" t="str">
            <v>PHARMA</v>
          </cell>
          <cell r="G1126" t="str">
            <v>East</v>
          </cell>
          <cell r="I1126" t="str">
            <v xml:space="preserve">1.1 Kg </v>
          </cell>
          <cell r="J1126" t="str">
            <v>245</v>
          </cell>
          <cell r="K1126">
            <v>4</v>
          </cell>
          <cell r="L1126" t="str">
            <v>2024-06-23</v>
          </cell>
          <cell r="M1126" t="str">
            <v>delivered</v>
          </cell>
          <cell r="N1126">
            <v>5</v>
          </cell>
          <cell r="O1126" t="str">
            <v>N</v>
          </cell>
        </row>
        <row r="1127">
          <cell r="A1127" t="str">
            <v>SHP-100595</v>
          </cell>
          <cell r="B1127" t="str">
            <v>2024-04-25</v>
          </cell>
          <cell r="C1127" t="str">
            <v>Hyderabad</v>
          </cell>
          <cell r="D1127" t="str">
            <v xml:space="preserve">Dtdc </v>
          </cell>
          <cell r="E1127" t="str">
            <v>ROAD</v>
          </cell>
          <cell r="F1127" t="str">
            <v>Furniture</v>
          </cell>
          <cell r="G1127" t="str">
            <v xml:space="preserve">north </v>
          </cell>
          <cell r="I1127" t="str">
            <v>56.8kg</v>
          </cell>
          <cell r="J1127" t="str">
            <v>₹994</v>
          </cell>
          <cell r="K1127">
            <v>8</v>
          </cell>
          <cell r="L1127" t="str">
            <v>02/05/2024</v>
          </cell>
          <cell r="M1127" t="str">
            <v xml:space="preserve"> Delivered</v>
          </cell>
          <cell r="N1127">
            <v>4</v>
          </cell>
          <cell r="O1127" t="str">
            <v xml:space="preserve"> No</v>
          </cell>
        </row>
        <row r="1128">
          <cell r="A1128" t="str">
            <v>SHP-100422</v>
          </cell>
          <cell r="B1128" t="str">
            <v>2024-06-02</v>
          </cell>
          <cell r="C1128" t="str">
            <v xml:space="preserve">chennai </v>
          </cell>
          <cell r="D1128" t="str">
            <v xml:space="preserve"> DTDC</v>
          </cell>
          <cell r="E1128" t="str">
            <v>air</v>
          </cell>
          <cell r="F1128" t="str">
            <v xml:space="preserve">pharma </v>
          </cell>
          <cell r="G1128" t="str">
            <v xml:space="preserve">south </v>
          </cell>
          <cell r="I1128" t="str">
            <v>3.4</v>
          </cell>
          <cell r="J1128" t="str">
            <v>191</v>
          </cell>
          <cell r="K1128">
            <v>2</v>
          </cell>
          <cell r="L1128" t="str">
            <v>2024-06-07</v>
          </cell>
          <cell r="M1128" t="str">
            <v xml:space="preserve"> Delayed</v>
          </cell>
          <cell r="N1128">
            <v>3</v>
          </cell>
          <cell r="O1128" t="str">
            <v>No</v>
          </cell>
        </row>
        <row r="1129">
          <cell r="A1129" t="str">
            <v>SHP-101139</v>
          </cell>
          <cell r="B1129" t="str">
            <v xml:space="preserve"> 03/06/2024 </v>
          </cell>
          <cell r="C1129" t="str">
            <v>Delhi</v>
          </cell>
          <cell r="D1129" t="str">
            <v>DTDC</v>
          </cell>
          <cell r="E1129" t="str">
            <v xml:space="preserve">road </v>
          </cell>
          <cell r="F1129" t="str">
            <v xml:space="preserve">automotive parts </v>
          </cell>
          <cell r="G1129" t="str">
            <v xml:space="preserve">north </v>
          </cell>
          <cell r="I1129" t="str">
            <v xml:space="preserve">20.7 Kg </v>
          </cell>
          <cell r="J1129" t="str">
            <v>307</v>
          </cell>
          <cell r="K1129">
            <v>6</v>
          </cell>
          <cell r="L1129" t="str">
            <v>2024-06-10</v>
          </cell>
          <cell r="M1129" t="str">
            <v xml:space="preserve"> Delayed</v>
          </cell>
          <cell r="N1129">
            <v>2</v>
          </cell>
          <cell r="O1129" t="str">
            <v>no</v>
          </cell>
        </row>
        <row r="1130">
          <cell r="A1130" t="str">
            <v>SHP-100270</v>
          </cell>
          <cell r="B1130" t="str">
            <v>05/01/2024</v>
          </cell>
          <cell r="C1130" t="str">
            <v>bengaluru</v>
          </cell>
          <cell r="D1130" t="str">
            <v xml:space="preserve"> Delhivery</v>
          </cell>
          <cell r="E1130" t="str">
            <v xml:space="preserve"> SURFACE </v>
          </cell>
          <cell r="F1130" t="str">
            <v>Pharma</v>
          </cell>
          <cell r="G1130" t="str">
            <v>East</v>
          </cell>
          <cell r="I1130" t="str">
            <v>1.5kg</v>
          </cell>
          <cell r="J1130" t="str">
            <v>₹205</v>
          </cell>
          <cell r="K1130">
            <v>6</v>
          </cell>
          <cell r="L1130" t="str">
            <v>10-Jan-2024</v>
          </cell>
          <cell r="M1130" t="str">
            <v>DELIVERED</v>
          </cell>
          <cell r="N1130">
            <v>3</v>
          </cell>
          <cell r="O1130" t="str">
            <v>no</v>
          </cell>
        </row>
        <row r="1131">
          <cell r="A1131" t="str">
            <v>SHP-100463</v>
          </cell>
          <cell r="B1131" t="str">
            <v xml:space="preserve"> 09/06/2024 </v>
          </cell>
          <cell r="C1131" t="str">
            <v>CHENNAI</v>
          </cell>
          <cell r="D1131" t="str">
            <v xml:space="preserve">BLUEDART </v>
          </cell>
          <cell r="E1131" t="str">
            <v>AIR</v>
          </cell>
          <cell r="F1131" t="str">
            <v>Grocery &amp; FMCG</v>
          </cell>
          <cell r="G1131" t="str">
            <v>south</v>
          </cell>
          <cell r="I1131" t="str">
            <v>18.5KG</v>
          </cell>
          <cell r="J1131" t="str">
            <v>807</v>
          </cell>
          <cell r="K1131">
            <v>2</v>
          </cell>
          <cell r="L1131" t="str">
            <v xml:space="preserve"> 11/06/2024 </v>
          </cell>
          <cell r="M1131" t="str">
            <v xml:space="preserve"> Delivered</v>
          </cell>
          <cell r="N1131">
            <v>5</v>
          </cell>
          <cell r="O1131" t="str">
            <v>Y</v>
          </cell>
        </row>
        <row r="1132">
          <cell r="A1132" t="str">
            <v>SHP-100325</v>
          </cell>
          <cell r="B1132" t="str">
            <v xml:space="preserve"> 12/04/2024 </v>
          </cell>
          <cell r="C1132" t="str">
            <v>KOLKATA</v>
          </cell>
          <cell r="D1132" t="str">
            <v xml:space="preserve">Dtdc </v>
          </cell>
          <cell r="E1132" t="str">
            <v>SURFACE</v>
          </cell>
          <cell r="F1132" t="str">
            <v>Automotive Parts</v>
          </cell>
          <cell r="G1132" t="str">
            <v xml:space="preserve">west </v>
          </cell>
          <cell r="I1132" t="str">
            <v>13.9KG</v>
          </cell>
          <cell r="J1132" t="str">
            <v>502</v>
          </cell>
          <cell r="K1132">
            <v>6</v>
          </cell>
          <cell r="L1132" t="str">
            <v>27/04/2024</v>
          </cell>
          <cell r="M1132" t="str">
            <v xml:space="preserve">delayed </v>
          </cell>
          <cell r="N1132">
            <v>2</v>
          </cell>
          <cell r="O1132" t="str">
            <v xml:space="preserve">yes </v>
          </cell>
        </row>
        <row r="1133">
          <cell r="A1133" t="str">
            <v>SHP-100789</v>
          </cell>
          <cell r="B1133" t="str">
            <v>25/05/2024</v>
          </cell>
          <cell r="C1133" t="str">
            <v xml:space="preserve">chennai </v>
          </cell>
          <cell r="D1133" t="str">
            <v>Delhivery</v>
          </cell>
          <cell r="E1133" t="str">
            <v>Road</v>
          </cell>
          <cell r="F1133" t="str">
            <v>Automotive Parts</v>
          </cell>
          <cell r="G1133" t="str">
            <v>North</v>
          </cell>
          <cell r="I1133" t="str">
            <v>10.5kg</v>
          </cell>
          <cell r="J1133" t="str">
            <v>₹324</v>
          </cell>
          <cell r="K1133">
            <v>8</v>
          </cell>
          <cell r="L1133" t="str">
            <v>2024-06-03</v>
          </cell>
          <cell r="M1133" t="str">
            <v xml:space="preserve">delayed </v>
          </cell>
          <cell r="N1133">
            <v>2</v>
          </cell>
          <cell r="O1133" t="str">
            <v>Y</v>
          </cell>
        </row>
        <row r="1134">
          <cell r="A1134" t="str">
            <v>SHP-100265</v>
          </cell>
          <cell r="B1134" t="str">
            <v>12/01/2024</v>
          </cell>
          <cell r="C1134" t="str">
            <v>KOLKATA</v>
          </cell>
          <cell r="D1134" t="str">
            <v xml:space="preserve"> DTDC</v>
          </cell>
          <cell r="E1134" t="str">
            <v xml:space="preserve"> SURFACE </v>
          </cell>
          <cell r="F1134" t="str">
            <v>ELECTRONICS</v>
          </cell>
          <cell r="G1134" t="str">
            <v xml:space="preserve"> WEST </v>
          </cell>
          <cell r="I1134" t="str">
            <v xml:space="preserve">2.8 Kg </v>
          </cell>
          <cell r="J1134" t="str">
            <v>201</v>
          </cell>
          <cell r="K1134">
            <v>6</v>
          </cell>
          <cell r="L1134" t="str">
            <v>19-Jan-2024</v>
          </cell>
          <cell r="M1134" t="str">
            <v xml:space="preserve">delayed </v>
          </cell>
          <cell r="N1134">
            <v>3</v>
          </cell>
          <cell r="O1134" t="str">
            <v>no</v>
          </cell>
        </row>
        <row r="1135">
          <cell r="A1135" t="str">
            <v>SHP-100703</v>
          </cell>
          <cell r="B1135" t="str">
            <v>10/04/2024</v>
          </cell>
          <cell r="C1135" t="str">
            <v>Kolkata</v>
          </cell>
          <cell r="D1135" t="str">
            <v>xpressbees</v>
          </cell>
          <cell r="E1135" t="str">
            <v>air</v>
          </cell>
          <cell r="F1135" t="str">
            <v>Apparel</v>
          </cell>
          <cell r="G1135" t="str">
            <v>South</v>
          </cell>
          <cell r="I1135" t="str">
            <v>3.8</v>
          </cell>
          <cell r="J1135" t="str">
            <v xml:space="preserve">Rs 300 </v>
          </cell>
          <cell r="K1135">
            <v>4</v>
          </cell>
          <cell r="L1135" t="str">
            <v>15/04/2024</v>
          </cell>
          <cell r="M1135" t="str">
            <v>Delayed</v>
          </cell>
          <cell r="N1135">
            <v>3</v>
          </cell>
          <cell r="O1135" t="str">
            <v>no</v>
          </cell>
        </row>
        <row r="1136">
          <cell r="A1136" t="str">
            <v>SHP-101407</v>
          </cell>
          <cell r="B1136" t="str">
            <v>2024-06-09</v>
          </cell>
          <cell r="C1136" t="str">
            <v xml:space="preserve">delhi </v>
          </cell>
          <cell r="D1136" t="str">
            <v>Ecom  Express</v>
          </cell>
          <cell r="E1136" t="str">
            <v>surface</v>
          </cell>
          <cell r="F1136" t="str">
            <v>AUTOMOTIVE PARTS</v>
          </cell>
          <cell r="G1136" t="str">
            <v xml:space="preserve">south </v>
          </cell>
          <cell r="I1136" t="str">
            <v>14.0</v>
          </cell>
          <cell r="J1136" t="str">
            <v>483</v>
          </cell>
          <cell r="K1136">
            <v>6</v>
          </cell>
          <cell r="L1136" t="str">
            <v xml:space="preserve"> 20/06/2024 </v>
          </cell>
          <cell r="M1136" t="str">
            <v>Delayed</v>
          </cell>
          <cell r="N1136">
            <v>2</v>
          </cell>
          <cell r="O1136" t="str">
            <v>N</v>
          </cell>
        </row>
        <row r="1137">
          <cell r="A1137" t="str">
            <v>SHP-101374</v>
          </cell>
          <cell r="B1137" t="str">
            <v xml:space="preserve"> 11/03/2024 </v>
          </cell>
          <cell r="C1137" t="str">
            <v>Kolkata</v>
          </cell>
          <cell r="D1137" t="str">
            <v>ECOM EXPRESS</v>
          </cell>
          <cell r="E1137" t="str">
            <v>road</v>
          </cell>
          <cell r="F1137" t="str">
            <v>FURNITURE</v>
          </cell>
          <cell r="G1137" t="str">
            <v>north</v>
          </cell>
          <cell r="I1137" t="str">
            <v>44.6KG</v>
          </cell>
          <cell r="J1137" t="str">
            <v>766</v>
          </cell>
          <cell r="K1137">
            <v>8</v>
          </cell>
          <cell r="L1137" t="str">
            <v>18/03/2024</v>
          </cell>
          <cell r="M1137" t="str">
            <v>DELIVERED</v>
          </cell>
          <cell r="N1137">
            <v>5</v>
          </cell>
          <cell r="O1137" t="str">
            <v>YES</v>
          </cell>
        </row>
        <row r="1138">
          <cell r="A1138" t="str">
            <v>SHP-101193</v>
          </cell>
          <cell r="B1138" t="str">
            <v>2024-03-20</v>
          </cell>
          <cell r="C1138" t="str">
            <v>Mumbai</v>
          </cell>
          <cell r="D1138" t="str">
            <v>ecom express</v>
          </cell>
          <cell r="E1138" t="str">
            <v>road</v>
          </cell>
          <cell r="F1138" t="str">
            <v>apparel</v>
          </cell>
          <cell r="G1138" t="str">
            <v>north</v>
          </cell>
          <cell r="I1138" t="str">
            <v>7.4KG</v>
          </cell>
          <cell r="J1138" t="str">
            <v xml:space="preserve">Rs 269 </v>
          </cell>
          <cell r="K1138">
            <v>8</v>
          </cell>
          <cell r="L1138" t="str">
            <v>27/03/2024</v>
          </cell>
          <cell r="M1138" t="str">
            <v xml:space="preserve"> Delivered</v>
          </cell>
          <cell r="N1138">
            <v>4</v>
          </cell>
          <cell r="O1138" t="str">
            <v>No</v>
          </cell>
        </row>
        <row r="1139">
          <cell r="A1139" t="str">
            <v>SHP-100478</v>
          </cell>
          <cell r="B1139" t="str">
            <v>21-Jun-2024</v>
          </cell>
          <cell r="C1139" t="str">
            <v>DELHI</v>
          </cell>
          <cell r="D1139" t="str">
            <v>XpressBees</v>
          </cell>
          <cell r="E1139" t="str">
            <v>surface</v>
          </cell>
          <cell r="F1139" t="str">
            <v>GROCERY &amp; FMCG</v>
          </cell>
          <cell r="G1139" t="str">
            <v>West</v>
          </cell>
          <cell r="I1139" t="str">
            <v>13.8</v>
          </cell>
          <cell r="J1139" t="str">
            <v xml:space="preserve">Rs 461 </v>
          </cell>
          <cell r="K1139">
            <v>6</v>
          </cell>
          <cell r="L1139" t="str">
            <v>03/07/2024</v>
          </cell>
          <cell r="M1139" t="str">
            <v xml:space="preserve">delayed </v>
          </cell>
          <cell r="N1139">
            <v>3</v>
          </cell>
          <cell r="O1139" t="str">
            <v>Y</v>
          </cell>
        </row>
        <row r="1140">
          <cell r="A1140" t="str">
            <v>SHP-101434</v>
          </cell>
          <cell r="B1140" t="str">
            <v xml:space="preserve"> 28/05/2024 </v>
          </cell>
          <cell r="C1140" t="str">
            <v>MUMBAI</v>
          </cell>
          <cell r="D1140" t="str">
            <v>Delhivery</v>
          </cell>
          <cell r="E1140" t="str">
            <v xml:space="preserve">air </v>
          </cell>
          <cell r="F1140" t="str">
            <v xml:space="preserve"> FURNITURE </v>
          </cell>
          <cell r="G1140" t="str">
            <v>West</v>
          </cell>
          <cell r="I1140" t="str">
            <v>36.7</v>
          </cell>
          <cell r="J1140" t="str">
            <v>1,643</v>
          </cell>
          <cell r="K1140">
            <v>2</v>
          </cell>
          <cell r="L1140" t="str">
            <v>02-Jun-2024</v>
          </cell>
          <cell r="M1140" t="str">
            <v xml:space="preserve">delayed </v>
          </cell>
          <cell r="N1140">
            <v>1</v>
          </cell>
          <cell r="O1140" t="str">
            <v>No</v>
          </cell>
        </row>
        <row r="1141">
          <cell r="A1141" t="str">
            <v>SHP-101351</v>
          </cell>
          <cell r="B1141" t="str">
            <v>12-Apr-2024</v>
          </cell>
          <cell r="C1141" t="str">
            <v>chennai</v>
          </cell>
          <cell r="D1141" t="str">
            <v>xpressbees</v>
          </cell>
          <cell r="E1141" t="str">
            <v>ROAD</v>
          </cell>
          <cell r="F1141" t="str">
            <v xml:space="preserve">automotive  parts </v>
          </cell>
          <cell r="G1141" t="str">
            <v>East</v>
          </cell>
          <cell r="I1141" t="str">
            <v>16.5kg</v>
          </cell>
          <cell r="J1141" t="str">
            <v>387</v>
          </cell>
          <cell r="K1141">
            <v>8</v>
          </cell>
          <cell r="L1141" t="str">
            <v xml:space="preserve"> 19/04/2024 </v>
          </cell>
          <cell r="M1141" t="str">
            <v>Delivered</v>
          </cell>
          <cell r="N1141">
            <v>5</v>
          </cell>
          <cell r="O1141" t="str">
            <v xml:space="preserve"> No</v>
          </cell>
        </row>
        <row r="1142">
          <cell r="A1142" t="str">
            <v>SHP-100661</v>
          </cell>
          <cell r="B1142" t="str">
            <v>28-Mar-2024</v>
          </cell>
          <cell r="C1142" t="str">
            <v xml:space="preserve"> MUMBAI </v>
          </cell>
          <cell r="D1142" t="str">
            <v>XpressBees</v>
          </cell>
          <cell r="E1142" t="str">
            <v xml:space="preserve"> ROAD </v>
          </cell>
          <cell r="F1142" t="str">
            <v xml:space="preserve"> AUTOMOTIVE PARTS </v>
          </cell>
          <cell r="G1142" t="str">
            <v xml:space="preserve"> NORTH </v>
          </cell>
          <cell r="I1142" t="str">
            <v xml:space="preserve">27.6 Kg </v>
          </cell>
          <cell r="J1142" t="str">
            <v xml:space="preserve">Rs 549 </v>
          </cell>
          <cell r="K1142">
            <v>8</v>
          </cell>
          <cell r="L1142" t="str">
            <v xml:space="preserve"> 06/04/2024 </v>
          </cell>
          <cell r="M1142" t="str">
            <v>DELAYED</v>
          </cell>
          <cell r="N1142">
            <v>1</v>
          </cell>
          <cell r="O1142" t="str">
            <v>no</v>
          </cell>
        </row>
        <row r="1143">
          <cell r="A1143" t="str">
            <v>SHP-101294</v>
          </cell>
          <cell r="B1143" t="str">
            <v xml:space="preserve"> 01/05/2024 </v>
          </cell>
          <cell r="C1143" t="str">
            <v>delhi</v>
          </cell>
          <cell r="D1143" t="str">
            <v>DELHIVERY</v>
          </cell>
          <cell r="E1143" t="str">
            <v xml:space="preserve"> AIR </v>
          </cell>
          <cell r="F1143" t="str">
            <v xml:space="preserve"> GROCERY &amp; FMCG </v>
          </cell>
          <cell r="G1143" t="str">
            <v xml:space="preserve">south </v>
          </cell>
          <cell r="I1143" t="str">
            <v xml:space="preserve">3.3 Kg </v>
          </cell>
          <cell r="J1143" t="str">
            <v>₹276</v>
          </cell>
          <cell r="K1143">
            <v>4</v>
          </cell>
          <cell r="L1143" t="str">
            <v>05-May-2024</v>
          </cell>
          <cell r="M1143" t="str">
            <v>Delivered</v>
          </cell>
          <cell r="N1143">
            <v>2</v>
          </cell>
          <cell r="O1143" t="str">
            <v xml:space="preserve"> No</v>
          </cell>
        </row>
        <row r="1144">
          <cell r="A1144" t="str">
            <v>SHP-100543</v>
          </cell>
          <cell r="B1144" t="str">
            <v>2024-04-24</v>
          </cell>
          <cell r="C1144" t="str">
            <v xml:space="preserve"> HYDERABAD </v>
          </cell>
          <cell r="D1144" t="str">
            <v>Delhivery</v>
          </cell>
          <cell r="E1144" t="str">
            <v>Road</v>
          </cell>
          <cell r="F1144" t="str">
            <v xml:space="preserve"> AUTOMOTIVE PARTS </v>
          </cell>
          <cell r="G1144" t="str">
            <v xml:space="preserve">east </v>
          </cell>
          <cell r="I1144" t="str">
            <v>16.8</v>
          </cell>
          <cell r="J1144" t="str">
            <v>₹398</v>
          </cell>
          <cell r="K1144">
            <v>8</v>
          </cell>
          <cell r="L1144" t="str">
            <v>2024-05-01</v>
          </cell>
          <cell r="M1144" t="str">
            <v>delivered</v>
          </cell>
          <cell r="N1144">
            <v>4</v>
          </cell>
          <cell r="O1144" t="str">
            <v>No</v>
          </cell>
        </row>
        <row r="1145">
          <cell r="A1145" t="str">
            <v>SHP-100697</v>
          </cell>
          <cell r="B1145" t="str">
            <v>2024-04-09</v>
          </cell>
          <cell r="C1145" t="str">
            <v xml:space="preserve"> KOLKATA </v>
          </cell>
          <cell r="D1145" t="str">
            <v xml:space="preserve"> Delhivery</v>
          </cell>
          <cell r="E1145" t="str">
            <v>Air</v>
          </cell>
          <cell r="F1145" t="str">
            <v xml:space="preserve">grocery &amp; fmcg </v>
          </cell>
          <cell r="G1145" t="str">
            <v>west</v>
          </cell>
          <cell r="I1145" t="str">
            <v>3.9KG</v>
          </cell>
          <cell r="J1145" t="str">
            <v>296</v>
          </cell>
          <cell r="K1145">
            <v>4</v>
          </cell>
          <cell r="L1145" t="str">
            <v>14-Apr-2024</v>
          </cell>
          <cell r="M1145" t="str">
            <v>DELAYED</v>
          </cell>
          <cell r="N1145">
            <v>3</v>
          </cell>
          <cell r="O1145" t="str">
            <v>Yes</v>
          </cell>
        </row>
        <row r="1146">
          <cell r="A1146" t="str">
            <v>SHP-100350</v>
          </cell>
          <cell r="B1146" t="str">
            <v>04/05/2024</v>
          </cell>
          <cell r="C1146" t="str">
            <v xml:space="preserve">chennai </v>
          </cell>
          <cell r="D1146" t="str">
            <v>Delhivery</v>
          </cell>
          <cell r="E1146" t="str">
            <v>air</v>
          </cell>
          <cell r="F1146" t="str">
            <v xml:space="preserve">grocery &amp; fmcg </v>
          </cell>
          <cell r="G1146" t="str">
            <v xml:space="preserve"> SOUTH </v>
          </cell>
          <cell r="I1146" t="str">
            <v>7.8kg</v>
          </cell>
          <cell r="J1146" t="str">
            <v>336</v>
          </cell>
          <cell r="K1146">
            <v>2</v>
          </cell>
          <cell r="L1146" t="str">
            <v>07/05/2024</v>
          </cell>
          <cell r="M1146" t="str">
            <v xml:space="preserve"> Delayed</v>
          </cell>
          <cell r="N1146">
            <v>1</v>
          </cell>
          <cell r="O1146" t="str">
            <v>Y</v>
          </cell>
        </row>
        <row r="1147">
          <cell r="A1147" t="str">
            <v>SHP-101544</v>
          </cell>
          <cell r="B1147" t="str">
            <v>03-Feb-2024</v>
          </cell>
          <cell r="C1147" t="str">
            <v xml:space="preserve">bengaluru </v>
          </cell>
          <cell r="D1147" t="str">
            <v>xpressbees</v>
          </cell>
          <cell r="E1147" t="str">
            <v>ROAD</v>
          </cell>
          <cell r="F1147" t="str">
            <v>pharma</v>
          </cell>
          <cell r="G1147" t="str">
            <v>North</v>
          </cell>
          <cell r="I1147" t="str">
            <v xml:space="preserve">1.2 Kg </v>
          </cell>
          <cell r="J1147" t="str">
            <v>₹151</v>
          </cell>
          <cell r="K1147">
            <v>8</v>
          </cell>
          <cell r="L1147" t="str">
            <v>2024-02-18</v>
          </cell>
          <cell r="M1147" t="str">
            <v>DELAYED</v>
          </cell>
          <cell r="N1147">
            <v>4</v>
          </cell>
          <cell r="O1147" t="str">
            <v xml:space="preserve"> No</v>
          </cell>
        </row>
        <row r="1148">
          <cell r="A1148" t="str">
            <v>SHP-101594</v>
          </cell>
          <cell r="B1148" t="str">
            <v>2024-03-19</v>
          </cell>
          <cell r="C1148" t="str">
            <v xml:space="preserve"> HYDERABAD </v>
          </cell>
          <cell r="D1148" t="str">
            <v>bluedart</v>
          </cell>
          <cell r="E1148" t="str">
            <v xml:space="preserve">surface </v>
          </cell>
          <cell r="F1148" t="str">
            <v xml:space="preserve">furniture </v>
          </cell>
          <cell r="G1148" t="str">
            <v>South</v>
          </cell>
          <cell r="I1148" t="str">
            <v xml:space="preserve">29.8 Kg </v>
          </cell>
          <cell r="J1148" t="str">
            <v xml:space="preserve">Rs 802 </v>
          </cell>
          <cell r="K1148">
            <v>6</v>
          </cell>
          <cell r="L1148" t="str">
            <v>2024-03-26</v>
          </cell>
          <cell r="M1148" t="str">
            <v>returned</v>
          </cell>
          <cell r="O1148" t="str">
            <v>Yes</v>
          </cell>
        </row>
        <row r="1149">
          <cell r="A1149" t="str">
            <v>SHP-101457</v>
          </cell>
          <cell r="B1149" t="str">
            <v xml:space="preserve"> 21/03/2024 </v>
          </cell>
          <cell r="C1149" t="str">
            <v xml:space="preserve"> DELHI </v>
          </cell>
          <cell r="D1149" t="str">
            <v>dtdc</v>
          </cell>
          <cell r="E1149" t="str">
            <v>SURFACE</v>
          </cell>
          <cell r="F1149" t="str">
            <v>FURNITURE</v>
          </cell>
          <cell r="G1149" t="str">
            <v xml:space="preserve"> EAST </v>
          </cell>
          <cell r="I1149" t="str">
            <v>27.9kg</v>
          </cell>
          <cell r="J1149" t="str">
            <v>₹790</v>
          </cell>
          <cell r="K1149">
            <v>6</v>
          </cell>
          <cell r="L1149" t="str">
            <v>2024-03-27</v>
          </cell>
          <cell r="M1149" t="str">
            <v xml:space="preserve"> Delivered</v>
          </cell>
          <cell r="N1149">
            <v>2</v>
          </cell>
          <cell r="O1149" t="str">
            <v xml:space="preserve"> No</v>
          </cell>
        </row>
        <row r="1150">
          <cell r="A1150" t="str">
            <v>SHP-101571</v>
          </cell>
          <cell r="B1150" t="str">
            <v>19/01/2024</v>
          </cell>
          <cell r="C1150" t="str">
            <v xml:space="preserve">hyderabad </v>
          </cell>
          <cell r="D1150" t="str">
            <v xml:space="preserve"> Delhivery</v>
          </cell>
          <cell r="E1150" t="str">
            <v>surface</v>
          </cell>
          <cell r="F1150" t="str">
            <v xml:space="preserve">grocery  &amp; fmcg </v>
          </cell>
          <cell r="G1150" t="str">
            <v xml:space="preserve">north </v>
          </cell>
          <cell r="I1150" t="str">
            <v>9.4kg</v>
          </cell>
          <cell r="J1150" t="str">
            <v>414</v>
          </cell>
          <cell r="K1150">
            <v>6</v>
          </cell>
          <cell r="L1150" t="str">
            <v>26/01/2024</v>
          </cell>
          <cell r="M1150" t="str">
            <v>Delayed</v>
          </cell>
          <cell r="N1150">
            <v>1</v>
          </cell>
          <cell r="O1150" t="str">
            <v>N</v>
          </cell>
        </row>
        <row r="1151">
          <cell r="A1151" t="str">
            <v>SHP-100549</v>
          </cell>
          <cell r="B1151" t="str">
            <v xml:space="preserve"> 26/05/2024 </v>
          </cell>
          <cell r="C1151" t="str">
            <v>Bengaluru</v>
          </cell>
          <cell r="D1151" t="str">
            <v>xpressbees</v>
          </cell>
          <cell r="E1151" t="str">
            <v xml:space="preserve">surface </v>
          </cell>
          <cell r="F1151" t="str">
            <v xml:space="preserve"> PHARMA </v>
          </cell>
          <cell r="G1151" t="str">
            <v>south</v>
          </cell>
          <cell r="I1151" t="str">
            <v>1.3</v>
          </cell>
          <cell r="J1151" t="str">
            <v xml:space="preserve">Rs 80 </v>
          </cell>
          <cell r="K1151">
            <v>4</v>
          </cell>
          <cell r="L1151" t="str">
            <v>01-Jun-2024</v>
          </cell>
          <cell r="M1151" t="str">
            <v xml:space="preserve">delayed </v>
          </cell>
          <cell r="N1151">
            <v>1</v>
          </cell>
          <cell r="O1151" t="str">
            <v>No</v>
          </cell>
        </row>
        <row r="1152">
          <cell r="I1152" t="str">
            <v>10.2kg</v>
          </cell>
        </row>
        <row r="1153">
          <cell r="A1153" t="str">
            <v>SHP-100035</v>
          </cell>
          <cell r="B1153" t="str">
            <v>27-Apr-2024</v>
          </cell>
          <cell r="C1153" t="str">
            <v>delhi</v>
          </cell>
          <cell r="D1153" t="str">
            <v xml:space="preserve"> DTDC</v>
          </cell>
          <cell r="E1153" t="str">
            <v xml:space="preserve">surface </v>
          </cell>
          <cell r="F1153" t="str">
            <v xml:space="preserve"> FURNITURE </v>
          </cell>
          <cell r="G1153" t="str">
            <v>west</v>
          </cell>
          <cell r="I1153" t="str">
            <v>43.8</v>
          </cell>
          <cell r="J1153" t="str">
            <v>1,157</v>
          </cell>
          <cell r="K1153">
            <v>6</v>
          </cell>
          <cell r="L1153" t="str">
            <v xml:space="preserve"> 09/05/2024 </v>
          </cell>
          <cell r="M1153" t="str">
            <v xml:space="preserve"> Delayed</v>
          </cell>
          <cell r="N1153">
            <v>4</v>
          </cell>
          <cell r="O1153" t="str">
            <v>N</v>
          </cell>
        </row>
        <row r="1154">
          <cell r="A1154" t="str">
            <v>SHP-101218</v>
          </cell>
          <cell r="B1154" t="str">
            <v xml:space="preserve"> 18/01/2024 </v>
          </cell>
          <cell r="C1154" t="str">
            <v>DELHI</v>
          </cell>
          <cell r="D1154" t="str">
            <v>DTDC</v>
          </cell>
          <cell r="E1154" t="str">
            <v xml:space="preserve">air </v>
          </cell>
          <cell r="F1154" t="str">
            <v xml:space="preserve">apparel </v>
          </cell>
          <cell r="G1154" t="str">
            <v xml:space="preserve"> EAST </v>
          </cell>
          <cell r="I1154" t="str">
            <v xml:space="preserve">7.7 Kg </v>
          </cell>
          <cell r="J1154" t="str">
            <v>471</v>
          </cell>
          <cell r="K1154">
            <v>4</v>
          </cell>
          <cell r="L1154" t="str">
            <v xml:space="preserve"> 21/01/2024 </v>
          </cell>
          <cell r="M1154" t="str">
            <v>delivered</v>
          </cell>
          <cell r="N1154">
            <v>4</v>
          </cell>
          <cell r="O1154" t="str">
            <v>no</v>
          </cell>
        </row>
        <row r="1155">
          <cell r="A1155" t="str">
            <v>SHP-100806</v>
          </cell>
          <cell r="B1155" t="str">
            <v>25/06/2024</v>
          </cell>
          <cell r="C1155" t="str">
            <v xml:space="preserve"> BENGALURU </v>
          </cell>
          <cell r="D1155" t="str">
            <v>Ecom  Express</v>
          </cell>
          <cell r="E1155" t="str">
            <v xml:space="preserve"> SURFACE </v>
          </cell>
          <cell r="F1155" t="str">
            <v xml:space="preserve">furniture </v>
          </cell>
          <cell r="G1155" t="str">
            <v>EAST</v>
          </cell>
          <cell r="I1155" t="str">
            <v>75.2KG</v>
          </cell>
          <cell r="J1155" t="str">
            <v>₹1,777</v>
          </cell>
          <cell r="K1155">
            <v>6</v>
          </cell>
          <cell r="L1155" t="str">
            <v>03/07/2024</v>
          </cell>
          <cell r="M1155" t="str">
            <v xml:space="preserve"> Delayed</v>
          </cell>
          <cell r="N1155">
            <v>3</v>
          </cell>
          <cell r="O1155" t="str">
            <v>YES</v>
          </cell>
        </row>
        <row r="1156">
          <cell r="A1156" t="str">
            <v>SHP-100280</v>
          </cell>
          <cell r="B1156" t="str">
            <v xml:space="preserve"> 17/06/2024 </v>
          </cell>
          <cell r="C1156" t="str">
            <v xml:space="preserve">delhi </v>
          </cell>
          <cell r="D1156" t="str">
            <v>dtdc</v>
          </cell>
          <cell r="E1156" t="str">
            <v>Surface</v>
          </cell>
          <cell r="F1156" t="str">
            <v>Apparel</v>
          </cell>
          <cell r="G1156" t="str">
            <v>NORTH</v>
          </cell>
          <cell r="I1156" t="str">
            <v>1.3</v>
          </cell>
          <cell r="J1156" t="str">
            <v>80</v>
          </cell>
          <cell r="K1156">
            <v>4</v>
          </cell>
          <cell r="L1156" t="str">
            <v>21/06/2024</v>
          </cell>
          <cell r="M1156" t="str">
            <v>Delivered</v>
          </cell>
          <cell r="N1156">
            <v>3</v>
          </cell>
          <cell r="O1156" t="str">
            <v>N</v>
          </cell>
        </row>
        <row r="1157">
          <cell r="A1157" t="str">
            <v>SHP-101251</v>
          </cell>
          <cell r="B1157" t="str">
            <v>2024-02-06</v>
          </cell>
          <cell r="C1157" t="str">
            <v xml:space="preserve">mumbai </v>
          </cell>
          <cell r="D1157" t="str">
            <v>Xpress Bees</v>
          </cell>
          <cell r="E1157" t="str">
            <v>ROAD</v>
          </cell>
          <cell r="F1157" t="str">
            <v xml:space="preserve"> GROCERY &amp; FMCG </v>
          </cell>
          <cell r="G1157" t="str">
            <v>EAST</v>
          </cell>
          <cell r="I1157" t="str">
            <v>4.5kg</v>
          </cell>
          <cell r="J1157" t="str">
            <v xml:space="preserve">Rs 227 </v>
          </cell>
          <cell r="K1157">
            <v>8</v>
          </cell>
          <cell r="L1157" t="str">
            <v>2024-02-16</v>
          </cell>
          <cell r="M1157" t="str">
            <v xml:space="preserve">delayed </v>
          </cell>
          <cell r="N1157">
            <v>2</v>
          </cell>
          <cell r="O1157" t="str">
            <v>no</v>
          </cell>
        </row>
        <row r="1158">
          <cell r="A1158" t="str">
            <v>SHP-100006</v>
          </cell>
          <cell r="B1158" t="str">
            <v>2024-02-02</v>
          </cell>
          <cell r="C1158" t="str">
            <v>hyderabad</v>
          </cell>
          <cell r="D1158" t="str">
            <v>ECOM EXPRESS</v>
          </cell>
          <cell r="E1158" t="str">
            <v>Air</v>
          </cell>
          <cell r="F1158" t="str">
            <v xml:space="preserve">pharma </v>
          </cell>
          <cell r="G1158" t="str">
            <v>north</v>
          </cell>
          <cell r="I1158" t="str">
            <v>2.1kg</v>
          </cell>
          <cell r="J1158" t="str">
            <v xml:space="preserve">Rs 295 </v>
          </cell>
          <cell r="K1158">
            <v>4</v>
          </cell>
          <cell r="L1158" t="str">
            <v xml:space="preserve"> 07/02/2024 </v>
          </cell>
          <cell r="M1158" t="str">
            <v>Delayed</v>
          </cell>
          <cell r="N1158">
            <v>1</v>
          </cell>
          <cell r="O1158" t="str">
            <v>Y</v>
          </cell>
        </row>
        <row r="1159">
          <cell r="A1159" t="str">
            <v>SHP-101484</v>
          </cell>
          <cell r="B1159" t="str">
            <v>01/06/2024</v>
          </cell>
          <cell r="C1159" t="str">
            <v>Chennai</v>
          </cell>
          <cell r="D1159" t="str">
            <v>BlueDart</v>
          </cell>
          <cell r="E1159" t="str">
            <v>AIR</v>
          </cell>
          <cell r="F1159" t="str">
            <v xml:space="preserve">automotive  parts </v>
          </cell>
          <cell r="G1159" t="str">
            <v xml:space="preserve">west </v>
          </cell>
          <cell r="I1159" t="str">
            <v>6.7kg</v>
          </cell>
          <cell r="J1159" t="str">
            <v>₹467</v>
          </cell>
          <cell r="K1159">
            <v>4</v>
          </cell>
          <cell r="L1159" t="str">
            <v>06/06/2024</v>
          </cell>
          <cell r="M1159" t="str">
            <v xml:space="preserve"> Delayed</v>
          </cell>
          <cell r="N1159">
            <v>3</v>
          </cell>
          <cell r="O1159" t="str">
            <v>Y</v>
          </cell>
        </row>
        <row r="1160">
          <cell r="A1160" t="str">
            <v>SHP-100220</v>
          </cell>
          <cell r="B1160" t="str">
            <v>08/06/2024</v>
          </cell>
          <cell r="C1160" t="str">
            <v>chennai</v>
          </cell>
          <cell r="D1160" t="str">
            <v>delhivery</v>
          </cell>
          <cell r="E1160" t="str">
            <v xml:space="preserve">air </v>
          </cell>
          <cell r="F1160" t="str">
            <v xml:space="preserve"> GROCERY &amp; FMCG </v>
          </cell>
          <cell r="G1160" t="str">
            <v>west</v>
          </cell>
          <cell r="I1160" t="str">
            <v>15.8</v>
          </cell>
          <cell r="J1160" t="str">
            <v>886</v>
          </cell>
          <cell r="K1160">
            <v>4</v>
          </cell>
          <cell r="L1160" t="str">
            <v xml:space="preserve"> 11/06/2024 </v>
          </cell>
          <cell r="M1160" t="str">
            <v>delivered</v>
          </cell>
          <cell r="N1160">
            <v>3</v>
          </cell>
          <cell r="O1160" t="str">
            <v>no</v>
          </cell>
        </row>
        <row r="1161">
          <cell r="A1161" t="str">
            <v>SHP-101524</v>
          </cell>
          <cell r="B1161" t="str">
            <v>12/01/2024</v>
          </cell>
          <cell r="C1161" t="str">
            <v xml:space="preserve">hyderabad </v>
          </cell>
          <cell r="D1161" t="str">
            <v>ECOM EXPRESS</v>
          </cell>
          <cell r="E1161" t="str">
            <v xml:space="preserve">surface </v>
          </cell>
          <cell r="F1161" t="str">
            <v xml:space="preserve">grocery  &amp; fmcg </v>
          </cell>
          <cell r="G1161" t="str">
            <v>south</v>
          </cell>
          <cell r="I1161" t="str">
            <v xml:space="preserve">8.2 Kg </v>
          </cell>
          <cell r="J1161" t="str">
            <v>₹334</v>
          </cell>
          <cell r="K1161">
            <v>6</v>
          </cell>
          <cell r="L1161" t="str">
            <v>2024-01-18</v>
          </cell>
          <cell r="M1161" t="str">
            <v>Delivered</v>
          </cell>
          <cell r="N1161">
            <v>2</v>
          </cell>
          <cell r="O1161" t="str">
            <v xml:space="preserve"> No</v>
          </cell>
        </row>
        <row r="1162">
          <cell r="A1162" t="str">
            <v>SHP-101240</v>
          </cell>
          <cell r="B1162" t="str">
            <v xml:space="preserve"> 19/04/2024 </v>
          </cell>
          <cell r="C1162" t="str">
            <v>kolkata</v>
          </cell>
          <cell r="D1162" t="str">
            <v xml:space="preserve">Dtdc </v>
          </cell>
          <cell r="E1162" t="str">
            <v xml:space="preserve"> AIR </v>
          </cell>
          <cell r="F1162" t="str">
            <v xml:space="preserve"> FURNITURE </v>
          </cell>
          <cell r="G1162" t="str">
            <v xml:space="preserve"> EAST </v>
          </cell>
          <cell r="I1162" t="str">
            <v xml:space="preserve">42.4 Kg </v>
          </cell>
          <cell r="J1162" t="str">
            <v>₹1,904</v>
          </cell>
          <cell r="K1162">
            <v>2</v>
          </cell>
          <cell r="L1162" t="str">
            <v>2024-04-21</v>
          </cell>
          <cell r="M1162" t="str">
            <v>DELIVERED</v>
          </cell>
          <cell r="N1162">
            <v>4</v>
          </cell>
          <cell r="O1162" t="str">
            <v>no</v>
          </cell>
        </row>
        <row r="1163">
          <cell r="A1163" t="str">
            <v>SHP-100722</v>
          </cell>
          <cell r="B1163" t="str">
            <v>2024-02-17</v>
          </cell>
          <cell r="C1163" t="str">
            <v>KOLKATA</v>
          </cell>
          <cell r="D1163" t="str">
            <v xml:space="preserve"> DTDC</v>
          </cell>
          <cell r="E1163" t="str">
            <v>road</v>
          </cell>
          <cell r="F1163" t="str">
            <v xml:space="preserve">automotive  parts </v>
          </cell>
          <cell r="G1163" t="str">
            <v xml:space="preserve"> NORTH </v>
          </cell>
          <cell r="I1163" t="str">
            <v>5.6kg</v>
          </cell>
          <cell r="J1163" t="str">
            <v>229</v>
          </cell>
          <cell r="K1163">
            <v>8</v>
          </cell>
          <cell r="L1163" t="str">
            <v xml:space="preserve"> 25/02/2024 </v>
          </cell>
          <cell r="M1163" t="str">
            <v>Delivered</v>
          </cell>
          <cell r="N1163">
            <v>2</v>
          </cell>
          <cell r="O1163" t="str">
            <v xml:space="preserve"> No</v>
          </cell>
        </row>
        <row r="1164">
          <cell r="A1164" t="str">
            <v>SHP-101177</v>
          </cell>
          <cell r="B1164" t="str">
            <v xml:space="preserve"> 05/04/2024 </v>
          </cell>
          <cell r="C1164" t="str">
            <v xml:space="preserve"> CHENNAI </v>
          </cell>
          <cell r="D1164" t="str">
            <v>Blue Dart</v>
          </cell>
          <cell r="E1164" t="str">
            <v>Air</v>
          </cell>
          <cell r="F1164" t="str">
            <v xml:space="preserve"> GROCERY &amp; FMCG </v>
          </cell>
          <cell r="G1164" t="str">
            <v>west</v>
          </cell>
          <cell r="I1164" t="str">
            <v>13.5</v>
          </cell>
          <cell r="J1164" t="str">
            <v xml:space="preserve">Rs 782 </v>
          </cell>
          <cell r="K1164">
            <v>4</v>
          </cell>
          <cell r="L1164" t="str">
            <v xml:space="preserve"> 09/04/2024 </v>
          </cell>
          <cell r="M1164" t="str">
            <v xml:space="preserve"> Delivered</v>
          </cell>
          <cell r="N1164">
            <v>4</v>
          </cell>
          <cell r="O1164" t="str">
            <v xml:space="preserve"> No</v>
          </cell>
        </row>
        <row r="1165">
          <cell r="A1165" t="str">
            <v>SHP-100580</v>
          </cell>
          <cell r="B1165" t="str">
            <v xml:space="preserve"> 21/01/2024 </v>
          </cell>
          <cell r="C1165" t="str">
            <v>Mumbai</v>
          </cell>
          <cell r="D1165" t="str">
            <v>BlueDart</v>
          </cell>
          <cell r="E1165" t="str">
            <v xml:space="preserve">surface </v>
          </cell>
          <cell r="F1165" t="str">
            <v>GROCERY &amp; FMCG</v>
          </cell>
          <cell r="G1165" t="str">
            <v xml:space="preserve">north </v>
          </cell>
          <cell r="I1165" t="str">
            <v>16.1</v>
          </cell>
          <cell r="J1165" t="str">
            <v>515</v>
          </cell>
          <cell r="K1165">
            <v>6</v>
          </cell>
          <cell r="L1165" t="str">
            <v>27-Jan-2024</v>
          </cell>
          <cell r="M1165" t="str">
            <v xml:space="preserve"> Delivered</v>
          </cell>
          <cell r="N1165">
            <v>5</v>
          </cell>
          <cell r="O1165" t="str">
            <v>no</v>
          </cell>
        </row>
        <row r="1166">
          <cell r="A1166" t="str">
            <v>SHP-101551</v>
          </cell>
          <cell r="B1166" t="str">
            <v>2024-01-16</v>
          </cell>
          <cell r="C1166" t="str">
            <v>Bengaluru</v>
          </cell>
          <cell r="D1166" t="str">
            <v>bluedart</v>
          </cell>
          <cell r="E1166" t="str">
            <v xml:space="preserve"> SURFACE </v>
          </cell>
          <cell r="F1166" t="str">
            <v>electronics</v>
          </cell>
          <cell r="G1166" t="str">
            <v>South</v>
          </cell>
          <cell r="I1166" t="str">
            <v xml:space="preserve">4.5 Kg </v>
          </cell>
          <cell r="J1166" t="str">
            <v>152</v>
          </cell>
          <cell r="K1166">
            <v>4</v>
          </cell>
          <cell r="L1166" t="str">
            <v xml:space="preserve"> 20/01/2024 </v>
          </cell>
          <cell r="M1166" t="str">
            <v>DELIVERED</v>
          </cell>
          <cell r="N1166">
            <v>3</v>
          </cell>
          <cell r="O1166" t="str">
            <v>YES</v>
          </cell>
        </row>
        <row r="1167">
          <cell r="A1167" t="str">
            <v>SHP-100222</v>
          </cell>
          <cell r="B1167" t="str">
            <v xml:space="preserve"> 13/06/2024 </v>
          </cell>
          <cell r="C1167" t="str">
            <v>Hyderabad</v>
          </cell>
          <cell r="D1167" t="str">
            <v>BlueDart</v>
          </cell>
          <cell r="E1167" t="str">
            <v>Air</v>
          </cell>
          <cell r="F1167" t="str">
            <v>Apparel</v>
          </cell>
          <cell r="G1167" t="str">
            <v>West</v>
          </cell>
          <cell r="I1167" t="str">
            <v>0.9kg</v>
          </cell>
          <cell r="J1167" t="str">
            <v>₹96</v>
          </cell>
          <cell r="K1167">
            <v>2</v>
          </cell>
          <cell r="L1167" t="str">
            <v>2024-06-14</v>
          </cell>
          <cell r="M1167" t="str">
            <v>DELIVERED</v>
          </cell>
          <cell r="N1167">
            <v>5</v>
          </cell>
          <cell r="O1167" t="str">
            <v>no</v>
          </cell>
        </row>
        <row r="1168">
          <cell r="A1168" t="str">
            <v>SHP-101090</v>
          </cell>
          <cell r="B1168" t="str">
            <v>2024-03-01</v>
          </cell>
          <cell r="C1168" t="str">
            <v>HYDERABAD</v>
          </cell>
          <cell r="D1168" t="str">
            <v xml:space="preserve">BLUEDART </v>
          </cell>
          <cell r="E1168" t="str">
            <v xml:space="preserve"> SURFACE </v>
          </cell>
          <cell r="F1168" t="str">
            <v>Automotive Parts</v>
          </cell>
          <cell r="G1168" t="str">
            <v>South</v>
          </cell>
          <cell r="I1168" t="str">
            <v>20.9KG</v>
          </cell>
          <cell r="J1168" t="str">
            <v>₹581</v>
          </cell>
          <cell r="K1168">
            <v>6</v>
          </cell>
          <cell r="L1168" t="str">
            <v>08-Mar-2024</v>
          </cell>
          <cell r="M1168" t="str">
            <v>DELAYED</v>
          </cell>
          <cell r="N1168">
            <v>4</v>
          </cell>
          <cell r="O1168" t="str">
            <v>YES</v>
          </cell>
        </row>
        <row r="1169">
          <cell r="A1169" t="str">
            <v>SHP-100898</v>
          </cell>
          <cell r="B1169" t="str">
            <v>2024-06-20</v>
          </cell>
          <cell r="C1169" t="str">
            <v xml:space="preserve"> HYDERABAD </v>
          </cell>
          <cell r="D1169" t="str">
            <v>delhivery</v>
          </cell>
          <cell r="E1169" t="str">
            <v xml:space="preserve"> AIR </v>
          </cell>
          <cell r="F1169" t="str">
            <v>apparel</v>
          </cell>
          <cell r="G1169" t="str">
            <v xml:space="preserve"> WEST </v>
          </cell>
          <cell r="I1169" t="str">
            <v xml:space="preserve">7.0 Kg </v>
          </cell>
          <cell r="J1169" t="str">
            <v xml:space="preserve">Rs 322 </v>
          </cell>
          <cell r="K1169">
            <v>2</v>
          </cell>
          <cell r="L1169" t="str">
            <v>21-Jun-2024</v>
          </cell>
          <cell r="M1169" t="str">
            <v>Delivered</v>
          </cell>
          <cell r="N1169">
            <v>5</v>
          </cell>
          <cell r="O1169" t="str">
            <v>Yes</v>
          </cell>
        </row>
        <row r="1170">
          <cell r="A1170" t="str">
            <v>SHP-100301</v>
          </cell>
          <cell r="B1170" t="str">
            <v xml:space="preserve"> 14/06/2024 </v>
          </cell>
          <cell r="C1170" t="str">
            <v>Mumbai</v>
          </cell>
          <cell r="D1170" t="str">
            <v>ecom express</v>
          </cell>
          <cell r="E1170" t="str">
            <v xml:space="preserve">surface </v>
          </cell>
          <cell r="F1170" t="str">
            <v xml:space="preserve"> FURNITURE </v>
          </cell>
          <cell r="G1170" t="str">
            <v xml:space="preserve"> NORTH </v>
          </cell>
          <cell r="I1170" t="str">
            <v>46.2KG</v>
          </cell>
          <cell r="J1170" t="str">
            <v>1,217</v>
          </cell>
          <cell r="K1170">
            <v>6</v>
          </cell>
          <cell r="L1170" t="str">
            <v>2024-06-21</v>
          </cell>
          <cell r="M1170" t="str">
            <v xml:space="preserve"> Delayed</v>
          </cell>
          <cell r="N1170">
            <v>3</v>
          </cell>
          <cell r="O1170" t="str">
            <v>Yes</v>
          </cell>
        </row>
        <row r="1171">
          <cell r="A1171" t="str">
            <v>SHP-101497</v>
          </cell>
          <cell r="B1171" t="str">
            <v xml:space="preserve"> 14/06/2024 </v>
          </cell>
          <cell r="C1171" t="str">
            <v>Kolkata</v>
          </cell>
          <cell r="D1171" t="str">
            <v>Xpress Bees</v>
          </cell>
          <cell r="E1171" t="str">
            <v>surface</v>
          </cell>
          <cell r="F1171" t="str">
            <v>PHARMA</v>
          </cell>
          <cell r="G1171" t="str">
            <v>North</v>
          </cell>
          <cell r="I1171" t="str">
            <v xml:space="preserve">1.8 Kg </v>
          </cell>
          <cell r="J1171" t="str">
            <v>188</v>
          </cell>
          <cell r="K1171">
            <v>6</v>
          </cell>
          <cell r="L1171" t="str">
            <v>2024-06-21</v>
          </cell>
          <cell r="M1171" t="str">
            <v xml:space="preserve">delayed </v>
          </cell>
          <cell r="N1171">
            <v>4</v>
          </cell>
          <cell r="O1171" t="str">
            <v>N</v>
          </cell>
        </row>
        <row r="1172">
          <cell r="A1172" t="str">
            <v>SHP-100311</v>
          </cell>
          <cell r="B1172" t="str">
            <v xml:space="preserve"> 15/02/2024 </v>
          </cell>
          <cell r="C1172" t="str">
            <v>mumbai</v>
          </cell>
          <cell r="D1172" t="str">
            <v>xpressbees</v>
          </cell>
          <cell r="E1172" t="str">
            <v>AIR</v>
          </cell>
          <cell r="F1172" t="str">
            <v xml:space="preserve">pharma </v>
          </cell>
          <cell r="G1172" t="str">
            <v>south</v>
          </cell>
          <cell r="I1172" t="str">
            <v>1.4KG</v>
          </cell>
          <cell r="J1172" t="str">
            <v>242</v>
          </cell>
          <cell r="K1172">
            <v>4</v>
          </cell>
          <cell r="L1172" t="str">
            <v>2024-02-23</v>
          </cell>
          <cell r="M1172" t="str">
            <v>DELAYED</v>
          </cell>
          <cell r="N1172">
            <v>2</v>
          </cell>
          <cell r="O1172" t="str">
            <v>Yes</v>
          </cell>
        </row>
        <row r="1173">
          <cell r="A1173" t="str">
            <v>SHP-101123</v>
          </cell>
          <cell r="B1173" t="str">
            <v>12-May-2024</v>
          </cell>
          <cell r="C1173" t="str">
            <v xml:space="preserve">bengaluru </v>
          </cell>
          <cell r="D1173" t="str">
            <v>Xpress Bees</v>
          </cell>
          <cell r="E1173" t="str">
            <v>surface</v>
          </cell>
          <cell r="F1173" t="str">
            <v>Furniture</v>
          </cell>
          <cell r="G1173" t="str">
            <v xml:space="preserve">south </v>
          </cell>
          <cell r="I1173" t="str">
            <v>19.0kg</v>
          </cell>
          <cell r="J1173" t="str">
            <v>₹442</v>
          </cell>
          <cell r="K1173">
            <v>4</v>
          </cell>
          <cell r="L1173" t="str">
            <v>2024-05-16</v>
          </cell>
          <cell r="M1173" t="str">
            <v xml:space="preserve"> Delivered</v>
          </cell>
          <cell r="N1173">
            <v>4</v>
          </cell>
          <cell r="O1173" t="str">
            <v>Yes</v>
          </cell>
        </row>
        <row r="1174">
          <cell r="A1174" t="str">
            <v>SHP-100882</v>
          </cell>
          <cell r="B1174" t="str">
            <v>2024-02-21</v>
          </cell>
          <cell r="C1174" t="str">
            <v xml:space="preserve"> MUMBAI </v>
          </cell>
          <cell r="D1174" t="str">
            <v>xpressbees</v>
          </cell>
          <cell r="E1174" t="str">
            <v>road</v>
          </cell>
          <cell r="F1174" t="str">
            <v>GROCERY  &amp; FMCG</v>
          </cell>
          <cell r="G1174" t="str">
            <v>SOUTH</v>
          </cell>
          <cell r="I1174" t="str">
            <v xml:space="preserve">18.8 Kg </v>
          </cell>
          <cell r="J1174" t="str">
            <v xml:space="preserve">Rs 420 </v>
          </cell>
          <cell r="K1174">
            <v>8</v>
          </cell>
          <cell r="L1174" t="str">
            <v>28/02/2024</v>
          </cell>
          <cell r="M1174" t="str">
            <v xml:space="preserve"> Delivered</v>
          </cell>
          <cell r="N1174">
            <v>4</v>
          </cell>
          <cell r="O1174" t="str">
            <v>No</v>
          </cell>
        </row>
        <row r="1175">
          <cell r="A1175" t="str">
            <v>SHP-100229</v>
          </cell>
          <cell r="B1175" t="str">
            <v>2024-05-20</v>
          </cell>
          <cell r="C1175" t="str">
            <v xml:space="preserve"> BENGALURU </v>
          </cell>
          <cell r="D1175" t="str">
            <v xml:space="preserve">Dtdc </v>
          </cell>
          <cell r="E1175" t="str">
            <v>surface</v>
          </cell>
          <cell r="F1175" t="str">
            <v>ELECTRONICS</v>
          </cell>
          <cell r="G1175" t="str">
            <v>SOUTH</v>
          </cell>
          <cell r="I1175" t="str">
            <v>2.0KG</v>
          </cell>
          <cell r="J1175" t="str">
            <v>80</v>
          </cell>
          <cell r="K1175">
            <v>4</v>
          </cell>
          <cell r="L1175" t="str">
            <v xml:space="preserve"> 24/05/2024 </v>
          </cell>
          <cell r="M1175" t="str">
            <v>Delivered</v>
          </cell>
          <cell r="N1175">
            <v>5</v>
          </cell>
          <cell r="O1175" t="str">
            <v xml:space="preserve"> No</v>
          </cell>
        </row>
        <row r="1176">
          <cell r="A1176" t="str">
            <v>SHP-100216</v>
          </cell>
          <cell r="B1176" t="str">
            <v>06-Jan-2024</v>
          </cell>
          <cell r="C1176" t="str">
            <v xml:space="preserve"> KOLKATA </v>
          </cell>
          <cell r="D1176" t="str">
            <v>Ecom Express</v>
          </cell>
          <cell r="E1176" t="str">
            <v>Surface</v>
          </cell>
          <cell r="F1176" t="str">
            <v>pharma</v>
          </cell>
          <cell r="G1176" t="str">
            <v xml:space="preserve">east </v>
          </cell>
          <cell r="I1176" t="str">
            <v>3.5</v>
          </cell>
          <cell r="J1176" t="str">
            <v>₹129</v>
          </cell>
          <cell r="K1176">
            <v>4</v>
          </cell>
          <cell r="L1176" t="str">
            <v xml:space="preserve"> 12/01/2024 </v>
          </cell>
          <cell r="M1176" t="str">
            <v xml:space="preserve"> Delayed</v>
          </cell>
          <cell r="N1176">
            <v>3</v>
          </cell>
          <cell r="O1176" t="str">
            <v xml:space="preserve"> No</v>
          </cell>
        </row>
        <row r="1177">
          <cell r="A1177" t="str">
            <v>SHP-100455</v>
          </cell>
          <cell r="B1177" t="str">
            <v xml:space="preserve"> 07/02/2024 </v>
          </cell>
          <cell r="C1177" t="str">
            <v>chennai</v>
          </cell>
          <cell r="D1177" t="str">
            <v>ECOM EXPRESS</v>
          </cell>
          <cell r="E1177" t="str">
            <v xml:space="preserve">road </v>
          </cell>
          <cell r="F1177" t="str">
            <v>pharma</v>
          </cell>
          <cell r="G1177" t="str">
            <v>WEST</v>
          </cell>
          <cell r="I1177" t="str">
            <v>4.9KG</v>
          </cell>
          <cell r="J1177" t="str">
            <v>210</v>
          </cell>
          <cell r="K1177">
            <v>8</v>
          </cell>
          <cell r="L1177" t="str">
            <v>14-Feb-2024</v>
          </cell>
          <cell r="M1177" t="str">
            <v>Delivered</v>
          </cell>
          <cell r="N1177">
            <v>5</v>
          </cell>
          <cell r="O1177" t="str">
            <v>N</v>
          </cell>
        </row>
        <row r="1178">
          <cell r="A1178" t="str">
            <v>SHP-100540</v>
          </cell>
          <cell r="B1178" t="str">
            <v xml:space="preserve"> 06/06/2024 </v>
          </cell>
          <cell r="C1178" t="str">
            <v>Bengaluru</v>
          </cell>
          <cell r="D1178" t="str">
            <v>ECOM EXPRESS</v>
          </cell>
          <cell r="E1178" t="str">
            <v xml:space="preserve">road </v>
          </cell>
          <cell r="F1178" t="str">
            <v>automotive parts</v>
          </cell>
          <cell r="G1178" t="str">
            <v>WEST</v>
          </cell>
          <cell r="I1178" t="str">
            <v xml:space="preserve">13.4 Kg </v>
          </cell>
          <cell r="J1178" t="str">
            <v xml:space="preserve">Rs 370 </v>
          </cell>
          <cell r="K1178">
            <v>8</v>
          </cell>
          <cell r="L1178" t="str">
            <v>14-Jun-2024</v>
          </cell>
          <cell r="M1178" t="str">
            <v>delivered</v>
          </cell>
          <cell r="N1178">
            <v>3</v>
          </cell>
          <cell r="O1178" t="str">
            <v>no</v>
          </cell>
        </row>
        <row r="1179">
          <cell r="A1179" t="str">
            <v>SHP-101586</v>
          </cell>
          <cell r="B1179" t="str">
            <v xml:space="preserve"> 09/06/2024 </v>
          </cell>
          <cell r="C1179" t="str">
            <v>kolkata</v>
          </cell>
          <cell r="D1179" t="str">
            <v>delhivery</v>
          </cell>
          <cell r="E1179" t="str">
            <v>road</v>
          </cell>
          <cell r="F1179" t="str">
            <v>GROCERY &amp; FMCG</v>
          </cell>
          <cell r="G1179" t="str">
            <v>NORTH</v>
          </cell>
          <cell r="I1179" t="str">
            <v>19.6</v>
          </cell>
          <cell r="J1179" t="str">
            <v>₹444</v>
          </cell>
          <cell r="K1179">
            <v>8</v>
          </cell>
          <cell r="L1179" t="str">
            <v>2024-06-18</v>
          </cell>
          <cell r="M1179" t="str">
            <v>Delayed</v>
          </cell>
          <cell r="N1179">
            <v>4</v>
          </cell>
          <cell r="O1179" t="str">
            <v xml:space="preserve"> No</v>
          </cell>
        </row>
        <row r="1180">
          <cell r="A1180" t="str">
            <v>SHP-100039</v>
          </cell>
          <cell r="B1180" t="str">
            <v>06-Mar-2024</v>
          </cell>
          <cell r="C1180" t="str">
            <v xml:space="preserve">mumbai </v>
          </cell>
          <cell r="D1180" t="str">
            <v>ECOM EXPRESS</v>
          </cell>
          <cell r="E1180" t="str">
            <v>Surface</v>
          </cell>
          <cell r="F1180" t="str">
            <v xml:space="preserve">pharma </v>
          </cell>
          <cell r="G1180" t="str">
            <v>south</v>
          </cell>
          <cell r="I1180" t="str">
            <v>1.2kg</v>
          </cell>
          <cell r="J1180" t="str">
            <v xml:space="preserve">Rs 158 </v>
          </cell>
          <cell r="K1180">
            <v>6</v>
          </cell>
          <cell r="L1180" t="str">
            <v>2024-03-13</v>
          </cell>
          <cell r="M1180" t="str">
            <v xml:space="preserve"> Delayed</v>
          </cell>
          <cell r="N1180">
            <v>3</v>
          </cell>
          <cell r="O1180" t="str">
            <v>Yes</v>
          </cell>
        </row>
        <row r="1181">
          <cell r="A1181" t="str">
            <v>SHP-101211</v>
          </cell>
          <cell r="B1181" t="str">
            <v>02/01/2024</v>
          </cell>
          <cell r="C1181" t="str">
            <v>kolkata</v>
          </cell>
          <cell r="D1181" t="str">
            <v xml:space="preserve">BLUEDART </v>
          </cell>
          <cell r="E1181" t="str">
            <v>Air</v>
          </cell>
          <cell r="F1181" t="str">
            <v>Automotive Parts</v>
          </cell>
          <cell r="G1181" t="str">
            <v>North</v>
          </cell>
          <cell r="I1181" t="str">
            <v>17.4KG</v>
          </cell>
          <cell r="J1181" t="str">
            <v xml:space="preserve">Rs 986 </v>
          </cell>
          <cell r="K1181">
            <v>4</v>
          </cell>
          <cell r="L1181" t="str">
            <v xml:space="preserve"> 07/01/2024 </v>
          </cell>
          <cell r="M1181" t="str">
            <v>Delayed</v>
          </cell>
          <cell r="N1181">
            <v>3</v>
          </cell>
          <cell r="O1181" t="str">
            <v>N</v>
          </cell>
        </row>
        <row r="1182">
          <cell r="A1182" t="str">
            <v>SHP-100654</v>
          </cell>
          <cell r="B1182" t="str">
            <v>05/04/2024</v>
          </cell>
          <cell r="C1182" t="str">
            <v>Bengaluru</v>
          </cell>
          <cell r="D1182" t="str">
            <v>dtdc</v>
          </cell>
          <cell r="E1182" t="str">
            <v>ROAD</v>
          </cell>
          <cell r="F1182" t="str">
            <v>furniture</v>
          </cell>
          <cell r="G1182" t="str">
            <v>south</v>
          </cell>
          <cell r="I1182" t="str">
            <v>69.5</v>
          </cell>
          <cell r="J1182" t="str">
            <v>₹972</v>
          </cell>
          <cell r="K1182">
            <v>6</v>
          </cell>
          <cell r="L1182" t="str">
            <v xml:space="preserve"> 10/04/2024 </v>
          </cell>
          <cell r="M1182" t="str">
            <v>Delivered</v>
          </cell>
          <cell r="N1182">
            <v>4</v>
          </cell>
          <cell r="O1182" t="str">
            <v>Y</v>
          </cell>
        </row>
        <row r="1183">
          <cell r="A1183" t="str">
            <v>SHP-100826</v>
          </cell>
          <cell r="B1183" t="str">
            <v>10/02/2024</v>
          </cell>
          <cell r="C1183" t="str">
            <v>kolkata</v>
          </cell>
          <cell r="D1183" t="str">
            <v xml:space="preserve"> DTDC</v>
          </cell>
          <cell r="E1183" t="str">
            <v xml:space="preserve"> AIR </v>
          </cell>
          <cell r="F1183" t="str">
            <v xml:space="preserve">electronics </v>
          </cell>
          <cell r="G1183" t="str">
            <v xml:space="preserve"> EAST </v>
          </cell>
          <cell r="I1183" t="str">
            <v xml:space="preserve">2.3 Kg </v>
          </cell>
          <cell r="J1183" t="str">
            <v>₹132</v>
          </cell>
          <cell r="K1183">
            <v>2</v>
          </cell>
          <cell r="L1183" t="str">
            <v>21-Feb-2024</v>
          </cell>
          <cell r="M1183" t="str">
            <v xml:space="preserve">delayed </v>
          </cell>
          <cell r="N1183">
            <v>3</v>
          </cell>
          <cell r="O1183" t="str">
            <v>YES</v>
          </cell>
        </row>
        <row r="1184">
          <cell r="A1184" t="str">
            <v>SHP-100696</v>
          </cell>
          <cell r="B1184" t="str">
            <v>2024-06-01</v>
          </cell>
          <cell r="C1184" t="str">
            <v xml:space="preserve">hyderabad </v>
          </cell>
          <cell r="D1184" t="str">
            <v xml:space="preserve"> Delhivery</v>
          </cell>
          <cell r="E1184" t="str">
            <v>ROAD</v>
          </cell>
          <cell r="F1184" t="str">
            <v xml:space="preserve"> APPAREL </v>
          </cell>
          <cell r="G1184" t="str">
            <v>north</v>
          </cell>
          <cell r="I1184" t="str">
            <v>0.9kg</v>
          </cell>
          <cell r="J1184" t="str">
            <v xml:space="preserve">Rs 210 </v>
          </cell>
          <cell r="K1184">
            <v>8</v>
          </cell>
          <cell r="L1184" t="str">
            <v>08/06/2024</v>
          </cell>
          <cell r="M1184" t="str">
            <v xml:space="preserve">RETURNED </v>
          </cell>
          <cell r="O1184" t="str">
            <v>no</v>
          </cell>
        </row>
        <row r="1185">
          <cell r="I1185" t="str">
            <v xml:space="preserve">3.3 Kg </v>
          </cell>
        </row>
        <row r="1186">
          <cell r="A1186" t="str">
            <v>SHP-101227</v>
          </cell>
          <cell r="B1186" t="str">
            <v xml:space="preserve"> 19/04/2024 </v>
          </cell>
          <cell r="C1186" t="str">
            <v>Hyderabad</v>
          </cell>
          <cell r="D1186" t="str">
            <v>ecom express</v>
          </cell>
          <cell r="E1186" t="str">
            <v xml:space="preserve">road </v>
          </cell>
          <cell r="F1186" t="str">
            <v>ELECTRONICS</v>
          </cell>
          <cell r="G1186" t="str">
            <v>WEST</v>
          </cell>
          <cell r="I1186" t="str">
            <v xml:space="preserve">6.8 Kg </v>
          </cell>
          <cell r="J1186" t="str">
            <v>141</v>
          </cell>
          <cell r="K1186">
            <v>6</v>
          </cell>
          <cell r="L1186" t="str">
            <v>24/04/2024</v>
          </cell>
          <cell r="M1186" t="str">
            <v xml:space="preserve"> Delivered</v>
          </cell>
          <cell r="N1186">
            <v>5</v>
          </cell>
          <cell r="O1186" t="str">
            <v>N</v>
          </cell>
        </row>
        <row r="1187">
          <cell r="A1187" t="str">
            <v>SHP-100276</v>
          </cell>
          <cell r="B1187" t="str">
            <v>13-Jun-2024</v>
          </cell>
          <cell r="C1187" t="str">
            <v>MUMBAI</v>
          </cell>
          <cell r="D1187" t="str">
            <v>delhivery</v>
          </cell>
          <cell r="E1187" t="str">
            <v>surface</v>
          </cell>
          <cell r="F1187" t="str">
            <v>ELECTRONICS</v>
          </cell>
          <cell r="G1187" t="str">
            <v>west</v>
          </cell>
          <cell r="I1187" t="str">
            <v xml:space="preserve">11.5 Kg </v>
          </cell>
          <cell r="J1187" t="str">
            <v>₹236</v>
          </cell>
          <cell r="K1187">
            <v>4</v>
          </cell>
          <cell r="L1187" t="str">
            <v>17-Jun-2024</v>
          </cell>
          <cell r="M1187" t="str">
            <v xml:space="preserve"> Delivered</v>
          </cell>
          <cell r="N1187">
            <v>5</v>
          </cell>
          <cell r="O1187" t="str">
            <v xml:space="preserve">yes </v>
          </cell>
        </row>
        <row r="1188">
          <cell r="A1188" t="str">
            <v>SHP-100772</v>
          </cell>
          <cell r="B1188" t="str">
            <v>12-May-2024</v>
          </cell>
          <cell r="C1188" t="str">
            <v>chennai</v>
          </cell>
          <cell r="D1188" t="str">
            <v xml:space="preserve"> DTDC</v>
          </cell>
          <cell r="E1188" t="str">
            <v>road</v>
          </cell>
          <cell r="F1188" t="str">
            <v>automotive parts</v>
          </cell>
          <cell r="G1188" t="str">
            <v xml:space="preserve"> NORTH </v>
          </cell>
          <cell r="I1188" t="str">
            <v xml:space="preserve">11.1 Kg </v>
          </cell>
          <cell r="J1188" t="str">
            <v>314</v>
          </cell>
          <cell r="K1188">
            <v>8</v>
          </cell>
          <cell r="L1188" t="str">
            <v>20/05/2024</v>
          </cell>
          <cell r="M1188" t="str">
            <v>delivered</v>
          </cell>
          <cell r="N1188">
            <v>5</v>
          </cell>
          <cell r="O1188" t="str">
            <v>Yes</v>
          </cell>
        </row>
        <row r="1189">
          <cell r="A1189" t="str">
            <v>SHP-100682</v>
          </cell>
          <cell r="B1189" t="str">
            <v xml:space="preserve"> 06/06/2024 </v>
          </cell>
          <cell r="C1189" t="str">
            <v>mumbai</v>
          </cell>
          <cell r="D1189" t="str">
            <v>Ecom Express</v>
          </cell>
          <cell r="E1189" t="str">
            <v xml:space="preserve">surface </v>
          </cell>
          <cell r="F1189" t="str">
            <v xml:space="preserve">grocery &amp; fmcg </v>
          </cell>
          <cell r="G1189" t="str">
            <v>west</v>
          </cell>
          <cell r="I1189" t="str">
            <v xml:space="preserve">13.0 Kg </v>
          </cell>
          <cell r="J1189" t="str">
            <v>279</v>
          </cell>
          <cell r="K1189">
            <v>4</v>
          </cell>
          <cell r="L1189" t="str">
            <v>09-Jun-2024</v>
          </cell>
          <cell r="M1189" t="str">
            <v>delivered</v>
          </cell>
          <cell r="N1189">
            <v>3</v>
          </cell>
          <cell r="O1189" t="str">
            <v>N</v>
          </cell>
        </row>
        <row r="1190">
          <cell r="A1190" t="str">
            <v>SHP-100331</v>
          </cell>
          <cell r="B1190" t="str">
            <v xml:space="preserve"> 22/04/2024 </v>
          </cell>
          <cell r="C1190" t="str">
            <v xml:space="preserve"> MUMBAI </v>
          </cell>
          <cell r="D1190" t="str">
            <v xml:space="preserve">BLUEDART </v>
          </cell>
          <cell r="E1190" t="str">
            <v>ROAD</v>
          </cell>
          <cell r="F1190" t="str">
            <v>electronics</v>
          </cell>
          <cell r="G1190" t="str">
            <v>east</v>
          </cell>
          <cell r="I1190" t="str">
            <v>9.9KG</v>
          </cell>
          <cell r="J1190" t="str">
            <v xml:space="preserve">Rs 288 </v>
          </cell>
          <cell r="K1190">
            <v>8</v>
          </cell>
          <cell r="L1190" t="str">
            <v>2024-05-08</v>
          </cell>
          <cell r="M1190" t="str">
            <v>Delayed</v>
          </cell>
          <cell r="N1190">
            <v>4</v>
          </cell>
          <cell r="O1190" t="str">
            <v>Y</v>
          </cell>
        </row>
        <row r="1191">
          <cell r="A1191" t="str">
            <v>SHP-101593</v>
          </cell>
          <cell r="B1191" t="str">
            <v>2024-03-19</v>
          </cell>
          <cell r="C1191" t="str">
            <v>bengaluru</v>
          </cell>
          <cell r="D1191" t="str">
            <v>Xpress Bees</v>
          </cell>
          <cell r="E1191" t="str">
            <v>Road</v>
          </cell>
          <cell r="F1191" t="str">
            <v xml:space="preserve">apparel </v>
          </cell>
          <cell r="G1191" t="str">
            <v>south</v>
          </cell>
          <cell r="I1191" t="str">
            <v>6.8</v>
          </cell>
          <cell r="J1191" t="str">
            <v xml:space="preserve">Rs 111 </v>
          </cell>
          <cell r="K1191">
            <v>6</v>
          </cell>
          <cell r="L1191" t="str">
            <v xml:space="preserve"> 24/03/2024 </v>
          </cell>
          <cell r="M1191" t="str">
            <v>DELIVERED</v>
          </cell>
          <cell r="N1191">
            <v>5</v>
          </cell>
          <cell r="O1191" t="str">
            <v>Yes</v>
          </cell>
        </row>
        <row r="1192">
          <cell r="A1192" t="str">
            <v>SHP-100471</v>
          </cell>
          <cell r="B1192" t="str">
            <v>13-Jan-2024</v>
          </cell>
          <cell r="C1192" t="str">
            <v>BENGALURU</v>
          </cell>
          <cell r="D1192" t="str">
            <v>BlueDart</v>
          </cell>
          <cell r="E1192" t="str">
            <v>surface</v>
          </cell>
          <cell r="F1192" t="str">
            <v xml:space="preserve">automotive parts </v>
          </cell>
          <cell r="G1192" t="str">
            <v>west</v>
          </cell>
          <cell r="I1192" t="str">
            <v xml:space="preserve">13.2 Kg </v>
          </cell>
          <cell r="J1192" t="str">
            <v xml:space="preserve">Rs 490 </v>
          </cell>
          <cell r="K1192">
            <v>6</v>
          </cell>
          <cell r="L1192" t="str">
            <v>2024-01-20</v>
          </cell>
          <cell r="M1192" t="str">
            <v xml:space="preserve"> Delayed</v>
          </cell>
          <cell r="N1192">
            <v>2</v>
          </cell>
          <cell r="O1192" t="str">
            <v>No</v>
          </cell>
        </row>
        <row r="1193">
          <cell r="A1193" t="str">
            <v>SHP-100811</v>
          </cell>
          <cell r="B1193" t="str">
            <v>25-Jun-2024</v>
          </cell>
          <cell r="C1193" t="str">
            <v xml:space="preserve">kolkata </v>
          </cell>
          <cell r="D1193" t="str">
            <v>BlueDart</v>
          </cell>
          <cell r="E1193" t="str">
            <v>Air</v>
          </cell>
          <cell r="F1193" t="str">
            <v xml:space="preserve"> AUTOMOTIVE PARTS </v>
          </cell>
          <cell r="G1193" t="str">
            <v xml:space="preserve"> SOUTH </v>
          </cell>
          <cell r="I1193" t="str">
            <v>22.2kg</v>
          </cell>
          <cell r="J1193" t="str">
            <v xml:space="preserve">Rs 1177 </v>
          </cell>
          <cell r="K1193">
            <v>4</v>
          </cell>
          <cell r="L1193" t="str">
            <v>03-Jul-2024</v>
          </cell>
          <cell r="M1193" t="str">
            <v xml:space="preserve"> Delayed</v>
          </cell>
          <cell r="N1193">
            <v>4</v>
          </cell>
          <cell r="O1193" t="str">
            <v xml:space="preserve">yes </v>
          </cell>
        </row>
        <row r="1194">
          <cell r="A1194" t="str">
            <v>SHP-100209</v>
          </cell>
          <cell r="B1194" t="str">
            <v>2024-01-05</v>
          </cell>
          <cell r="C1194" t="str">
            <v>BENGALURU</v>
          </cell>
          <cell r="D1194" t="str">
            <v>BlueDart</v>
          </cell>
          <cell r="E1194" t="str">
            <v>ROAD</v>
          </cell>
          <cell r="F1194" t="str">
            <v xml:space="preserve"> ELECTRONICS </v>
          </cell>
          <cell r="G1194" t="str">
            <v>South</v>
          </cell>
          <cell r="I1194" t="str">
            <v>6.6</v>
          </cell>
          <cell r="J1194" t="str">
            <v xml:space="preserve">Rs 133 </v>
          </cell>
          <cell r="K1194">
            <v>6</v>
          </cell>
          <cell r="L1194" t="str">
            <v xml:space="preserve"> 10/01/2024 </v>
          </cell>
          <cell r="M1194" t="str">
            <v>DELIVERED</v>
          </cell>
          <cell r="N1194">
            <v>1</v>
          </cell>
          <cell r="O1194" t="str">
            <v xml:space="preserve">yes </v>
          </cell>
        </row>
        <row r="1195">
          <cell r="A1195" t="str">
            <v>SHP-101382</v>
          </cell>
          <cell r="B1195" t="str">
            <v>2024-04-03</v>
          </cell>
          <cell r="C1195" t="str">
            <v xml:space="preserve">chennai </v>
          </cell>
          <cell r="D1195" t="str">
            <v>XpressBees</v>
          </cell>
          <cell r="E1195" t="str">
            <v>air</v>
          </cell>
          <cell r="F1195" t="str">
            <v xml:space="preserve"> FURNITURE </v>
          </cell>
          <cell r="G1195" t="str">
            <v>North</v>
          </cell>
          <cell r="I1195" t="str">
            <v xml:space="preserve">52.7 Kg </v>
          </cell>
          <cell r="J1195" t="str">
            <v xml:space="preserve">Rs 2522 </v>
          </cell>
          <cell r="K1195">
            <v>4</v>
          </cell>
          <cell r="L1195" t="str">
            <v xml:space="preserve"> 11/04/2024 </v>
          </cell>
          <cell r="M1195" t="str">
            <v>Damaged</v>
          </cell>
          <cell r="O1195" t="str">
            <v>Y</v>
          </cell>
        </row>
        <row r="1196">
          <cell r="A1196" t="str">
            <v>SHP-100983</v>
          </cell>
          <cell r="B1196" t="str">
            <v>2024-04-01</v>
          </cell>
          <cell r="C1196" t="str">
            <v>Hyderabad</v>
          </cell>
          <cell r="D1196" t="str">
            <v>DTDC</v>
          </cell>
          <cell r="E1196" t="str">
            <v>Surface</v>
          </cell>
          <cell r="F1196" t="str">
            <v>Apparel</v>
          </cell>
          <cell r="G1196" t="str">
            <v>East</v>
          </cell>
          <cell r="I1196" t="str">
            <v>0.9</v>
          </cell>
          <cell r="J1196" t="str">
            <v>203</v>
          </cell>
          <cell r="K1196">
            <v>6</v>
          </cell>
          <cell r="L1196" t="str">
            <v>2024-04-08</v>
          </cell>
          <cell r="M1196" t="str">
            <v>Delayed</v>
          </cell>
          <cell r="N1196">
            <v>2</v>
          </cell>
          <cell r="O1196" t="str">
            <v>N</v>
          </cell>
        </row>
        <row r="1197">
          <cell r="A1197" t="str">
            <v>SHP-100062</v>
          </cell>
          <cell r="B1197" t="str">
            <v>2024-06-23</v>
          </cell>
          <cell r="C1197" t="str">
            <v>hyderabad</v>
          </cell>
          <cell r="D1197" t="str">
            <v>BlueDart</v>
          </cell>
          <cell r="E1197" t="str">
            <v xml:space="preserve"> ROAD </v>
          </cell>
          <cell r="F1197" t="str">
            <v>Automotive Parts</v>
          </cell>
          <cell r="G1197" t="str">
            <v xml:space="preserve">south </v>
          </cell>
          <cell r="I1197" t="str">
            <v>11.5KG</v>
          </cell>
          <cell r="J1197" t="str">
            <v>290</v>
          </cell>
          <cell r="K1197">
            <v>8</v>
          </cell>
          <cell r="L1197" t="str">
            <v>30/06/2024</v>
          </cell>
          <cell r="M1197" t="str">
            <v>delivered</v>
          </cell>
          <cell r="N1197">
            <v>4</v>
          </cell>
          <cell r="O1197" t="str">
            <v>Yes</v>
          </cell>
        </row>
        <row r="1198">
          <cell r="A1198" t="str">
            <v>SHP-100420</v>
          </cell>
          <cell r="B1198" t="str">
            <v>17-Mar-2024</v>
          </cell>
          <cell r="C1198" t="str">
            <v xml:space="preserve">delhi </v>
          </cell>
          <cell r="D1198" t="str">
            <v xml:space="preserve"> XPRESSBEES</v>
          </cell>
          <cell r="E1198" t="str">
            <v xml:space="preserve"> ROAD </v>
          </cell>
          <cell r="F1198" t="str">
            <v>PHARMA</v>
          </cell>
          <cell r="G1198" t="str">
            <v xml:space="preserve">west </v>
          </cell>
          <cell r="I1198" t="str">
            <v>3.1</v>
          </cell>
          <cell r="J1198" t="str">
            <v xml:space="preserve">Rs 206 </v>
          </cell>
          <cell r="K1198">
            <v>8</v>
          </cell>
          <cell r="L1198" t="str">
            <v xml:space="preserve"> 24/03/2024 </v>
          </cell>
          <cell r="M1198" t="str">
            <v xml:space="preserve"> Delivered</v>
          </cell>
          <cell r="N1198">
            <v>5</v>
          </cell>
          <cell r="O1198" t="str">
            <v>no</v>
          </cell>
        </row>
        <row r="1199">
          <cell r="A1199" t="str">
            <v>SHP-100255</v>
          </cell>
          <cell r="B1199" t="str">
            <v xml:space="preserve"> 04/04/2024 </v>
          </cell>
          <cell r="C1199" t="str">
            <v xml:space="preserve"> MUMBAI </v>
          </cell>
          <cell r="D1199" t="str">
            <v xml:space="preserve"> XPRESSBEES</v>
          </cell>
          <cell r="E1199" t="str">
            <v>Road</v>
          </cell>
          <cell r="F1199" t="str">
            <v>FURNITURE</v>
          </cell>
          <cell r="G1199" t="str">
            <v xml:space="preserve"> SOUTH </v>
          </cell>
          <cell r="I1199" t="str">
            <v>70.9</v>
          </cell>
          <cell r="J1199" t="str">
            <v>1,171</v>
          </cell>
          <cell r="K1199">
            <v>8</v>
          </cell>
          <cell r="L1199" t="str">
            <v>13-Apr-2024</v>
          </cell>
          <cell r="M1199" t="str">
            <v xml:space="preserve">delayed </v>
          </cell>
          <cell r="N1199">
            <v>5</v>
          </cell>
          <cell r="O1199" t="str">
            <v>Yes</v>
          </cell>
        </row>
        <row r="1200">
          <cell r="A1200" t="str">
            <v>SHP-100066</v>
          </cell>
          <cell r="B1200" t="str">
            <v>23/06/2024</v>
          </cell>
          <cell r="C1200" t="str">
            <v xml:space="preserve"> MUMBAI </v>
          </cell>
          <cell r="D1200" t="str">
            <v>Xpress Bees</v>
          </cell>
          <cell r="E1200" t="str">
            <v>surface</v>
          </cell>
          <cell r="F1200" t="str">
            <v xml:space="preserve">pharma </v>
          </cell>
          <cell r="G1200" t="str">
            <v>east</v>
          </cell>
          <cell r="I1200" t="str">
            <v>3.9KG</v>
          </cell>
          <cell r="J1200" t="str">
            <v xml:space="preserve">Rs 294 </v>
          </cell>
          <cell r="K1200">
            <v>6</v>
          </cell>
          <cell r="L1200" t="str">
            <v>2024-06-28</v>
          </cell>
          <cell r="M1200" t="str">
            <v>DELIVERED</v>
          </cell>
          <cell r="N1200">
            <v>5</v>
          </cell>
          <cell r="O1200" t="str">
            <v>Yes</v>
          </cell>
        </row>
        <row r="1201">
          <cell r="A1201" t="str">
            <v>SHP-101041</v>
          </cell>
          <cell r="B1201" t="str">
            <v>21/05/2024</v>
          </cell>
          <cell r="C1201" t="str">
            <v xml:space="preserve"> CHENNAI </v>
          </cell>
          <cell r="D1201" t="str">
            <v>Delhivery</v>
          </cell>
          <cell r="E1201" t="str">
            <v>SURFACE</v>
          </cell>
          <cell r="F1201" t="str">
            <v>Electronics</v>
          </cell>
          <cell r="G1201" t="str">
            <v xml:space="preserve"> WEST </v>
          </cell>
          <cell r="I1201" t="str">
            <v>3.1kg</v>
          </cell>
          <cell r="J1201" t="str">
            <v>238</v>
          </cell>
          <cell r="K1201">
            <v>6</v>
          </cell>
          <cell r="L1201" t="str">
            <v>2024-06-01</v>
          </cell>
          <cell r="M1201" t="str">
            <v>DELAYED</v>
          </cell>
          <cell r="N1201">
            <v>4</v>
          </cell>
          <cell r="O1201" t="str">
            <v>YES</v>
          </cell>
        </row>
        <row r="1202">
          <cell r="A1202" t="str">
            <v>SHP-101148</v>
          </cell>
          <cell r="B1202" t="str">
            <v>2024-04-14</v>
          </cell>
          <cell r="C1202" t="str">
            <v>Mumbai</v>
          </cell>
          <cell r="D1202" t="str">
            <v>DELHIVERY</v>
          </cell>
          <cell r="E1202" t="str">
            <v xml:space="preserve"> ROAD </v>
          </cell>
          <cell r="F1202" t="str">
            <v>electronics</v>
          </cell>
          <cell r="G1202" t="str">
            <v xml:space="preserve">west </v>
          </cell>
          <cell r="J1202" t="str">
            <v>82</v>
          </cell>
          <cell r="K1202">
            <v>6</v>
          </cell>
          <cell r="L1202" t="str">
            <v>19/04/2024</v>
          </cell>
          <cell r="M1202" t="str">
            <v>delivered</v>
          </cell>
          <cell r="N1202">
            <v>4</v>
          </cell>
          <cell r="O1202" t="str">
            <v>No</v>
          </cell>
        </row>
        <row r="1203">
          <cell r="A1203" t="str">
            <v>SHP-100081</v>
          </cell>
          <cell r="B1203" t="str">
            <v>12/01/2024</v>
          </cell>
          <cell r="C1203" t="str">
            <v>Hyderabad</v>
          </cell>
          <cell r="D1203" t="str">
            <v xml:space="preserve">Dtdc </v>
          </cell>
          <cell r="E1203" t="str">
            <v>AIR</v>
          </cell>
          <cell r="F1203" t="str">
            <v>PHARMA</v>
          </cell>
          <cell r="G1203" t="str">
            <v>south</v>
          </cell>
          <cell r="I1203" t="str">
            <v>4.2kg</v>
          </cell>
          <cell r="J1203" t="str">
            <v>373</v>
          </cell>
          <cell r="K1203">
            <v>4</v>
          </cell>
          <cell r="L1203" t="str">
            <v>16-Jan-2024</v>
          </cell>
          <cell r="M1203" t="str">
            <v xml:space="preserve"> Delivered</v>
          </cell>
          <cell r="N1203">
            <v>4</v>
          </cell>
          <cell r="O1203" t="str">
            <v xml:space="preserve"> No</v>
          </cell>
        </row>
        <row r="1204">
          <cell r="A1204" t="str">
            <v>SHP-100243</v>
          </cell>
          <cell r="B1204" t="str">
            <v>27-Feb-2024</v>
          </cell>
          <cell r="C1204" t="str">
            <v xml:space="preserve">bengaluru </v>
          </cell>
          <cell r="D1204" t="str">
            <v>xpressbees</v>
          </cell>
          <cell r="E1204" t="str">
            <v>AIR</v>
          </cell>
          <cell r="F1204" t="str">
            <v xml:space="preserve">electronics  </v>
          </cell>
          <cell r="G1204" t="str">
            <v>EAST</v>
          </cell>
          <cell r="I1204" t="str">
            <v xml:space="preserve">13.9 Kg </v>
          </cell>
          <cell r="J1204" t="str">
            <v xml:space="preserve">Rs 797 </v>
          </cell>
          <cell r="K1204">
            <v>4</v>
          </cell>
          <cell r="L1204" t="str">
            <v>03/03/2024</v>
          </cell>
          <cell r="M1204" t="str">
            <v>Delayed</v>
          </cell>
          <cell r="N1204">
            <v>1</v>
          </cell>
          <cell r="O1204" t="str">
            <v>YES</v>
          </cell>
        </row>
        <row r="1205">
          <cell r="A1205" t="str">
            <v>SHP-100923</v>
          </cell>
          <cell r="B1205" t="str">
            <v xml:space="preserve"> 26/02/2024 </v>
          </cell>
          <cell r="C1205" t="str">
            <v>delhi</v>
          </cell>
          <cell r="D1205" t="str">
            <v>xpressbees</v>
          </cell>
          <cell r="E1205" t="str">
            <v>road</v>
          </cell>
          <cell r="F1205" t="str">
            <v xml:space="preserve">grocery  &amp; fmcg </v>
          </cell>
          <cell r="G1205" t="str">
            <v>west</v>
          </cell>
          <cell r="I1205" t="str">
            <v xml:space="preserve">14.1 Kg </v>
          </cell>
          <cell r="J1205" t="str">
            <v>407</v>
          </cell>
          <cell r="K1205">
            <v>8</v>
          </cell>
          <cell r="L1205" t="str">
            <v xml:space="preserve"> 04/03/2024 </v>
          </cell>
          <cell r="M1205" t="str">
            <v>Delivered</v>
          </cell>
          <cell r="N1205">
            <v>4</v>
          </cell>
          <cell r="O1205" t="str">
            <v>N</v>
          </cell>
        </row>
        <row r="1206">
          <cell r="A1206" t="str">
            <v>SHP-100720</v>
          </cell>
          <cell r="B1206" t="str">
            <v xml:space="preserve"> 26/04/2024 </v>
          </cell>
          <cell r="C1206" t="str">
            <v xml:space="preserve">kolkata </v>
          </cell>
          <cell r="D1206" t="str">
            <v xml:space="preserve">Dtdc </v>
          </cell>
          <cell r="E1206" t="str">
            <v xml:space="preserve"> ROAD </v>
          </cell>
          <cell r="F1206" t="str">
            <v xml:space="preserve">automotive parts </v>
          </cell>
          <cell r="G1206" t="str">
            <v>NORTH</v>
          </cell>
          <cell r="I1206" t="str">
            <v xml:space="preserve">6.2 Kg </v>
          </cell>
          <cell r="J1206" t="str">
            <v xml:space="preserve">Rs 270 </v>
          </cell>
          <cell r="K1206">
            <v>8</v>
          </cell>
          <cell r="L1206" t="str">
            <v>2024-05-03</v>
          </cell>
          <cell r="M1206" t="str">
            <v>DELIVERED</v>
          </cell>
          <cell r="N1206">
            <v>4</v>
          </cell>
          <cell r="O1206" t="str">
            <v xml:space="preserve"> No</v>
          </cell>
        </row>
        <row r="1207">
          <cell r="A1207" t="str">
            <v>SHP-100219</v>
          </cell>
          <cell r="B1207" t="str">
            <v xml:space="preserve"> 16/05/2024 </v>
          </cell>
          <cell r="C1207" t="str">
            <v>DELHI</v>
          </cell>
          <cell r="D1207" t="str">
            <v>BlueDart</v>
          </cell>
          <cell r="E1207" t="str">
            <v>road</v>
          </cell>
          <cell r="F1207" t="str">
            <v xml:space="preserve">  PHARMA </v>
          </cell>
          <cell r="G1207" t="str">
            <v>NORTH</v>
          </cell>
          <cell r="I1207" t="str">
            <v>1.0kg</v>
          </cell>
          <cell r="J1207" t="str">
            <v>₹80</v>
          </cell>
          <cell r="K1207">
            <v>6</v>
          </cell>
          <cell r="L1207" t="str">
            <v>2024-05-21</v>
          </cell>
          <cell r="M1207" t="str">
            <v xml:space="preserve"> Delivered</v>
          </cell>
          <cell r="N1207">
            <v>5</v>
          </cell>
          <cell r="O1207" t="str">
            <v>Yes</v>
          </cell>
        </row>
        <row r="1208">
          <cell r="A1208" t="str">
            <v>SHP-100214</v>
          </cell>
          <cell r="B1208" t="str">
            <v xml:space="preserve"> 16/03/2024 </v>
          </cell>
          <cell r="C1208" t="str">
            <v xml:space="preserve"> MUMBAI </v>
          </cell>
          <cell r="D1208" t="str">
            <v>DELHIVERY</v>
          </cell>
          <cell r="E1208" t="str">
            <v>AIR</v>
          </cell>
          <cell r="F1208" t="str">
            <v>furniture</v>
          </cell>
          <cell r="G1208" t="str">
            <v>North</v>
          </cell>
          <cell r="I1208" t="str">
            <v xml:space="preserve">29.4 Kg </v>
          </cell>
          <cell r="J1208" t="str">
            <v>1,469</v>
          </cell>
          <cell r="K1208">
            <v>4</v>
          </cell>
          <cell r="L1208" t="str">
            <v>20-Mar-2024</v>
          </cell>
          <cell r="M1208" t="str">
            <v xml:space="preserve"> Delivered</v>
          </cell>
          <cell r="N1208">
            <v>4</v>
          </cell>
          <cell r="O1208" t="str">
            <v>YES</v>
          </cell>
        </row>
        <row r="1209">
          <cell r="A1209" t="str">
            <v>SHP-100940</v>
          </cell>
          <cell r="B1209" t="str">
            <v>2024-01-21</v>
          </cell>
          <cell r="C1209" t="str">
            <v>Mumbai</v>
          </cell>
          <cell r="D1209" t="str">
            <v>Ecom Express</v>
          </cell>
          <cell r="E1209" t="str">
            <v>Road</v>
          </cell>
          <cell r="F1209" t="str">
            <v>Automotive Parts</v>
          </cell>
          <cell r="G1209" t="str">
            <v xml:space="preserve"> EAST </v>
          </cell>
          <cell r="I1209" t="str">
            <v>22.8kg</v>
          </cell>
          <cell r="J1209" t="str">
            <v xml:space="preserve">Rs 495 </v>
          </cell>
          <cell r="K1209">
            <v>8</v>
          </cell>
          <cell r="L1209" t="str">
            <v>29/01/2024</v>
          </cell>
          <cell r="M1209" t="str">
            <v>Delivered</v>
          </cell>
          <cell r="N1209">
            <v>5</v>
          </cell>
          <cell r="O1209" t="str">
            <v>YES</v>
          </cell>
        </row>
        <row r="1210">
          <cell r="A1210" t="str">
            <v>SHP-101413</v>
          </cell>
          <cell r="B1210" t="str">
            <v>11/06/2024</v>
          </cell>
          <cell r="C1210" t="str">
            <v xml:space="preserve">hyderabad </v>
          </cell>
          <cell r="D1210" t="str">
            <v>dtdc</v>
          </cell>
          <cell r="E1210" t="str">
            <v>air</v>
          </cell>
          <cell r="F1210" t="str">
            <v>Electronics</v>
          </cell>
          <cell r="G1210" t="str">
            <v>EAST</v>
          </cell>
          <cell r="I1210" t="str">
            <v>14.1kg</v>
          </cell>
          <cell r="J1210" t="str">
            <v>809</v>
          </cell>
          <cell r="K1210">
            <v>4</v>
          </cell>
          <cell r="L1210" t="str">
            <v xml:space="preserve"> 18/06/2024 </v>
          </cell>
          <cell r="M1210" t="str">
            <v xml:space="preserve"> Delayed</v>
          </cell>
          <cell r="N1210">
            <v>2</v>
          </cell>
          <cell r="O1210" t="str">
            <v>N</v>
          </cell>
        </row>
        <row r="1211">
          <cell r="A1211" t="str">
            <v>SHP-100010</v>
          </cell>
          <cell r="B1211" t="str">
            <v>2024-02-01</v>
          </cell>
          <cell r="C1211" t="str">
            <v>hyderabad</v>
          </cell>
          <cell r="D1211" t="str">
            <v>dtdc</v>
          </cell>
          <cell r="E1211" t="str">
            <v>surface</v>
          </cell>
          <cell r="F1211" t="str">
            <v>APPAREL</v>
          </cell>
          <cell r="G1211" t="str">
            <v xml:space="preserve">north </v>
          </cell>
          <cell r="I1211" t="str">
            <v>1.9kg</v>
          </cell>
          <cell r="J1211" t="str">
            <v xml:space="preserve">Rs 170 </v>
          </cell>
          <cell r="K1211">
            <v>6</v>
          </cell>
          <cell r="L1211" t="str">
            <v>07-Feb-2024</v>
          </cell>
          <cell r="M1211" t="str">
            <v>Delivered</v>
          </cell>
          <cell r="N1211">
            <v>5</v>
          </cell>
          <cell r="O1211" t="str">
            <v>no</v>
          </cell>
        </row>
        <row r="1212">
          <cell r="A1212" t="str">
            <v>SHP-100228</v>
          </cell>
          <cell r="B1212" t="str">
            <v>06-Feb-2024</v>
          </cell>
          <cell r="C1212" t="str">
            <v xml:space="preserve">mumbai </v>
          </cell>
          <cell r="D1212" t="str">
            <v>XpressBees</v>
          </cell>
          <cell r="E1212" t="str">
            <v xml:space="preserve"> ROAD </v>
          </cell>
          <cell r="F1212" t="str">
            <v>Grocery &amp; FMCG</v>
          </cell>
          <cell r="G1212" t="str">
            <v xml:space="preserve"> EAST </v>
          </cell>
          <cell r="I1212" t="str">
            <v>16.9</v>
          </cell>
          <cell r="J1212" t="str">
            <v>₹395</v>
          </cell>
          <cell r="K1212">
            <v>8</v>
          </cell>
          <cell r="L1212" t="str">
            <v>2024-02-22</v>
          </cell>
          <cell r="M1212" t="str">
            <v xml:space="preserve"> Delayed</v>
          </cell>
          <cell r="N1212">
            <v>2</v>
          </cell>
          <cell r="O1212" t="str">
            <v>Y</v>
          </cell>
        </row>
        <row r="1213">
          <cell r="A1213" t="str">
            <v>SHP-101074</v>
          </cell>
          <cell r="B1213" t="str">
            <v xml:space="preserve"> 23/02/2024 </v>
          </cell>
          <cell r="C1213" t="str">
            <v xml:space="preserve"> CHENNAI </v>
          </cell>
          <cell r="D1213" t="str">
            <v xml:space="preserve">Dtdc </v>
          </cell>
          <cell r="E1213" t="str">
            <v xml:space="preserve">road </v>
          </cell>
          <cell r="F1213" t="str">
            <v xml:space="preserve"> ELECTRONICS </v>
          </cell>
          <cell r="G1213" t="str">
            <v xml:space="preserve">north </v>
          </cell>
          <cell r="I1213" t="str">
            <v>13.1kg</v>
          </cell>
          <cell r="J1213" t="str">
            <v>₹359</v>
          </cell>
          <cell r="K1213">
            <v>8</v>
          </cell>
          <cell r="L1213" t="str">
            <v>2024-03-03</v>
          </cell>
          <cell r="M1213" t="str">
            <v xml:space="preserve"> Delayed</v>
          </cell>
          <cell r="N1213">
            <v>1</v>
          </cell>
          <cell r="O1213" t="str">
            <v>No</v>
          </cell>
        </row>
        <row r="1214">
          <cell r="A1214" t="str">
            <v>SHP-100870</v>
          </cell>
          <cell r="B1214" t="str">
            <v>2024-04-14</v>
          </cell>
          <cell r="C1214" t="str">
            <v xml:space="preserve">kolkata </v>
          </cell>
          <cell r="D1214" t="str">
            <v>Ecom Express</v>
          </cell>
          <cell r="E1214" t="str">
            <v xml:space="preserve">surface </v>
          </cell>
          <cell r="F1214" t="str">
            <v>Apparel</v>
          </cell>
          <cell r="G1214" t="str">
            <v xml:space="preserve">north </v>
          </cell>
          <cell r="I1214" t="str">
            <v xml:space="preserve">6.8 Kg </v>
          </cell>
          <cell r="J1214" t="str">
            <v>305</v>
          </cell>
          <cell r="K1214">
            <v>6</v>
          </cell>
          <cell r="L1214" t="str">
            <v xml:space="preserve"> 26/04/2024 </v>
          </cell>
          <cell r="M1214" t="str">
            <v xml:space="preserve"> Delayed</v>
          </cell>
          <cell r="N1214">
            <v>3</v>
          </cell>
          <cell r="O1214" t="str">
            <v>no</v>
          </cell>
        </row>
        <row r="1215">
          <cell r="A1215" t="str">
            <v>SHP-100702</v>
          </cell>
          <cell r="B1215" t="str">
            <v>11/05/2024</v>
          </cell>
          <cell r="C1215" t="str">
            <v>mumbai</v>
          </cell>
          <cell r="D1215" t="str">
            <v>delhivery</v>
          </cell>
          <cell r="E1215" t="str">
            <v xml:space="preserve"> ROAD </v>
          </cell>
          <cell r="F1215" t="str">
            <v>Pharma</v>
          </cell>
          <cell r="G1215" t="str">
            <v>south</v>
          </cell>
          <cell r="I1215" t="str">
            <v xml:space="preserve">4.1 Kg </v>
          </cell>
          <cell r="J1215" t="str">
            <v>195</v>
          </cell>
          <cell r="K1215">
            <v>8</v>
          </cell>
          <cell r="L1215" t="str">
            <v>20-May-2024</v>
          </cell>
          <cell r="M1215" t="str">
            <v>DELAYED</v>
          </cell>
          <cell r="N1215">
            <v>1</v>
          </cell>
          <cell r="O1215" t="str">
            <v>No</v>
          </cell>
        </row>
        <row r="1216">
          <cell r="A1216" t="str">
            <v>SHP-100367</v>
          </cell>
          <cell r="B1216" t="str">
            <v>14-Jan-2024</v>
          </cell>
          <cell r="C1216" t="str">
            <v xml:space="preserve"> MUMBAI </v>
          </cell>
          <cell r="D1216" t="str">
            <v>Ecom Express</v>
          </cell>
          <cell r="E1216" t="str">
            <v>ROAD</v>
          </cell>
          <cell r="F1216" t="str">
            <v>Pharma</v>
          </cell>
          <cell r="G1216" t="str">
            <v>west</v>
          </cell>
          <cell r="I1216" t="str">
            <v xml:space="preserve">4.6 Kg </v>
          </cell>
          <cell r="J1216" t="str">
            <v>₹113</v>
          </cell>
          <cell r="K1216">
            <v>6</v>
          </cell>
          <cell r="L1216" t="str">
            <v>2024-01-21</v>
          </cell>
          <cell r="M1216" t="str">
            <v xml:space="preserve">delayed </v>
          </cell>
          <cell r="N1216">
            <v>1</v>
          </cell>
          <cell r="O1216" t="str">
            <v>no</v>
          </cell>
        </row>
        <row r="1217">
          <cell r="A1217" t="str">
            <v>SHP-101279</v>
          </cell>
          <cell r="B1217" t="str">
            <v xml:space="preserve"> 02/06/2024 </v>
          </cell>
          <cell r="C1217" t="str">
            <v>chennai</v>
          </cell>
          <cell r="D1217" t="str">
            <v>Delhivery</v>
          </cell>
          <cell r="E1217" t="str">
            <v xml:space="preserve">surface </v>
          </cell>
          <cell r="F1217" t="str">
            <v>automotive  parts</v>
          </cell>
          <cell r="G1217" t="str">
            <v>East</v>
          </cell>
          <cell r="I1217" t="str">
            <v>12.5KG</v>
          </cell>
          <cell r="J1217" t="str">
            <v>₹399</v>
          </cell>
          <cell r="K1217">
            <v>6</v>
          </cell>
          <cell r="L1217" t="str">
            <v>08/06/2024</v>
          </cell>
          <cell r="M1217" t="str">
            <v xml:space="preserve"> Delivered</v>
          </cell>
          <cell r="N1217">
            <v>4</v>
          </cell>
          <cell r="O1217" t="str">
            <v>N</v>
          </cell>
        </row>
        <row r="1218">
          <cell r="A1218" t="str">
            <v>SHP-100995</v>
          </cell>
          <cell r="B1218" t="str">
            <v>04-Feb-2024</v>
          </cell>
          <cell r="C1218" t="str">
            <v>BENGALURU</v>
          </cell>
          <cell r="D1218" t="str">
            <v xml:space="preserve">Dtdc </v>
          </cell>
          <cell r="E1218" t="str">
            <v>ROAD</v>
          </cell>
          <cell r="F1218" t="str">
            <v xml:space="preserve">electronics </v>
          </cell>
          <cell r="G1218" t="str">
            <v xml:space="preserve"> WEST </v>
          </cell>
          <cell r="I1218" t="str">
            <v>5.8</v>
          </cell>
          <cell r="J1218" t="str">
            <v>₹276</v>
          </cell>
          <cell r="K1218">
            <v>8</v>
          </cell>
          <cell r="L1218" t="str">
            <v xml:space="preserve"> 17/02/2024 </v>
          </cell>
          <cell r="M1218" t="str">
            <v xml:space="preserve">RETURNED </v>
          </cell>
          <cell r="O1218" t="str">
            <v xml:space="preserve"> No</v>
          </cell>
        </row>
        <row r="1219">
          <cell r="A1219" t="str">
            <v>SHP-100005</v>
          </cell>
          <cell r="B1219" t="str">
            <v>10/06/2024</v>
          </cell>
          <cell r="C1219" t="str">
            <v>Kolkata</v>
          </cell>
          <cell r="D1219" t="str">
            <v>dtdc</v>
          </cell>
          <cell r="E1219" t="str">
            <v xml:space="preserve">surface </v>
          </cell>
          <cell r="F1219" t="str">
            <v xml:space="preserve">furniture </v>
          </cell>
          <cell r="G1219" t="str">
            <v>West</v>
          </cell>
          <cell r="I1219" t="str">
            <v>77.4kg</v>
          </cell>
          <cell r="J1219" t="str">
            <v>1,895</v>
          </cell>
          <cell r="K1219">
            <v>6</v>
          </cell>
          <cell r="L1219" t="str">
            <v>15-Jun-2024</v>
          </cell>
          <cell r="M1219" t="str">
            <v>Damaged</v>
          </cell>
          <cell r="O1219" t="str">
            <v>no</v>
          </cell>
        </row>
        <row r="1220">
          <cell r="A1220" t="str">
            <v>SHP-100688</v>
          </cell>
          <cell r="B1220" t="str">
            <v xml:space="preserve"> 08/01/2024 </v>
          </cell>
          <cell r="C1220" t="str">
            <v>delhi</v>
          </cell>
          <cell r="D1220" t="str">
            <v xml:space="preserve">BLUEDART </v>
          </cell>
          <cell r="E1220" t="str">
            <v>SURFACE</v>
          </cell>
          <cell r="F1220" t="str">
            <v>APPAREL</v>
          </cell>
          <cell r="G1220" t="str">
            <v>East</v>
          </cell>
          <cell r="I1220" t="str">
            <v>5.1kg</v>
          </cell>
          <cell r="J1220" t="str">
            <v>293</v>
          </cell>
          <cell r="K1220">
            <v>6</v>
          </cell>
          <cell r="L1220" t="str">
            <v>13-Jan-2024</v>
          </cell>
          <cell r="M1220" t="str">
            <v>delivered</v>
          </cell>
          <cell r="N1220">
            <v>4</v>
          </cell>
          <cell r="O1220" t="str">
            <v>No</v>
          </cell>
        </row>
        <row r="1221">
          <cell r="A1221" t="str">
            <v>SHP-100545</v>
          </cell>
          <cell r="B1221" t="str">
            <v>15-Apr-2024</v>
          </cell>
          <cell r="C1221" t="str">
            <v xml:space="preserve">delhi </v>
          </cell>
          <cell r="D1221" t="str">
            <v>xpressbees</v>
          </cell>
          <cell r="E1221" t="str">
            <v>Surface</v>
          </cell>
          <cell r="F1221" t="str">
            <v xml:space="preserve"> APPAREL </v>
          </cell>
          <cell r="G1221" t="str">
            <v>east</v>
          </cell>
          <cell r="I1221" t="str">
            <v xml:space="preserve">6.9 Kg </v>
          </cell>
          <cell r="J1221" t="str">
            <v xml:space="preserve">Rs 276 </v>
          </cell>
          <cell r="K1221">
            <v>6</v>
          </cell>
          <cell r="L1221" t="str">
            <v>22/04/2024</v>
          </cell>
          <cell r="M1221" t="str">
            <v>Delayed</v>
          </cell>
          <cell r="N1221">
            <v>3</v>
          </cell>
          <cell r="O1221" t="str">
            <v>no</v>
          </cell>
        </row>
        <row r="1222">
          <cell r="A1222" t="str">
            <v>SHP-101354</v>
          </cell>
          <cell r="B1222" t="str">
            <v>2024-03-13</v>
          </cell>
          <cell r="C1222" t="str">
            <v>Mumbai</v>
          </cell>
          <cell r="D1222" t="str">
            <v>Xpress Bees</v>
          </cell>
          <cell r="E1222" t="str">
            <v>AIR</v>
          </cell>
          <cell r="F1222" t="str">
            <v>AUTOMOTIVE PARTS</v>
          </cell>
          <cell r="G1222" t="str">
            <v>NORTH</v>
          </cell>
          <cell r="I1222" t="str">
            <v>17.2KG</v>
          </cell>
          <cell r="J1222" t="str">
            <v xml:space="preserve">Rs 969 </v>
          </cell>
          <cell r="K1222">
            <v>4</v>
          </cell>
          <cell r="L1222" t="str">
            <v>20/03/2024</v>
          </cell>
          <cell r="M1222" t="str">
            <v xml:space="preserve"> Delayed</v>
          </cell>
          <cell r="N1222">
            <v>2</v>
          </cell>
          <cell r="O1222" t="str">
            <v>no</v>
          </cell>
        </row>
        <row r="1223">
          <cell r="A1223" t="str">
            <v>SHP-100500</v>
          </cell>
          <cell r="B1223" t="str">
            <v>07-Feb-2024</v>
          </cell>
          <cell r="C1223" t="str">
            <v>bengaluru</v>
          </cell>
          <cell r="D1223" t="str">
            <v>Xpress Bees</v>
          </cell>
          <cell r="E1223" t="str">
            <v>road</v>
          </cell>
          <cell r="F1223" t="str">
            <v xml:space="preserve">automotive parts </v>
          </cell>
          <cell r="G1223" t="str">
            <v>WEST</v>
          </cell>
          <cell r="I1223" t="str">
            <v>32.6</v>
          </cell>
          <cell r="J1223" t="str">
            <v>₹638</v>
          </cell>
          <cell r="K1223">
            <v>8</v>
          </cell>
          <cell r="L1223" t="str">
            <v>15/02/2024</v>
          </cell>
          <cell r="M1223" t="str">
            <v xml:space="preserve"> Delivered</v>
          </cell>
          <cell r="N1223">
            <v>5</v>
          </cell>
          <cell r="O1223" t="str">
            <v>N</v>
          </cell>
        </row>
        <row r="1224">
          <cell r="A1224" t="str">
            <v>SHP-101305</v>
          </cell>
          <cell r="B1224" t="str">
            <v xml:space="preserve"> 02/06/2024 </v>
          </cell>
          <cell r="C1224" t="str">
            <v>Mumbai</v>
          </cell>
          <cell r="D1224" t="str">
            <v xml:space="preserve"> XPRESSBEES</v>
          </cell>
          <cell r="E1224" t="str">
            <v xml:space="preserve"> ROAD </v>
          </cell>
          <cell r="F1224" t="str">
            <v xml:space="preserve">furniture  </v>
          </cell>
          <cell r="G1224" t="str">
            <v xml:space="preserve"> NORTH </v>
          </cell>
          <cell r="I1224" t="str">
            <v>32.6KG</v>
          </cell>
          <cell r="J1224" t="str">
            <v xml:space="preserve">Rs 616 </v>
          </cell>
          <cell r="K1224">
            <v>8</v>
          </cell>
          <cell r="L1224" t="str">
            <v xml:space="preserve"> 10/06/2024 </v>
          </cell>
          <cell r="M1224" t="str">
            <v>Delivered</v>
          </cell>
          <cell r="N1224">
            <v>5</v>
          </cell>
          <cell r="O1224" t="str">
            <v>Yes</v>
          </cell>
        </row>
        <row r="1225">
          <cell r="A1225" t="str">
            <v>SHP-100648</v>
          </cell>
          <cell r="B1225" t="str">
            <v>2024-01-08</v>
          </cell>
          <cell r="C1225" t="str">
            <v xml:space="preserve"> MUMBAI </v>
          </cell>
          <cell r="D1225" t="str">
            <v>Ecom Express</v>
          </cell>
          <cell r="E1225" t="str">
            <v>AIR</v>
          </cell>
          <cell r="F1225" t="str">
            <v>electronics</v>
          </cell>
          <cell r="G1225" t="str">
            <v xml:space="preserve">north </v>
          </cell>
          <cell r="I1225" t="str">
            <v>3.4KG</v>
          </cell>
          <cell r="J1225" t="str">
            <v xml:space="preserve">Rs 305 </v>
          </cell>
          <cell r="K1225">
            <v>4</v>
          </cell>
          <cell r="L1225" t="str">
            <v xml:space="preserve"> 11/01/2024 </v>
          </cell>
          <cell r="M1225" t="str">
            <v xml:space="preserve"> Delivered</v>
          </cell>
          <cell r="N1225">
            <v>5</v>
          </cell>
          <cell r="O1225" t="str">
            <v>N</v>
          </cell>
        </row>
        <row r="1226">
          <cell r="A1226" t="str">
            <v>SHP-100861</v>
          </cell>
          <cell r="B1226" t="str">
            <v>2024-03-10</v>
          </cell>
          <cell r="C1226" t="str">
            <v xml:space="preserve">hyderabad </v>
          </cell>
          <cell r="D1226" t="str">
            <v>xpressbees</v>
          </cell>
          <cell r="E1226" t="str">
            <v xml:space="preserve">air </v>
          </cell>
          <cell r="F1226" t="str">
            <v>ELECTRONICS</v>
          </cell>
          <cell r="G1226" t="str">
            <v>SOUTH</v>
          </cell>
          <cell r="I1226" t="str">
            <v>14.2kg</v>
          </cell>
          <cell r="J1226" t="str">
            <v>842</v>
          </cell>
          <cell r="K1226">
            <v>4</v>
          </cell>
          <cell r="L1226" t="str">
            <v>21/03/2024</v>
          </cell>
          <cell r="M1226" t="str">
            <v xml:space="preserve">delayed </v>
          </cell>
          <cell r="N1226">
            <v>3</v>
          </cell>
          <cell r="O1226" t="str">
            <v>N</v>
          </cell>
        </row>
        <row r="1227">
          <cell r="A1227" t="str">
            <v>SHP-100353</v>
          </cell>
          <cell r="B1227" t="str">
            <v>03/02/2024</v>
          </cell>
          <cell r="C1227" t="str">
            <v>BENGALURU</v>
          </cell>
          <cell r="D1227" t="str">
            <v xml:space="preserve"> XPRESSBEES</v>
          </cell>
          <cell r="E1227" t="str">
            <v>SURFACE</v>
          </cell>
          <cell r="F1227" t="str">
            <v xml:space="preserve"> GROCERY &amp; FMCG </v>
          </cell>
          <cell r="G1227" t="str">
            <v xml:space="preserve">west </v>
          </cell>
          <cell r="I1227" t="str">
            <v>16.8kg</v>
          </cell>
          <cell r="J1227" t="str">
            <v>₹564</v>
          </cell>
          <cell r="K1227">
            <v>6</v>
          </cell>
          <cell r="L1227" t="str">
            <v>08/02/2024</v>
          </cell>
          <cell r="M1227" t="str">
            <v xml:space="preserve"> Delivered</v>
          </cell>
          <cell r="N1227">
            <v>4</v>
          </cell>
          <cell r="O1227" t="str">
            <v xml:space="preserve"> No</v>
          </cell>
        </row>
        <row r="1228">
          <cell r="A1228" t="str">
            <v>SHP-100182</v>
          </cell>
          <cell r="B1228" t="str">
            <v xml:space="preserve"> 10/03/2024 </v>
          </cell>
          <cell r="C1228" t="str">
            <v>KOLKATA</v>
          </cell>
          <cell r="D1228" t="str">
            <v>DTDC</v>
          </cell>
          <cell r="E1228" t="str">
            <v>SURFACE</v>
          </cell>
          <cell r="F1228" t="str">
            <v>electronics</v>
          </cell>
          <cell r="G1228" t="str">
            <v xml:space="preserve"> EAST </v>
          </cell>
          <cell r="I1228" t="str">
            <v>11.2KG</v>
          </cell>
          <cell r="J1228" t="str">
            <v>₹306</v>
          </cell>
          <cell r="K1228">
            <v>4</v>
          </cell>
          <cell r="L1228" t="str">
            <v>23-Mar-2024</v>
          </cell>
          <cell r="M1228" t="str">
            <v>DELAYED</v>
          </cell>
          <cell r="N1228">
            <v>5</v>
          </cell>
          <cell r="O1228" t="str">
            <v>YES</v>
          </cell>
        </row>
        <row r="1229">
          <cell r="A1229" t="str">
            <v>SHP-100357</v>
          </cell>
          <cell r="B1229" t="str">
            <v>09/04/2024</v>
          </cell>
          <cell r="C1229" t="str">
            <v>Delhi</v>
          </cell>
          <cell r="D1229" t="str">
            <v>bluedart</v>
          </cell>
          <cell r="E1229" t="str">
            <v xml:space="preserve">air </v>
          </cell>
          <cell r="F1229" t="str">
            <v>ELECTRONICS</v>
          </cell>
          <cell r="G1229" t="str">
            <v>east</v>
          </cell>
          <cell r="I1229" t="str">
            <v>14.7KG</v>
          </cell>
          <cell r="J1229" t="str">
            <v>797</v>
          </cell>
          <cell r="K1229">
            <v>4</v>
          </cell>
          <cell r="L1229" t="str">
            <v xml:space="preserve"> 12/04/2024 </v>
          </cell>
          <cell r="M1229" t="str">
            <v>DELIVERED</v>
          </cell>
          <cell r="N1229">
            <v>5</v>
          </cell>
          <cell r="O1229" t="str">
            <v>Y</v>
          </cell>
        </row>
        <row r="1230">
          <cell r="A1230" t="str">
            <v>SHP-101119</v>
          </cell>
          <cell r="B1230" t="str">
            <v>08/05/2024</v>
          </cell>
          <cell r="C1230" t="str">
            <v>Mumbai</v>
          </cell>
          <cell r="D1230" t="str">
            <v xml:space="preserve"> Delhivery</v>
          </cell>
          <cell r="E1230" t="str">
            <v>Surface</v>
          </cell>
          <cell r="F1230" t="str">
            <v>PHARMA</v>
          </cell>
          <cell r="G1230" t="str">
            <v>west</v>
          </cell>
          <cell r="I1230" t="str">
            <v xml:space="preserve">0.8 Kg </v>
          </cell>
          <cell r="J1230" t="str">
            <v xml:space="preserve">Rs 80 </v>
          </cell>
          <cell r="K1230">
            <v>4</v>
          </cell>
          <cell r="L1230" t="str">
            <v>2024-05-13</v>
          </cell>
          <cell r="M1230" t="str">
            <v>DELAYED</v>
          </cell>
          <cell r="N1230">
            <v>3</v>
          </cell>
          <cell r="O1230" t="str">
            <v>no</v>
          </cell>
        </row>
        <row r="1231">
          <cell r="A1231" t="str">
            <v>SHP-100734</v>
          </cell>
          <cell r="B1231" t="str">
            <v>13-Jan-2024</v>
          </cell>
          <cell r="C1231" t="str">
            <v>delhi</v>
          </cell>
          <cell r="D1231" t="str">
            <v>ecom express</v>
          </cell>
          <cell r="E1231" t="str">
            <v>surface</v>
          </cell>
          <cell r="F1231" t="str">
            <v xml:space="preserve"> GROCERY &amp; FMCG </v>
          </cell>
          <cell r="G1231" t="str">
            <v xml:space="preserve"> SOUTH </v>
          </cell>
          <cell r="I1231" t="str">
            <v>11.4KG</v>
          </cell>
          <cell r="J1231" t="str">
            <v xml:space="preserve">Rs 381 </v>
          </cell>
          <cell r="K1231">
            <v>6</v>
          </cell>
          <cell r="L1231" t="str">
            <v>18-Jan-2024</v>
          </cell>
          <cell r="M1231" t="str">
            <v>Delivered</v>
          </cell>
          <cell r="N1231">
            <v>1</v>
          </cell>
          <cell r="O1231" t="str">
            <v>Yes</v>
          </cell>
        </row>
        <row r="1232">
          <cell r="A1232" t="str">
            <v>SHP-100821</v>
          </cell>
          <cell r="B1232" t="str">
            <v>08-Jun-2024</v>
          </cell>
          <cell r="C1232" t="str">
            <v xml:space="preserve"> CHENNAI </v>
          </cell>
          <cell r="D1232" t="str">
            <v>dtdc</v>
          </cell>
          <cell r="E1232" t="str">
            <v>ROAD</v>
          </cell>
          <cell r="F1232" t="str">
            <v xml:space="preserve"> GROCERY &amp; FMCG </v>
          </cell>
          <cell r="G1232" t="str">
            <v>North</v>
          </cell>
          <cell r="I1232" t="str">
            <v>8.9KG</v>
          </cell>
          <cell r="J1232" t="str">
            <v>298</v>
          </cell>
          <cell r="K1232">
            <v>8</v>
          </cell>
          <cell r="L1232" t="str">
            <v>20-Jun-2024</v>
          </cell>
          <cell r="M1232" t="str">
            <v xml:space="preserve"> Delayed</v>
          </cell>
          <cell r="N1232">
            <v>2</v>
          </cell>
          <cell r="O1232" t="str">
            <v>Yes</v>
          </cell>
        </row>
        <row r="1233">
          <cell r="A1233" t="str">
            <v>SHP-101537</v>
          </cell>
          <cell r="B1233" t="str">
            <v xml:space="preserve"> 18/02/2024 </v>
          </cell>
          <cell r="C1233" t="str">
            <v>CHENNAI</v>
          </cell>
          <cell r="D1233" t="str">
            <v>ecom express</v>
          </cell>
          <cell r="E1233" t="str">
            <v>SURFACE</v>
          </cell>
          <cell r="F1233" t="str">
            <v>Automotive Parts</v>
          </cell>
          <cell r="G1233" t="str">
            <v>east</v>
          </cell>
          <cell r="I1233" t="str">
            <v>10.5kg</v>
          </cell>
          <cell r="J1233" t="str">
            <v>426</v>
          </cell>
          <cell r="K1233">
            <v>6</v>
          </cell>
          <cell r="L1233" t="str">
            <v>2024-02-25</v>
          </cell>
          <cell r="M1233" t="str">
            <v xml:space="preserve"> Delayed</v>
          </cell>
          <cell r="N1233">
            <v>3</v>
          </cell>
          <cell r="O1233" t="str">
            <v xml:space="preserve"> No</v>
          </cell>
        </row>
        <row r="1234">
          <cell r="A1234" t="str">
            <v>SHP-101184</v>
          </cell>
          <cell r="B1234" t="str">
            <v>2024-02-02</v>
          </cell>
          <cell r="C1234" t="str">
            <v>Hyderabad</v>
          </cell>
          <cell r="D1234" t="str">
            <v>Blue Dart</v>
          </cell>
          <cell r="E1234" t="str">
            <v>AIR</v>
          </cell>
          <cell r="F1234" t="str">
            <v>ELECTRONICS</v>
          </cell>
          <cell r="G1234" t="str">
            <v>West</v>
          </cell>
          <cell r="I1234" t="str">
            <v>9.6kg</v>
          </cell>
          <cell r="J1234" t="str">
            <v xml:space="preserve">Rs 445 </v>
          </cell>
          <cell r="K1234">
            <v>2</v>
          </cell>
          <cell r="L1234" t="str">
            <v>04/02/2024</v>
          </cell>
          <cell r="M1234" t="str">
            <v>DELIVERED</v>
          </cell>
          <cell r="N1234">
            <v>4</v>
          </cell>
          <cell r="O1234" t="str">
            <v>Y</v>
          </cell>
        </row>
        <row r="1235">
          <cell r="A1235" t="str">
            <v>SHP-100550</v>
          </cell>
          <cell r="B1235" t="str">
            <v>2024-04-06</v>
          </cell>
          <cell r="C1235" t="str">
            <v>Hyderabad</v>
          </cell>
          <cell r="D1235" t="str">
            <v>xpressbees</v>
          </cell>
          <cell r="E1235" t="str">
            <v>Air</v>
          </cell>
          <cell r="F1235" t="str">
            <v>Electronics</v>
          </cell>
          <cell r="G1235" t="str">
            <v>East</v>
          </cell>
          <cell r="I1235" t="str">
            <v xml:space="preserve">2.6 Kg </v>
          </cell>
          <cell r="J1235" t="str">
            <v>271</v>
          </cell>
          <cell r="K1235">
            <v>4</v>
          </cell>
          <cell r="L1235" t="str">
            <v>11/04/2024</v>
          </cell>
          <cell r="M1235" t="str">
            <v xml:space="preserve">delayed </v>
          </cell>
          <cell r="N1235">
            <v>1</v>
          </cell>
          <cell r="O1235" t="str">
            <v xml:space="preserve">yes </v>
          </cell>
        </row>
        <row r="1236">
          <cell r="A1236" t="str">
            <v>SHP-101035</v>
          </cell>
          <cell r="B1236" t="str">
            <v>24-Mar-2024</v>
          </cell>
          <cell r="C1236" t="str">
            <v xml:space="preserve"> HYDERABAD </v>
          </cell>
          <cell r="D1236" t="str">
            <v>Blue Dart</v>
          </cell>
          <cell r="E1236" t="str">
            <v>road</v>
          </cell>
          <cell r="F1236" t="str">
            <v xml:space="preserve">automotive parts </v>
          </cell>
          <cell r="G1236" t="str">
            <v xml:space="preserve"> WEST </v>
          </cell>
          <cell r="I1236" t="str">
            <v>23.2kg</v>
          </cell>
          <cell r="J1236" t="str">
            <v>341</v>
          </cell>
          <cell r="K1236">
            <v>6</v>
          </cell>
          <cell r="L1236" t="str">
            <v>30-Mar-2024</v>
          </cell>
          <cell r="M1236" t="str">
            <v xml:space="preserve"> Delivered</v>
          </cell>
          <cell r="N1236">
            <v>2</v>
          </cell>
          <cell r="O1236" t="str">
            <v>YES</v>
          </cell>
        </row>
        <row r="1237">
          <cell r="A1237" t="str">
            <v>SHP-100546</v>
          </cell>
          <cell r="B1237" t="str">
            <v xml:space="preserve"> 17/01/2024 </v>
          </cell>
          <cell r="C1237" t="str">
            <v xml:space="preserve"> MUMBAI </v>
          </cell>
          <cell r="D1237" t="str">
            <v>Delhivery</v>
          </cell>
          <cell r="E1237" t="str">
            <v>road</v>
          </cell>
          <cell r="F1237" t="str">
            <v>furniture</v>
          </cell>
          <cell r="G1237" t="str">
            <v>South</v>
          </cell>
          <cell r="I1237" t="str">
            <v>44.0KG</v>
          </cell>
          <cell r="J1237" t="str">
            <v>₹749</v>
          </cell>
          <cell r="K1237">
            <v>8</v>
          </cell>
          <cell r="L1237" t="str">
            <v>27-Jan-2024</v>
          </cell>
          <cell r="M1237" t="str">
            <v>DELAYED</v>
          </cell>
          <cell r="N1237">
            <v>3</v>
          </cell>
          <cell r="O1237" t="str">
            <v>no</v>
          </cell>
        </row>
        <row r="1238">
          <cell r="A1238" t="str">
            <v>SHP-101558</v>
          </cell>
          <cell r="B1238" t="str">
            <v xml:space="preserve"> 25/02/2024 </v>
          </cell>
          <cell r="C1238" t="str">
            <v xml:space="preserve">chennai </v>
          </cell>
          <cell r="D1238" t="str">
            <v>ECOM EXPRESS</v>
          </cell>
          <cell r="E1238" t="str">
            <v xml:space="preserve">air </v>
          </cell>
          <cell r="F1238" t="str">
            <v xml:space="preserve"> GROCERY &amp; FMCG </v>
          </cell>
          <cell r="G1238" t="str">
            <v>EAST</v>
          </cell>
          <cell r="I1238" t="str">
            <v>13.7</v>
          </cell>
          <cell r="J1238" t="str">
            <v xml:space="preserve">Rs 757 </v>
          </cell>
          <cell r="K1238">
            <v>4</v>
          </cell>
          <cell r="L1238" t="str">
            <v xml:space="preserve"> 07/03/2024 </v>
          </cell>
          <cell r="M1238" t="str">
            <v>DELAYED</v>
          </cell>
          <cell r="N1238">
            <v>4</v>
          </cell>
          <cell r="O1238" t="str">
            <v>No</v>
          </cell>
        </row>
        <row r="1239">
          <cell r="A1239" t="str">
            <v>SHP-100627</v>
          </cell>
          <cell r="B1239" t="str">
            <v>19/02/2024</v>
          </cell>
          <cell r="C1239" t="str">
            <v>chennai</v>
          </cell>
          <cell r="D1239" t="str">
            <v>ECOM EXPRESS</v>
          </cell>
          <cell r="E1239" t="str">
            <v>SURFACE</v>
          </cell>
          <cell r="F1239" t="str">
            <v xml:space="preserve"> PHARMA </v>
          </cell>
          <cell r="G1239" t="str">
            <v>EAST</v>
          </cell>
          <cell r="I1239" t="str">
            <v>0.8KG</v>
          </cell>
          <cell r="J1239" t="str">
            <v>₹201</v>
          </cell>
          <cell r="K1239">
            <v>6</v>
          </cell>
          <cell r="L1239" t="str">
            <v>2024-02-25</v>
          </cell>
          <cell r="M1239" t="str">
            <v>delivered</v>
          </cell>
          <cell r="N1239">
            <v>5</v>
          </cell>
          <cell r="O1239" t="str">
            <v xml:space="preserve"> No</v>
          </cell>
        </row>
        <row r="1240">
          <cell r="A1240" t="str">
            <v>SHP-100483</v>
          </cell>
          <cell r="B1240" t="str">
            <v>2024-01-13</v>
          </cell>
          <cell r="C1240" t="str">
            <v>CHENNAI</v>
          </cell>
          <cell r="D1240" t="str">
            <v>xpressbees</v>
          </cell>
          <cell r="E1240" t="str">
            <v xml:space="preserve"> ROAD </v>
          </cell>
          <cell r="F1240" t="str">
            <v>Electronics</v>
          </cell>
          <cell r="G1240" t="str">
            <v>North</v>
          </cell>
          <cell r="I1240" t="str">
            <v>1.8KG</v>
          </cell>
          <cell r="J1240" t="str">
            <v xml:space="preserve">Rs 219 </v>
          </cell>
          <cell r="K1240">
            <v>8</v>
          </cell>
          <cell r="L1240" t="str">
            <v>21/01/2024</v>
          </cell>
          <cell r="M1240" t="str">
            <v>DELIVERED</v>
          </cell>
          <cell r="N1240">
            <v>5</v>
          </cell>
          <cell r="O1240" t="str">
            <v>no</v>
          </cell>
        </row>
        <row r="1241">
          <cell r="A1241" t="str">
            <v>SHP-100725</v>
          </cell>
          <cell r="B1241" t="str">
            <v>04-Apr-2024</v>
          </cell>
          <cell r="C1241" t="str">
            <v xml:space="preserve">delhi </v>
          </cell>
          <cell r="D1241" t="str">
            <v>xpressbees</v>
          </cell>
          <cell r="E1241" t="str">
            <v xml:space="preserve"> SURFACE </v>
          </cell>
          <cell r="G1241" t="str">
            <v>EAST</v>
          </cell>
          <cell r="I1241" t="str">
            <v>30.0kg</v>
          </cell>
          <cell r="J1241" t="str">
            <v>834</v>
          </cell>
          <cell r="K1241">
            <v>6</v>
          </cell>
          <cell r="L1241" t="str">
            <v xml:space="preserve"> 11/04/2024 </v>
          </cell>
          <cell r="M1241" t="str">
            <v>Returned</v>
          </cell>
          <cell r="O1241" t="str">
            <v xml:space="preserve">yes </v>
          </cell>
        </row>
        <row r="1242">
          <cell r="A1242" t="str">
            <v>SHP-101288</v>
          </cell>
          <cell r="B1242" t="str">
            <v>2024-02-06</v>
          </cell>
          <cell r="C1242" t="str">
            <v xml:space="preserve"> CHENNAI </v>
          </cell>
          <cell r="D1242" t="str">
            <v>dtdc</v>
          </cell>
          <cell r="E1242" t="str">
            <v>road</v>
          </cell>
          <cell r="F1242" t="str">
            <v>furniture</v>
          </cell>
          <cell r="G1242" t="str">
            <v>north</v>
          </cell>
          <cell r="I1242" t="str">
            <v>23.3</v>
          </cell>
          <cell r="J1242" t="str">
            <v>₹454</v>
          </cell>
          <cell r="K1242">
            <v>8</v>
          </cell>
          <cell r="L1242" t="str">
            <v>17-Feb-2024</v>
          </cell>
          <cell r="M1242" t="str">
            <v xml:space="preserve">delayed </v>
          </cell>
          <cell r="N1242">
            <v>2</v>
          </cell>
          <cell r="O1242" t="str">
            <v>No</v>
          </cell>
        </row>
        <row r="1243">
          <cell r="A1243" t="str">
            <v>SHP-100803</v>
          </cell>
          <cell r="B1243" t="str">
            <v>2024-03-18</v>
          </cell>
          <cell r="C1243" t="str">
            <v>kolkata</v>
          </cell>
          <cell r="D1243" t="str">
            <v>ECOM EXPRESS</v>
          </cell>
          <cell r="E1243" t="str">
            <v>Air</v>
          </cell>
          <cell r="F1243" t="str">
            <v>PHARMA</v>
          </cell>
          <cell r="G1243" t="str">
            <v xml:space="preserve"> SOUTH </v>
          </cell>
          <cell r="I1243" t="str">
            <v>2.3KG</v>
          </cell>
          <cell r="J1243" t="str">
            <v>₹270</v>
          </cell>
          <cell r="K1243">
            <v>4</v>
          </cell>
          <cell r="L1243" t="str">
            <v>28/03/2024</v>
          </cell>
          <cell r="M1243" t="str">
            <v xml:space="preserve"> Delayed</v>
          </cell>
          <cell r="N1243">
            <v>4</v>
          </cell>
          <cell r="O1243" t="str">
            <v xml:space="preserve"> No</v>
          </cell>
        </row>
        <row r="1244">
          <cell r="A1244" t="str">
            <v>SHP-100415</v>
          </cell>
          <cell r="B1244" t="str">
            <v>2024-02-02</v>
          </cell>
          <cell r="C1244" t="str">
            <v xml:space="preserve">delhi </v>
          </cell>
          <cell r="D1244" t="str">
            <v>xpressbees</v>
          </cell>
          <cell r="E1244" t="str">
            <v>air</v>
          </cell>
          <cell r="F1244" t="str">
            <v>ELECTRONICS</v>
          </cell>
          <cell r="G1244" t="str">
            <v>north</v>
          </cell>
          <cell r="I1244" t="str">
            <v>5.1kg</v>
          </cell>
          <cell r="J1244" t="str">
            <v>271</v>
          </cell>
          <cell r="K1244">
            <v>2</v>
          </cell>
          <cell r="L1244" t="str">
            <v>2024-02-04</v>
          </cell>
          <cell r="M1244" t="str">
            <v>delivered</v>
          </cell>
          <cell r="N1244">
            <v>4</v>
          </cell>
          <cell r="O1244" t="str">
            <v>No</v>
          </cell>
        </row>
        <row r="1245">
          <cell r="A1245" t="str">
            <v>SHP-101146</v>
          </cell>
          <cell r="B1245" t="str">
            <v xml:space="preserve"> 10/05/2024 </v>
          </cell>
          <cell r="C1245" t="str">
            <v xml:space="preserve">mumbai </v>
          </cell>
          <cell r="D1245" t="str">
            <v>XpressBees</v>
          </cell>
          <cell r="E1245" t="str">
            <v>Road</v>
          </cell>
          <cell r="F1245" t="str">
            <v>Pharma</v>
          </cell>
          <cell r="G1245" t="str">
            <v>WEST</v>
          </cell>
          <cell r="I1245" t="str">
            <v xml:space="preserve">2.3 Kg </v>
          </cell>
          <cell r="J1245" t="str">
            <v xml:space="preserve">Rs 80 </v>
          </cell>
          <cell r="K1245">
            <v>6</v>
          </cell>
          <cell r="L1245" t="str">
            <v>15-May-2024</v>
          </cell>
          <cell r="M1245" t="str">
            <v xml:space="preserve"> DAMAGED</v>
          </cell>
          <cell r="O1245" t="str">
            <v>N</v>
          </cell>
        </row>
        <row r="1246">
          <cell r="A1246" t="str">
            <v>SHP-101527</v>
          </cell>
          <cell r="B1246" t="str">
            <v>17-Jan-2024</v>
          </cell>
          <cell r="C1246" t="str">
            <v>hyderabad</v>
          </cell>
          <cell r="D1246" t="str">
            <v>BlueDart</v>
          </cell>
          <cell r="E1246" t="str">
            <v xml:space="preserve">road </v>
          </cell>
          <cell r="F1246" t="str">
            <v xml:space="preserve">grocery &amp; fmcg </v>
          </cell>
          <cell r="G1246" t="str">
            <v>east</v>
          </cell>
          <cell r="I1246" t="str">
            <v>19.7kg</v>
          </cell>
          <cell r="J1246" t="str">
            <v xml:space="preserve">Rs 409 </v>
          </cell>
          <cell r="K1246">
            <v>8</v>
          </cell>
          <cell r="L1246" t="str">
            <v xml:space="preserve"> 24/01/2024 </v>
          </cell>
          <cell r="M1246" t="str">
            <v xml:space="preserve"> DAMAGED</v>
          </cell>
          <cell r="O1246" t="str">
            <v>No</v>
          </cell>
        </row>
        <row r="1247">
          <cell r="A1247" t="str">
            <v>SHP-100513</v>
          </cell>
          <cell r="B1247" t="str">
            <v>13-Jun-2024</v>
          </cell>
          <cell r="C1247" t="str">
            <v>chennai</v>
          </cell>
          <cell r="D1247" t="str">
            <v xml:space="preserve"> Delhivery</v>
          </cell>
          <cell r="E1247" t="str">
            <v xml:space="preserve"> AIR </v>
          </cell>
          <cell r="F1247" t="str">
            <v>pharma</v>
          </cell>
          <cell r="G1247" t="str">
            <v xml:space="preserve">north </v>
          </cell>
          <cell r="I1247" t="str">
            <v>2.3kg</v>
          </cell>
          <cell r="J1247" t="str">
            <v>280</v>
          </cell>
          <cell r="K1247">
            <v>4</v>
          </cell>
          <cell r="L1247" t="str">
            <v>17/06/2024</v>
          </cell>
          <cell r="M1247" t="str">
            <v>Delivered</v>
          </cell>
          <cell r="N1247">
            <v>5</v>
          </cell>
          <cell r="O1247" t="str">
            <v xml:space="preserve"> No</v>
          </cell>
        </row>
        <row r="1248">
          <cell r="A1248" t="str">
            <v>SHP-101589</v>
          </cell>
          <cell r="B1248" t="str">
            <v>2024-04-21</v>
          </cell>
          <cell r="C1248" t="str">
            <v>Kolkata</v>
          </cell>
          <cell r="D1248" t="str">
            <v>BlueDart</v>
          </cell>
          <cell r="E1248" t="str">
            <v>SURFACE</v>
          </cell>
          <cell r="F1248" t="str">
            <v>pharma</v>
          </cell>
          <cell r="G1248" t="str">
            <v>east</v>
          </cell>
          <cell r="I1248" t="str">
            <v>3.9kg</v>
          </cell>
          <cell r="J1248" t="str">
            <v>₹144</v>
          </cell>
          <cell r="K1248">
            <v>4</v>
          </cell>
          <cell r="L1248" t="str">
            <v>26-Apr-2024</v>
          </cell>
          <cell r="M1248" t="str">
            <v xml:space="preserve">delayed </v>
          </cell>
          <cell r="N1248">
            <v>4</v>
          </cell>
          <cell r="O1248" t="str">
            <v>Yes</v>
          </cell>
        </row>
        <row r="1249">
          <cell r="A1249" t="str">
            <v>SHP-100475</v>
          </cell>
          <cell r="B1249" t="str">
            <v xml:space="preserve"> 18/03/2024 </v>
          </cell>
          <cell r="C1249" t="str">
            <v>chennai</v>
          </cell>
          <cell r="D1249" t="str">
            <v>XpressBees</v>
          </cell>
          <cell r="E1249" t="str">
            <v>road</v>
          </cell>
          <cell r="F1249" t="str">
            <v>Automotive Parts</v>
          </cell>
          <cell r="G1249" t="str">
            <v xml:space="preserve"> NORTH </v>
          </cell>
          <cell r="I1249" t="str">
            <v xml:space="preserve">27.3 Kg </v>
          </cell>
          <cell r="J1249" t="str">
            <v xml:space="preserve">Rs 529 </v>
          </cell>
          <cell r="K1249">
            <v>8</v>
          </cell>
          <cell r="L1249" t="str">
            <v>27-Mar-2024</v>
          </cell>
          <cell r="M1249" t="str">
            <v>DELAYED</v>
          </cell>
          <cell r="N1249">
            <v>3</v>
          </cell>
          <cell r="O1249" t="str">
            <v>N</v>
          </cell>
        </row>
        <row r="1250">
          <cell r="A1250" t="str">
            <v>SHP-100302</v>
          </cell>
          <cell r="B1250" t="str">
            <v>12-Apr-2024</v>
          </cell>
          <cell r="C1250" t="str">
            <v xml:space="preserve"> BENGALURU </v>
          </cell>
          <cell r="D1250" t="str">
            <v>Ecom  Express</v>
          </cell>
          <cell r="E1250" t="str">
            <v xml:space="preserve"> SURFACE </v>
          </cell>
          <cell r="F1250" t="str">
            <v xml:space="preserve">furniture </v>
          </cell>
          <cell r="G1250" t="str">
            <v>NORTH</v>
          </cell>
          <cell r="I1250" t="str">
            <v>42.1kg</v>
          </cell>
          <cell r="J1250" t="str">
            <v>₹1,126</v>
          </cell>
          <cell r="K1250">
            <v>6</v>
          </cell>
          <cell r="L1250" t="str">
            <v>24/04/2024</v>
          </cell>
          <cell r="M1250" t="str">
            <v>Delayed</v>
          </cell>
          <cell r="N1250">
            <v>2</v>
          </cell>
          <cell r="O1250" t="str">
            <v>Y</v>
          </cell>
        </row>
        <row r="1251">
          <cell r="A1251" t="str">
            <v>SHP-101128</v>
          </cell>
          <cell r="B1251" t="str">
            <v>2024-03-07</v>
          </cell>
          <cell r="C1251" t="str">
            <v>mumbai</v>
          </cell>
          <cell r="D1251" t="str">
            <v>bluedart</v>
          </cell>
          <cell r="E1251" t="str">
            <v xml:space="preserve">surface </v>
          </cell>
          <cell r="F1251" t="str">
            <v>Apparel</v>
          </cell>
          <cell r="G1251" t="str">
            <v xml:space="preserve"> WEST </v>
          </cell>
          <cell r="I1251" t="str">
            <v xml:space="preserve">7.7 Kg </v>
          </cell>
          <cell r="J1251" t="str">
            <v>152</v>
          </cell>
          <cell r="K1251">
            <v>4</v>
          </cell>
          <cell r="L1251" t="str">
            <v>12/03/2024</v>
          </cell>
          <cell r="M1251" t="str">
            <v xml:space="preserve">delayed </v>
          </cell>
          <cell r="N1251">
            <v>1</v>
          </cell>
          <cell r="O1251" t="str">
            <v xml:space="preserve"> No</v>
          </cell>
        </row>
        <row r="1252">
          <cell r="A1252" t="str">
            <v>SHP-101017</v>
          </cell>
          <cell r="B1252" t="str">
            <v>17-Jan-2024</v>
          </cell>
          <cell r="C1252" t="str">
            <v xml:space="preserve"> CHENNAI </v>
          </cell>
          <cell r="E1252" t="str">
            <v xml:space="preserve"> AIR </v>
          </cell>
          <cell r="F1252" t="str">
            <v xml:space="preserve">electronics </v>
          </cell>
          <cell r="G1252" t="str">
            <v xml:space="preserve"> NORTH </v>
          </cell>
          <cell r="I1252" t="str">
            <v xml:space="preserve">7.0 Kg </v>
          </cell>
          <cell r="J1252" t="str">
            <v>₹496</v>
          </cell>
          <cell r="K1252">
            <v>4</v>
          </cell>
          <cell r="L1252" t="str">
            <v xml:space="preserve"> 21/01/2024 </v>
          </cell>
          <cell r="M1252" t="str">
            <v>Returned</v>
          </cell>
          <cell r="O1252" t="str">
            <v>Y</v>
          </cell>
        </row>
        <row r="1253">
          <cell r="A1253" t="str">
            <v>SHP-100380</v>
          </cell>
          <cell r="B1253" t="str">
            <v>2024-02-07</v>
          </cell>
          <cell r="C1253" t="str">
            <v>Delhi</v>
          </cell>
          <cell r="D1253" t="str">
            <v>dtdc</v>
          </cell>
          <cell r="E1253" t="str">
            <v xml:space="preserve">air </v>
          </cell>
          <cell r="F1253" t="str">
            <v>Furniture</v>
          </cell>
          <cell r="G1253" t="str">
            <v>east</v>
          </cell>
          <cell r="I1253" t="str">
            <v>23.9KG</v>
          </cell>
          <cell r="J1253" t="str">
            <v xml:space="preserve">Rs 1250 </v>
          </cell>
          <cell r="K1253">
            <v>4</v>
          </cell>
          <cell r="L1253" t="str">
            <v>12/02/2024</v>
          </cell>
          <cell r="M1253" t="str">
            <v xml:space="preserve">delayed </v>
          </cell>
          <cell r="N1253">
            <v>2</v>
          </cell>
          <cell r="O1253" t="str">
            <v>Y</v>
          </cell>
        </row>
        <row r="1254">
          <cell r="A1254" t="str">
            <v>SHP-100911</v>
          </cell>
          <cell r="B1254" t="str">
            <v>2024-02-11</v>
          </cell>
          <cell r="C1254" t="str">
            <v>mumbai</v>
          </cell>
          <cell r="D1254" t="str">
            <v>DTDC</v>
          </cell>
          <cell r="E1254" t="str">
            <v xml:space="preserve"> SURFACE </v>
          </cell>
          <cell r="F1254" t="str">
            <v>grocery &amp; fmcg</v>
          </cell>
          <cell r="G1254" t="str">
            <v>east</v>
          </cell>
          <cell r="I1254" t="str">
            <v>9.2kg</v>
          </cell>
          <cell r="J1254" t="str">
            <v xml:space="preserve">Rs 398 </v>
          </cell>
          <cell r="K1254">
            <v>6</v>
          </cell>
          <cell r="L1254" t="str">
            <v xml:space="preserve"> 26/02/2024 </v>
          </cell>
          <cell r="M1254" t="str">
            <v xml:space="preserve"> Delayed</v>
          </cell>
          <cell r="N1254">
            <v>2</v>
          </cell>
          <cell r="O1254" t="str">
            <v xml:space="preserve"> No</v>
          </cell>
        </row>
        <row r="1255">
          <cell r="A1255" t="str">
            <v>SHP-100245</v>
          </cell>
          <cell r="B1255" t="str">
            <v>25-Feb-2024</v>
          </cell>
          <cell r="C1255" t="str">
            <v>Mumbai</v>
          </cell>
          <cell r="D1255" t="str">
            <v>ecom express</v>
          </cell>
          <cell r="E1255" t="str">
            <v>Road</v>
          </cell>
          <cell r="F1255" t="str">
            <v xml:space="preserve">electronics </v>
          </cell>
          <cell r="G1255" t="str">
            <v>north</v>
          </cell>
          <cell r="I1255" t="str">
            <v>11.9KG</v>
          </cell>
          <cell r="J1255" t="str">
            <v>₹296</v>
          </cell>
          <cell r="K1255">
            <v>8</v>
          </cell>
          <cell r="L1255" t="str">
            <v>2024-03-04</v>
          </cell>
          <cell r="M1255" t="str">
            <v>Delivered</v>
          </cell>
          <cell r="N1255">
            <v>4</v>
          </cell>
          <cell r="O1255" t="str">
            <v>No</v>
          </cell>
        </row>
        <row r="1256">
          <cell r="A1256" t="str">
            <v>SHP-100034</v>
          </cell>
          <cell r="B1256" t="str">
            <v xml:space="preserve"> 11/04/2024 </v>
          </cell>
          <cell r="C1256" t="str">
            <v xml:space="preserve"> KOLKATA </v>
          </cell>
          <cell r="D1256" t="str">
            <v>ecom express</v>
          </cell>
          <cell r="E1256" t="str">
            <v>road</v>
          </cell>
          <cell r="F1256" t="str">
            <v>PHARMA</v>
          </cell>
          <cell r="G1256" t="str">
            <v xml:space="preserve"> WEST </v>
          </cell>
          <cell r="I1256" t="str">
            <v>2.5</v>
          </cell>
          <cell r="J1256" t="str">
            <v>₹200</v>
          </cell>
          <cell r="K1256">
            <v>8</v>
          </cell>
          <cell r="L1256" t="str">
            <v>20-Apr-2024</v>
          </cell>
          <cell r="M1256" t="str">
            <v xml:space="preserve"> Delayed</v>
          </cell>
          <cell r="N1256">
            <v>3</v>
          </cell>
          <cell r="O1256" t="str">
            <v>N</v>
          </cell>
        </row>
        <row r="1257">
          <cell r="A1257" t="str">
            <v>SHP-100900</v>
          </cell>
          <cell r="B1257" t="str">
            <v xml:space="preserve"> 05/06/2024 </v>
          </cell>
          <cell r="C1257" t="str">
            <v xml:space="preserve"> MUMBAI </v>
          </cell>
          <cell r="D1257" t="str">
            <v xml:space="preserve"> Delhivery</v>
          </cell>
          <cell r="E1257" t="str">
            <v xml:space="preserve"> SURFACE </v>
          </cell>
          <cell r="F1257" t="str">
            <v>automotive parts</v>
          </cell>
          <cell r="G1257" t="str">
            <v xml:space="preserve"> WEST </v>
          </cell>
          <cell r="I1257" t="str">
            <v>37.3</v>
          </cell>
          <cell r="J1257" t="str">
            <v>853</v>
          </cell>
          <cell r="K1257">
            <v>4</v>
          </cell>
          <cell r="L1257" t="str">
            <v>08/06/2024</v>
          </cell>
          <cell r="M1257" t="str">
            <v>DELIVERED</v>
          </cell>
          <cell r="N1257">
            <v>3</v>
          </cell>
          <cell r="O1257" t="str">
            <v xml:space="preserve">yes </v>
          </cell>
        </row>
        <row r="1258">
          <cell r="A1258" t="str">
            <v>SHP-100479</v>
          </cell>
          <cell r="B1258" t="str">
            <v>24-Jun-2024</v>
          </cell>
          <cell r="C1258" t="str">
            <v>mumbai</v>
          </cell>
          <cell r="D1258" t="str">
            <v>Blue Dart</v>
          </cell>
          <cell r="E1258" t="str">
            <v xml:space="preserve">air </v>
          </cell>
          <cell r="F1258" t="str">
            <v>PHARMA</v>
          </cell>
          <cell r="G1258" t="str">
            <v xml:space="preserve"> NORTH </v>
          </cell>
          <cell r="I1258" t="str">
            <v xml:space="preserve">1.2 Kg </v>
          </cell>
          <cell r="J1258" t="str">
            <v xml:space="preserve">Rs 253 </v>
          </cell>
          <cell r="K1258">
            <v>4</v>
          </cell>
          <cell r="L1258" t="str">
            <v>27/06/2024</v>
          </cell>
          <cell r="M1258" t="str">
            <v xml:space="preserve"> Delivered</v>
          </cell>
          <cell r="N1258">
            <v>5</v>
          </cell>
          <cell r="O1258" t="str">
            <v>Y</v>
          </cell>
        </row>
        <row r="1259">
          <cell r="A1259" t="str">
            <v>SHP-101343</v>
          </cell>
          <cell r="B1259" t="str">
            <v xml:space="preserve"> 23/01/2024 </v>
          </cell>
          <cell r="C1259" t="str">
            <v xml:space="preserve">kolkata </v>
          </cell>
          <cell r="D1259" t="str">
            <v xml:space="preserve">Dtdc </v>
          </cell>
          <cell r="E1259" t="str">
            <v xml:space="preserve">air </v>
          </cell>
          <cell r="F1259" t="str">
            <v>pharma</v>
          </cell>
          <cell r="G1259" t="str">
            <v>West</v>
          </cell>
          <cell r="I1259" t="str">
            <v>3.6kg</v>
          </cell>
          <cell r="J1259" t="str">
            <v>335</v>
          </cell>
          <cell r="K1259">
            <v>4</v>
          </cell>
          <cell r="L1259" t="str">
            <v>26-Jan-2024</v>
          </cell>
          <cell r="M1259" t="str">
            <v xml:space="preserve"> Delivered</v>
          </cell>
          <cell r="N1259">
            <v>5</v>
          </cell>
          <cell r="O1259" t="str">
            <v xml:space="preserve"> No</v>
          </cell>
        </row>
        <row r="1260">
          <cell r="A1260" t="str">
            <v>SHP-100588</v>
          </cell>
          <cell r="B1260" t="str">
            <v>12-May-2024</v>
          </cell>
          <cell r="C1260" t="str">
            <v>HYDERABAD</v>
          </cell>
          <cell r="D1260" t="str">
            <v>BlueDart</v>
          </cell>
          <cell r="E1260" t="str">
            <v xml:space="preserve"> ROAD </v>
          </cell>
          <cell r="F1260" t="str">
            <v>Grocery &amp; FMCG</v>
          </cell>
          <cell r="G1260" t="str">
            <v>South</v>
          </cell>
          <cell r="I1260" t="str">
            <v>14.0KG</v>
          </cell>
          <cell r="J1260" t="str">
            <v>325</v>
          </cell>
          <cell r="K1260">
            <v>8</v>
          </cell>
          <cell r="L1260" t="str">
            <v xml:space="preserve"> 21/05/2024 </v>
          </cell>
          <cell r="M1260" t="str">
            <v xml:space="preserve">delayed </v>
          </cell>
          <cell r="N1260">
            <v>4</v>
          </cell>
          <cell r="O1260" t="str">
            <v>Yes</v>
          </cell>
        </row>
        <row r="1261">
          <cell r="A1261" t="str">
            <v>SHP-100780</v>
          </cell>
          <cell r="B1261" t="str">
            <v xml:space="preserve"> 05/04/2024 </v>
          </cell>
          <cell r="C1261" t="str">
            <v xml:space="preserve">kolkata </v>
          </cell>
          <cell r="D1261" t="str">
            <v>BlueDart</v>
          </cell>
          <cell r="E1261" t="str">
            <v>surface</v>
          </cell>
          <cell r="F1261" t="str">
            <v>Pharma</v>
          </cell>
          <cell r="G1261" t="str">
            <v>West</v>
          </cell>
          <cell r="I1261" t="str">
            <v>3.7</v>
          </cell>
          <cell r="J1261" t="str">
            <v>₹250</v>
          </cell>
          <cell r="K1261">
            <v>6</v>
          </cell>
          <cell r="L1261" t="str">
            <v>11-Apr-2024</v>
          </cell>
          <cell r="M1261" t="str">
            <v>Delivered</v>
          </cell>
          <cell r="N1261">
            <v>3</v>
          </cell>
          <cell r="O1261" t="str">
            <v>Y</v>
          </cell>
        </row>
        <row r="1262">
          <cell r="A1262" t="str">
            <v>SHP-100002</v>
          </cell>
          <cell r="B1262" t="str">
            <v>15/02/2024</v>
          </cell>
          <cell r="C1262" t="str">
            <v xml:space="preserve">mumbai </v>
          </cell>
          <cell r="D1262" t="str">
            <v xml:space="preserve"> Delhivery</v>
          </cell>
          <cell r="E1262" t="str">
            <v xml:space="preserve"> SURFACE </v>
          </cell>
          <cell r="F1262" t="str">
            <v>GROCERY &amp; FMCG</v>
          </cell>
          <cell r="G1262" t="str">
            <v>North</v>
          </cell>
          <cell r="I1262" t="str">
            <v>17.8kg</v>
          </cell>
          <cell r="J1262" t="str">
            <v>₹531</v>
          </cell>
          <cell r="K1262">
            <v>6</v>
          </cell>
          <cell r="L1262" t="str">
            <v>22/02/2024</v>
          </cell>
          <cell r="M1262" t="str">
            <v xml:space="preserve">delayed </v>
          </cell>
          <cell r="N1262">
            <v>3</v>
          </cell>
          <cell r="O1262" t="str">
            <v>no</v>
          </cell>
        </row>
        <row r="1263">
          <cell r="A1263" t="str">
            <v>SHP-100412</v>
          </cell>
          <cell r="B1263" t="str">
            <v>17/04/2024</v>
          </cell>
          <cell r="C1263" t="str">
            <v xml:space="preserve"> MUMBAI </v>
          </cell>
          <cell r="D1263" t="str">
            <v>ECOM EXPRESS</v>
          </cell>
          <cell r="E1263" t="str">
            <v xml:space="preserve">road </v>
          </cell>
          <cell r="F1263" t="str">
            <v xml:space="preserve"> GROCERY &amp; FMCG </v>
          </cell>
          <cell r="G1263" t="str">
            <v>east</v>
          </cell>
          <cell r="I1263" t="str">
            <v xml:space="preserve">12.9 Kg </v>
          </cell>
          <cell r="J1263" t="str">
            <v xml:space="preserve">Rs 386 </v>
          </cell>
          <cell r="K1263">
            <v>8</v>
          </cell>
          <cell r="L1263" t="str">
            <v>25/04/2024</v>
          </cell>
          <cell r="M1263" t="str">
            <v>delivered</v>
          </cell>
          <cell r="N1263">
            <v>5</v>
          </cell>
          <cell r="O1263" t="str">
            <v>N</v>
          </cell>
        </row>
        <row r="1264">
          <cell r="A1264" t="str">
            <v>SHP-100916</v>
          </cell>
          <cell r="B1264" t="str">
            <v>2024-05-07</v>
          </cell>
          <cell r="C1264" t="str">
            <v>Kolkata</v>
          </cell>
          <cell r="D1264" t="str">
            <v xml:space="preserve"> Delhivery</v>
          </cell>
          <cell r="E1264" t="str">
            <v xml:space="preserve"> ROAD </v>
          </cell>
          <cell r="F1264" t="str">
            <v>Electronics</v>
          </cell>
          <cell r="G1264" t="str">
            <v>west</v>
          </cell>
          <cell r="I1264" t="str">
            <v xml:space="preserve">4.4 Kg </v>
          </cell>
          <cell r="J1264" t="str">
            <v xml:space="preserve">Rs 248 </v>
          </cell>
          <cell r="K1264">
            <v>8</v>
          </cell>
          <cell r="L1264" t="str">
            <v>14-May-2024</v>
          </cell>
          <cell r="M1264" t="str">
            <v>Delivered</v>
          </cell>
          <cell r="N1264">
            <v>5</v>
          </cell>
          <cell r="O1264" t="str">
            <v>N</v>
          </cell>
        </row>
        <row r="1265">
          <cell r="A1265" t="str">
            <v>SHP-100155</v>
          </cell>
          <cell r="B1265" t="str">
            <v>28-Jun-2024</v>
          </cell>
          <cell r="C1265" t="str">
            <v>Bengaluru</v>
          </cell>
          <cell r="D1265" t="str">
            <v>Ecom  Express</v>
          </cell>
          <cell r="E1265" t="str">
            <v xml:space="preserve"> AIR </v>
          </cell>
          <cell r="F1265" t="str">
            <v xml:space="preserve"> PHARMA </v>
          </cell>
          <cell r="G1265" t="str">
            <v>West</v>
          </cell>
          <cell r="I1265" t="str">
            <v xml:space="preserve">3.8 Kg </v>
          </cell>
          <cell r="J1265" t="str">
            <v>338</v>
          </cell>
          <cell r="K1265">
            <v>4</v>
          </cell>
          <cell r="M1265" t="str">
            <v>In-Transit</v>
          </cell>
          <cell r="O1265" t="str">
            <v>No</v>
          </cell>
        </row>
        <row r="1266">
          <cell r="A1266" t="str">
            <v>SHP-100576</v>
          </cell>
          <cell r="B1266" t="str">
            <v>2024-01-28</v>
          </cell>
          <cell r="C1266" t="str">
            <v>mumbai</v>
          </cell>
          <cell r="D1266" t="str">
            <v>DELHIVERY</v>
          </cell>
          <cell r="E1266" t="str">
            <v xml:space="preserve">air </v>
          </cell>
          <cell r="F1266" t="str">
            <v xml:space="preserve"> APPAREL </v>
          </cell>
          <cell r="G1266" t="str">
            <v>east</v>
          </cell>
          <cell r="I1266" t="str">
            <v>5.2KG</v>
          </cell>
          <cell r="J1266" t="str">
            <v xml:space="preserve">Rs 420 </v>
          </cell>
          <cell r="K1266">
            <v>4</v>
          </cell>
          <cell r="L1266" t="str">
            <v>01-Feb-2024</v>
          </cell>
          <cell r="M1266" t="str">
            <v>Delivered</v>
          </cell>
          <cell r="N1266">
            <v>2</v>
          </cell>
          <cell r="O1266" t="str">
            <v>no</v>
          </cell>
        </row>
        <row r="1267">
          <cell r="A1267" t="str">
            <v>SHP-100487</v>
          </cell>
          <cell r="B1267" t="str">
            <v>26/01/2024</v>
          </cell>
          <cell r="C1267" t="str">
            <v>kolkata</v>
          </cell>
          <cell r="D1267" t="str">
            <v>XpressBees</v>
          </cell>
          <cell r="E1267" t="str">
            <v>Road</v>
          </cell>
          <cell r="F1267" t="str">
            <v>Pharma</v>
          </cell>
          <cell r="G1267" t="str">
            <v>north</v>
          </cell>
          <cell r="I1267" t="str">
            <v>2.1kg</v>
          </cell>
          <cell r="J1267" t="str">
            <v>196</v>
          </cell>
          <cell r="K1267">
            <v>8</v>
          </cell>
          <cell r="L1267" t="str">
            <v xml:space="preserve"> 02/02/2024 </v>
          </cell>
          <cell r="M1267" t="str">
            <v>delivered</v>
          </cell>
          <cell r="N1267">
            <v>4</v>
          </cell>
          <cell r="O1267" t="str">
            <v>N</v>
          </cell>
        </row>
        <row r="1268">
          <cell r="A1268" t="str">
            <v>SHP-101473</v>
          </cell>
          <cell r="B1268" t="str">
            <v>2024-03-17</v>
          </cell>
          <cell r="C1268" t="str">
            <v>HYDERABAD</v>
          </cell>
          <cell r="D1268" t="str">
            <v>DELHIVERY</v>
          </cell>
          <cell r="E1268" t="str">
            <v xml:space="preserve"> SURFACE </v>
          </cell>
          <cell r="F1268" t="str">
            <v>FURNITURE</v>
          </cell>
          <cell r="G1268" t="str">
            <v>EAST</v>
          </cell>
          <cell r="I1268" t="str">
            <v>69.0</v>
          </cell>
          <cell r="J1268" t="str">
            <v>1,643</v>
          </cell>
          <cell r="K1268">
            <v>6</v>
          </cell>
          <cell r="L1268" t="str">
            <v>23/03/2024</v>
          </cell>
          <cell r="M1268" t="str">
            <v>DELIVERED</v>
          </cell>
          <cell r="N1268">
            <v>4</v>
          </cell>
          <cell r="O1268" t="str">
            <v>No</v>
          </cell>
        </row>
        <row r="1269">
          <cell r="A1269" t="str">
            <v>SHP-100254</v>
          </cell>
          <cell r="B1269" t="str">
            <v>08/02/2024</v>
          </cell>
          <cell r="C1269" t="str">
            <v>Kolkata</v>
          </cell>
          <cell r="D1269" t="str">
            <v xml:space="preserve"> DTDC</v>
          </cell>
          <cell r="E1269" t="str">
            <v xml:space="preserve">air </v>
          </cell>
          <cell r="F1269" t="str">
            <v>apparel</v>
          </cell>
          <cell r="G1269" t="str">
            <v>West</v>
          </cell>
          <cell r="I1269" t="str">
            <v xml:space="preserve">5.8 Kg </v>
          </cell>
          <cell r="J1269" t="str">
            <v xml:space="preserve">Rs 382 </v>
          </cell>
          <cell r="K1269">
            <v>4</v>
          </cell>
          <cell r="L1269" t="str">
            <v>20/02/2024</v>
          </cell>
          <cell r="M1269" t="str">
            <v xml:space="preserve"> Delayed</v>
          </cell>
          <cell r="N1269">
            <v>2</v>
          </cell>
          <cell r="O1269" t="str">
            <v>Yes</v>
          </cell>
        </row>
        <row r="1270">
          <cell r="A1270" t="str">
            <v>SHP-100343</v>
          </cell>
          <cell r="B1270" t="str">
            <v xml:space="preserve"> 02/03/2024 </v>
          </cell>
          <cell r="C1270" t="str">
            <v>delhi</v>
          </cell>
          <cell r="D1270" t="str">
            <v>dtdc</v>
          </cell>
          <cell r="E1270" t="str">
            <v>road</v>
          </cell>
          <cell r="F1270" t="str">
            <v xml:space="preserve">automotive parts </v>
          </cell>
          <cell r="G1270" t="str">
            <v>south</v>
          </cell>
          <cell r="I1270" t="str">
            <v>21.8KG</v>
          </cell>
          <cell r="J1270" t="str">
            <v>₹440</v>
          </cell>
          <cell r="K1270">
            <v>8</v>
          </cell>
          <cell r="L1270" t="str">
            <v xml:space="preserve"> 11/03/2024 </v>
          </cell>
          <cell r="M1270" t="str">
            <v xml:space="preserve">delayed </v>
          </cell>
          <cell r="N1270">
            <v>3</v>
          </cell>
          <cell r="O1270" t="str">
            <v>Yes</v>
          </cell>
        </row>
        <row r="1271">
          <cell r="A1271" t="str">
            <v>SHP-100291</v>
          </cell>
          <cell r="B1271" t="str">
            <v xml:space="preserve"> 26/01/2024 </v>
          </cell>
          <cell r="C1271" t="str">
            <v xml:space="preserve"> KOLKATA </v>
          </cell>
          <cell r="D1271" t="str">
            <v>dtdc</v>
          </cell>
          <cell r="E1271" t="str">
            <v xml:space="preserve"> AIR </v>
          </cell>
          <cell r="F1271" t="str">
            <v xml:space="preserve"> FURNITURE </v>
          </cell>
          <cell r="G1271" t="str">
            <v>WEST</v>
          </cell>
          <cell r="I1271" t="str">
            <v xml:space="preserve">48.6 Kg </v>
          </cell>
          <cell r="J1271" t="str">
            <v>2,387</v>
          </cell>
          <cell r="K1271">
            <v>4</v>
          </cell>
          <cell r="L1271" t="str">
            <v xml:space="preserve"> 29/01/2024 </v>
          </cell>
          <cell r="M1271" t="str">
            <v>DELIVERED</v>
          </cell>
          <cell r="N1271">
            <v>4</v>
          </cell>
          <cell r="O1271" t="str">
            <v xml:space="preserve"> No</v>
          </cell>
        </row>
        <row r="1272">
          <cell r="A1272" t="str">
            <v>SHP-101598</v>
          </cell>
          <cell r="B1272" t="str">
            <v>24-Mar-2024</v>
          </cell>
          <cell r="C1272" t="str">
            <v>Chennai</v>
          </cell>
          <cell r="D1272" t="str">
            <v>DELHIVERY</v>
          </cell>
          <cell r="E1272" t="str">
            <v xml:space="preserve"> AIR </v>
          </cell>
          <cell r="F1272" t="str">
            <v xml:space="preserve"> ELECTRONICS </v>
          </cell>
          <cell r="G1272" t="str">
            <v xml:space="preserve"> SOUTH </v>
          </cell>
          <cell r="I1272" t="str">
            <v>13.7KG</v>
          </cell>
          <cell r="J1272" t="str">
            <v>₹619</v>
          </cell>
          <cell r="K1272">
            <v>2</v>
          </cell>
          <cell r="L1272" t="str">
            <v>2024-03-30</v>
          </cell>
          <cell r="M1272" t="str">
            <v>Delayed</v>
          </cell>
          <cell r="N1272">
            <v>3</v>
          </cell>
          <cell r="O1272" t="str">
            <v>Y</v>
          </cell>
        </row>
        <row r="1273">
          <cell r="A1273" t="str">
            <v>SHP-100342</v>
          </cell>
          <cell r="B1273" t="str">
            <v xml:space="preserve"> 15/04/2024 </v>
          </cell>
          <cell r="C1273" t="str">
            <v>kolkata</v>
          </cell>
          <cell r="D1273" t="str">
            <v>bluedart</v>
          </cell>
          <cell r="E1273" t="str">
            <v xml:space="preserve"> ROAD </v>
          </cell>
          <cell r="F1273" t="str">
            <v>furniture</v>
          </cell>
          <cell r="G1273" t="str">
            <v xml:space="preserve">north </v>
          </cell>
          <cell r="I1273" t="str">
            <v>16.9</v>
          </cell>
          <cell r="J1273" t="str">
            <v>₹393</v>
          </cell>
          <cell r="K1273">
            <v>8</v>
          </cell>
          <cell r="L1273" t="str">
            <v>2024-04-26</v>
          </cell>
          <cell r="M1273" t="str">
            <v>Delayed</v>
          </cell>
          <cell r="N1273">
            <v>1</v>
          </cell>
          <cell r="O1273" t="str">
            <v>no</v>
          </cell>
        </row>
        <row r="1274">
          <cell r="A1274" t="str">
            <v>SHP-100766</v>
          </cell>
          <cell r="B1274" t="str">
            <v>13/06/2024</v>
          </cell>
          <cell r="C1274" t="str">
            <v xml:space="preserve">delhi </v>
          </cell>
          <cell r="D1274" t="str">
            <v>Blue Dart</v>
          </cell>
          <cell r="E1274" t="str">
            <v>air</v>
          </cell>
          <cell r="F1274" t="str">
            <v xml:space="preserve"> GROCERY &amp; FMCG </v>
          </cell>
          <cell r="G1274" t="str">
            <v xml:space="preserve">north </v>
          </cell>
          <cell r="I1274" t="str">
            <v>18.5KG</v>
          </cell>
          <cell r="J1274" t="str">
            <v>₹842</v>
          </cell>
          <cell r="K1274">
            <v>2</v>
          </cell>
          <cell r="L1274" t="str">
            <v>14-Jun-2024</v>
          </cell>
          <cell r="M1274" t="str">
            <v>delivered</v>
          </cell>
          <cell r="N1274">
            <v>3</v>
          </cell>
          <cell r="O1274" t="str">
            <v>N</v>
          </cell>
        </row>
        <row r="1275">
          <cell r="A1275" t="str">
            <v>SHP-100684</v>
          </cell>
          <cell r="B1275" t="str">
            <v>2024-06-12</v>
          </cell>
          <cell r="C1275" t="str">
            <v>Kolkata</v>
          </cell>
          <cell r="D1275" t="str">
            <v>ecom express</v>
          </cell>
          <cell r="E1275" t="str">
            <v xml:space="preserve"> ROAD </v>
          </cell>
          <cell r="F1275" t="str">
            <v>Grocery &amp; FMCG</v>
          </cell>
          <cell r="G1275" t="str">
            <v>East</v>
          </cell>
          <cell r="I1275" t="str">
            <v>9.3kg</v>
          </cell>
          <cell r="J1275" t="str">
            <v xml:space="preserve">Rs 125 </v>
          </cell>
          <cell r="K1275">
            <v>6</v>
          </cell>
          <cell r="L1275" t="str">
            <v>2024-06-18</v>
          </cell>
          <cell r="M1275" t="str">
            <v>Delivered</v>
          </cell>
          <cell r="N1275">
            <v>5</v>
          </cell>
          <cell r="O1275" t="str">
            <v xml:space="preserve">yes </v>
          </cell>
        </row>
        <row r="1276">
          <cell r="A1276" t="str">
            <v>SHP-101517</v>
          </cell>
          <cell r="B1276" t="str">
            <v>06-Jun-2024</v>
          </cell>
          <cell r="C1276" t="str">
            <v>BENGALURU</v>
          </cell>
          <cell r="D1276" t="str">
            <v xml:space="preserve"> XPRESSBEES</v>
          </cell>
          <cell r="E1276" t="str">
            <v>AIR</v>
          </cell>
          <cell r="F1276" t="str">
            <v xml:space="preserve"> APPAREL </v>
          </cell>
          <cell r="G1276" t="str">
            <v xml:space="preserve"> EAST </v>
          </cell>
          <cell r="I1276" t="str">
            <v xml:space="preserve">4.4 Kg </v>
          </cell>
          <cell r="J1276" t="str">
            <v>₹394</v>
          </cell>
          <cell r="K1276">
            <v>4</v>
          </cell>
          <cell r="L1276" t="str">
            <v>11/06/2024</v>
          </cell>
          <cell r="M1276" t="str">
            <v xml:space="preserve"> Delayed</v>
          </cell>
          <cell r="N1276">
            <v>2</v>
          </cell>
          <cell r="O1276" t="str">
            <v>YES</v>
          </cell>
        </row>
        <row r="1277">
          <cell r="A1277" t="str">
            <v>SHP-100920</v>
          </cell>
          <cell r="B1277" t="str">
            <v>2024-06-06</v>
          </cell>
          <cell r="C1277" t="str">
            <v xml:space="preserve"> KOLKATA </v>
          </cell>
          <cell r="D1277" t="str">
            <v>ecom express</v>
          </cell>
          <cell r="E1277" t="str">
            <v>ROAD</v>
          </cell>
          <cell r="F1277" t="str">
            <v>Pharma</v>
          </cell>
          <cell r="G1277" t="str">
            <v>West</v>
          </cell>
          <cell r="I1277" t="str">
            <v>1.7kg</v>
          </cell>
          <cell r="J1277" t="str">
            <v>₹148</v>
          </cell>
          <cell r="K1277">
            <v>8</v>
          </cell>
          <cell r="L1277" t="str">
            <v>19-Jun-2024</v>
          </cell>
          <cell r="M1277" t="str">
            <v>DELAYED</v>
          </cell>
          <cell r="N1277">
            <v>2</v>
          </cell>
          <cell r="O1277" t="str">
            <v>N</v>
          </cell>
        </row>
        <row r="1278">
          <cell r="A1278" t="str">
            <v>SHP-100281</v>
          </cell>
          <cell r="B1278" t="str">
            <v>2024-06-24</v>
          </cell>
          <cell r="C1278" t="str">
            <v>kolkata</v>
          </cell>
          <cell r="D1278" t="str">
            <v xml:space="preserve"> DTDC</v>
          </cell>
          <cell r="E1278" t="str">
            <v>air</v>
          </cell>
          <cell r="F1278" t="str">
            <v>AUTOMOTIVE  PARTS</v>
          </cell>
          <cell r="G1278" t="str">
            <v xml:space="preserve">north </v>
          </cell>
          <cell r="I1278" t="str">
            <v>20.8</v>
          </cell>
          <cell r="J1278" t="str">
            <v>1,069</v>
          </cell>
          <cell r="K1278">
            <v>4</v>
          </cell>
          <cell r="L1278" t="str">
            <v>2024-06-29</v>
          </cell>
          <cell r="M1278" t="str">
            <v>Delayed</v>
          </cell>
          <cell r="N1278">
            <v>5</v>
          </cell>
          <cell r="O1278" t="str">
            <v>no</v>
          </cell>
        </row>
        <row r="1279">
          <cell r="A1279" t="str">
            <v>SHP-101574</v>
          </cell>
          <cell r="B1279" t="str">
            <v>05-May-2024</v>
          </cell>
          <cell r="C1279" t="str">
            <v xml:space="preserve">chennai </v>
          </cell>
          <cell r="D1279" t="str">
            <v>ECOM EXPRESS</v>
          </cell>
          <cell r="E1279" t="str">
            <v>ROAD</v>
          </cell>
          <cell r="F1279" t="str">
            <v>pharma</v>
          </cell>
          <cell r="G1279" t="str">
            <v>EAST</v>
          </cell>
          <cell r="I1279" t="str">
            <v>3.0KG</v>
          </cell>
          <cell r="J1279" t="str">
            <v>247</v>
          </cell>
          <cell r="K1279">
            <v>8</v>
          </cell>
          <cell r="L1279" t="str">
            <v>13/05/2024</v>
          </cell>
          <cell r="M1279" t="str">
            <v>delivered</v>
          </cell>
          <cell r="N1279">
            <v>5</v>
          </cell>
          <cell r="O1279" t="str">
            <v xml:space="preserve">yes </v>
          </cell>
        </row>
        <row r="1280">
          <cell r="A1280" t="str">
            <v>SHP-101044</v>
          </cell>
          <cell r="B1280" t="str">
            <v xml:space="preserve"> 05/04/2024 </v>
          </cell>
          <cell r="C1280" t="str">
            <v>Mumbai</v>
          </cell>
          <cell r="D1280" t="str">
            <v>DTDC</v>
          </cell>
          <cell r="E1280" t="str">
            <v xml:space="preserve"> ROAD </v>
          </cell>
          <cell r="F1280" t="str">
            <v xml:space="preserve">grocery &amp; fmcg </v>
          </cell>
          <cell r="G1280" t="str">
            <v xml:space="preserve"> WEST </v>
          </cell>
          <cell r="I1280" t="str">
            <v>5.9KG</v>
          </cell>
          <cell r="J1280" t="str">
            <v>141</v>
          </cell>
          <cell r="K1280">
            <v>6</v>
          </cell>
          <cell r="L1280" t="str">
            <v xml:space="preserve"> 12/04/2024 </v>
          </cell>
          <cell r="M1280" t="str">
            <v>DELAYED</v>
          </cell>
          <cell r="N1280">
            <v>3</v>
          </cell>
          <cell r="O1280" t="str">
            <v>no</v>
          </cell>
        </row>
        <row r="1281">
          <cell r="A1281" t="str">
            <v>SHP-101178</v>
          </cell>
          <cell r="B1281" t="str">
            <v xml:space="preserve"> 13/01/2024 </v>
          </cell>
          <cell r="C1281" t="str">
            <v>delhi</v>
          </cell>
          <cell r="D1281" t="str">
            <v>Ecom  Express</v>
          </cell>
          <cell r="E1281" t="str">
            <v>SURFACE</v>
          </cell>
          <cell r="F1281" t="str">
            <v>furniture</v>
          </cell>
          <cell r="G1281" t="str">
            <v>south</v>
          </cell>
          <cell r="I1281" t="str">
            <v>55.5KG</v>
          </cell>
          <cell r="J1281" t="str">
            <v>₹1,376</v>
          </cell>
          <cell r="K1281">
            <v>6</v>
          </cell>
          <cell r="L1281" t="str">
            <v xml:space="preserve"> 18/01/2024 </v>
          </cell>
          <cell r="M1281" t="str">
            <v>Delivered</v>
          </cell>
          <cell r="N1281">
            <v>4</v>
          </cell>
          <cell r="O1281" t="str">
            <v xml:space="preserve">yes </v>
          </cell>
        </row>
        <row r="1282">
          <cell r="A1282" t="str">
            <v>SHP-101545</v>
          </cell>
          <cell r="B1282" t="str">
            <v>03/03/2024</v>
          </cell>
          <cell r="C1282" t="str">
            <v>bengaluru</v>
          </cell>
          <cell r="D1282" t="str">
            <v>DTDC</v>
          </cell>
          <cell r="E1282" t="str">
            <v xml:space="preserve"> AIR </v>
          </cell>
          <cell r="F1282" t="str">
            <v>Automotive Parts</v>
          </cell>
          <cell r="G1282" t="str">
            <v xml:space="preserve">south </v>
          </cell>
          <cell r="I1282" t="str">
            <v xml:space="preserve">16.6 Kg </v>
          </cell>
          <cell r="J1282" t="str">
            <v>774</v>
          </cell>
          <cell r="K1282">
            <v>2</v>
          </cell>
          <cell r="L1282" t="str">
            <v xml:space="preserve"> 13/03/2024 </v>
          </cell>
          <cell r="M1282" t="str">
            <v>DELAYED</v>
          </cell>
          <cell r="N1282">
            <v>3</v>
          </cell>
          <cell r="O1282" t="str">
            <v xml:space="preserve"> No</v>
          </cell>
        </row>
        <row r="1283">
          <cell r="A1283" t="str">
            <v>SHP-101250</v>
          </cell>
          <cell r="B1283" t="str">
            <v>01-Feb-2024</v>
          </cell>
          <cell r="C1283" t="str">
            <v>delhi</v>
          </cell>
          <cell r="D1283" t="str">
            <v xml:space="preserve">Dtdc </v>
          </cell>
          <cell r="E1283" t="str">
            <v xml:space="preserve">road </v>
          </cell>
          <cell r="F1283" t="str">
            <v>pharma</v>
          </cell>
          <cell r="G1283" t="str">
            <v>West</v>
          </cell>
          <cell r="I1283" t="str">
            <v xml:space="preserve">2.7 Kg </v>
          </cell>
          <cell r="J1283" t="str">
            <v>238</v>
          </cell>
          <cell r="K1283">
            <v>8</v>
          </cell>
          <cell r="L1283" t="str">
            <v xml:space="preserve"> 08/02/2024 </v>
          </cell>
          <cell r="M1283" t="str">
            <v xml:space="preserve"> Delivered</v>
          </cell>
          <cell r="N1283">
            <v>5</v>
          </cell>
          <cell r="O1283" t="str">
            <v>N</v>
          </cell>
        </row>
        <row r="1284">
          <cell r="A1284" t="str">
            <v>SHP-101162</v>
          </cell>
          <cell r="B1284" t="str">
            <v>2024-02-09</v>
          </cell>
          <cell r="C1284" t="str">
            <v>delhi</v>
          </cell>
          <cell r="D1284" t="str">
            <v xml:space="preserve">BLUEDART </v>
          </cell>
          <cell r="E1284" t="str">
            <v>AIR</v>
          </cell>
          <cell r="F1284" t="str">
            <v>Apparel</v>
          </cell>
          <cell r="G1284" t="str">
            <v>east</v>
          </cell>
          <cell r="I1284" t="str">
            <v>7.9</v>
          </cell>
          <cell r="J1284" t="str">
            <v>508</v>
          </cell>
          <cell r="K1284">
            <v>4</v>
          </cell>
          <cell r="L1284" t="str">
            <v>2024-02-13</v>
          </cell>
          <cell r="M1284" t="str">
            <v>delivered</v>
          </cell>
          <cell r="N1284">
            <v>3</v>
          </cell>
          <cell r="O1284" t="str">
            <v>YES</v>
          </cell>
        </row>
        <row r="1285">
          <cell r="A1285" t="str">
            <v>SHP-100095</v>
          </cell>
          <cell r="B1285" t="str">
            <v>02/03/2024</v>
          </cell>
          <cell r="C1285" t="str">
            <v xml:space="preserve"> MUMBAI </v>
          </cell>
          <cell r="D1285" t="str">
            <v xml:space="preserve">Dtdc </v>
          </cell>
          <cell r="E1285" t="str">
            <v xml:space="preserve">road </v>
          </cell>
          <cell r="F1285" t="str">
            <v xml:space="preserve"> FURNITURE </v>
          </cell>
          <cell r="G1285" t="str">
            <v>WEST</v>
          </cell>
          <cell r="I1285" t="str">
            <v>36.5kg</v>
          </cell>
          <cell r="J1285" t="str">
            <v xml:space="preserve">Rs 529 </v>
          </cell>
          <cell r="K1285">
            <v>6</v>
          </cell>
          <cell r="L1285" t="str">
            <v>07/03/2024</v>
          </cell>
          <cell r="M1285" t="str">
            <v>DELIVERED</v>
          </cell>
          <cell r="N1285">
            <v>5</v>
          </cell>
          <cell r="O1285" t="str">
            <v>Y</v>
          </cell>
        </row>
        <row r="1286">
          <cell r="A1286" t="str">
            <v>SHP-100582</v>
          </cell>
          <cell r="B1286" t="str">
            <v>20/01/2024</v>
          </cell>
          <cell r="C1286" t="str">
            <v>delhi</v>
          </cell>
          <cell r="D1286" t="str">
            <v xml:space="preserve">Dtdc </v>
          </cell>
          <cell r="E1286" t="str">
            <v xml:space="preserve">air </v>
          </cell>
          <cell r="F1286" t="str">
            <v>Grocery &amp; FMCG</v>
          </cell>
          <cell r="G1286" t="str">
            <v xml:space="preserve">west </v>
          </cell>
          <cell r="I1286" t="str">
            <v xml:space="preserve">15.3 Kg </v>
          </cell>
          <cell r="J1286" t="str">
            <v xml:space="preserve">Rs 811 </v>
          </cell>
          <cell r="K1286">
            <v>4</v>
          </cell>
          <cell r="L1286" t="str">
            <v>23/01/2024</v>
          </cell>
          <cell r="M1286" t="str">
            <v xml:space="preserve"> Delivered</v>
          </cell>
          <cell r="N1286">
            <v>3</v>
          </cell>
          <cell r="O1286" t="str">
            <v xml:space="preserve"> No</v>
          </cell>
        </row>
        <row r="1287">
          <cell r="A1287" t="str">
            <v>SHP-101314</v>
          </cell>
          <cell r="B1287" t="str">
            <v xml:space="preserve"> 22/02/2024 </v>
          </cell>
          <cell r="C1287" t="str">
            <v xml:space="preserve"> DELHI </v>
          </cell>
          <cell r="D1287" t="str">
            <v>DELHIVERY</v>
          </cell>
          <cell r="E1287" t="str">
            <v>road</v>
          </cell>
          <cell r="F1287" t="str">
            <v>automotive  parts</v>
          </cell>
          <cell r="G1287" t="str">
            <v>North</v>
          </cell>
          <cell r="I1287" t="str">
            <v xml:space="preserve">11.8 Kg </v>
          </cell>
          <cell r="J1287" t="str">
            <v>₹170</v>
          </cell>
          <cell r="K1287">
            <v>6</v>
          </cell>
          <cell r="L1287" t="str">
            <v>28/02/2024</v>
          </cell>
          <cell r="M1287" t="str">
            <v>damaged</v>
          </cell>
          <cell r="O1287" t="str">
            <v>N</v>
          </cell>
        </row>
        <row r="1288">
          <cell r="A1288" t="str">
            <v>SHP-100120</v>
          </cell>
          <cell r="B1288" t="str">
            <v>06-Mar-2024</v>
          </cell>
          <cell r="C1288" t="str">
            <v>hyderabad</v>
          </cell>
          <cell r="D1288" t="str">
            <v>ECOM EXPRESS</v>
          </cell>
          <cell r="E1288" t="str">
            <v xml:space="preserve">air </v>
          </cell>
          <cell r="F1288" t="str">
            <v>Electronics</v>
          </cell>
          <cell r="G1288" t="str">
            <v xml:space="preserve"> NORTH </v>
          </cell>
          <cell r="I1288" t="str">
            <v>3.4KG</v>
          </cell>
          <cell r="J1288" t="str">
            <v>332</v>
          </cell>
          <cell r="K1288">
            <v>4</v>
          </cell>
          <cell r="L1288" t="str">
            <v>11-Mar-2024</v>
          </cell>
          <cell r="M1288" t="str">
            <v>DELAYED</v>
          </cell>
          <cell r="N1288">
            <v>2</v>
          </cell>
          <cell r="O1288" t="str">
            <v>no</v>
          </cell>
        </row>
        <row r="1289">
          <cell r="A1289" t="str">
            <v>SHP-101078</v>
          </cell>
          <cell r="B1289" t="str">
            <v>01-May-2024</v>
          </cell>
          <cell r="C1289" t="str">
            <v xml:space="preserve"> BENGALURU </v>
          </cell>
          <cell r="D1289" t="str">
            <v>Ecom  Express</v>
          </cell>
          <cell r="E1289" t="str">
            <v>air</v>
          </cell>
          <cell r="F1289" t="str">
            <v>FURNITURE</v>
          </cell>
          <cell r="G1289" t="str">
            <v>EAST</v>
          </cell>
          <cell r="I1289" t="str">
            <v xml:space="preserve">23.8 Kg </v>
          </cell>
          <cell r="J1289" t="str">
            <v xml:space="preserve">Rs 1258 </v>
          </cell>
          <cell r="K1289">
            <v>4</v>
          </cell>
          <cell r="L1289" t="str">
            <v>05/05/2024</v>
          </cell>
          <cell r="M1289" t="str">
            <v>Delivered</v>
          </cell>
          <cell r="N1289">
            <v>4</v>
          </cell>
          <cell r="O1289" t="str">
            <v>N</v>
          </cell>
        </row>
        <row r="1290">
          <cell r="A1290" t="str">
            <v>SHP-101311</v>
          </cell>
          <cell r="B1290" t="str">
            <v>01-Apr-2024</v>
          </cell>
          <cell r="C1290" t="str">
            <v xml:space="preserve">chennai </v>
          </cell>
          <cell r="D1290" t="str">
            <v xml:space="preserve"> XPRESSBEES</v>
          </cell>
          <cell r="E1290" t="str">
            <v>Surface</v>
          </cell>
          <cell r="F1290" t="str">
            <v>pharma</v>
          </cell>
          <cell r="G1290" t="str">
            <v>east</v>
          </cell>
          <cell r="I1290" t="str">
            <v>1.9kg</v>
          </cell>
          <cell r="J1290" t="str">
            <v>216</v>
          </cell>
          <cell r="K1290">
            <v>6</v>
          </cell>
          <cell r="L1290" t="str">
            <v>16/04/2024</v>
          </cell>
          <cell r="M1290" t="str">
            <v>DELAYED</v>
          </cell>
          <cell r="N1290">
            <v>3</v>
          </cell>
          <cell r="O1290" t="str">
            <v xml:space="preserve"> No</v>
          </cell>
        </row>
        <row r="1291">
          <cell r="A1291" t="str">
            <v>SHP-101387</v>
          </cell>
          <cell r="B1291" t="str">
            <v>04/06/2024</v>
          </cell>
          <cell r="C1291" t="str">
            <v xml:space="preserve"> HYDERABAD </v>
          </cell>
          <cell r="D1291" t="str">
            <v>dtdc</v>
          </cell>
          <cell r="E1291" t="str">
            <v>ROAD</v>
          </cell>
          <cell r="F1291" t="str">
            <v>PHARMA</v>
          </cell>
          <cell r="G1291" t="str">
            <v xml:space="preserve">east </v>
          </cell>
          <cell r="I1291" t="str">
            <v xml:space="preserve">4.6 Kg </v>
          </cell>
          <cell r="J1291" t="str">
            <v>₹265</v>
          </cell>
          <cell r="K1291">
            <v>8</v>
          </cell>
          <cell r="L1291" t="str">
            <v>18-Jun-2024</v>
          </cell>
          <cell r="M1291" t="str">
            <v xml:space="preserve"> Delayed</v>
          </cell>
          <cell r="N1291">
            <v>3</v>
          </cell>
          <cell r="O1291" t="str">
            <v xml:space="preserve"> No</v>
          </cell>
        </row>
        <row r="1292">
          <cell r="A1292" t="str">
            <v>SHP-100161</v>
          </cell>
          <cell r="B1292" t="str">
            <v>16-Apr-2024</v>
          </cell>
          <cell r="C1292" t="str">
            <v>mumbai</v>
          </cell>
          <cell r="D1292" t="str">
            <v>DTDC</v>
          </cell>
          <cell r="E1292" t="str">
            <v xml:space="preserve"> SURFACE </v>
          </cell>
          <cell r="F1292" t="str">
            <v>AUTOMOTIVE PARTS</v>
          </cell>
          <cell r="G1292" t="str">
            <v>north</v>
          </cell>
          <cell r="I1292" t="str">
            <v>7.3KG</v>
          </cell>
          <cell r="J1292" t="str">
            <v>341</v>
          </cell>
          <cell r="K1292">
            <v>6</v>
          </cell>
          <cell r="L1292" t="str">
            <v>23/04/2024</v>
          </cell>
          <cell r="M1292" t="str">
            <v>DELAYED</v>
          </cell>
          <cell r="N1292">
            <v>3</v>
          </cell>
          <cell r="O1292" t="str">
            <v xml:space="preserve">yes </v>
          </cell>
        </row>
        <row r="1293">
          <cell r="A1293" t="str">
            <v>SHP-100397</v>
          </cell>
          <cell r="B1293" t="str">
            <v>01-Apr-2024</v>
          </cell>
          <cell r="C1293" t="str">
            <v>CHENNAI</v>
          </cell>
          <cell r="D1293" t="str">
            <v xml:space="preserve">Dtdc </v>
          </cell>
          <cell r="E1293" t="str">
            <v>Air</v>
          </cell>
          <cell r="F1293" t="str">
            <v>apparel</v>
          </cell>
          <cell r="G1293" t="str">
            <v>WEST</v>
          </cell>
          <cell r="I1293" t="str">
            <v>2.3KG</v>
          </cell>
          <cell r="J1293" t="str">
            <v>₹267</v>
          </cell>
          <cell r="K1293">
            <v>4</v>
          </cell>
          <cell r="L1293" t="str">
            <v>11/04/2024</v>
          </cell>
          <cell r="M1293" t="str">
            <v xml:space="preserve">RETURNED </v>
          </cell>
          <cell r="O1293" t="str">
            <v xml:space="preserve"> No</v>
          </cell>
        </row>
        <row r="1294">
          <cell r="A1294" t="str">
            <v>SHP-100316</v>
          </cell>
          <cell r="B1294" t="str">
            <v xml:space="preserve"> 21/04/2024 </v>
          </cell>
          <cell r="C1294" t="str">
            <v>DELHI</v>
          </cell>
          <cell r="D1294" t="str">
            <v>DTDC</v>
          </cell>
          <cell r="E1294" t="str">
            <v xml:space="preserve"> ROAD </v>
          </cell>
          <cell r="F1294" t="str">
            <v xml:space="preserve">grocery  &amp; fmcg </v>
          </cell>
          <cell r="G1294" t="str">
            <v>south</v>
          </cell>
          <cell r="I1294" t="str">
            <v>13.8kg</v>
          </cell>
          <cell r="J1294" t="str">
            <v xml:space="preserve">Rs 330 </v>
          </cell>
          <cell r="K1294">
            <v>8</v>
          </cell>
          <cell r="L1294" t="str">
            <v>28-Apr-2024</v>
          </cell>
          <cell r="M1294" t="str">
            <v xml:space="preserve"> Delivered</v>
          </cell>
          <cell r="N1294">
            <v>4</v>
          </cell>
          <cell r="O1294" t="str">
            <v xml:space="preserve"> No</v>
          </cell>
        </row>
        <row r="1295">
          <cell r="A1295" t="str">
            <v>SHP-101107</v>
          </cell>
          <cell r="B1295" t="str">
            <v>02-Jan-2024</v>
          </cell>
          <cell r="C1295" t="str">
            <v xml:space="preserve">hyderabad </v>
          </cell>
          <cell r="D1295" t="str">
            <v>Blue Dart</v>
          </cell>
          <cell r="E1295" t="str">
            <v xml:space="preserve">surface </v>
          </cell>
          <cell r="F1295" t="str">
            <v xml:space="preserve"> FURNITURE </v>
          </cell>
          <cell r="G1295" t="str">
            <v xml:space="preserve">north </v>
          </cell>
          <cell r="I1295" t="str">
            <v xml:space="preserve">54.3 Kg </v>
          </cell>
          <cell r="J1295" t="str">
            <v xml:space="preserve">Rs 1315 </v>
          </cell>
          <cell r="K1295">
            <v>6</v>
          </cell>
          <cell r="L1295" t="str">
            <v xml:space="preserve"> 08/01/2024 </v>
          </cell>
          <cell r="M1295" t="str">
            <v>DELIVERED</v>
          </cell>
          <cell r="N1295">
            <v>4</v>
          </cell>
          <cell r="O1295" t="str">
            <v>Y</v>
          </cell>
        </row>
        <row r="1296">
          <cell r="A1296" t="str">
            <v>SHP-100336</v>
          </cell>
          <cell r="B1296" t="str">
            <v>03-Jun-2024</v>
          </cell>
          <cell r="C1296" t="str">
            <v>Bengaluru</v>
          </cell>
          <cell r="D1296" t="str">
            <v xml:space="preserve"> Delhivery</v>
          </cell>
          <cell r="E1296" t="str">
            <v>air</v>
          </cell>
          <cell r="F1296" t="str">
            <v xml:space="preserve">furniture </v>
          </cell>
          <cell r="G1296" t="str">
            <v>South</v>
          </cell>
          <cell r="I1296" t="str">
            <v>79.9</v>
          </cell>
          <cell r="J1296" t="str">
            <v xml:space="preserve">Rs 3572 </v>
          </cell>
          <cell r="K1296">
            <v>2</v>
          </cell>
          <cell r="L1296" t="str">
            <v>2024-06-06</v>
          </cell>
          <cell r="M1296" t="str">
            <v xml:space="preserve">delayed </v>
          </cell>
          <cell r="N1296">
            <v>2</v>
          </cell>
          <cell r="O1296" t="str">
            <v>Yes</v>
          </cell>
        </row>
        <row r="1297">
          <cell r="A1297" t="str">
            <v>SHP-101439</v>
          </cell>
          <cell r="B1297" t="str">
            <v>2024-05-04</v>
          </cell>
          <cell r="C1297" t="str">
            <v>mumbai</v>
          </cell>
          <cell r="D1297" t="str">
            <v xml:space="preserve">Dtdc </v>
          </cell>
          <cell r="E1297" t="str">
            <v xml:space="preserve">air </v>
          </cell>
          <cell r="F1297" t="str">
            <v xml:space="preserve"> ELECTRONICS </v>
          </cell>
          <cell r="G1297" t="str">
            <v>East</v>
          </cell>
          <cell r="I1297" t="str">
            <v>14.1KG</v>
          </cell>
          <cell r="J1297" t="str">
            <v xml:space="preserve">Rs 796 </v>
          </cell>
          <cell r="K1297">
            <v>4</v>
          </cell>
          <cell r="L1297" t="str">
            <v>2024-05-07</v>
          </cell>
          <cell r="M1297" t="str">
            <v>damaged</v>
          </cell>
          <cell r="O1297" t="str">
            <v>N</v>
          </cell>
        </row>
        <row r="1298">
          <cell r="A1298" t="str">
            <v>SHP-101167</v>
          </cell>
          <cell r="B1298" t="str">
            <v>18-Jan-2024</v>
          </cell>
          <cell r="C1298" t="str">
            <v>Hyderabad</v>
          </cell>
          <cell r="D1298" t="str">
            <v>bluedart</v>
          </cell>
          <cell r="E1298" t="str">
            <v>road</v>
          </cell>
          <cell r="F1298" t="str">
            <v xml:space="preserve"> FURNITURE </v>
          </cell>
          <cell r="G1298" t="str">
            <v xml:space="preserve">south </v>
          </cell>
          <cell r="I1298" t="str">
            <v>42.3kg</v>
          </cell>
          <cell r="J1298" t="str">
            <v>784</v>
          </cell>
          <cell r="K1298">
            <v>8</v>
          </cell>
          <cell r="L1298" t="str">
            <v>2024-01-27</v>
          </cell>
          <cell r="M1298" t="str">
            <v xml:space="preserve"> Delayed</v>
          </cell>
          <cell r="N1298">
            <v>2</v>
          </cell>
          <cell r="O1298" t="str">
            <v xml:space="preserve">yes </v>
          </cell>
        </row>
        <row r="1299">
          <cell r="A1299" t="str">
            <v>SHP-101195</v>
          </cell>
          <cell r="B1299" t="str">
            <v>20/05/2024</v>
          </cell>
          <cell r="C1299" t="str">
            <v>Kolkata</v>
          </cell>
          <cell r="D1299" t="str">
            <v>xpressbees</v>
          </cell>
          <cell r="E1299" t="str">
            <v>Road</v>
          </cell>
          <cell r="F1299" t="str">
            <v>FURNITURE</v>
          </cell>
          <cell r="G1299" t="str">
            <v xml:space="preserve"> SOUTH </v>
          </cell>
          <cell r="I1299" t="str">
            <v>62.7KG</v>
          </cell>
          <cell r="J1299" t="str">
            <v>1,007</v>
          </cell>
          <cell r="K1299">
            <v>8</v>
          </cell>
          <cell r="L1299" t="str">
            <v>28/05/2024</v>
          </cell>
          <cell r="M1299" t="str">
            <v>Delivered</v>
          </cell>
          <cell r="N1299">
            <v>4</v>
          </cell>
          <cell r="O1299" t="str">
            <v>Yes</v>
          </cell>
        </row>
        <row r="1300">
          <cell r="A1300" t="str">
            <v>SHP-100508</v>
          </cell>
          <cell r="B1300" t="str">
            <v>14/03/2024</v>
          </cell>
          <cell r="C1300" t="str">
            <v xml:space="preserve"> DELHI </v>
          </cell>
          <cell r="D1300" t="str">
            <v xml:space="preserve"> XPRESSBEES</v>
          </cell>
          <cell r="E1300" t="str">
            <v>SURFACE</v>
          </cell>
          <cell r="F1300" t="str">
            <v>ELECTRONICS</v>
          </cell>
          <cell r="G1300" t="str">
            <v>NORTH</v>
          </cell>
          <cell r="I1300" t="str">
            <v>4.7kg</v>
          </cell>
          <cell r="J1300" t="str">
            <v>96</v>
          </cell>
          <cell r="K1300">
            <v>4</v>
          </cell>
          <cell r="L1300" t="str">
            <v>20/03/2024</v>
          </cell>
          <cell r="M1300" t="str">
            <v>Delayed</v>
          </cell>
          <cell r="N1300">
            <v>4</v>
          </cell>
          <cell r="O1300" t="str">
            <v xml:space="preserve"> No</v>
          </cell>
        </row>
        <row r="1301">
          <cell r="A1301" t="str">
            <v>SHP-100348</v>
          </cell>
          <cell r="B1301" t="str">
            <v>2024-03-28</v>
          </cell>
          <cell r="C1301" t="str">
            <v>Bengaluru</v>
          </cell>
          <cell r="D1301" t="str">
            <v xml:space="preserve"> Delhivery</v>
          </cell>
          <cell r="E1301" t="str">
            <v>Surface</v>
          </cell>
          <cell r="F1301" t="str">
            <v>grocery &amp; fmcg</v>
          </cell>
          <cell r="G1301" t="str">
            <v xml:space="preserve">west </v>
          </cell>
          <cell r="I1301" t="str">
            <v xml:space="preserve">9.9 Kg </v>
          </cell>
          <cell r="J1301" t="str">
            <v xml:space="preserve">Rs 419 </v>
          </cell>
          <cell r="K1301">
            <v>6</v>
          </cell>
          <cell r="L1301" t="str">
            <v xml:space="preserve"> 04/04/2024 </v>
          </cell>
          <cell r="M1301" t="str">
            <v xml:space="preserve">delayed </v>
          </cell>
          <cell r="N1301">
            <v>3</v>
          </cell>
          <cell r="O1301" t="str">
            <v>Yes</v>
          </cell>
        </row>
        <row r="1302">
          <cell r="A1302" t="str">
            <v>SHP-100955</v>
          </cell>
          <cell r="B1302" t="str">
            <v>26-Apr-2024</v>
          </cell>
          <cell r="C1302" t="str">
            <v xml:space="preserve">delhi </v>
          </cell>
          <cell r="D1302" t="str">
            <v>dtdc</v>
          </cell>
          <cell r="E1302" t="str">
            <v>ROAD</v>
          </cell>
          <cell r="F1302" t="str">
            <v>APPAREL</v>
          </cell>
          <cell r="G1302" t="str">
            <v>North</v>
          </cell>
          <cell r="I1302" t="str">
            <v>7.9</v>
          </cell>
          <cell r="J1302" t="str">
            <v>128</v>
          </cell>
          <cell r="K1302">
            <v>6</v>
          </cell>
          <cell r="L1302" t="str">
            <v xml:space="preserve"> 04/05/2024 </v>
          </cell>
          <cell r="M1302" t="str">
            <v>DELAYED</v>
          </cell>
          <cell r="N1302">
            <v>1</v>
          </cell>
          <cell r="O1302" t="str">
            <v>Y</v>
          </cell>
        </row>
        <row r="1303">
          <cell r="A1303" t="str">
            <v>SHP-101238</v>
          </cell>
          <cell r="B1303" t="str">
            <v xml:space="preserve"> 24/03/2024 </v>
          </cell>
          <cell r="C1303" t="str">
            <v>chennai</v>
          </cell>
          <cell r="D1303" t="str">
            <v>DTDC</v>
          </cell>
          <cell r="E1303" t="str">
            <v xml:space="preserve">road </v>
          </cell>
          <cell r="F1303" t="str">
            <v>APPAREL</v>
          </cell>
          <cell r="G1303" t="str">
            <v xml:space="preserve"> SOUTH </v>
          </cell>
          <cell r="I1303" t="str">
            <v>2.6</v>
          </cell>
          <cell r="J1303" t="str">
            <v>80</v>
          </cell>
          <cell r="K1303">
            <v>6</v>
          </cell>
          <cell r="L1303" t="str">
            <v xml:space="preserve"> 31/03/2024 </v>
          </cell>
          <cell r="M1303" t="str">
            <v xml:space="preserve">delayed </v>
          </cell>
          <cell r="N1303">
            <v>5</v>
          </cell>
          <cell r="O1303" t="str">
            <v>N</v>
          </cell>
        </row>
        <row r="1304">
          <cell r="A1304" t="str">
            <v>SHP-100392</v>
          </cell>
          <cell r="B1304" t="str">
            <v>2024-04-17</v>
          </cell>
          <cell r="C1304" t="str">
            <v xml:space="preserve">hyderabad </v>
          </cell>
          <cell r="D1304" t="str">
            <v>Ecom Express</v>
          </cell>
          <cell r="E1304" t="str">
            <v>Air</v>
          </cell>
          <cell r="F1304" t="str">
            <v>GROCERY &amp; FMCG</v>
          </cell>
          <cell r="G1304" t="str">
            <v>north</v>
          </cell>
          <cell r="I1304" t="str">
            <v xml:space="preserve">15.2 Kg </v>
          </cell>
          <cell r="J1304" t="str">
            <v xml:space="preserve">Rs 868 </v>
          </cell>
          <cell r="K1304">
            <v>4</v>
          </cell>
          <cell r="L1304" t="str">
            <v xml:space="preserve"> 20/04/2024 </v>
          </cell>
          <cell r="M1304" t="str">
            <v xml:space="preserve"> Delivered</v>
          </cell>
          <cell r="N1304">
            <v>2</v>
          </cell>
          <cell r="O1304" t="str">
            <v>N</v>
          </cell>
        </row>
        <row r="1305">
          <cell r="A1305" t="str">
            <v>SHP-100855</v>
          </cell>
          <cell r="B1305" t="str">
            <v xml:space="preserve"> 27/01/2024 </v>
          </cell>
          <cell r="C1305" t="str">
            <v xml:space="preserve"> KOLKATA </v>
          </cell>
          <cell r="D1305" t="str">
            <v xml:space="preserve"> XPRESSBEES</v>
          </cell>
          <cell r="E1305" t="str">
            <v>air</v>
          </cell>
          <cell r="F1305" t="str">
            <v>APPAREL</v>
          </cell>
          <cell r="G1305" t="str">
            <v>EAST</v>
          </cell>
          <cell r="I1305" t="str">
            <v>7.6KG</v>
          </cell>
          <cell r="J1305" t="str">
            <v>₹332</v>
          </cell>
          <cell r="K1305">
            <v>2</v>
          </cell>
          <cell r="L1305" t="str">
            <v>2024-01-28</v>
          </cell>
          <cell r="M1305" t="str">
            <v>delivered</v>
          </cell>
          <cell r="N1305">
            <v>3</v>
          </cell>
          <cell r="O1305" t="str">
            <v>N</v>
          </cell>
        </row>
        <row r="1306">
          <cell r="A1306" t="str">
            <v>SHP-101461</v>
          </cell>
          <cell r="B1306" t="str">
            <v>01-Jan-2024</v>
          </cell>
          <cell r="C1306" t="str">
            <v>hyderabad</v>
          </cell>
          <cell r="D1306" t="str">
            <v xml:space="preserve"> DTDC</v>
          </cell>
          <cell r="E1306" t="str">
            <v>SURFACE</v>
          </cell>
          <cell r="F1306" t="str">
            <v xml:space="preserve"> PHARMA </v>
          </cell>
          <cell r="G1306" t="str">
            <v>north</v>
          </cell>
          <cell r="I1306" t="str">
            <v xml:space="preserve">2.6 Kg </v>
          </cell>
          <cell r="J1306" t="str">
            <v>₹188</v>
          </cell>
          <cell r="K1306">
            <v>6</v>
          </cell>
          <cell r="L1306" t="str">
            <v xml:space="preserve"> 13/01/2024 </v>
          </cell>
          <cell r="M1306" t="str">
            <v xml:space="preserve">delayed </v>
          </cell>
          <cell r="N1306">
            <v>3</v>
          </cell>
          <cell r="O1306" t="str">
            <v>Y</v>
          </cell>
        </row>
        <row r="1307">
          <cell r="A1307" t="str">
            <v>SHP-101270</v>
          </cell>
          <cell r="B1307" t="str">
            <v>22-Apr-2024</v>
          </cell>
          <cell r="C1307" t="str">
            <v>chennai</v>
          </cell>
          <cell r="D1307" t="str">
            <v xml:space="preserve"> XPRESSBEES</v>
          </cell>
          <cell r="E1307" t="str">
            <v xml:space="preserve"> AIR </v>
          </cell>
          <cell r="F1307" t="str">
            <v>PHARMA</v>
          </cell>
          <cell r="G1307" t="str">
            <v>NORTH</v>
          </cell>
          <cell r="I1307" t="str">
            <v>2.9</v>
          </cell>
          <cell r="J1307" t="str">
            <v>313</v>
          </cell>
          <cell r="K1307">
            <v>4</v>
          </cell>
          <cell r="L1307" t="str">
            <v>02/05/2024</v>
          </cell>
          <cell r="M1307" t="str">
            <v>Delayed</v>
          </cell>
          <cell r="N1307">
            <v>2</v>
          </cell>
          <cell r="O1307" t="str">
            <v xml:space="preserve"> No</v>
          </cell>
        </row>
        <row r="1308">
          <cell r="A1308" t="str">
            <v>SHP-100733</v>
          </cell>
          <cell r="B1308" t="str">
            <v>15/01/2024</v>
          </cell>
          <cell r="C1308" t="str">
            <v>CHENNAI</v>
          </cell>
          <cell r="D1308" t="str">
            <v>xpressbees</v>
          </cell>
          <cell r="E1308" t="str">
            <v>Air</v>
          </cell>
          <cell r="F1308" t="str">
            <v>Furniture</v>
          </cell>
          <cell r="G1308" t="str">
            <v>east</v>
          </cell>
          <cell r="I1308" t="str">
            <v>24.2</v>
          </cell>
          <cell r="J1308" t="str">
            <v>1,269</v>
          </cell>
          <cell r="K1308">
            <v>4</v>
          </cell>
          <cell r="L1308" t="str">
            <v>2024-01-28</v>
          </cell>
          <cell r="M1308" t="str">
            <v>DELAYED</v>
          </cell>
          <cell r="N1308">
            <v>4</v>
          </cell>
          <cell r="O1308" t="str">
            <v>YES</v>
          </cell>
        </row>
        <row r="1309">
          <cell r="A1309" t="str">
            <v>SHP-100839</v>
          </cell>
          <cell r="B1309" t="str">
            <v xml:space="preserve"> 08/06/2024 </v>
          </cell>
          <cell r="C1309" t="str">
            <v>chennai</v>
          </cell>
          <cell r="D1309" t="str">
            <v>BlueDart</v>
          </cell>
          <cell r="E1309" t="str">
            <v xml:space="preserve"> ROAD </v>
          </cell>
          <cell r="F1309" t="str">
            <v>electronics</v>
          </cell>
          <cell r="G1309" t="str">
            <v xml:space="preserve"> NORTH </v>
          </cell>
          <cell r="I1309" t="str">
            <v>7.6kg</v>
          </cell>
          <cell r="J1309" t="str">
            <v>₹304</v>
          </cell>
          <cell r="K1309">
            <v>8</v>
          </cell>
          <cell r="L1309" t="str">
            <v>2024-06-20</v>
          </cell>
          <cell r="M1309" t="str">
            <v>Delayed</v>
          </cell>
          <cell r="N1309">
            <v>2</v>
          </cell>
          <cell r="O1309" t="str">
            <v xml:space="preserve"> No</v>
          </cell>
        </row>
        <row r="1310">
          <cell r="A1310" t="str">
            <v>SHP-100577</v>
          </cell>
          <cell r="B1310" t="str">
            <v>2024-05-16</v>
          </cell>
          <cell r="C1310" t="str">
            <v>Delhi</v>
          </cell>
          <cell r="D1310" t="str">
            <v xml:space="preserve">Dtdc </v>
          </cell>
          <cell r="E1310" t="str">
            <v xml:space="preserve">road </v>
          </cell>
          <cell r="F1310" t="str">
            <v xml:space="preserve">apparel </v>
          </cell>
          <cell r="G1310" t="str">
            <v xml:space="preserve"> WEST </v>
          </cell>
          <cell r="I1310" t="str">
            <v>5.3KG</v>
          </cell>
          <cell r="J1310" t="str">
            <v>₹224</v>
          </cell>
          <cell r="K1310">
            <v>8</v>
          </cell>
          <cell r="L1310" t="str">
            <v>25-May-2024</v>
          </cell>
          <cell r="M1310" t="str">
            <v xml:space="preserve"> Delayed</v>
          </cell>
          <cell r="N1310">
            <v>5</v>
          </cell>
          <cell r="O1310" t="str">
            <v>no</v>
          </cell>
        </row>
        <row r="1311">
          <cell r="A1311" t="str">
            <v>SHP-100184</v>
          </cell>
          <cell r="B1311" t="str">
            <v>2024-04-20</v>
          </cell>
          <cell r="C1311" t="str">
            <v>BENGALURU</v>
          </cell>
          <cell r="D1311" t="str">
            <v xml:space="preserve">Dtdc </v>
          </cell>
          <cell r="E1311" t="str">
            <v>surface</v>
          </cell>
          <cell r="F1311" t="str">
            <v xml:space="preserve">automotive parts </v>
          </cell>
          <cell r="G1311" t="str">
            <v>north</v>
          </cell>
          <cell r="I1311" t="str">
            <v>22.6</v>
          </cell>
          <cell r="J1311" t="str">
            <v>669</v>
          </cell>
          <cell r="K1311">
            <v>6</v>
          </cell>
          <cell r="L1311" t="str">
            <v>29-Apr-2024</v>
          </cell>
          <cell r="M1311" t="str">
            <v xml:space="preserve">delayed </v>
          </cell>
          <cell r="N1311">
            <v>5</v>
          </cell>
          <cell r="O1311" t="str">
            <v>Y</v>
          </cell>
        </row>
        <row r="1312">
          <cell r="A1312" t="str">
            <v>SHP-100815</v>
          </cell>
          <cell r="B1312" t="str">
            <v>15/01/2024</v>
          </cell>
          <cell r="C1312" t="str">
            <v xml:space="preserve"> MUMBAI </v>
          </cell>
          <cell r="D1312" t="str">
            <v>xpressbees</v>
          </cell>
          <cell r="E1312" t="str">
            <v>air</v>
          </cell>
          <cell r="F1312" t="str">
            <v>Grocery &amp; FMCG</v>
          </cell>
          <cell r="G1312" t="str">
            <v xml:space="preserve">east </v>
          </cell>
          <cell r="I1312" t="str">
            <v>12.1kg</v>
          </cell>
          <cell r="J1312" t="str">
            <v>₹718</v>
          </cell>
          <cell r="K1312">
            <v>4</v>
          </cell>
          <cell r="L1312" t="str">
            <v xml:space="preserve"> 19/01/2024 </v>
          </cell>
          <cell r="M1312" t="str">
            <v xml:space="preserve"> Delivered</v>
          </cell>
          <cell r="N1312">
            <v>3</v>
          </cell>
          <cell r="O1312" t="str">
            <v>Yes</v>
          </cell>
        </row>
        <row r="1313">
          <cell r="A1313" t="str">
            <v>SHP-101097</v>
          </cell>
          <cell r="B1313" t="str">
            <v xml:space="preserve"> 08/01/2024 </v>
          </cell>
          <cell r="C1313" t="str">
            <v>CHENNAI</v>
          </cell>
          <cell r="D1313" t="str">
            <v xml:space="preserve"> DTDC</v>
          </cell>
          <cell r="E1313" t="str">
            <v>Surface</v>
          </cell>
          <cell r="F1313" t="str">
            <v>Furniture</v>
          </cell>
          <cell r="G1313" t="str">
            <v>SOUTH</v>
          </cell>
          <cell r="I1313" t="str">
            <v>40.3</v>
          </cell>
          <cell r="J1313" t="str">
            <v>867</v>
          </cell>
          <cell r="K1313">
            <v>4</v>
          </cell>
          <cell r="L1313" t="str">
            <v>16-Jan-2024</v>
          </cell>
          <cell r="M1313" t="str">
            <v xml:space="preserve">delayed </v>
          </cell>
          <cell r="N1313">
            <v>2</v>
          </cell>
          <cell r="O1313" t="str">
            <v xml:space="preserve">yes </v>
          </cell>
        </row>
        <row r="1314">
          <cell r="A1314" t="str">
            <v>SHP-100100</v>
          </cell>
          <cell r="B1314" t="str">
            <v>2024-03-08</v>
          </cell>
          <cell r="C1314" t="str">
            <v>kolkata</v>
          </cell>
          <cell r="D1314" t="str">
            <v xml:space="preserve"> Delhivery</v>
          </cell>
          <cell r="E1314" t="str">
            <v>SURFACE</v>
          </cell>
          <cell r="F1314" t="str">
            <v xml:space="preserve">pharma </v>
          </cell>
          <cell r="G1314" t="str">
            <v>SOUTH</v>
          </cell>
          <cell r="I1314" t="str">
            <v>3.3KG</v>
          </cell>
          <cell r="J1314" t="str">
            <v>₹248</v>
          </cell>
          <cell r="K1314">
            <v>6</v>
          </cell>
          <cell r="L1314" t="str">
            <v xml:space="preserve"> 15/03/2024 </v>
          </cell>
          <cell r="M1314" t="str">
            <v>Delayed</v>
          </cell>
          <cell r="N1314">
            <v>2</v>
          </cell>
          <cell r="O1314" t="str">
            <v>N</v>
          </cell>
        </row>
        <row r="1315">
          <cell r="A1315" t="str">
            <v>SHP-100624</v>
          </cell>
          <cell r="B1315" t="str">
            <v>21-Apr-2024</v>
          </cell>
          <cell r="C1315" t="str">
            <v>CHENNAI</v>
          </cell>
          <cell r="D1315" t="str">
            <v>delhivery</v>
          </cell>
          <cell r="E1315" t="str">
            <v xml:space="preserve"> ROAD </v>
          </cell>
          <cell r="F1315" t="str">
            <v xml:space="preserve"> AUTOMOTIVE PARTS </v>
          </cell>
          <cell r="G1315" t="str">
            <v>EAST</v>
          </cell>
          <cell r="I1315" t="str">
            <v xml:space="preserve">37.0 Kg </v>
          </cell>
          <cell r="J1315" t="str">
            <v>₹682</v>
          </cell>
          <cell r="K1315">
            <v>8</v>
          </cell>
          <cell r="L1315" t="str">
            <v>06-May-2024</v>
          </cell>
          <cell r="M1315" t="str">
            <v xml:space="preserve">delayed </v>
          </cell>
          <cell r="N1315">
            <v>3</v>
          </cell>
          <cell r="O1315" t="str">
            <v>YES</v>
          </cell>
        </row>
        <row r="1316">
          <cell r="I1316" t="str">
            <v xml:space="preserve">3.7 Kg </v>
          </cell>
        </row>
        <row r="1317">
          <cell r="A1317" t="str">
            <v>SHP-100932</v>
          </cell>
          <cell r="B1317" t="str">
            <v>11-Jun-2024</v>
          </cell>
          <cell r="C1317" t="str">
            <v>CHENNAI</v>
          </cell>
          <cell r="D1317" t="str">
            <v xml:space="preserve">BLUEDART </v>
          </cell>
          <cell r="E1317" t="str">
            <v xml:space="preserve">road </v>
          </cell>
          <cell r="F1317" t="str">
            <v>GROCERY  &amp; FMCG</v>
          </cell>
          <cell r="G1317" t="str">
            <v>West</v>
          </cell>
          <cell r="I1317" t="str">
            <v>14.5</v>
          </cell>
          <cell r="J1317" t="str">
            <v>₹376</v>
          </cell>
          <cell r="K1317">
            <v>8</v>
          </cell>
          <cell r="L1317" t="str">
            <v>20-Jun-2024</v>
          </cell>
          <cell r="M1317" t="str">
            <v>DELAYED</v>
          </cell>
          <cell r="N1317">
            <v>3</v>
          </cell>
          <cell r="O1317" t="str">
            <v>YES</v>
          </cell>
        </row>
        <row r="1318">
          <cell r="A1318" t="str">
            <v>SHP-100061</v>
          </cell>
          <cell r="B1318" t="str">
            <v xml:space="preserve"> 27/01/2024 </v>
          </cell>
          <cell r="C1318" t="str">
            <v>CHENNAI</v>
          </cell>
          <cell r="D1318" t="str">
            <v>xpressbees</v>
          </cell>
          <cell r="E1318" t="str">
            <v>surface</v>
          </cell>
          <cell r="F1318" t="str">
            <v>Electronics</v>
          </cell>
          <cell r="G1318" t="str">
            <v xml:space="preserve">north </v>
          </cell>
          <cell r="I1318" t="str">
            <v>5.2kg</v>
          </cell>
          <cell r="J1318" t="str">
            <v>278</v>
          </cell>
          <cell r="K1318">
            <v>6</v>
          </cell>
          <cell r="L1318" t="str">
            <v>2024-02-04</v>
          </cell>
          <cell r="M1318" t="str">
            <v xml:space="preserve">delayed </v>
          </cell>
          <cell r="N1318">
            <v>2</v>
          </cell>
          <cell r="O1318" t="str">
            <v xml:space="preserve">yes </v>
          </cell>
        </row>
        <row r="1319">
          <cell r="A1319" t="str">
            <v>SHP-100201</v>
          </cell>
          <cell r="B1319" t="str">
            <v>23-Jan-2024</v>
          </cell>
          <cell r="C1319" t="str">
            <v>Bengaluru</v>
          </cell>
          <cell r="D1319" t="str">
            <v xml:space="preserve"> DTDC</v>
          </cell>
          <cell r="E1319" t="str">
            <v>air</v>
          </cell>
          <cell r="F1319" t="str">
            <v xml:space="preserve">furniture  </v>
          </cell>
          <cell r="G1319" t="str">
            <v>east</v>
          </cell>
          <cell r="I1319" t="str">
            <v>29.7kg</v>
          </cell>
          <cell r="J1319" t="str">
            <v>₹1,534</v>
          </cell>
          <cell r="K1319">
            <v>4</v>
          </cell>
          <cell r="L1319" t="str">
            <v xml:space="preserve"> 28/01/2024 </v>
          </cell>
          <cell r="M1319" t="str">
            <v xml:space="preserve"> Delayed</v>
          </cell>
          <cell r="N1319">
            <v>2</v>
          </cell>
          <cell r="O1319" t="str">
            <v>No</v>
          </cell>
        </row>
        <row r="1320">
          <cell r="A1320" t="str">
            <v>SHP-100338</v>
          </cell>
          <cell r="B1320" t="str">
            <v xml:space="preserve"> 16/05/2024 </v>
          </cell>
          <cell r="C1320" t="str">
            <v xml:space="preserve"> HYDERABAD </v>
          </cell>
          <cell r="D1320" t="str">
            <v>bluedart</v>
          </cell>
          <cell r="E1320" t="str">
            <v xml:space="preserve">surface </v>
          </cell>
          <cell r="F1320" t="str">
            <v>electronics</v>
          </cell>
          <cell r="G1320" t="str">
            <v>WEST</v>
          </cell>
          <cell r="I1320" t="str">
            <v>1.1kg</v>
          </cell>
          <cell r="J1320" t="str">
            <v>80</v>
          </cell>
          <cell r="K1320">
            <v>4</v>
          </cell>
          <cell r="L1320" t="str">
            <v>21/05/2024</v>
          </cell>
          <cell r="M1320" t="str">
            <v>DELAYED</v>
          </cell>
          <cell r="N1320">
            <v>1</v>
          </cell>
          <cell r="O1320" t="str">
            <v>Yes</v>
          </cell>
        </row>
        <row r="1321">
          <cell r="A1321" t="str">
            <v>SHP-100433</v>
          </cell>
          <cell r="B1321" t="str">
            <v>27/02/2024</v>
          </cell>
          <cell r="C1321" t="str">
            <v>Kolkata</v>
          </cell>
          <cell r="D1321" t="str">
            <v>Delhivery</v>
          </cell>
          <cell r="E1321" t="str">
            <v>Road</v>
          </cell>
          <cell r="F1321" t="str">
            <v xml:space="preserve">apparel </v>
          </cell>
          <cell r="G1321" t="str">
            <v>EAST</v>
          </cell>
          <cell r="I1321" t="str">
            <v>3.7</v>
          </cell>
          <cell r="J1321" t="str">
            <v>₹80</v>
          </cell>
          <cell r="K1321">
            <v>6</v>
          </cell>
          <cell r="L1321" t="str">
            <v>2024-03-04</v>
          </cell>
          <cell r="M1321" t="str">
            <v xml:space="preserve"> Delivered</v>
          </cell>
          <cell r="N1321">
            <v>3</v>
          </cell>
          <cell r="O1321" t="str">
            <v>No</v>
          </cell>
        </row>
        <row r="1322">
          <cell r="A1322" t="str">
            <v>SHP-100534</v>
          </cell>
          <cell r="B1322" t="str">
            <v>2024-03-01</v>
          </cell>
          <cell r="C1322" t="str">
            <v xml:space="preserve"> DELHI </v>
          </cell>
          <cell r="D1322" t="str">
            <v>ECOM EXPRESS</v>
          </cell>
          <cell r="E1322" t="str">
            <v>road</v>
          </cell>
          <cell r="F1322" t="str">
            <v xml:space="preserve">grocery &amp; fmcg </v>
          </cell>
          <cell r="G1322" t="str">
            <v>NORTH</v>
          </cell>
          <cell r="I1322" t="str">
            <v xml:space="preserve">14.8 Kg </v>
          </cell>
          <cell r="J1322" t="str">
            <v xml:space="preserve">Rs 235 </v>
          </cell>
          <cell r="K1322">
            <v>6</v>
          </cell>
          <cell r="L1322" t="str">
            <v xml:space="preserve"> 06/03/2024 </v>
          </cell>
          <cell r="M1322" t="str">
            <v xml:space="preserve"> Delivered</v>
          </cell>
          <cell r="N1322">
            <v>5</v>
          </cell>
          <cell r="O1322" t="str">
            <v>No</v>
          </cell>
        </row>
        <row r="1323">
          <cell r="A1323" t="str">
            <v>SHP-101512</v>
          </cell>
          <cell r="B1323" t="str">
            <v xml:space="preserve"> 28/06/2024 </v>
          </cell>
          <cell r="C1323" t="str">
            <v xml:space="preserve"> BENGALURU </v>
          </cell>
          <cell r="D1323" t="str">
            <v>ecom express</v>
          </cell>
          <cell r="E1323" t="str">
            <v xml:space="preserve">surface </v>
          </cell>
          <cell r="F1323" t="str">
            <v>automotive parts</v>
          </cell>
          <cell r="G1323" t="str">
            <v>east</v>
          </cell>
          <cell r="I1323" t="str">
            <v>19.8KG</v>
          </cell>
          <cell r="J1323" t="str">
            <v xml:space="preserve">Rs 605 </v>
          </cell>
          <cell r="K1323">
            <v>6</v>
          </cell>
          <cell r="M1323" t="str">
            <v>In transit</v>
          </cell>
          <cell r="O1323" t="str">
            <v xml:space="preserve"> No</v>
          </cell>
        </row>
        <row r="1324">
          <cell r="A1324" t="str">
            <v>SHP-100832</v>
          </cell>
          <cell r="B1324" t="str">
            <v xml:space="preserve"> 03/05/2024 </v>
          </cell>
          <cell r="C1324" t="str">
            <v>KOLKATA</v>
          </cell>
          <cell r="D1324" t="str">
            <v>ECOM EXPRESS</v>
          </cell>
          <cell r="E1324" t="str">
            <v>air</v>
          </cell>
          <cell r="F1324" t="str">
            <v>FURNITURE</v>
          </cell>
          <cell r="G1324" t="str">
            <v xml:space="preserve">west </v>
          </cell>
          <cell r="I1324" t="str">
            <v>52.5kg</v>
          </cell>
          <cell r="J1324" t="str">
            <v xml:space="preserve">Rs 2518 </v>
          </cell>
          <cell r="K1324">
            <v>4</v>
          </cell>
          <cell r="L1324" t="str">
            <v>2024-05-15</v>
          </cell>
          <cell r="M1324" t="str">
            <v>DELAYED</v>
          </cell>
          <cell r="N1324">
            <v>2</v>
          </cell>
          <cell r="O1324" t="str">
            <v>N</v>
          </cell>
        </row>
        <row r="1325">
          <cell r="A1325" t="str">
            <v>SHP-100841</v>
          </cell>
          <cell r="B1325" t="str">
            <v>05-Feb-2024</v>
          </cell>
          <cell r="C1325" t="str">
            <v xml:space="preserve"> KOLKATA </v>
          </cell>
          <cell r="D1325" t="str">
            <v xml:space="preserve"> XPRESSBEES</v>
          </cell>
          <cell r="E1325" t="str">
            <v xml:space="preserve">air </v>
          </cell>
          <cell r="F1325" t="str">
            <v xml:space="preserve"> PHARMA </v>
          </cell>
          <cell r="G1325" t="str">
            <v>South</v>
          </cell>
          <cell r="I1325" t="str">
            <v>1.5</v>
          </cell>
          <cell r="J1325" t="str">
            <v xml:space="preserve">Rs 221 </v>
          </cell>
          <cell r="K1325">
            <v>4</v>
          </cell>
          <cell r="L1325" t="str">
            <v>08-Feb-2024</v>
          </cell>
          <cell r="M1325" t="str">
            <v xml:space="preserve"> Delivered</v>
          </cell>
          <cell r="N1325">
            <v>5</v>
          </cell>
          <cell r="O1325" t="str">
            <v>Yes</v>
          </cell>
        </row>
        <row r="1326">
          <cell r="A1326" t="str">
            <v>SHP-101447</v>
          </cell>
          <cell r="B1326" t="str">
            <v>26-Jun-2024</v>
          </cell>
          <cell r="C1326" t="str">
            <v xml:space="preserve">hyderabad </v>
          </cell>
          <cell r="D1326" t="str">
            <v xml:space="preserve">BLUEDART </v>
          </cell>
          <cell r="E1326" t="str">
            <v>air</v>
          </cell>
          <cell r="F1326" t="str">
            <v xml:space="preserve">apparel </v>
          </cell>
          <cell r="G1326" t="str">
            <v>east</v>
          </cell>
          <cell r="I1326" t="str">
            <v>2.7kg</v>
          </cell>
          <cell r="J1326" t="str">
            <v>₹291</v>
          </cell>
          <cell r="K1326">
            <v>4</v>
          </cell>
          <cell r="L1326" t="str">
            <v xml:space="preserve"> 03/07/2024 </v>
          </cell>
          <cell r="M1326" t="str">
            <v xml:space="preserve"> Delayed</v>
          </cell>
          <cell r="N1326">
            <v>2</v>
          </cell>
          <cell r="O1326" t="str">
            <v xml:space="preserve"> No</v>
          </cell>
        </row>
        <row r="1327">
          <cell r="A1327" t="str">
            <v>SHP-100465</v>
          </cell>
          <cell r="B1327" t="str">
            <v>17/03/2024</v>
          </cell>
          <cell r="C1327" t="str">
            <v>delhi</v>
          </cell>
          <cell r="D1327" t="str">
            <v>Ecom  Express</v>
          </cell>
          <cell r="E1327" t="str">
            <v xml:space="preserve"> ROAD </v>
          </cell>
          <cell r="F1327" t="str">
            <v>automotive parts</v>
          </cell>
          <cell r="G1327" t="str">
            <v>West</v>
          </cell>
          <cell r="I1327" t="str">
            <v>31.4</v>
          </cell>
          <cell r="J1327" t="str">
            <v>₹647</v>
          </cell>
          <cell r="K1327">
            <v>8</v>
          </cell>
          <cell r="L1327" t="str">
            <v>2024-03-27</v>
          </cell>
          <cell r="M1327" t="str">
            <v>DELAYED</v>
          </cell>
          <cell r="N1327">
            <v>2</v>
          </cell>
          <cell r="O1327" t="str">
            <v>No</v>
          </cell>
        </row>
        <row r="1328">
          <cell r="A1328" t="str">
            <v>SHP-100879</v>
          </cell>
          <cell r="B1328" t="str">
            <v>2024-05-02</v>
          </cell>
          <cell r="C1328" t="str">
            <v>Chennai</v>
          </cell>
          <cell r="D1328" t="str">
            <v>XpressBees</v>
          </cell>
          <cell r="E1328" t="str">
            <v>Air</v>
          </cell>
          <cell r="F1328" t="str">
            <v>FURNITURE</v>
          </cell>
          <cell r="G1328" t="str">
            <v>NORTH</v>
          </cell>
          <cell r="I1328" t="str">
            <v>68.3KG</v>
          </cell>
          <cell r="J1328" t="str">
            <v xml:space="preserve">Rs 3255 </v>
          </cell>
          <cell r="K1328">
            <v>4</v>
          </cell>
          <cell r="L1328" t="str">
            <v>2024-05-06</v>
          </cell>
          <cell r="M1328" t="str">
            <v xml:space="preserve"> DAMAGED</v>
          </cell>
          <cell r="O1328" t="str">
            <v>no</v>
          </cell>
        </row>
        <row r="1329">
          <cell r="A1329" t="str">
            <v>SHP-101233</v>
          </cell>
          <cell r="B1329" t="str">
            <v>2024-05-09</v>
          </cell>
          <cell r="C1329" t="str">
            <v>bengaluru</v>
          </cell>
          <cell r="D1329" t="str">
            <v xml:space="preserve"> DTDC</v>
          </cell>
          <cell r="E1329" t="str">
            <v>air</v>
          </cell>
          <cell r="F1329" t="str">
            <v>Furniture</v>
          </cell>
          <cell r="G1329" t="str">
            <v xml:space="preserve"> EAST </v>
          </cell>
          <cell r="I1329" t="str">
            <v>53.1kg</v>
          </cell>
          <cell r="J1329" t="str">
            <v>2,558</v>
          </cell>
          <cell r="K1329">
            <v>4</v>
          </cell>
          <cell r="L1329" t="str">
            <v>17-May-2024</v>
          </cell>
          <cell r="M1329" t="str">
            <v>DELAYED</v>
          </cell>
          <cell r="N1329">
            <v>3</v>
          </cell>
          <cell r="O1329" t="str">
            <v>YES</v>
          </cell>
        </row>
        <row r="1330">
          <cell r="A1330" t="str">
            <v>SHP-100785</v>
          </cell>
          <cell r="B1330" t="str">
            <v>25-Jan-2024</v>
          </cell>
          <cell r="C1330" t="str">
            <v>Bengaluru</v>
          </cell>
          <cell r="D1330" t="str">
            <v>bluedart</v>
          </cell>
          <cell r="E1330" t="str">
            <v>road</v>
          </cell>
          <cell r="F1330" t="str">
            <v xml:space="preserve">apparel  </v>
          </cell>
          <cell r="G1330" t="str">
            <v xml:space="preserve"> WEST </v>
          </cell>
          <cell r="I1330" t="str">
            <v xml:space="preserve">0.9 Kg </v>
          </cell>
          <cell r="J1330" t="str">
            <v>174</v>
          </cell>
          <cell r="K1330">
            <v>8</v>
          </cell>
          <cell r="L1330" t="str">
            <v>03-Feb-2024</v>
          </cell>
          <cell r="M1330" t="str">
            <v xml:space="preserve">delayed </v>
          </cell>
          <cell r="N1330">
            <v>2</v>
          </cell>
          <cell r="O1330" t="str">
            <v>Yes</v>
          </cell>
        </row>
        <row r="1331">
          <cell r="A1331" t="str">
            <v>SHP-100514</v>
          </cell>
          <cell r="B1331" t="str">
            <v>2024-03-11</v>
          </cell>
          <cell r="C1331" t="str">
            <v>CHENNAI</v>
          </cell>
          <cell r="D1331" t="str">
            <v>BlueDart</v>
          </cell>
          <cell r="E1331" t="str">
            <v xml:space="preserve">road </v>
          </cell>
          <cell r="F1331" t="str">
            <v xml:space="preserve"> FURNITURE </v>
          </cell>
          <cell r="G1331" t="str">
            <v>WEST</v>
          </cell>
          <cell r="I1331" t="str">
            <v>46.0</v>
          </cell>
          <cell r="J1331" t="str">
            <v>₹784</v>
          </cell>
          <cell r="K1331">
            <v>8</v>
          </cell>
          <cell r="L1331" t="str">
            <v>2024-03-23</v>
          </cell>
          <cell r="M1331" t="str">
            <v>DELAYED</v>
          </cell>
          <cell r="N1331">
            <v>3</v>
          </cell>
          <cell r="O1331" t="str">
            <v xml:space="preserve"> No</v>
          </cell>
        </row>
        <row r="1332">
          <cell r="A1332" t="str">
            <v>SHP-101109</v>
          </cell>
          <cell r="B1332" t="str">
            <v>27/01/2024</v>
          </cell>
          <cell r="C1332" t="str">
            <v>Chennai</v>
          </cell>
          <cell r="D1332" t="str">
            <v>Delhivery</v>
          </cell>
          <cell r="E1332" t="str">
            <v>Air</v>
          </cell>
          <cell r="F1332" t="str">
            <v>AUTOMOTIVE PARTS</v>
          </cell>
          <cell r="G1332" t="str">
            <v xml:space="preserve">south </v>
          </cell>
          <cell r="I1332" t="str">
            <v>8.3</v>
          </cell>
          <cell r="J1332" t="str">
            <v>349</v>
          </cell>
          <cell r="K1332">
            <v>2</v>
          </cell>
          <cell r="L1332" t="str">
            <v>28/01/2024</v>
          </cell>
          <cell r="M1332" t="str">
            <v>Delivered</v>
          </cell>
          <cell r="N1332">
            <v>5</v>
          </cell>
          <cell r="O1332" t="str">
            <v>N</v>
          </cell>
        </row>
        <row r="1333">
          <cell r="A1333" t="str">
            <v>SHP-100082</v>
          </cell>
          <cell r="B1333" t="str">
            <v xml:space="preserve"> 07/06/2024 </v>
          </cell>
          <cell r="C1333" t="str">
            <v>hyderabad</v>
          </cell>
          <cell r="D1333" t="str">
            <v xml:space="preserve">Dtdc </v>
          </cell>
          <cell r="E1333" t="str">
            <v xml:space="preserve">surface </v>
          </cell>
          <cell r="F1333" t="str">
            <v xml:space="preserve">  APPAREL </v>
          </cell>
          <cell r="G1333" t="str">
            <v xml:space="preserve"> WEST </v>
          </cell>
          <cell r="I1333" t="str">
            <v>1.9kg</v>
          </cell>
          <cell r="J1333" t="str">
            <v>80</v>
          </cell>
          <cell r="K1333">
            <v>4</v>
          </cell>
          <cell r="L1333" t="str">
            <v>12-Jun-2024</v>
          </cell>
          <cell r="M1333" t="str">
            <v>DELAYED</v>
          </cell>
          <cell r="N1333">
            <v>1</v>
          </cell>
          <cell r="O1333" t="str">
            <v>N</v>
          </cell>
        </row>
        <row r="1334">
          <cell r="A1334" t="str">
            <v>SHP-100154</v>
          </cell>
          <cell r="B1334" t="str">
            <v>27/01/2024</v>
          </cell>
          <cell r="C1334" t="str">
            <v xml:space="preserve"> KOLKATA </v>
          </cell>
          <cell r="D1334" t="str">
            <v xml:space="preserve">BLUEDART </v>
          </cell>
          <cell r="E1334" t="str">
            <v xml:space="preserve"> SURFACE </v>
          </cell>
          <cell r="F1334" t="str">
            <v>Pharma</v>
          </cell>
          <cell r="G1334" t="str">
            <v>WEST</v>
          </cell>
          <cell r="I1334" t="str">
            <v>2.6KG</v>
          </cell>
          <cell r="J1334" t="str">
            <v>₹186</v>
          </cell>
          <cell r="K1334">
            <v>6</v>
          </cell>
          <cell r="L1334" t="str">
            <v xml:space="preserve"> 02/02/2024 </v>
          </cell>
          <cell r="M1334" t="str">
            <v>Delivered</v>
          </cell>
          <cell r="N1334">
            <v>4</v>
          </cell>
          <cell r="O1334" t="str">
            <v>No</v>
          </cell>
        </row>
        <row r="1335">
          <cell r="A1335" t="str">
            <v>SHP-100238</v>
          </cell>
          <cell r="B1335" t="str">
            <v>2024-04-18</v>
          </cell>
          <cell r="C1335" t="str">
            <v>hyderabad</v>
          </cell>
          <cell r="D1335" t="str">
            <v>delhivery</v>
          </cell>
          <cell r="E1335" t="str">
            <v xml:space="preserve">air </v>
          </cell>
          <cell r="F1335" t="str">
            <v>AUTOMOTIVE PARTS</v>
          </cell>
          <cell r="G1335" t="str">
            <v xml:space="preserve"> WEST </v>
          </cell>
          <cell r="I1335" t="str">
            <v>33.3KG</v>
          </cell>
          <cell r="J1335" t="str">
            <v>1,491</v>
          </cell>
          <cell r="K1335">
            <v>2</v>
          </cell>
          <cell r="L1335" t="str">
            <v xml:space="preserve"> 19/04/2024 </v>
          </cell>
          <cell r="M1335" t="str">
            <v>Returned</v>
          </cell>
          <cell r="O1335" t="str">
            <v>no</v>
          </cell>
        </row>
        <row r="1336">
          <cell r="A1336" t="str">
            <v>SHP-100349</v>
          </cell>
          <cell r="B1336" t="str">
            <v>13/06/2024</v>
          </cell>
          <cell r="C1336" t="str">
            <v>Hyderabad</v>
          </cell>
          <cell r="D1336" t="str">
            <v>Xpress Bees</v>
          </cell>
          <cell r="E1336" t="str">
            <v>air</v>
          </cell>
          <cell r="F1336" t="str">
            <v xml:space="preserve">  FURNITURE </v>
          </cell>
          <cell r="G1336" t="str">
            <v>South</v>
          </cell>
          <cell r="I1336" t="str">
            <v>68.9KG</v>
          </cell>
          <cell r="J1336" t="str">
            <v xml:space="preserve">Rs 3287 </v>
          </cell>
          <cell r="K1336">
            <v>4</v>
          </cell>
          <cell r="L1336" t="str">
            <v>22-Jun-2024</v>
          </cell>
          <cell r="M1336" t="str">
            <v xml:space="preserve"> Delayed</v>
          </cell>
          <cell r="N1336">
            <v>2</v>
          </cell>
          <cell r="O1336" t="str">
            <v>YES</v>
          </cell>
        </row>
        <row r="1337">
          <cell r="A1337" t="str">
            <v>SHP-100783</v>
          </cell>
          <cell r="B1337" t="str">
            <v>10-Feb-2024</v>
          </cell>
          <cell r="C1337" t="str">
            <v xml:space="preserve">chennai </v>
          </cell>
          <cell r="D1337" t="str">
            <v xml:space="preserve">Dtdc </v>
          </cell>
          <cell r="E1337" t="str">
            <v>road</v>
          </cell>
          <cell r="F1337" t="str">
            <v>APPAREL</v>
          </cell>
          <cell r="G1337" t="str">
            <v xml:space="preserve">east </v>
          </cell>
          <cell r="I1337" t="str">
            <v>1.3kg</v>
          </cell>
          <cell r="J1337" t="str">
            <v>₹202</v>
          </cell>
          <cell r="K1337">
            <v>8</v>
          </cell>
          <cell r="L1337" t="str">
            <v>2024-02-18</v>
          </cell>
          <cell r="M1337" t="str">
            <v>Delivered</v>
          </cell>
          <cell r="N1337">
            <v>2</v>
          </cell>
          <cell r="O1337" t="str">
            <v>Y</v>
          </cell>
        </row>
        <row r="1338">
          <cell r="A1338" t="str">
            <v>SHP-100333</v>
          </cell>
          <cell r="B1338" t="str">
            <v>13/02/2024</v>
          </cell>
          <cell r="C1338" t="str">
            <v>BENGALURU</v>
          </cell>
          <cell r="D1338" t="str">
            <v>XpressBees</v>
          </cell>
          <cell r="E1338" t="str">
            <v>Surface</v>
          </cell>
          <cell r="F1338" t="str">
            <v>Electronics</v>
          </cell>
          <cell r="G1338" t="str">
            <v>SOUTH</v>
          </cell>
          <cell r="I1338" t="str">
            <v>9.3kg</v>
          </cell>
          <cell r="J1338" t="str">
            <v>190</v>
          </cell>
          <cell r="K1338">
            <v>4</v>
          </cell>
          <cell r="L1338" t="str">
            <v>2024-02-19</v>
          </cell>
          <cell r="M1338" t="str">
            <v>Delayed</v>
          </cell>
          <cell r="N1338">
            <v>2</v>
          </cell>
          <cell r="O1338" t="str">
            <v>No</v>
          </cell>
        </row>
        <row r="1339">
          <cell r="A1339" t="str">
            <v>SHP-101361</v>
          </cell>
          <cell r="B1339" t="str">
            <v xml:space="preserve"> 11/05/2024 </v>
          </cell>
          <cell r="C1339" t="str">
            <v>Hyderabad</v>
          </cell>
          <cell r="D1339" t="str">
            <v>BlueDart</v>
          </cell>
          <cell r="E1339" t="str">
            <v>road</v>
          </cell>
          <cell r="F1339" t="str">
            <v xml:space="preserve"> ELECTRONICS </v>
          </cell>
          <cell r="G1339" t="str">
            <v>east</v>
          </cell>
          <cell r="I1339" t="str">
            <v>4.6KG</v>
          </cell>
          <cell r="J1339" t="str">
            <v xml:space="preserve">Rs 270 </v>
          </cell>
          <cell r="K1339">
            <v>8</v>
          </cell>
          <cell r="L1339" t="str">
            <v>19-May-2024</v>
          </cell>
          <cell r="M1339" t="str">
            <v>returned</v>
          </cell>
          <cell r="O1339" t="str">
            <v>Y</v>
          </cell>
        </row>
        <row r="1340">
          <cell r="A1340" t="str">
            <v>SHP-101222</v>
          </cell>
          <cell r="B1340" t="str">
            <v>2024-03-12</v>
          </cell>
          <cell r="C1340" t="str">
            <v>HYDERABAD</v>
          </cell>
          <cell r="D1340" t="str">
            <v>xpressbees</v>
          </cell>
          <cell r="E1340" t="str">
            <v xml:space="preserve"> ROAD </v>
          </cell>
          <cell r="F1340" t="str">
            <v xml:space="preserve">  FURNITURE </v>
          </cell>
          <cell r="G1340" t="str">
            <v>EAST</v>
          </cell>
          <cell r="I1340" t="str">
            <v>76.2kg</v>
          </cell>
          <cell r="J1340" t="str">
            <v>1,235</v>
          </cell>
          <cell r="K1340">
            <v>8</v>
          </cell>
          <cell r="L1340" t="str">
            <v>19-Mar-2024</v>
          </cell>
          <cell r="M1340" t="str">
            <v>delivered</v>
          </cell>
          <cell r="N1340">
            <v>4</v>
          </cell>
          <cell r="O1340" t="str">
            <v>N</v>
          </cell>
        </row>
        <row r="1341">
          <cell r="A1341" t="str">
            <v>SHP-101323</v>
          </cell>
          <cell r="B1341" t="str">
            <v>17-Jan-2024</v>
          </cell>
          <cell r="C1341" t="str">
            <v>Bengaluru</v>
          </cell>
          <cell r="D1341" t="str">
            <v xml:space="preserve"> DTDC</v>
          </cell>
          <cell r="E1341" t="str">
            <v>Road</v>
          </cell>
          <cell r="F1341" t="str">
            <v xml:space="preserve">  GROCERY &amp; FMCG </v>
          </cell>
          <cell r="G1341" t="str">
            <v xml:space="preserve"> EAST </v>
          </cell>
          <cell r="I1341" t="str">
            <v>4.6kg</v>
          </cell>
          <cell r="J1341" t="str">
            <v xml:space="preserve">Rs 244 </v>
          </cell>
          <cell r="K1341">
            <v>8</v>
          </cell>
          <cell r="L1341" t="str">
            <v>2024-01-25</v>
          </cell>
          <cell r="M1341" t="str">
            <v>DELIVERED</v>
          </cell>
          <cell r="N1341">
            <v>4</v>
          </cell>
          <cell r="O1341" t="str">
            <v>Y</v>
          </cell>
        </row>
        <row r="1342">
          <cell r="A1342" t="str">
            <v>SHP-100289</v>
          </cell>
          <cell r="B1342" t="str">
            <v xml:space="preserve"> 23/04/2024 </v>
          </cell>
          <cell r="C1342" t="str">
            <v>MUMBAI</v>
          </cell>
          <cell r="D1342" t="str">
            <v>DTDC</v>
          </cell>
          <cell r="E1342" t="str">
            <v xml:space="preserve"> ROAD </v>
          </cell>
          <cell r="F1342" t="str">
            <v>Apparel</v>
          </cell>
          <cell r="G1342" t="str">
            <v>west</v>
          </cell>
          <cell r="I1342" t="str">
            <v xml:space="preserve">3.5 Kg </v>
          </cell>
          <cell r="J1342" t="str">
            <v>₹80</v>
          </cell>
          <cell r="K1342">
            <v>6</v>
          </cell>
          <cell r="L1342" t="str">
            <v xml:space="preserve"> 28/04/2024 </v>
          </cell>
          <cell r="M1342" t="str">
            <v>Damaged</v>
          </cell>
          <cell r="O1342" t="str">
            <v>N</v>
          </cell>
        </row>
        <row r="1343">
          <cell r="A1343" t="str">
            <v>SHP-101180</v>
          </cell>
          <cell r="B1343" t="str">
            <v>2024-02-12</v>
          </cell>
          <cell r="C1343" t="str">
            <v>kolkata</v>
          </cell>
          <cell r="D1343" t="str">
            <v>ecom express</v>
          </cell>
          <cell r="E1343" t="str">
            <v>ROAD</v>
          </cell>
          <cell r="F1343" t="str">
            <v xml:space="preserve"> ELECTRONICS </v>
          </cell>
          <cell r="G1343" t="str">
            <v>East</v>
          </cell>
          <cell r="I1343" t="str">
            <v>6.9</v>
          </cell>
          <cell r="J1343" t="str">
            <v xml:space="preserve">Rs 143 </v>
          </cell>
          <cell r="K1343">
            <v>6</v>
          </cell>
          <cell r="L1343" t="str">
            <v>17/02/2024</v>
          </cell>
          <cell r="M1343" t="str">
            <v>DELIVERED</v>
          </cell>
          <cell r="N1343">
            <v>4</v>
          </cell>
          <cell r="O1343" t="str">
            <v xml:space="preserve"> No</v>
          </cell>
        </row>
        <row r="1344">
          <cell r="A1344" t="str">
            <v>SHP-101580</v>
          </cell>
          <cell r="B1344" t="str">
            <v>2024-04-02</v>
          </cell>
          <cell r="C1344" t="str">
            <v>Delhi</v>
          </cell>
          <cell r="D1344" t="str">
            <v>Delhivery</v>
          </cell>
          <cell r="E1344" t="str">
            <v>AIR</v>
          </cell>
          <cell r="F1344" t="str">
            <v>electronics</v>
          </cell>
          <cell r="G1344" t="str">
            <v xml:space="preserve"> EAST </v>
          </cell>
          <cell r="I1344" t="str">
            <v>1.7kg</v>
          </cell>
          <cell r="J1344" t="str">
            <v>264</v>
          </cell>
          <cell r="K1344">
            <v>4</v>
          </cell>
          <cell r="L1344" t="str">
            <v>2024-04-05</v>
          </cell>
          <cell r="M1344" t="str">
            <v>Delivered</v>
          </cell>
          <cell r="N1344">
            <v>5</v>
          </cell>
          <cell r="O1344" t="str">
            <v>no</v>
          </cell>
        </row>
        <row r="1345">
          <cell r="A1345" t="str">
            <v>SHP-100013</v>
          </cell>
          <cell r="B1345" t="str">
            <v>24/04/2024</v>
          </cell>
          <cell r="C1345" t="str">
            <v>mumbai</v>
          </cell>
          <cell r="D1345" t="str">
            <v>Ecom  Express</v>
          </cell>
          <cell r="E1345" t="str">
            <v>AIR</v>
          </cell>
          <cell r="F1345" t="str">
            <v>Apparel</v>
          </cell>
          <cell r="G1345" t="str">
            <v xml:space="preserve">east </v>
          </cell>
          <cell r="I1345" t="str">
            <v>6.4KG</v>
          </cell>
          <cell r="J1345" t="str">
            <v xml:space="preserve">Rs 469 </v>
          </cell>
          <cell r="K1345">
            <v>4</v>
          </cell>
          <cell r="L1345" t="str">
            <v>30-Apr-2024</v>
          </cell>
          <cell r="M1345" t="str">
            <v xml:space="preserve"> Delayed</v>
          </cell>
          <cell r="N1345">
            <v>4</v>
          </cell>
          <cell r="O1345" t="str">
            <v>Yes</v>
          </cell>
        </row>
        <row r="1346">
          <cell r="A1346" t="str">
            <v>SHP-100103</v>
          </cell>
          <cell r="B1346" t="str">
            <v>06/06/2024</v>
          </cell>
          <cell r="C1346" t="str">
            <v>DELHI</v>
          </cell>
          <cell r="D1346" t="str">
            <v>DTDC</v>
          </cell>
          <cell r="E1346" t="str">
            <v>air</v>
          </cell>
          <cell r="F1346" t="str">
            <v xml:space="preserve"> APPAREL </v>
          </cell>
          <cell r="G1346" t="str">
            <v>EAST</v>
          </cell>
          <cell r="I1346" t="str">
            <v xml:space="preserve">4.0 Kg </v>
          </cell>
          <cell r="J1346" t="str">
            <v>₹319</v>
          </cell>
          <cell r="K1346">
            <v>4</v>
          </cell>
          <cell r="L1346" t="str">
            <v>09-Jun-2024</v>
          </cell>
          <cell r="M1346" t="str">
            <v>delivered</v>
          </cell>
          <cell r="N1346">
            <v>4</v>
          </cell>
          <cell r="O1346" t="str">
            <v xml:space="preserve"> No</v>
          </cell>
        </row>
        <row r="1347">
          <cell r="A1347" t="str">
            <v>SHP-100660</v>
          </cell>
          <cell r="B1347" t="str">
            <v>15/04/2024</v>
          </cell>
          <cell r="C1347" t="str">
            <v>KOLKATA</v>
          </cell>
          <cell r="D1347" t="str">
            <v>dtdc</v>
          </cell>
          <cell r="E1347" t="str">
            <v>road</v>
          </cell>
          <cell r="F1347" t="str">
            <v>automotive parts</v>
          </cell>
          <cell r="G1347" t="str">
            <v xml:space="preserve"> EAST </v>
          </cell>
          <cell r="I1347" t="str">
            <v>37.1KG</v>
          </cell>
          <cell r="J1347" t="str">
            <v>₹502</v>
          </cell>
          <cell r="K1347">
            <v>6</v>
          </cell>
          <cell r="L1347" t="str">
            <v xml:space="preserve"> 22/04/2024 </v>
          </cell>
          <cell r="M1347" t="str">
            <v xml:space="preserve">delayed </v>
          </cell>
          <cell r="N1347">
            <v>3</v>
          </cell>
          <cell r="O1347" t="str">
            <v>Yes</v>
          </cell>
        </row>
        <row r="1348">
          <cell r="A1348" t="str">
            <v>SHP-101181</v>
          </cell>
          <cell r="B1348" t="str">
            <v>07-May-2024</v>
          </cell>
          <cell r="C1348" t="str">
            <v xml:space="preserve"> KOLKATA </v>
          </cell>
          <cell r="D1348" t="str">
            <v xml:space="preserve">Dtdc </v>
          </cell>
          <cell r="E1348" t="str">
            <v>Road</v>
          </cell>
          <cell r="F1348" t="str">
            <v>furniture</v>
          </cell>
          <cell r="G1348" t="str">
            <v xml:space="preserve">south </v>
          </cell>
          <cell r="I1348" t="str">
            <v xml:space="preserve">23.2 Kg </v>
          </cell>
          <cell r="J1348" t="str">
            <v>₹522</v>
          </cell>
          <cell r="K1348">
            <v>8</v>
          </cell>
          <cell r="L1348" t="str">
            <v>16-May-2024</v>
          </cell>
          <cell r="M1348" t="str">
            <v xml:space="preserve">delayed </v>
          </cell>
          <cell r="N1348">
            <v>2</v>
          </cell>
          <cell r="O1348" t="str">
            <v>Y</v>
          </cell>
        </row>
        <row r="1349">
          <cell r="A1349" t="str">
            <v>SHP-100495</v>
          </cell>
          <cell r="B1349" t="str">
            <v>03/06/2024</v>
          </cell>
          <cell r="C1349" t="str">
            <v>mumbai</v>
          </cell>
          <cell r="D1349" t="str">
            <v>DTDC</v>
          </cell>
          <cell r="E1349" t="str">
            <v>surface</v>
          </cell>
          <cell r="F1349" t="str">
            <v xml:space="preserve">  FURNITURE </v>
          </cell>
          <cell r="G1349" t="str">
            <v xml:space="preserve">east </v>
          </cell>
          <cell r="I1349" t="str">
            <v>67.9KG</v>
          </cell>
          <cell r="J1349" t="str">
            <v>₹1,700</v>
          </cell>
          <cell r="K1349">
            <v>6</v>
          </cell>
          <cell r="L1349" t="str">
            <v>10/06/2024</v>
          </cell>
          <cell r="M1349" t="str">
            <v xml:space="preserve"> Delayed</v>
          </cell>
          <cell r="N1349">
            <v>1</v>
          </cell>
          <cell r="O1349" t="str">
            <v>No</v>
          </cell>
        </row>
        <row r="1350">
          <cell r="A1350" t="str">
            <v>SHP-101110</v>
          </cell>
          <cell r="B1350" t="str">
            <v>01-Feb-2024</v>
          </cell>
          <cell r="C1350" t="str">
            <v xml:space="preserve"> DELHI </v>
          </cell>
          <cell r="D1350" t="str">
            <v>DELHIVERY</v>
          </cell>
          <cell r="E1350" t="str">
            <v xml:space="preserve"> ROAD </v>
          </cell>
          <cell r="F1350" t="str">
            <v>electronics</v>
          </cell>
          <cell r="G1350" t="str">
            <v>west</v>
          </cell>
          <cell r="I1350" t="str">
            <v>13.0kg</v>
          </cell>
          <cell r="J1350" t="str">
            <v>₹387</v>
          </cell>
          <cell r="K1350">
            <v>8</v>
          </cell>
          <cell r="L1350" t="str">
            <v>2024-02-09</v>
          </cell>
          <cell r="M1350" t="str">
            <v xml:space="preserve"> Delivered</v>
          </cell>
          <cell r="N1350">
            <v>5</v>
          </cell>
          <cell r="O1350" t="str">
            <v xml:space="preserve">yes </v>
          </cell>
        </row>
        <row r="1351">
          <cell r="A1351" t="str">
            <v>SHP-101452</v>
          </cell>
          <cell r="B1351" t="str">
            <v>27-Jun-2024</v>
          </cell>
          <cell r="C1351" t="str">
            <v xml:space="preserve"> KOLKATA </v>
          </cell>
          <cell r="D1351" t="str">
            <v>Ecom  Express</v>
          </cell>
          <cell r="E1351" t="str">
            <v>Air</v>
          </cell>
          <cell r="F1351" t="str">
            <v>GROCERY &amp; FMCG</v>
          </cell>
          <cell r="G1351" t="str">
            <v xml:space="preserve"> WEST </v>
          </cell>
          <cell r="I1351" t="str">
            <v>10.1kg</v>
          </cell>
          <cell r="J1351" t="str">
            <v xml:space="preserve">Rs 592 </v>
          </cell>
          <cell r="K1351">
            <v>4</v>
          </cell>
          <cell r="L1351" t="str">
            <v>03/07/2024</v>
          </cell>
          <cell r="M1351" t="str">
            <v>Delayed</v>
          </cell>
          <cell r="N1351">
            <v>3</v>
          </cell>
          <cell r="O1351" t="str">
            <v>no</v>
          </cell>
        </row>
        <row r="1352">
          <cell r="A1352" t="str">
            <v>SHP-101153</v>
          </cell>
          <cell r="B1352" t="str">
            <v>27-Feb-2024</v>
          </cell>
          <cell r="C1352" t="str">
            <v xml:space="preserve">hyderabad </v>
          </cell>
          <cell r="D1352" t="str">
            <v xml:space="preserve"> DTDC</v>
          </cell>
          <cell r="E1352" t="str">
            <v>air</v>
          </cell>
          <cell r="F1352" t="str">
            <v xml:space="preserve">electronics </v>
          </cell>
          <cell r="G1352" t="str">
            <v xml:space="preserve">south </v>
          </cell>
          <cell r="I1352" t="str">
            <v>7.0</v>
          </cell>
          <cell r="J1352" t="str">
            <v>₹447</v>
          </cell>
          <cell r="K1352">
            <v>4</v>
          </cell>
          <cell r="L1352" t="str">
            <v>01/03/2024</v>
          </cell>
          <cell r="M1352" t="str">
            <v>delivered</v>
          </cell>
          <cell r="N1352">
            <v>5</v>
          </cell>
          <cell r="O1352" t="str">
            <v>YES</v>
          </cell>
        </row>
        <row r="1353">
          <cell r="A1353" t="str">
            <v>SHP-100937</v>
          </cell>
          <cell r="B1353" t="str">
            <v>2024-06-02</v>
          </cell>
          <cell r="C1353" t="str">
            <v xml:space="preserve">delhi </v>
          </cell>
          <cell r="E1353" t="str">
            <v xml:space="preserve">air </v>
          </cell>
          <cell r="F1353" t="str">
            <v xml:space="preserve">furniture </v>
          </cell>
          <cell r="G1353" t="str">
            <v>EAST</v>
          </cell>
          <cell r="I1353" t="str">
            <v>28.8KG</v>
          </cell>
          <cell r="J1353" t="str">
            <v>₹1,449</v>
          </cell>
          <cell r="K1353">
            <v>4</v>
          </cell>
          <cell r="L1353" t="str">
            <v>2024-06-12</v>
          </cell>
          <cell r="M1353" t="str">
            <v>DELAYED</v>
          </cell>
          <cell r="N1353">
            <v>3</v>
          </cell>
          <cell r="O1353" t="str">
            <v>Y</v>
          </cell>
        </row>
        <row r="1354">
          <cell r="A1354" t="str">
            <v>SHP-100562</v>
          </cell>
          <cell r="B1354" t="str">
            <v>08/03/2024</v>
          </cell>
          <cell r="C1354" t="str">
            <v>mumbai</v>
          </cell>
          <cell r="D1354" t="str">
            <v xml:space="preserve"> DTDC</v>
          </cell>
          <cell r="E1354" t="str">
            <v>SURFACE</v>
          </cell>
          <cell r="F1354" t="str">
            <v>PHARMA</v>
          </cell>
          <cell r="G1354" t="str">
            <v xml:space="preserve"> WEST </v>
          </cell>
          <cell r="I1354" t="str">
            <v>3.9kg</v>
          </cell>
          <cell r="J1354" t="str">
            <v>80</v>
          </cell>
          <cell r="K1354">
            <v>4</v>
          </cell>
          <cell r="L1354" t="str">
            <v xml:space="preserve"> 14/03/2024 </v>
          </cell>
          <cell r="M1354" t="str">
            <v>Delayed</v>
          </cell>
          <cell r="N1354">
            <v>2</v>
          </cell>
          <cell r="O1354" t="str">
            <v>Yes</v>
          </cell>
        </row>
        <row r="1355">
          <cell r="A1355" t="str">
            <v>SHP-100067</v>
          </cell>
          <cell r="B1355" t="str">
            <v>2024-01-06</v>
          </cell>
          <cell r="C1355" t="str">
            <v>bengaluru</v>
          </cell>
          <cell r="D1355" t="str">
            <v>XpressBees</v>
          </cell>
          <cell r="E1355" t="str">
            <v>Air</v>
          </cell>
          <cell r="F1355" t="str">
            <v>Furniture</v>
          </cell>
          <cell r="G1355" t="str">
            <v>NORTH</v>
          </cell>
          <cell r="I1355" t="str">
            <v>23.0kg</v>
          </cell>
          <cell r="J1355" t="str">
            <v xml:space="preserve">Rs 1188 </v>
          </cell>
          <cell r="K1355">
            <v>4</v>
          </cell>
          <cell r="L1355" t="str">
            <v>2024-01-17</v>
          </cell>
          <cell r="M1355" t="str">
            <v>Delayed</v>
          </cell>
          <cell r="N1355">
            <v>2</v>
          </cell>
          <cell r="O1355" t="str">
            <v>No</v>
          </cell>
        </row>
        <row r="1356">
          <cell r="A1356" t="str">
            <v>SHP-100630</v>
          </cell>
          <cell r="B1356" t="str">
            <v>26/01/2024</v>
          </cell>
          <cell r="C1356" t="str">
            <v xml:space="preserve"> CHENNAI </v>
          </cell>
          <cell r="D1356" t="str">
            <v>ECOM EXPRESS</v>
          </cell>
          <cell r="E1356" t="str">
            <v>SURFACE</v>
          </cell>
          <cell r="F1356" t="str">
            <v>apparel</v>
          </cell>
          <cell r="G1356" t="str">
            <v xml:space="preserve">east </v>
          </cell>
          <cell r="I1356" t="str">
            <v>2.8kg</v>
          </cell>
          <cell r="J1356" t="str">
            <v>238</v>
          </cell>
          <cell r="K1356">
            <v>6</v>
          </cell>
          <cell r="L1356" t="str">
            <v>31/01/2024</v>
          </cell>
          <cell r="M1356" t="str">
            <v>DELIVERED</v>
          </cell>
          <cell r="N1356">
            <v>5</v>
          </cell>
          <cell r="O1356" t="str">
            <v>no</v>
          </cell>
        </row>
        <row r="1357">
          <cell r="A1357" t="str">
            <v>SHP-100527</v>
          </cell>
          <cell r="B1357" t="str">
            <v>04-Jan-2024</v>
          </cell>
          <cell r="C1357" t="str">
            <v>BENGALURU</v>
          </cell>
          <cell r="D1357" t="str">
            <v xml:space="preserve"> DTDC</v>
          </cell>
          <cell r="E1357" t="str">
            <v xml:space="preserve">surface </v>
          </cell>
          <cell r="F1357" t="str">
            <v>apparel</v>
          </cell>
          <cell r="G1357" t="str">
            <v>West</v>
          </cell>
          <cell r="I1357" t="str">
            <v>5.3kg</v>
          </cell>
          <cell r="J1357" t="str">
            <v xml:space="preserve">Rs 260 </v>
          </cell>
          <cell r="K1357">
            <v>6</v>
          </cell>
          <cell r="L1357" t="str">
            <v>09/01/2024</v>
          </cell>
          <cell r="M1357" t="str">
            <v>DELIVERED</v>
          </cell>
          <cell r="N1357">
            <v>5</v>
          </cell>
          <cell r="O1357" t="str">
            <v>N</v>
          </cell>
        </row>
        <row r="1358">
          <cell r="A1358" t="str">
            <v>SHP-100892</v>
          </cell>
          <cell r="B1358" t="str">
            <v>04/04/2024</v>
          </cell>
          <cell r="C1358" t="str">
            <v>Chennai</v>
          </cell>
          <cell r="D1358" t="str">
            <v>BlueDart</v>
          </cell>
          <cell r="E1358" t="str">
            <v>Air</v>
          </cell>
          <cell r="F1358" t="str">
            <v>Apparel</v>
          </cell>
          <cell r="G1358" t="str">
            <v xml:space="preserve">east </v>
          </cell>
          <cell r="I1358" t="str">
            <v>3.3KG</v>
          </cell>
          <cell r="J1358" t="str">
            <v xml:space="preserve">Rs 328 </v>
          </cell>
          <cell r="K1358">
            <v>4</v>
          </cell>
          <cell r="L1358" t="str">
            <v xml:space="preserve"> 09/04/2024 </v>
          </cell>
          <cell r="M1358" t="str">
            <v xml:space="preserve"> Delayed</v>
          </cell>
          <cell r="N1358">
            <v>3</v>
          </cell>
          <cell r="O1358" t="str">
            <v>N</v>
          </cell>
        </row>
        <row r="1359">
          <cell r="A1359" t="str">
            <v>SHP-100741</v>
          </cell>
          <cell r="B1359" t="str">
            <v>25/02/2024</v>
          </cell>
          <cell r="C1359" t="str">
            <v xml:space="preserve">chennai </v>
          </cell>
          <cell r="D1359" t="str">
            <v xml:space="preserve"> Delhivery</v>
          </cell>
          <cell r="E1359" t="str">
            <v>SURFACE</v>
          </cell>
          <cell r="F1359" t="str">
            <v xml:space="preserve">apparel </v>
          </cell>
          <cell r="G1359" t="str">
            <v xml:space="preserve">east </v>
          </cell>
          <cell r="I1359" t="str">
            <v>5.3KG</v>
          </cell>
          <cell r="J1359" t="str">
            <v xml:space="preserve">Rs 282 </v>
          </cell>
          <cell r="K1359">
            <v>6</v>
          </cell>
          <cell r="L1359" t="str">
            <v>2024-03-10</v>
          </cell>
          <cell r="M1359" t="str">
            <v xml:space="preserve">delayed </v>
          </cell>
          <cell r="N1359">
            <v>1</v>
          </cell>
          <cell r="O1359" t="str">
            <v xml:space="preserve"> No</v>
          </cell>
        </row>
        <row r="1360">
          <cell r="A1360" t="str">
            <v>SHP-101076</v>
          </cell>
          <cell r="B1360" t="str">
            <v>12-Mar-2024</v>
          </cell>
          <cell r="C1360" t="str">
            <v>Bengaluru</v>
          </cell>
          <cell r="D1360" t="str">
            <v>delhivery</v>
          </cell>
          <cell r="E1360" t="str">
            <v>road</v>
          </cell>
          <cell r="F1360" t="str">
            <v>apparel</v>
          </cell>
          <cell r="G1360" t="str">
            <v xml:space="preserve">west </v>
          </cell>
          <cell r="I1360" t="str">
            <v>7.2kg</v>
          </cell>
          <cell r="J1360" t="str">
            <v>₹238</v>
          </cell>
          <cell r="K1360">
            <v>8</v>
          </cell>
          <cell r="L1360" t="str">
            <v>2024-03-19</v>
          </cell>
          <cell r="M1360" t="str">
            <v>Delivered</v>
          </cell>
          <cell r="N1360">
            <v>5</v>
          </cell>
          <cell r="O1360" t="str">
            <v>N</v>
          </cell>
        </row>
        <row r="1361">
          <cell r="A1361" t="str">
            <v>SHP-100118</v>
          </cell>
          <cell r="B1361" t="str">
            <v>2024-03-16</v>
          </cell>
          <cell r="C1361" t="str">
            <v xml:space="preserve"> BENGALURU </v>
          </cell>
          <cell r="D1361" t="str">
            <v>Ecom  Express</v>
          </cell>
          <cell r="E1361" t="str">
            <v>ROAD</v>
          </cell>
          <cell r="F1361" t="str">
            <v>Apparel</v>
          </cell>
          <cell r="G1361" t="str">
            <v>South</v>
          </cell>
          <cell r="I1361" t="str">
            <v>3.8KG</v>
          </cell>
          <cell r="J1361" t="str">
            <v>95</v>
          </cell>
          <cell r="K1361">
            <v>6</v>
          </cell>
          <cell r="L1361" t="str">
            <v>22/03/2024</v>
          </cell>
          <cell r="M1361" t="str">
            <v xml:space="preserve"> Delivered</v>
          </cell>
          <cell r="N1361">
            <v>4</v>
          </cell>
          <cell r="O1361" t="str">
            <v xml:space="preserve"> No</v>
          </cell>
        </row>
        <row r="1362">
          <cell r="A1362" t="str">
            <v>SHP-100019</v>
          </cell>
          <cell r="B1362" t="str">
            <v>13-Mar-2024</v>
          </cell>
          <cell r="C1362" t="str">
            <v xml:space="preserve"> MUMBAI </v>
          </cell>
          <cell r="D1362" t="str">
            <v>Ecom  Express</v>
          </cell>
          <cell r="E1362" t="str">
            <v xml:space="preserve"> ROAD </v>
          </cell>
          <cell r="F1362" t="str">
            <v>grocery  &amp; fmcg</v>
          </cell>
          <cell r="G1362" t="str">
            <v xml:space="preserve">east </v>
          </cell>
          <cell r="I1362" t="str">
            <v>4.0kg</v>
          </cell>
          <cell r="J1362" t="str">
            <v>₹183</v>
          </cell>
          <cell r="K1362">
            <v>8</v>
          </cell>
          <cell r="L1362" t="str">
            <v>20-Mar-2024</v>
          </cell>
          <cell r="M1362" t="str">
            <v>delivered</v>
          </cell>
          <cell r="N1362">
            <v>4</v>
          </cell>
          <cell r="O1362" t="str">
            <v xml:space="preserve"> No</v>
          </cell>
        </row>
        <row r="1363">
          <cell r="A1363" t="str">
            <v>SHP-101535</v>
          </cell>
          <cell r="B1363" t="str">
            <v>2024-05-11</v>
          </cell>
          <cell r="C1363" t="str">
            <v>delhi</v>
          </cell>
          <cell r="D1363" t="str">
            <v xml:space="preserve"> XPRESSBEES</v>
          </cell>
          <cell r="E1363" t="str">
            <v xml:space="preserve"> AIR </v>
          </cell>
          <cell r="F1363" t="str">
            <v>PHARMA</v>
          </cell>
          <cell r="G1363" t="str">
            <v xml:space="preserve">south </v>
          </cell>
          <cell r="I1363" t="str">
            <v>3.0kg</v>
          </cell>
          <cell r="J1363" t="str">
            <v>₹324</v>
          </cell>
          <cell r="K1363">
            <v>4</v>
          </cell>
          <cell r="L1363" t="str">
            <v>21-May-2024</v>
          </cell>
          <cell r="M1363" t="str">
            <v xml:space="preserve"> Delayed</v>
          </cell>
          <cell r="N1363">
            <v>1</v>
          </cell>
          <cell r="O1363" t="str">
            <v>N</v>
          </cell>
        </row>
        <row r="1364">
          <cell r="A1364" t="str">
            <v>SHP-100360</v>
          </cell>
          <cell r="B1364" t="str">
            <v>03-May-2024</v>
          </cell>
          <cell r="C1364" t="str">
            <v>KOLKATA</v>
          </cell>
          <cell r="D1364" t="str">
            <v>Xpress Bees</v>
          </cell>
          <cell r="E1364" t="str">
            <v>SURFACE</v>
          </cell>
          <cell r="F1364" t="str">
            <v xml:space="preserve"> PHARMA </v>
          </cell>
          <cell r="G1364" t="str">
            <v>South</v>
          </cell>
          <cell r="I1364" t="str">
            <v xml:space="preserve">3.4 Kg </v>
          </cell>
          <cell r="J1364" t="str">
            <v>₹275</v>
          </cell>
          <cell r="K1364">
            <v>6</v>
          </cell>
          <cell r="L1364" t="str">
            <v xml:space="preserve"> 08/05/2024 </v>
          </cell>
          <cell r="M1364" t="str">
            <v>Delivered</v>
          </cell>
          <cell r="N1364">
            <v>4</v>
          </cell>
          <cell r="O1364" t="str">
            <v>N</v>
          </cell>
        </row>
        <row r="1365">
          <cell r="A1365" t="str">
            <v>SHP-101490</v>
          </cell>
          <cell r="B1365" t="str">
            <v>24-Mar-2024</v>
          </cell>
          <cell r="C1365" t="str">
            <v>Chennai</v>
          </cell>
          <cell r="D1365" t="str">
            <v xml:space="preserve"> DTDC</v>
          </cell>
          <cell r="E1365" t="str">
            <v>air</v>
          </cell>
          <cell r="F1365" t="str">
            <v>FURNITURE</v>
          </cell>
          <cell r="G1365" t="str">
            <v>South</v>
          </cell>
          <cell r="I1365" t="str">
            <v xml:space="preserve">51.4 Kg </v>
          </cell>
          <cell r="J1365" t="str">
            <v>2,286</v>
          </cell>
          <cell r="K1365">
            <v>2</v>
          </cell>
          <cell r="L1365" t="str">
            <v xml:space="preserve"> 26/03/2024 </v>
          </cell>
          <cell r="M1365" t="str">
            <v xml:space="preserve"> DAMAGED</v>
          </cell>
          <cell r="O1365" t="str">
            <v>No</v>
          </cell>
        </row>
        <row r="1366">
          <cell r="A1366" t="str">
            <v>SHP-100077</v>
          </cell>
          <cell r="B1366" t="str">
            <v>01/06/2024</v>
          </cell>
          <cell r="C1366" t="str">
            <v>Bengaluru</v>
          </cell>
          <cell r="D1366" t="str">
            <v>xpressbees</v>
          </cell>
          <cell r="E1366" t="str">
            <v>AIR</v>
          </cell>
          <cell r="F1366" t="str">
            <v>PHARMA</v>
          </cell>
          <cell r="G1366" t="str">
            <v>North</v>
          </cell>
          <cell r="J1366" t="str">
            <v>230</v>
          </cell>
          <cell r="K1366">
            <v>4</v>
          </cell>
          <cell r="L1366" t="str">
            <v>2024-06-05</v>
          </cell>
          <cell r="M1366" t="str">
            <v>Delivered</v>
          </cell>
          <cell r="N1366">
            <v>5</v>
          </cell>
          <cell r="O1366" t="str">
            <v>YES</v>
          </cell>
        </row>
        <row r="1367">
          <cell r="A1367" t="str">
            <v>SHP-100096</v>
          </cell>
          <cell r="B1367" t="str">
            <v xml:space="preserve"> 11/05/2024 </v>
          </cell>
          <cell r="C1367" t="str">
            <v xml:space="preserve"> BENGALURU </v>
          </cell>
          <cell r="D1367" t="str">
            <v>BlueDart</v>
          </cell>
          <cell r="E1367" t="str">
            <v>road</v>
          </cell>
          <cell r="F1367" t="str">
            <v xml:space="preserve"> AUTOMOTIVE PARTS </v>
          </cell>
          <cell r="G1367" t="str">
            <v xml:space="preserve"> EAST </v>
          </cell>
          <cell r="I1367" t="str">
            <v>5.2</v>
          </cell>
          <cell r="J1367" t="str">
            <v>₹258</v>
          </cell>
          <cell r="K1367">
            <v>8</v>
          </cell>
          <cell r="L1367" t="str">
            <v>20-May-2024</v>
          </cell>
          <cell r="M1367" t="str">
            <v>DELAYED</v>
          </cell>
          <cell r="N1367">
            <v>4</v>
          </cell>
          <cell r="O1367" t="str">
            <v>no</v>
          </cell>
        </row>
        <row r="1368">
          <cell r="A1368" t="str">
            <v>SHP-100117</v>
          </cell>
          <cell r="B1368" t="str">
            <v>01-Feb-2024</v>
          </cell>
          <cell r="C1368" t="str">
            <v>Chennai</v>
          </cell>
          <cell r="D1368" t="str">
            <v>Delhivery</v>
          </cell>
          <cell r="E1368" t="str">
            <v>surface</v>
          </cell>
          <cell r="F1368" t="str">
            <v>pharma</v>
          </cell>
          <cell r="G1368" t="str">
            <v>West</v>
          </cell>
          <cell r="I1368" t="str">
            <v xml:space="preserve">1.2 Kg </v>
          </cell>
          <cell r="J1368" t="str">
            <v>₹208</v>
          </cell>
          <cell r="K1368">
            <v>6</v>
          </cell>
          <cell r="L1368" t="str">
            <v>08/02/2024</v>
          </cell>
          <cell r="M1368" t="str">
            <v xml:space="preserve"> Delayed</v>
          </cell>
          <cell r="N1368">
            <v>2</v>
          </cell>
          <cell r="O1368" t="str">
            <v xml:space="preserve"> No</v>
          </cell>
        </row>
        <row r="1369">
          <cell r="A1369" t="str">
            <v>SHP-101333</v>
          </cell>
          <cell r="B1369" t="str">
            <v>02-Mar-2024</v>
          </cell>
          <cell r="C1369" t="str">
            <v>Hyderabad</v>
          </cell>
          <cell r="D1369" t="str">
            <v xml:space="preserve"> Delhivery</v>
          </cell>
          <cell r="E1369" t="str">
            <v>air</v>
          </cell>
          <cell r="F1369" t="str">
            <v>Electronics</v>
          </cell>
          <cell r="G1369" t="str">
            <v>WEST</v>
          </cell>
          <cell r="I1369" t="str">
            <v>14.9KG</v>
          </cell>
          <cell r="J1369" t="str">
            <v xml:space="preserve">Rs 699 </v>
          </cell>
          <cell r="K1369">
            <v>2</v>
          </cell>
          <cell r="L1369" t="str">
            <v>2024-03-05</v>
          </cell>
          <cell r="M1369" t="str">
            <v xml:space="preserve">delayed </v>
          </cell>
          <cell r="N1369">
            <v>1</v>
          </cell>
          <cell r="O1369" t="str">
            <v>Y</v>
          </cell>
        </row>
        <row r="1370">
          <cell r="A1370" t="str">
            <v>SHP-100791</v>
          </cell>
          <cell r="B1370" t="str">
            <v xml:space="preserve"> 12/03/2024 </v>
          </cell>
          <cell r="C1370" t="str">
            <v xml:space="preserve"> CHENNAI </v>
          </cell>
          <cell r="D1370" t="str">
            <v xml:space="preserve">Dtdc </v>
          </cell>
          <cell r="E1370" t="str">
            <v>Surface</v>
          </cell>
          <cell r="F1370" t="str">
            <v>electronics</v>
          </cell>
          <cell r="G1370" t="str">
            <v>SOUTH</v>
          </cell>
          <cell r="I1370" t="str">
            <v xml:space="preserve">14.6 Kg </v>
          </cell>
          <cell r="J1370" t="str">
            <v xml:space="preserve">Rs 329 </v>
          </cell>
          <cell r="K1370">
            <v>4</v>
          </cell>
          <cell r="L1370" t="str">
            <v>17-Mar-2024</v>
          </cell>
          <cell r="M1370" t="str">
            <v xml:space="preserve">delayed </v>
          </cell>
          <cell r="N1370">
            <v>3</v>
          </cell>
          <cell r="O1370" t="str">
            <v xml:space="preserve"> No</v>
          </cell>
        </row>
        <row r="1371">
          <cell r="A1371" t="str">
            <v>SHP-100886</v>
          </cell>
          <cell r="B1371" t="str">
            <v>24-May-2024</v>
          </cell>
          <cell r="C1371" t="str">
            <v>kolkata</v>
          </cell>
          <cell r="D1371" t="str">
            <v>DELHIVERY</v>
          </cell>
          <cell r="E1371" t="str">
            <v xml:space="preserve"> ROAD </v>
          </cell>
          <cell r="F1371" t="str">
            <v>furniture</v>
          </cell>
          <cell r="G1371" t="str">
            <v xml:space="preserve"> NORTH </v>
          </cell>
          <cell r="I1371" t="str">
            <v>35.2</v>
          </cell>
          <cell r="J1371" t="str">
            <v>697</v>
          </cell>
          <cell r="K1371">
            <v>8</v>
          </cell>
          <cell r="L1371" t="str">
            <v>31/05/2024</v>
          </cell>
          <cell r="M1371" t="str">
            <v>Delivered</v>
          </cell>
          <cell r="N1371">
            <v>3</v>
          </cell>
          <cell r="O1371" t="str">
            <v>no</v>
          </cell>
        </row>
        <row r="1372">
          <cell r="A1372" t="str">
            <v>SHP-100924</v>
          </cell>
          <cell r="B1372" t="str">
            <v>15/06/2024</v>
          </cell>
          <cell r="C1372" t="str">
            <v>Hyderabad</v>
          </cell>
          <cell r="D1372" t="str">
            <v>Xpress Bees</v>
          </cell>
          <cell r="E1372" t="str">
            <v>Air</v>
          </cell>
          <cell r="F1372" t="str">
            <v xml:space="preserve">electronics </v>
          </cell>
          <cell r="G1372" t="str">
            <v>West</v>
          </cell>
          <cell r="I1372" t="str">
            <v>2.5kg</v>
          </cell>
          <cell r="J1372" t="str">
            <v xml:space="preserve">Rs 110 </v>
          </cell>
          <cell r="K1372">
            <v>2</v>
          </cell>
          <cell r="L1372" t="str">
            <v>2024-06-24</v>
          </cell>
          <cell r="M1372" t="str">
            <v xml:space="preserve"> Delayed</v>
          </cell>
          <cell r="N1372">
            <v>3</v>
          </cell>
          <cell r="O1372" t="str">
            <v>Y</v>
          </cell>
        </row>
        <row r="1373">
          <cell r="A1373" t="str">
            <v>SHP-100890</v>
          </cell>
          <cell r="B1373" t="str">
            <v>05-Mar-2024</v>
          </cell>
          <cell r="C1373" t="str">
            <v>MUMBAI</v>
          </cell>
          <cell r="D1373" t="str">
            <v>BlueDart</v>
          </cell>
          <cell r="E1373" t="str">
            <v xml:space="preserve"> ROAD </v>
          </cell>
          <cell r="F1373" t="str">
            <v xml:space="preserve">grocery  &amp; fmcg </v>
          </cell>
          <cell r="G1373" t="str">
            <v>south</v>
          </cell>
          <cell r="I1373" t="str">
            <v>13.0KG</v>
          </cell>
          <cell r="J1373" t="str">
            <v>350</v>
          </cell>
          <cell r="K1373">
            <v>8</v>
          </cell>
          <cell r="L1373" t="str">
            <v>12-Mar-2024</v>
          </cell>
          <cell r="M1373" t="str">
            <v xml:space="preserve"> Delivered</v>
          </cell>
          <cell r="N1373">
            <v>5</v>
          </cell>
          <cell r="O1373" t="str">
            <v xml:space="preserve">yes </v>
          </cell>
        </row>
        <row r="1374">
          <cell r="A1374" t="str">
            <v>SHP-100258</v>
          </cell>
          <cell r="B1374" t="str">
            <v xml:space="preserve"> 28/04/2024 </v>
          </cell>
          <cell r="C1374" t="str">
            <v xml:space="preserve"> KOLKATA </v>
          </cell>
          <cell r="D1374" t="str">
            <v>bluedart</v>
          </cell>
          <cell r="E1374" t="str">
            <v xml:space="preserve"> SURFACE </v>
          </cell>
          <cell r="F1374" t="str">
            <v xml:space="preserve">furniture </v>
          </cell>
          <cell r="G1374" t="str">
            <v>South</v>
          </cell>
          <cell r="I1374" t="str">
            <v>59.1</v>
          </cell>
          <cell r="J1374" t="str">
            <v xml:space="preserve">Rs 1472 </v>
          </cell>
          <cell r="K1374">
            <v>6</v>
          </cell>
          <cell r="L1374" t="str">
            <v>05/05/2024</v>
          </cell>
          <cell r="M1374" t="str">
            <v>DELAYED</v>
          </cell>
          <cell r="N1374">
            <v>2</v>
          </cell>
          <cell r="O1374" t="str">
            <v xml:space="preserve">yes </v>
          </cell>
        </row>
        <row r="1375">
          <cell r="A1375" t="str">
            <v>SHP-101483</v>
          </cell>
          <cell r="B1375" t="str">
            <v>14/06/2024</v>
          </cell>
          <cell r="C1375" t="str">
            <v>Hyderabad</v>
          </cell>
          <cell r="D1375" t="str">
            <v>BlueDart</v>
          </cell>
          <cell r="E1375" t="str">
            <v>AIR</v>
          </cell>
          <cell r="F1375" t="str">
            <v xml:space="preserve">automotive parts </v>
          </cell>
          <cell r="G1375" t="str">
            <v xml:space="preserve"> EAST </v>
          </cell>
          <cell r="I1375" t="str">
            <v>34.0KG</v>
          </cell>
          <cell r="J1375" t="str">
            <v>₹1,691</v>
          </cell>
          <cell r="K1375">
            <v>4</v>
          </cell>
          <cell r="L1375" t="str">
            <v>2024-06-18</v>
          </cell>
          <cell r="M1375" t="str">
            <v>DELIVERED</v>
          </cell>
          <cell r="N1375">
            <v>5</v>
          </cell>
          <cell r="O1375" t="str">
            <v>no</v>
          </cell>
        </row>
        <row r="1376">
          <cell r="A1376" t="str">
            <v>SHP-100448</v>
          </cell>
          <cell r="B1376" t="str">
            <v>25/04/2024</v>
          </cell>
          <cell r="C1376" t="str">
            <v>delhi</v>
          </cell>
          <cell r="D1376" t="str">
            <v>Ecom Express</v>
          </cell>
          <cell r="E1376" t="str">
            <v xml:space="preserve"> SURFACE </v>
          </cell>
          <cell r="F1376" t="str">
            <v>PHARMA</v>
          </cell>
          <cell r="G1376" t="str">
            <v>east</v>
          </cell>
          <cell r="I1376" t="str">
            <v>2.2</v>
          </cell>
          <cell r="J1376" t="str">
            <v>235</v>
          </cell>
          <cell r="K1376">
            <v>6</v>
          </cell>
          <cell r="L1376" t="str">
            <v xml:space="preserve"> 30/04/2024 </v>
          </cell>
          <cell r="M1376" t="str">
            <v>delivered</v>
          </cell>
          <cell r="N1376">
            <v>5</v>
          </cell>
          <cell r="O1376" t="str">
            <v>Yes</v>
          </cell>
        </row>
        <row r="1377">
          <cell r="I1377" t="str">
            <v>5.3KG</v>
          </cell>
        </row>
        <row r="1378">
          <cell r="A1378" t="str">
            <v>SHP-100533</v>
          </cell>
          <cell r="B1378" t="str">
            <v xml:space="preserve"> 02/01/2024 </v>
          </cell>
          <cell r="C1378" t="str">
            <v xml:space="preserve">delhi </v>
          </cell>
          <cell r="D1378" t="str">
            <v>DTDC</v>
          </cell>
          <cell r="E1378" t="str">
            <v>Surface</v>
          </cell>
          <cell r="F1378" t="str">
            <v>GROCERY &amp; FMCG</v>
          </cell>
          <cell r="G1378" t="str">
            <v>north</v>
          </cell>
          <cell r="I1378" t="str">
            <v>9.5kg</v>
          </cell>
          <cell r="J1378" t="str">
            <v xml:space="preserve">Rs 200 </v>
          </cell>
          <cell r="K1378">
            <v>4</v>
          </cell>
          <cell r="L1378" t="str">
            <v xml:space="preserve"> 07/01/2024 </v>
          </cell>
          <cell r="M1378" t="str">
            <v>Delayed</v>
          </cell>
          <cell r="N1378">
            <v>3</v>
          </cell>
          <cell r="O1378" t="str">
            <v>no</v>
          </cell>
        </row>
        <row r="1379">
          <cell r="A1379" t="str">
            <v>SHP-101016</v>
          </cell>
          <cell r="B1379" t="str">
            <v xml:space="preserve"> 21/01/2024 </v>
          </cell>
          <cell r="C1379" t="str">
            <v xml:space="preserve"> CHENNAI </v>
          </cell>
          <cell r="D1379" t="str">
            <v>ECOM EXPRESS</v>
          </cell>
          <cell r="E1379" t="str">
            <v xml:space="preserve">air </v>
          </cell>
          <cell r="F1379" t="str">
            <v xml:space="preserve">automotive  parts </v>
          </cell>
          <cell r="G1379" t="str">
            <v xml:space="preserve"> EAST </v>
          </cell>
          <cell r="I1379" t="str">
            <v xml:space="preserve">28.9 Kg </v>
          </cell>
          <cell r="J1379" t="str">
            <v>₹1,452</v>
          </cell>
          <cell r="K1379">
            <v>4</v>
          </cell>
          <cell r="L1379" t="str">
            <v>24-Jan-2024</v>
          </cell>
          <cell r="M1379" t="str">
            <v>delivered</v>
          </cell>
          <cell r="N1379">
            <v>4</v>
          </cell>
          <cell r="O1379" t="str">
            <v>Yes</v>
          </cell>
        </row>
        <row r="1380">
          <cell r="A1380" t="str">
            <v>SHP-100517</v>
          </cell>
          <cell r="B1380" t="str">
            <v xml:space="preserve"> 16/02/2024 </v>
          </cell>
          <cell r="C1380" t="str">
            <v xml:space="preserve"> BENGALURU </v>
          </cell>
          <cell r="D1380" t="str">
            <v>DTDC</v>
          </cell>
          <cell r="E1380" t="str">
            <v>SURFACE</v>
          </cell>
          <cell r="F1380" t="str">
            <v xml:space="preserve"> AUTOMOTIVE PARTS </v>
          </cell>
          <cell r="G1380" t="str">
            <v>EAST</v>
          </cell>
          <cell r="I1380" t="str">
            <v>27.1</v>
          </cell>
          <cell r="J1380" t="str">
            <v>732</v>
          </cell>
          <cell r="K1380">
            <v>6</v>
          </cell>
          <cell r="L1380" t="str">
            <v>22-Feb-2024</v>
          </cell>
          <cell r="M1380" t="str">
            <v>Delivered</v>
          </cell>
          <cell r="N1380">
            <v>3</v>
          </cell>
          <cell r="O1380" t="str">
            <v xml:space="preserve"> No</v>
          </cell>
        </row>
        <row r="1381">
          <cell r="A1381" t="str">
            <v>SHP-100846</v>
          </cell>
          <cell r="B1381" t="str">
            <v xml:space="preserve"> 22/03/2024 </v>
          </cell>
          <cell r="C1381" t="str">
            <v>Kolkata</v>
          </cell>
          <cell r="D1381" t="str">
            <v xml:space="preserve"> DTDC</v>
          </cell>
          <cell r="E1381" t="str">
            <v>ROAD</v>
          </cell>
          <cell r="F1381" t="str">
            <v xml:space="preserve"> PHARMA </v>
          </cell>
          <cell r="G1381" t="str">
            <v>south</v>
          </cell>
          <cell r="I1381" t="str">
            <v xml:space="preserve">1.1 Kg </v>
          </cell>
          <cell r="J1381" t="str">
            <v xml:space="preserve">Rs 154 </v>
          </cell>
          <cell r="K1381">
            <v>8</v>
          </cell>
          <cell r="L1381" t="str">
            <v>2024-04-03</v>
          </cell>
          <cell r="M1381" t="str">
            <v xml:space="preserve">delayed </v>
          </cell>
          <cell r="N1381">
            <v>3</v>
          </cell>
          <cell r="O1381" t="str">
            <v>Y</v>
          </cell>
        </row>
        <row r="1382">
          <cell r="A1382" t="str">
            <v>SHP-100074</v>
          </cell>
          <cell r="B1382" t="str">
            <v>05/03/2024</v>
          </cell>
          <cell r="C1382" t="str">
            <v>CHENNAI</v>
          </cell>
          <cell r="D1382" t="str">
            <v xml:space="preserve"> XPRESSBEES</v>
          </cell>
          <cell r="E1382" t="str">
            <v>ROAD</v>
          </cell>
          <cell r="F1382" t="str">
            <v>ELECTRONICS</v>
          </cell>
          <cell r="G1382" t="str">
            <v xml:space="preserve">south </v>
          </cell>
          <cell r="I1382" t="str">
            <v>10.9</v>
          </cell>
          <cell r="J1382" t="str">
            <v>₹171</v>
          </cell>
          <cell r="K1382">
            <v>6</v>
          </cell>
          <cell r="L1382" t="str">
            <v>15-Mar-2024</v>
          </cell>
          <cell r="M1382" t="str">
            <v>DELAYED</v>
          </cell>
          <cell r="N1382">
            <v>5</v>
          </cell>
          <cell r="O1382" t="str">
            <v>N</v>
          </cell>
        </row>
        <row r="1383">
          <cell r="A1383" t="str">
            <v>SHP-100607</v>
          </cell>
          <cell r="B1383" t="str">
            <v>27-Jun-2024</v>
          </cell>
          <cell r="C1383" t="str">
            <v>BENGALURU</v>
          </cell>
          <cell r="D1383" t="str">
            <v>xpressbees</v>
          </cell>
          <cell r="E1383" t="str">
            <v>road</v>
          </cell>
          <cell r="F1383" t="str">
            <v xml:space="preserve">pharma </v>
          </cell>
          <cell r="G1383" t="str">
            <v>east</v>
          </cell>
          <cell r="I1383" t="str">
            <v>2.9</v>
          </cell>
          <cell r="J1383" t="str">
            <v>236</v>
          </cell>
          <cell r="K1383">
            <v>8</v>
          </cell>
          <cell r="M1383" t="str">
            <v xml:space="preserve">IN-TRANSIT </v>
          </cell>
          <cell r="O1383" t="str">
            <v>YES</v>
          </cell>
        </row>
        <row r="1384">
          <cell r="A1384" t="str">
            <v>SHP-100812</v>
          </cell>
          <cell r="B1384" t="str">
            <v>12/03/2024</v>
          </cell>
          <cell r="C1384" t="str">
            <v>BENGALURU</v>
          </cell>
          <cell r="D1384" t="str">
            <v xml:space="preserve">Dtdc </v>
          </cell>
          <cell r="E1384" t="str">
            <v>road</v>
          </cell>
          <cell r="F1384" t="str">
            <v>Furniture</v>
          </cell>
          <cell r="G1384" t="str">
            <v>East</v>
          </cell>
          <cell r="I1384" t="str">
            <v xml:space="preserve">40.7 Kg </v>
          </cell>
          <cell r="J1384" t="str">
            <v>695</v>
          </cell>
          <cell r="K1384">
            <v>8</v>
          </cell>
          <cell r="L1384" t="str">
            <v>2024-03-21</v>
          </cell>
          <cell r="M1384" t="str">
            <v>DELAYED</v>
          </cell>
          <cell r="N1384">
            <v>3</v>
          </cell>
          <cell r="O1384" t="str">
            <v>N</v>
          </cell>
        </row>
        <row r="1385">
          <cell r="A1385" t="str">
            <v>SHP-100620</v>
          </cell>
          <cell r="B1385" t="str">
            <v xml:space="preserve"> 14/01/2024 </v>
          </cell>
          <cell r="C1385" t="str">
            <v>KOLKATA</v>
          </cell>
          <cell r="D1385" t="str">
            <v>DTDC</v>
          </cell>
          <cell r="E1385" t="str">
            <v xml:space="preserve">air </v>
          </cell>
          <cell r="F1385" t="str">
            <v>Furniture</v>
          </cell>
          <cell r="G1385" t="str">
            <v xml:space="preserve">west </v>
          </cell>
          <cell r="I1385" t="str">
            <v xml:space="preserve">53.4 Kg </v>
          </cell>
          <cell r="J1385" t="str">
            <v xml:space="preserve">Rs 2589 </v>
          </cell>
          <cell r="K1385">
            <v>4</v>
          </cell>
          <cell r="L1385" t="str">
            <v xml:space="preserve"> 19/01/2024 </v>
          </cell>
          <cell r="M1385" t="str">
            <v xml:space="preserve">delayed </v>
          </cell>
          <cell r="N1385">
            <v>1</v>
          </cell>
          <cell r="O1385" t="str">
            <v>Yes</v>
          </cell>
        </row>
        <row r="1386">
          <cell r="A1386" t="str">
            <v>SHP-100091</v>
          </cell>
          <cell r="B1386" t="str">
            <v>2024-04-23</v>
          </cell>
          <cell r="C1386" t="str">
            <v>Bengaluru</v>
          </cell>
          <cell r="D1386" t="str">
            <v>ECOM EXPRESS</v>
          </cell>
          <cell r="E1386" t="str">
            <v xml:space="preserve">air </v>
          </cell>
          <cell r="F1386" t="str">
            <v xml:space="preserve">  FURNITURE </v>
          </cell>
          <cell r="G1386" t="str">
            <v>north</v>
          </cell>
          <cell r="I1386" t="str">
            <v xml:space="preserve">23.2 Kg </v>
          </cell>
          <cell r="J1386" t="str">
            <v>₹1,223</v>
          </cell>
          <cell r="K1386">
            <v>4</v>
          </cell>
          <cell r="L1386" t="str">
            <v>2024-04-30</v>
          </cell>
          <cell r="M1386" t="str">
            <v>DELAYED</v>
          </cell>
          <cell r="N1386">
            <v>3</v>
          </cell>
          <cell r="O1386" t="str">
            <v>YES</v>
          </cell>
        </row>
        <row r="1387">
          <cell r="A1387" t="str">
            <v>SHP-100443</v>
          </cell>
          <cell r="B1387" t="str">
            <v>2024-05-03</v>
          </cell>
          <cell r="C1387" t="str">
            <v xml:space="preserve"> MUMBAI </v>
          </cell>
          <cell r="D1387" t="str">
            <v>ECOM EXPRESS</v>
          </cell>
          <cell r="E1387" t="str">
            <v xml:space="preserve"> AIR </v>
          </cell>
          <cell r="F1387" t="str">
            <v>grocery &amp; fmcg</v>
          </cell>
          <cell r="G1387" t="str">
            <v>SOUTH</v>
          </cell>
          <cell r="I1387" t="str">
            <v>7.0KG</v>
          </cell>
          <cell r="J1387" t="str">
            <v>439</v>
          </cell>
          <cell r="K1387">
            <v>4</v>
          </cell>
          <cell r="L1387" t="str">
            <v xml:space="preserve"> 08/05/2024 </v>
          </cell>
          <cell r="M1387" t="str">
            <v xml:space="preserve"> Delayed</v>
          </cell>
          <cell r="N1387">
            <v>3</v>
          </cell>
          <cell r="O1387" t="str">
            <v>Y</v>
          </cell>
        </row>
        <row r="1388">
          <cell r="A1388" t="str">
            <v>SHP-100622</v>
          </cell>
          <cell r="B1388" t="str">
            <v>07/04/2024</v>
          </cell>
          <cell r="C1388" t="str">
            <v xml:space="preserve"> HYDERABAD </v>
          </cell>
          <cell r="D1388" t="str">
            <v>DTDC</v>
          </cell>
          <cell r="E1388" t="str">
            <v>Air</v>
          </cell>
          <cell r="F1388" t="str">
            <v>electronics</v>
          </cell>
          <cell r="G1388" t="str">
            <v>south</v>
          </cell>
          <cell r="I1388" t="str">
            <v xml:space="preserve">11.8 Kg </v>
          </cell>
          <cell r="J1388" t="str">
            <v>711</v>
          </cell>
          <cell r="K1388">
            <v>4</v>
          </cell>
          <cell r="L1388" t="str">
            <v>12/04/2024</v>
          </cell>
          <cell r="M1388" t="str">
            <v xml:space="preserve"> Delayed</v>
          </cell>
          <cell r="N1388">
            <v>3</v>
          </cell>
          <cell r="O1388" t="str">
            <v>N</v>
          </cell>
        </row>
        <row r="1389">
          <cell r="A1389" t="str">
            <v>SHP-101561</v>
          </cell>
          <cell r="B1389" t="str">
            <v>2024-01-24</v>
          </cell>
          <cell r="C1389" t="str">
            <v>DELHI</v>
          </cell>
          <cell r="D1389" t="str">
            <v>Ecom Express</v>
          </cell>
          <cell r="E1389" t="str">
            <v>AIR</v>
          </cell>
          <cell r="F1389" t="str">
            <v>furniture</v>
          </cell>
          <cell r="G1389" t="str">
            <v>NORTH</v>
          </cell>
          <cell r="I1389" t="str">
            <v>43.3</v>
          </cell>
          <cell r="J1389" t="str">
            <v>1,977</v>
          </cell>
          <cell r="K1389">
            <v>2</v>
          </cell>
          <cell r="L1389" t="str">
            <v>2024-01-26</v>
          </cell>
          <cell r="M1389" t="str">
            <v>DELIVERED</v>
          </cell>
          <cell r="N1389">
            <v>5</v>
          </cell>
          <cell r="O1389" t="str">
            <v>no</v>
          </cell>
        </row>
        <row r="1390">
          <cell r="A1390" t="str">
            <v>SHP-100662</v>
          </cell>
          <cell r="B1390" t="str">
            <v xml:space="preserve"> 02/03/2024 </v>
          </cell>
          <cell r="C1390" t="str">
            <v xml:space="preserve"> BENGALURU </v>
          </cell>
          <cell r="D1390" t="str">
            <v xml:space="preserve">Dtdc </v>
          </cell>
          <cell r="E1390" t="str">
            <v>ROAD</v>
          </cell>
          <cell r="F1390" t="str">
            <v>PHARMA</v>
          </cell>
          <cell r="G1390" t="str">
            <v>West</v>
          </cell>
          <cell r="I1390" t="str">
            <v xml:space="preserve">1.4 Kg </v>
          </cell>
          <cell r="J1390" t="str">
            <v xml:space="preserve">Rs 155 </v>
          </cell>
          <cell r="K1390">
            <v>8</v>
          </cell>
          <cell r="L1390" t="str">
            <v xml:space="preserve"> 19/03/2024 </v>
          </cell>
          <cell r="M1390" t="str">
            <v xml:space="preserve"> Delayed</v>
          </cell>
          <cell r="N1390">
            <v>2</v>
          </cell>
          <cell r="O1390" t="str">
            <v>YES</v>
          </cell>
        </row>
        <row r="1391">
          <cell r="A1391" t="str">
            <v>SHP-100023</v>
          </cell>
          <cell r="B1391" t="str">
            <v xml:space="preserve"> 05/05/2024 </v>
          </cell>
          <cell r="C1391" t="str">
            <v xml:space="preserve">hyderabad </v>
          </cell>
          <cell r="D1391" t="str">
            <v>ecom express</v>
          </cell>
          <cell r="E1391" t="str">
            <v xml:space="preserve"> SURFACE </v>
          </cell>
          <cell r="F1391" t="str">
            <v>GROCERY &amp; FMCG</v>
          </cell>
          <cell r="G1391" t="str">
            <v>NORTH</v>
          </cell>
          <cell r="I1391" t="str">
            <v>13.1kg</v>
          </cell>
          <cell r="J1391" t="str">
            <v>423</v>
          </cell>
          <cell r="K1391">
            <v>6</v>
          </cell>
          <cell r="L1391" t="str">
            <v>11-May-2024</v>
          </cell>
          <cell r="M1391" t="str">
            <v xml:space="preserve"> Delivered</v>
          </cell>
          <cell r="N1391">
            <v>3</v>
          </cell>
          <cell r="O1391" t="str">
            <v xml:space="preserve"> No</v>
          </cell>
        </row>
        <row r="1392">
          <cell r="A1392" t="str">
            <v>SHP-100174</v>
          </cell>
          <cell r="B1392" t="str">
            <v>15-Mar-2024</v>
          </cell>
          <cell r="C1392" t="str">
            <v>Hyderabad</v>
          </cell>
          <cell r="D1392" t="str">
            <v>dtdc</v>
          </cell>
          <cell r="E1392" t="str">
            <v>AIR</v>
          </cell>
          <cell r="F1392" t="str">
            <v xml:space="preserve">pharma </v>
          </cell>
          <cell r="G1392" t="str">
            <v>North</v>
          </cell>
          <cell r="I1392" t="str">
            <v>1.3</v>
          </cell>
          <cell r="J1392" t="str">
            <v xml:space="preserve">Rs 189 </v>
          </cell>
          <cell r="K1392">
            <v>4</v>
          </cell>
          <cell r="L1392" t="str">
            <v>19-Mar-2024</v>
          </cell>
          <cell r="M1392" t="str">
            <v>DELIVERED</v>
          </cell>
          <cell r="N1392">
            <v>4</v>
          </cell>
          <cell r="O1392" t="str">
            <v>N</v>
          </cell>
        </row>
        <row r="1393">
          <cell r="A1393" t="str">
            <v>SHP-101565</v>
          </cell>
          <cell r="B1393" t="str">
            <v>16-Jan-2024</v>
          </cell>
          <cell r="C1393" t="str">
            <v xml:space="preserve"> BENGALURU </v>
          </cell>
          <cell r="D1393" t="str">
            <v>ecom express</v>
          </cell>
          <cell r="E1393" t="str">
            <v xml:space="preserve">surface </v>
          </cell>
          <cell r="F1393" t="str">
            <v xml:space="preserve">furniture </v>
          </cell>
          <cell r="G1393" t="str">
            <v>NORTH</v>
          </cell>
          <cell r="I1393" t="str">
            <v>75.9</v>
          </cell>
          <cell r="J1393" t="str">
            <v>1,836</v>
          </cell>
          <cell r="K1393">
            <v>6</v>
          </cell>
          <cell r="L1393" t="str">
            <v>23/01/2024</v>
          </cell>
          <cell r="M1393" t="str">
            <v xml:space="preserve"> Delayed</v>
          </cell>
          <cell r="N1393">
            <v>1</v>
          </cell>
          <cell r="O1393" t="str">
            <v>No</v>
          </cell>
        </row>
        <row r="1394">
          <cell r="A1394" t="str">
            <v>SHP-100857</v>
          </cell>
          <cell r="B1394" t="str">
            <v>23/01/2024</v>
          </cell>
          <cell r="C1394" t="str">
            <v>kolkata</v>
          </cell>
          <cell r="D1394" t="str">
            <v>XpressBees</v>
          </cell>
          <cell r="E1394" t="str">
            <v xml:space="preserve">surface </v>
          </cell>
          <cell r="F1394" t="str">
            <v>Automotive Parts</v>
          </cell>
          <cell r="G1394" t="str">
            <v xml:space="preserve">north </v>
          </cell>
          <cell r="I1394" t="str">
            <v xml:space="preserve">8.3 Kg </v>
          </cell>
          <cell r="J1394" t="str">
            <v xml:space="preserve">Rs 328 </v>
          </cell>
          <cell r="K1394">
            <v>6</v>
          </cell>
          <cell r="L1394" t="str">
            <v>2024-02-06</v>
          </cell>
          <cell r="M1394" t="str">
            <v xml:space="preserve"> Delayed</v>
          </cell>
          <cell r="N1394">
            <v>4</v>
          </cell>
          <cell r="O1394" t="str">
            <v>Yes</v>
          </cell>
        </row>
        <row r="1395">
          <cell r="A1395" t="str">
            <v>SHP-100836</v>
          </cell>
          <cell r="B1395" t="str">
            <v>15-May-2024</v>
          </cell>
          <cell r="C1395" t="str">
            <v>MUMBAI</v>
          </cell>
          <cell r="D1395" t="str">
            <v>Delhivery</v>
          </cell>
          <cell r="E1395" t="str">
            <v>AIR</v>
          </cell>
          <cell r="F1395" t="str">
            <v>Pharma</v>
          </cell>
          <cell r="G1395" t="str">
            <v>NORTH</v>
          </cell>
          <cell r="I1395" t="str">
            <v>3.1kg</v>
          </cell>
          <cell r="J1395" t="str">
            <v>₹341</v>
          </cell>
          <cell r="K1395">
            <v>4</v>
          </cell>
          <cell r="L1395" t="str">
            <v>21-May-2024</v>
          </cell>
          <cell r="M1395" t="str">
            <v>Delayed</v>
          </cell>
          <cell r="N1395">
            <v>3</v>
          </cell>
          <cell r="O1395" t="str">
            <v>no</v>
          </cell>
        </row>
        <row r="1396">
          <cell r="A1396" t="str">
            <v>SHP-100173</v>
          </cell>
          <cell r="B1396" t="str">
            <v>01/04/2024</v>
          </cell>
          <cell r="C1396" t="str">
            <v xml:space="preserve"> DELHI </v>
          </cell>
          <cell r="D1396" t="str">
            <v>ecom express</v>
          </cell>
          <cell r="E1396" t="str">
            <v>Road</v>
          </cell>
          <cell r="F1396" t="str">
            <v xml:space="preserve"> GROCERY &amp; FMCG </v>
          </cell>
          <cell r="G1396" t="str">
            <v xml:space="preserve">north </v>
          </cell>
          <cell r="J1396" t="str">
            <v>₹113</v>
          </cell>
          <cell r="K1396">
            <v>6</v>
          </cell>
          <cell r="L1396" t="str">
            <v>2024-04-07</v>
          </cell>
          <cell r="M1396" t="str">
            <v xml:space="preserve"> Delivered</v>
          </cell>
          <cell r="N1396">
            <v>2</v>
          </cell>
          <cell r="O1396" t="str">
            <v>no</v>
          </cell>
        </row>
        <row r="1397">
          <cell r="A1397" t="str">
            <v>SHP-100767</v>
          </cell>
          <cell r="B1397" t="str">
            <v>2024-06-15</v>
          </cell>
          <cell r="C1397" t="str">
            <v>CHENNAI</v>
          </cell>
          <cell r="D1397" t="str">
            <v>xpressbees</v>
          </cell>
          <cell r="E1397" t="str">
            <v>Road</v>
          </cell>
          <cell r="F1397" t="str">
            <v xml:space="preserve">furniture </v>
          </cell>
          <cell r="G1397" t="str">
            <v xml:space="preserve">west </v>
          </cell>
          <cell r="I1397" t="str">
            <v>70.6</v>
          </cell>
          <cell r="J1397" t="str">
            <v>1,113</v>
          </cell>
          <cell r="K1397">
            <v>8</v>
          </cell>
          <cell r="L1397" t="str">
            <v>2024-06-22</v>
          </cell>
          <cell r="M1397" t="str">
            <v>Delivered</v>
          </cell>
          <cell r="N1397">
            <v>5</v>
          </cell>
          <cell r="O1397" t="str">
            <v xml:space="preserve">yes </v>
          </cell>
        </row>
        <row r="1398">
          <cell r="A1398" t="str">
            <v>SHP-100629</v>
          </cell>
          <cell r="B1398" t="str">
            <v>2024-05-07</v>
          </cell>
          <cell r="C1398" t="str">
            <v xml:space="preserve"> BENGALURU </v>
          </cell>
          <cell r="D1398" t="str">
            <v>Xpress Bees</v>
          </cell>
          <cell r="E1398" t="str">
            <v>surface</v>
          </cell>
          <cell r="F1398" t="str">
            <v>Electronics</v>
          </cell>
          <cell r="G1398" t="str">
            <v xml:space="preserve"> NORTH </v>
          </cell>
          <cell r="I1398" t="str">
            <v>13.1KG</v>
          </cell>
          <cell r="J1398" t="str">
            <v>₹489</v>
          </cell>
          <cell r="K1398">
            <v>6</v>
          </cell>
          <cell r="L1398" t="str">
            <v>2024-05-14</v>
          </cell>
          <cell r="M1398" t="str">
            <v xml:space="preserve">delayed </v>
          </cell>
          <cell r="N1398">
            <v>4</v>
          </cell>
          <cell r="O1398" t="str">
            <v>no</v>
          </cell>
        </row>
        <row r="1399">
          <cell r="A1399" t="str">
            <v>SHP-100499</v>
          </cell>
          <cell r="B1399" t="str">
            <v>2024-02-02</v>
          </cell>
          <cell r="C1399" t="str">
            <v>HYDERABAD</v>
          </cell>
          <cell r="D1399" t="str">
            <v>DTDC</v>
          </cell>
          <cell r="E1399" t="str">
            <v xml:space="preserve"> ROAD </v>
          </cell>
          <cell r="F1399" t="str">
            <v>APPAREL</v>
          </cell>
          <cell r="G1399" t="str">
            <v>West</v>
          </cell>
          <cell r="I1399" t="str">
            <v>2.3kg</v>
          </cell>
          <cell r="J1399" t="str">
            <v>₹80</v>
          </cell>
          <cell r="K1399">
            <v>6</v>
          </cell>
          <cell r="L1399" t="str">
            <v xml:space="preserve"> 15/02/2024 </v>
          </cell>
          <cell r="M1399" t="str">
            <v>returned</v>
          </cell>
          <cell r="O1399" t="str">
            <v>Yes</v>
          </cell>
        </row>
        <row r="1400">
          <cell r="A1400" t="str">
            <v>SHP-100779</v>
          </cell>
          <cell r="B1400" t="str">
            <v xml:space="preserve"> 05/05/2024 </v>
          </cell>
          <cell r="C1400" t="str">
            <v xml:space="preserve">bengaluru </v>
          </cell>
          <cell r="D1400" t="str">
            <v xml:space="preserve"> Delhivery</v>
          </cell>
          <cell r="E1400" t="str">
            <v>Air</v>
          </cell>
          <cell r="F1400" t="str">
            <v>automotive parts</v>
          </cell>
          <cell r="G1400" t="str">
            <v>South</v>
          </cell>
          <cell r="I1400" t="str">
            <v>34.7</v>
          </cell>
          <cell r="J1400" t="str">
            <v>1,614</v>
          </cell>
          <cell r="K1400">
            <v>2</v>
          </cell>
          <cell r="L1400" t="str">
            <v>08/05/2024</v>
          </cell>
          <cell r="M1400" t="str">
            <v>Delayed</v>
          </cell>
          <cell r="N1400">
            <v>4</v>
          </cell>
          <cell r="O1400" t="str">
            <v>Y</v>
          </cell>
        </row>
        <row r="1401">
          <cell r="A1401" t="str">
            <v>SHP-100488</v>
          </cell>
          <cell r="B1401" t="str">
            <v>12-Mar-2024</v>
          </cell>
          <cell r="C1401" t="str">
            <v>chennai</v>
          </cell>
          <cell r="D1401" t="str">
            <v>Blue Dart</v>
          </cell>
          <cell r="E1401" t="str">
            <v>air</v>
          </cell>
          <cell r="F1401" t="str">
            <v>furniture</v>
          </cell>
          <cell r="G1401" t="str">
            <v>south</v>
          </cell>
          <cell r="I1401" t="str">
            <v xml:space="preserve">19.4 Kg </v>
          </cell>
          <cell r="J1401" t="str">
            <v>₹866</v>
          </cell>
          <cell r="K1401">
            <v>2</v>
          </cell>
          <cell r="L1401" t="str">
            <v>2024-03-15</v>
          </cell>
          <cell r="M1401" t="str">
            <v xml:space="preserve"> Delayed</v>
          </cell>
          <cell r="N1401">
            <v>1</v>
          </cell>
          <cell r="O1401" t="str">
            <v>Y</v>
          </cell>
        </row>
        <row r="1402">
          <cell r="A1402" t="str">
            <v>SHP-101411</v>
          </cell>
          <cell r="B1402" t="str">
            <v xml:space="preserve"> 11/01/2024 </v>
          </cell>
          <cell r="C1402" t="str">
            <v>mumbai</v>
          </cell>
          <cell r="D1402" t="str">
            <v>Ecom  Express</v>
          </cell>
          <cell r="E1402" t="str">
            <v>Air</v>
          </cell>
          <cell r="F1402" t="str">
            <v>AUTOMOTIVE PARTS</v>
          </cell>
          <cell r="G1402" t="str">
            <v>South</v>
          </cell>
          <cell r="I1402" t="str">
            <v>19.6KG</v>
          </cell>
          <cell r="J1402" t="str">
            <v>1,086</v>
          </cell>
          <cell r="K1402">
            <v>4</v>
          </cell>
          <cell r="L1402" t="str">
            <v>2024-01-15</v>
          </cell>
          <cell r="M1402" t="str">
            <v>DELIVERED</v>
          </cell>
          <cell r="N1402">
            <v>4</v>
          </cell>
          <cell r="O1402" t="str">
            <v>YES</v>
          </cell>
        </row>
        <row r="1403">
          <cell r="A1403" t="str">
            <v>SHP-100979</v>
          </cell>
          <cell r="B1403" t="str">
            <v>03-Mar-2024</v>
          </cell>
          <cell r="C1403" t="str">
            <v>kolkata</v>
          </cell>
          <cell r="D1403" t="str">
            <v>xpressbees</v>
          </cell>
          <cell r="E1403" t="str">
            <v>road</v>
          </cell>
          <cell r="F1403" t="str">
            <v>grocery  &amp; fmcg</v>
          </cell>
          <cell r="G1403" t="str">
            <v xml:space="preserve">west </v>
          </cell>
          <cell r="I1403" t="str">
            <v>18.9kg</v>
          </cell>
          <cell r="J1403" t="str">
            <v xml:space="preserve">Rs 472 </v>
          </cell>
          <cell r="K1403">
            <v>8</v>
          </cell>
          <cell r="L1403" t="str">
            <v>12/03/2024</v>
          </cell>
          <cell r="M1403" t="str">
            <v>DELAYED</v>
          </cell>
          <cell r="N1403">
            <v>3</v>
          </cell>
          <cell r="O1403" t="str">
            <v>Y</v>
          </cell>
        </row>
        <row r="1404">
          <cell r="A1404" t="str">
            <v>SHP-100842</v>
          </cell>
          <cell r="B1404" t="str">
            <v>2024-01-12</v>
          </cell>
          <cell r="C1404" t="str">
            <v>mumbai</v>
          </cell>
          <cell r="D1404" t="str">
            <v>delhivery</v>
          </cell>
          <cell r="E1404" t="str">
            <v xml:space="preserve">air </v>
          </cell>
          <cell r="F1404" t="str">
            <v xml:space="preserve">pharma </v>
          </cell>
          <cell r="G1404" t="str">
            <v>WEST</v>
          </cell>
          <cell r="I1404" t="str">
            <v>2.1KG</v>
          </cell>
          <cell r="J1404" t="str">
            <v>₹80</v>
          </cell>
          <cell r="K1404">
            <v>2</v>
          </cell>
          <cell r="L1404" t="str">
            <v>2024-01-15</v>
          </cell>
          <cell r="M1404" t="str">
            <v>DELAYED</v>
          </cell>
          <cell r="N1404">
            <v>4</v>
          </cell>
          <cell r="O1404" t="str">
            <v xml:space="preserve">yes </v>
          </cell>
        </row>
        <row r="1405">
          <cell r="A1405" t="str">
            <v>SHP-100375</v>
          </cell>
          <cell r="B1405" t="str">
            <v>20/01/2024</v>
          </cell>
          <cell r="C1405" t="str">
            <v>kolkata</v>
          </cell>
          <cell r="D1405" t="str">
            <v>bluedart</v>
          </cell>
          <cell r="E1405" t="str">
            <v>ROAD</v>
          </cell>
          <cell r="F1405" t="str">
            <v>Apparel</v>
          </cell>
          <cell r="G1405" t="str">
            <v>East</v>
          </cell>
          <cell r="I1405" t="str">
            <v>4.9kg</v>
          </cell>
          <cell r="J1405" t="str">
            <v xml:space="preserve">Rs 99 </v>
          </cell>
          <cell r="K1405">
            <v>6</v>
          </cell>
          <cell r="L1405" t="str">
            <v xml:space="preserve"> 25/01/2024 </v>
          </cell>
          <cell r="M1405" t="str">
            <v>DELIVERED</v>
          </cell>
          <cell r="N1405">
            <v>1</v>
          </cell>
          <cell r="O1405" t="str">
            <v>no</v>
          </cell>
        </row>
        <row r="1406">
          <cell r="A1406" t="str">
            <v>SHP-100777</v>
          </cell>
          <cell r="B1406" t="str">
            <v xml:space="preserve"> 07/01/2024 </v>
          </cell>
          <cell r="C1406" t="str">
            <v xml:space="preserve">mumbai </v>
          </cell>
          <cell r="D1406" t="str">
            <v xml:space="preserve">Dtdc </v>
          </cell>
          <cell r="E1406" t="str">
            <v>Air</v>
          </cell>
          <cell r="F1406" t="str">
            <v>APPAREL</v>
          </cell>
          <cell r="G1406" t="str">
            <v>WEST</v>
          </cell>
          <cell r="I1406" t="str">
            <v>7.5KG</v>
          </cell>
          <cell r="J1406" t="str">
            <v>₹329</v>
          </cell>
          <cell r="K1406">
            <v>2</v>
          </cell>
          <cell r="L1406" t="str">
            <v xml:space="preserve"> 09/01/2024 </v>
          </cell>
          <cell r="M1406" t="str">
            <v>returned</v>
          </cell>
          <cell r="O1406" t="str">
            <v>No</v>
          </cell>
        </row>
        <row r="1407">
          <cell r="A1407" t="str">
            <v>SHP-100484</v>
          </cell>
          <cell r="B1407" t="str">
            <v xml:space="preserve"> 05/01/2024 </v>
          </cell>
          <cell r="C1407" t="str">
            <v>chennai</v>
          </cell>
          <cell r="D1407" t="str">
            <v xml:space="preserve">BLUEDART </v>
          </cell>
          <cell r="E1407" t="str">
            <v xml:space="preserve">air </v>
          </cell>
          <cell r="F1407" t="str">
            <v>Pharma</v>
          </cell>
          <cell r="G1407" t="str">
            <v xml:space="preserve">north </v>
          </cell>
          <cell r="I1407" t="str">
            <v>1.0kg</v>
          </cell>
          <cell r="J1407" t="str">
            <v>183</v>
          </cell>
          <cell r="K1407">
            <v>4</v>
          </cell>
          <cell r="L1407" t="str">
            <v xml:space="preserve"> 10/01/2024 </v>
          </cell>
          <cell r="M1407" t="str">
            <v xml:space="preserve">delayed </v>
          </cell>
          <cell r="N1407">
            <v>4</v>
          </cell>
          <cell r="O1407" t="str">
            <v>No</v>
          </cell>
        </row>
        <row r="1408">
          <cell r="A1408" t="str">
            <v>SHP-100529</v>
          </cell>
          <cell r="B1408" t="str">
            <v>22-Jan-2024</v>
          </cell>
          <cell r="C1408" t="str">
            <v>Chennai</v>
          </cell>
          <cell r="D1408" t="str">
            <v>ECOM EXPRESS</v>
          </cell>
          <cell r="E1408" t="str">
            <v>Road</v>
          </cell>
          <cell r="F1408" t="str">
            <v>pharma</v>
          </cell>
          <cell r="G1408" t="str">
            <v>South</v>
          </cell>
          <cell r="I1408" t="str">
            <v>3.3kg</v>
          </cell>
          <cell r="J1408" t="str">
            <v>80</v>
          </cell>
          <cell r="K1408">
            <v>6</v>
          </cell>
          <cell r="L1408" t="str">
            <v>2024-01-27</v>
          </cell>
          <cell r="M1408" t="str">
            <v>Delivered</v>
          </cell>
          <cell r="N1408">
            <v>5</v>
          </cell>
          <cell r="O1408" t="str">
            <v xml:space="preserve">yes </v>
          </cell>
        </row>
        <row r="1409">
          <cell r="A1409" t="str">
            <v>SHP-101124</v>
          </cell>
          <cell r="B1409" t="str">
            <v xml:space="preserve"> 04/04/2024 </v>
          </cell>
          <cell r="C1409" t="str">
            <v>Kolkata</v>
          </cell>
          <cell r="D1409" t="str">
            <v>Blue Dart</v>
          </cell>
          <cell r="E1409" t="str">
            <v>Road</v>
          </cell>
          <cell r="F1409" t="str">
            <v xml:space="preserve"> PHARMA </v>
          </cell>
          <cell r="G1409" t="str">
            <v>WEST</v>
          </cell>
          <cell r="I1409" t="str">
            <v>2.8KG</v>
          </cell>
          <cell r="J1409" t="str">
            <v xml:space="preserve">Rs 191 </v>
          </cell>
          <cell r="K1409">
            <v>8</v>
          </cell>
          <cell r="L1409" t="str">
            <v xml:space="preserve"> 13/04/2024 </v>
          </cell>
          <cell r="M1409" t="str">
            <v xml:space="preserve"> Delayed</v>
          </cell>
          <cell r="N1409">
            <v>2</v>
          </cell>
          <cell r="O1409" t="str">
            <v>no</v>
          </cell>
        </row>
        <row r="1410">
          <cell r="A1410" t="str">
            <v>SHP-101205</v>
          </cell>
          <cell r="B1410" t="str">
            <v>27-Jan-2024</v>
          </cell>
          <cell r="C1410" t="str">
            <v xml:space="preserve"> KOLKATA </v>
          </cell>
          <cell r="D1410" t="str">
            <v xml:space="preserve">Dtdc </v>
          </cell>
          <cell r="E1410" t="str">
            <v>SURFACE</v>
          </cell>
          <cell r="F1410" t="str">
            <v>GROCERY &amp; FMCG</v>
          </cell>
          <cell r="G1410" t="str">
            <v>west</v>
          </cell>
          <cell r="I1410" t="str">
            <v xml:space="preserve">12.6 Kg </v>
          </cell>
          <cell r="J1410" t="str">
            <v xml:space="preserve">Rs 456 </v>
          </cell>
          <cell r="K1410">
            <v>6</v>
          </cell>
          <cell r="L1410" t="str">
            <v>01-Feb-2024</v>
          </cell>
          <cell r="M1410" t="str">
            <v>delivered</v>
          </cell>
          <cell r="N1410">
            <v>5</v>
          </cell>
          <cell r="O1410" t="str">
            <v xml:space="preserve">yes </v>
          </cell>
        </row>
        <row r="1411">
          <cell r="A1411" t="str">
            <v>SHP-100972</v>
          </cell>
          <cell r="B1411" t="str">
            <v>20-Feb-2024</v>
          </cell>
          <cell r="C1411" t="str">
            <v xml:space="preserve"> HYDERABAD </v>
          </cell>
          <cell r="D1411" t="str">
            <v xml:space="preserve"> XPRESSBEES</v>
          </cell>
          <cell r="E1411" t="str">
            <v>SURFACE</v>
          </cell>
          <cell r="F1411" t="str">
            <v xml:space="preserve"> GROCERY &amp; FMCG </v>
          </cell>
          <cell r="G1411" t="str">
            <v xml:space="preserve"> WEST </v>
          </cell>
          <cell r="I1411" t="str">
            <v>17.8kg</v>
          </cell>
          <cell r="J1411" t="str">
            <v xml:space="preserve">Rs 379 </v>
          </cell>
          <cell r="K1411">
            <v>4</v>
          </cell>
          <cell r="L1411" t="str">
            <v>25/02/2024</v>
          </cell>
          <cell r="M1411" t="str">
            <v>Delayed</v>
          </cell>
          <cell r="N1411">
            <v>3</v>
          </cell>
          <cell r="O1411" t="str">
            <v xml:space="preserve"> No</v>
          </cell>
        </row>
        <row r="1412">
          <cell r="A1412" t="str">
            <v>SHP-101585</v>
          </cell>
          <cell r="B1412" t="str">
            <v>2024-03-16</v>
          </cell>
          <cell r="C1412" t="str">
            <v>Delhi</v>
          </cell>
          <cell r="D1412" t="str">
            <v>XpressBees</v>
          </cell>
          <cell r="E1412" t="str">
            <v>SURFACE</v>
          </cell>
          <cell r="F1412" t="str">
            <v>APPAREL</v>
          </cell>
          <cell r="G1412" t="str">
            <v xml:space="preserve"> WEST </v>
          </cell>
          <cell r="I1412" t="str">
            <v xml:space="preserve">2.9 Kg </v>
          </cell>
          <cell r="J1412" t="str">
            <v xml:space="preserve">Rs 255 </v>
          </cell>
          <cell r="K1412">
            <v>6</v>
          </cell>
          <cell r="L1412" t="str">
            <v xml:space="preserve"> 23/03/2024 </v>
          </cell>
          <cell r="M1412" t="str">
            <v>DELAYED</v>
          </cell>
          <cell r="N1412">
            <v>5</v>
          </cell>
          <cell r="O1412" t="str">
            <v>Yes</v>
          </cell>
        </row>
        <row r="1413">
          <cell r="A1413" t="str">
            <v>SHP-101588</v>
          </cell>
          <cell r="B1413" t="str">
            <v>02/02/2024</v>
          </cell>
          <cell r="C1413" t="str">
            <v>HYDERABAD</v>
          </cell>
          <cell r="D1413" t="str">
            <v>DTDC</v>
          </cell>
          <cell r="E1413" t="str">
            <v xml:space="preserve">air </v>
          </cell>
          <cell r="F1413" t="str">
            <v>PHARMA</v>
          </cell>
          <cell r="G1413" t="str">
            <v>East</v>
          </cell>
          <cell r="I1413" t="str">
            <v xml:space="preserve">0.7 Kg </v>
          </cell>
          <cell r="J1413" t="str">
            <v>205</v>
          </cell>
          <cell r="K1413">
            <v>4</v>
          </cell>
          <cell r="L1413" t="str">
            <v>07/02/2024</v>
          </cell>
          <cell r="M1413" t="str">
            <v>Delayed</v>
          </cell>
          <cell r="N1413">
            <v>2</v>
          </cell>
          <cell r="O1413" t="str">
            <v>Y</v>
          </cell>
        </row>
        <row r="1414">
          <cell r="A1414" t="str">
            <v>SHP-100856</v>
          </cell>
          <cell r="B1414" t="str">
            <v>08/02/2024</v>
          </cell>
          <cell r="C1414" t="str">
            <v>CHENNAI</v>
          </cell>
          <cell r="D1414" t="str">
            <v>Ecom  Express</v>
          </cell>
          <cell r="E1414" t="str">
            <v>Surface</v>
          </cell>
          <cell r="F1414" t="str">
            <v xml:space="preserve"> AUTOMOTIVE PARTS </v>
          </cell>
          <cell r="G1414" t="str">
            <v>south</v>
          </cell>
          <cell r="I1414" t="str">
            <v>15.3</v>
          </cell>
          <cell r="J1414" t="str">
            <v>383</v>
          </cell>
          <cell r="K1414">
            <v>4</v>
          </cell>
          <cell r="L1414" t="str">
            <v xml:space="preserve"> 13/02/2024 </v>
          </cell>
          <cell r="M1414" t="str">
            <v>DELAYED</v>
          </cell>
          <cell r="N1414">
            <v>3</v>
          </cell>
          <cell r="O1414" t="str">
            <v>No</v>
          </cell>
        </row>
        <row r="1415">
          <cell r="A1415" t="str">
            <v>SHP-101569</v>
          </cell>
          <cell r="B1415" t="str">
            <v xml:space="preserve"> 10/06/2024 </v>
          </cell>
          <cell r="C1415" t="str">
            <v>Mumbai</v>
          </cell>
          <cell r="D1415" t="str">
            <v>ecom express</v>
          </cell>
          <cell r="E1415" t="str">
            <v>air</v>
          </cell>
          <cell r="F1415" t="str">
            <v xml:space="preserve">grocery &amp; fmcg </v>
          </cell>
          <cell r="G1415" t="str">
            <v xml:space="preserve">west </v>
          </cell>
          <cell r="I1415" t="str">
            <v>8.9KG</v>
          </cell>
          <cell r="J1415" t="str">
            <v>401</v>
          </cell>
          <cell r="K1415">
            <v>2</v>
          </cell>
          <cell r="L1415" t="str">
            <v>2024-06-11</v>
          </cell>
          <cell r="M1415" t="str">
            <v>DELIVERED</v>
          </cell>
          <cell r="N1415">
            <v>5</v>
          </cell>
          <cell r="O1415" t="str">
            <v>No</v>
          </cell>
        </row>
        <row r="1416">
          <cell r="A1416" t="str">
            <v>SHP-100919</v>
          </cell>
          <cell r="B1416" t="str">
            <v>2024-05-06</v>
          </cell>
          <cell r="C1416" t="str">
            <v xml:space="preserve">chennai </v>
          </cell>
          <cell r="D1416" t="str">
            <v xml:space="preserve">BLUEDART </v>
          </cell>
          <cell r="E1416" t="str">
            <v xml:space="preserve">surface </v>
          </cell>
          <cell r="F1416" t="str">
            <v xml:space="preserve">grocery  &amp; fmcg </v>
          </cell>
          <cell r="G1416" t="str">
            <v>EAST</v>
          </cell>
          <cell r="I1416" t="str">
            <v>13.2KG</v>
          </cell>
          <cell r="J1416" t="str">
            <v>479</v>
          </cell>
          <cell r="K1416">
            <v>6</v>
          </cell>
          <cell r="L1416" t="str">
            <v>12-May-2024</v>
          </cell>
          <cell r="M1416" t="str">
            <v>DELIVERED</v>
          </cell>
          <cell r="N1416">
            <v>4</v>
          </cell>
          <cell r="O1416" t="str">
            <v>no</v>
          </cell>
        </row>
        <row r="1417">
          <cell r="A1417" t="str">
            <v>SHP-100366</v>
          </cell>
          <cell r="B1417" t="str">
            <v>26-Apr-2024</v>
          </cell>
          <cell r="C1417" t="str">
            <v>DELHI</v>
          </cell>
          <cell r="D1417" t="str">
            <v>xpressbees</v>
          </cell>
          <cell r="E1417" t="str">
            <v>Road</v>
          </cell>
          <cell r="F1417" t="str">
            <v>Automotive Parts</v>
          </cell>
          <cell r="G1417" t="str">
            <v>West</v>
          </cell>
          <cell r="I1417" t="str">
            <v>12.9KG</v>
          </cell>
          <cell r="J1417" t="str">
            <v>353</v>
          </cell>
          <cell r="K1417">
            <v>8</v>
          </cell>
          <cell r="L1417" t="str">
            <v xml:space="preserve"> 03/05/2024 </v>
          </cell>
          <cell r="M1417" t="str">
            <v>DELIVERED</v>
          </cell>
          <cell r="N1417">
            <v>4</v>
          </cell>
          <cell r="O1417" t="str">
            <v>N</v>
          </cell>
        </row>
        <row r="1418">
          <cell r="A1418" t="str">
            <v>SHP-101069</v>
          </cell>
          <cell r="B1418" t="str">
            <v>11-Apr-2024</v>
          </cell>
          <cell r="C1418" t="str">
            <v>Mumbai</v>
          </cell>
          <cell r="D1418" t="str">
            <v xml:space="preserve">BLUEDART </v>
          </cell>
          <cell r="E1418" t="str">
            <v>road</v>
          </cell>
          <cell r="F1418" t="str">
            <v>pharma</v>
          </cell>
          <cell r="G1418" t="str">
            <v>WEST</v>
          </cell>
          <cell r="I1418" t="str">
            <v xml:space="preserve">4.0 Kg </v>
          </cell>
          <cell r="J1418" t="str">
            <v>₹115</v>
          </cell>
          <cell r="K1418">
            <v>6</v>
          </cell>
          <cell r="L1418" t="str">
            <v>2024-04-17</v>
          </cell>
          <cell r="M1418" t="str">
            <v>DELIVERED</v>
          </cell>
          <cell r="N1418">
            <v>4</v>
          </cell>
          <cell r="O1418" t="str">
            <v>YES</v>
          </cell>
        </row>
        <row r="1419">
          <cell r="A1419" t="str">
            <v>SHP-100690</v>
          </cell>
          <cell r="B1419" t="str">
            <v xml:space="preserve"> 14/05/2024 </v>
          </cell>
          <cell r="C1419" t="str">
            <v>KOLKATA</v>
          </cell>
          <cell r="D1419" t="str">
            <v xml:space="preserve"> Delhivery</v>
          </cell>
          <cell r="E1419" t="str">
            <v xml:space="preserve"> AIR </v>
          </cell>
          <cell r="F1419" t="str">
            <v>AUTOMOTIVE PARTS</v>
          </cell>
          <cell r="G1419" t="str">
            <v>SOUTH</v>
          </cell>
          <cell r="I1419" t="str">
            <v>6.4</v>
          </cell>
          <cell r="J1419" t="str">
            <v>₹493</v>
          </cell>
          <cell r="K1419">
            <v>4</v>
          </cell>
          <cell r="L1419" t="str">
            <v>19-May-2024</v>
          </cell>
          <cell r="M1419" t="str">
            <v>DELAYED</v>
          </cell>
          <cell r="N1419">
            <v>1</v>
          </cell>
          <cell r="O1419" t="str">
            <v>Yes</v>
          </cell>
        </row>
        <row r="1420">
          <cell r="A1420" t="str">
            <v>SHP-101004</v>
          </cell>
          <cell r="B1420" t="str">
            <v>2024-03-06</v>
          </cell>
          <cell r="C1420" t="str">
            <v>KOLKATA</v>
          </cell>
          <cell r="D1420" t="str">
            <v>BlueDart</v>
          </cell>
          <cell r="E1420" t="str">
            <v xml:space="preserve">road </v>
          </cell>
          <cell r="F1420" t="str">
            <v>apparel</v>
          </cell>
          <cell r="G1420" t="str">
            <v>EAST</v>
          </cell>
          <cell r="I1420" t="str">
            <v xml:space="preserve">5.7 Kg </v>
          </cell>
          <cell r="J1420" t="str">
            <v>85</v>
          </cell>
          <cell r="K1420">
            <v>6</v>
          </cell>
          <cell r="L1420" t="str">
            <v>13/03/2024</v>
          </cell>
          <cell r="M1420" t="str">
            <v>Delayed</v>
          </cell>
          <cell r="N1420">
            <v>3</v>
          </cell>
          <cell r="O1420" t="str">
            <v>N</v>
          </cell>
        </row>
        <row r="1421">
          <cell r="A1421" t="str">
            <v>SHP-100049</v>
          </cell>
          <cell r="B1421" t="str">
            <v>2024-04-23</v>
          </cell>
          <cell r="C1421" t="str">
            <v>Mumbai</v>
          </cell>
          <cell r="D1421" t="str">
            <v xml:space="preserve">BLUEDART </v>
          </cell>
          <cell r="E1421" t="str">
            <v>Surface</v>
          </cell>
          <cell r="F1421" t="str">
            <v>APPAREL</v>
          </cell>
          <cell r="G1421" t="str">
            <v xml:space="preserve"> EAST </v>
          </cell>
          <cell r="I1421" t="str">
            <v xml:space="preserve">5.6 Kg </v>
          </cell>
          <cell r="J1421" t="str">
            <v xml:space="preserve">Rs 299 </v>
          </cell>
          <cell r="K1421">
            <v>6</v>
          </cell>
          <cell r="L1421" t="str">
            <v>30-Apr-2024</v>
          </cell>
          <cell r="M1421" t="str">
            <v xml:space="preserve">delayed </v>
          </cell>
          <cell r="N1421">
            <v>4</v>
          </cell>
          <cell r="O1421" t="str">
            <v xml:space="preserve">yes </v>
          </cell>
        </row>
        <row r="1422">
          <cell r="A1422" t="str">
            <v>SHP-101191</v>
          </cell>
          <cell r="B1422" t="str">
            <v>08/06/2024</v>
          </cell>
          <cell r="C1422" t="str">
            <v>DELHI</v>
          </cell>
          <cell r="D1422" t="str">
            <v>xpressbees</v>
          </cell>
          <cell r="E1422" t="str">
            <v>Surface</v>
          </cell>
          <cell r="F1422" t="str">
            <v>Electronics</v>
          </cell>
          <cell r="G1422" t="str">
            <v xml:space="preserve">west </v>
          </cell>
          <cell r="I1422" t="str">
            <v>9.4KG</v>
          </cell>
          <cell r="J1422" t="str">
            <v>366</v>
          </cell>
          <cell r="K1422">
            <v>6</v>
          </cell>
          <cell r="L1422" t="str">
            <v>2024-06-16</v>
          </cell>
          <cell r="M1422" t="str">
            <v xml:space="preserve"> Delayed</v>
          </cell>
          <cell r="N1422">
            <v>5</v>
          </cell>
          <cell r="O1422" t="str">
            <v>Y</v>
          </cell>
        </row>
        <row r="1423">
          <cell r="A1423" t="str">
            <v>SHP-101254</v>
          </cell>
          <cell r="B1423" t="str">
            <v>14-Jan-2024</v>
          </cell>
          <cell r="C1423" t="str">
            <v>mumbai</v>
          </cell>
          <cell r="D1423" t="str">
            <v>XpressBees</v>
          </cell>
          <cell r="E1423" t="str">
            <v>Surface</v>
          </cell>
          <cell r="F1423" t="str">
            <v xml:space="preserve"> AUTOMOTIVE PARTS </v>
          </cell>
          <cell r="G1423" t="str">
            <v>south</v>
          </cell>
          <cell r="I1423" t="str">
            <v>24.6KG</v>
          </cell>
          <cell r="J1423" t="str">
            <v>₹727</v>
          </cell>
          <cell r="K1423">
            <v>6</v>
          </cell>
          <cell r="L1423" t="str">
            <v>20/01/2024</v>
          </cell>
          <cell r="M1423" t="str">
            <v>DELIVERED</v>
          </cell>
          <cell r="N1423">
            <v>1</v>
          </cell>
          <cell r="O1423" t="str">
            <v>Y</v>
          </cell>
        </row>
        <row r="1424">
          <cell r="A1424" t="str">
            <v>SHP-100522</v>
          </cell>
          <cell r="B1424" t="str">
            <v>2024-05-25</v>
          </cell>
          <cell r="C1424" t="str">
            <v xml:space="preserve"> HYDERABAD </v>
          </cell>
          <cell r="D1424" t="str">
            <v xml:space="preserve">Dtdc </v>
          </cell>
          <cell r="E1424" t="str">
            <v xml:space="preserve">road </v>
          </cell>
          <cell r="F1424" t="str">
            <v>FURNITURE</v>
          </cell>
          <cell r="G1424" t="str">
            <v xml:space="preserve">west </v>
          </cell>
          <cell r="I1424" t="str">
            <v>51.0kg</v>
          </cell>
          <cell r="J1424" t="str">
            <v>762</v>
          </cell>
          <cell r="K1424">
            <v>6</v>
          </cell>
          <cell r="L1424" t="str">
            <v>02/06/2024</v>
          </cell>
          <cell r="M1424" t="str">
            <v xml:space="preserve"> Delayed</v>
          </cell>
          <cell r="N1424">
            <v>3</v>
          </cell>
          <cell r="O1424" t="str">
            <v>N</v>
          </cell>
        </row>
        <row r="1425">
          <cell r="A1425" t="str">
            <v>SHP-100614</v>
          </cell>
          <cell r="B1425" t="str">
            <v>2024-06-03</v>
          </cell>
          <cell r="C1425" t="str">
            <v>delhi</v>
          </cell>
          <cell r="D1425" t="str">
            <v>Delhivery</v>
          </cell>
          <cell r="E1425" t="str">
            <v xml:space="preserve"> AIR </v>
          </cell>
          <cell r="F1425" t="str">
            <v>AUTOMOTIVE PARTS</v>
          </cell>
          <cell r="G1425" t="str">
            <v>East</v>
          </cell>
          <cell r="I1425" t="str">
            <v xml:space="preserve">26.7 Kg </v>
          </cell>
          <cell r="J1425" t="str">
            <v xml:space="preserve">Rs 1355 </v>
          </cell>
          <cell r="K1425">
            <v>4</v>
          </cell>
          <cell r="L1425" t="str">
            <v>06/06/2024</v>
          </cell>
          <cell r="M1425" t="str">
            <v>delivered</v>
          </cell>
          <cell r="N1425">
            <v>5</v>
          </cell>
          <cell r="O1425" t="str">
            <v>N</v>
          </cell>
        </row>
        <row r="1426">
          <cell r="A1426" t="str">
            <v>SHP-100269</v>
          </cell>
          <cell r="B1426" t="str">
            <v xml:space="preserve"> 26/04/2024 </v>
          </cell>
          <cell r="C1426" t="str">
            <v>Bengaluru</v>
          </cell>
          <cell r="D1426" t="str">
            <v xml:space="preserve"> XPRESSBEES</v>
          </cell>
          <cell r="E1426" t="str">
            <v>AIR</v>
          </cell>
          <cell r="F1426" t="str">
            <v>PHARMA</v>
          </cell>
          <cell r="G1426" t="str">
            <v>north</v>
          </cell>
          <cell r="I1426" t="str">
            <v>0.7KG</v>
          </cell>
          <cell r="J1426" t="str">
            <v>159</v>
          </cell>
          <cell r="K1426">
            <v>4</v>
          </cell>
          <cell r="L1426" t="str">
            <v xml:space="preserve"> 01/05/2024 </v>
          </cell>
          <cell r="M1426" t="str">
            <v xml:space="preserve">delayed </v>
          </cell>
          <cell r="N1426">
            <v>3</v>
          </cell>
          <cell r="O1426" t="str">
            <v>no</v>
          </cell>
        </row>
        <row r="1427">
          <cell r="A1427" t="str">
            <v>SHP-101346</v>
          </cell>
          <cell r="B1427" t="str">
            <v xml:space="preserve"> 03/04/2024 </v>
          </cell>
          <cell r="C1427" t="str">
            <v>Kolkata</v>
          </cell>
          <cell r="D1427" t="str">
            <v>Xpress Bees</v>
          </cell>
          <cell r="E1427" t="str">
            <v xml:space="preserve">road </v>
          </cell>
          <cell r="F1427" t="str">
            <v>automotive  parts</v>
          </cell>
          <cell r="G1427" t="str">
            <v>east</v>
          </cell>
          <cell r="I1427" t="str">
            <v>18.7</v>
          </cell>
          <cell r="J1427" t="str">
            <v>322</v>
          </cell>
          <cell r="K1427">
            <v>6</v>
          </cell>
          <cell r="L1427" t="str">
            <v>08-Apr-2024</v>
          </cell>
          <cell r="M1427" t="str">
            <v>DELIVERED</v>
          </cell>
          <cell r="N1427">
            <v>5</v>
          </cell>
          <cell r="O1427" t="str">
            <v>N</v>
          </cell>
        </row>
        <row r="1428">
          <cell r="A1428" t="str">
            <v>SHP-100840</v>
          </cell>
          <cell r="B1428" t="str">
            <v>20-Jan-2024</v>
          </cell>
          <cell r="C1428" t="str">
            <v>Delhi</v>
          </cell>
          <cell r="D1428" t="str">
            <v xml:space="preserve">BLUEDART </v>
          </cell>
          <cell r="E1428" t="str">
            <v>air</v>
          </cell>
          <cell r="F1428" t="str">
            <v xml:space="preserve">apparel </v>
          </cell>
          <cell r="G1428" t="str">
            <v>south</v>
          </cell>
          <cell r="I1428" t="str">
            <v xml:space="preserve">7.9 Kg </v>
          </cell>
          <cell r="J1428" t="str">
            <v xml:space="preserve">Rs 518 </v>
          </cell>
          <cell r="K1428">
            <v>4</v>
          </cell>
          <cell r="L1428" t="str">
            <v>2024-01-23</v>
          </cell>
          <cell r="M1428" t="str">
            <v>delivered</v>
          </cell>
          <cell r="N1428">
            <v>2</v>
          </cell>
          <cell r="O1428" t="str">
            <v>no</v>
          </cell>
        </row>
        <row r="1429">
          <cell r="A1429" t="str">
            <v>SHP-101213</v>
          </cell>
          <cell r="B1429" t="str">
            <v>23-Jun-2024</v>
          </cell>
          <cell r="C1429" t="str">
            <v>Kolkata</v>
          </cell>
          <cell r="D1429" t="str">
            <v>DELHIVERY</v>
          </cell>
          <cell r="E1429" t="str">
            <v xml:space="preserve"> ROAD </v>
          </cell>
          <cell r="F1429" t="str">
            <v>Apparel</v>
          </cell>
          <cell r="G1429" t="str">
            <v xml:space="preserve"> WEST </v>
          </cell>
          <cell r="I1429" t="str">
            <v xml:space="preserve">2.1 Kg </v>
          </cell>
          <cell r="J1429" t="str">
            <v>219</v>
          </cell>
          <cell r="K1429">
            <v>8</v>
          </cell>
          <cell r="L1429" t="str">
            <v>01-Jul-2024</v>
          </cell>
          <cell r="M1429" t="str">
            <v>delivered</v>
          </cell>
          <cell r="N1429">
            <v>5</v>
          </cell>
          <cell r="O1429" t="str">
            <v xml:space="preserve">yes </v>
          </cell>
        </row>
        <row r="1430">
          <cell r="A1430" t="str">
            <v>SHP-100867</v>
          </cell>
          <cell r="B1430" t="str">
            <v>20-Mar-2024</v>
          </cell>
          <cell r="C1430" t="str">
            <v>Chennai</v>
          </cell>
          <cell r="D1430" t="str">
            <v xml:space="preserve"> XPRESSBEES</v>
          </cell>
          <cell r="E1430" t="str">
            <v>surface</v>
          </cell>
          <cell r="F1430" t="str">
            <v xml:space="preserve">electronics </v>
          </cell>
          <cell r="G1430" t="str">
            <v>EAST</v>
          </cell>
          <cell r="I1430" t="str">
            <v xml:space="preserve">10.8 Kg </v>
          </cell>
          <cell r="J1430" t="str">
            <v>₹429</v>
          </cell>
          <cell r="K1430">
            <v>6</v>
          </cell>
          <cell r="L1430" t="str">
            <v>25-Mar-2024</v>
          </cell>
          <cell r="M1430" t="str">
            <v xml:space="preserve"> Delivered</v>
          </cell>
          <cell r="N1430">
            <v>5</v>
          </cell>
          <cell r="O1430" t="str">
            <v>Y</v>
          </cell>
        </row>
        <row r="1431">
          <cell r="A1431" t="str">
            <v>SHP-101001</v>
          </cell>
          <cell r="B1431" t="str">
            <v>18/03/2024</v>
          </cell>
          <cell r="C1431" t="str">
            <v>MUMBAI</v>
          </cell>
          <cell r="D1431" t="str">
            <v xml:space="preserve">Dtdc </v>
          </cell>
          <cell r="E1431" t="str">
            <v>Road</v>
          </cell>
          <cell r="G1431" t="str">
            <v xml:space="preserve"> EAST </v>
          </cell>
          <cell r="I1431" t="str">
            <v>3.0</v>
          </cell>
          <cell r="J1431" t="str">
            <v>207</v>
          </cell>
          <cell r="K1431">
            <v>8</v>
          </cell>
          <cell r="L1431" t="str">
            <v xml:space="preserve"> 02/04/2024 </v>
          </cell>
          <cell r="M1431" t="str">
            <v xml:space="preserve"> Delayed</v>
          </cell>
          <cell r="N1431">
            <v>3</v>
          </cell>
          <cell r="O1431" t="str">
            <v>Yes</v>
          </cell>
        </row>
        <row r="1432">
          <cell r="A1432" t="str">
            <v>SHP-100362</v>
          </cell>
          <cell r="B1432" t="str">
            <v>2024-03-08</v>
          </cell>
          <cell r="C1432" t="str">
            <v>MUMBAI</v>
          </cell>
          <cell r="D1432" t="str">
            <v>BlueDart</v>
          </cell>
          <cell r="E1432" t="str">
            <v>Air</v>
          </cell>
          <cell r="F1432" t="str">
            <v xml:space="preserve">pharma </v>
          </cell>
          <cell r="G1432" t="str">
            <v xml:space="preserve">north </v>
          </cell>
          <cell r="I1432" t="str">
            <v>1.8</v>
          </cell>
          <cell r="J1432" t="str">
            <v>₹247</v>
          </cell>
          <cell r="K1432">
            <v>4</v>
          </cell>
          <cell r="L1432" t="str">
            <v xml:space="preserve"> 11/03/2024 </v>
          </cell>
          <cell r="M1432" t="str">
            <v>DELIVERED</v>
          </cell>
          <cell r="N1432">
            <v>4</v>
          </cell>
          <cell r="O1432" t="str">
            <v>YES</v>
          </cell>
        </row>
        <row r="1433">
          <cell r="A1433" t="str">
            <v>SHP-100683</v>
          </cell>
          <cell r="B1433" t="str">
            <v xml:space="preserve"> 09/03/2024 </v>
          </cell>
          <cell r="C1433" t="str">
            <v>Hyderabad</v>
          </cell>
          <cell r="D1433" t="str">
            <v>BlueDart</v>
          </cell>
          <cell r="E1433" t="str">
            <v>Surface</v>
          </cell>
          <cell r="F1433" t="str">
            <v>AUTOMOTIVE PARTS</v>
          </cell>
          <cell r="G1433" t="str">
            <v xml:space="preserve">east </v>
          </cell>
          <cell r="I1433" t="str">
            <v>5.4KG</v>
          </cell>
          <cell r="J1433" t="str">
            <v>₹280</v>
          </cell>
          <cell r="K1433">
            <v>6</v>
          </cell>
          <cell r="L1433" t="str">
            <v>2024-03-16</v>
          </cell>
          <cell r="M1433" t="str">
            <v>DELAYED</v>
          </cell>
          <cell r="N1433">
            <v>3</v>
          </cell>
          <cell r="O1433" t="str">
            <v>YES</v>
          </cell>
        </row>
        <row r="1434">
          <cell r="A1434" t="str">
            <v>SHP-100694</v>
          </cell>
          <cell r="B1434" t="str">
            <v xml:space="preserve"> 11/06/2024 </v>
          </cell>
          <cell r="C1434" t="str">
            <v>chennai</v>
          </cell>
          <cell r="D1434" t="str">
            <v>XpressBees</v>
          </cell>
          <cell r="E1434" t="str">
            <v xml:space="preserve"> SURFACE </v>
          </cell>
          <cell r="F1434" t="str">
            <v>Grocery  &amp; FMCG</v>
          </cell>
          <cell r="G1434" t="str">
            <v xml:space="preserve"> EAST </v>
          </cell>
          <cell r="I1434" t="str">
            <v>4.9</v>
          </cell>
          <cell r="J1434" t="str">
            <v>₹282</v>
          </cell>
          <cell r="K1434">
            <v>6</v>
          </cell>
          <cell r="L1434" t="str">
            <v>16-Jun-2024</v>
          </cell>
          <cell r="M1434" t="str">
            <v>delivered</v>
          </cell>
          <cell r="N1434">
            <v>4</v>
          </cell>
          <cell r="O1434" t="str">
            <v>Y</v>
          </cell>
        </row>
        <row r="1435">
          <cell r="A1435" t="str">
            <v>SHP-100912</v>
          </cell>
          <cell r="B1435" t="str">
            <v>25/01/2024</v>
          </cell>
          <cell r="C1435" t="str">
            <v xml:space="preserve"> CHENNAI </v>
          </cell>
          <cell r="D1435" t="str">
            <v>bluedart</v>
          </cell>
          <cell r="E1435" t="str">
            <v>Air</v>
          </cell>
          <cell r="F1435" t="str">
            <v>AUTOMOTIVE  PARTS</v>
          </cell>
          <cell r="G1435" t="str">
            <v xml:space="preserve">west </v>
          </cell>
          <cell r="I1435" t="str">
            <v>11.7kg</v>
          </cell>
          <cell r="J1435" t="str">
            <v xml:space="preserve">Rs 664 </v>
          </cell>
          <cell r="K1435">
            <v>4</v>
          </cell>
          <cell r="L1435" t="str">
            <v>2024-01-29</v>
          </cell>
          <cell r="M1435" t="str">
            <v xml:space="preserve"> Delivered</v>
          </cell>
          <cell r="N1435">
            <v>5</v>
          </cell>
          <cell r="O1435" t="str">
            <v xml:space="preserve">yes </v>
          </cell>
        </row>
        <row r="1436">
          <cell r="A1436" t="str">
            <v>SHP-100385</v>
          </cell>
          <cell r="B1436" t="str">
            <v>07/02/2024</v>
          </cell>
          <cell r="C1436" t="str">
            <v xml:space="preserve">hyderabad </v>
          </cell>
          <cell r="D1436" t="str">
            <v>Delhivery</v>
          </cell>
          <cell r="E1436" t="str">
            <v xml:space="preserve"> ROAD </v>
          </cell>
          <cell r="F1436" t="str">
            <v>GROCERY &amp; FMCG</v>
          </cell>
          <cell r="G1436" t="str">
            <v>west</v>
          </cell>
          <cell r="I1436" t="str">
            <v>13.8</v>
          </cell>
          <cell r="J1436" t="str">
            <v xml:space="preserve">Rs 173 </v>
          </cell>
          <cell r="K1436">
            <v>6</v>
          </cell>
          <cell r="L1436" t="str">
            <v>13-Feb-2024</v>
          </cell>
          <cell r="M1436" t="str">
            <v xml:space="preserve"> Delivered</v>
          </cell>
          <cell r="N1436">
            <v>3</v>
          </cell>
          <cell r="O1436" t="str">
            <v>No</v>
          </cell>
        </row>
        <row r="1437">
          <cell r="A1437" t="str">
            <v>SHP-101186</v>
          </cell>
          <cell r="B1437" t="str">
            <v>06/05/2024</v>
          </cell>
          <cell r="C1437" t="str">
            <v xml:space="preserve"> BENGALURU </v>
          </cell>
          <cell r="D1437" t="str">
            <v>dtdc</v>
          </cell>
          <cell r="E1437" t="str">
            <v xml:space="preserve"> ROAD </v>
          </cell>
          <cell r="F1437" t="str">
            <v>PHARMA</v>
          </cell>
          <cell r="G1437" t="str">
            <v xml:space="preserve">west </v>
          </cell>
          <cell r="I1437" t="str">
            <v>4.5KG</v>
          </cell>
          <cell r="J1437" t="str">
            <v>255</v>
          </cell>
          <cell r="K1437">
            <v>8</v>
          </cell>
          <cell r="L1437" t="str">
            <v>19/05/2024</v>
          </cell>
          <cell r="M1437" t="str">
            <v xml:space="preserve"> Delayed</v>
          </cell>
          <cell r="N1437">
            <v>2</v>
          </cell>
          <cell r="O1437" t="str">
            <v>YES</v>
          </cell>
        </row>
        <row r="1438">
          <cell r="I1438" t="str">
            <v>1.5</v>
          </cell>
        </row>
        <row r="1439">
          <cell r="A1439" t="str">
            <v>SHP-101261</v>
          </cell>
          <cell r="B1439" t="str">
            <v>2024-03-26</v>
          </cell>
          <cell r="C1439" t="str">
            <v>BENGALURU</v>
          </cell>
          <cell r="D1439" t="str">
            <v>BlueDart</v>
          </cell>
          <cell r="E1439" t="str">
            <v>Air</v>
          </cell>
          <cell r="F1439" t="str">
            <v>furniture</v>
          </cell>
          <cell r="G1439" t="str">
            <v xml:space="preserve"> WEST </v>
          </cell>
          <cell r="I1439" t="str">
            <v>64.1kg</v>
          </cell>
          <cell r="J1439" t="str">
            <v>₹3,061</v>
          </cell>
          <cell r="K1439">
            <v>4</v>
          </cell>
          <cell r="L1439" t="str">
            <v>31/03/2024</v>
          </cell>
          <cell r="M1439" t="str">
            <v>Delayed</v>
          </cell>
          <cell r="N1439">
            <v>5</v>
          </cell>
          <cell r="O1439" t="str">
            <v xml:space="preserve"> No</v>
          </cell>
        </row>
        <row r="1440">
          <cell r="A1440" t="str">
            <v>SHP-100399</v>
          </cell>
          <cell r="B1440" t="str">
            <v>07/01/2024</v>
          </cell>
          <cell r="C1440" t="str">
            <v>kolkata</v>
          </cell>
          <cell r="D1440" t="str">
            <v>XpressBees</v>
          </cell>
          <cell r="E1440" t="str">
            <v xml:space="preserve">air </v>
          </cell>
          <cell r="F1440" t="str">
            <v>APPAREL</v>
          </cell>
          <cell r="G1440" t="str">
            <v>east</v>
          </cell>
          <cell r="I1440" t="str">
            <v xml:space="preserve">4.9 Kg </v>
          </cell>
          <cell r="J1440" t="str">
            <v xml:space="preserve">Rs 280 </v>
          </cell>
          <cell r="K1440">
            <v>2</v>
          </cell>
          <cell r="L1440" t="str">
            <v xml:space="preserve"> 09/01/2024 </v>
          </cell>
          <cell r="M1440" t="str">
            <v>Delivered</v>
          </cell>
          <cell r="N1440">
            <v>5</v>
          </cell>
          <cell r="O1440" t="str">
            <v>no</v>
          </cell>
        </row>
        <row r="1441">
          <cell r="A1441" t="str">
            <v>SHP-100424</v>
          </cell>
          <cell r="B1441" t="str">
            <v>19-Jan-2024</v>
          </cell>
          <cell r="C1441" t="str">
            <v>HYDERABAD</v>
          </cell>
          <cell r="D1441" t="str">
            <v xml:space="preserve"> Delhivery</v>
          </cell>
          <cell r="E1441" t="str">
            <v>road</v>
          </cell>
          <cell r="F1441" t="str">
            <v xml:space="preserve"> FURNITURE </v>
          </cell>
          <cell r="G1441" t="str">
            <v>west</v>
          </cell>
          <cell r="I1441" t="str">
            <v>35.5kg</v>
          </cell>
          <cell r="J1441" t="str">
            <v xml:space="preserve">Rs 495 </v>
          </cell>
          <cell r="K1441">
            <v>6</v>
          </cell>
          <cell r="L1441" t="str">
            <v xml:space="preserve"> 25/01/2024 </v>
          </cell>
          <cell r="M1441" t="str">
            <v xml:space="preserve"> Delivered</v>
          </cell>
          <cell r="N1441">
            <v>5</v>
          </cell>
          <cell r="O1441" t="str">
            <v xml:space="preserve"> No</v>
          </cell>
        </row>
        <row r="1442">
          <cell r="A1442" t="str">
            <v>SHP-101108</v>
          </cell>
          <cell r="B1442" t="str">
            <v xml:space="preserve"> 24/01/2024 </v>
          </cell>
          <cell r="C1442" t="str">
            <v xml:space="preserve"> DELHI </v>
          </cell>
          <cell r="D1442" t="str">
            <v xml:space="preserve"> Delhivery</v>
          </cell>
          <cell r="E1442" t="str">
            <v xml:space="preserve">air </v>
          </cell>
          <cell r="F1442" t="str">
            <v xml:space="preserve"> GROCERY &amp; FMCG </v>
          </cell>
          <cell r="G1442" t="str">
            <v>SOUTH</v>
          </cell>
          <cell r="I1442" t="str">
            <v xml:space="preserve">8.6 Kg </v>
          </cell>
          <cell r="J1442" t="str">
            <v>₹574</v>
          </cell>
          <cell r="K1442">
            <v>4</v>
          </cell>
          <cell r="L1442" t="str">
            <v xml:space="preserve"> 29/01/2024 </v>
          </cell>
          <cell r="M1442" t="str">
            <v xml:space="preserve">delayed </v>
          </cell>
          <cell r="N1442">
            <v>4</v>
          </cell>
          <cell r="O1442" t="str">
            <v xml:space="preserve">yes </v>
          </cell>
        </row>
        <row r="1443">
          <cell r="A1443" t="str">
            <v>SHP-101237</v>
          </cell>
          <cell r="B1443" t="str">
            <v>27-Mar-2024</v>
          </cell>
          <cell r="C1443" t="str">
            <v>BENGALURU</v>
          </cell>
          <cell r="D1443" t="str">
            <v>bluedart</v>
          </cell>
          <cell r="E1443" t="str">
            <v>AIR</v>
          </cell>
          <cell r="F1443" t="str">
            <v xml:space="preserve"> FURNITURE </v>
          </cell>
          <cell r="G1443" t="str">
            <v>north</v>
          </cell>
          <cell r="I1443" t="str">
            <v>68.9KG</v>
          </cell>
          <cell r="J1443" t="str">
            <v>₹3,282</v>
          </cell>
          <cell r="K1443">
            <v>4</v>
          </cell>
          <cell r="L1443" t="str">
            <v>30-Mar-2024</v>
          </cell>
          <cell r="M1443" t="str">
            <v xml:space="preserve"> Delivered</v>
          </cell>
          <cell r="N1443">
            <v>4</v>
          </cell>
          <cell r="O1443" t="str">
            <v xml:space="preserve"> No</v>
          </cell>
        </row>
        <row r="1444">
          <cell r="A1444" t="str">
            <v>SHP-101144</v>
          </cell>
          <cell r="B1444" t="str">
            <v>24-May-2024</v>
          </cell>
          <cell r="C1444" t="str">
            <v>kolkata</v>
          </cell>
          <cell r="D1444" t="str">
            <v>Xpress Bees</v>
          </cell>
          <cell r="E1444" t="str">
            <v>air</v>
          </cell>
          <cell r="F1444" t="str">
            <v>Pharma</v>
          </cell>
          <cell r="G1444" t="str">
            <v>East</v>
          </cell>
          <cell r="I1444" t="str">
            <v>3.7KG</v>
          </cell>
          <cell r="J1444" t="str">
            <v>165</v>
          </cell>
          <cell r="K1444">
            <v>2</v>
          </cell>
          <cell r="L1444" t="str">
            <v>2024-05-26</v>
          </cell>
          <cell r="M1444" t="str">
            <v>delivered</v>
          </cell>
          <cell r="N1444">
            <v>2</v>
          </cell>
          <cell r="O1444" t="str">
            <v>No</v>
          </cell>
        </row>
        <row r="1445">
          <cell r="A1445" t="str">
            <v>SHP-100606</v>
          </cell>
          <cell r="B1445" t="str">
            <v>2024-04-20</v>
          </cell>
          <cell r="C1445" t="str">
            <v>delhi</v>
          </cell>
          <cell r="D1445" t="str">
            <v>Xpress Bees</v>
          </cell>
          <cell r="E1445" t="str">
            <v>air</v>
          </cell>
          <cell r="F1445" t="str">
            <v>PHARMA</v>
          </cell>
          <cell r="G1445" t="str">
            <v>West</v>
          </cell>
          <cell r="I1445" t="str">
            <v>3.7KG</v>
          </cell>
          <cell r="J1445" t="str">
            <v>350</v>
          </cell>
          <cell r="K1445">
            <v>4</v>
          </cell>
          <cell r="L1445" t="str">
            <v xml:space="preserve"> 23/04/2024 </v>
          </cell>
          <cell r="M1445" t="str">
            <v>DELIVERED</v>
          </cell>
          <cell r="N1445">
            <v>5</v>
          </cell>
          <cell r="O1445" t="str">
            <v xml:space="preserve"> No</v>
          </cell>
        </row>
        <row r="1446">
          <cell r="A1446" t="str">
            <v>SHP-100198</v>
          </cell>
          <cell r="B1446" t="str">
            <v>24/03/2024</v>
          </cell>
          <cell r="C1446" t="str">
            <v>chennai</v>
          </cell>
          <cell r="D1446" t="str">
            <v>Delhivery</v>
          </cell>
          <cell r="E1446" t="str">
            <v xml:space="preserve"> AIR </v>
          </cell>
          <cell r="F1446" t="str">
            <v>Grocery &amp; FMCG</v>
          </cell>
          <cell r="G1446" t="str">
            <v>south</v>
          </cell>
          <cell r="I1446" t="str">
            <v>6.1kg</v>
          </cell>
          <cell r="J1446" t="str">
            <v>₹274</v>
          </cell>
          <cell r="K1446">
            <v>2</v>
          </cell>
          <cell r="L1446" t="str">
            <v>26-Mar-2024</v>
          </cell>
          <cell r="M1446" t="str">
            <v>delivered</v>
          </cell>
          <cell r="N1446">
            <v>5</v>
          </cell>
          <cell r="O1446" t="str">
            <v>no</v>
          </cell>
        </row>
        <row r="1447">
          <cell r="A1447" t="str">
            <v>SHP-101169</v>
          </cell>
          <cell r="B1447" t="str">
            <v>26/02/2024</v>
          </cell>
          <cell r="C1447" t="str">
            <v>chennai</v>
          </cell>
          <cell r="D1447" t="str">
            <v>XpressBees</v>
          </cell>
          <cell r="E1447" t="str">
            <v>road</v>
          </cell>
          <cell r="F1447" t="str">
            <v xml:space="preserve">electronics </v>
          </cell>
          <cell r="G1447" t="str">
            <v>West</v>
          </cell>
          <cell r="I1447" t="str">
            <v>1.4</v>
          </cell>
          <cell r="J1447" t="str">
            <v>148</v>
          </cell>
          <cell r="K1447">
            <v>8</v>
          </cell>
          <cell r="L1447" t="str">
            <v xml:space="preserve"> 04/03/2024 </v>
          </cell>
          <cell r="M1447" t="str">
            <v>Delivered</v>
          </cell>
          <cell r="N1447">
            <v>4</v>
          </cell>
          <cell r="O1447" t="str">
            <v>no</v>
          </cell>
        </row>
        <row r="1448">
          <cell r="A1448" t="str">
            <v>SHP-101094</v>
          </cell>
          <cell r="B1448" t="str">
            <v>27/02/2024</v>
          </cell>
          <cell r="C1448" t="str">
            <v xml:space="preserve"> MUMBAI </v>
          </cell>
          <cell r="D1448" t="str">
            <v>bluedart</v>
          </cell>
          <cell r="E1448" t="str">
            <v>Road</v>
          </cell>
          <cell r="F1448" t="str">
            <v xml:space="preserve"> APPAREL </v>
          </cell>
          <cell r="G1448" t="str">
            <v xml:space="preserve"> SOUTH </v>
          </cell>
          <cell r="I1448" t="str">
            <v xml:space="preserve">6.9 Kg </v>
          </cell>
          <cell r="J1448" t="str">
            <v>₹228</v>
          </cell>
          <cell r="K1448">
            <v>8</v>
          </cell>
          <cell r="L1448" t="str">
            <v>2024-03-05</v>
          </cell>
          <cell r="M1448" t="str">
            <v>delivered</v>
          </cell>
          <cell r="N1448">
            <v>4</v>
          </cell>
          <cell r="O1448" t="str">
            <v xml:space="preserve"> No</v>
          </cell>
        </row>
        <row r="1449">
          <cell r="A1449" t="str">
            <v>SHP-100439</v>
          </cell>
          <cell r="B1449" t="str">
            <v xml:space="preserve"> 19/03/2024 </v>
          </cell>
          <cell r="C1449" t="str">
            <v>mumbai</v>
          </cell>
          <cell r="D1449" t="str">
            <v>Delhivery</v>
          </cell>
          <cell r="E1449" t="str">
            <v>air</v>
          </cell>
          <cell r="F1449" t="str">
            <v>pharma</v>
          </cell>
          <cell r="G1449" t="str">
            <v xml:space="preserve"> NORTH </v>
          </cell>
          <cell r="I1449" t="str">
            <v>3.6kg</v>
          </cell>
          <cell r="J1449" t="str">
            <v>₹371</v>
          </cell>
          <cell r="K1449">
            <v>4</v>
          </cell>
          <cell r="L1449" t="str">
            <v>24/03/2024</v>
          </cell>
          <cell r="M1449" t="str">
            <v xml:space="preserve">delayed </v>
          </cell>
          <cell r="N1449">
            <v>1</v>
          </cell>
          <cell r="O1449" t="str">
            <v xml:space="preserve">yes </v>
          </cell>
        </row>
        <row r="1450">
          <cell r="A1450" t="str">
            <v>SHP-101228</v>
          </cell>
          <cell r="B1450" t="str">
            <v>03/06/2024</v>
          </cell>
          <cell r="C1450" t="str">
            <v>KOLKATA</v>
          </cell>
          <cell r="D1450" t="str">
            <v>Xpress Bees</v>
          </cell>
          <cell r="E1450" t="str">
            <v xml:space="preserve"> SURFACE </v>
          </cell>
          <cell r="F1450" t="str">
            <v>Grocery  &amp; FMCG</v>
          </cell>
          <cell r="G1450" t="str">
            <v>north</v>
          </cell>
          <cell r="I1450" t="str">
            <v xml:space="preserve">9.7 Kg </v>
          </cell>
          <cell r="J1450" t="str">
            <v>₹373</v>
          </cell>
          <cell r="K1450">
            <v>6</v>
          </cell>
          <cell r="L1450" t="str">
            <v xml:space="preserve"> 09/06/2024 </v>
          </cell>
          <cell r="M1450" t="str">
            <v>Delivered</v>
          </cell>
          <cell r="N1450">
            <v>5</v>
          </cell>
          <cell r="O1450" t="str">
            <v>No</v>
          </cell>
        </row>
        <row r="1451">
          <cell r="A1451" t="str">
            <v>SHP-100358</v>
          </cell>
          <cell r="B1451" t="str">
            <v>26/04/2024</v>
          </cell>
          <cell r="C1451" t="str">
            <v>MUMBAI</v>
          </cell>
          <cell r="D1451" t="str">
            <v>DELHIVERY</v>
          </cell>
          <cell r="E1451" t="str">
            <v>Road</v>
          </cell>
          <cell r="F1451" t="str">
            <v>automotive  parts</v>
          </cell>
          <cell r="G1451" t="str">
            <v xml:space="preserve">east </v>
          </cell>
          <cell r="I1451" t="str">
            <v>11.1kg</v>
          </cell>
          <cell r="J1451" t="str">
            <v>₹354</v>
          </cell>
          <cell r="K1451">
            <v>8</v>
          </cell>
          <cell r="L1451" t="str">
            <v xml:space="preserve"> 03/05/2024 </v>
          </cell>
          <cell r="M1451" t="str">
            <v>DELIVERED</v>
          </cell>
          <cell r="N1451">
            <v>5</v>
          </cell>
          <cell r="O1451" t="str">
            <v>N</v>
          </cell>
        </row>
        <row r="1452">
          <cell r="A1452" t="str">
            <v>SHP-101567</v>
          </cell>
          <cell r="B1452" t="str">
            <v>28/04/2024</v>
          </cell>
          <cell r="C1452" t="str">
            <v xml:space="preserve">bengaluru </v>
          </cell>
          <cell r="D1452" t="str">
            <v>delhivery</v>
          </cell>
          <cell r="E1452" t="str">
            <v>Road</v>
          </cell>
          <cell r="F1452" t="str">
            <v xml:space="preserve">grocery &amp; fmcg </v>
          </cell>
          <cell r="G1452" t="str">
            <v>south</v>
          </cell>
          <cell r="I1452" t="str">
            <v>13.7kg</v>
          </cell>
          <cell r="J1452" t="str">
            <v>219</v>
          </cell>
          <cell r="K1452">
            <v>6</v>
          </cell>
          <cell r="L1452" t="str">
            <v>09/05/2024</v>
          </cell>
          <cell r="M1452" t="str">
            <v>DELAYED</v>
          </cell>
          <cell r="N1452">
            <v>3</v>
          </cell>
          <cell r="O1452" t="str">
            <v>YES</v>
          </cell>
        </row>
        <row r="1453">
          <cell r="A1453" t="str">
            <v>SHP-100635</v>
          </cell>
          <cell r="B1453" t="str">
            <v>09/05/2024</v>
          </cell>
          <cell r="C1453" t="str">
            <v>chennai</v>
          </cell>
          <cell r="D1453" t="str">
            <v>Ecom Express</v>
          </cell>
          <cell r="E1453" t="str">
            <v xml:space="preserve"> ROAD </v>
          </cell>
          <cell r="F1453" t="str">
            <v xml:space="preserve"> AUTOMOTIVE PARTS </v>
          </cell>
          <cell r="G1453" t="str">
            <v>EAST</v>
          </cell>
          <cell r="I1453" t="str">
            <v xml:space="preserve">24.7 Kg </v>
          </cell>
          <cell r="J1453" t="str">
            <v>506</v>
          </cell>
          <cell r="K1453">
            <v>8</v>
          </cell>
          <cell r="L1453" t="str">
            <v>16-May-2024</v>
          </cell>
          <cell r="M1453" t="str">
            <v>DELIVERED</v>
          </cell>
          <cell r="N1453">
            <v>5</v>
          </cell>
          <cell r="O1453" t="str">
            <v xml:space="preserve"> No</v>
          </cell>
        </row>
        <row r="1454">
          <cell r="A1454" t="str">
            <v>SHP-100038</v>
          </cell>
          <cell r="B1454" t="str">
            <v xml:space="preserve"> 04/06/2024 </v>
          </cell>
          <cell r="C1454" t="str">
            <v>bengaluru</v>
          </cell>
          <cell r="D1454" t="str">
            <v xml:space="preserve"> XPRESSBEES</v>
          </cell>
          <cell r="E1454" t="str">
            <v>air</v>
          </cell>
          <cell r="F1454" t="str">
            <v>FURNITURE</v>
          </cell>
          <cell r="G1454" t="str">
            <v>WEST</v>
          </cell>
          <cell r="I1454" t="str">
            <v xml:space="preserve">72.1 Kg </v>
          </cell>
          <cell r="J1454" t="str">
            <v>₹3,427</v>
          </cell>
          <cell r="K1454">
            <v>4</v>
          </cell>
          <cell r="L1454" t="str">
            <v>2024-06-09</v>
          </cell>
          <cell r="M1454" t="str">
            <v xml:space="preserve">delayed </v>
          </cell>
          <cell r="N1454">
            <v>1</v>
          </cell>
          <cell r="O1454" t="str">
            <v>no</v>
          </cell>
        </row>
        <row r="1455">
          <cell r="A1455" t="str">
            <v>SHP-100267</v>
          </cell>
          <cell r="B1455" t="str">
            <v>2024-03-09</v>
          </cell>
          <cell r="C1455" t="str">
            <v xml:space="preserve"> HYDERABAD </v>
          </cell>
          <cell r="D1455" t="str">
            <v>Blue Dart</v>
          </cell>
          <cell r="E1455" t="str">
            <v xml:space="preserve">air </v>
          </cell>
          <cell r="F1455" t="str">
            <v xml:space="preserve"> APPAREL </v>
          </cell>
          <cell r="G1455" t="str">
            <v>EAST</v>
          </cell>
          <cell r="I1455" t="str">
            <v>2.9</v>
          </cell>
          <cell r="J1455" t="str">
            <v xml:space="preserve">Rs 285 </v>
          </cell>
          <cell r="K1455">
            <v>4</v>
          </cell>
          <cell r="L1455" t="str">
            <v xml:space="preserve"> 14/03/2024 </v>
          </cell>
          <cell r="M1455" t="str">
            <v>DELAYED</v>
          </cell>
          <cell r="N1455">
            <v>4</v>
          </cell>
          <cell r="O1455" t="str">
            <v>YES</v>
          </cell>
        </row>
        <row r="1456">
          <cell r="A1456" t="str">
            <v>SHP-100431</v>
          </cell>
          <cell r="B1456" t="str">
            <v>10/05/2024</v>
          </cell>
          <cell r="C1456" t="str">
            <v>mumbai</v>
          </cell>
          <cell r="D1456" t="str">
            <v xml:space="preserve"> DTDC</v>
          </cell>
          <cell r="E1456" t="str">
            <v xml:space="preserve">road </v>
          </cell>
          <cell r="F1456" t="str">
            <v xml:space="preserve">grocery &amp; fmcg </v>
          </cell>
          <cell r="G1456" t="str">
            <v>SOUTH</v>
          </cell>
          <cell r="I1456" t="str">
            <v>16.0</v>
          </cell>
          <cell r="J1456" t="str">
            <v>413</v>
          </cell>
          <cell r="K1456">
            <v>8</v>
          </cell>
          <cell r="L1456" t="str">
            <v xml:space="preserve"> 18/05/2024 </v>
          </cell>
          <cell r="M1456" t="str">
            <v xml:space="preserve"> Delivered</v>
          </cell>
          <cell r="N1456">
            <v>4</v>
          </cell>
          <cell r="O1456" t="str">
            <v>Y</v>
          </cell>
        </row>
        <row r="1457">
          <cell r="A1457" t="str">
            <v>SHP-100088</v>
          </cell>
          <cell r="B1457" t="str">
            <v xml:space="preserve"> 05/01/2024 </v>
          </cell>
          <cell r="C1457" t="str">
            <v xml:space="preserve">bengaluru </v>
          </cell>
          <cell r="D1457" t="str">
            <v>dtdc</v>
          </cell>
          <cell r="E1457" t="str">
            <v>Surface</v>
          </cell>
          <cell r="F1457" t="str">
            <v xml:space="preserve">automotive parts </v>
          </cell>
          <cell r="G1457" t="str">
            <v>NORTH</v>
          </cell>
          <cell r="I1457" t="str">
            <v>36.5kg</v>
          </cell>
          <cell r="J1457" t="str">
            <v>1,003</v>
          </cell>
          <cell r="K1457">
            <v>6</v>
          </cell>
          <cell r="L1457" t="str">
            <v>12-Jan-2024</v>
          </cell>
          <cell r="M1457" t="str">
            <v>DELAYED</v>
          </cell>
          <cell r="N1457">
            <v>1</v>
          </cell>
          <cell r="O1457" t="str">
            <v>No</v>
          </cell>
        </row>
        <row r="1458">
          <cell r="A1458" t="str">
            <v>SHP-101503</v>
          </cell>
          <cell r="B1458" t="str">
            <v>04-Jun-2024</v>
          </cell>
          <cell r="C1458" t="str">
            <v>Hyderabad</v>
          </cell>
          <cell r="D1458" t="str">
            <v>xpressbees</v>
          </cell>
          <cell r="E1458" t="str">
            <v>AIR</v>
          </cell>
          <cell r="F1458" t="str">
            <v>automotive parts</v>
          </cell>
          <cell r="G1458" t="str">
            <v>EAST</v>
          </cell>
          <cell r="I1458" t="str">
            <v xml:space="preserve">6.9 Kg </v>
          </cell>
          <cell r="J1458" t="str">
            <v>₹495</v>
          </cell>
          <cell r="K1458">
            <v>4</v>
          </cell>
          <cell r="L1458" t="str">
            <v>08-Jun-2024</v>
          </cell>
          <cell r="M1458" t="str">
            <v>Delivered</v>
          </cell>
          <cell r="N1458">
            <v>5</v>
          </cell>
          <cell r="O1458" t="str">
            <v xml:space="preserve"> No</v>
          </cell>
        </row>
        <row r="1459">
          <cell r="A1459" t="str">
            <v>SHP-100537</v>
          </cell>
          <cell r="B1459" t="str">
            <v xml:space="preserve"> 01/05/2024 </v>
          </cell>
          <cell r="C1459" t="str">
            <v>KOLKATA</v>
          </cell>
          <cell r="D1459" t="str">
            <v>delhivery</v>
          </cell>
          <cell r="E1459" t="str">
            <v xml:space="preserve"> AIR </v>
          </cell>
          <cell r="F1459" t="str">
            <v xml:space="preserve">pharma </v>
          </cell>
          <cell r="G1459" t="str">
            <v>West</v>
          </cell>
          <cell r="I1459" t="str">
            <v>4.9KG</v>
          </cell>
          <cell r="J1459" t="str">
            <v>₹344</v>
          </cell>
          <cell r="K1459">
            <v>4</v>
          </cell>
          <cell r="L1459" t="str">
            <v xml:space="preserve"> 05/05/2024 </v>
          </cell>
          <cell r="M1459" t="str">
            <v xml:space="preserve"> Delivered</v>
          </cell>
          <cell r="N1459">
            <v>2</v>
          </cell>
          <cell r="O1459" t="str">
            <v>N</v>
          </cell>
        </row>
        <row r="1460">
          <cell r="A1460" t="str">
            <v>SHP-101129</v>
          </cell>
          <cell r="B1460" t="str">
            <v>2024-05-07</v>
          </cell>
          <cell r="C1460" t="str">
            <v>HYDERABAD</v>
          </cell>
          <cell r="D1460" t="str">
            <v>DELHIVERY</v>
          </cell>
          <cell r="E1460" t="str">
            <v>Air</v>
          </cell>
          <cell r="F1460" t="str">
            <v xml:space="preserve"> APPAREL </v>
          </cell>
          <cell r="G1460" t="str">
            <v>WEST</v>
          </cell>
          <cell r="I1460" t="str">
            <v>5.5kg</v>
          </cell>
          <cell r="J1460" t="str">
            <v xml:space="preserve">Rs 220 </v>
          </cell>
          <cell r="K1460">
            <v>2</v>
          </cell>
          <cell r="L1460" t="str">
            <v>09-May-2024</v>
          </cell>
          <cell r="M1460" t="str">
            <v xml:space="preserve"> Delivered</v>
          </cell>
          <cell r="N1460">
            <v>5</v>
          </cell>
          <cell r="O1460" t="str">
            <v>no</v>
          </cell>
        </row>
        <row r="1461">
          <cell r="A1461" t="str">
            <v>SHP-101344</v>
          </cell>
          <cell r="B1461" t="str">
            <v>19/02/2024</v>
          </cell>
          <cell r="C1461" t="str">
            <v>Kolkata</v>
          </cell>
          <cell r="D1461" t="str">
            <v>bluedart</v>
          </cell>
          <cell r="E1461" t="str">
            <v>Road</v>
          </cell>
          <cell r="F1461" t="str">
            <v>Electronics</v>
          </cell>
          <cell r="G1461" t="str">
            <v xml:space="preserve"> NORTH </v>
          </cell>
          <cell r="I1461" t="str">
            <v xml:space="preserve">2.0 Kg </v>
          </cell>
          <cell r="J1461" t="str">
            <v xml:space="preserve">Rs 231 </v>
          </cell>
          <cell r="K1461">
            <v>8</v>
          </cell>
          <cell r="L1461" t="str">
            <v>26/02/2024</v>
          </cell>
          <cell r="M1461" t="str">
            <v>Delivered</v>
          </cell>
          <cell r="N1461">
            <v>4</v>
          </cell>
          <cell r="O1461" t="str">
            <v xml:space="preserve"> No</v>
          </cell>
        </row>
        <row r="1462">
          <cell r="A1462" t="str">
            <v>SHP-100605</v>
          </cell>
          <cell r="B1462" t="str">
            <v>05-Feb-2024</v>
          </cell>
          <cell r="C1462" t="str">
            <v>Kolkata</v>
          </cell>
          <cell r="D1462" t="str">
            <v>DTDC</v>
          </cell>
          <cell r="E1462" t="str">
            <v xml:space="preserve">surface </v>
          </cell>
          <cell r="F1462" t="str">
            <v xml:space="preserve">pharma  </v>
          </cell>
          <cell r="G1462" t="str">
            <v xml:space="preserve"> NORTH </v>
          </cell>
          <cell r="I1462" t="str">
            <v xml:space="preserve">4.0 Kg </v>
          </cell>
          <cell r="J1462" t="str">
            <v>₹212</v>
          </cell>
          <cell r="K1462">
            <v>6</v>
          </cell>
          <cell r="L1462" t="str">
            <v>10/02/2024</v>
          </cell>
          <cell r="M1462" t="str">
            <v>Delivered</v>
          </cell>
          <cell r="N1462">
            <v>4</v>
          </cell>
          <cell r="O1462" t="str">
            <v>YES</v>
          </cell>
        </row>
        <row r="1463">
          <cell r="A1463" t="str">
            <v>SHP-100363</v>
          </cell>
          <cell r="B1463" t="str">
            <v>06-Feb-2024</v>
          </cell>
          <cell r="C1463" t="str">
            <v>BENGALURU</v>
          </cell>
          <cell r="D1463" t="str">
            <v xml:space="preserve"> DTDC</v>
          </cell>
          <cell r="E1463" t="str">
            <v xml:space="preserve"> ROAD </v>
          </cell>
          <cell r="F1463" t="str">
            <v>Electronics</v>
          </cell>
          <cell r="G1463" t="str">
            <v xml:space="preserve">east </v>
          </cell>
          <cell r="I1463" t="str">
            <v>14.3kg</v>
          </cell>
          <cell r="J1463" t="str">
            <v>₹332</v>
          </cell>
          <cell r="K1463">
            <v>8</v>
          </cell>
          <cell r="L1463" t="str">
            <v>15/02/2024</v>
          </cell>
          <cell r="M1463" t="str">
            <v>Damaged</v>
          </cell>
          <cell r="O1463" t="str">
            <v>YES</v>
          </cell>
        </row>
        <row r="1464">
          <cell r="A1464" t="str">
            <v>SHP-100213</v>
          </cell>
          <cell r="B1464" t="str">
            <v>2024-01-07</v>
          </cell>
          <cell r="C1464" t="str">
            <v>mumbai</v>
          </cell>
          <cell r="D1464" t="str">
            <v xml:space="preserve"> XPRESSBEES</v>
          </cell>
          <cell r="E1464" t="str">
            <v>air</v>
          </cell>
          <cell r="F1464" t="str">
            <v>Grocery  &amp; FMCG</v>
          </cell>
          <cell r="G1464" t="str">
            <v xml:space="preserve">west </v>
          </cell>
          <cell r="I1464" t="str">
            <v>5.0</v>
          </cell>
          <cell r="J1464" t="str">
            <v>237</v>
          </cell>
          <cell r="K1464">
            <v>2</v>
          </cell>
          <cell r="L1464" t="str">
            <v>14-Jan-2024</v>
          </cell>
          <cell r="M1464" t="str">
            <v>Delayed</v>
          </cell>
          <cell r="N1464">
            <v>4</v>
          </cell>
          <cell r="O1464" t="str">
            <v>Y</v>
          </cell>
        </row>
        <row r="1465">
          <cell r="A1465" t="str">
            <v>SHP-100090</v>
          </cell>
          <cell r="B1465" t="str">
            <v xml:space="preserve"> 16/03/2024 </v>
          </cell>
          <cell r="C1465" t="str">
            <v xml:space="preserve">kolkata </v>
          </cell>
          <cell r="D1465" t="str">
            <v xml:space="preserve"> Delhivery</v>
          </cell>
          <cell r="E1465" t="str">
            <v>Road</v>
          </cell>
          <cell r="G1465" t="str">
            <v xml:space="preserve">west </v>
          </cell>
          <cell r="I1465" t="str">
            <v>2.9</v>
          </cell>
          <cell r="J1465" t="str">
            <v>₹229</v>
          </cell>
          <cell r="K1465">
            <v>8</v>
          </cell>
          <cell r="L1465" t="str">
            <v xml:space="preserve"> 25/03/2024 </v>
          </cell>
          <cell r="M1465" t="str">
            <v>DELAYED</v>
          </cell>
          <cell r="N1465">
            <v>2</v>
          </cell>
          <cell r="O1465" t="str">
            <v xml:space="preserve"> No</v>
          </cell>
        </row>
        <row r="1466">
          <cell r="A1466" t="str">
            <v>SHP-100418</v>
          </cell>
          <cell r="B1466" t="str">
            <v>2024-01-09</v>
          </cell>
          <cell r="C1466" t="str">
            <v>Chennai</v>
          </cell>
          <cell r="D1466" t="str">
            <v>Ecom  Express</v>
          </cell>
          <cell r="E1466" t="str">
            <v>SURFACE</v>
          </cell>
          <cell r="F1466" t="str">
            <v>Automotive Parts</v>
          </cell>
          <cell r="G1466" t="str">
            <v xml:space="preserve"> SOUTH </v>
          </cell>
          <cell r="I1466" t="str">
            <v xml:space="preserve">13.0 Kg </v>
          </cell>
          <cell r="J1466" t="str">
            <v>279</v>
          </cell>
          <cell r="K1466">
            <v>4</v>
          </cell>
          <cell r="L1466" t="str">
            <v>14/01/2024</v>
          </cell>
          <cell r="M1466" t="str">
            <v>DELAYED</v>
          </cell>
          <cell r="N1466">
            <v>3</v>
          </cell>
          <cell r="O1466" t="str">
            <v>YES</v>
          </cell>
        </row>
        <row r="1467">
          <cell r="A1467" t="str">
            <v>SHP-100321</v>
          </cell>
          <cell r="B1467" t="str">
            <v>01-Mar-2024</v>
          </cell>
          <cell r="C1467" t="str">
            <v>Kolkata</v>
          </cell>
          <cell r="D1467" t="str">
            <v xml:space="preserve">Dtdc </v>
          </cell>
          <cell r="E1467" t="str">
            <v>Road</v>
          </cell>
          <cell r="F1467" t="str">
            <v>AUTOMOTIVE PARTS</v>
          </cell>
          <cell r="G1467" t="str">
            <v>east</v>
          </cell>
          <cell r="I1467" t="str">
            <v>20.9</v>
          </cell>
          <cell r="J1467" t="str">
            <v>₹331</v>
          </cell>
          <cell r="K1467">
            <v>6</v>
          </cell>
          <cell r="L1467" t="str">
            <v>08/03/2024</v>
          </cell>
          <cell r="M1467" t="str">
            <v>Delayed</v>
          </cell>
          <cell r="N1467">
            <v>5</v>
          </cell>
          <cell r="O1467" t="str">
            <v>N</v>
          </cell>
        </row>
        <row r="1468">
          <cell r="A1468" t="str">
            <v>SHP-100143</v>
          </cell>
          <cell r="B1468" t="str">
            <v>17-Apr-2024</v>
          </cell>
          <cell r="C1468" t="str">
            <v>DELHI</v>
          </cell>
          <cell r="D1468" t="str">
            <v xml:space="preserve"> DTDC</v>
          </cell>
          <cell r="E1468" t="str">
            <v>AIR</v>
          </cell>
          <cell r="F1468" t="str">
            <v>Grocery &amp; FMCG</v>
          </cell>
          <cell r="G1468" t="str">
            <v>west</v>
          </cell>
          <cell r="I1468" t="str">
            <v>3.0</v>
          </cell>
          <cell r="J1468" t="str">
            <v>₹301</v>
          </cell>
          <cell r="K1468">
            <v>4</v>
          </cell>
          <cell r="L1468" t="str">
            <v xml:space="preserve"> 29/04/2024 </v>
          </cell>
          <cell r="M1468" t="str">
            <v>DELAYED</v>
          </cell>
          <cell r="N1468">
            <v>5</v>
          </cell>
          <cell r="O1468" t="str">
            <v>No</v>
          </cell>
        </row>
        <row r="1469">
          <cell r="A1469" t="str">
            <v>SHP-100473</v>
          </cell>
          <cell r="B1469" t="str">
            <v>2024-05-11</v>
          </cell>
          <cell r="C1469" t="str">
            <v>HYDERABAD</v>
          </cell>
          <cell r="D1469" t="str">
            <v>BlueDart</v>
          </cell>
          <cell r="E1469" t="str">
            <v xml:space="preserve"> ROAD </v>
          </cell>
          <cell r="F1469" t="str">
            <v xml:space="preserve">grocery &amp; fmcg </v>
          </cell>
          <cell r="G1469" t="str">
            <v>East</v>
          </cell>
          <cell r="I1469" t="str">
            <v>3.4kg</v>
          </cell>
          <cell r="J1469" t="str">
            <v>₹226</v>
          </cell>
          <cell r="K1469">
            <v>8</v>
          </cell>
          <cell r="L1469" t="str">
            <v>20-May-2024</v>
          </cell>
          <cell r="M1469" t="str">
            <v>Delayed</v>
          </cell>
          <cell r="N1469">
            <v>3</v>
          </cell>
          <cell r="O1469" t="str">
            <v>No</v>
          </cell>
        </row>
        <row r="1470">
          <cell r="A1470" t="str">
            <v>SHP-100958</v>
          </cell>
          <cell r="B1470" t="str">
            <v>2024-03-01</v>
          </cell>
          <cell r="C1470" t="str">
            <v>chennai</v>
          </cell>
          <cell r="D1470" t="str">
            <v>delhivery</v>
          </cell>
          <cell r="E1470" t="str">
            <v>air</v>
          </cell>
          <cell r="F1470" t="str">
            <v>PHARMA</v>
          </cell>
          <cell r="G1470" t="str">
            <v xml:space="preserve">east </v>
          </cell>
          <cell r="I1470" t="str">
            <v xml:space="preserve">3.4 Kg </v>
          </cell>
          <cell r="J1470" t="str">
            <v xml:space="preserve">Rs 310 </v>
          </cell>
          <cell r="K1470">
            <v>4</v>
          </cell>
          <cell r="L1470" t="str">
            <v>06/03/2024</v>
          </cell>
          <cell r="M1470" t="str">
            <v xml:space="preserve">delayed </v>
          </cell>
          <cell r="N1470">
            <v>2</v>
          </cell>
          <cell r="O1470" t="str">
            <v xml:space="preserve"> No</v>
          </cell>
        </row>
        <row r="1471">
          <cell r="A1471" t="str">
            <v>SHP-100670</v>
          </cell>
          <cell r="B1471" t="str">
            <v>06/01/2024</v>
          </cell>
          <cell r="C1471" t="str">
            <v>BENGALURU</v>
          </cell>
          <cell r="D1471" t="str">
            <v>Ecom Express</v>
          </cell>
          <cell r="E1471" t="str">
            <v>Air</v>
          </cell>
          <cell r="F1471" t="str">
            <v xml:space="preserve">electronics </v>
          </cell>
          <cell r="G1471" t="str">
            <v xml:space="preserve">north </v>
          </cell>
          <cell r="I1471" t="str">
            <v xml:space="preserve">8.9 Kg </v>
          </cell>
          <cell r="J1471" t="str">
            <v>523</v>
          </cell>
          <cell r="K1471">
            <v>4</v>
          </cell>
          <cell r="L1471" t="str">
            <v xml:space="preserve"> 14/01/2024 </v>
          </cell>
          <cell r="M1471" t="str">
            <v>DELAYED</v>
          </cell>
          <cell r="N1471">
            <v>4</v>
          </cell>
          <cell r="O1471" t="str">
            <v>no</v>
          </cell>
        </row>
        <row r="1472">
          <cell r="A1472" t="str">
            <v>SHP-101246</v>
          </cell>
          <cell r="B1472" t="str">
            <v>09/04/2024</v>
          </cell>
          <cell r="C1472" t="str">
            <v xml:space="preserve">chennai </v>
          </cell>
          <cell r="D1472" t="str">
            <v xml:space="preserve"> DTDC</v>
          </cell>
          <cell r="E1472" t="str">
            <v>SURFACE</v>
          </cell>
          <cell r="F1472" t="str">
            <v>PHARMA</v>
          </cell>
          <cell r="G1472" t="str">
            <v xml:space="preserve"> SOUTH </v>
          </cell>
          <cell r="I1472" t="str">
            <v>0.6</v>
          </cell>
          <cell r="J1472" t="str">
            <v>₹80</v>
          </cell>
          <cell r="K1472">
            <v>4</v>
          </cell>
          <cell r="L1472" t="str">
            <v>2024-04-16</v>
          </cell>
          <cell r="M1472" t="str">
            <v xml:space="preserve"> Delayed</v>
          </cell>
          <cell r="N1472">
            <v>4</v>
          </cell>
          <cell r="O1472" t="str">
            <v>No</v>
          </cell>
        </row>
        <row r="1473">
          <cell r="A1473" t="str">
            <v>SHP-101463</v>
          </cell>
          <cell r="B1473" t="str">
            <v>16/01/2024</v>
          </cell>
          <cell r="C1473" t="str">
            <v xml:space="preserve"> CHENNAI </v>
          </cell>
          <cell r="D1473" t="str">
            <v xml:space="preserve">Dtdc </v>
          </cell>
          <cell r="E1473" t="str">
            <v>air</v>
          </cell>
          <cell r="F1473" t="str">
            <v xml:space="preserve"> PHARMA </v>
          </cell>
          <cell r="G1473" t="str">
            <v>West</v>
          </cell>
          <cell r="I1473" t="str">
            <v xml:space="preserve">1.2 Kg </v>
          </cell>
          <cell r="J1473" t="str">
            <v xml:space="preserve">Rs 229 </v>
          </cell>
          <cell r="K1473">
            <v>4</v>
          </cell>
          <cell r="L1473" t="str">
            <v>2024-01-28</v>
          </cell>
          <cell r="M1473" t="str">
            <v>DELAYED</v>
          </cell>
          <cell r="N1473">
            <v>2</v>
          </cell>
          <cell r="O1473" t="str">
            <v>No</v>
          </cell>
        </row>
        <row r="1474">
          <cell r="A1474" t="str">
            <v>SHP-100445</v>
          </cell>
          <cell r="B1474" t="str">
            <v>09-Apr-2024</v>
          </cell>
          <cell r="C1474" t="str">
            <v>Mumbai</v>
          </cell>
          <cell r="D1474" t="str">
            <v>Ecom Express</v>
          </cell>
          <cell r="E1474" t="str">
            <v xml:space="preserve"> SURFACE </v>
          </cell>
          <cell r="F1474" t="str">
            <v>grocery &amp; fmcg</v>
          </cell>
          <cell r="G1474" t="str">
            <v xml:space="preserve"> NORTH </v>
          </cell>
          <cell r="I1474" t="str">
            <v>13.7</v>
          </cell>
          <cell r="J1474" t="str">
            <v>₹461</v>
          </cell>
          <cell r="K1474">
            <v>6</v>
          </cell>
          <cell r="L1474" t="str">
            <v>16-Apr-2024</v>
          </cell>
          <cell r="M1474" t="str">
            <v xml:space="preserve"> Delayed</v>
          </cell>
          <cell r="N1474">
            <v>3</v>
          </cell>
          <cell r="O1474" t="str">
            <v>no</v>
          </cell>
        </row>
        <row r="1475">
          <cell r="A1475" t="str">
            <v>SHP-100579</v>
          </cell>
          <cell r="B1475" t="str">
            <v>11-Jan-2024</v>
          </cell>
          <cell r="C1475" t="str">
            <v>bengaluru</v>
          </cell>
          <cell r="D1475" t="str">
            <v>dtdc</v>
          </cell>
          <cell r="E1475" t="str">
            <v>SURFACE</v>
          </cell>
          <cell r="F1475" t="str">
            <v>Automotive Parts</v>
          </cell>
          <cell r="G1475" t="str">
            <v xml:space="preserve">north </v>
          </cell>
          <cell r="I1475" t="str">
            <v xml:space="preserve">22.3 Kg </v>
          </cell>
          <cell r="J1475" t="str">
            <v xml:space="preserve">Rs 620 </v>
          </cell>
          <cell r="K1475">
            <v>6</v>
          </cell>
          <cell r="L1475" t="str">
            <v>26/01/2024</v>
          </cell>
          <cell r="M1475" t="str">
            <v>DELAYED</v>
          </cell>
          <cell r="N1475">
            <v>2</v>
          </cell>
          <cell r="O1475" t="str">
            <v>No</v>
          </cell>
        </row>
        <row r="1476">
          <cell r="A1476" t="str">
            <v>SHP-101427</v>
          </cell>
          <cell r="B1476" t="str">
            <v>2024-04-16</v>
          </cell>
          <cell r="C1476" t="str">
            <v xml:space="preserve">bengaluru </v>
          </cell>
          <cell r="D1476" t="str">
            <v>delhivery</v>
          </cell>
          <cell r="E1476" t="str">
            <v xml:space="preserve">surface </v>
          </cell>
          <cell r="F1476" t="str">
            <v>Automotive Parts</v>
          </cell>
          <cell r="G1476" t="str">
            <v>WEST</v>
          </cell>
          <cell r="I1476" t="str">
            <v>14.5</v>
          </cell>
          <cell r="J1476" t="str">
            <v>455</v>
          </cell>
          <cell r="K1476">
            <v>6</v>
          </cell>
          <cell r="L1476" t="str">
            <v>2024-04-27</v>
          </cell>
          <cell r="M1476" t="str">
            <v xml:space="preserve">delayed </v>
          </cell>
          <cell r="N1476">
            <v>1</v>
          </cell>
          <cell r="O1476" t="str">
            <v>YES</v>
          </cell>
        </row>
        <row r="1477">
          <cell r="A1477" t="str">
            <v>SHP-100383</v>
          </cell>
          <cell r="B1477" t="str">
            <v xml:space="preserve"> 13/02/2024 </v>
          </cell>
          <cell r="C1477" t="str">
            <v>chennai</v>
          </cell>
          <cell r="D1477" t="str">
            <v>DELHIVERY</v>
          </cell>
          <cell r="E1477" t="str">
            <v xml:space="preserve">road </v>
          </cell>
          <cell r="F1477" t="str">
            <v>APPAREL</v>
          </cell>
          <cell r="G1477" t="str">
            <v>South</v>
          </cell>
          <cell r="I1477" t="str">
            <v>7.5KG</v>
          </cell>
          <cell r="J1477" t="str">
            <v xml:space="preserve">Rs 80 </v>
          </cell>
          <cell r="K1477">
            <v>6</v>
          </cell>
          <cell r="L1477" t="str">
            <v>20-Feb-2024</v>
          </cell>
          <cell r="M1477" t="str">
            <v xml:space="preserve">delayed </v>
          </cell>
          <cell r="N1477">
            <v>2</v>
          </cell>
          <cell r="O1477" t="str">
            <v xml:space="preserve"> No</v>
          </cell>
        </row>
        <row r="1478">
          <cell r="A1478" t="str">
            <v>SHP-100332</v>
          </cell>
          <cell r="B1478" t="str">
            <v>2024-02-27</v>
          </cell>
          <cell r="C1478" t="str">
            <v>Kolkata</v>
          </cell>
          <cell r="D1478" t="str">
            <v>delhivery</v>
          </cell>
          <cell r="E1478" t="str">
            <v>AIR</v>
          </cell>
          <cell r="F1478" t="str">
            <v>AUTOMOTIVE PARTS</v>
          </cell>
          <cell r="G1478" t="str">
            <v>north</v>
          </cell>
          <cell r="I1478" t="str">
            <v>27.2</v>
          </cell>
          <cell r="J1478" t="str">
            <v>₹1,369</v>
          </cell>
          <cell r="K1478">
            <v>4</v>
          </cell>
          <cell r="L1478" t="str">
            <v xml:space="preserve"> 05/03/2024 </v>
          </cell>
          <cell r="M1478" t="str">
            <v xml:space="preserve">delayed </v>
          </cell>
          <cell r="N1478">
            <v>3</v>
          </cell>
          <cell r="O1478" t="str">
            <v xml:space="preserve">yes </v>
          </cell>
        </row>
        <row r="1479">
          <cell r="A1479" t="str">
            <v>SHP-101276</v>
          </cell>
          <cell r="B1479" t="str">
            <v>28/01/2024</v>
          </cell>
          <cell r="C1479" t="str">
            <v xml:space="preserve"> KOLKATA </v>
          </cell>
          <cell r="D1479" t="str">
            <v>bluedart</v>
          </cell>
          <cell r="E1479" t="str">
            <v>surface</v>
          </cell>
          <cell r="F1479" t="str">
            <v>Grocery &amp; FMCG</v>
          </cell>
          <cell r="G1479" t="str">
            <v xml:space="preserve">south </v>
          </cell>
          <cell r="I1479" t="str">
            <v>15.3KG</v>
          </cell>
          <cell r="J1479" t="str">
            <v xml:space="preserve">Rs 537 </v>
          </cell>
          <cell r="K1479">
            <v>6</v>
          </cell>
          <cell r="L1479" t="str">
            <v xml:space="preserve"> 02/02/2024 </v>
          </cell>
          <cell r="M1479" t="str">
            <v xml:space="preserve"> Delivered</v>
          </cell>
          <cell r="N1479">
            <v>5</v>
          </cell>
          <cell r="O1479" t="str">
            <v>No</v>
          </cell>
        </row>
        <row r="1480">
          <cell r="A1480" t="str">
            <v>SHP-100833</v>
          </cell>
          <cell r="B1480" t="str">
            <v>24-Feb-2024</v>
          </cell>
          <cell r="C1480" t="str">
            <v>chennai</v>
          </cell>
          <cell r="D1480" t="str">
            <v>ECOM EXPRESS</v>
          </cell>
          <cell r="E1480" t="str">
            <v xml:space="preserve">road </v>
          </cell>
          <cell r="F1480" t="str">
            <v xml:space="preserve"> APPAREL </v>
          </cell>
          <cell r="G1480" t="str">
            <v>SOUTH</v>
          </cell>
          <cell r="I1480" t="str">
            <v xml:space="preserve">6.6 Kg </v>
          </cell>
          <cell r="J1480" t="str">
            <v xml:space="preserve">Rs 111 </v>
          </cell>
          <cell r="K1480">
            <v>6</v>
          </cell>
          <cell r="L1480" t="str">
            <v>2024-03-07</v>
          </cell>
          <cell r="M1480" t="str">
            <v>Delayed</v>
          </cell>
          <cell r="N1480">
            <v>2</v>
          </cell>
          <cell r="O1480" t="str">
            <v>Yes</v>
          </cell>
        </row>
        <row r="1481">
          <cell r="A1481" t="str">
            <v>SHP-101595</v>
          </cell>
          <cell r="B1481" t="str">
            <v>2024-06-04</v>
          </cell>
          <cell r="C1481" t="str">
            <v>KOLKATA</v>
          </cell>
          <cell r="D1481" t="str">
            <v xml:space="preserve">BLUEDART </v>
          </cell>
          <cell r="E1481" t="str">
            <v>Surface</v>
          </cell>
          <cell r="F1481" t="str">
            <v>APPAREL</v>
          </cell>
          <cell r="G1481" t="str">
            <v xml:space="preserve">west </v>
          </cell>
          <cell r="I1481" t="str">
            <v>1.4kg</v>
          </cell>
          <cell r="J1481" t="str">
            <v>168</v>
          </cell>
          <cell r="K1481">
            <v>6</v>
          </cell>
          <cell r="L1481" t="str">
            <v>2024-06-11</v>
          </cell>
          <cell r="M1481" t="str">
            <v xml:space="preserve">delayed </v>
          </cell>
          <cell r="N1481">
            <v>2</v>
          </cell>
          <cell r="O1481" t="str">
            <v>Yes</v>
          </cell>
        </row>
        <row r="1482">
          <cell r="A1482" t="str">
            <v>SHP-100881</v>
          </cell>
          <cell r="B1482" t="str">
            <v>2024-06-18</v>
          </cell>
          <cell r="C1482" t="str">
            <v>KOLKATA</v>
          </cell>
          <cell r="D1482" t="str">
            <v>dtdc</v>
          </cell>
          <cell r="E1482" t="str">
            <v>Surface</v>
          </cell>
          <cell r="F1482" t="str">
            <v xml:space="preserve">  PHARMA </v>
          </cell>
          <cell r="G1482" t="str">
            <v xml:space="preserve"> WEST </v>
          </cell>
          <cell r="I1482" t="str">
            <v>0.7KG</v>
          </cell>
          <cell r="J1482" t="str">
            <v>152</v>
          </cell>
          <cell r="K1482">
            <v>6</v>
          </cell>
          <cell r="L1482" t="str">
            <v>2024-06-23</v>
          </cell>
          <cell r="M1482" t="str">
            <v>Delivered</v>
          </cell>
          <cell r="N1482">
            <v>4</v>
          </cell>
          <cell r="O1482" t="str">
            <v xml:space="preserve"> No</v>
          </cell>
        </row>
        <row r="1483">
          <cell r="A1483" t="str">
            <v>SHP-100936</v>
          </cell>
          <cell r="B1483" t="str">
            <v xml:space="preserve"> 14/02/2024 </v>
          </cell>
          <cell r="C1483" t="str">
            <v xml:space="preserve"> KOLKATA </v>
          </cell>
          <cell r="D1483" t="str">
            <v>bluedart</v>
          </cell>
          <cell r="E1483" t="str">
            <v>Road</v>
          </cell>
          <cell r="F1483" t="str">
            <v>AUTOMOTIVE PARTS</v>
          </cell>
          <cell r="G1483" t="str">
            <v xml:space="preserve">north </v>
          </cell>
          <cell r="I1483" t="str">
            <v xml:space="preserve">26.5 Kg </v>
          </cell>
          <cell r="J1483" t="str">
            <v>513</v>
          </cell>
          <cell r="K1483">
            <v>8</v>
          </cell>
          <cell r="L1483" t="str">
            <v>21-Feb-2024</v>
          </cell>
          <cell r="M1483" t="str">
            <v>Delivered</v>
          </cell>
          <cell r="N1483">
            <v>4</v>
          </cell>
          <cell r="O1483" t="str">
            <v>No</v>
          </cell>
        </row>
        <row r="1484">
          <cell r="A1484" t="str">
            <v>SHP-100018</v>
          </cell>
          <cell r="B1484" t="str">
            <v>2024-02-16</v>
          </cell>
          <cell r="C1484" t="str">
            <v>mumbai</v>
          </cell>
          <cell r="D1484" t="str">
            <v xml:space="preserve"> XPRESSBEES</v>
          </cell>
          <cell r="E1484" t="str">
            <v xml:space="preserve">air </v>
          </cell>
          <cell r="F1484" t="str">
            <v>Automotive Parts</v>
          </cell>
          <cell r="G1484" t="str">
            <v>EAST</v>
          </cell>
          <cell r="I1484" t="str">
            <v>34.4</v>
          </cell>
          <cell r="J1484" t="str">
            <v>₹1,726</v>
          </cell>
          <cell r="K1484">
            <v>4</v>
          </cell>
          <cell r="L1484" t="str">
            <v>2024-02-20</v>
          </cell>
          <cell r="M1484" t="str">
            <v xml:space="preserve"> Delivered</v>
          </cell>
          <cell r="N1484">
            <v>3</v>
          </cell>
          <cell r="O1484" t="str">
            <v>Y</v>
          </cell>
        </row>
        <row r="1485">
          <cell r="A1485" t="str">
            <v>SHP-100634</v>
          </cell>
          <cell r="B1485" t="str">
            <v>2024-05-20</v>
          </cell>
          <cell r="C1485" t="str">
            <v xml:space="preserve">chennai </v>
          </cell>
          <cell r="D1485" t="str">
            <v>Delhivery</v>
          </cell>
          <cell r="E1485" t="str">
            <v>Air</v>
          </cell>
          <cell r="F1485" t="str">
            <v>Apparel</v>
          </cell>
          <cell r="G1485" t="str">
            <v>EAST</v>
          </cell>
          <cell r="I1485" t="str">
            <v xml:space="preserve">2.7 Kg </v>
          </cell>
          <cell r="J1485" t="str">
            <v>₹260</v>
          </cell>
          <cell r="K1485">
            <v>4</v>
          </cell>
          <cell r="L1485" t="str">
            <v>25-May-2024</v>
          </cell>
          <cell r="M1485" t="str">
            <v>returned</v>
          </cell>
          <cell r="O1485" t="str">
            <v xml:space="preserve"> No</v>
          </cell>
        </row>
        <row r="1486">
          <cell r="A1486" t="str">
            <v>SHP-101002</v>
          </cell>
          <cell r="B1486" t="str">
            <v xml:space="preserve"> 25/04/2024 </v>
          </cell>
          <cell r="C1486" t="str">
            <v xml:space="preserve">delhi </v>
          </cell>
          <cell r="D1486" t="str">
            <v>dtdc</v>
          </cell>
          <cell r="E1486" t="str">
            <v>SURFACE</v>
          </cell>
          <cell r="F1486" t="str">
            <v>APPAREL</v>
          </cell>
          <cell r="G1486" t="str">
            <v>East</v>
          </cell>
          <cell r="I1486" t="str">
            <v>7.9KG</v>
          </cell>
          <cell r="J1486" t="str">
            <v>₹305</v>
          </cell>
          <cell r="K1486">
            <v>6</v>
          </cell>
          <cell r="L1486" t="str">
            <v xml:space="preserve"> 06/05/2024 </v>
          </cell>
          <cell r="M1486" t="str">
            <v xml:space="preserve">delayed </v>
          </cell>
          <cell r="N1486">
            <v>2</v>
          </cell>
          <cell r="O1486" t="str">
            <v>no</v>
          </cell>
        </row>
        <row r="1487">
          <cell r="A1487" t="str">
            <v>SHP-100818</v>
          </cell>
          <cell r="B1487" t="str">
            <v>16-Apr-2024</v>
          </cell>
          <cell r="C1487" t="str">
            <v xml:space="preserve"> DELHI </v>
          </cell>
          <cell r="D1487" t="str">
            <v>BlueDart</v>
          </cell>
          <cell r="E1487" t="str">
            <v>ROAD</v>
          </cell>
          <cell r="F1487" t="str">
            <v xml:space="preserve"> APPAREL </v>
          </cell>
          <cell r="G1487" t="str">
            <v xml:space="preserve">north </v>
          </cell>
          <cell r="I1487" t="str">
            <v xml:space="preserve">3.4 Kg </v>
          </cell>
          <cell r="J1487" t="str">
            <v>80</v>
          </cell>
          <cell r="K1487">
            <v>6</v>
          </cell>
          <cell r="L1487" t="str">
            <v>2024-04-23</v>
          </cell>
          <cell r="M1487" t="str">
            <v>DELAYED</v>
          </cell>
          <cell r="N1487">
            <v>2</v>
          </cell>
          <cell r="O1487" t="str">
            <v>No</v>
          </cell>
        </row>
        <row r="1488">
          <cell r="A1488" t="str">
            <v>SHP-101089</v>
          </cell>
          <cell r="B1488" t="str">
            <v>2024-03-11</v>
          </cell>
          <cell r="C1488" t="str">
            <v>Kolkata</v>
          </cell>
          <cell r="D1488" t="str">
            <v>xpressbees</v>
          </cell>
          <cell r="E1488" t="str">
            <v xml:space="preserve">surface </v>
          </cell>
          <cell r="F1488" t="str">
            <v xml:space="preserve">grocery &amp; fmcg </v>
          </cell>
          <cell r="G1488" t="str">
            <v>west</v>
          </cell>
          <cell r="I1488" t="str">
            <v>4.2</v>
          </cell>
          <cell r="J1488" t="str">
            <v xml:space="preserve">Rs 284 </v>
          </cell>
          <cell r="K1488">
            <v>6</v>
          </cell>
          <cell r="L1488" t="str">
            <v>25-Mar-2024</v>
          </cell>
          <cell r="M1488" t="str">
            <v xml:space="preserve"> Delayed</v>
          </cell>
          <cell r="N1488">
            <v>1</v>
          </cell>
          <cell r="O1488" t="str">
            <v>YES</v>
          </cell>
        </row>
        <row r="1489">
          <cell r="A1489" t="str">
            <v>SHP-101552</v>
          </cell>
          <cell r="B1489" t="str">
            <v xml:space="preserve"> 24/06/2024 </v>
          </cell>
          <cell r="C1489" t="str">
            <v>Bengaluru</v>
          </cell>
          <cell r="D1489" t="str">
            <v xml:space="preserve">Dtdc </v>
          </cell>
          <cell r="E1489" t="str">
            <v>Surface</v>
          </cell>
          <cell r="F1489" t="str">
            <v xml:space="preserve"> PHARMA </v>
          </cell>
          <cell r="G1489" t="str">
            <v>West</v>
          </cell>
          <cell r="I1489" t="str">
            <v xml:space="preserve">1.2 Kg </v>
          </cell>
          <cell r="J1489" t="str">
            <v xml:space="preserve">Rs 191 </v>
          </cell>
          <cell r="K1489">
            <v>6</v>
          </cell>
          <cell r="L1489" t="str">
            <v>2024-06-30</v>
          </cell>
          <cell r="M1489" t="str">
            <v>DELIVERED</v>
          </cell>
          <cell r="N1489">
            <v>1</v>
          </cell>
          <cell r="O1489" t="str">
            <v>Y</v>
          </cell>
        </row>
        <row r="1490">
          <cell r="A1490" t="str">
            <v>SHP-101133</v>
          </cell>
          <cell r="B1490" t="str">
            <v>20-Mar-2024</v>
          </cell>
          <cell r="C1490" t="str">
            <v>kolkata</v>
          </cell>
          <cell r="D1490" t="str">
            <v>DELHIVERY</v>
          </cell>
          <cell r="E1490" t="str">
            <v>Air</v>
          </cell>
          <cell r="F1490" t="str">
            <v>ELECTRONICS</v>
          </cell>
          <cell r="G1490" t="str">
            <v>NORTH</v>
          </cell>
          <cell r="I1490" t="str">
            <v>2.1KG</v>
          </cell>
          <cell r="J1490" t="str">
            <v xml:space="preserve">Rs 271 </v>
          </cell>
          <cell r="K1490">
            <v>4</v>
          </cell>
          <cell r="L1490" t="str">
            <v>25-Mar-2024</v>
          </cell>
          <cell r="M1490" t="str">
            <v>DELAYED</v>
          </cell>
          <cell r="N1490">
            <v>1</v>
          </cell>
          <cell r="O1490" t="str">
            <v xml:space="preserve"> No</v>
          </cell>
        </row>
        <row r="1491">
          <cell r="A1491" t="str">
            <v>SHP-101088</v>
          </cell>
          <cell r="B1491" t="str">
            <v>18-Apr-2024</v>
          </cell>
          <cell r="C1491" t="str">
            <v>Delhi</v>
          </cell>
          <cell r="D1491" t="str">
            <v>bluedart</v>
          </cell>
          <cell r="E1491" t="str">
            <v>AIR</v>
          </cell>
          <cell r="F1491" t="str">
            <v xml:space="preserve">apparel </v>
          </cell>
          <cell r="G1491" t="str">
            <v>east</v>
          </cell>
          <cell r="I1491" t="str">
            <v xml:space="preserve">1.4 Kg </v>
          </cell>
          <cell r="J1491" t="str">
            <v>261</v>
          </cell>
          <cell r="K1491">
            <v>4</v>
          </cell>
          <cell r="L1491" t="str">
            <v>23-Apr-2024</v>
          </cell>
          <cell r="M1491" t="str">
            <v>DELAYED</v>
          </cell>
          <cell r="N1491">
            <v>3</v>
          </cell>
          <cell r="O1491" t="str">
            <v>Y</v>
          </cell>
        </row>
        <row r="1492">
          <cell r="A1492" t="str">
            <v>SHP-101248</v>
          </cell>
          <cell r="B1492" t="str">
            <v>04/01/2024</v>
          </cell>
          <cell r="C1492" t="str">
            <v>Chennai</v>
          </cell>
          <cell r="D1492" t="str">
            <v xml:space="preserve">BLUEDART </v>
          </cell>
          <cell r="E1492" t="str">
            <v xml:space="preserve"> SURFACE </v>
          </cell>
          <cell r="F1492" t="str">
            <v>Pharma</v>
          </cell>
          <cell r="G1492" t="str">
            <v>EAST</v>
          </cell>
          <cell r="I1492" t="str">
            <v>4.9kg</v>
          </cell>
          <cell r="J1492" t="str">
            <v>₹310</v>
          </cell>
          <cell r="K1492">
            <v>6</v>
          </cell>
          <cell r="L1492" t="str">
            <v xml:space="preserve"> 11/01/2024 </v>
          </cell>
          <cell r="M1492" t="str">
            <v xml:space="preserve">delayed </v>
          </cell>
          <cell r="N1492">
            <v>1</v>
          </cell>
          <cell r="O1492" t="str">
            <v>YES</v>
          </cell>
        </row>
        <row r="1493">
          <cell r="A1493" t="str">
            <v>SHP-101572</v>
          </cell>
          <cell r="B1493" t="str">
            <v>2024-05-06</v>
          </cell>
          <cell r="C1493" t="str">
            <v xml:space="preserve">hyderabad </v>
          </cell>
          <cell r="D1493" t="str">
            <v xml:space="preserve"> XPRESSBEES</v>
          </cell>
          <cell r="E1493" t="str">
            <v>road</v>
          </cell>
          <cell r="F1493" t="str">
            <v>Pharma</v>
          </cell>
          <cell r="G1493" t="str">
            <v>East</v>
          </cell>
          <cell r="I1493" t="str">
            <v>3.3KG</v>
          </cell>
          <cell r="J1493" t="str">
            <v>185</v>
          </cell>
          <cell r="K1493">
            <v>8</v>
          </cell>
          <cell r="L1493" t="str">
            <v>2024-05-14</v>
          </cell>
          <cell r="M1493" t="str">
            <v>delivered</v>
          </cell>
          <cell r="N1493">
            <v>4</v>
          </cell>
          <cell r="O1493" t="str">
            <v>no</v>
          </cell>
        </row>
        <row r="1494">
          <cell r="A1494" t="str">
            <v>SHP-101563</v>
          </cell>
          <cell r="B1494" t="str">
            <v>2024-03-26</v>
          </cell>
          <cell r="C1494" t="str">
            <v>hyderabad</v>
          </cell>
          <cell r="D1494" t="str">
            <v xml:space="preserve"> DTDC</v>
          </cell>
          <cell r="E1494" t="str">
            <v>road</v>
          </cell>
          <cell r="G1494" t="str">
            <v xml:space="preserve">east </v>
          </cell>
          <cell r="I1494" t="str">
            <v>68.0kg</v>
          </cell>
          <cell r="J1494" t="str">
            <v>₹1,105</v>
          </cell>
          <cell r="K1494">
            <v>8</v>
          </cell>
          <cell r="L1494" t="str">
            <v>04-Apr-2024</v>
          </cell>
          <cell r="M1494" t="str">
            <v xml:space="preserve"> DAMAGED</v>
          </cell>
          <cell r="O1494" t="str">
            <v>no</v>
          </cell>
        </row>
        <row r="1495">
          <cell r="I1495" t="str">
            <v xml:space="preserve">29.8 Kg </v>
          </cell>
        </row>
        <row r="1496">
          <cell r="A1496" t="str">
            <v>SHP-100314</v>
          </cell>
          <cell r="B1496" t="str">
            <v>2024-05-16</v>
          </cell>
          <cell r="C1496" t="str">
            <v>Bengaluru</v>
          </cell>
          <cell r="D1496" t="str">
            <v xml:space="preserve"> XPRESSBEES</v>
          </cell>
          <cell r="E1496" t="str">
            <v>SURFACE</v>
          </cell>
          <cell r="F1496" t="str">
            <v>grocery &amp; fmcg</v>
          </cell>
          <cell r="G1496" t="str">
            <v>east</v>
          </cell>
          <cell r="I1496" t="str">
            <v>8.1kg</v>
          </cell>
          <cell r="J1496" t="str">
            <v>348</v>
          </cell>
          <cell r="K1496">
            <v>6</v>
          </cell>
          <cell r="L1496" t="str">
            <v xml:space="preserve"> 22/05/2024 </v>
          </cell>
          <cell r="M1496" t="str">
            <v>delivered</v>
          </cell>
          <cell r="N1496">
            <v>3</v>
          </cell>
          <cell r="O1496" t="str">
            <v>YES</v>
          </cell>
        </row>
        <row r="1497">
          <cell r="A1497" t="str">
            <v>SHP-100740</v>
          </cell>
          <cell r="B1497" t="str">
            <v>23/02/2024</v>
          </cell>
          <cell r="C1497" t="str">
            <v xml:space="preserve">bengaluru </v>
          </cell>
          <cell r="D1497" t="str">
            <v>Blue Dart</v>
          </cell>
          <cell r="E1497" t="str">
            <v>Road</v>
          </cell>
          <cell r="F1497" t="str">
            <v>apparel</v>
          </cell>
          <cell r="G1497" t="str">
            <v>south</v>
          </cell>
          <cell r="I1497" t="str">
            <v>2.9KG</v>
          </cell>
          <cell r="J1497" t="str">
            <v>₹90</v>
          </cell>
          <cell r="K1497">
            <v>6</v>
          </cell>
          <cell r="L1497" t="str">
            <v>2024-02-28</v>
          </cell>
          <cell r="M1497" t="str">
            <v>delivered</v>
          </cell>
          <cell r="N1497">
            <v>5</v>
          </cell>
          <cell r="O1497" t="str">
            <v xml:space="preserve"> No</v>
          </cell>
        </row>
        <row r="1498">
          <cell r="A1498" t="str">
            <v>SHP-100636</v>
          </cell>
          <cell r="B1498" t="str">
            <v>17/05/2024</v>
          </cell>
          <cell r="C1498" t="str">
            <v>Hyderabad</v>
          </cell>
          <cell r="D1498" t="str">
            <v>dtdc</v>
          </cell>
          <cell r="E1498" t="str">
            <v>Air</v>
          </cell>
          <cell r="F1498" t="str">
            <v>Pharma</v>
          </cell>
          <cell r="G1498" t="str">
            <v xml:space="preserve"> SOUTH </v>
          </cell>
          <cell r="I1498" t="str">
            <v>4.0KG</v>
          </cell>
          <cell r="J1498" t="str">
            <v xml:space="preserve">Rs 368 </v>
          </cell>
          <cell r="K1498">
            <v>4</v>
          </cell>
          <cell r="L1498" t="str">
            <v>22-May-2024</v>
          </cell>
          <cell r="M1498" t="str">
            <v>Delayed</v>
          </cell>
          <cell r="N1498">
            <v>5</v>
          </cell>
          <cell r="O1498" t="str">
            <v>Y</v>
          </cell>
        </row>
        <row r="1499">
          <cell r="A1499" t="str">
            <v>SHP-101547</v>
          </cell>
          <cell r="B1499" t="str">
            <v>01/01/2024</v>
          </cell>
          <cell r="C1499" t="str">
            <v xml:space="preserve">hyderabad </v>
          </cell>
          <cell r="D1499" t="str">
            <v>dtdc</v>
          </cell>
          <cell r="E1499" t="str">
            <v>Surface</v>
          </cell>
          <cell r="F1499" t="str">
            <v>automotive parts</v>
          </cell>
          <cell r="G1499" t="str">
            <v xml:space="preserve"> SOUTH </v>
          </cell>
          <cell r="I1499" t="str">
            <v xml:space="preserve">34.1 Kg </v>
          </cell>
          <cell r="J1499" t="str">
            <v>₹960</v>
          </cell>
          <cell r="K1499">
            <v>6</v>
          </cell>
          <cell r="L1499" t="str">
            <v xml:space="preserve"> 07/01/2024 </v>
          </cell>
          <cell r="M1499" t="str">
            <v>DELIVERED</v>
          </cell>
          <cell r="N1499">
            <v>3</v>
          </cell>
          <cell r="O1499" t="str">
            <v>N</v>
          </cell>
        </row>
        <row r="1500">
          <cell r="A1500" t="str">
            <v>SHP-100175</v>
          </cell>
          <cell r="B1500" t="str">
            <v>09/06/2024</v>
          </cell>
          <cell r="C1500" t="str">
            <v>Hyderabad</v>
          </cell>
          <cell r="D1500" t="str">
            <v>Ecom  Express</v>
          </cell>
          <cell r="E1500" t="str">
            <v xml:space="preserve"> ROAD </v>
          </cell>
          <cell r="F1500" t="str">
            <v>Electronics</v>
          </cell>
          <cell r="G1500" t="str">
            <v>north</v>
          </cell>
          <cell r="I1500" t="str">
            <v>13.5KG</v>
          </cell>
          <cell r="J1500" t="str">
            <v>₹373</v>
          </cell>
          <cell r="K1500">
            <v>8</v>
          </cell>
          <cell r="L1500" t="str">
            <v>25-Jun-2024</v>
          </cell>
          <cell r="M1500" t="str">
            <v xml:space="preserve"> Delayed</v>
          </cell>
          <cell r="N1500">
            <v>2</v>
          </cell>
          <cell r="O1500" t="str">
            <v>Y</v>
          </cell>
        </row>
        <row r="1501">
          <cell r="A1501" t="str">
            <v>SHP-101444</v>
          </cell>
          <cell r="B1501" t="str">
            <v xml:space="preserve"> 26/04/2024 </v>
          </cell>
          <cell r="C1501" t="str">
            <v xml:space="preserve">bengaluru </v>
          </cell>
          <cell r="D1501" t="str">
            <v>XpressBees</v>
          </cell>
          <cell r="E1501" t="str">
            <v>AIR</v>
          </cell>
          <cell r="F1501" t="str">
            <v>apparel</v>
          </cell>
          <cell r="G1501" t="str">
            <v>south</v>
          </cell>
          <cell r="I1501" t="str">
            <v>0.9kg</v>
          </cell>
          <cell r="J1501" t="str">
            <v xml:space="preserve">Rs 80 </v>
          </cell>
          <cell r="K1501">
            <v>2</v>
          </cell>
          <cell r="L1501" t="str">
            <v>03/05/2024</v>
          </cell>
          <cell r="M1501" t="str">
            <v xml:space="preserve">delayed </v>
          </cell>
          <cell r="N1501">
            <v>3</v>
          </cell>
          <cell r="O1501" t="str">
            <v>No</v>
          </cell>
        </row>
        <row r="1502">
          <cell r="A1502" t="str">
            <v>SHP-100708</v>
          </cell>
          <cell r="B1502" t="str">
            <v>17-Jun-2024</v>
          </cell>
          <cell r="C1502" t="str">
            <v xml:space="preserve"> KOLKATA </v>
          </cell>
          <cell r="D1502" t="str">
            <v>Blue Dart</v>
          </cell>
          <cell r="E1502" t="str">
            <v xml:space="preserve"> AIR </v>
          </cell>
          <cell r="F1502" t="str">
            <v>ELECTRONICS</v>
          </cell>
          <cell r="G1502" t="str">
            <v>East</v>
          </cell>
          <cell r="I1502" t="str">
            <v>2.6kg</v>
          </cell>
          <cell r="J1502" t="str">
            <v xml:space="preserve">Rs 131 </v>
          </cell>
          <cell r="K1502">
            <v>2</v>
          </cell>
          <cell r="L1502" t="str">
            <v>2024-06-20</v>
          </cell>
          <cell r="M1502" t="str">
            <v>Delayed</v>
          </cell>
          <cell r="N1502">
            <v>3</v>
          </cell>
          <cell r="O1502" t="str">
            <v>N</v>
          </cell>
        </row>
        <row r="1503">
          <cell r="A1503" t="str">
            <v>SHP-101306</v>
          </cell>
          <cell r="B1503" t="str">
            <v xml:space="preserve"> 04/06/2024 </v>
          </cell>
          <cell r="C1503" t="str">
            <v>kolkata</v>
          </cell>
          <cell r="D1503" t="str">
            <v>xpressbees</v>
          </cell>
          <cell r="E1503" t="str">
            <v>air</v>
          </cell>
          <cell r="F1503" t="str">
            <v xml:space="preserve"> ELECTRONICS </v>
          </cell>
          <cell r="G1503" t="str">
            <v>east</v>
          </cell>
          <cell r="I1503" t="str">
            <v>5.7kg</v>
          </cell>
          <cell r="J1503" t="str">
            <v>247</v>
          </cell>
          <cell r="K1503">
            <v>2</v>
          </cell>
          <cell r="L1503" t="str">
            <v>08/06/2024</v>
          </cell>
          <cell r="M1503" t="str">
            <v xml:space="preserve">delayed </v>
          </cell>
          <cell r="N1503">
            <v>4</v>
          </cell>
          <cell r="O1503" t="str">
            <v xml:space="preserve">yes </v>
          </cell>
        </row>
        <row r="1504">
          <cell r="A1504" t="str">
            <v>SHP-101244</v>
          </cell>
          <cell r="B1504" t="str">
            <v>19/04/2024</v>
          </cell>
          <cell r="C1504" t="str">
            <v>MUMBAI</v>
          </cell>
          <cell r="D1504" t="str">
            <v>DELHIVERY</v>
          </cell>
          <cell r="E1504" t="str">
            <v>surface</v>
          </cell>
          <cell r="F1504" t="str">
            <v xml:space="preserve"> ELECTRONICS </v>
          </cell>
          <cell r="G1504" t="str">
            <v>North</v>
          </cell>
          <cell r="I1504" t="str">
            <v>2.5kg</v>
          </cell>
          <cell r="J1504" t="str">
            <v xml:space="preserve">Rs 197 </v>
          </cell>
          <cell r="K1504">
            <v>6</v>
          </cell>
          <cell r="L1504" t="str">
            <v>25-Apr-2024</v>
          </cell>
          <cell r="M1504" t="str">
            <v>DELIVERED</v>
          </cell>
          <cell r="N1504">
            <v>5</v>
          </cell>
          <cell r="O1504" t="str">
            <v xml:space="preserve"> No</v>
          </cell>
        </row>
        <row r="1505">
          <cell r="A1505" t="str">
            <v>SHP-101465</v>
          </cell>
          <cell r="B1505" t="str">
            <v xml:space="preserve"> 03/01/2024 </v>
          </cell>
          <cell r="C1505" t="str">
            <v xml:space="preserve"> HYDERABAD </v>
          </cell>
          <cell r="D1505" t="str">
            <v>DTDC</v>
          </cell>
          <cell r="E1505" t="str">
            <v>ROAD</v>
          </cell>
          <cell r="F1505" t="str">
            <v>Grocery &amp; FMCG</v>
          </cell>
          <cell r="G1505" t="str">
            <v>EAST</v>
          </cell>
          <cell r="I1505" t="str">
            <v>10.7KG</v>
          </cell>
          <cell r="J1505" t="str">
            <v>292</v>
          </cell>
          <cell r="K1505">
            <v>8</v>
          </cell>
          <cell r="L1505" t="str">
            <v>12-Jan-2024</v>
          </cell>
          <cell r="M1505" t="str">
            <v xml:space="preserve">delayed </v>
          </cell>
          <cell r="N1505">
            <v>4</v>
          </cell>
          <cell r="O1505" t="str">
            <v>no</v>
          </cell>
        </row>
        <row r="1506">
          <cell r="A1506" t="str">
            <v>SHP-101371</v>
          </cell>
          <cell r="B1506" t="str">
            <v xml:space="preserve"> 23/04/2024 </v>
          </cell>
          <cell r="C1506" t="str">
            <v xml:space="preserve">bengaluru </v>
          </cell>
          <cell r="D1506" t="str">
            <v>Blue Dart</v>
          </cell>
          <cell r="E1506" t="str">
            <v>Road</v>
          </cell>
          <cell r="F1506" t="str">
            <v>grocery  &amp; fmcg</v>
          </cell>
          <cell r="G1506" t="str">
            <v>West</v>
          </cell>
          <cell r="I1506" t="str">
            <v>16.1</v>
          </cell>
          <cell r="J1506" t="str">
            <v>₹427</v>
          </cell>
          <cell r="K1506">
            <v>8</v>
          </cell>
          <cell r="L1506" t="str">
            <v>01/05/2024</v>
          </cell>
          <cell r="M1506" t="str">
            <v>delivered</v>
          </cell>
          <cell r="N1506">
            <v>4</v>
          </cell>
          <cell r="O1506" t="str">
            <v>Y</v>
          </cell>
        </row>
        <row r="1507">
          <cell r="A1507" t="str">
            <v>SHP-101513</v>
          </cell>
          <cell r="B1507" t="str">
            <v>12-Apr-2024</v>
          </cell>
          <cell r="C1507" t="str">
            <v>KOLKATA</v>
          </cell>
          <cell r="D1507" t="str">
            <v>delhivery</v>
          </cell>
          <cell r="E1507" t="str">
            <v>AIR</v>
          </cell>
          <cell r="F1507" t="str">
            <v xml:space="preserve">electronics </v>
          </cell>
          <cell r="G1507" t="str">
            <v>west</v>
          </cell>
          <cell r="I1507" t="str">
            <v>4.4KG</v>
          </cell>
          <cell r="J1507" t="str">
            <v>₹377</v>
          </cell>
          <cell r="K1507">
            <v>4</v>
          </cell>
          <cell r="L1507" t="str">
            <v>15-Apr-2024</v>
          </cell>
          <cell r="M1507" t="str">
            <v>DELIVERED</v>
          </cell>
          <cell r="N1507">
            <v>4</v>
          </cell>
          <cell r="O1507" t="str">
            <v>N</v>
          </cell>
        </row>
        <row r="1508">
          <cell r="A1508" t="str">
            <v>SHP-100365</v>
          </cell>
          <cell r="B1508" t="str">
            <v>2024-01-09</v>
          </cell>
          <cell r="C1508" t="str">
            <v>Kolkata</v>
          </cell>
          <cell r="D1508" t="str">
            <v>dtdc</v>
          </cell>
          <cell r="E1508" t="str">
            <v xml:space="preserve">road </v>
          </cell>
          <cell r="F1508" t="str">
            <v xml:space="preserve">furniture </v>
          </cell>
          <cell r="G1508" t="str">
            <v>north</v>
          </cell>
          <cell r="I1508" t="str">
            <v>60.1KG</v>
          </cell>
          <cell r="J1508" t="str">
            <v xml:space="preserve">Rs 995 </v>
          </cell>
          <cell r="K1508">
            <v>8</v>
          </cell>
          <cell r="L1508" t="str">
            <v>2024-01-17</v>
          </cell>
          <cell r="M1508" t="str">
            <v>DELIVERED</v>
          </cell>
          <cell r="N1508">
            <v>5</v>
          </cell>
          <cell r="O1508" t="str">
            <v xml:space="preserve"> No</v>
          </cell>
        </row>
        <row r="1509">
          <cell r="A1509" t="str">
            <v>SHP-101018</v>
          </cell>
          <cell r="B1509" t="str">
            <v>19/04/2024</v>
          </cell>
          <cell r="C1509" t="str">
            <v>DELHI</v>
          </cell>
          <cell r="D1509" t="str">
            <v>Xpress Bees</v>
          </cell>
          <cell r="E1509" t="str">
            <v>Air</v>
          </cell>
          <cell r="F1509" t="str">
            <v>PHARMA</v>
          </cell>
          <cell r="G1509" t="str">
            <v xml:space="preserve"> SOUTH </v>
          </cell>
          <cell r="I1509" t="str">
            <v xml:space="preserve">2.9 Kg </v>
          </cell>
          <cell r="J1509" t="str">
            <v xml:space="preserve">Rs 266 </v>
          </cell>
          <cell r="K1509">
            <v>4</v>
          </cell>
          <cell r="L1509" t="str">
            <v>2024-05-02</v>
          </cell>
          <cell r="M1509" t="str">
            <v>DELAYED</v>
          </cell>
          <cell r="N1509">
            <v>2</v>
          </cell>
          <cell r="O1509" t="str">
            <v>N</v>
          </cell>
        </row>
        <row r="1510">
          <cell r="A1510" t="str">
            <v>SHP-101442</v>
          </cell>
          <cell r="B1510" t="str">
            <v>19-Jun-2024</v>
          </cell>
          <cell r="C1510" t="str">
            <v xml:space="preserve"> HYDERABAD </v>
          </cell>
          <cell r="D1510" t="str">
            <v>bluedart</v>
          </cell>
          <cell r="E1510" t="str">
            <v>road</v>
          </cell>
          <cell r="F1510" t="str">
            <v>Pharma</v>
          </cell>
          <cell r="G1510" t="str">
            <v>SOUTH</v>
          </cell>
          <cell r="I1510" t="str">
            <v xml:space="preserve">2.6 Kg </v>
          </cell>
          <cell r="J1510" t="str">
            <v>220</v>
          </cell>
          <cell r="K1510">
            <v>8</v>
          </cell>
          <cell r="L1510" t="str">
            <v xml:space="preserve"> 28/06/2024 </v>
          </cell>
          <cell r="M1510" t="str">
            <v xml:space="preserve"> Delayed</v>
          </cell>
          <cell r="N1510">
            <v>4</v>
          </cell>
          <cell r="O1510" t="str">
            <v>No</v>
          </cell>
        </row>
        <row r="1511">
          <cell r="A1511" t="str">
            <v>SHP-100044</v>
          </cell>
          <cell r="B1511" t="str">
            <v>17-Jun-2024</v>
          </cell>
          <cell r="C1511" t="str">
            <v xml:space="preserve"> DELHI </v>
          </cell>
          <cell r="D1511" t="str">
            <v>ECOM EXPRESS</v>
          </cell>
          <cell r="E1511" t="str">
            <v xml:space="preserve"> AIR </v>
          </cell>
          <cell r="F1511" t="str">
            <v>PHARMA</v>
          </cell>
          <cell r="G1511" t="str">
            <v>WEST</v>
          </cell>
          <cell r="I1511" t="str">
            <v>2.3kg</v>
          </cell>
          <cell r="J1511" t="str">
            <v>₹225</v>
          </cell>
          <cell r="K1511">
            <v>4</v>
          </cell>
          <cell r="L1511" t="str">
            <v>20/06/2024</v>
          </cell>
          <cell r="M1511" t="str">
            <v xml:space="preserve"> Delivered</v>
          </cell>
          <cell r="N1511">
            <v>4</v>
          </cell>
          <cell r="O1511" t="str">
            <v>No</v>
          </cell>
        </row>
        <row r="1512">
          <cell r="A1512" t="str">
            <v>SHP-100036</v>
          </cell>
          <cell r="B1512" t="str">
            <v>08/05/2024</v>
          </cell>
          <cell r="C1512" t="str">
            <v>Kolkata</v>
          </cell>
          <cell r="D1512" t="str">
            <v>Blue Dart</v>
          </cell>
          <cell r="E1512" t="str">
            <v xml:space="preserve">surface </v>
          </cell>
          <cell r="F1512" t="str">
            <v xml:space="preserve">  ELECTRONICS </v>
          </cell>
          <cell r="G1512" t="str">
            <v xml:space="preserve">south </v>
          </cell>
          <cell r="I1512" t="str">
            <v>1.1</v>
          </cell>
          <cell r="J1512" t="str">
            <v>₹190</v>
          </cell>
          <cell r="K1512">
            <v>6</v>
          </cell>
          <cell r="L1512" t="str">
            <v>14-May-2024</v>
          </cell>
          <cell r="M1512" t="str">
            <v xml:space="preserve">RETURNED </v>
          </cell>
          <cell r="O1512" t="str">
            <v>Y</v>
          </cell>
        </row>
        <row r="1513">
          <cell r="A1513" t="str">
            <v>SHP-100982</v>
          </cell>
          <cell r="B1513" t="str">
            <v>2024-03-21</v>
          </cell>
          <cell r="C1513" t="str">
            <v>BENGALURU</v>
          </cell>
          <cell r="D1513" t="str">
            <v xml:space="preserve">Dtdc </v>
          </cell>
          <cell r="E1513" t="str">
            <v xml:space="preserve">air </v>
          </cell>
          <cell r="F1513" t="str">
            <v>Apparel</v>
          </cell>
          <cell r="G1513" t="str">
            <v>EAST</v>
          </cell>
          <cell r="I1513" t="str">
            <v xml:space="preserve">3.9 Kg </v>
          </cell>
          <cell r="J1513" t="str">
            <v>₹384</v>
          </cell>
          <cell r="K1513">
            <v>4</v>
          </cell>
          <cell r="L1513" t="str">
            <v xml:space="preserve"> 01/04/2024 </v>
          </cell>
          <cell r="M1513" t="str">
            <v>Delayed</v>
          </cell>
          <cell r="N1513">
            <v>1</v>
          </cell>
          <cell r="O1513" t="str">
            <v>YES</v>
          </cell>
        </row>
        <row r="1514">
          <cell r="A1514" t="str">
            <v>SHP-100106</v>
          </cell>
          <cell r="B1514" t="str">
            <v xml:space="preserve"> 01/04/2024 </v>
          </cell>
          <cell r="C1514" t="str">
            <v xml:space="preserve"> CHENNAI </v>
          </cell>
          <cell r="D1514" t="str">
            <v>bluedart</v>
          </cell>
          <cell r="E1514" t="str">
            <v>Surface</v>
          </cell>
          <cell r="F1514" t="str">
            <v>Automotive  Parts</v>
          </cell>
          <cell r="G1514" t="str">
            <v>west</v>
          </cell>
          <cell r="I1514" t="str">
            <v xml:space="preserve">17.0 Kg </v>
          </cell>
          <cell r="J1514" t="str">
            <v xml:space="preserve">Rs 561 </v>
          </cell>
          <cell r="K1514">
            <v>6</v>
          </cell>
          <cell r="L1514" t="str">
            <v>07/04/2024</v>
          </cell>
          <cell r="M1514" t="str">
            <v>Delivered</v>
          </cell>
          <cell r="N1514">
            <v>4</v>
          </cell>
          <cell r="O1514" t="str">
            <v>no</v>
          </cell>
        </row>
        <row r="1515">
          <cell r="A1515" t="str">
            <v>SHP-100610</v>
          </cell>
          <cell r="B1515" t="str">
            <v>02/06/2024</v>
          </cell>
          <cell r="C1515" t="str">
            <v>KOLKATA</v>
          </cell>
          <cell r="D1515" t="str">
            <v>Delhivery</v>
          </cell>
          <cell r="E1515" t="str">
            <v xml:space="preserve">air </v>
          </cell>
          <cell r="F1515" t="str">
            <v xml:space="preserve"> APPAREL </v>
          </cell>
          <cell r="G1515" t="str">
            <v>SOUTH</v>
          </cell>
          <cell r="I1515" t="str">
            <v>5.5KG</v>
          </cell>
          <cell r="J1515" t="str">
            <v>₹409</v>
          </cell>
          <cell r="K1515">
            <v>4</v>
          </cell>
          <cell r="L1515" t="str">
            <v>08-Jun-2024</v>
          </cell>
          <cell r="M1515" t="str">
            <v xml:space="preserve"> Delayed</v>
          </cell>
          <cell r="N1515">
            <v>4</v>
          </cell>
          <cell r="O1515" t="str">
            <v xml:space="preserve">yes </v>
          </cell>
        </row>
        <row r="1516">
          <cell r="A1516" t="str">
            <v>SHP-101071</v>
          </cell>
          <cell r="B1516" t="str">
            <v>2024-02-14</v>
          </cell>
          <cell r="C1516" t="str">
            <v>Delhi</v>
          </cell>
          <cell r="D1516" t="str">
            <v xml:space="preserve">Dtdc </v>
          </cell>
          <cell r="E1516" t="str">
            <v>road</v>
          </cell>
          <cell r="F1516" t="str">
            <v>Pharma</v>
          </cell>
          <cell r="G1516" t="str">
            <v xml:space="preserve">south </v>
          </cell>
          <cell r="I1516" t="str">
            <v xml:space="preserve">4.9 Kg </v>
          </cell>
          <cell r="J1516" t="str">
            <v>269</v>
          </cell>
          <cell r="K1516">
            <v>8</v>
          </cell>
          <cell r="L1516" t="str">
            <v>22/02/2024</v>
          </cell>
          <cell r="M1516" t="str">
            <v>Delivered</v>
          </cell>
          <cell r="N1516">
            <v>3</v>
          </cell>
          <cell r="O1516" t="str">
            <v xml:space="preserve">yes </v>
          </cell>
        </row>
        <row r="1517">
          <cell r="A1517" t="str">
            <v>SHP-100942</v>
          </cell>
          <cell r="B1517" t="str">
            <v>28/04/2024</v>
          </cell>
          <cell r="C1517" t="str">
            <v xml:space="preserve"> DELHI </v>
          </cell>
          <cell r="D1517" t="str">
            <v>ECOM EXPRESS</v>
          </cell>
          <cell r="E1517" t="str">
            <v>surface</v>
          </cell>
          <cell r="F1517" t="str">
            <v>Electronics</v>
          </cell>
          <cell r="G1517" t="str">
            <v>South</v>
          </cell>
          <cell r="I1517" t="str">
            <v>12.9KG</v>
          </cell>
          <cell r="J1517" t="str">
            <v xml:space="preserve">Rs 471 </v>
          </cell>
          <cell r="K1517">
            <v>6</v>
          </cell>
          <cell r="L1517" t="str">
            <v>05/05/2024</v>
          </cell>
          <cell r="M1517" t="str">
            <v xml:space="preserve"> Delayed</v>
          </cell>
          <cell r="N1517">
            <v>4</v>
          </cell>
          <cell r="O1517" t="str">
            <v>no</v>
          </cell>
        </row>
        <row r="1518">
          <cell r="A1518" t="str">
            <v>SHP-100394</v>
          </cell>
          <cell r="B1518" t="str">
            <v>16/03/2024</v>
          </cell>
          <cell r="C1518" t="str">
            <v>Chennai</v>
          </cell>
          <cell r="D1518" t="str">
            <v>Xpress Bees</v>
          </cell>
          <cell r="E1518" t="str">
            <v>air</v>
          </cell>
          <cell r="F1518" t="str">
            <v xml:space="preserve">  FURNITURE </v>
          </cell>
          <cell r="G1518" t="str">
            <v xml:space="preserve"> EAST </v>
          </cell>
          <cell r="I1518" t="str">
            <v xml:space="preserve">16.8 Kg </v>
          </cell>
          <cell r="J1518" t="str">
            <v>933</v>
          </cell>
          <cell r="K1518">
            <v>4</v>
          </cell>
          <cell r="L1518" t="str">
            <v>2024-03-20</v>
          </cell>
          <cell r="M1518" t="str">
            <v>Delivered</v>
          </cell>
          <cell r="N1518">
            <v>3</v>
          </cell>
          <cell r="O1518" t="str">
            <v>No</v>
          </cell>
        </row>
        <row r="1519">
          <cell r="A1519" t="str">
            <v>SHP-101117</v>
          </cell>
          <cell r="B1519" t="str">
            <v xml:space="preserve"> 22/01/2024 </v>
          </cell>
          <cell r="C1519" t="str">
            <v>Mumbai</v>
          </cell>
          <cell r="D1519" t="str">
            <v>bluedart</v>
          </cell>
          <cell r="E1519" t="str">
            <v>Road</v>
          </cell>
          <cell r="F1519" t="str">
            <v xml:space="preserve"> AUTOMOTIVE PARTS </v>
          </cell>
          <cell r="G1519" t="str">
            <v xml:space="preserve">east </v>
          </cell>
          <cell r="I1519" t="str">
            <v>14.8kg</v>
          </cell>
          <cell r="J1519" t="str">
            <v>₹359</v>
          </cell>
          <cell r="K1519">
            <v>8</v>
          </cell>
          <cell r="L1519" t="str">
            <v xml:space="preserve"> 31/01/2024 </v>
          </cell>
          <cell r="M1519" t="str">
            <v>DELAYED</v>
          </cell>
          <cell r="N1519">
            <v>5</v>
          </cell>
          <cell r="O1519" t="str">
            <v>no</v>
          </cell>
        </row>
        <row r="1520">
          <cell r="A1520" t="str">
            <v>SHP-101397</v>
          </cell>
          <cell r="B1520" t="str">
            <v>06-Apr-2024</v>
          </cell>
          <cell r="C1520" t="str">
            <v>Chennai</v>
          </cell>
          <cell r="D1520" t="str">
            <v>Xpress Bees</v>
          </cell>
          <cell r="E1520" t="str">
            <v xml:space="preserve"> ROAD </v>
          </cell>
          <cell r="F1520" t="str">
            <v>grocery &amp; fmcg</v>
          </cell>
          <cell r="G1520" t="str">
            <v xml:space="preserve"> NORTH </v>
          </cell>
          <cell r="I1520" t="str">
            <v>8.6</v>
          </cell>
          <cell r="J1520" t="str">
            <v xml:space="preserve">Rs 259 </v>
          </cell>
          <cell r="K1520">
            <v>8</v>
          </cell>
          <cell r="L1520" t="str">
            <v>14/04/2024</v>
          </cell>
          <cell r="M1520" t="str">
            <v>Delivered</v>
          </cell>
          <cell r="N1520">
            <v>4</v>
          </cell>
          <cell r="O1520" t="str">
            <v>Yes</v>
          </cell>
        </row>
        <row r="1521">
          <cell r="A1521" t="str">
            <v>SHP-101464</v>
          </cell>
          <cell r="B1521" t="str">
            <v>13-May-2024</v>
          </cell>
          <cell r="C1521" t="str">
            <v xml:space="preserve">chennai </v>
          </cell>
          <cell r="D1521" t="str">
            <v>delhivery</v>
          </cell>
          <cell r="E1521" t="str">
            <v xml:space="preserve"> SURFACE </v>
          </cell>
          <cell r="F1521" t="str">
            <v>automotive parts</v>
          </cell>
          <cell r="G1521" t="str">
            <v>South</v>
          </cell>
          <cell r="I1521" t="str">
            <v>21.5kg</v>
          </cell>
          <cell r="J1521" t="str">
            <v>449</v>
          </cell>
          <cell r="K1521">
            <v>4</v>
          </cell>
          <cell r="L1521" t="str">
            <v>17-May-2024</v>
          </cell>
          <cell r="M1521" t="str">
            <v xml:space="preserve"> Delivered</v>
          </cell>
          <cell r="N1521">
            <v>3</v>
          </cell>
          <cell r="O1521" t="str">
            <v xml:space="preserve"> No</v>
          </cell>
        </row>
        <row r="1522">
          <cell r="A1522" t="str">
            <v>SHP-100250</v>
          </cell>
          <cell r="B1522" t="str">
            <v>20-Jan-2024</v>
          </cell>
          <cell r="C1522" t="str">
            <v xml:space="preserve">hyderabad </v>
          </cell>
          <cell r="D1522" t="str">
            <v xml:space="preserve">Dtdc </v>
          </cell>
          <cell r="E1522" t="str">
            <v>Surface</v>
          </cell>
          <cell r="F1522" t="str">
            <v>Electronics</v>
          </cell>
          <cell r="G1522" t="str">
            <v>EAST</v>
          </cell>
          <cell r="I1522" t="str">
            <v xml:space="preserve">13.0 Kg </v>
          </cell>
          <cell r="J1522" t="str">
            <v>431</v>
          </cell>
          <cell r="K1522">
            <v>6</v>
          </cell>
          <cell r="L1522" t="str">
            <v>03-Feb-2024</v>
          </cell>
          <cell r="M1522" t="str">
            <v xml:space="preserve">delayed </v>
          </cell>
          <cell r="N1522">
            <v>1</v>
          </cell>
          <cell r="O1522" t="str">
            <v>no</v>
          </cell>
        </row>
        <row r="1523">
          <cell r="A1523" t="str">
            <v>SHP-100917</v>
          </cell>
          <cell r="B1523" t="str">
            <v>24/03/2024</v>
          </cell>
          <cell r="C1523" t="str">
            <v xml:space="preserve">kolkata </v>
          </cell>
          <cell r="D1523" t="str">
            <v>delhivery</v>
          </cell>
          <cell r="E1523" t="str">
            <v>air</v>
          </cell>
          <cell r="F1523" t="str">
            <v xml:space="preserve">furniture </v>
          </cell>
          <cell r="G1523" t="str">
            <v>WEST</v>
          </cell>
          <cell r="I1523" t="str">
            <v>58.4</v>
          </cell>
          <cell r="J1523" t="str">
            <v>2,761</v>
          </cell>
          <cell r="K1523">
            <v>4</v>
          </cell>
          <cell r="L1523" t="str">
            <v>29-Mar-2024</v>
          </cell>
          <cell r="M1523" t="str">
            <v>DELAYED</v>
          </cell>
          <cell r="N1523">
            <v>3</v>
          </cell>
          <cell r="O1523" t="str">
            <v>N</v>
          </cell>
        </row>
        <row r="1524">
          <cell r="I1524" t="str">
            <v>0.9KG</v>
          </cell>
        </row>
        <row r="1525">
          <cell r="A1525" t="str">
            <v>SHP-101446</v>
          </cell>
          <cell r="B1525" t="str">
            <v>27-Feb-2024</v>
          </cell>
          <cell r="C1525" t="str">
            <v>hyderabad</v>
          </cell>
          <cell r="D1525" t="str">
            <v>Ecom  Express</v>
          </cell>
          <cell r="E1525" t="str">
            <v xml:space="preserve"> SURFACE </v>
          </cell>
          <cell r="F1525" t="str">
            <v xml:space="preserve">grocery &amp; fmcg </v>
          </cell>
          <cell r="G1525" t="str">
            <v>East</v>
          </cell>
          <cell r="I1525" t="str">
            <v xml:space="preserve">14.8 Kg </v>
          </cell>
          <cell r="J1525" t="str">
            <v>511</v>
          </cell>
          <cell r="K1525">
            <v>6</v>
          </cell>
          <cell r="L1525" t="str">
            <v xml:space="preserve"> 05/03/2024 </v>
          </cell>
          <cell r="M1525" t="str">
            <v xml:space="preserve">delayed </v>
          </cell>
          <cell r="N1525">
            <v>2</v>
          </cell>
          <cell r="O1525" t="str">
            <v>N</v>
          </cell>
        </row>
        <row r="1526">
          <cell r="A1526" t="str">
            <v>SHP-100416</v>
          </cell>
          <cell r="B1526" t="str">
            <v>25/05/2024</v>
          </cell>
          <cell r="C1526" t="str">
            <v>MUMBAI</v>
          </cell>
          <cell r="D1526" t="str">
            <v>ecom express</v>
          </cell>
          <cell r="E1526" t="str">
            <v>AIR</v>
          </cell>
          <cell r="F1526" t="str">
            <v xml:space="preserve"> PHARMA </v>
          </cell>
          <cell r="G1526" t="str">
            <v xml:space="preserve"> EAST </v>
          </cell>
          <cell r="I1526" t="str">
            <v>2.8</v>
          </cell>
          <cell r="J1526" t="str">
            <v xml:space="preserve">Rs 321 </v>
          </cell>
          <cell r="K1526">
            <v>4</v>
          </cell>
          <cell r="L1526" t="str">
            <v>28-May-2024</v>
          </cell>
          <cell r="M1526" t="str">
            <v>DELIVERED</v>
          </cell>
          <cell r="N1526">
            <v>4</v>
          </cell>
          <cell r="O1526" t="str">
            <v>no</v>
          </cell>
        </row>
        <row r="1527">
          <cell r="A1527" t="str">
            <v>SHP-100252</v>
          </cell>
          <cell r="B1527" t="str">
            <v>14/05/2024</v>
          </cell>
          <cell r="C1527" t="str">
            <v>hyderabad</v>
          </cell>
          <cell r="D1527" t="str">
            <v>ECOM EXPRESS</v>
          </cell>
          <cell r="E1527" t="str">
            <v>air</v>
          </cell>
          <cell r="F1527" t="str">
            <v xml:space="preserve">grocery &amp; fmcg </v>
          </cell>
          <cell r="G1527" t="str">
            <v xml:space="preserve">south </v>
          </cell>
          <cell r="I1527" t="str">
            <v xml:space="preserve">14.6 Kg </v>
          </cell>
          <cell r="J1527" t="str">
            <v>863</v>
          </cell>
          <cell r="K1527">
            <v>4</v>
          </cell>
          <cell r="L1527" t="str">
            <v>18/05/2024</v>
          </cell>
          <cell r="M1527" t="str">
            <v>delivered</v>
          </cell>
          <cell r="N1527">
            <v>4</v>
          </cell>
          <cell r="O1527" t="str">
            <v>N</v>
          </cell>
        </row>
        <row r="1528">
          <cell r="A1528" t="str">
            <v>SHP-100288</v>
          </cell>
          <cell r="B1528" t="str">
            <v>05-Mar-2024</v>
          </cell>
          <cell r="C1528" t="str">
            <v>Hyderabad</v>
          </cell>
          <cell r="D1528" t="str">
            <v>bluedart</v>
          </cell>
          <cell r="E1528" t="str">
            <v xml:space="preserve"> AIR </v>
          </cell>
          <cell r="F1528" t="str">
            <v xml:space="preserve">grocery  &amp; fmcg </v>
          </cell>
          <cell r="G1528" t="str">
            <v xml:space="preserve">south </v>
          </cell>
          <cell r="I1528" t="str">
            <v>17.6kg</v>
          </cell>
          <cell r="J1528" t="str">
            <v>970</v>
          </cell>
          <cell r="K1528">
            <v>4</v>
          </cell>
          <cell r="L1528" t="str">
            <v xml:space="preserve"> 13/03/2024 </v>
          </cell>
          <cell r="M1528" t="str">
            <v>Delayed</v>
          </cell>
          <cell r="N1528">
            <v>3</v>
          </cell>
          <cell r="O1528" t="str">
            <v>Yes</v>
          </cell>
        </row>
        <row r="1529">
          <cell r="A1529" t="str">
            <v>SHP-100671</v>
          </cell>
          <cell r="B1529" t="str">
            <v>01/06/2024</v>
          </cell>
          <cell r="C1529" t="str">
            <v xml:space="preserve">bengaluru </v>
          </cell>
          <cell r="D1529" t="str">
            <v>ECOM EXPRESS</v>
          </cell>
          <cell r="E1529" t="str">
            <v>air</v>
          </cell>
          <cell r="F1529" t="str">
            <v xml:space="preserve">apparel </v>
          </cell>
          <cell r="G1529" t="str">
            <v>West</v>
          </cell>
          <cell r="I1529" t="str">
            <v>1.2KG</v>
          </cell>
          <cell r="J1529" t="str">
            <v xml:space="preserve">Rs 229 </v>
          </cell>
          <cell r="K1529">
            <v>4</v>
          </cell>
          <cell r="L1529" t="str">
            <v>06/06/2024</v>
          </cell>
          <cell r="M1529" t="str">
            <v>DELAYED</v>
          </cell>
          <cell r="N1529">
            <v>4</v>
          </cell>
          <cell r="O1529" t="str">
            <v xml:space="preserve">yes </v>
          </cell>
        </row>
        <row r="1530">
          <cell r="A1530" t="str">
            <v>SHP-101256</v>
          </cell>
          <cell r="B1530" t="str">
            <v xml:space="preserve"> 25/05/2024 </v>
          </cell>
          <cell r="C1530" t="str">
            <v xml:space="preserve">hyderabad </v>
          </cell>
          <cell r="D1530" t="str">
            <v>DELHIVERY</v>
          </cell>
          <cell r="E1530" t="str">
            <v xml:space="preserve"> SURFACE </v>
          </cell>
          <cell r="F1530" t="str">
            <v xml:space="preserve"> PHARMA </v>
          </cell>
          <cell r="G1530" t="str">
            <v>WEST</v>
          </cell>
          <cell r="I1530" t="str">
            <v>1.4KG</v>
          </cell>
          <cell r="J1530" t="str">
            <v>80</v>
          </cell>
          <cell r="K1530">
            <v>4</v>
          </cell>
          <cell r="L1530" t="str">
            <v xml:space="preserve"> 30/05/2024 </v>
          </cell>
          <cell r="M1530" t="str">
            <v>Delayed</v>
          </cell>
          <cell r="N1530">
            <v>1</v>
          </cell>
          <cell r="O1530" t="str">
            <v>N</v>
          </cell>
        </row>
        <row r="1531">
          <cell r="A1531" t="str">
            <v>SHP-100032</v>
          </cell>
          <cell r="B1531" t="str">
            <v xml:space="preserve"> 25/05/2024 </v>
          </cell>
          <cell r="C1531" t="str">
            <v>chennai</v>
          </cell>
          <cell r="D1531" t="str">
            <v xml:space="preserve">Dtdc </v>
          </cell>
          <cell r="E1531" t="str">
            <v xml:space="preserve">air </v>
          </cell>
          <cell r="F1531" t="str">
            <v>Furniture</v>
          </cell>
          <cell r="G1531" t="str">
            <v>East</v>
          </cell>
          <cell r="I1531" t="str">
            <v>69.6KG</v>
          </cell>
          <cell r="J1531" t="str">
            <v>3,283</v>
          </cell>
          <cell r="K1531">
            <v>4</v>
          </cell>
          <cell r="L1531" t="str">
            <v>30/05/2024</v>
          </cell>
          <cell r="M1531" t="str">
            <v xml:space="preserve">delayed </v>
          </cell>
          <cell r="N1531">
            <v>3</v>
          </cell>
          <cell r="O1531" t="str">
            <v>no</v>
          </cell>
        </row>
        <row r="1532">
          <cell r="A1532" t="str">
            <v>SHP-100197</v>
          </cell>
          <cell r="B1532" t="str">
            <v>2024-03-04</v>
          </cell>
          <cell r="C1532" t="str">
            <v xml:space="preserve"> BENGALURU </v>
          </cell>
          <cell r="D1532" t="str">
            <v xml:space="preserve">BLUEDART </v>
          </cell>
          <cell r="E1532" t="str">
            <v>surface</v>
          </cell>
          <cell r="F1532" t="str">
            <v>FURNITURE</v>
          </cell>
          <cell r="G1532" t="str">
            <v>north</v>
          </cell>
          <cell r="I1532" t="str">
            <v xml:space="preserve">47.3 Kg </v>
          </cell>
          <cell r="J1532" t="str">
            <v>1,194</v>
          </cell>
          <cell r="K1532">
            <v>6</v>
          </cell>
          <cell r="L1532" t="str">
            <v>2024-03-11</v>
          </cell>
          <cell r="M1532" t="str">
            <v xml:space="preserve">delayed </v>
          </cell>
          <cell r="N1532">
            <v>1</v>
          </cell>
          <cell r="O1532" t="str">
            <v>no</v>
          </cell>
        </row>
        <row r="1533">
          <cell r="A1533" t="str">
            <v>SHP-100205</v>
          </cell>
          <cell r="B1533" t="str">
            <v>2024-05-09</v>
          </cell>
          <cell r="C1533" t="str">
            <v>Kolkata</v>
          </cell>
          <cell r="D1533" t="str">
            <v>Ecom  Express</v>
          </cell>
          <cell r="E1533" t="str">
            <v>Road</v>
          </cell>
          <cell r="F1533" t="str">
            <v xml:space="preserve">apparel  </v>
          </cell>
          <cell r="G1533" t="str">
            <v>East</v>
          </cell>
          <cell r="I1533" t="str">
            <v>7.8</v>
          </cell>
          <cell r="J1533" t="str">
            <v xml:space="preserve">Rs 155 </v>
          </cell>
          <cell r="K1533">
            <v>6</v>
          </cell>
          <cell r="L1533" t="str">
            <v>16-May-2024</v>
          </cell>
          <cell r="M1533" t="str">
            <v>DELAYED</v>
          </cell>
          <cell r="N1533">
            <v>4</v>
          </cell>
          <cell r="O1533" t="str">
            <v>N</v>
          </cell>
        </row>
        <row r="1534">
          <cell r="A1534" t="str">
            <v>SHP-100141</v>
          </cell>
          <cell r="B1534" t="str">
            <v>03/02/2024</v>
          </cell>
          <cell r="C1534" t="str">
            <v>Delhi</v>
          </cell>
          <cell r="D1534" t="str">
            <v>xpressbees</v>
          </cell>
          <cell r="E1534" t="str">
            <v>Surface</v>
          </cell>
          <cell r="F1534" t="str">
            <v>grocery &amp; fmcg</v>
          </cell>
          <cell r="G1534" t="str">
            <v>WEST</v>
          </cell>
          <cell r="I1534" t="str">
            <v>10.4</v>
          </cell>
          <cell r="J1534" t="str">
            <v xml:space="preserve">Rs 405 </v>
          </cell>
          <cell r="K1534">
            <v>6</v>
          </cell>
          <cell r="L1534" t="str">
            <v xml:space="preserve"> 08/02/2024 </v>
          </cell>
          <cell r="M1534" t="str">
            <v>Delivered</v>
          </cell>
          <cell r="N1534">
            <v>4</v>
          </cell>
          <cell r="O1534" t="str">
            <v>YES</v>
          </cell>
        </row>
        <row r="1535">
          <cell r="A1535" t="str">
            <v>SHP-101040</v>
          </cell>
          <cell r="B1535" t="str">
            <v xml:space="preserve"> 02/04/2024 </v>
          </cell>
          <cell r="C1535" t="str">
            <v>hyderabad</v>
          </cell>
          <cell r="D1535" t="str">
            <v>Delhivery</v>
          </cell>
          <cell r="E1535" t="str">
            <v xml:space="preserve">air </v>
          </cell>
          <cell r="F1535" t="str">
            <v>Pharma</v>
          </cell>
          <cell r="G1535" t="str">
            <v xml:space="preserve">east </v>
          </cell>
          <cell r="I1535" t="str">
            <v>3.7</v>
          </cell>
          <cell r="J1535" t="str">
            <v>₹330</v>
          </cell>
          <cell r="K1535">
            <v>4</v>
          </cell>
          <cell r="L1535" t="str">
            <v>06-Apr-2024</v>
          </cell>
          <cell r="M1535" t="str">
            <v>delivered</v>
          </cell>
          <cell r="N1535">
            <v>4</v>
          </cell>
          <cell r="O1535" t="str">
            <v xml:space="preserve">yes </v>
          </cell>
        </row>
        <row r="1536">
          <cell r="A1536" t="str">
            <v>SHP-101307</v>
          </cell>
          <cell r="B1536" t="str">
            <v>26/03/2024</v>
          </cell>
          <cell r="C1536" t="str">
            <v>mumbai</v>
          </cell>
          <cell r="D1536" t="str">
            <v>Xpress Bees</v>
          </cell>
          <cell r="E1536" t="str">
            <v>Road</v>
          </cell>
          <cell r="F1536" t="str">
            <v xml:space="preserve"> FURNITURE </v>
          </cell>
          <cell r="G1536" t="str">
            <v>west</v>
          </cell>
          <cell r="I1536" t="str">
            <v>33.6kg</v>
          </cell>
          <cell r="J1536" t="str">
            <v xml:space="preserve">Rs 477 </v>
          </cell>
          <cell r="K1536">
            <v>6</v>
          </cell>
          <cell r="L1536" t="str">
            <v>31-Mar-2024</v>
          </cell>
          <cell r="M1536" t="str">
            <v xml:space="preserve"> Delivered</v>
          </cell>
          <cell r="N1536">
            <v>4</v>
          </cell>
          <cell r="O1536" t="str">
            <v>Y</v>
          </cell>
        </row>
        <row r="1537">
          <cell r="A1537" t="str">
            <v>SHP-100905</v>
          </cell>
          <cell r="B1537" t="str">
            <v>2024-05-24</v>
          </cell>
          <cell r="C1537" t="str">
            <v xml:space="preserve"> MUMBAI </v>
          </cell>
          <cell r="D1537" t="str">
            <v>ecom express</v>
          </cell>
          <cell r="E1537" t="str">
            <v xml:space="preserve">air </v>
          </cell>
          <cell r="F1537" t="str">
            <v>electronics</v>
          </cell>
          <cell r="G1537" t="str">
            <v>west</v>
          </cell>
          <cell r="I1537" t="str">
            <v>15.0KG</v>
          </cell>
          <cell r="J1537" t="str">
            <v xml:space="preserve">Rs 708 </v>
          </cell>
          <cell r="K1537">
            <v>2</v>
          </cell>
          <cell r="L1537" t="str">
            <v>26-May-2024</v>
          </cell>
          <cell r="M1537" t="str">
            <v>Delivered</v>
          </cell>
          <cell r="N1537">
            <v>5</v>
          </cell>
          <cell r="O1537" t="str">
            <v xml:space="preserve"> No</v>
          </cell>
        </row>
        <row r="1538">
          <cell r="A1538" t="str">
            <v>SHP-100542</v>
          </cell>
          <cell r="B1538" t="str">
            <v xml:space="preserve"> 24/01/2024 </v>
          </cell>
          <cell r="C1538" t="str">
            <v>Mumbai</v>
          </cell>
          <cell r="D1538" t="str">
            <v>Ecom  Express</v>
          </cell>
          <cell r="E1538" t="str">
            <v>ROAD</v>
          </cell>
          <cell r="F1538" t="str">
            <v xml:space="preserve">furniture </v>
          </cell>
          <cell r="G1538" t="str">
            <v xml:space="preserve">south </v>
          </cell>
          <cell r="I1538" t="str">
            <v xml:space="preserve">42.2 Kg </v>
          </cell>
          <cell r="J1538" t="str">
            <v>722</v>
          </cell>
          <cell r="K1538">
            <v>8</v>
          </cell>
          <cell r="L1538" t="str">
            <v>02-Feb-2024</v>
          </cell>
          <cell r="M1538" t="str">
            <v>DELAYED</v>
          </cell>
          <cell r="N1538">
            <v>2</v>
          </cell>
          <cell r="O1538" t="str">
            <v>no</v>
          </cell>
        </row>
        <row r="1539">
          <cell r="A1539" t="str">
            <v>SHP-100951</v>
          </cell>
          <cell r="B1539" t="str">
            <v>07/01/2024</v>
          </cell>
          <cell r="C1539" t="str">
            <v>CHENNAI</v>
          </cell>
          <cell r="D1539" t="str">
            <v xml:space="preserve"> XPRESSBEES</v>
          </cell>
          <cell r="E1539" t="str">
            <v>Air</v>
          </cell>
          <cell r="F1539" t="str">
            <v>automotive  parts</v>
          </cell>
          <cell r="G1539" t="str">
            <v>NORTH</v>
          </cell>
          <cell r="I1539" t="str">
            <v>22.3kg</v>
          </cell>
          <cell r="J1539" t="str">
            <v>1,186</v>
          </cell>
          <cell r="K1539">
            <v>4</v>
          </cell>
          <cell r="L1539" t="str">
            <v>12/01/2024</v>
          </cell>
          <cell r="M1539" t="str">
            <v>DELAYED</v>
          </cell>
          <cell r="N1539">
            <v>2</v>
          </cell>
          <cell r="O1539" t="str">
            <v>no</v>
          </cell>
        </row>
        <row r="1540">
          <cell r="A1540" t="str">
            <v>SHP-100908</v>
          </cell>
          <cell r="B1540" t="str">
            <v>2024-02-27</v>
          </cell>
          <cell r="C1540" t="str">
            <v>Kolkata</v>
          </cell>
          <cell r="D1540" t="str">
            <v xml:space="preserve"> DTDC</v>
          </cell>
          <cell r="E1540" t="str">
            <v>AIR</v>
          </cell>
          <cell r="F1540" t="str">
            <v xml:space="preserve">  FURNITURE </v>
          </cell>
          <cell r="G1540" t="str">
            <v>south</v>
          </cell>
          <cell r="I1540" t="str">
            <v xml:space="preserve">24.3 Kg </v>
          </cell>
          <cell r="J1540" t="str">
            <v xml:space="preserve">Rs 1281 </v>
          </cell>
          <cell r="K1540">
            <v>4</v>
          </cell>
          <cell r="L1540" t="str">
            <v xml:space="preserve"> 02/03/2024 </v>
          </cell>
          <cell r="M1540" t="str">
            <v>DELIVERED</v>
          </cell>
          <cell r="N1540">
            <v>5</v>
          </cell>
          <cell r="O1540" t="str">
            <v>No</v>
          </cell>
        </row>
        <row r="1541">
          <cell r="A1541" t="str">
            <v>SHP-100813</v>
          </cell>
          <cell r="B1541" t="str">
            <v>19/05/2024</v>
          </cell>
          <cell r="C1541" t="str">
            <v>Chennai</v>
          </cell>
          <cell r="D1541" t="str">
            <v>ecom express</v>
          </cell>
          <cell r="E1541" t="str">
            <v>Road</v>
          </cell>
          <cell r="F1541" t="str">
            <v xml:space="preserve">  AUTOMOTIVE PARTS </v>
          </cell>
          <cell r="G1541" t="str">
            <v xml:space="preserve">east </v>
          </cell>
          <cell r="I1541" t="str">
            <v xml:space="preserve">13.6 Kg </v>
          </cell>
          <cell r="J1541" t="str">
            <v>₹366</v>
          </cell>
          <cell r="K1541">
            <v>8</v>
          </cell>
          <cell r="L1541" t="str">
            <v>26/05/2024</v>
          </cell>
          <cell r="M1541" t="str">
            <v>Returned</v>
          </cell>
          <cell r="O1541" t="str">
            <v xml:space="preserve">yes </v>
          </cell>
        </row>
        <row r="1542">
          <cell r="A1542" t="str">
            <v>SHP-100047</v>
          </cell>
          <cell r="B1542" t="str">
            <v>2024-03-18</v>
          </cell>
          <cell r="C1542" t="str">
            <v>Chennai</v>
          </cell>
          <cell r="D1542" t="str">
            <v>DELHIVERY</v>
          </cell>
          <cell r="E1542" t="str">
            <v>Surface</v>
          </cell>
          <cell r="F1542" t="str">
            <v>GROCERY &amp; FMCG</v>
          </cell>
          <cell r="G1542" t="str">
            <v>WEST</v>
          </cell>
          <cell r="I1542" t="str">
            <v>3.5</v>
          </cell>
          <cell r="J1542" t="str">
            <v>223</v>
          </cell>
          <cell r="K1542">
            <v>6</v>
          </cell>
          <cell r="L1542" t="str">
            <v>23-Mar-2024</v>
          </cell>
          <cell r="M1542" t="str">
            <v xml:space="preserve"> Delivered</v>
          </cell>
          <cell r="N1542">
            <v>4</v>
          </cell>
          <cell r="O1542" t="str">
            <v>no</v>
          </cell>
        </row>
        <row r="1543">
          <cell r="A1543" t="str">
            <v>SHP-100262</v>
          </cell>
          <cell r="B1543" t="str">
            <v>05-Feb-2024</v>
          </cell>
          <cell r="C1543" t="str">
            <v xml:space="preserve"> BENGALURU </v>
          </cell>
          <cell r="D1543" t="str">
            <v>BlueDart</v>
          </cell>
          <cell r="E1543" t="str">
            <v xml:space="preserve"> AIR </v>
          </cell>
          <cell r="F1543" t="str">
            <v xml:space="preserve"> APPAREL </v>
          </cell>
          <cell r="G1543" t="str">
            <v>East</v>
          </cell>
          <cell r="I1543" t="str">
            <v>5.5KG</v>
          </cell>
          <cell r="J1543" t="str">
            <v>372</v>
          </cell>
          <cell r="K1543">
            <v>4</v>
          </cell>
          <cell r="L1543" t="str">
            <v xml:space="preserve"> 08/02/2024 </v>
          </cell>
          <cell r="M1543" t="str">
            <v>delivered</v>
          </cell>
          <cell r="N1543">
            <v>5</v>
          </cell>
          <cell r="O1543" t="str">
            <v>Yes</v>
          </cell>
        </row>
        <row r="1544">
          <cell r="A1544" t="str">
            <v>SHP-100650</v>
          </cell>
          <cell r="B1544" t="str">
            <v xml:space="preserve"> 17/03/2024 </v>
          </cell>
          <cell r="C1544" t="str">
            <v xml:space="preserve"> KOLKATA </v>
          </cell>
          <cell r="D1544" t="str">
            <v>DELHIVERY</v>
          </cell>
          <cell r="E1544" t="str">
            <v xml:space="preserve">surface </v>
          </cell>
          <cell r="F1544" t="str">
            <v>PHARMA</v>
          </cell>
          <cell r="G1544" t="str">
            <v xml:space="preserve">east </v>
          </cell>
          <cell r="I1544" t="str">
            <v xml:space="preserve">1.1 Kg </v>
          </cell>
          <cell r="J1544" t="str">
            <v>₹80</v>
          </cell>
          <cell r="K1544">
            <v>4</v>
          </cell>
          <cell r="L1544" t="str">
            <v>2024-03-27</v>
          </cell>
          <cell r="M1544" t="str">
            <v>DELAYED</v>
          </cell>
          <cell r="N1544">
            <v>1</v>
          </cell>
          <cell r="O1544" t="str">
            <v>Yes</v>
          </cell>
        </row>
        <row r="1545">
          <cell r="A1545" t="str">
            <v>SHP-101052</v>
          </cell>
          <cell r="B1545" t="str">
            <v xml:space="preserve"> 05/01/2024 </v>
          </cell>
          <cell r="C1545" t="str">
            <v>Bengaluru</v>
          </cell>
          <cell r="D1545" t="str">
            <v xml:space="preserve"> Delhivery</v>
          </cell>
          <cell r="E1545" t="str">
            <v>surface</v>
          </cell>
          <cell r="F1545" t="str">
            <v>electronics</v>
          </cell>
          <cell r="G1545" t="str">
            <v>south</v>
          </cell>
          <cell r="I1545" t="str">
            <v xml:space="preserve">4.1 Kg </v>
          </cell>
          <cell r="J1545" t="str">
            <v>₹112</v>
          </cell>
          <cell r="K1545">
            <v>4</v>
          </cell>
          <cell r="L1545" t="str">
            <v xml:space="preserve"> 12/01/2024 </v>
          </cell>
          <cell r="M1545" t="str">
            <v xml:space="preserve">delayed </v>
          </cell>
          <cell r="N1545">
            <v>2</v>
          </cell>
          <cell r="O1545" t="str">
            <v>Yes</v>
          </cell>
        </row>
        <row r="1546">
          <cell r="A1546" t="str">
            <v>SHP-100123</v>
          </cell>
          <cell r="B1546" t="str">
            <v>2024-05-07</v>
          </cell>
          <cell r="C1546" t="str">
            <v xml:space="preserve"> KOLKATA </v>
          </cell>
          <cell r="D1546" t="str">
            <v>XpressBees</v>
          </cell>
          <cell r="E1546" t="str">
            <v>Road</v>
          </cell>
          <cell r="F1546" t="str">
            <v>PHARMA</v>
          </cell>
          <cell r="G1546" t="str">
            <v>WEST</v>
          </cell>
          <cell r="I1546" t="str">
            <v>2.2</v>
          </cell>
          <cell r="J1546" t="str">
            <v>218</v>
          </cell>
          <cell r="K1546">
            <v>8</v>
          </cell>
          <cell r="L1546" t="str">
            <v>16-May-2024</v>
          </cell>
          <cell r="M1546" t="str">
            <v>Damaged</v>
          </cell>
          <cell r="O1546" t="str">
            <v>N</v>
          </cell>
        </row>
        <row r="1547">
          <cell r="A1547" t="str">
            <v>SHP-100816</v>
          </cell>
          <cell r="B1547" t="str">
            <v>06-Apr-2024</v>
          </cell>
          <cell r="C1547" t="str">
            <v xml:space="preserve"> MUMBAI </v>
          </cell>
          <cell r="D1547" t="str">
            <v>Ecom Express</v>
          </cell>
          <cell r="E1547" t="str">
            <v xml:space="preserve"> AIR </v>
          </cell>
          <cell r="F1547" t="str">
            <v xml:space="preserve">grocery  &amp; fmcg </v>
          </cell>
          <cell r="G1547" t="str">
            <v>West</v>
          </cell>
          <cell r="I1547" t="str">
            <v>4.1kg</v>
          </cell>
          <cell r="J1547" t="str">
            <v>₹159</v>
          </cell>
          <cell r="K1547">
            <v>2</v>
          </cell>
          <cell r="L1547" t="str">
            <v xml:space="preserve"> 08/04/2024 </v>
          </cell>
          <cell r="M1547" t="str">
            <v>delivered</v>
          </cell>
          <cell r="N1547">
            <v>5</v>
          </cell>
          <cell r="O1547" t="str">
            <v>No</v>
          </cell>
        </row>
        <row r="1548">
          <cell r="A1548" t="str">
            <v>SHP-101430</v>
          </cell>
          <cell r="B1548" t="str">
            <v>13/01/2024</v>
          </cell>
          <cell r="C1548" t="str">
            <v xml:space="preserve"> BENGALURU </v>
          </cell>
          <cell r="D1548" t="str">
            <v>bluedart</v>
          </cell>
          <cell r="E1548" t="str">
            <v xml:space="preserve"> ROAD </v>
          </cell>
          <cell r="F1548" t="str">
            <v xml:space="preserve">pharma  </v>
          </cell>
          <cell r="G1548" t="str">
            <v>SOUTH</v>
          </cell>
          <cell r="I1548" t="str">
            <v>0.6</v>
          </cell>
          <cell r="J1548" t="str">
            <v>80</v>
          </cell>
          <cell r="K1548">
            <v>6</v>
          </cell>
          <cell r="L1548" t="str">
            <v>19-Jan-2024</v>
          </cell>
          <cell r="M1548" t="str">
            <v>delivered</v>
          </cell>
          <cell r="N1548">
            <v>3</v>
          </cell>
          <cell r="O1548" t="str">
            <v xml:space="preserve">yes </v>
          </cell>
        </row>
        <row r="1549">
          <cell r="A1549" t="str">
            <v>SHP-100889</v>
          </cell>
          <cell r="B1549" t="str">
            <v xml:space="preserve"> 23/05/2024 </v>
          </cell>
          <cell r="C1549" t="str">
            <v xml:space="preserve"> CHENNAI </v>
          </cell>
          <cell r="D1549" t="str">
            <v>Blue Dart</v>
          </cell>
          <cell r="E1549" t="str">
            <v xml:space="preserve"> SURFACE </v>
          </cell>
          <cell r="F1549" t="str">
            <v>FURNITURE</v>
          </cell>
          <cell r="G1549" t="str">
            <v>West</v>
          </cell>
          <cell r="I1549" t="str">
            <v>64.4KG</v>
          </cell>
          <cell r="J1549" t="str">
            <v>1,626</v>
          </cell>
          <cell r="K1549">
            <v>6</v>
          </cell>
          <cell r="L1549" t="str">
            <v>2024-05-29</v>
          </cell>
          <cell r="M1549" t="str">
            <v xml:space="preserve"> Delivered</v>
          </cell>
          <cell r="N1549">
            <v>4</v>
          </cell>
          <cell r="O1549" t="str">
            <v>N</v>
          </cell>
        </row>
        <row r="1550">
          <cell r="A1550" t="str">
            <v>SHP-101348</v>
          </cell>
          <cell r="B1550" t="str">
            <v>15-Jun-2024</v>
          </cell>
          <cell r="C1550" t="str">
            <v>Hyderabad</v>
          </cell>
          <cell r="D1550" t="str">
            <v>DTDC</v>
          </cell>
          <cell r="E1550" t="str">
            <v>road</v>
          </cell>
          <cell r="F1550" t="str">
            <v xml:space="preserve">automotive  parts </v>
          </cell>
          <cell r="G1550" t="str">
            <v xml:space="preserve">west </v>
          </cell>
          <cell r="I1550" t="str">
            <v>20.3kg</v>
          </cell>
          <cell r="J1550" t="str">
            <v>310</v>
          </cell>
          <cell r="K1550">
            <v>6</v>
          </cell>
          <cell r="L1550" t="str">
            <v>2024-06-20</v>
          </cell>
          <cell r="M1550" t="str">
            <v>delivered</v>
          </cell>
          <cell r="N1550">
            <v>5</v>
          </cell>
          <cell r="O1550" t="str">
            <v xml:space="preserve"> No</v>
          </cell>
        </row>
        <row r="1551">
          <cell r="A1551" t="str">
            <v>SHP-101225</v>
          </cell>
          <cell r="B1551" t="str">
            <v xml:space="preserve"> 11/02/2024 </v>
          </cell>
          <cell r="C1551" t="str">
            <v>kolkata</v>
          </cell>
          <cell r="D1551" t="str">
            <v xml:space="preserve">Dtdc </v>
          </cell>
          <cell r="E1551" t="str">
            <v>Air</v>
          </cell>
          <cell r="F1551" t="str">
            <v xml:space="preserve">  AUTOMOTIVE PARTS </v>
          </cell>
          <cell r="G1551" t="str">
            <v>east</v>
          </cell>
          <cell r="I1551" t="str">
            <v>39.3</v>
          </cell>
          <cell r="J1551" t="str">
            <v xml:space="preserve">Rs 1785 </v>
          </cell>
          <cell r="K1551">
            <v>2</v>
          </cell>
          <cell r="L1551" t="str">
            <v>13/02/2024</v>
          </cell>
          <cell r="M1551" t="str">
            <v xml:space="preserve"> Delivered</v>
          </cell>
          <cell r="N1551">
            <v>2</v>
          </cell>
          <cell r="O1551" t="str">
            <v>No</v>
          </cell>
        </row>
        <row r="1552">
          <cell r="A1552" t="str">
            <v>SHP-100602</v>
          </cell>
          <cell r="B1552" t="str">
            <v xml:space="preserve"> 24/06/2024 </v>
          </cell>
          <cell r="C1552" t="str">
            <v>KOLKATA</v>
          </cell>
          <cell r="D1552" t="str">
            <v>BlueDart</v>
          </cell>
          <cell r="E1552" t="str">
            <v>surface</v>
          </cell>
          <cell r="F1552" t="str">
            <v xml:space="preserve"> ELECTRONICS </v>
          </cell>
          <cell r="G1552" t="str">
            <v xml:space="preserve">east </v>
          </cell>
          <cell r="I1552" t="str">
            <v>8.9kg</v>
          </cell>
          <cell r="J1552" t="str">
            <v>₹212</v>
          </cell>
          <cell r="K1552">
            <v>4</v>
          </cell>
          <cell r="L1552" t="str">
            <v xml:space="preserve"> 28/06/2024 </v>
          </cell>
          <cell r="M1552" t="str">
            <v>DELIVERED</v>
          </cell>
          <cell r="N1552">
            <v>5</v>
          </cell>
          <cell r="O1552" t="str">
            <v xml:space="preserve"> No</v>
          </cell>
        </row>
        <row r="1553">
          <cell r="A1553" t="str">
            <v>SHP-100693</v>
          </cell>
          <cell r="B1553" t="str">
            <v xml:space="preserve"> 26/06/2024 </v>
          </cell>
          <cell r="C1553" t="str">
            <v>BENGALURU</v>
          </cell>
          <cell r="D1553" t="str">
            <v>ecom express</v>
          </cell>
          <cell r="E1553" t="str">
            <v>SURFACE</v>
          </cell>
          <cell r="F1553" t="str">
            <v>Automotive Parts</v>
          </cell>
          <cell r="G1553" t="str">
            <v xml:space="preserve">east </v>
          </cell>
          <cell r="I1553" t="str">
            <v xml:space="preserve">5.5 Kg </v>
          </cell>
          <cell r="J1553" t="str">
            <v xml:space="preserve">Rs 268 </v>
          </cell>
          <cell r="K1553">
            <v>6</v>
          </cell>
          <cell r="L1553" t="str">
            <v xml:space="preserve"> 03/07/2024 </v>
          </cell>
          <cell r="M1553" t="str">
            <v xml:space="preserve">delayed </v>
          </cell>
          <cell r="N1553">
            <v>3</v>
          </cell>
          <cell r="O1553" t="str">
            <v>No</v>
          </cell>
        </row>
        <row r="1554">
          <cell r="A1554" t="str">
            <v>SHP-101406</v>
          </cell>
          <cell r="B1554" t="str">
            <v>2024-06-07</v>
          </cell>
          <cell r="C1554" t="str">
            <v>Bengaluru</v>
          </cell>
          <cell r="D1554" t="str">
            <v>BlueDart</v>
          </cell>
          <cell r="E1554" t="str">
            <v>Surface</v>
          </cell>
          <cell r="F1554" t="str">
            <v>APPAREL</v>
          </cell>
          <cell r="G1554" t="str">
            <v xml:space="preserve"> SOUTH </v>
          </cell>
          <cell r="I1554" t="str">
            <v>2.6KG</v>
          </cell>
          <cell r="J1554" t="str">
            <v>80</v>
          </cell>
          <cell r="K1554">
            <v>4</v>
          </cell>
          <cell r="L1554" t="str">
            <v>2024-06-15</v>
          </cell>
          <cell r="M1554" t="str">
            <v>Delayed</v>
          </cell>
          <cell r="N1554">
            <v>3</v>
          </cell>
          <cell r="O1554" t="str">
            <v>N</v>
          </cell>
        </row>
        <row r="1555">
          <cell r="A1555" t="str">
            <v>SHP-101493</v>
          </cell>
          <cell r="B1555" t="str">
            <v>22-Jun-2024</v>
          </cell>
          <cell r="C1555" t="str">
            <v xml:space="preserve"> BENGALURU </v>
          </cell>
          <cell r="D1555" t="str">
            <v>Blue Dart</v>
          </cell>
          <cell r="E1555" t="str">
            <v>road</v>
          </cell>
          <cell r="F1555" t="str">
            <v xml:space="preserve">  APPAREL </v>
          </cell>
          <cell r="G1555" t="str">
            <v xml:space="preserve">east </v>
          </cell>
          <cell r="I1555" t="str">
            <v>2.1kg</v>
          </cell>
          <cell r="J1555" t="str">
            <v xml:space="preserve">Rs 167 </v>
          </cell>
          <cell r="K1555">
            <v>8</v>
          </cell>
          <cell r="L1555" t="str">
            <v>2024-06-29</v>
          </cell>
          <cell r="M1555" t="str">
            <v>delivered</v>
          </cell>
          <cell r="N1555">
            <v>4</v>
          </cell>
          <cell r="O1555" t="str">
            <v xml:space="preserve">yes </v>
          </cell>
        </row>
        <row r="1556">
          <cell r="A1556" t="str">
            <v>SHP-100971</v>
          </cell>
          <cell r="B1556" t="str">
            <v xml:space="preserve"> 24/05/2024 </v>
          </cell>
          <cell r="C1556" t="str">
            <v xml:space="preserve"> BENGALURU </v>
          </cell>
          <cell r="D1556" t="str">
            <v xml:space="preserve"> DTDC</v>
          </cell>
          <cell r="E1556" t="str">
            <v>AIR</v>
          </cell>
          <cell r="F1556" t="str">
            <v>FURNITURE</v>
          </cell>
          <cell r="G1556" t="str">
            <v xml:space="preserve"> EAST </v>
          </cell>
          <cell r="I1556" t="str">
            <v>75.3KG</v>
          </cell>
          <cell r="J1556" t="str">
            <v>3,571</v>
          </cell>
          <cell r="K1556">
            <v>4</v>
          </cell>
          <cell r="L1556" t="str">
            <v>04/06/2024</v>
          </cell>
          <cell r="M1556" t="str">
            <v>DELAYED</v>
          </cell>
          <cell r="N1556">
            <v>1</v>
          </cell>
          <cell r="O1556" t="str">
            <v>N</v>
          </cell>
        </row>
        <row r="1557">
          <cell r="A1557" t="str">
            <v>SHP-100251</v>
          </cell>
          <cell r="B1557" t="str">
            <v xml:space="preserve"> 20/03/2024 </v>
          </cell>
          <cell r="C1557" t="str">
            <v>Chennai</v>
          </cell>
          <cell r="D1557" t="str">
            <v>bluedart</v>
          </cell>
          <cell r="E1557" t="str">
            <v>surface</v>
          </cell>
          <cell r="F1557" t="str">
            <v xml:space="preserve">pharma </v>
          </cell>
          <cell r="G1557" t="str">
            <v>north</v>
          </cell>
          <cell r="I1557" t="str">
            <v>4.1</v>
          </cell>
          <cell r="J1557" t="str">
            <v xml:space="preserve">Rs 215 </v>
          </cell>
          <cell r="K1557">
            <v>6</v>
          </cell>
          <cell r="L1557" t="str">
            <v>2024-03-25</v>
          </cell>
          <cell r="M1557" t="str">
            <v>Delivered</v>
          </cell>
          <cell r="N1557">
            <v>4</v>
          </cell>
          <cell r="O1557" t="str">
            <v>YES</v>
          </cell>
        </row>
        <row r="1558">
          <cell r="A1558" t="str">
            <v>SHP-100666</v>
          </cell>
          <cell r="B1558" t="str">
            <v>08-Jun-2024</v>
          </cell>
          <cell r="C1558" t="str">
            <v xml:space="preserve"> HYDERABAD </v>
          </cell>
          <cell r="D1558" t="str">
            <v>Ecom Express</v>
          </cell>
          <cell r="E1558" t="str">
            <v>Road</v>
          </cell>
          <cell r="F1558" t="str">
            <v xml:space="preserve">  GROCERY &amp; FMCG </v>
          </cell>
          <cell r="G1558" t="str">
            <v xml:space="preserve"> NORTH </v>
          </cell>
          <cell r="I1558" t="str">
            <v xml:space="preserve">19.3 Kg </v>
          </cell>
          <cell r="J1558" t="str">
            <v>442</v>
          </cell>
          <cell r="K1558">
            <v>8</v>
          </cell>
          <cell r="L1558" t="str">
            <v>17-Jun-2024</v>
          </cell>
          <cell r="M1558" t="str">
            <v xml:space="preserve"> Delayed</v>
          </cell>
          <cell r="N1558">
            <v>2</v>
          </cell>
          <cell r="O1558" t="str">
            <v xml:space="preserve"> No</v>
          </cell>
        </row>
        <row r="1559">
          <cell r="A1559" t="str">
            <v>SHP-100001</v>
          </cell>
          <cell r="B1559" t="str">
            <v xml:space="preserve"> 22/03/2024 </v>
          </cell>
          <cell r="C1559" t="str">
            <v>Chennai</v>
          </cell>
          <cell r="D1559" t="str">
            <v>Blue Dart</v>
          </cell>
          <cell r="E1559" t="str">
            <v xml:space="preserve">surface </v>
          </cell>
          <cell r="F1559" t="str">
            <v>Apparel</v>
          </cell>
          <cell r="G1559" t="str">
            <v>north</v>
          </cell>
          <cell r="I1559" t="str">
            <v xml:space="preserve">4.0 Kg </v>
          </cell>
          <cell r="J1559" t="str">
            <v xml:space="preserve">Rs 228 </v>
          </cell>
          <cell r="K1559">
            <v>6</v>
          </cell>
          <cell r="L1559" t="str">
            <v>29-Mar-2024</v>
          </cell>
          <cell r="M1559" t="str">
            <v>DELAYED</v>
          </cell>
          <cell r="N1559">
            <v>3</v>
          </cell>
          <cell r="O1559" t="str">
            <v>Yes</v>
          </cell>
        </row>
        <row r="1560">
          <cell r="A1560" t="str">
            <v>SHP-100926</v>
          </cell>
          <cell r="B1560" t="str">
            <v xml:space="preserve"> 25/05/2024 </v>
          </cell>
          <cell r="C1560" t="str">
            <v xml:space="preserve">mumbai </v>
          </cell>
          <cell r="D1560" t="str">
            <v>bluedart</v>
          </cell>
          <cell r="E1560" t="str">
            <v>surface</v>
          </cell>
          <cell r="F1560" t="str">
            <v xml:space="preserve">apparel </v>
          </cell>
          <cell r="G1560" t="str">
            <v>North</v>
          </cell>
          <cell r="I1560" t="str">
            <v>4.2</v>
          </cell>
          <cell r="J1560" t="str">
            <v>271</v>
          </cell>
          <cell r="K1560">
            <v>6</v>
          </cell>
          <cell r="L1560" t="str">
            <v>2024-06-09</v>
          </cell>
          <cell r="M1560" t="str">
            <v xml:space="preserve"> Delayed</v>
          </cell>
          <cell r="N1560">
            <v>2</v>
          </cell>
          <cell r="O1560" t="str">
            <v>no</v>
          </cell>
        </row>
        <row r="1561">
          <cell r="A1561" t="str">
            <v>SHP-100824</v>
          </cell>
          <cell r="B1561" t="str">
            <v>16/05/2024</v>
          </cell>
          <cell r="C1561" t="str">
            <v>hyderabad</v>
          </cell>
          <cell r="D1561" t="str">
            <v>bluedart</v>
          </cell>
          <cell r="E1561" t="str">
            <v>ROAD</v>
          </cell>
          <cell r="F1561" t="str">
            <v xml:space="preserve">grocery &amp; fmcg </v>
          </cell>
          <cell r="G1561" t="str">
            <v>EAST</v>
          </cell>
          <cell r="I1561" t="str">
            <v>18.3kg</v>
          </cell>
          <cell r="J1561" t="str">
            <v>455</v>
          </cell>
          <cell r="K1561">
            <v>8</v>
          </cell>
          <cell r="L1561" t="str">
            <v xml:space="preserve"> 23/05/2024 </v>
          </cell>
          <cell r="M1561" t="str">
            <v>DELIVERED</v>
          </cell>
          <cell r="N1561">
            <v>4</v>
          </cell>
          <cell r="O1561" t="str">
            <v xml:space="preserve"> No</v>
          </cell>
        </row>
        <row r="1562">
          <cell r="A1562" t="str">
            <v>SHP-100928</v>
          </cell>
          <cell r="B1562" t="str">
            <v>27-Jun-2024</v>
          </cell>
          <cell r="C1562" t="str">
            <v xml:space="preserve">mumbai </v>
          </cell>
          <cell r="D1562" t="str">
            <v>Xpress Bees</v>
          </cell>
          <cell r="E1562" t="str">
            <v>Road</v>
          </cell>
          <cell r="F1562" t="str">
            <v>APPAREL</v>
          </cell>
          <cell r="G1562" t="str">
            <v>West</v>
          </cell>
          <cell r="I1562" t="str">
            <v>0.7kg</v>
          </cell>
          <cell r="J1562" t="str">
            <v xml:space="preserve">Rs 80 </v>
          </cell>
          <cell r="K1562">
            <v>6</v>
          </cell>
          <cell r="L1562" t="str">
            <v>2024-07-02</v>
          </cell>
          <cell r="M1562" t="str">
            <v>DELIVERED</v>
          </cell>
          <cell r="N1562">
            <v>4</v>
          </cell>
          <cell r="O1562" t="str">
            <v xml:space="preserve">yes </v>
          </cell>
        </row>
        <row r="1563">
          <cell r="A1563" t="str">
            <v>SHP-100008</v>
          </cell>
          <cell r="B1563" t="str">
            <v>23/05/2024</v>
          </cell>
          <cell r="C1563" t="str">
            <v xml:space="preserve">mumbai </v>
          </cell>
          <cell r="D1563" t="str">
            <v>Xpress Bees</v>
          </cell>
          <cell r="E1563" t="str">
            <v>road</v>
          </cell>
          <cell r="F1563" t="str">
            <v xml:space="preserve">apparel </v>
          </cell>
          <cell r="G1563" t="str">
            <v>WEST</v>
          </cell>
          <cell r="I1563" t="str">
            <v>6.7</v>
          </cell>
          <cell r="J1563" t="str">
            <v xml:space="preserve">Rs 98 </v>
          </cell>
          <cell r="K1563">
            <v>6</v>
          </cell>
          <cell r="L1563" t="str">
            <v xml:space="preserve"> 28/05/2024 </v>
          </cell>
          <cell r="M1563" t="str">
            <v>DELIVERED</v>
          </cell>
          <cell r="N1563">
            <v>5</v>
          </cell>
          <cell r="O1563" t="str">
            <v>N</v>
          </cell>
        </row>
        <row r="1564">
          <cell r="A1564" t="str">
            <v>SHP-100834</v>
          </cell>
          <cell r="B1564" t="str">
            <v>15/03/2024</v>
          </cell>
          <cell r="C1564" t="str">
            <v xml:space="preserve">kolkata </v>
          </cell>
          <cell r="D1564" t="str">
            <v>bluedart</v>
          </cell>
          <cell r="E1564" t="str">
            <v>road</v>
          </cell>
          <cell r="F1564" t="str">
            <v xml:space="preserve"> ELECTRONICS </v>
          </cell>
          <cell r="G1564" t="str">
            <v>east</v>
          </cell>
          <cell r="I1564" t="str">
            <v>12.1</v>
          </cell>
          <cell r="J1564" t="str">
            <v xml:space="preserve">Rs 159 </v>
          </cell>
          <cell r="K1564">
            <v>6</v>
          </cell>
          <cell r="L1564" t="str">
            <v xml:space="preserve"> 20/03/2024 </v>
          </cell>
          <cell r="M1564" t="str">
            <v>DELIVERED</v>
          </cell>
          <cell r="N1564">
            <v>5</v>
          </cell>
          <cell r="O1564" t="str">
            <v>No</v>
          </cell>
        </row>
        <row r="1565">
          <cell r="A1565" t="str">
            <v>SHP-101509</v>
          </cell>
          <cell r="B1565" t="str">
            <v xml:space="preserve"> 26/04/2024 </v>
          </cell>
          <cell r="C1565" t="str">
            <v xml:space="preserve"> BENGALURU </v>
          </cell>
          <cell r="D1565" t="str">
            <v>xpressbees</v>
          </cell>
          <cell r="E1565" t="str">
            <v xml:space="preserve">surface </v>
          </cell>
          <cell r="F1565" t="str">
            <v>Pharma</v>
          </cell>
          <cell r="G1565" t="str">
            <v>south</v>
          </cell>
          <cell r="I1565" t="str">
            <v>2.1kg</v>
          </cell>
          <cell r="J1565" t="str">
            <v>80</v>
          </cell>
          <cell r="K1565">
            <v>4</v>
          </cell>
          <cell r="L1565" t="str">
            <v xml:space="preserve"> 29/04/2024 </v>
          </cell>
          <cell r="M1565" t="str">
            <v xml:space="preserve"> Delivered</v>
          </cell>
          <cell r="N1565">
            <v>4</v>
          </cell>
          <cell r="O1565" t="str">
            <v>N</v>
          </cell>
        </row>
        <row r="1566">
          <cell r="A1566" t="str">
            <v>SHP-100800</v>
          </cell>
          <cell r="B1566" t="str">
            <v>15-Mar-2024</v>
          </cell>
          <cell r="C1566" t="str">
            <v>BENGALURU</v>
          </cell>
          <cell r="D1566" t="str">
            <v>dtdc</v>
          </cell>
          <cell r="E1566" t="str">
            <v xml:space="preserve"> ROAD </v>
          </cell>
          <cell r="F1566" t="str">
            <v xml:space="preserve">grocery  &amp; fmcg </v>
          </cell>
          <cell r="G1566" t="str">
            <v>west</v>
          </cell>
          <cell r="I1566" t="str">
            <v>18.6KG</v>
          </cell>
          <cell r="J1566" t="str">
            <v xml:space="preserve">Rs 433 </v>
          </cell>
          <cell r="K1566">
            <v>8</v>
          </cell>
          <cell r="L1566" t="str">
            <v>29/03/2024</v>
          </cell>
          <cell r="M1566" t="str">
            <v>Delayed</v>
          </cell>
          <cell r="N1566">
            <v>1</v>
          </cell>
          <cell r="O1566" t="str">
            <v>Yes</v>
          </cell>
        </row>
        <row r="1567">
          <cell r="A1567" t="str">
            <v>SHP-100083</v>
          </cell>
          <cell r="B1567" t="str">
            <v>04-Feb-2024</v>
          </cell>
          <cell r="C1567" t="str">
            <v>CHENNAI</v>
          </cell>
          <cell r="D1567" t="str">
            <v>dtdc</v>
          </cell>
          <cell r="E1567" t="str">
            <v xml:space="preserve"> AIR </v>
          </cell>
          <cell r="F1567" t="str">
            <v>PHARMA</v>
          </cell>
          <cell r="G1567" t="str">
            <v>north</v>
          </cell>
          <cell r="I1567" t="str">
            <v>1.7</v>
          </cell>
          <cell r="J1567" t="str">
            <v>258</v>
          </cell>
          <cell r="K1567">
            <v>4</v>
          </cell>
          <cell r="L1567" t="str">
            <v>17/02/2024</v>
          </cell>
          <cell r="M1567" t="str">
            <v xml:space="preserve">delayed </v>
          </cell>
          <cell r="N1567">
            <v>4</v>
          </cell>
          <cell r="O1567" t="str">
            <v>N</v>
          </cell>
        </row>
        <row r="1568">
          <cell r="A1568" t="str">
            <v>SHP-100993</v>
          </cell>
          <cell r="B1568" t="str">
            <v>11-Apr-2024</v>
          </cell>
          <cell r="C1568" t="str">
            <v>DELHI</v>
          </cell>
          <cell r="D1568" t="str">
            <v>bluedart</v>
          </cell>
          <cell r="E1568" t="str">
            <v xml:space="preserve"> ROAD </v>
          </cell>
          <cell r="F1568" t="str">
            <v>Grocery &amp; FMCG</v>
          </cell>
          <cell r="G1568" t="str">
            <v xml:space="preserve">north </v>
          </cell>
          <cell r="I1568" t="str">
            <v>9.9</v>
          </cell>
          <cell r="J1568" t="str">
            <v>188</v>
          </cell>
          <cell r="K1568">
            <v>6</v>
          </cell>
          <cell r="L1568" t="str">
            <v>18/04/2024</v>
          </cell>
          <cell r="M1568" t="str">
            <v xml:space="preserve">delayed </v>
          </cell>
          <cell r="N1568">
            <v>2</v>
          </cell>
          <cell r="O1568" t="str">
            <v xml:space="preserve"> No</v>
          </cell>
        </row>
        <row r="1569">
          <cell r="A1569" t="str">
            <v>SHP-100290</v>
          </cell>
          <cell r="B1569" t="str">
            <v xml:space="preserve"> 20/05/2024 </v>
          </cell>
          <cell r="C1569" t="str">
            <v xml:space="preserve"> MUMBAI </v>
          </cell>
          <cell r="D1569" t="str">
            <v>Ecom Express</v>
          </cell>
          <cell r="E1569" t="str">
            <v xml:space="preserve"> ROAD </v>
          </cell>
          <cell r="F1569" t="str">
            <v xml:space="preserve"> FURNITURE </v>
          </cell>
          <cell r="G1569" t="str">
            <v xml:space="preserve">south </v>
          </cell>
          <cell r="I1569" t="str">
            <v>67.1</v>
          </cell>
          <cell r="J1569" t="str">
            <v xml:space="preserve">Rs 1107 </v>
          </cell>
          <cell r="K1569">
            <v>8</v>
          </cell>
          <cell r="L1569" t="str">
            <v>05/06/2024</v>
          </cell>
          <cell r="M1569" t="str">
            <v>DELAYED</v>
          </cell>
          <cell r="N1569">
            <v>3</v>
          </cell>
          <cell r="O1569" t="str">
            <v xml:space="preserve">yes </v>
          </cell>
        </row>
        <row r="1570">
          <cell r="A1570" t="str">
            <v>SHP-101223</v>
          </cell>
          <cell r="B1570" t="str">
            <v>15-Jan-2024</v>
          </cell>
          <cell r="C1570" t="str">
            <v>chennai</v>
          </cell>
          <cell r="D1570" t="str">
            <v xml:space="preserve"> DTDC</v>
          </cell>
          <cell r="E1570" t="str">
            <v>air</v>
          </cell>
          <cell r="F1570" t="str">
            <v>pharma</v>
          </cell>
          <cell r="G1570" t="str">
            <v xml:space="preserve">east </v>
          </cell>
          <cell r="I1570" t="str">
            <v>3.7KG</v>
          </cell>
          <cell r="J1570" t="str">
            <v>364</v>
          </cell>
          <cell r="K1570">
            <v>4</v>
          </cell>
          <cell r="L1570" t="str">
            <v>19/01/2024</v>
          </cell>
          <cell r="M1570" t="str">
            <v xml:space="preserve"> Delivered</v>
          </cell>
          <cell r="N1570">
            <v>4</v>
          </cell>
          <cell r="O1570" t="str">
            <v>N</v>
          </cell>
        </row>
        <row r="1571">
          <cell r="A1571" t="str">
            <v>SHP-100497</v>
          </cell>
          <cell r="B1571" t="str">
            <v>05/01/2024</v>
          </cell>
          <cell r="C1571" t="str">
            <v>BENGALURU</v>
          </cell>
          <cell r="D1571" t="str">
            <v>dtdc</v>
          </cell>
          <cell r="E1571" t="str">
            <v xml:space="preserve"> SURFACE </v>
          </cell>
          <cell r="F1571" t="str">
            <v>grocery  &amp; fmcg</v>
          </cell>
          <cell r="G1571" t="str">
            <v>WEST</v>
          </cell>
          <cell r="I1571" t="str">
            <v xml:space="preserve">13.3 Kg </v>
          </cell>
          <cell r="J1571" t="str">
            <v>₹423</v>
          </cell>
          <cell r="K1571">
            <v>6</v>
          </cell>
          <cell r="L1571" t="str">
            <v xml:space="preserve"> 12/01/2024 </v>
          </cell>
          <cell r="M1571" t="str">
            <v>Delayed</v>
          </cell>
          <cell r="N1571">
            <v>4</v>
          </cell>
          <cell r="O1571" t="str">
            <v xml:space="preserve">yes </v>
          </cell>
        </row>
        <row r="1572">
          <cell r="A1572" t="str">
            <v>SHP-100784</v>
          </cell>
          <cell r="B1572" t="str">
            <v>17-May-2024</v>
          </cell>
          <cell r="C1572" t="str">
            <v xml:space="preserve">kolkata </v>
          </cell>
          <cell r="D1572" t="str">
            <v>delhivery</v>
          </cell>
          <cell r="E1572" t="str">
            <v>Road</v>
          </cell>
          <cell r="F1572" t="str">
            <v>pharma</v>
          </cell>
          <cell r="G1572" t="str">
            <v xml:space="preserve"> EAST </v>
          </cell>
          <cell r="I1572" t="str">
            <v xml:space="preserve">1.0 Kg </v>
          </cell>
          <cell r="J1572" t="str">
            <v xml:space="preserve">Rs 80 </v>
          </cell>
          <cell r="K1572">
            <v>6</v>
          </cell>
          <cell r="L1572" t="str">
            <v>23-May-2024</v>
          </cell>
          <cell r="M1572" t="str">
            <v xml:space="preserve"> Delivered</v>
          </cell>
          <cell r="N1572">
            <v>4</v>
          </cell>
          <cell r="O1572" t="str">
            <v>No</v>
          </cell>
        </row>
        <row r="1573">
          <cell r="A1573" t="str">
            <v>SHP-101158</v>
          </cell>
          <cell r="B1573" t="str">
            <v>18/06/2024</v>
          </cell>
          <cell r="C1573" t="str">
            <v xml:space="preserve"> BENGALURU </v>
          </cell>
          <cell r="D1573" t="str">
            <v>Ecom Express</v>
          </cell>
          <cell r="E1573" t="str">
            <v>ROAD</v>
          </cell>
          <cell r="F1573" t="str">
            <v xml:space="preserve"> PHARMA </v>
          </cell>
          <cell r="G1573" t="str">
            <v xml:space="preserve"> WEST </v>
          </cell>
          <cell r="I1573" t="str">
            <v xml:space="preserve">1.7 Kg </v>
          </cell>
          <cell r="J1573" t="str">
            <v>228</v>
          </cell>
          <cell r="K1573">
            <v>8</v>
          </cell>
          <cell r="L1573" t="str">
            <v>26-Jun-2024</v>
          </cell>
          <cell r="M1573" t="str">
            <v>Delivered</v>
          </cell>
          <cell r="N1573">
            <v>5</v>
          </cell>
          <cell r="O1573" t="str">
            <v>Yes</v>
          </cell>
        </row>
        <row r="1574">
          <cell r="A1574" t="str">
            <v>SHP-100421</v>
          </cell>
          <cell r="B1574" t="str">
            <v>27/06/2024</v>
          </cell>
          <cell r="C1574" t="str">
            <v>Mumbai</v>
          </cell>
          <cell r="D1574" t="str">
            <v>Blue Dart</v>
          </cell>
          <cell r="E1574" t="str">
            <v xml:space="preserve">road </v>
          </cell>
          <cell r="F1574" t="str">
            <v>Apparel</v>
          </cell>
          <cell r="G1574" t="str">
            <v xml:space="preserve"> SOUTH </v>
          </cell>
          <cell r="I1574" t="str">
            <v>5.7KG</v>
          </cell>
          <cell r="J1574" t="str">
            <v>215</v>
          </cell>
          <cell r="K1574">
            <v>8</v>
          </cell>
          <cell r="M1574" t="str">
            <v xml:space="preserve">IN-TRANSIT </v>
          </cell>
          <cell r="O1574" t="str">
            <v xml:space="preserve">yes </v>
          </cell>
        </row>
        <row r="1575">
          <cell r="A1575" t="str">
            <v>SHP-101456</v>
          </cell>
          <cell r="B1575" t="str">
            <v>12-Jun-2024</v>
          </cell>
          <cell r="C1575" t="str">
            <v>DELHI</v>
          </cell>
          <cell r="D1575" t="str">
            <v>ecom express</v>
          </cell>
          <cell r="E1575" t="str">
            <v>air</v>
          </cell>
          <cell r="F1575" t="str">
            <v>furniture</v>
          </cell>
          <cell r="G1575" t="str">
            <v>east</v>
          </cell>
          <cell r="I1575" t="str">
            <v xml:space="preserve">17.0 Kg </v>
          </cell>
          <cell r="J1575" t="str">
            <v>₹894</v>
          </cell>
          <cell r="K1575">
            <v>4</v>
          </cell>
          <cell r="L1575" t="str">
            <v>23-Jun-2024</v>
          </cell>
          <cell r="M1575" t="str">
            <v xml:space="preserve">delayed </v>
          </cell>
          <cell r="N1575">
            <v>1</v>
          </cell>
          <cell r="O1575" t="str">
            <v>N</v>
          </cell>
        </row>
        <row r="1576">
          <cell r="A1576" t="str">
            <v>SHP-100386</v>
          </cell>
          <cell r="B1576" t="str">
            <v>15/02/2024</v>
          </cell>
          <cell r="C1576" t="str">
            <v>MUMBAI</v>
          </cell>
          <cell r="D1576" t="str">
            <v>Blue Dart</v>
          </cell>
          <cell r="E1576" t="str">
            <v>AIR</v>
          </cell>
          <cell r="F1576" t="str">
            <v xml:space="preserve"> FURNITURE </v>
          </cell>
          <cell r="G1576" t="str">
            <v xml:space="preserve"> NORTH </v>
          </cell>
          <cell r="I1576" t="str">
            <v xml:space="preserve">26.9 Kg </v>
          </cell>
          <cell r="J1576" t="str">
            <v>₹1,337</v>
          </cell>
          <cell r="K1576">
            <v>4</v>
          </cell>
          <cell r="L1576" t="str">
            <v>18-Feb-2024</v>
          </cell>
          <cell r="M1576" t="str">
            <v>DELIVERED</v>
          </cell>
          <cell r="N1576">
            <v>3</v>
          </cell>
          <cell r="O1576" t="str">
            <v xml:space="preserve">yes </v>
          </cell>
        </row>
        <row r="1577">
          <cell r="A1577" t="str">
            <v>SHP-101458</v>
          </cell>
          <cell r="B1577" t="str">
            <v>2024-05-15</v>
          </cell>
          <cell r="C1577" t="str">
            <v xml:space="preserve">delhi </v>
          </cell>
          <cell r="D1577" t="str">
            <v>bluedart</v>
          </cell>
          <cell r="E1577" t="str">
            <v>surface</v>
          </cell>
          <cell r="F1577" t="str">
            <v xml:space="preserve">furniture </v>
          </cell>
          <cell r="G1577" t="str">
            <v xml:space="preserve">north </v>
          </cell>
          <cell r="I1577" t="str">
            <v xml:space="preserve">64.5 Kg </v>
          </cell>
          <cell r="J1577" t="str">
            <v>₹1,417</v>
          </cell>
          <cell r="K1577">
            <v>4</v>
          </cell>
          <cell r="L1577" t="str">
            <v xml:space="preserve"> 20/05/2024 </v>
          </cell>
          <cell r="M1577" t="str">
            <v>Delayed</v>
          </cell>
          <cell r="N1577">
            <v>2</v>
          </cell>
          <cell r="O1577" t="str">
            <v xml:space="preserve"> No</v>
          </cell>
        </row>
        <row r="1578">
          <cell r="A1578" t="str">
            <v>SHP-100590</v>
          </cell>
          <cell r="B1578" t="str">
            <v xml:space="preserve"> 27/01/2024 </v>
          </cell>
          <cell r="C1578" t="str">
            <v xml:space="preserve">chennai </v>
          </cell>
          <cell r="D1578" t="str">
            <v xml:space="preserve"> DTDC</v>
          </cell>
          <cell r="E1578" t="str">
            <v>SURFACE</v>
          </cell>
          <cell r="F1578" t="str">
            <v>Pharma</v>
          </cell>
          <cell r="G1578" t="str">
            <v xml:space="preserve"> SOUTH </v>
          </cell>
          <cell r="I1578" t="str">
            <v xml:space="preserve">2.2 Kg </v>
          </cell>
          <cell r="J1578" t="str">
            <v>₹81</v>
          </cell>
          <cell r="K1578">
            <v>4</v>
          </cell>
          <cell r="L1578" t="str">
            <v xml:space="preserve"> 01/02/2024 </v>
          </cell>
          <cell r="M1578" t="str">
            <v xml:space="preserve"> Delayed</v>
          </cell>
          <cell r="N1578">
            <v>1</v>
          </cell>
          <cell r="O1578" t="str">
            <v xml:space="preserve">yes </v>
          </cell>
        </row>
        <row r="1579">
          <cell r="A1579" t="str">
            <v>SHP-100960</v>
          </cell>
          <cell r="B1579" t="str">
            <v xml:space="preserve"> 18/05/2024 </v>
          </cell>
          <cell r="C1579" t="str">
            <v>hyderabad</v>
          </cell>
          <cell r="D1579" t="str">
            <v>Delhivery</v>
          </cell>
          <cell r="E1579" t="str">
            <v>ROAD</v>
          </cell>
          <cell r="F1579" t="str">
            <v>PHARMA</v>
          </cell>
          <cell r="G1579" t="str">
            <v>east</v>
          </cell>
          <cell r="I1579" t="str">
            <v>1.3KG</v>
          </cell>
          <cell r="J1579" t="str">
            <v>172</v>
          </cell>
          <cell r="K1579">
            <v>8</v>
          </cell>
          <cell r="L1579" t="str">
            <v>27/05/2024</v>
          </cell>
          <cell r="M1579" t="str">
            <v xml:space="preserve">delayed </v>
          </cell>
          <cell r="N1579">
            <v>1</v>
          </cell>
          <cell r="O1579" t="str">
            <v>no</v>
          </cell>
        </row>
        <row r="1580">
          <cell r="A1580" t="str">
            <v>SHP-101332</v>
          </cell>
          <cell r="B1580" t="str">
            <v>07/03/2024</v>
          </cell>
          <cell r="C1580" t="str">
            <v xml:space="preserve">bengaluru </v>
          </cell>
          <cell r="D1580" t="str">
            <v>delhivery</v>
          </cell>
          <cell r="E1580" t="str">
            <v>road</v>
          </cell>
          <cell r="F1580" t="str">
            <v xml:space="preserve"> FURNITURE </v>
          </cell>
          <cell r="G1580" t="str">
            <v xml:space="preserve">west </v>
          </cell>
          <cell r="I1580" t="str">
            <v>72.8kg</v>
          </cell>
          <cell r="J1580" t="str">
            <v>1,160</v>
          </cell>
          <cell r="K1580">
            <v>8</v>
          </cell>
          <cell r="L1580" t="str">
            <v>2024-03-14</v>
          </cell>
          <cell r="M1580" t="str">
            <v>delivered</v>
          </cell>
          <cell r="N1580">
            <v>4</v>
          </cell>
          <cell r="O1580" t="str">
            <v>N</v>
          </cell>
        </row>
        <row r="1581">
          <cell r="I1581" t="str">
            <v>35.1kg</v>
          </cell>
        </row>
        <row r="1582">
          <cell r="A1582" t="str">
            <v>SHP-100528</v>
          </cell>
          <cell r="B1582" t="str">
            <v>12-Mar-2024</v>
          </cell>
          <cell r="C1582" t="str">
            <v>delhi</v>
          </cell>
          <cell r="D1582" t="str">
            <v>Xpress Bees</v>
          </cell>
          <cell r="E1582" t="str">
            <v>AIR</v>
          </cell>
          <cell r="F1582" t="str">
            <v xml:space="preserve"> PHARMA </v>
          </cell>
          <cell r="G1582" t="str">
            <v>South</v>
          </cell>
          <cell r="I1582" t="str">
            <v>4.5</v>
          </cell>
          <cell r="J1582" t="str">
            <v>357</v>
          </cell>
          <cell r="K1582">
            <v>4</v>
          </cell>
          <cell r="L1582" t="str">
            <v xml:space="preserve"> 16/03/2024 </v>
          </cell>
          <cell r="M1582" t="str">
            <v>DELIVERED</v>
          </cell>
          <cell r="N1582">
            <v>3</v>
          </cell>
          <cell r="O1582" t="str">
            <v xml:space="preserve"> No</v>
          </cell>
        </row>
        <row r="1583">
          <cell r="A1583" t="str">
            <v>SHP-100208</v>
          </cell>
          <cell r="B1583" t="str">
            <v>2024-04-17</v>
          </cell>
          <cell r="C1583" t="str">
            <v xml:space="preserve">mumbai </v>
          </cell>
          <cell r="D1583" t="str">
            <v>Ecom Express</v>
          </cell>
          <cell r="E1583" t="str">
            <v>SURFACE</v>
          </cell>
          <cell r="F1583" t="str">
            <v xml:space="preserve">pharma </v>
          </cell>
          <cell r="G1583" t="str">
            <v xml:space="preserve"> WEST </v>
          </cell>
          <cell r="I1583" t="str">
            <v>2.5kg</v>
          </cell>
          <cell r="J1583" t="str">
            <v>95</v>
          </cell>
          <cell r="K1583">
            <v>4</v>
          </cell>
          <cell r="L1583" t="str">
            <v>20-Apr-2024</v>
          </cell>
          <cell r="M1583" t="str">
            <v>DELIVERED</v>
          </cell>
          <cell r="N1583">
            <v>4</v>
          </cell>
          <cell r="O1583" t="str">
            <v xml:space="preserve"> No</v>
          </cell>
        </row>
        <row r="1584">
          <cell r="A1584" t="str">
            <v>SHP-100854</v>
          </cell>
          <cell r="B1584" t="str">
            <v>2024-06-23</v>
          </cell>
          <cell r="C1584" t="str">
            <v xml:space="preserve">bengaluru </v>
          </cell>
          <cell r="D1584" t="str">
            <v>Delhivery</v>
          </cell>
          <cell r="E1584" t="str">
            <v>ROAD</v>
          </cell>
          <cell r="F1584" t="str">
            <v xml:space="preserve">electronics </v>
          </cell>
          <cell r="G1584" t="str">
            <v>west</v>
          </cell>
          <cell r="I1584" t="str">
            <v xml:space="preserve">13.8 Kg </v>
          </cell>
          <cell r="J1584" t="str">
            <v>380</v>
          </cell>
          <cell r="K1584">
            <v>8</v>
          </cell>
          <cell r="L1584" t="str">
            <v>03/07/2024</v>
          </cell>
          <cell r="M1584" t="str">
            <v>DELAYED</v>
          </cell>
          <cell r="N1584">
            <v>1</v>
          </cell>
          <cell r="O1584" t="str">
            <v>no</v>
          </cell>
        </row>
        <row r="1585">
          <cell r="A1585" t="str">
            <v>SHP-101579</v>
          </cell>
          <cell r="B1585" t="str">
            <v>2024-05-02</v>
          </cell>
          <cell r="C1585" t="str">
            <v>Hyderabad</v>
          </cell>
          <cell r="D1585" t="str">
            <v xml:space="preserve"> XPRESSBEES</v>
          </cell>
          <cell r="E1585" t="str">
            <v xml:space="preserve"> SURFACE </v>
          </cell>
          <cell r="F1585" t="str">
            <v xml:space="preserve">grocery &amp; fmcg </v>
          </cell>
          <cell r="G1585" t="str">
            <v>north</v>
          </cell>
          <cell r="I1585" t="str">
            <v>14.0</v>
          </cell>
          <cell r="J1585" t="str">
            <v xml:space="preserve">Rs 497 </v>
          </cell>
          <cell r="K1585">
            <v>6</v>
          </cell>
          <cell r="L1585" t="str">
            <v xml:space="preserve"> 09/05/2024 </v>
          </cell>
          <cell r="M1585" t="str">
            <v>DELAYED</v>
          </cell>
          <cell r="N1585">
            <v>1</v>
          </cell>
          <cell r="O1585" t="str">
            <v>N</v>
          </cell>
        </row>
        <row r="1586">
          <cell r="A1586" t="str">
            <v>SHP-100573</v>
          </cell>
          <cell r="B1586" t="str">
            <v>06-Jun-2024</v>
          </cell>
          <cell r="C1586" t="str">
            <v>DELHI</v>
          </cell>
          <cell r="D1586" t="str">
            <v xml:space="preserve"> DTDC</v>
          </cell>
          <cell r="E1586" t="str">
            <v xml:space="preserve"> ROAD </v>
          </cell>
          <cell r="F1586" t="str">
            <v xml:space="preserve">grocery  &amp; fmcg </v>
          </cell>
          <cell r="G1586" t="str">
            <v xml:space="preserve"> WEST </v>
          </cell>
          <cell r="I1586" t="str">
            <v xml:space="preserve">7.9 Kg </v>
          </cell>
          <cell r="J1586" t="str">
            <v>237</v>
          </cell>
          <cell r="K1586">
            <v>8</v>
          </cell>
          <cell r="L1586" t="str">
            <v xml:space="preserve"> 14/06/2024 </v>
          </cell>
          <cell r="M1586" t="str">
            <v>Delivered</v>
          </cell>
          <cell r="N1586">
            <v>4</v>
          </cell>
          <cell r="O1586" t="str">
            <v>Yes</v>
          </cell>
        </row>
        <row r="1587">
          <cell r="A1587" t="str">
            <v>SHP-101087</v>
          </cell>
          <cell r="B1587" t="str">
            <v>10/02/2024</v>
          </cell>
          <cell r="C1587" t="str">
            <v xml:space="preserve"> CHENNAI </v>
          </cell>
          <cell r="D1587" t="str">
            <v>Xpress Bees</v>
          </cell>
          <cell r="E1587" t="str">
            <v>surface</v>
          </cell>
          <cell r="F1587" t="str">
            <v xml:space="preserve"> FURNITURE </v>
          </cell>
          <cell r="G1587" t="str">
            <v>west</v>
          </cell>
          <cell r="I1587" t="str">
            <v>39.7kg</v>
          </cell>
          <cell r="J1587" t="str">
            <v xml:space="preserve">Rs 1001 </v>
          </cell>
          <cell r="K1587">
            <v>6</v>
          </cell>
          <cell r="L1587" t="str">
            <v xml:space="preserve"> 21/02/2024 </v>
          </cell>
          <cell r="M1587" t="str">
            <v>DELAYED</v>
          </cell>
          <cell r="N1587">
            <v>5</v>
          </cell>
          <cell r="O1587" t="str">
            <v>YES</v>
          </cell>
        </row>
        <row r="1588">
          <cell r="A1588" t="str">
            <v>SHP-101466</v>
          </cell>
          <cell r="B1588" t="str">
            <v xml:space="preserve"> 08/06/2024 </v>
          </cell>
          <cell r="C1588" t="str">
            <v>KOLKATA</v>
          </cell>
          <cell r="D1588" t="str">
            <v>BlueDart</v>
          </cell>
          <cell r="E1588" t="str">
            <v>AIR</v>
          </cell>
          <cell r="F1588" t="str">
            <v>pharma</v>
          </cell>
          <cell r="G1588" t="str">
            <v xml:space="preserve">west </v>
          </cell>
          <cell r="I1588" t="str">
            <v>3.9kg</v>
          </cell>
          <cell r="J1588" t="str">
            <v xml:space="preserve">Rs 338 </v>
          </cell>
          <cell r="K1588">
            <v>4</v>
          </cell>
          <cell r="L1588" t="str">
            <v>12-Jun-2024</v>
          </cell>
          <cell r="M1588" t="str">
            <v>delivered</v>
          </cell>
          <cell r="N1588">
            <v>4</v>
          </cell>
          <cell r="O1588" t="str">
            <v>no</v>
          </cell>
        </row>
        <row r="1589">
          <cell r="A1589" t="str">
            <v>SHP-100458</v>
          </cell>
          <cell r="B1589" t="str">
            <v>24/05/2024</v>
          </cell>
          <cell r="C1589" t="str">
            <v>hyderabad</v>
          </cell>
          <cell r="D1589" t="str">
            <v>ecom express</v>
          </cell>
          <cell r="E1589" t="str">
            <v>air</v>
          </cell>
          <cell r="F1589" t="str">
            <v xml:space="preserve">  AUTOMOTIVE PARTS </v>
          </cell>
          <cell r="G1589" t="str">
            <v>EAST</v>
          </cell>
          <cell r="I1589" t="str">
            <v xml:space="preserve">7.9 Kg </v>
          </cell>
          <cell r="J1589" t="str">
            <v>₹564</v>
          </cell>
          <cell r="K1589">
            <v>4</v>
          </cell>
          <cell r="L1589" t="str">
            <v>2024-05-29</v>
          </cell>
          <cell r="M1589" t="str">
            <v xml:space="preserve"> Delayed</v>
          </cell>
          <cell r="N1589">
            <v>2</v>
          </cell>
          <cell r="O1589" t="str">
            <v>No</v>
          </cell>
        </row>
        <row r="1590">
          <cell r="A1590" t="str">
            <v>SHP-100987</v>
          </cell>
          <cell r="B1590" t="str">
            <v>13/02/2024</v>
          </cell>
          <cell r="C1590" t="str">
            <v xml:space="preserve">mumbai </v>
          </cell>
          <cell r="D1590" t="str">
            <v>Ecom  Express</v>
          </cell>
          <cell r="E1590" t="str">
            <v xml:space="preserve"> ROAD </v>
          </cell>
          <cell r="F1590" t="str">
            <v xml:space="preserve">  FURNITURE </v>
          </cell>
          <cell r="G1590" t="str">
            <v xml:space="preserve">south </v>
          </cell>
          <cell r="I1590" t="str">
            <v xml:space="preserve">67.8 Kg </v>
          </cell>
          <cell r="J1590" t="str">
            <v xml:space="preserve">Rs 1119 </v>
          </cell>
          <cell r="K1590">
            <v>8</v>
          </cell>
          <cell r="L1590" t="str">
            <v>21/02/2024</v>
          </cell>
          <cell r="M1590" t="str">
            <v xml:space="preserve"> DAMAGED</v>
          </cell>
          <cell r="O1590" t="str">
            <v xml:space="preserve"> No</v>
          </cell>
        </row>
        <row r="1591">
          <cell r="A1591" t="str">
            <v>SHP-100179</v>
          </cell>
          <cell r="B1591" t="str">
            <v>13-Jan-2024</v>
          </cell>
          <cell r="C1591" t="str">
            <v>hyderabad</v>
          </cell>
          <cell r="D1591" t="str">
            <v>ecom express</v>
          </cell>
          <cell r="E1591" t="str">
            <v>Air</v>
          </cell>
          <cell r="F1591" t="str">
            <v xml:space="preserve">electronics </v>
          </cell>
          <cell r="G1591" t="str">
            <v>EAST</v>
          </cell>
          <cell r="I1591" t="str">
            <v>11.8KG</v>
          </cell>
          <cell r="J1591" t="str">
            <v>₹686</v>
          </cell>
          <cell r="K1591">
            <v>4</v>
          </cell>
          <cell r="L1591" t="str">
            <v xml:space="preserve"> 17/01/2024 </v>
          </cell>
          <cell r="M1591" t="str">
            <v>Delivered</v>
          </cell>
          <cell r="N1591">
            <v>4</v>
          </cell>
          <cell r="O1591" t="str">
            <v>N</v>
          </cell>
        </row>
        <row r="1592">
          <cell r="A1592" t="str">
            <v>SHP-101258</v>
          </cell>
          <cell r="B1592" t="str">
            <v>24-Jun-2024</v>
          </cell>
          <cell r="C1592" t="str">
            <v xml:space="preserve"> MUMBAI </v>
          </cell>
          <cell r="D1592" t="str">
            <v>BlueDart</v>
          </cell>
          <cell r="E1592" t="str">
            <v>ROAD</v>
          </cell>
          <cell r="F1592" t="str">
            <v>GROCERY &amp; FMCG</v>
          </cell>
          <cell r="G1592" t="str">
            <v>West</v>
          </cell>
          <cell r="I1592" t="str">
            <v>9.2</v>
          </cell>
          <cell r="J1592" t="str">
            <v>175</v>
          </cell>
          <cell r="K1592">
            <v>6</v>
          </cell>
          <cell r="L1592" t="str">
            <v>2024-06-29</v>
          </cell>
          <cell r="M1592" t="str">
            <v>Delivered</v>
          </cell>
          <cell r="N1592">
            <v>4</v>
          </cell>
          <cell r="O1592" t="str">
            <v>YES</v>
          </cell>
        </row>
        <row r="1593">
          <cell r="A1593" t="str">
            <v>SHP-100918</v>
          </cell>
          <cell r="B1593" t="str">
            <v>22-Jun-2024</v>
          </cell>
          <cell r="C1593" t="str">
            <v>mumbai</v>
          </cell>
          <cell r="D1593" t="str">
            <v>BlueDart</v>
          </cell>
          <cell r="E1593" t="str">
            <v>Road</v>
          </cell>
          <cell r="F1593" t="str">
            <v xml:space="preserve"> FURNITURE </v>
          </cell>
          <cell r="G1593" t="str">
            <v>NORTH</v>
          </cell>
          <cell r="I1593" t="str">
            <v>77.2KG</v>
          </cell>
          <cell r="J1593" t="str">
            <v>₹1,207</v>
          </cell>
          <cell r="K1593">
            <v>8</v>
          </cell>
          <cell r="L1593" t="str">
            <v>2024-06-29</v>
          </cell>
          <cell r="M1593" t="str">
            <v>Delivered</v>
          </cell>
          <cell r="N1593">
            <v>3</v>
          </cell>
          <cell r="O1593" t="str">
            <v xml:space="preserve">yes </v>
          </cell>
        </row>
        <row r="1594">
          <cell r="A1594" t="str">
            <v>SHP-100423</v>
          </cell>
          <cell r="B1594" t="str">
            <v>2024-04-26</v>
          </cell>
          <cell r="C1594" t="str">
            <v xml:space="preserve">delhi </v>
          </cell>
          <cell r="D1594" t="str">
            <v>Ecom  Express</v>
          </cell>
          <cell r="E1594" t="str">
            <v xml:space="preserve"> SURFACE </v>
          </cell>
          <cell r="F1594" t="str">
            <v>grocery &amp; fmcg</v>
          </cell>
          <cell r="G1594" t="str">
            <v>WEST</v>
          </cell>
          <cell r="I1594" t="str">
            <v xml:space="preserve">2.4 Kg </v>
          </cell>
          <cell r="J1594" t="str">
            <v xml:space="preserve">Rs 240 </v>
          </cell>
          <cell r="K1594">
            <v>6</v>
          </cell>
          <cell r="L1594" t="str">
            <v>2024-05-09</v>
          </cell>
          <cell r="M1594" t="str">
            <v xml:space="preserve"> Delayed</v>
          </cell>
          <cell r="N1594">
            <v>4</v>
          </cell>
          <cell r="O1594" t="str">
            <v xml:space="preserve"> No</v>
          </cell>
        </row>
        <row r="1595">
          <cell r="A1595" t="str">
            <v>SHP-100237</v>
          </cell>
          <cell r="B1595" t="str">
            <v>11-Feb-2024</v>
          </cell>
          <cell r="C1595" t="str">
            <v>Delhi</v>
          </cell>
          <cell r="D1595" t="str">
            <v>delhivery</v>
          </cell>
          <cell r="E1595" t="str">
            <v>ROAD</v>
          </cell>
          <cell r="F1595" t="str">
            <v>ELECTRONICS</v>
          </cell>
          <cell r="G1595" t="str">
            <v xml:space="preserve">east </v>
          </cell>
          <cell r="I1595" t="str">
            <v>3.9</v>
          </cell>
          <cell r="J1595" t="str">
            <v>₹183</v>
          </cell>
          <cell r="K1595">
            <v>8</v>
          </cell>
          <cell r="L1595" t="str">
            <v xml:space="preserve"> 27/02/2024 </v>
          </cell>
          <cell r="M1595" t="str">
            <v>DELAYED</v>
          </cell>
          <cell r="N1595">
            <v>3</v>
          </cell>
          <cell r="O1595" t="str">
            <v>Yes</v>
          </cell>
        </row>
        <row r="1596">
          <cell r="A1596" t="str">
            <v>SHP-101341</v>
          </cell>
          <cell r="B1596" t="str">
            <v>13-Apr-2024</v>
          </cell>
          <cell r="C1596" t="str">
            <v xml:space="preserve">chennai </v>
          </cell>
          <cell r="D1596" t="str">
            <v>xpressbees</v>
          </cell>
          <cell r="E1596" t="str">
            <v xml:space="preserve"> AIR </v>
          </cell>
          <cell r="F1596" t="str">
            <v>AUTOMOTIVE PARTS</v>
          </cell>
          <cell r="G1596" t="str">
            <v xml:space="preserve">north </v>
          </cell>
          <cell r="I1596" t="str">
            <v xml:space="preserve">10.4 Kg </v>
          </cell>
          <cell r="J1596" t="str">
            <v xml:space="preserve">Rs 637 </v>
          </cell>
          <cell r="K1596">
            <v>4</v>
          </cell>
          <cell r="L1596" t="str">
            <v xml:space="preserve"> 26/04/2024 </v>
          </cell>
          <cell r="M1596" t="str">
            <v>DELAYED</v>
          </cell>
          <cell r="N1596">
            <v>3</v>
          </cell>
          <cell r="O1596" t="str">
            <v>no</v>
          </cell>
        </row>
        <row r="1597">
          <cell r="A1597" t="str">
            <v>SHP-101494</v>
          </cell>
          <cell r="B1597" t="str">
            <v xml:space="preserve"> 19/01/2024 </v>
          </cell>
          <cell r="C1597" t="str">
            <v xml:space="preserve"> MUMBAI </v>
          </cell>
          <cell r="D1597" t="str">
            <v>dtdc</v>
          </cell>
          <cell r="E1597" t="str">
            <v>AIR</v>
          </cell>
          <cell r="F1597" t="str">
            <v>apparel</v>
          </cell>
          <cell r="G1597" t="str">
            <v xml:space="preserve">south </v>
          </cell>
          <cell r="I1597" t="str">
            <v>3.1kg</v>
          </cell>
          <cell r="J1597" t="str">
            <v>₹310</v>
          </cell>
          <cell r="K1597">
            <v>4</v>
          </cell>
          <cell r="L1597" t="str">
            <v xml:space="preserve"> 25/01/2024 </v>
          </cell>
          <cell r="M1597" t="str">
            <v>DELAYED</v>
          </cell>
          <cell r="N1597">
            <v>4</v>
          </cell>
          <cell r="O1597" t="str">
            <v>YES</v>
          </cell>
        </row>
        <row r="1598">
          <cell r="A1598" t="str">
            <v>SHP-101518</v>
          </cell>
          <cell r="B1598" t="str">
            <v>14/05/2024</v>
          </cell>
          <cell r="C1598" t="str">
            <v xml:space="preserve"> MUMBAI </v>
          </cell>
          <cell r="D1598" t="str">
            <v xml:space="preserve"> Delhivery</v>
          </cell>
          <cell r="E1598" t="str">
            <v xml:space="preserve"> ROAD </v>
          </cell>
          <cell r="F1598" t="str">
            <v xml:space="preserve">  APPAREL </v>
          </cell>
          <cell r="G1598" t="str">
            <v>SOUTH</v>
          </cell>
          <cell r="I1598" t="str">
            <v>1.2</v>
          </cell>
          <cell r="J1598" t="str">
            <v>₹208</v>
          </cell>
          <cell r="K1598">
            <v>8</v>
          </cell>
          <cell r="L1598" t="str">
            <v xml:space="preserve"> 23/05/2024 </v>
          </cell>
          <cell r="M1598" t="str">
            <v xml:space="preserve"> Delayed</v>
          </cell>
          <cell r="N1598">
            <v>2</v>
          </cell>
          <cell r="O1598" t="str">
            <v xml:space="preserve"> No</v>
          </cell>
        </row>
        <row r="1599">
          <cell r="A1599" t="str">
            <v>SHP-101247</v>
          </cell>
          <cell r="B1599" t="str">
            <v>2024-04-24</v>
          </cell>
          <cell r="C1599" t="str">
            <v>kolkata</v>
          </cell>
          <cell r="D1599" t="str">
            <v>XpressBees</v>
          </cell>
          <cell r="E1599" t="str">
            <v xml:space="preserve">road </v>
          </cell>
          <cell r="F1599" t="str">
            <v>ELECTRONICS</v>
          </cell>
          <cell r="G1599" t="str">
            <v xml:space="preserve"> WEST </v>
          </cell>
          <cell r="I1599" t="str">
            <v>9.1</v>
          </cell>
          <cell r="J1599" t="str">
            <v>286</v>
          </cell>
          <cell r="K1599">
            <v>8</v>
          </cell>
          <cell r="L1599" t="str">
            <v>2024-05-01</v>
          </cell>
          <cell r="M1599" t="str">
            <v>DELIVERED</v>
          </cell>
          <cell r="N1599">
            <v>3</v>
          </cell>
          <cell r="O1599" t="str">
            <v xml:space="preserve"> No</v>
          </cell>
        </row>
        <row r="1600">
          <cell r="A1600" t="str">
            <v>SHP-100287</v>
          </cell>
          <cell r="B1600" t="str">
            <v>09-Mar-2024</v>
          </cell>
          <cell r="C1600" t="str">
            <v>hyderabad</v>
          </cell>
          <cell r="D1600" t="str">
            <v>BlueDart</v>
          </cell>
          <cell r="E1600" t="str">
            <v>air</v>
          </cell>
          <cell r="F1600" t="str">
            <v xml:space="preserve"> ELECTRONICS </v>
          </cell>
          <cell r="G1600" t="str">
            <v>NORTH</v>
          </cell>
          <cell r="I1600" t="str">
            <v>10.1kg</v>
          </cell>
          <cell r="J1600" t="str">
            <v xml:space="preserve">Rs 589 </v>
          </cell>
          <cell r="K1600">
            <v>4</v>
          </cell>
          <cell r="L1600" t="str">
            <v xml:space="preserve"> 12/03/2024 </v>
          </cell>
          <cell r="M1600" t="str">
            <v>delivered</v>
          </cell>
          <cell r="N1600">
            <v>4</v>
          </cell>
          <cell r="O1600" t="str">
            <v>YES</v>
          </cell>
        </row>
        <row r="1601">
          <cell r="A1601" t="str">
            <v>SHP-100559</v>
          </cell>
          <cell r="B1601" t="str">
            <v>2024-05-18</v>
          </cell>
          <cell r="C1601" t="str">
            <v xml:space="preserve"> BENGALURU </v>
          </cell>
          <cell r="D1601" t="str">
            <v>delhivery</v>
          </cell>
          <cell r="E1601" t="str">
            <v xml:space="preserve">air </v>
          </cell>
          <cell r="F1601" t="str">
            <v>electronics</v>
          </cell>
          <cell r="G1601" t="str">
            <v xml:space="preserve"> EAST </v>
          </cell>
          <cell r="I1601" t="str">
            <v>12.7kg</v>
          </cell>
          <cell r="J1601" t="str">
            <v xml:space="preserve">Rs 722 </v>
          </cell>
          <cell r="K1601">
            <v>4</v>
          </cell>
          <cell r="L1601" t="str">
            <v xml:space="preserve"> 23/05/2024 </v>
          </cell>
          <cell r="M1601" t="str">
            <v>DELAYED</v>
          </cell>
          <cell r="N1601">
            <v>2</v>
          </cell>
          <cell r="O1601" t="str">
            <v>No</v>
          </cell>
        </row>
        <row r="1602">
          <cell r="A1602" t="str">
            <v>SHP-100843</v>
          </cell>
          <cell r="B1602" t="str">
            <v xml:space="preserve"> 09/05/2024 </v>
          </cell>
          <cell r="C1602" t="str">
            <v>KOLKATA</v>
          </cell>
          <cell r="D1602" t="str">
            <v>BlueDart</v>
          </cell>
          <cell r="E1602" t="str">
            <v>AIR</v>
          </cell>
          <cell r="F1602" t="str">
            <v>Pharma</v>
          </cell>
          <cell r="G1602" t="str">
            <v xml:space="preserve"> SOUTH </v>
          </cell>
          <cell r="J1602" t="str">
            <v>₹222</v>
          </cell>
          <cell r="K1602">
            <v>4</v>
          </cell>
          <cell r="L1602" t="str">
            <v xml:space="preserve"> 14/05/2024 </v>
          </cell>
          <cell r="M1602" t="str">
            <v xml:space="preserve"> Delayed</v>
          </cell>
          <cell r="N1602">
            <v>2</v>
          </cell>
          <cell r="O1602" t="str">
            <v xml:space="preserve"> No</v>
          </cell>
        </row>
        <row r="1603">
          <cell r="A1603" t="str">
            <v>SHP-101315</v>
          </cell>
          <cell r="B1603" t="str">
            <v xml:space="preserve"> 01/04/2024 </v>
          </cell>
          <cell r="C1603" t="str">
            <v>bengaluru</v>
          </cell>
          <cell r="D1603" t="str">
            <v>xpressbees</v>
          </cell>
          <cell r="E1603" t="str">
            <v xml:space="preserve"> SURFACE </v>
          </cell>
          <cell r="F1603" t="str">
            <v>Electronics</v>
          </cell>
          <cell r="G1603" t="str">
            <v>North</v>
          </cell>
          <cell r="J1603" t="str">
            <v xml:space="preserve">Rs 391 </v>
          </cell>
          <cell r="K1603">
            <v>6</v>
          </cell>
          <cell r="L1603" t="str">
            <v>08-Apr-2024</v>
          </cell>
          <cell r="M1603" t="str">
            <v xml:space="preserve"> Delayed</v>
          </cell>
          <cell r="N1603">
            <v>1</v>
          </cell>
          <cell r="O1603" t="str">
            <v>No</v>
          </cell>
        </row>
        <row r="1604">
          <cell r="A1604" t="str">
            <v>SHP-100459</v>
          </cell>
          <cell r="B1604" t="str">
            <v xml:space="preserve"> 13/05/2024 </v>
          </cell>
          <cell r="C1604" t="str">
            <v xml:space="preserve"> CHENNAI </v>
          </cell>
          <cell r="D1604" t="str">
            <v>xpressbees</v>
          </cell>
          <cell r="E1604" t="str">
            <v>ROAD</v>
          </cell>
          <cell r="F1604" t="str">
            <v>electronics</v>
          </cell>
          <cell r="G1604" t="str">
            <v>north</v>
          </cell>
          <cell r="J1604" t="str">
            <v>₹136</v>
          </cell>
          <cell r="K1604">
            <v>8</v>
          </cell>
          <cell r="L1604" t="str">
            <v>2024-05-22</v>
          </cell>
          <cell r="M1604" t="str">
            <v xml:space="preserve">RETURNED </v>
          </cell>
          <cell r="O1604" t="str">
            <v xml:space="preserve"> No</v>
          </cell>
        </row>
        <row r="1605">
          <cell r="A1605" t="str">
            <v>SHP-101103</v>
          </cell>
          <cell r="B1605" t="str">
            <v>07-Jun-2024</v>
          </cell>
          <cell r="C1605" t="str">
            <v>kolkata</v>
          </cell>
          <cell r="D1605" t="str">
            <v>Ecom  Express</v>
          </cell>
          <cell r="E1605" t="str">
            <v>Air</v>
          </cell>
          <cell r="F1605" t="str">
            <v xml:space="preserve">furniture </v>
          </cell>
          <cell r="G1605" t="str">
            <v>south</v>
          </cell>
          <cell r="J1605" t="str">
            <v>₹1,099</v>
          </cell>
          <cell r="K1605">
            <v>4</v>
          </cell>
          <cell r="L1605" t="str">
            <v>2024-06-14</v>
          </cell>
          <cell r="M1605" t="str">
            <v xml:space="preserve">delayed </v>
          </cell>
          <cell r="N1605">
            <v>4</v>
          </cell>
          <cell r="O1605" t="str">
            <v>Yes</v>
          </cell>
        </row>
        <row r="1606">
          <cell r="A1606" t="str">
            <v>SHP-101592</v>
          </cell>
          <cell r="B1606" t="str">
            <v xml:space="preserve"> 23/02/2024 </v>
          </cell>
          <cell r="C1606" t="str">
            <v xml:space="preserve">chennai </v>
          </cell>
          <cell r="D1606" t="str">
            <v>xpressbees</v>
          </cell>
          <cell r="E1606" t="str">
            <v xml:space="preserve"> AIR </v>
          </cell>
          <cell r="F1606" t="str">
            <v xml:space="preserve"> FURNITURE </v>
          </cell>
          <cell r="G1606" t="str">
            <v>EAST</v>
          </cell>
          <cell r="J1606" t="str">
            <v xml:space="preserve">Rs 1793 </v>
          </cell>
          <cell r="K1606">
            <v>4</v>
          </cell>
          <cell r="L1606" t="str">
            <v>28-Feb-2024</v>
          </cell>
          <cell r="M1606" t="str">
            <v>DELAYED</v>
          </cell>
          <cell r="N1606">
            <v>2</v>
          </cell>
          <cell r="O1606" t="str">
            <v>no</v>
          </cell>
        </row>
        <row r="1607">
          <cell r="A1607" t="str">
            <v>SHP-101012</v>
          </cell>
          <cell r="B1607" t="str">
            <v xml:space="preserve"> 01/02/2024 </v>
          </cell>
          <cell r="C1607" t="str">
            <v xml:space="preserve">kolkata </v>
          </cell>
          <cell r="D1607" t="str">
            <v xml:space="preserve"> XPRESSBEES</v>
          </cell>
          <cell r="E1607" t="str">
            <v>road</v>
          </cell>
          <cell r="F1607" t="str">
            <v>APPAREL</v>
          </cell>
          <cell r="G1607" t="str">
            <v>north</v>
          </cell>
          <cell r="J1607" t="str">
            <v xml:space="preserve">Rs 199 </v>
          </cell>
          <cell r="K1607">
            <v>8</v>
          </cell>
          <cell r="L1607" t="str">
            <v>13-Feb-2024</v>
          </cell>
          <cell r="M1607" t="str">
            <v xml:space="preserve">delayed </v>
          </cell>
          <cell r="N1607">
            <v>3</v>
          </cell>
          <cell r="O1607" t="str">
            <v xml:space="preserve">yes </v>
          </cell>
        </row>
        <row r="1608">
          <cell r="A1608" t="str">
            <v>SHP-101260</v>
          </cell>
          <cell r="B1608" t="str">
            <v>23-May-2024</v>
          </cell>
          <cell r="C1608" t="str">
            <v>DELHI</v>
          </cell>
          <cell r="D1608" t="str">
            <v xml:space="preserve"> Delhivery</v>
          </cell>
          <cell r="E1608" t="str">
            <v>Surface</v>
          </cell>
          <cell r="F1608" t="str">
            <v xml:space="preserve">electronics </v>
          </cell>
          <cell r="G1608" t="str">
            <v xml:space="preserve">north </v>
          </cell>
          <cell r="J1608" t="str">
            <v xml:space="preserve">Rs 285 </v>
          </cell>
          <cell r="K1608">
            <v>4</v>
          </cell>
          <cell r="L1608" t="str">
            <v>2024-05-29</v>
          </cell>
          <cell r="M1608" t="str">
            <v xml:space="preserve">delayed </v>
          </cell>
          <cell r="N1608">
            <v>1</v>
          </cell>
          <cell r="O1608" t="str">
            <v>No</v>
          </cell>
        </row>
        <row r="1609">
          <cell r="A1609" t="str">
            <v>SHP-100309</v>
          </cell>
          <cell r="B1609" t="str">
            <v xml:space="preserve"> 03/04/2024 </v>
          </cell>
          <cell r="C1609" t="str">
            <v>CHENNAI</v>
          </cell>
          <cell r="D1609" t="str">
            <v>Blue Dart</v>
          </cell>
          <cell r="E1609" t="str">
            <v>air</v>
          </cell>
          <cell r="F1609" t="str">
            <v>Automotive Parts</v>
          </cell>
          <cell r="G1609" t="str">
            <v xml:space="preserve"> EAST </v>
          </cell>
          <cell r="J1609" t="str">
            <v xml:space="preserve">Rs 480 </v>
          </cell>
          <cell r="K1609">
            <v>4</v>
          </cell>
          <cell r="L1609" t="str">
            <v xml:space="preserve"> 08/04/2024 </v>
          </cell>
          <cell r="M1609" t="str">
            <v>DELAYED</v>
          </cell>
          <cell r="N1609">
            <v>4</v>
          </cell>
          <cell r="O1609" t="str">
            <v>no</v>
          </cell>
        </row>
        <row r="1610">
          <cell r="A1610" t="str">
            <v>SHP-100641</v>
          </cell>
          <cell r="B1610" t="str">
            <v>17/06/2024</v>
          </cell>
          <cell r="C1610" t="str">
            <v xml:space="preserve"> CHENNAI </v>
          </cell>
          <cell r="D1610" t="str">
            <v>DELHIVERY</v>
          </cell>
          <cell r="E1610" t="str">
            <v xml:space="preserve"> AIR </v>
          </cell>
          <cell r="F1610" t="str">
            <v xml:space="preserve">automotive parts </v>
          </cell>
          <cell r="G1610" t="str">
            <v xml:space="preserve">west </v>
          </cell>
          <cell r="J1610" t="str">
            <v xml:space="preserve">Rs 1090 </v>
          </cell>
          <cell r="K1610">
            <v>4</v>
          </cell>
          <cell r="L1610" t="str">
            <v>22/06/2024</v>
          </cell>
          <cell r="M1610" t="str">
            <v>DELAYED</v>
          </cell>
          <cell r="N1610">
            <v>3</v>
          </cell>
          <cell r="O1610" t="str">
            <v>no</v>
          </cell>
        </row>
        <row r="1611">
          <cell r="A1611" t="str">
            <v>SHP-100328</v>
          </cell>
          <cell r="B1611" t="str">
            <v>17-Mar-2024</v>
          </cell>
          <cell r="C1611" t="str">
            <v>kolkata</v>
          </cell>
          <cell r="D1611" t="str">
            <v xml:space="preserve"> DTDC</v>
          </cell>
          <cell r="E1611" t="str">
            <v>Surface</v>
          </cell>
          <cell r="F1611" t="str">
            <v>furniture</v>
          </cell>
          <cell r="G1611" t="str">
            <v xml:space="preserve"> SOUTH </v>
          </cell>
          <cell r="J1611" t="str">
            <v>₹1,528</v>
          </cell>
          <cell r="K1611">
            <v>6</v>
          </cell>
          <cell r="L1611" t="str">
            <v>2024-03-28</v>
          </cell>
          <cell r="M1611" t="str">
            <v>Delayed</v>
          </cell>
          <cell r="N1611">
            <v>2</v>
          </cell>
          <cell r="O1611" t="str">
            <v>No</v>
          </cell>
        </row>
        <row r="1612">
          <cell r="A1612" t="str">
            <v>SHP-100224</v>
          </cell>
          <cell r="B1612" t="str">
            <v>20/06/2024</v>
          </cell>
          <cell r="C1612" t="str">
            <v>HYDERABAD</v>
          </cell>
          <cell r="D1612" t="str">
            <v>XpressBees</v>
          </cell>
          <cell r="E1612" t="str">
            <v>air</v>
          </cell>
          <cell r="F1612" t="str">
            <v xml:space="preserve">grocery  &amp; fmcg </v>
          </cell>
          <cell r="G1612" t="str">
            <v>south</v>
          </cell>
          <cell r="J1612" t="str">
            <v>720</v>
          </cell>
          <cell r="K1612">
            <v>4</v>
          </cell>
          <cell r="L1612" t="str">
            <v xml:space="preserve"> 25/06/2024 </v>
          </cell>
          <cell r="M1612" t="str">
            <v>returned</v>
          </cell>
          <cell r="O1612" t="str">
            <v>Y</v>
          </cell>
        </row>
        <row r="1613">
          <cell r="A1613" t="str">
            <v>SHP-100206</v>
          </cell>
          <cell r="B1613" t="str">
            <v>07/03/2024</v>
          </cell>
          <cell r="C1613" t="str">
            <v>Hyderabad</v>
          </cell>
          <cell r="D1613" t="str">
            <v>bluedart</v>
          </cell>
          <cell r="E1613" t="str">
            <v>Surface</v>
          </cell>
          <cell r="F1613" t="str">
            <v>automotive  parts</v>
          </cell>
          <cell r="G1613" t="str">
            <v xml:space="preserve">south </v>
          </cell>
          <cell r="J1613" t="str">
            <v>383</v>
          </cell>
          <cell r="K1613">
            <v>6</v>
          </cell>
          <cell r="L1613" t="str">
            <v>2024-03-14</v>
          </cell>
          <cell r="M1613" t="str">
            <v>Delayed</v>
          </cell>
          <cell r="N1613">
            <v>1</v>
          </cell>
          <cell r="O1613" t="str">
            <v>no</v>
          </cell>
        </row>
        <row r="1614">
          <cell r="A1614" t="str">
            <v>SHP-101003</v>
          </cell>
          <cell r="B1614" t="str">
            <v>2024-06-22</v>
          </cell>
          <cell r="C1614" t="str">
            <v>BENGALURU</v>
          </cell>
          <cell r="D1614" t="str">
            <v>Xpress Bees</v>
          </cell>
          <cell r="E1614" t="str">
            <v>AIR</v>
          </cell>
          <cell r="F1614" t="str">
            <v xml:space="preserve"> APPAREL </v>
          </cell>
          <cell r="G1614" t="str">
            <v>West</v>
          </cell>
          <cell r="J1614" t="str">
            <v>529</v>
          </cell>
          <cell r="K1614">
            <v>4</v>
          </cell>
          <cell r="L1614" t="str">
            <v xml:space="preserve"> 29/06/2024 </v>
          </cell>
          <cell r="M1614" t="str">
            <v>DELAYED</v>
          </cell>
          <cell r="N1614">
            <v>5</v>
          </cell>
          <cell r="O1614" t="str">
            <v>N</v>
          </cell>
        </row>
        <row r="1615">
          <cell r="A1615" t="str">
            <v>SHP-100432</v>
          </cell>
          <cell r="B1615" t="str">
            <v>16/06/2024</v>
          </cell>
          <cell r="C1615" t="str">
            <v xml:space="preserve">chennai </v>
          </cell>
          <cell r="D1615" t="str">
            <v>delhivery</v>
          </cell>
          <cell r="E1615" t="str">
            <v>air</v>
          </cell>
          <cell r="F1615" t="str">
            <v xml:space="preserve">apparel </v>
          </cell>
          <cell r="G1615" t="str">
            <v>SOUTH</v>
          </cell>
          <cell r="J1615" t="str">
            <v xml:space="preserve">Rs 137 </v>
          </cell>
          <cell r="K1615">
            <v>2</v>
          </cell>
          <cell r="L1615" t="str">
            <v>18-Jun-2024</v>
          </cell>
          <cell r="M1615" t="str">
            <v xml:space="preserve"> Delivered</v>
          </cell>
          <cell r="N1615">
            <v>5</v>
          </cell>
          <cell r="O1615" t="str">
            <v>no</v>
          </cell>
        </row>
        <row r="1616">
          <cell r="A1616" t="str">
            <v>SHP-100200</v>
          </cell>
          <cell r="B1616" t="str">
            <v>2024-05-13</v>
          </cell>
          <cell r="C1616" t="str">
            <v>CHENNAI</v>
          </cell>
          <cell r="D1616" t="str">
            <v xml:space="preserve"> DTDC</v>
          </cell>
          <cell r="E1616" t="str">
            <v xml:space="preserve">air </v>
          </cell>
          <cell r="F1616" t="str">
            <v xml:space="preserve"> ELECTRONICS </v>
          </cell>
          <cell r="G1616" t="str">
            <v xml:space="preserve">north </v>
          </cell>
          <cell r="J1616" t="str">
            <v>209</v>
          </cell>
          <cell r="K1616">
            <v>4</v>
          </cell>
          <cell r="L1616" t="str">
            <v>2024-05-21</v>
          </cell>
          <cell r="M1616" t="str">
            <v xml:space="preserve">delayed </v>
          </cell>
          <cell r="N1616">
            <v>2</v>
          </cell>
          <cell r="O1616" t="str">
            <v>Yes</v>
          </cell>
        </row>
        <row r="1617">
          <cell r="A1617" t="str">
            <v>SHP-100674</v>
          </cell>
          <cell r="B1617" t="str">
            <v xml:space="preserve"> 27/01/2024 </v>
          </cell>
          <cell r="C1617" t="str">
            <v>delhi</v>
          </cell>
          <cell r="D1617" t="str">
            <v>dtdc</v>
          </cell>
          <cell r="E1617" t="str">
            <v xml:space="preserve">air </v>
          </cell>
          <cell r="F1617" t="str">
            <v xml:space="preserve">apparel </v>
          </cell>
          <cell r="G1617" t="str">
            <v>SOUTH</v>
          </cell>
          <cell r="J1617" t="str">
            <v>₹513</v>
          </cell>
          <cell r="K1617">
            <v>4</v>
          </cell>
          <cell r="L1617" t="str">
            <v xml:space="preserve"> 09/02/2024 </v>
          </cell>
          <cell r="M1617" t="str">
            <v xml:space="preserve">delayed </v>
          </cell>
          <cell r="N1617">
            <v>3</v>
          </cell>
          <cell r="O1617" t="str">
            <v xml:space="preserve">yes </v>
          </cell>
        </row>
        <row r="1618">
          <cell r="A1618" t="str">
            <v>SHP-101340</v>
          </cell>
          <cell r="B1618" t="str">
            <v xml:space="preserve"> 28/06/2024 </v>
          </cell>
          <cell r="C1618" t="str">
            <v>bengaluru</v>
          </cell>
          <cell r="D1618" t="str">
            <v>BlueDart</v>
          </cell>
          <cell r="E1618" t="str">
            <v xml:space="preserve"> AIR </v>
          </cell>
          <cell r="F1618" t="str">
            <v>Pharma</v>
          </cell>
          <cell r="G1618" t="str">
            <v>east</v>
          </cell>
          <cell r="J1618" t="str">
            <v>302</v>
          </cell>
          <cell r="K1618">
            <v>4</v>
          </cell>
          <cell r="L1618" t="str">
            <v>01/07/2024</v>
          </cell>
          <cell r="M1618" t="str">
            <v>DELIVERED</v>
          </cell>
          <cell r="N1618">
            <v>4</v>
          </cell>
          <cell r="O1618" t="str">
            <v>N</v>
          </cell>
        </row>
        <row r="1619">
          <cell r="A1619" t="str">
            <v>SHP-100591</v>
          </cell>
          <cell r="B1619" t="str">
            <v xml:space="preserve"> 22/02/2024 </v>
          </cell>
          <cell r="C1619" t="str">
            <v xml:space="preserve">bengaluru </v>
          </cell>
          <cell r="D1619" t="str">
            <v>ecom express</v>
          </cell>
          <cell r="E1619" t="str">
            <v xml:space="preserve">road </v>
          </cell>
          <cell r="F1619" t="str">
            <v xml:space="preserve">electronics </v>
          </cell>
          <cell r="G1619" t="str">
            <v xml:space="preserve"> SOUTH </v>
          </cell>
          <cell r="J1619" t="str">
            <v>₹139</v>
          </cell>
          <cell r="K1619">
            <v>6</v>
          </cell>
          <cell r="L1619" t="str">
            <v xml:space="preserve"> 29/02/2024 </v>
          </cell>
          <cell r="M1619" t="str">
            <v xml:space="preserve">delayed </v>
          </cell>
          <cell r="N1619">
            <v>2</v>
          </cell>
          <cell r="O1619" t="str">
            <v>no</v>
          </cell>
        </row>
      </sheetData>
      <sheetData sheetId="4"/>
      <sheetData sheetId="5"/>
      <sheetData sheetId="6"/>
      <sheetData sheetId="7"/>
      <sheetData sheetId="8">
        <row r="80">
          <cell r="I80" t="str">
            <v>Count of ShipmentID</v>
          </cell>
          <cell r="J80" t="str">
            <v>Damaged</v>
          </cell>
          <cell r="K80" t="str">
            <v>Returned</v>
          </cell>
        </row>
        <row r="81">
          <cell r="I81" t="str">
            <v>Row Labels</v>
          </cell>
          <cell r="L81" t="str">
            <v>damaged+returned</v>
          </cell>
          <cell r="M81" t="str">
            <v>grand total</v>
          </cell>
          <cell r="N81" t="str">
            <v>combined rate</v>
          </cell>
        </row>
        <row r="83">
          <cell r="I83" t="str">
            <v>Apparel</v>
          </cell>
          <cell r="J83">
            <v>4</v>
          </cell>
          <cell r="K83">
            <v>17</v>
          </cell>
          <cell r="L83">
            <v>21</v>
          </cell>
          <cell r="M83">
            <v>248</v>
          </cell>
          <cell r="N83">
            <v>8.4677419354838701</v>
          </cell>
        </row>
        <row r="84">
          <cell r="I84" t="str">
            <v>Automotive Parts</v>
          </cell>
          <cell r="J84">
            <v>7</v>
          </cell>
          <cell r="K84">
            <v>7</v>
          </cell>
          <cell r="L84">
            <v>14</v>
          </cell>
          <cell r="M84">
            <v>271</v>
          </cell>
          <cell r="N84">
            <v>5.1660516605166054</v>
          </cell>
        </row>
        <row r="85">
          <cell r="I85" t="str">
            <v>Electronics</v>
          </cell>
          <cell r="J85">
            <v>17</v>
          </cell>
          <cell r="K85">
            <v>11</v>
          </cell>
          <cell r="L85">
            <v>28</v>
          </cell>
          <cell r="M85">
            <v>255</v>
          </cell>
          <cell r="N85">
            <v>10.980392156862745</v>
          </cell>
        </row>
        <row r="86">
          <cell r="I86" t="str">
            <v>Furniture</v>
          </cell>
          <cell r="J86">
            <v>19</v>
          </cell>
          <cell r="K86">
            <v>5</v>
          </cell>
          <cell r="L86">
            <v>24</v>
          </cell>
          <cell r="M86">
            <v>267</v>
          </cell>
          <cell r="N86">
            <v>8.9887640449438209</v>
          </cell>
        </row>
        <row r="87">
          <cell r="I87" t="str">
            <v>Grocery &amp; Fmcg</v>
          </cell>
          <cell r="J87">
            <v>4</v>
          </cell>
          <cell r="K87">
            <v>6</v>
          </cell>
          <cell r="L87">
            <v>10</v>
          </cell>
          <cell r="M87">
            <v>268</v>
          </cell>
          <cell r="N87">
            <v>3.7313432835820892</v>
          </cell>
        </row>
        <row r="88">
          <cell r="I88" t="str">
            <v>Pharma</v>
          </cell>
          <cell r="J88">
            <v>2</v>
          </cell>
          <cell r="L88">
            <v>2</v>
          </cell>
          <cell r="M88">
            <v>283</v>
          </cell>
          <cell r="N88">
            <v>0.70671378091872794</v>
          </cell>
        </row>
        <row r="108">
          <cell r="G108" t="str">
            <v>Average of ActualDeliveryDays</v>
          </cell>
        </row>
        <row r="109">
          <cell r="F109">
            <v>55.8175011344794</v>
          </cell>
          <cell r="G109">
            <v>8.7142857142857135</v>
          </cell>
        </row>
        <row r="110">
          <cell r="E110" t="str">
            <v>Blue Dart</v>
          </cell>
          <cell r="F110">
            <v>100.489589831288</v>
          </cell>
          <cell r="G110">
            <v>5.9714285714285715</v>
          </cell>
        </row>
        <row r="111">
          <cell r="E111" t="str">
            <v>Bluedart</v>
          </cell>
          <cell r="F111">
            <v>83.972079821522399</v>
          </cell>
          <cell r="G111">
            <v>6.1957446808510639</v>
          </cell>
        </row>
        <row r="112">
          <cell r="E112" t="str">
            <v>Delhivery</v>
          </cell>
          <cell r="F112">
            <v>108.53782252667989</v>
          </cell>
          <cell r="G112">
            <v>6.270096463022508</v>
          </cell>
        </row>
        <row r="113">
          <cell r="E113" t="str">
            <v>Dtdc</v>
          </cell>
          <cell r="F113">
            <v>101.23633995434652</v>
          </cell>
          <cell r="G113">
            <v>7.5044510385756675</v>
          </cell>
        </row>
        <row r="114">
          <cell r="E114" t="str">
            <v>Ecom Express</v>
          </cell>
          <cell r="F114">
            <v>110.95345552291003</v>
          </cell>
          <cell r="G114">
            <v>6.7201365187713309</v>
          </cell>
        </row>
        <row r="115">
          <cell r="E115" t="str">
            <v>Xpress Bees</v>
          </cell>
          <cell r="F115">
            <v>106.22683916439202</v>
          </cell>
          <cell r="G115">
            <v>6.957746478873239</v>
          </cell>
        </row>
        <row r="116">
          <cell r="E116" t="str">
            <v>Xpressbees</v>
          </cell>
          <cell r="F116">
            <v>97.203941657500593</v>
          </cell>
          <cell r="G116">
            <v>6.7604562737642588</v>
          </cell>
        </row>
        <row r="123">
          <cell r="H123" t="str">
            <v>total shipment</v>
          </cell>
        </row>
        <row r="124">
          <cell r="I124" t="str">
            <v>On Time</v>
          </cell>
        </row>
        <row r="125">
          <cell r="G125" t="str">
            <v>Jan</v>
          </cell>
          <cell r="H125">
            <v>273</v>
          </cell>
          <cell r="I125">
            <v>0.54578754578754574</v>
          </cell>
        </row>
        <row r="126">
          <cell r="G126" t="str">
            <v>Feb</v>
          </cell>
          <cell r="H126">
            <v>229</v>
          </cell>
          <cell r="I126">
            <v>0.54585152838427953</v>
          </cell>
        </row>
        <row r="127">
          <cell r="G127" t="str">
            <v>Mar</v>
          </cell>
          <cell r="H127">
            <v>295</v>
          </cell>
          <cell r="I127">
            <v>0.42033898305084744</v>
          </cell>
        </row>
        <row r="128">
          <cell r="G128" t="str">
            <v>Apr</v>
          </cell>
          <cell r="H128">
            <v>258</v>
          </cell>
          <cell r="I128">
            <v>0.47674418604651164</v>
          </cell>
        </row>
        <row r="129">
          <cell r="G129" t="str">
            <v>May</v>
          </cell>
          <cell r="H129">
            <v>276</v>
          </cell>
          <cell r="I129">
            <v>0.48188405797101447</v>
          </cell>
        </row>
        <row r="130">
          <cell r="G130" t="str">
            <v>Jun</v>
          </cell>
          <cell r="H130">
            <v>269</v>
          </cell>
          <cell r="I130">
            <v>0.49814126394052044</v>
          </cell>
        </row>
        <row r="173">
          <cell r="G173" t="str">
            <v>Late% by bangalore</v>
          </cell>
        </row>
        <row r="174">
          <cell r="F174" t="str">
            <v>Blue Dart</v>
          </cell>
          <cell r="G174">
            <v>62.5</v>
          </cell>
        </row>
        <row r="175">
          <cell r="F175" t="str">
            <v>Bluedart</v>
          </cell>
          <cell r="G175">
            <v>37.14</v>
          </cell>
        </row>
        <row r="176">
          <cell r="F176" t="str">
            <v>Delhivery</v>
          </cell>
          <cell r="G176">
            <v>57.69</v>
          </cell>
        </row>
        <row r="177">
          <cell r="F177" t="str">
            <v>Dtdc</v>
          </cell>
          <cell r="G177">
            <v>62.96</v>
          </cell>
        </row>
        <row r="178">
          <cell r="F178" t="str">
            <v>Ecom Express</v>
          </cell>
          <cell r="G178">
            <v>65.12</v>
          </cell>
        </row>
        <row r="179">
          <cell r="F179" t="str">
            <v>Xpress Bees</v>
          </cell>
          <cell r="G179">
            <v>69.23</v>
          </cell>
        </row>
        <row r="180">
          <cell r="F180" t="str">
            <v>Xpressbees</v>
          </cell>
          <cell r="G180">
            <v>62.79</v>
          </cell>
        </row>
      </sheetData>
      <sheetData sheetId="9"/>
      <sheetData sheetId="10"/>
      <sheetData sheetId="11"/>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 table (2)"/>
    </sheetNames>
    <sheetDataSet>
      <sheetData sheetId="0">
        <row r="80">
          <cell r="I80" t="str">
            <v>Count of ShipmentID</v>
          </cell>
          <cell r="J80" t="str">
            <v>Damaged</v>
          </cell>
          <cell r="K80" t="str">
            <v>Returned</v>
          </cell>
        </row>
        <row r="81">
          <cell r="I81" t="str">
            <v>Row Labels</v>
          </cell>
          <cell r="L81" t="str">
            <v>damaged+returned</v>
          </cell>
          <cell r="M81" t="str">
            <v>grand total</v>
          </cell>
          <cell r="N81" t="str">
            <v>combined rate</v>
          </cell>
        </row>
        <row r="83">
          <cell r="I83" t="str">
            <v>Apparel</v>
          </cell>
          <cell r="J83">
            <v>4</v>
          </cell>
          <cell r="K83">
            <v>17</v>
          </cell>
          <cell r="L83">
            <v>21</v>
          </cell>
          <cell r="M83">
            <v>248</v>
          </cell>
          <cell r="N83">
            <v>8.4677419354838701</v>
          </cell>
        </row>
        <row r="84">
          <cell r="I84" t="str">
            <v>Automotive Parts</v>
          </cell>
          <cell r="J84">
            <v>7</v>
          </cell>
          <cell r="K84">
            <v>7</v>
          </cell>
          <cell r="L84">
            <v>14</v>
          </cell>
          <cell r="M84">
            <v>271</v>
          </cell>
          <cell r="N84">
            <v>5.1660516605166054</v>
          </cell>
        </row>
        <row r="85">
          <cell r="I85" t="str">
            <v>Electronics</v>
          </cell>
          <cell r="J85">
            <v>17</v>
          </cell>
          <cell r="K85">
            <v>11</v>
          </cell>
          <cell r="L85">
            <v>28</v>
          </cell>
          <cell r="M85">
            <v>255</v>
          </cell>
          <cell r="N85">
            <v>10.980392156862745</v>
          </cell>
        </row>
        <row r="86">
          <cell r="I86" t="str">
            <v>Furniture</v>
          </cell>
          <cell r="J86">
            <v>19</v>
          </cell>
          <cell r="K86">
            <v>5</v>
          </cell>
          <cell r="L86">
            <v>24</v>
          </cell>
          <cell r="M86">
            <v>267</v>
          </cell>
          <cell r="N86">
            <v>8.9887640449438209</v>
          </cell>
        </row>
        <row r="87">
          <cell r="I87" t="str">
            <v>Grocery &amp; Fmcg</v>
          </cell>
          <cell r="J87">
            <v>4</v>
          </cell>
          <cell r="K87">
            <v>6</v>
          </cell>
          <cell r="L87">
            <v>10</v>
          </cell>
          <cell r="M87">
            <v>268</v>
          </cell>
          <cell r="N87">
            <v>3.7313432835820892</v>
          </cell>
        </row>
        <row r="88">
          <cell r="I88" t="str">
            <v>Pharma</v>
          </cell>
          <cell r="J88">
            <v>2</v>
          </cell>
          <cell r="L88">
            <v>2</v>
          </cell>
          <cell r="M88">
            <v>283</v>
          </cell>
          <cell r="N88">
            <v>0.70671378091872794</v>
          </cell>
        </row>
        <row r="108">
          <cell r="G108" t="str">
            <v>Average of ActualDeliveryDays</v>
          </cell>
        </row>
        <row r="109">
          <cell r="F109">
            <v>55.8175011344794</v>
          </cell>
          <cell r="G109">
            <v>8.7142857142857135</v>
          </cell>
        </row>
        <row r="110">
          <cell r="E110" t="str">
            <v>Blue Dart</v>
          </cell>
          <cell r="F110">
            <v>100.489589831288</v>
          </cell>
          <cell r="G110">
            <v>5.9714285714285715</v>
          </cell>
        </row>
        <row r="111">
          <cell r="E111" t="str">
            <v>Bluedart</v>
          </cell>
          <cell r="F111">
            <v>83.972079821522399</v>
          </cell>
          <cell r="G111">
            <v>6.1957446808510639</v>
          </cell>
        </row>
        <row r="112">
          <cell r="E112" t="str">
            <v>Delhivery</v>
          </cell>
          <cell r="F112">
            <v>108.53782252667989</v>
          </cell>
          <cell r="G112">
            <v>6.270096463022508</v>
          </cell>
        </row>
        <row r="113">
          <cell r="E113" t="str">
            <v>Dtdc</v>
          </cell>
          <cell r="F113">
            <v>101.23633995434652</v>
          </cell>
          <cell r="G113">
            <v>7.5044510385756675</v>
          </cell>
        </row>
        <row r="114">
          <cell r="E114" t="str">
            <v>Ecom Express</v>
          </cell>
          <cell r="F114">
            <v>110.95345552291003</v>
          </cell>
          <cell r="G114">
            <v>6.7201365187713309</v>
          </cell>
        </row>
        <row r="115">
          <cell r="E115" t="str">
            <v>Xpress Bees</v>
          </cell>
          <cell r="F115">
            <v>106.22683916439202</v>
          </cell>
          <cell r="G115">
            <v>6.957746478873239</v>
          </cell>
        </row>
        <row r="116">
          <cell r="E116" t="str">
            <v>Xpressbees</v>
          </cell>
          <cell r="F116">
            <v>97.203941657500593</v>
          </cell>
          <cell r="G116">
            <v>6.7604562737642588</v>
          </cell>
        </row>
        <row r="123">
          <cell r="H123" t="str">
            <v>total shipment</v>
          </cell>
        </row>
        <row r="124">
          <cell r="I124" t="str">
            <v>On Time</v>
          </cell>
        </row>
        <row r="125">
          <cell r="G125" t="str">
            <v>Jan</v>
          </cell>
          <cell r="H125">
            <v>273</v>
          </cell>
          <cell r="I125">
            <v>0.54578754578754574</v>
          </cell>
        </row>
        <row r="126">
          <cell r="G126" t="str">
            <v>Feb</v>
          </cell>
          <cell r="H126">
            <v>229</v>
          </cell>
          <cell r="I126">
            <v>0.54585152838427953</v>
          </cell>
        </row>
        <row r="127">
          <cell r="G127" t="str">
            <v>Mar</v>
          </cell>
          <cell r="H127">
            <v>295</v>
          </cell>
          <cell r="I127">
            <v>0.42033898305084744</v>
          </cell>
        </row>
        <row r="128">
          <cell r="G128" t="str">
            <v>Apr</v>
          </cell>
          <cell r="H128">
            <v>258</v>
          </cell>
          <cell r="I128">
            <v>0.47674418604651164</v>
          </cell>
        </row>
        <row r="129">
          <cell r="G129" t="str">
            <v>May</v>
          </cell>
          <cell r="H129">
            <v>276</v>
          </cell>
          <cell r="I129">
            <v>0.48188405797101447</v>
          </cell>
        </row>
        <row r="130">
          <cell r="G130" t="str">
            <v>Jun</v>
          </cell>
          <cell r="H130">
            <v>269</v>
          </cell>
          <cell r="I130">
            <v>0.49814126394052044</v>
          </cell>
        </row>
        <row r="173">
          <cell r="G173" t="str">
            <v>Late% by bangalore</v>
          </cell>
        </row>
        <row r="174">
          <cell r="F174" t="str">
            <v>Blue Dart</v>
          </cell>
          <cell r="G174">
            <v>62.5</v>
          </cell>
        </row>
        <row r="175">
          <cell r="F175" t="str">
            <v>Bluedart</v>
          </cell>
          <cell r="G175">
            <v>37.14</v>
          </cell>
        </row>
        <row r="176">
          <cell r="F176" t="str">
            <v>Delhivery</v>
          </cell>
          <cell r="G176">
            <v>57.69</v>
          </cell>
        </row>
        <row r="177">
          <cell r="F177" t="str">
            <v>Dtdc</v>
          </cell>
          <cell r="G177">
            <v>62.96</v>
          </cell>
        </row>
        <row r="178">
          <cell r="F178" t="str">
            <v>Ecom Express</v>
          </cell>
          <cell r="G178">
            <v>65.12</v>
          </cell>
        </row>
        <row r="179">
          <cell r="F179" t="str">
            <v>Xpress Bees</v>
          </cell>
          <cell r="G179">
            <v>69.23</v>
          </cell>
        </row>
        <row r="180">
          <cell r="F180" t="str">
            <v>Xpressbees</v>
          </cell>
          <cell r="G180">
            <v>62.79</v>
          </cell>
        </row>
      </sheetData>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Logistics_MiniProject_Cleaning_Analysis_Dataset%20Que%20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NAF097" refreshedDate="46308.869087615742" createdVersion="8" refreshedVersion="8" minRefreshableVersion="3" recordCount="1600" xr:uid="{7A1D2686-D111-4D4C-BFB6-C86D4CDAC7DC}">
  <cacheSource type="worksheet">
    <worksheetSource ref="A1:T1601" sheet="CleanData_Workspace" r:id="rId2"/>
  </cacheSource>
  <cacheFields count="22">
    <cacheField name="ShipmentID" numFmtId="0">
      <sharedItems count="1600">
        <s v="SHP-100249"/>
        <s v="SHP-101054"/>
        <s v="SHP-100119"/>
        <s v="SHP-100704"/>
        <s v="SHP-101136"/>
        <s v="SHP-101187"/>
        <s v="SHP-101200"/>
        <s v="SHP-100807"/>
        <s v="SHP-100405"/>
        <s v="SHP-100758"/>
        <s v="SHP-100042"/>
        <s v="SHP-101596"/>
        <s v="SHP-101460"/>
        <s v="SHP-100719"/>
        <s v="SHP-101543"/>
        <s v="SHP-101265"/>
        <s v="SHP-100040"/>
        <s v="SHP-101367"/>
        <s v="SHP-101061"/>
        <s v="SHP-101426"/>
        <s v="SHP-100215"/>
        <s v="SHP-100452"/>
        <s v="SHP-100481"/>
        <s v="SHP-100835"/>
        <s v="SHP-100401"/>
        <s v="SHP-101553"/>
        <s v="SHP-101597"/>
        <s v="SHP-101375"/>
        <s v="SHP-101496"/>
        <s v="SHP-100996"/>
        <s v="SHP-100284"/>
        <s v="SHP-100268"/>
        <s v="SHP-101231"/>
        <s v="SHP-100094"/>
        <s v="SHP-101467"/>
        <s v="SHP-101221"/>
        <s v="SHP-100468"/>
        <s v="SHP-100953"/>
        <s v="SHP-100218"/>
        <s v="SHP-101056"/>
        <s v="SHP-101308"/>
        <s v="SHP-101014"/>
        <s v="SHP-100356"/>
        <s v="SHP-100838"/>
        <s v="SHP-101025"/>
        <s v="SHP-100402"/>
        <s v="SHP-101165"/>
        <s v="SHP-101414"/>
        <s v="SHP-100659"/>
        <s v="SHP-101179"/>
        <s v="SHP-100462"/>
        <s v="SHP-100557"/>
        <s v="SHP-101587"/>
        <s v="SHP-100133"/>
        <s v="SHP-100320"/>
        <s v="SHP-101295"/>
        <s v="SHP-100436"/>
        <s v="SHP-100223"/>
        <s v="SHP-101431"/>
        <s v="SHP-101504"/>
        <s v="SHP-101065"/>
        <s v="SHP-100022"/>
        <s v="SHP-101243"/>
        <s v="SHP-101401"/>
        <s v="SHP-101491"/>
        <s v="SHP-100266"/>
        <s v="SHP-100575"/>
        <s v="SHP-101196"/>
        <s v="SHP-100991"/>
        <s v="SHP-100752"/>
        <s v="SHP-101299"/>
        <s v="SHP-101418"/>
        <s v="SHP-101049"/>
        <s v="SHP-100587"/>
        <s v="SHP-101275"/>
        <s v="SHP-101399"/>
        <s v="SHP-101081"/>
        <s v="SHP-100227"/>
        <s v="SHP-100016"/>
        <s v="SHP-100949"/>
        <s v="SHP-101287"/>
        <s v="SHP-101474"/>
        <s v="SHP-100532"/>
        <s v="SHP-100387"/>
        <s v="SHP-100112"/>
        <s v="SHP-100973"/>
        <s v="SHP-101207"/>
        <s v="SHP-100202"/>
        <s v="SHP-100888"/>
        <s v="SHP-100647"/>
        <s v="SHP-101026"/>
        <s v="SHP-101000"/>
        <s v="SHP-100876"/>
        <s v="SHP-100625"/>
        <s v="SHP-101320"/>
        <s v="SHP-101156"/>
        <s v="SHP-100296"/>
        <s v="SHP-100240"/>
        <s v="SHP-100797"/>
        <s v="SHP-101385"/>
        <s v="SHP-100299"/>
        <s v="SHP-100126"/>
        <s v="SHP-100330"/>
        <s v="SHP-100628"/>
        <s v="SHP-100877"/>
        <s v="SHP-100372"/>
        <s v="SHP-100737"/>
        <s v="SHP-100025"/>
        <s v="SHP-100046"/>
        <s v="SHP-101028"/>
        <s v="SHP-100024"/>
        <s v="SHP-100667"/>
        <s v="SHP-100092"/>
        <s v="SHP-100757"/>
        <s v="SHP-100271"/>
        <s v="SHP-100681"/>
        <s v="SHP-100233"/>
        <s v="SHP-100668"/>
        <s v="SHP-100315"/>
        <s v="SHP-100910"/>
        <s v="SHP-101396"/>
        <s v="SHP-101479"/>
        <s v="SHP-101192"/>
        <s v="SHP-100030"/>
        <s v="SHP-101242"/>
        <s v="SHP-100930"/>
        <s v="SHP-100638"/>
        <s v="SHP-100536"/>
        <s v="SHP-100676"/>
        <s v="SHP-101566"/>
        <s v="SHP-101130"/>
        <s v="SHP-100868"/>
        <s v="SHP-100178"/>
        <s v="SHP-100597"/>
        <s v="SHP-101121"/>
        <s v="SHP-101349"/>
        <s v="SHP-101342"/>
        <s v="SHP-101036"/>
        <s v="SHP-101415"/>
        <s v="SHP-101499"/>
        <s v="SHP-101159"/>
        <s v="SHP-101217"/>
        <s v="SHP-100974"/>
        <s v="SHP-100261"/>
        <s v="SHP-101339"/>
        <s v="SHP-100798"/>
        <s v="SHP-101424"/>
        <s v="SHP-101263"/>
        <s v="SHP-100819"/>
        <s v="SHP-100246"/>
        <s v="SHP-101459"/>
        <s v="SHP-100503"/>
        <s v="SHP-100454"/>
        <s v="SHP-100613"/>
        <s v="SHP-100054"/>
        <s v="SHP-100565"/>
        <s v="SHP-100817"/>
        <s v="SHP-100553"/>
        <s v="SHP-100277"/>
        <s v="SHP-100745"/>
        <s v="SHP-101190"/>
        <s v="SHP-100419"/>
        <s v="SHP-101125"/>
        <s v="SHP-100825"/>
        <s v="SHP-100862"/>
        <s v="SHP-100026"/>
        <s v="SHP-100428"/>
        <s v="SHP-100728"/>
        <s v="SHP-101300"/>
        <s v="SHP-101573"/>
        <s v="SHP-100969"/>
        <s v="SHP-100992"/>
        <s v="SHP-100263"/>
        <s v="SHP-100945"/>
        <s v="SHP-101173"/>
        <s v="SHP-101206"/>
        <s v="SHP-101115"/>
        <s v="SHP-101485"/>
        <s v="SHP-100782"/>
        <s v="SHP-100236"/>
        <s v="SHP-100476"/>
        <s v="SHP-100649"/>
        <s v="SHP-100897"/>
        <s v="SHP-101114"/>
        <s v="SHP-100491"/>
        <s v="SHP-100617"/>
        <s v="SHP-101149"/>
        <s v="SHP-100946"/>
        <s v="SHP-100956"/>
        <s v="SHP-100615"/>
        <s v="SHP-101266"/>
        <s v="SHP-101224"/>
        <s v="SHP-100519"/>
        <s v="SHP-101515"/>
        <s v="SHP-101010"/>
        <s v="SHP-101334"/>
        <s v="SHP-101160"/>
        <s v="SHP-101529"/>
        <s v="SHP-101215"/>
        <s v="SHP-101112"/>
        <s v="SHP-101472"/>
        <s v="SHP-100076"/>
        <s v="SHP-100721"/>
        <s v="SHP-100778"/>
        <s v="SHP-101046"/>
        <s v="SHP-100176"/>
        <s v="SHP-100225"/>
        <s v="SHP-100107"/>
        <s v="SHP-101393"/>
        <s v="SHP-100230"/>
        <s v="SHP-101481"/>
        <s v="SHP-101454"/>
        <s v="SHP-100763"/>
        <s v="SHP-101053"/>
        <s v="SHP-100751"/>
        <s v="SHP-100294"/>
        <s v="SHP-101329"/>
        <s v="SHP-100482"/>
        <s v="SHP-101365"/>
        <s v="SHP-100168"/>
        <s v="SHP-100556"/>
        <s v="SHP-100756"/>
        <s v="SHP-101172"/>
        <s v="SHP-100770"/>
        <s v="SHP-101104"/>
        <s v="SHP-100438"/>
        <s v="SHP-101350"/>
        <s v="SHP-100364"/>
        <s v="SHP-100235"/>
        <s v="SHP-100145"/>
        <s v="SHP-100146"/>
        <s v="SHP-100464"/>
        <s v="SHP-100073"/>
        <s v="SHP-101166"/>
        <s v="SHP-101352"/>
        <s v="SHP-100128"/>
        <s v="SHP-100460"/>
        <s v="SHP-100512"/>
        <s v="SHP-101516"/>
        <s v="SHP-100052"/>
        <s v="SHP-100391"/>
        <s v="SHP-100466"/>
        <s v="SHP-100148"/>
        <s v="SHP-101324"/>
        <s v="SHP-101264"/>
        <s v="SHP-101600"/>
        <s v="SHP-100193"/>
        <s v="SHP-101429"/>
        <s v="SHP-100599"/>
        <s v="SHP-101523"/>
        <s v="SHP-101362"/>
        <s v="SHP-100913"/>
        <s v="SHP-100147"/>
        <s v="SHP-100352"/>
        <s v="SHP-100709"/>
        <s v="SHP-100007"/>
        <s v="SHP-101163"/>
        <s v="SHP-100407"/>
        <s v="SHP-101091"/>
        <s v="SHP-100788"/>
        <s v="SHP-100087"/>
        <s v="SHP-101502"/>
        <s v="SHP-100963"/>
        <s v="SHP-100404"/>
        <s v="SHP-100718"/>
        <s v="SHP-101099"/>
        <s v="SHP-100102"/>
        <s v="SHP-100110"/>
        <s v="SHP-100053"/>
        <s v="SHP-100275"/>
        <s v="SHP-100618"/>
        <s v="SHP-100339"/>
        <s v="SHP-101267"/>
        <s v="SHP-101072"/>
        <s v="SHP-100337"/>
        <s v="SHP-100875"/>
        <s v="SHP-100787"/>
        <s v="SHP-101435"/>
        <s v="SHP-100768"/>
        <s v="SHP-100274"/>
        <s v="SHP-100004"/>
        <s v="SHP-100393"/>
        <s v="SHP-100530"/>
        <s v="SHP-101539"/>
        <s v="SHP-101116"/>
        <s v="SHP-101073"/>
        <s v="SHP-101388"/>
        <s v="SHP-101562"/>
        <s v="SHP-101487"/>
        <s v="SHP-100691"/>
        <s v="SHP-100361"/>
        <s v="SHP-100699"/>
        <s v="SHP-101157"/>
        <s v="SHP-101259"/>
        <s v="SHP-100324"/>
        <s v="SHP-100748"/>
        <s v="SHP-100510"/>
        <s v="SHP-100999"/>
        <s v="SHP-101290"/>
        <s v="SHP-100603"/>
        <s v="SHP-101255"/>
        <s v="SHP-100199"/>
        <s v="SHP-100293"/>
        <s v="SHP-100429"/>
        <s v="SHP-101285"/>
        <s v="SHP-101500"/>
        <s v="SHP-100566"/>
        <s v="SHP-101488"/>
        <s v="SHP-101423"/>
        <s v="SHP-101269"/>
        <s v="SHP-100933"/>
        <s v="SHP-100033"/>
        <s v="SHP-100472"/>
        <s v="SHP-100111"/>
        <s v="SHP-101555"/>
        <s v="SHP-101514"/>
        <s v="SHP-101212"/>
        <s v="SHP-101469"/>
        <s v="SHP-101022"/>
        <s v="SHP-100810"/>
        <s v="SHP-101204"/>
        <s v="SHP-101403"/>
        <s v="SHP-100125"/>
        <s v="SHP-100658"/>
        <s v="SHP-100017"/>
        <s v="SHP-100437"/>
        <s v="SHP-100057"/>
        <s v="SHP-100098"/>
        <s v="SHP-101277"/>
        <s v="SHP-101189"/>
        <s v="SHP-101032"/>
        <s v="SHP-101085"/>
        <s v="SHP-100808"/>
        <s v="SHP-101298"/>
        <s v="SHP-100105"/>
        <s v="SHP-100706"/>
        <s v="SHP-101019"/>
        <s v="SHP-101082"/>
        <s v="SHP-101068"/>
        <s v="SHP-100072"/>
        <s v="SHP-101235"/>
        <s v="SHP-100535"/>
        <s v="SHP-100153"/>
        <s v="SHP-101093"/>
        <s v="SHP-100045"/>
        <s v="SHP-101448"/>
        <s v="SHP-100114"/>
        <s v="SHP-101359"/>
        <s v="SHP-101303"/>
        <s v="SHP-101198"/>
        <s v="SHP-100742"/>
        <s v="SHP-101326"/>
        <s v="SHP-101498"/>
        <s v="SHP-101591"/>
        <s v="SHP-101067"/>
        <s v="SHP-101142"/>
        <s v="SHP-100712"/>
        <s v="SHP-101007"/>
        <s v="SHP-101501"/>
        <s v="SHP-100753"/>
        <s v="SHP-101482"/>
        <s v="SHP-101021"/>
        <s v="SHP-100909"/>
        <s v="SHP-101336"/>
        <s v="SHP-100637"/>
        <s v="SHP-100891"/>
        <s v="SHP-100765"/>
        <s v="SHP-101105"/>
        <s v="SHP-100564"/>
        <s v="SHP-100927"/>
        <s v="SHP-100750"/>
        <s v="SHP-101131"/>
        <s v="SHP-100551"/>
        <s v="SHP-100058"/>
        <s v="SHP-101134"/>
        <s v="SHP-100623"/>
        <s v="SHP-100253"/>
        <s v="SHP-100593"/>
        <s v="SHP-100021"/>
        <s v="SHP-100486"/>
        <s v="SHP-100323"/>
        <s v="SHP-101216"/>
        <s v="SHP-101405"/>
        <s v="SHP-100326"/>
        <s v="SHP-101020"/>
        <s v="SHP-101175"/>
        <s v="SHP-100560"/>
        <s v="SHP-100707"/>
        <s v="SHP-100359"/>
        <s v="SHP-100234"/>
        <s v="SHP-100470"/>
        <s v="SHP-100717"/>
        <s v="SHP-101480"/>
        <s v="SHP-100442"/>
        <s v="SHP-100664"/>
        <s v="SHP-100408"/>
        <s v="SHP-101292"/>
        <s v="SHP-100050"/>
        <s v="SHP-100776"/>
        <s v="SHP-100896"/>
        <s v="SHP-100304"/>
        <s v="SHP-100555"/>
        <s v="SHP-100286"/>
        <s v="SHP-101445"/>
        <s v="SHP-100241"/>
        <s v="SHP-100150"/>
        <s v="SHP-100029"/>
        <s v="SHP-100139"/>
        <s v="SHP-101106"/>
        <s v="SHP-100446"/>
        <s v="SHP-100157"/>
        <s v="SHP-100158"/>
        <s v="SHP-101321"/>
        <s v="SHP-100692"/>
        <s v="SHP-101013"/>
        <s v="SHP-100221"/>
        <s v="SHP-100705"/>
        <s v="SHP-100541"/>
        <s v="SHP-100988"/>
        <s v="SHP-100144"/>
        <s v="SHP-100632"/>
        <s v="SHP-100701"/>
        <s v="SHP-100191"/>
        <s v="SHP-100212"/>
        <s v="SHP-100698"/>
        <s v="SHP-100520"/>
        <s v="SHP-100762"/>
        <s v="SHP-100904"/>
        <s v="SHP-100307"/>
        <s v="SHP-101337"/>
        <s v="SHP-100906"/>
        <s v="SHP-100899"/>
        <s v="SHP-100259"/>
        <s v="SHP-101489"/>
        <s v="SHP-100427"/>
        <s v="SHP-100677"/>
        <s v="SHP-100239"/>
        <s v="SHP-100852"/>
        <s v="SHP-100377"/>
        <s v="SHP-101317"/>
        <s v="SHP-101416"/>
        <s v="SHP-100378"/>
        <s v="SHP-101455"/>
        <s v="SHP-100609"/>
        <s v="SHP-100873"/>
        <s v="SHP-100985"/>
        <s v="SHP-100395"/>
        <s v="SHP-101312"/>
        <s v="SHP-101331"/>
        <s v="SHP-101239"/>
        <s v="SHP-100020"/>
        <s v="SHP-100656"/>
        <s v="SHP-100531"/>
        <s v="SHP-100571"/>
        <s v="SHP-100893"/>
        <s v="SHP-101111"/>
        <s v="SHP-101372"/>
        <s v="SHP-100185"/>
        <s v="SHP-101313"/>
        <s v="SHP-100160"/>
        <s v="SHP-100871"/>
        <s v="SHP-100997"/>
        <s v="SHP-101384"/>
        <s v="SHP-101536"/>
        <s v="SHP-101520"/>
        <s v="SHP-101505"/>
        <s v="SHP-101005"/>
        <s v="SHP-100127"/>
        <s v="SHP-101319"/>
        <s v="SHP-100943"/>
        <s v="SHP-101507"/>
        <s v="SHP-100341"/>
        <s v="SHP-100014"/>
        <s v="SHP-100984"/>
        <s v="SHP-100194"/>
        <s v="SHP-100612"/>
        <s v="SHP-100994"/>
        <s v="SHP-100804"/>
        <s v="SHP-100264"/>
        <s v="SHP-100113"/>
        <s v="SHP-100340"/>
        <s v="SHP-100188"/>
        <s v="SHP-100775"/>
        <s v="SHP-100828"/>
        <s v="SHP-100731"/>
        <s v="SHP-100822"/>
        <s v="SHP-101522"/>
        <s v="SHP-100195"/>
        <s v="SHP-100738"/>
        <s v="SHP-100374"/>
        <s v="SHP-101152"/>
        <s v="SHP-100544"/>
        <s v="SHP-101495"/>
        <s v="SHP-101048"/>
        <s v="SHP-100344"/>
        <s v="SHP-100108"/>
        <s v="SHP-101391"/>
        <s v="SHP-100247"/>
        <s v="SHP-100398"/>
        <s v="SHP-100306"/>
        <s v="SHP-100961"/>
        <s v="SHP-100485"/>
        <s v="SHP-101236"/>
        <s v="SHP-100104"/>
        <s v="SHP-101316"/>
        <s v="SHP-100608"/>
        <s v="SHP-100031"/>
        <s v="SHP-100065"/>
        <s v="SHP-101132"/>
        <s v="SHP-101120"/>
        <s v="SHP-100056"/>
        <s v="SHP-100012"/>
        <s v="SHP-101229"/>
        <s v="SHP-100735"/>
        <s v="SHP-101556"/>
        <s v="SHP-100967"/>
        <s v="SHP-100312"/>
        <s v="SHP-101508"/>
        <s v="SHP-101024"/>
        <s v="SHP-101199"/>
        <s v="SHP-100769"/>
        <s v="SHP-101526"/>
        <s v="SHP-101449"/>
        <s v="SHP-101143"/>
        <s v="SHP-100346"/>
        <s v="SHP-100130"/>
        <s v="SHP-100727"/>
        <s v="SHP-100786"/>
        <s v="SHP-101478"/>
        <s v="SHP-101381"/>
        <s v="SHP-101534"/>
        <s v="SHP-100651"/>
        <s v="SHP-101064"/>
        <s v="SHP-100538"/>
        <s v="SHP-100207"/>
        <s v="SHP-101015"/>
        <s v="SHP-101440"/>
        <s v="SHP-101170"/>
        <s v="SHP-100887"/>
        <s v="SHP-100134"/>
        <s v="SHP-101383"/>
        <s v="SHP-100935"/>
        <s v="SHP-100502"/>
        <s v="SHP-100524"/>
        <s v="SHP-101425"/>
        <s v="SHP-100710"/>
        <s v="SHP-100297"/>
        <s v="SHP-101147"/>
        <s v="SHP-101183"/>
        <s v="SHP-100313"/>
        <s v="SHP-100962"/>
        <s v="SHP-101379"/>
        <s v="SHP-100829"/>
        <s v="SHP-100477"/>
        <s v="SHP-100746"/>
        <s v="SHP-101031"/>
        <s v="SHP-100673"/>
        <s v="SHP-100585"/>
        <s v="SHP-100492"/>
        <s v="SHP-101280"/>
        <s v="SHP-101220"/>
        <s v="SHP-101373"/>
        <s v="SHP-100070"/>
        <s v="SHP-101096"/>
        <s v="SHP-101164"/>
        <s v="SHP-100884"/>
        <s v="SHP-101232"/>
        <s v="SHP-100028"/>
        <s v="SHP-101262"/>
        <s v="SHP-101357"/>
        <s v="SHP-100759"/>
        <s v="SHP-100480"/>
        <s v="SHP-101532"/>
        <s v="SHP-100051"/>
        <s v="SHP-100903"/>
        <s v="SHP-100300"/>
        <s v="SHP-100652"/>
        <s v="SHP-100345"/>
        <s v="SHP-101309"/>
        <s v="SHP-100122"/>
        <s v="SHP-100272"/>
        <s v="SHP-100687"/>
        <s v="SHP-100989"/>
        <s v="SHP-100467"/>
        <s v="SHP-101318"/>
        <s v="SHP-100642"/>
        <s v="SHP-101441"/>
        <s v="SHP-101486"/>
        <s v="SHP-100744"/>
        <s v="SHP-100827"/>
        <s v="SHP-100041"/>
        <s v="SHP-101453"/>
        <s v="SHP-100469"/>
        <s v="SHP-101098"/>
        <s v="SHP-101392"/>
        <s v="SHP-100874"/>
        <s v="SHP-101202"/>
        <s v="SHP-100003"/>
        <s v="SHP-101428"/>
        <s v="SHP-100975"/>
        <s v="SHP-100011"/>
        <s v="SHP-101328"/>
        <s v="SHP-100968"/>
        <s v="SHP-100521"/>
        <s v="SHP-101230"/>
        <s v="SHP-100631"/>
        <s v="SHP-100976"/>
        <s v="SHP-100716"/>
        <s v="SHP-101095"/>
        <s v="SHP-100097"/>
        <s v="SHP-100678"/>
        <s v="SHP-100970"/>
        <s v="SHP-100700"/>
        <s v="SHP-101009"/>
        <s v="SHP-101127"/>
        <s v="SHP-101519"/>
        <s v="SHP-101145"/>
        <s v="SHP-100948"/>
        <s v="SHP-100518"/>
        <s v="SHP-100885"/>
        <s v="SHP-100621"/>
        <s v="SHP-100260"/>
        <s v="SHP-100568"/>
        <s v="SHP-100802"/>
        <s v="SHP-100711"/>
        <s v="SHP-101219"/>
        <s v="SHP-101006"/>
        <s v="SHP-100952"/>
        <s v="SHP-100790"/>
        <s v="SHP-101203"/>
        <s v="SHP-100317"/>
        <s v="SHP-101038"/>
        <s v="SHP-100837"/>
        <s v="SHP-101272"/>
        <s v="SHP-101282"/>
        <s v="SHP-100574"/>
        <s v="SHP-100156"/>
        <s v="SHP-101214"/>
        <s v="SHP-101437"/>
        <s v="SHP-101419"/>
        <s v="SHP-100063"/>
        <s v="SHP-101059"/>
        <s v="SHP-100159"/>
        <s v="SHP-101542"/>
        <s v="SHP-101330"/>
        <s v="SHP-100515"/>
        <s v="SHP-100494"/>
        <s v="SHP-100760"/>
        <s v="SHP-100450"/>
        <s v="SHP-101140"/>
        <s v="SHP-100761"/>
        <s v="SHP-100322"/>
        <s v="SHP-100980"/>
        <s v="SHP-100594"/>
        <s v="SHP-100774"/>
        <s v="SHP-100526"/>
        <s v="SHP-100845"/>
        <s v="SHP-101590"/>
        <s v="SHP-100283"/>
        <s v="SHP-101462"/>
        <s v="SHP-101438"/>
        <s v="SHP-101345"/>
        <s v="SHP-100743"/>
        <s v="SHP-100552"/>
        <s v="SHP-100449"/>
        <s v="SHP-101432"/>
        <s v="SHP-101253"/>
        <s v="SHP-100351"/>
        <s v="SHP-100231"/>
        <s v="SHP-101084"/>
        <s v="SHP-101274"/>
        <s v="SHP-101386"/>
        <s v="SHP-100523"/>
        <s v="SHP-100329"/>
        <s v="SHP-100600"/>
        <s v="SHP-101210"/>
        <s v="SHP-100554"/>
        <s v="SHP-100089"/>
        <s v="SHP-101541"/>
        <s v="SHP-100922"/>
        <s v="SHP-101470"/>
        <s v="SHP-101356"/>
        <s v="SHP-100990"/>
        <s v="SHP-101398"/>
        <s v="SHP-100059"/>
        <s v="SHP-100043"/>
        <s v="SHP-101368"/>
        <s v="SHP-101410"/>
        <s v="SHP-100823"/>
        <s v="SHP-101102"/>
        <s v="SHP-100396"/>
        <s v="SHP-100645"/>
        <s v="SHP-101577"/>
        <s v="SHP-100496"/>
        <s v="SHP-100640"/>
        <s v="SHP-100388"/>
        <s v="SHP-100371"/>
        <s v="SHP-100966"/>
        <s v="SHP-101422"/>
        <s v="SHP-100747"/>
        <s v="SHP-100581"/>
        <s v="SHP-100578"/>
        <s v="SHP-100171"/>
        <s v="SHP-101100"/>
        <s v="SHP-100135"/>
        <s v="SHP-100859"/>
        <s v="SHP-101564"/>
        <s v="SHP-100570"/>
        <s v="SHP-101030"/>
        <s v="SHP-101417"/>
        <s v="SHP-100773"/>
        <s v="SHP-100851"/>
        <s v="SHP-101118"/>
        <s v="SHP-101335"/>
        <s v="SHP-100601"/>
        <s v="SHP-100663"/>
        <s v="SHP-100548"/>
        <s v="SHP-100781"/>
        <s v="SHP-101477"/>
        <s v="SHP-101310"/>
        <s v="SHP-100027"/>
        <s v="SHP-101057"/>
        <s v="SHP-100921"/>
        <s v="SHP-101050"/>
        <s v="SHP-100878"/>
        <s v="SHP-101412"/>
        <s v="SHP-100695"/>
        <s v="SHP-100509"/>
        <s v="SHP-100801"/>
        <s v="SHP-101433"/>
        <s v="SHP-100865"/>
        <s v="SHP-100853"/>
        <s v="SHP-100037"/>
        <s v="SHP-100809"/>
        <s v="SHP-100163"/>
        <s v="SHP-101576"/>
        <s v="SHP-101075"/>
        <s v="SHP-100015"/>
        <s v="SHP-101122"/>
        <s v="SHP-100814"/>
        <s v="SHP-100584"/>
        <s v="SHP-100121"/>
        <s v="SHP-100379"/>
        <s v="SHP-101451"/>
        <s v="SHP-101027"/>
        <s v="SHP-101533"/>
        <s v="SHP-101364"/>
        <s v="SHP-100376"/>
        <s v="SHP-101584"/>
        <s v="SHP-100754"/>
        <s v="SHP-101377"/>
        <s v="SHP-100426"/>
        <s v="SHP-100586"/>
        <s v="SHP-101008"/>
        <s v="SHP-100232"/>
        <s v="SHP-100186"/>
        <s v="SHP-100643"/>
        <s v="SHP-100689"/>
        <s v="SHP-100170"/>
        <s v="SHP-101273"/>
        <s v="SHP-100166"/>
        <s v="SHP-101051"/>
        <s v="SHP-101471"/>
        <s v="SHP-101141"/>
        <s v="SHP-100863"/>
        <s v="SHP-100858"/>
        <s v="SHP-100633"/>
        <s v="SHP-101304"/>
        <s v="SHP-101402"/>
        <s v="SHP-100248"/>
        <s v="SHP-101268"/>
        <s v="SHP-100925"/>
        <s v="SHP-101151"/>
        <s v="SHP-101358"/>
        <s v="SHP-100883"/>
        <s v="SHP-100203"/>
        <s v="SHP-100189"/>
        <s v="SHP-100370"/>
        <s v="SHP-100679"/>
        <s v="SHP-101531"/>
        <s v="SHP-100525"/>
        <s v="SHP-101042"/>
        <s v="SHP-100665"/>
        <s v="SHP-100457"/>
        <s v="SHP-100507"/>
        <s v="SHP-101353"/>
        <s v="SHP-101583"/>
        <s v="SHP-100369"/>
        <s v="SHP-100569"/>
        <s v="SHP-101548"/>
        <s v="SHP-101257"/>
        <s v="SHP-100181"/>
        <s v="SHP-100403"/>
        <s v="SHP-101062"/>
        <s v="SHP-100080"/>
        <s v="SHP-100308"/>
        <s v="SHP-100055"/>
        <s v="SHP-100474"/>
        <s v="SHP-100714"/>
        <s v="SHP-100639"/>
        <s v="SHP-101443"/>
        <s v="SHP-100187"/>
        <s v="SHP-100085"/>
        <s v="SHP-101394"/>
        <s v="SHP-100196"/>
        <s v="SHP-101538"/>
        <s v="SHP-101378"/>
        <s v="SHP-101245"/>
        <s v="SHP-101338"/>
        <s v="SHP-100084"/>
        <s v="SHP-100583"/>
        <s v="SHP-101101"/>
        <s v="SHP-100152"/>
        <s v="SHP-101176"/>
        <s v="SHP-100938"/>
        <s v="SHP-101554"/>
        <s v="SHP-100572"/>
        <s v="SHP-100435"/>
        <s v="SHP-100382"/>
        <s v="SHP-100137"/>
        <s v="SHP-101370"/>
        <s v="SHP-101079"/>
        <s v="SHP-100279"/>
        <s v="SHP-100390"/>
        <s v="SHP-100164"/>
        <s v="SHP-100129"/>
        <s v="SHP-100872"/>
        <s v="SHP-100850"/>
        <s v="SHP-100558"/>
        <s v="SHP-100400"/>
        <s v="SHP-100730"/>
        <s v="SHP-100303"/>
        <s v="SHP-100335"/>
        <s v="SHP-101029"/>
        <s v="SHP-100413"/>
        <s v="SHP-100653"/>
        <s v="SHP-100598"/>
        <s v="SHP-100794"/>
        <s v="SHP-100489"/>
        <s v="SHP-101126"/>
        <s v="SHP-101023"/>
        <s v="SHP-101322"/>
        <s v="SHP-101086"/>
        <s v="SHP-101521"/>
        <s v="SHP-100172"/>
        <s v="SHP-100009"/>
        <s v="SHP-100278"/>
        <s v="SHP-100616"/>
        <s v="SHP-101301"/>
        <s v="SHP-100516"/>
        <s v="SHP-100539"/>
        <s v="SHP-100411"/>
        <s v="SHP-100501"/>
        <s v="SHP-100327"/>
        <s v="SHP-100414"/>
        <s v="SHP-100986"/>
        <s v="SHP-100907"/>
        <s v="SHP-100165"/>
        <s v="SHP-100626"/>
        <s v="SHP-100914"/>
        <s v="SHP-100895"/>
        <s v="SHP-101578"/>
        <s v="SHP-100183"/>
        <s v="SHP-100368"/>
        <s v="SHP-100101"/>
        <s v="SHP-100563"/>
        <s v="SHP-100964"/>
        <s v="SHP-100115"/>
        <s v="SHP-100305"/>
        <s v="SHP-101182"/>
        <s v="SHP-100354"/>
        <s v="SHP-101154"/>
        <s v="SHP-101045"/>
        <s v="SHP-100493"/>
        <s v="SHP-100318"/>
        <s v="SHP-100902"/>
        <s v="SHP-100116"/>
        <s v="SHP-100869"/>
        <s v="SHP-100596"/>
        <s v="SHP-100646"/>
        <s v="SHP-101546"/>
        <s v="SHP-101369"/>
        <s v="SHP-100723"/>
        <s v="SHP-100068"/>
        <s v="SHP-100456"/>
        <s v="SHP-101582"/>
        <s v="SHP-101420"/>
        <s v="SHP-100947"/>
        <s v="SHP-100799"/>
        <s v="SHP-100060"/>
        <s v="SHP-101366"/>
        <s v="SHP-100298"/>
        <s v="SHP-100959"/>
        <s v="SHP-101400"/>
        <s v="SHP-100944"/>
        <s v="SHP-101360"/>
        <s v="SHP-101249"/>
        <s v="SHP-100939"/>
        <s v="SHP-100177"/>
        <s v="SHP-101296"/>
        <s v="SHP-101055"/>
        <s v="SHP-100764"/>
        <s v="SHP-100285"/>
        <s v="SHP-101528"/>
        <s v="SHP-100242"/>
        <s v="SHP-100796"/>
        <s v="SHP-101289"/>
        <s v="SHP-101297"/>
        <s v="SHP-100866"/>
        <s v="SHP-100138"/>
        <s v="SHP-100749"/>
        <s v="SHP-101011"/>
        <s v="SHP-101080"/>
        <s v="SHP-100490"/>
        <s v="SHP-100334"/>
        <s v="SHP-101209"/>
        <s v="SHP-101033"/>
        <s v="SHP-100384"/>
        <s v="SHP-100680"/>
        <s v="SHP-101194"/>
        <s v="SHP-100498"/>
        <s v="SHP-101525"/>
        <s v="SHP-100204"/>
        <s v="SHP-101510"/>
        <s v="SHP-101161"/>
        <s v="SHP-100998"/>
        <s v="SHP-100954"/>
        <s v="SHP-101284"/>
        <s v="SHP-100389"/>
        <s v="SHP-100685"/>
        <s v="SHP-100190"/>
        <s v="SHP-100713"/>
        <s v="SHP-100347"/>
        <s v="SHP-101325"/>
        <s v="SHP-100086"/>
        <s v="SHP-100124"/>
        <s v="SHP-100736"/>
        <s v="SHP-101234"/>
        <s v="SHP-101197"/>
        <s v="SHP-100440"/>
        <s v="SHP-101395"/>
        <s v="SHP-101389"/>
        <s v="SHP-101083"/>
        <s v="SHP-100226"/>
        <s v="SHP-100755"/>
        <s v="SHP-101560"/>
        <s v="SHP-100729"/>
        <s v="SHP-101070"/>
        <s v="SHP-100672"/>
        <s v="SHP-101380"/>
        <s v="SHP-101278"/>
        <s v="SHP-100244"/>
        <s v="SHP-100295"/>
        <s v="SHP-100561"/>
        <s v="SHP-100192"/>
        <s v="SHP-101436"/>
        <s v="SHP-100273"/>
        <s v="SHP-100589"/>
        <s v="SHP-101581"/>
        <s v="SHP-100686"/>
        <s v="SHP-100795"/>
        <s v="SHP-100619"/>
        <s v="SHP-100451"/>
        <s v="SHP-101468"/>
        <s v="SHP-101557"/>
        <s v="SHP-100425"/>
        <s v="SHP-100504"/>
        <s v="SHP-100965"/>
        <s v="SHP-100079"/>
        <s v="SHP-100847"/>
        <s v="SHP-100210"/>
        <s v="SHP-101174"/>
        <s v="SHP-100310"/>
        <s v="SHP-100726"/>
        <s v="SHP-100830"/>
        <s v="SHP-101066"/>
        <s v="SHP-101208"/>
        <s v="SHP-101475"/>
        <s v="SHP-101271"/>
        <s v="SHP-101390"/>
        <s v="SHP-100142"/>
        <s v="SHP-100860"/>
        <s v="SHP-100929"/>
        <s v="SHP-100430"/>
        <s v="SHP-100604"/>
        <s v="SHP-101113"/>
        <s v="SHP-101409"/>
        <s v="SHP-100071"/>
        <s v="SHP-101188"/>
        <s v="SHP-100162"/>
        <s v="SHP-100901"/>
        <s v="SHP-100592"/>
        <s v="SHP-100511"/>
        <s v="SHP-100864"/>
        <s v="SHP-101168"/>
        <s v="SHP-100655"/>
        <s v="SHP-100848"/>
        <s v="SHP-100805"/>
        <s v="SHP-100820"/>
        <s v="SHP-101037"/>
        <s v="SHP-101226"/>
        <s v="SHP-101092"/>
        <s v="SHP-100217"/>
        <s v="SHP-101171"/>
        <s v="SHP-100381"/>
        <s v="SHP-100849"/>
        <s v="SHP-100256"/>
        <s v="SHP-100675"/>
        <s v="SHP-100064"/>
        <s v="SHP-100319"/>
        <s v="SHP-100669"/>
        <s v="SHP-101530"/>
        <s v="SHP-100792"/>
        <s v="SHP-100880"/>
        <s v="SHP-101034"/>
        <s v="SHP-100915"/>
        <s v="SHP-100732"/>
        <s v="SHP-101137"/>
        <s v="SHP-100978"/>
        <s v="SHP-101150"/>
        <s v="SHP-101575"/>
        <s v="SHP-101047"/>
        <s v="SHP-100644"/>
        <s v="SHP-100136"/>
        <s v="SHP-101559"/>
        <s v="SHP-100934"/>
        <s v="SHP-101291"/>
        <s v="SHP-100977"/>
        <s v="SHP-100894"/>
        <s v="SHP-100453"/>
        <s v="SHP-101549"/>
        <s v="SHP-100941"/>
        <s v="SHP-101570"/>
        <s v="SHP-101327"/>
        <s v="SHP-100257"/>
        <s v="SHP-100505"/>
        <s v="SHP-100931"/>
        <s v="SHP-101241"/>
        <s v="SHP-100169"/>
        <s v="SHP-100131"/>
        <s v="SHP-100406"/>
        <s v="SHP-100844"/>
        <s v="SHP-100981"/>
        <s v="SHP-101506"/>
        <s v="SHP-100724"/>
        <s v="SHP-100434"/>
        <s v="SHP-100149"/>
        <s v="SHP-101599"/>
        <s v="SHP-101039"/>
        <s v="SHP-100417"/>
        <s v="SHP-100441"/>
        <s v="SHP-100771"/>
        <s v="SHP-101281"/>
        <s v="SHP-101404"/>
        <s v="SHP-100180"/>
        <s v="SHP-100140"/>
        <s v="SHP-100567"/>
        <s v="SHP-101185"/>
        <s v="SHP-101043"/>
        <s v="SHP-100355"/>
        <s v="SHP-100409"/>
        <s v="SHP-101492"/>
        <s v="SHP-101063"/>
        <s v="SHP-100950"/>
        <s v="SHP-101568"/>
        <s v="SHP-101283"/>
        <s v="SHP-101077"/>
        <s v="SHP-100547"/>
        <s v="SHP-100506"/>
        <s v="SHP-100282"/>
        <s v="SHP-101060"/>
        <s v="SHP-100075"/>
        <s v="SHP-100373"/>
        <s v="SHP-100957"/>
        <s v="SHP-101450"/>
        <s v="SHP-101363"/>
        <s v="SHP-100211"/>
        <s v="SHP-100292"/>
        <s v="SHP-100611"/>
        <s v="SHP-100657"/>
        <s v="SHP-100831"/>
        <s v="SHP-101540"/>
        <s v="SHP-101286"/>
        <s v="SHP-100132"/>
        <s v="SHP-101550"/>
        <s v="SHP-101252"/>
        <s v="SHP-101155"/>
        <s v="SHP-100444"/>
        <s v="SHP-101138"/>
        <s v="SHP-101058"/>
        <s v="SHP-101408"/>
        <s v="SHP-100461"/>
        <s v="SHP-100069"/>
        <s v="SHP-101376"/>
        <s v="SHP-100715"/>
        <s v="SHP-100410"/>
        <s v="SHP-100048"/>
        <s v="SHP-100793"/>
        <s v="SHP-101293"/>
        <s v="SHP-101347"/>
        <s v="SHP-101421"/>
        <s v="SHP-101302"/>
        <s v="SHP-101201"/>
        <s v="SHP-100151"/>
        <s v="SHP-101355"/>
        <s v="SHP-101511"/>
        <s v="SHP-100078"/>
        <s v="SHP-100109"/>
        <s v="SHP-100739"/>
        <s v="SHP-100093"/>
        <s v="SHP-100447"/>
        <s v="SHP-100167"/>
        <s v="SHP-101135"/>
        <s v="SHP-100099"/>
        <s v="SHP-101476"/>
        <s v="SHP-100595"/>
        <s v="SHP-100422"/>
        <s v="SHP-101139"/>
        <s v="SHP-100270"/>
        <s v="SHP-100463"/>
        <s v="SHP-100325"/>
        <s v="SHP-100789"/>
        <s v="SHP-100265"/>
        <s v="SHP-100703"/>
        <s v="SHP-101407"/>
        <s v="SHP-101374"/>
        <s v="SHP-101193"/>
        <s v="SHP-100478"/>
        <s v="SHP-101434"/>
        <s v="SHP-101351"/>
        <s v="SHP-100661"/>
        <s v="SHP-101294"/>
        <s v="SHP-100543"/>
        <s v="SHP-100697"/>
        <s v="SHP-100350"/>
        <s v="SHP-101544"/>
        <s v="SHP-101594"/>
        <s v="SHP-101457"/>
        <s v="SHP-101571"/>
        <s v="SHP-100549"/>
        <s v="SHP-100035"/>
        <s v="SHP-101218"/>
        <s v="SHP-100806"/>
        <s v="SHP-100280"/>
        <s v="SHP-101251"/>
        <s v="SHP-100006"/>
        <s v="SHP-101484"/>
        <s v="SHP-100220"/>
        <s v="SHP-101524"/>
        <s v="SHP-101240"/>
        <s v="SHP-100722"/>
        <s v="SHP-101177"/>
        <s v="SHP-100580"/>
        <s v="SHP-101551"/>
        <s v="SHP-100222"/>
        <s v="SHP-101090"/>
        <s v="SHP-100898"/>
        <s v="SHP-100301"/>
        <s v="SHP-101497"/>
        <s v="SHP-100311"/>
        <s v="SHP-101123"/>
        <s v="SHP-100882"/>
        <s v="SHP-100229"/>
        <s v="SHP-100216"/>
        <s v="SHP-100455"/>
        <s v="SHP-100540"/>
        <s v="SHP-101586"/>
        <s v="SHP-100039"/>
        <s v="SHP-101211"/>
        <s v="SHP-100654"/>
        <s v="SHP-100826"/>
        <s v="SHP-100696"/>
        <s v="SHP-101227"/>
        <s v="SHP-100276"/>
        <s v="SHP-100772"/>
        <s v="SHP-100682"/>
        <s v="SHP-100331"/>
        <s v="SHP-101593"/>
        <s v="SHP-100471"/>
        <s v="SHP-100811"/>
        <s v="SHP-100209"/>
        <s v="SHP-101382"/>
        <s v="SHP-100983"/>
        <s v="SHP-100062"/>
        <s v="SHP-100420"/>
        <s v="SHP-100255"/>
        <s v="SHP-100066"/>
        <s v="SHP-101041"/>
        <s v="SHP-101148"/>
        <s v="SHP-100081"/>
        <s v="SHP-100243"/>
        <s v="SHP-100923"/>
        <s v="SHP-100720"/>
        <s v="SHP-100219"/>
        <s v="SHP-100214"/>
        <s v="SHP-100940"/>
        <s v="SHP-101413"/>
        <s v="SHP-100010"/>
        <s v="SHP-100228"/>
        <s v="SHP-101074"/>
        <s v="SHP-100870"/>
        <s v="SHP-100702"/>
        <s v="SHP-100367"/>
        <s v="SHP-101279"/>
        <s v="SHP-100995"/>
        <s v="SHP-100005"/>
        <s v="SHP-100688"/>
        <s v="SHP-100545"/>
        <s v="SHP-101354"/>
        <s v="SHP-100500"/>
        <s v="SHP-101305"/>
        <s v="SHP-100648"/>
        <s v="SHP-100861"/>
        <s v="SHP-100353"/>
        <s v="SHP-100182"/>
        <s v="SHP-100357"/>
        <s v="SHP-101119"/>
        <s v="SHP-100734"/>
        <s v="SHP-100821"/>
        <s v="SHP-101537"/>
        <s v="SHP-101184"/>
        <s v="SHP-100550"/>
        <s v="SHP-101035"/>
        <s v="SHP-100546"/>
        <s v="SHP-101558"/>
        <s v="SHP-100627"/>
        <s v="SHP-100483"/>
        <s v="SHP-100725"/>
        <s v="SHP-101288"/>
        <s v="SHP-100803"/>
        <s v="SHP-100415"/>
        <s v="SHP-101146"/>
        <s v="SHP-101527"/>
        <s v="SHP-100513"/>
        <s v="SHP-101589"/>
        <s v="SHP-100475"/>
        <s v="SHP-100302"/>
        <s v="SHP-101128"/>
        <s v="SHP-101017"/>
        <s v="SHP-100380"/>
        <s v="SHP-100911"/>
        <s v="SHP-100245"/>
        <s v="SHP-100034"/>
        <s v="SHP-100900"/>
        <s v="SHP-100479"/>
        <s v="SHP-101343"/>
        <s v="SHP-100588"/>
        <s v="SHP-100780"/>
        <s v="SHP-100002"/>
        <s v="SHP-100412"/>
        <s v="SHP-100916"/>
        <s v="SHP-100155"/>
        <s v="SHP-100576"/>
        <s v="SHP-100487"/>
        <s v="SHP-101473"/>
        <s v="SHP-100254"/>
        <s v="SHP-100343"/>
        <s v="SHP-100291"/>
        <s v="SHP-101598"/>
        <s v="SHP-100342"/>
        <s v="SHP-100766"/>
        <s v="SHP-100684"/>
        <s v="SHP-101517"/>
        <s v="SHP-100920"/>
        <s v="SHP-100281"/>
        <s v="SHP-101574"/>
        <s v="SHP-101044"/>
        <s v="SHP-101178"/>
        <s v="SHP-101545"/>
        <s v="SHP-101250"/>
        <s v="SHP-101162"/>
        <s v="SHP-100095"/>
        <s v="SHP-100582"/>
        <s v="SHP-101314"/>
        <s v="SHP-100120"/>
        <s v="SHP-101078"/>
        <s v="SHP-101311"/>
        <s v="SHP-101387"/>
        <s v="SHP-100161"/>
        <s v="SHP-100397"/>
        <s v="SHP-100316"/>
        <s v="SHP-101107"/>
        <s v="SHP-100336"/>
        <s v="SHP-101439"/>
        <s v="SHP-101167"/>
        <s v="SHP-101195"/>
        <s v="SHP-100508"/>
        <s v="SHP-100348"/>
        <s v="SHP-100955"/>
        <s v="SHP-101238"/>
        <s v="SHP-100392"/>
        <s v="SHP-100855"/>
        <s v="SHP-101461"/>
        <s v="SHP-101270"/>
        <s v="SHP-100733"/>
        <s v="SHP-100839"/>
        <s v="SHP-100577"/>
        <s v="SHP-100184"/>
        <s v="SHP-100815"/>
        <s v="SHP-101097"/>
        <s v="SHP-100100"/>
        <s v="SHP-100624"/>
        <s v="SHP-100932"/>
        <s v="SHP-100061"/>
        <s v="SHP-100201"/>
        <s v="SHP-100338"/>
        <s v="SHP-100433"/>
        <s v="SHP-100534"/>
        <s v="SHP-101512"/>
        <s v="SHP-100832"/>
        <s v="SHP-100841"/>
        <s v="SHP-101447"/>
        <s v="SHP-100465"/>
        <s v="SHP-100879"/>
        <s v="SHP-101233"/>
        <s v="SHP-100785"/>
        <s v="SHP-100514"/>
        <s v="SHP-101109"/>
        <s v="SHP-100082"/>
        <s v="SHP-100154"/>
        <s v="SHP-100238"/>
        <s v="SHP-100349"/>
        <s v="SHP-100783"/>
        <s v="SHP-100333"/>
        <s v="SHP-101361"/>
        <s v="SHP-101222"/>
        <s v="SHP-101323"/>
        <s v="SHP-100289"/>
        <s v="SHP-101180"/>
        <s v="SHP-101580"/>
        <s v="SHP-100013"/>
        <s v="SHP-100103"/>
        <s v="SHP-100660"/>
        <s v="SHP-101181"/>
        <s v="SHP-100495"/>
        <s v="SHP-101110"/>
        <s v="SHP-101452"/>
        <s v="SHP-101153"/>
        <s v="SHP-100937"/>
        <s v="SHP-100562"/>
        <s v="SHP-100067"/>
        <s v="SHP-100630"/>
        <s v="SHP-100527"/>
        <s v="SHP-100892"/>
        <s v="SHP-100741"/>
        <s v="SHP-101076"/>
        <s v="SHP-100118"/>
        <s v="SHP-100019"/>
        <s v="SHP-101535"/>
        <s v="SHP-100360"/>
        <s v="SHP-101490"/>
        <s v="SHP-100077"/>
        <s v="SHP-100096"/>
        <s v="SHP-100117"/>
        <s v="SHP-101333"/>
        <s v="SHP-100791"/>
        <s v="SHP-100886"/>
        <s v="SHP-100924"/>
        <s v="SHP-100890"/>
        <s v="SHP-100258"/>
        <s v="SHP-101483"/>
        <s v="SHP-100448"/>
        <s v="SHP-100533"/>
        <s v="SHP-101016"/>
        <s v="SHP-100517"/>
        <s v="SHP-100846"/>
        <s v="SHP-100074"/>
        <s v="SHP-100607"/>
        <s v="SHP-100812"/>
        <s v="SHP-100620"/>
        <s v="SHP-100091"/>
        <s v="SHP-100443"/>
        <s v="SHP-100622"/>
        <s v="SHP-101561"/>
        <s v="SHP-100662"/>
        <s v="SHP-100023"/>
        <s v="SHP-100174"/>
        <s v="SHP-101565"/>
        <s v="SHP-100857"/>
        <s v="SHP-100836"/>
        <s v="SHP-100173"/>
        <s v="SHP-100767"/>
        <s v="SHP-100629"/>
        <s v="SHP-100499"/>
        <s v="SHP-100779"/>
        <s v="SHP-100488"/>
        <s v="SHP-101411"/>
        <s v="SHP-100979"/>
        <s v="SHP-100842"/>
        <s v="SHP-100375"/>
        <s v="SHP-100777"/>
        <s v="SHP-100484"/>
        <s v="SHP-100529"/>
        <s v="SHP-101124"/>
        <s v="SHP-101205"/>
        <s v="SHP-100972"/>
        <s v="SHP-101585"/>
        <s v="SHP-101588"/>
        <s v="SHP-100856"/>
        <s v="SHP-101569"/>
        <s v="SHP-100919"/>
        <s v="SHP-100366"/>
        <s v="SHP-101069"/>
        <s v="SHP-100690"/>
        <s v="SHP-101004"/>
        <s v="SHP-100049"/>
        <s v="SHP-101191"/>
        <s v="SHP-101254"/>
        <s v="SHP-100522"/>
        <s v="SHP-100614"/>
        <s v="SHP-100269"/>
        <s v="SHP-101346"/>
        <s v="SHP-100840"/>
        <s v="SHP-101213"/>
        <s v="SHP-100867"/>
        <s v="SHP-101001"/>
        <s v="SHP-100362"/>
        <s v="SHP-100683"/>
        <s v="SHP-100694"/>
        <s v="SHP-100912"/>
        <s v="SHP-100385"/>
        <s v="SHP-101186"/>
        <s v="SHP-101261"/>
        <s v="SHP-100399"/>
        <s v="SHP-100424"/>
        <s v="SHP-101108"/>
        <s v="SHP-101237"/>
        <s v="SHP-101144"/>
        <s v="SHP-100606"/>
        <s v="SHP-100198"/>
        <s v="SHP-101169"/>
        <s v="SHP-101094"/>
        <s v="SHP-100439"/>
        <s v="SHP-101228"/>
        <s v="SHP-100358"/>
        <s v="SHP-101567"/>
        <s v="SHP-100635"/>
        <s v="SHP-100038"/>
        <s v="SHP-100267"/>
        <s v="SHP-100431"/>
        <s v="SHP-100088"/>
        <s v="SHP-101503"/>
        <s v="SHP-100537"/>
        <s v="SHP-101129"/>
        <s v="SHP-101344"/>
        <s v="SHP-100605"/>
        <s v="SHP-100363"/>
        <s v="SHP-100213"/>
        <s v="SHP-100090"/>
        <s v="SHP-100418"/>
        <s v="SHP-100321"/>
        <s v="SHP-100143"/>
        <s v="SHP-100473"/>
        <s v="SHP-100958"/>
        <s v="SHP-100670"/>
        <s v="SHP-101246"/>
        <s v="SHP-101463"/>
        <s v="SHP-100445"/>
        <s v="SHP-100579"/>
        <s v="SHP-101427"/>
        <s v="SHP-100383"/>
        <s v="SHP-100332"/>
        <s v="SHP-101276"/>
        <s v="SHP-100833"/>
        <s v="SHP-101595"/>
        <s v="SHP-100881"/>
        <s v="SHP-100936"/>
        <s v="SHP-100018"/>
        <s v="SHP-100634"/>
        <s v="SHP-101002"/>
        <s v="SHP-100818"/>
        <s v="SHP-101089"/>
        <s v="SHP-101552"/>
        <s v="SHP-101133"/>
        <s v="SHP-101088"/>
        <s v="SHP-101248"/>
        <s v="SHP-101572"/>
        <s v="SHP-101563"/>
        <s v="SHP-100314"/>
        <s v="SHP-100740"/>
        <s v="SHP-100636"/>
        <s v="SHP-101547"/>
        <s v="SHP-100175"/>
        <s v="SHP-101444"/>
        <s v="SHP-100708"/>
        <s v="SHP-101306"/>
        <s v="SHP-101244"/>
        <s v="SHP-101465"/>
        <s v="SHP-101371"/>
        <s v="SHP-101513"/>
        <s v="SHP-100365"/>
        <s v="SHP-101018"/>
        <s v="SHP-101442"/>
        <s v="SHP-100044"/>
        <s v="SHP-100036"/>
        <s v="SHP-100982"/>
        <s v="SHP-100106"/>
        <s v="SHP-100610"/>
        <s v="SHP-101071"/>
        <s v="SHP-100942"/>
        <s v="SHP-100394"/>
        <s v="SHP-101117"/>
        <s v="SHP-101397"/>
        <s v="SHP-101464"/>
        <s v="SHP-100250"/>
        <s v="SHP-100917"/>
        <s v="SHP-101446"/>
        <s v="SHP-100416"/>
        <s v="SHP-100252"/>
        <s v="SHP-100288"/>
        <s v="SHP-100671"/>
        <s v="SHP-101256"/>
        <s v="SHP-100032"/>
        <s v="SHP-100197"/>
        <s v="SHP-100205"/>
        <s v="SHP-100141"/>
        <s v="SHP-101040"/>
        <s v="SHP-101307"/>
        <s v="SHP-100905"/>
        <s v="SHP-100542"/>
        <s v="SHP-100951"/>
        <s v="SHP-100908"/>
        <s v="SHP-100813"/>
        <s v="SHP-100047"/>
        <s v="SHP-100262"/>
        <s v="SHP-100650"/>
        <s v="SHP-101052"/>
        <s v="SHP-100123"/>
        <s v="SHP-100816"/>
        <s v="SHP-101430"/>
        <s v="SHP-100889"/>
        <s v="SHP-101348"/>
        <s v="SHP-101225"/>
        <s v="SHP-100602"/>
        <s v="SHP-100693"/>
        <s v="SHP-101406"/>
        <s v="SHP-101493"/>
        <s v="SHP-100971"/>
        <s v="SHP-100251"/>
        <s v="SHP-100666"/>
        <s v="SHP-100001"/>
        <s v="SHP-100926"/>
        <s v="SHP-100824"/>
        <s v="SHP-100928"/>
        <s v="SHP-100008"/>
        <s v="SHP-100834"/>
        <s v="SHP-101509"/>
        <s v="SHP-100800"/>
        <s v="SHP-100083"/>
        <s v="SHP-100993"/>
        <s v="SHP-100290"/>
        <s v="SHP-101223"/>
        <s v="SHP-100497"/>
        <s v="SHP-100784"/>
        <s v="SHP-101158"/>
        <s v="SHP-100421"/>
        <s v="SHP-101456"/>
        <s v="SHP-100386"/>
        <s v="SHP-101458"/>
        <s v="SHP-100590"/>
        <s v="SHP-100960"/>
        <s v="SHP-101332"/>
        <s v="SHP-100528"/>
        <s v="SHP-100208"/>
        <s v="SHP-100854"/>
        <s v="SHP-101579"/>
        <s v="SHP-100573"/>
        <s v="SHP-101087"/>
        <s v="SHP-101466"/>
        <s v="SHP-100458"/>
        <s v="SHP-100987"/>
        <s v="SHP-100179"/>
        <s v="SHP-101258"/>
        <s v="SHP-100918"/>
        <s v="SHP-100423"/>
        <s v="SHP-100237"/>
        <s v="SHP-101341"/>
        <s v="SHP-101494"/>
        <s v="SHP-101518"/>
        <s v="SHP-101247"/>
        <s v="SHP-100287"/>
        <s v="SHP-100559"/>
        <s v="SHP-100843"/>
        <s v="SHP-101315"/>
        <s v="SHP-100459"/>
        <s v="SHP-101103"/>
        <s v="SHP-101592"/>
        <s v="SHP-101012"/>
        <s v="SHP-101260"/>
        <s v="SHP-100309"/>
        <s v="SHP-100641"/>
        <s v="SHP-100328"/>
        <s v="SHP-100224"/>
        <s v="SHP-100206"/>
        <s v="SHP-101003"/>
        <s v="SHP-100432"/>
        <s v="SHP-100200"/>
        <s v="SHP-100674"/>
        <s v="SHP-101340"/>
        <s v="SHP-100591"/>
      </sharedItems>
    </cacheField>
    <cacheField name="OrderDate" numFmtId="164">
      <sharedItems containsSemiMixedTypes="0" containsNonDate="0" containsDate="1" containsString="0" minDate="2024-01-01T00:00:00" maxDate="2024-06-29T00:00:00" count="168">
        <d v="2024-01-22T00:00:00"/>
        <d v="2024-06-10T00:00:00"/>
        <d v="2024-05-23T00:00:00"/>
        <d v="2024-01-13T00:00:00"/>
        <d v="2024-04-16T00:00:00"/>
        <d v="2024-03-24T00:00:00"/>
        <d v="2024-03-14T00:00:00"/>
        <d v="2024-01-25T00:00:00"/>
        <d v="2024-02-05T00:00:00"/>
        <d v="2024-06-11T00:00:00"/>
        <d v="2024-06-20T00:00:00"/>
        <d v="2024-02-03T00:00:00"/>
        <d v="2024-06-05T00:00:00"/>
        <d v="2024-01-02T00:00:00"/>
        <d v="2024-02-21T00:00:00"/>
        <d v="2024-05-02T00:00:00"/>
        <d v="2024-06-04T00:00:00"/>
        <d v="2024-06-02T00:00:00"/>
        <d v="2024-01-11T00:00:00"/>
        <d v="2024-05-13T00:00:00"/>
        <d v="2024-01-07T00:00:00"/>
        <d v="2024-02-19T00:00:00"/>
        <d v="2024-03-19T00:00:00"/>
        <d v="2024-02-28T00:00:00"/>
        <d v="2024-04-03T00:00:00"/>
        <d v="2024-02-01T00:00:00"/>
        <d v="2024-02-26T00:00:00"/>
        <d v="2024-02-04T00:00:00"/>
        <d v="2024-04-11T00:00:00"/>
        <d v="2024-06-16T00:00:00"/>
        <d v="2024-04-06T00:00:00"/>
        <d v="2024-03-05T00:00:00"/>
        <d v="2024-05-21T00:00:00"/>
        <d v="2024-03-13T00:00:00"/>
        <d v="2024-05-11T00:00:00"/>
        <d v="2024-01-21T00:00:00"/>
        <d v="2024-05-10T00:00:00"/>
        <d v="2024-01-08T00:00:00"/>
        <d v="2024-03-06T00:00:00"/>
        <d v="2024-05-20T00:00:00"/>
        <d v="2024-05-04T00:00:00"/>
        <d v="2024-06-25T00:00:00"/>
        <d v="2024-05-26T00:00:00"/>
        <d v="2024-04-26T00:00:00"/>
        <d v="2024-04-09T00:00:00"/>
        <d v="2024-04-01T00:00:00"/>
        <d v="2024-01-03T00:00:00"/>
        <d v="2024-05-01T00:00:00"/>
        <d v="2024-03-25T00:00:00"/>
        <d v="2024-06-21T00:00:00"/>
        <d v="2024-02-13T00:00:00"/>
        <d v="2024-01-14T00:00:00"/>
        <d v="2024-06-12T00:00:00"/>
        <d v="2024-01-17T00:00:00"/>
        <d v="2024-02-09T00:00:00"/>
        <d v="2024-04-23T00:00:00"/>
        <d v="2024-06-01T00:00:00"/>
        <d v="2024-06-23T00:00:00"/>
        <d v="2024-03-28T00:00:00"/>
        <d v="2024-05-19T00:00:00"/>
        <d v="2024-03-01T00:00:00"/>
        <d v="2024-06-17T00:00:00"/>
        <d v="2024-06-27T00:00:00"/>
        <d v="2024-04-18T00:00:00"/>
        <d v="2024-05-17T00:00:00"/>
        <d v="2024-03-20T00:00:00"/>
        <d v="2024-02-15T00:00:00"/>
        <d v="2024-03-16T00:00:00"/>
        <d v="2024-06-09T00:00:00"/>
        <d v="2024-05-08T00:00:00"/>
        <d v="2024-04-08T00:00:00"/>
        <d v="2024-06-14T00:00:00"/>
        <d v="2024-06-24T00:00:00"/>
        <d v="2024-03-10T00:00:00"/>
        <d v="2024-02-11T00:00:00"/>
        <d v="2024-01-23T00:00:00"/>
        <d v="2024-01-27T00:00:00"/>
        <d v="2024-05-18T00:00:00"/>
        <d v="2024-03-26T00:00:00"/>
        <d v="2024-04-02T00:00:00"/>
        <d v="2024-04-21T00:00:00"/>
        <d v="2024-05-27T00:00:00"/>
        <d v="2024-05-14T00:00:00"/>
        <d v="2024-02-12T00:00:00"/>
        <d v="2024-02-08T00:00:00"/>
        <d v="2024-04-27T00:00:00"/>
        <d v="2024-01-10T00:00:00"/>
        <d v="2024-03-23T00:00:00"/>
        <d v="2024-01-18T00:00:00"/>
        <d v="2024-03-09T00:00:00"/>
        <d v="2024-06-22T00:00:00"/>
        <d v="2024-04-12T00:00:00"/>
        <d v="2024-02-23T00:00:00"/>
        <d v="2024-01-24T00:00:00"/>
        <d v="2024-04-05T00:00:00"/>
        <d v="2024-02-02T00:00:00"/>
        <d v="2024-01-19T00:00:00"/>
        <d v="2024-02-22T00:00:00"/>
        <d v="2024-01-05T00:00:00"/>
        <d v="2024-01-28T00:00:00"/>
        <d v="2024-03-27T00:00:00"/>
        <d v="2024-05-03T00:00:00"/>
        <d v="2024-04-07T00:00:00"/>
        <d v="2024-04-10T00:00:00"/>
        <d v="2024-03-07T00:00:00"/>
        <d v="2024-06-19T00:00:00"/>
        <d v="2024-04-19T00:00:00"/>
        <d v="2024-06-03T00:00:00"/>
        <d v="2024-04-20T00:00:00"/>
        <d v="2024-06-18T00:00:00"/>
        <d v="2024-01-20T00:00:00"/>
        <d v="2024-03-18T00:00:00"/>
        <d v="2024-03-02T00:00:00"/>
        <d v="2024-04-17T00:00:00"/>
        <d v="2024-02-10T00:00:00"/>
        <d v="2024-05-06T00:00:00"/>
        <d v="2024-04-28T00:00:00"/>
        <d v="2024-05-24T00:00:00"/>
        <d v="2024-06-08T00:00:00"/>
        <d v="2024-06-26T00:00:00"/>
        <d v="2024-05-22T00:00:00"/>
        <d v="2024-02-06T00:00:00"/>
        <d v="2024-01-12T00:00:00"/>
        <d v="2024-01-26T00:00:00"/>
        <d v="2024-03-21T00:00:00"/>
        <d v="2024-03-12T00:00:00"/>
        <d v="2024-01-15T00:00:00"/>
        <d v="2024-05-28T00:00:00"/>
        <d v="2024-04-24T00:00:00"/>
        <d v="2024-02-17T00:00:00"/>
        <d v="2024-03-15T00:00:00"/>
        <d v="2024-03-22T00:00:00"/>
        <d v="2024-04-15T00:00:00"/>
        <d v="2024-02-20T00:00:00"/>
        <d v="2024-03-03T00:00:00"/>
        <d v="2024-02-24T00:00:00"/>
        <d v="2024-03-11T00:00:00"/>
        <d v="2024-04-22T00:00:00"/>
        <d v="2024-05-25T00:00:00"/>
        <d v="2024-01-16T00:00:00"/>
        <d v="2024-06-15T00:00:00"/>
        <d v="2024-05-16T00:00:00"/>
        <d v="2024-03-17T00:00:00"/>
        <d v="2024-05-09T00:00:00"/>
        <d v="2024-04-25T00:00:00"/>
        <d v="2024-06-13T00:00:00"/>
        <d v="2024-01-06T00:00:00"/>
        <d v="2024-06-28T00:00:00"/>
        <d v="2024-05-07T00:00:00"/>
        <d v="2024-05-05T00:00:00"/>
        <d v="2024-02-27T00:00:00"/>
        <d v="2024-02-18T00:00:00"/>
        <d v="2024-02-14T00:00:00"/>
        <d v="2024-02-07T00:00:00"/>
        <d v="2024-01-01T00:00:00"/>
        <d v="2024-03-08T00:00:00"/>
        <d v="2024-05-12T00:00:00"/>
        <d v="2024-03-04T00:00:00"/>
        <d v="2024-05-15T00:00:00"/>
        <d v="2024-01-09T00:00:00"/>
        <d v="2024-01-04T00:00:00"/>
        <d v="2024-04-13T00:00:00"/>
        <d v="2024-04-04T00:00:00"/>
        <d v="2024-04-14T00:00:00"/>
        <d v="2024-06-06T00:00:00"/>
        <d v="2024-02-16T00:00:00"/>
        <d v="2024-06-07T00:00:00"/>
        <d v="2024-02-25T00:00:00"/>
      </sharedItems>
      <fieldGroup par="21"/>
    </cacheField>
    <cacheField name="OriginHub" numFmtId="0">
      <sharedItems count="7">
        <s v="Bengaluru"/>
        <s v="Hyderabad"/>
        <s v="Delhi"/>
        <s v="Chennai"/>
        <s v="Kolkata"/>
        <s v="Mumbai"/>
        <s v=""/>
      </sharedItems>
    </cacheField>
    <cacheField name="OriginZone" numFmtId="0">
      <sharedItems/>
    </cacheField>
    <cacheField name="Carrier" numFmtId="0">
      <sharedItems count="8">
        <s v="Dtdc"/>
        <s v="Bluedart"/>
        <s v="Delhivery"/>
        <s v="Blue Dart"/>
        <s v="Ecom Express"/>
        <s v="Xpressbees"/>
        <s v=""/>
        <s v="Xpress Bees"/>
      </sharedItems>
    </cacheField>
    <cacheField name="ShipmentMode" numFmtId="0">
      <sharedItems count="3">
        <s v="Air"/>
        <s v="Surface"/>
        <s v="Road"/>
      </sharedItems>
    </cacheField>
    <cacheField name="ProductCategory" numFmtId="0">
      <sharedItems count="7">
        <s v="Electronics"/>
        <s v="Grocery &amp; Fmcg"/>
        <s v="Automotive Parts"/>
        <s v="Apparel"/>
        <s v="Pharma"/>
        <s v="Furniture"/>
        <s v=""/>
      </sharedItems>
    </cacheField>
    <cacheField name="DestinationZone" numFmtId="0">
      <sharedItems/>
    </cacheField>
    <cacheField name="IsCrossZone" numFmtId="0">
      <sharedItems count="2">
        <s v="Yes"/>
        <s v="No"/>
      </sharedItems>
    </cacheField>
    <cacheField name="Weight_kg" numFmtId="0">
      <sharedItems containsMixedTypes="1" containsNumber="1" minValue="0.6" maxValue="79.900000000000006"/>
    </cacheField>
    <cacheField name="ShipmentCost" numFmtId="0">
      <sharedItems containsSemiMixedTypes="0" containsString="0" containsNumber="1" containsInteger="1" minValue="80" maxValue="3727"/>
    </cacheField>
    <cacheField name="PromisedDeliveryDays" numFmtId="0">
      <sharedItems containsSemiMixedTypes="0" containsString="0" containsNumber="1" containsInteger="1" minValue="2" maxValue="8"/>
    </cacheField>
    <cacheField name="DeliveryDate" numFmtId="164">
      <sharedItems containsDate="1" containsMixedTypes="1" minDate="2024-01-04T00:00:00" maxDate="2024-07-04T00:00:00"/>
    </cacheField>
    <cacheField name="ActualDeliveryDays" numFmtId="0">
      <sharedItems containsMixedTypes="1" containsNumber="1" containsInteger="1" minValue="1" maxValue="17"/>
    </cacheField>
    <cacheField name="DelayDays" numFmtId="0">
      <sharedItems containsMixedTypes="1" containsNumber="1" containsInteger="1" minValue="-1" maxValue="9"/>
    </cacheField>
    <cacheField name="OnTime/Late" numFmtId="0">
      <sharedItems count="3">
        <s v="On Time"/>
        <s v="Late"/>
        <s v="N/A"/>
      </sharedItems>
    </cacheField>
    <cacheField name="DeliveryStatus" numFmtId="0">
      <sharedItems count="5">
        <s v="Delivered"/>
        <s v="Damaged"/>
        <s v="Delayed"/>
        <s v="Returned"/>
        <s v="In-Transit"/>
      </sharedItems>
    </cacheField>
    <cacheField name="CostPerKg" numFmtId="165">
      <sharedItems containsMixedTypes="1" containsNumber="1" minValue="1.149425287356322" maxValue="3321.8181818181815"/>
    </cacheField>
    <cacheField name="CustomerRating" numFmtId="0">
      <sharedItems containsSemiMixedTypes="0" containsString="0" containsNumber="1" containsInteger="1" minValue="0" maxValue="5"/>
    </cacheField>
    <cacheField name="IsCOD" numFmtId="0">
      <sharedItems/>
    </cacheField>
    <cacheField name="Days (OrderDate)" numFmtId="0" databaseField="0">
      <fieldGroup base="1">
        <rangePr groupBy="days" startDate="2024-01-01T00:00:00" endDate="2024-06-29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06-2024"/>
        </groupItems>
      </fieldGroup>
    </cacheField>
    <cacheField name="Months (OrderDate)" numFmtId="0" databaseField="0">
      <fieldGroup base="1">
        <rangePr groupBy="months" startDate="2024-01-01T00:00:00" endDate="2024-06-29T00:00:00"/>
        <groupItems count="14">
          <s v="&lt;01-01-2024"/>
          <s v="Jan"/>
          <s v="Feb"/>
          <s v="Mar"/>
          <s v="Apr"/>
          <s v="May"/>
          <s v="Jun"/>
          <s v="Jul"/>
          <s v="Aug"/>
          <s v="Sep"/>
          <s v="Oct"/>
          <s v="Nov"/>
          <s v="Dec"/>
          <s v="&gt;29-06-2024"/>
        </groupItems>
      </fieldGroup>
    </cacheField>
  </cacheFields>
  <extLst>
    <ext xmlns:x14="http://schemas.microsoft.com/office/spreadsheetml/2009/9/main" uri="{725AE2AE-9491-48be-B2B4-4EB974FC3084}">
      <x14:pivotCacheDefinition pivotCacheId="5937307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00">
  <r>
    <x v="0"/>
    <x v="0"/>
    <x v="0"/>
    <s v="South"/>
    <x v="0"/>
    <x v="0"/>
    <x v="0"/>
    <s v="West"/>
    <x v="0"/>
    <n v="7.4"/>
    <n v="495"/>
    <n v="4"/>
    <d v="2024-01-25T00:00:00"/>
    <n v="3"/>
    <n v="-1"/>
    <x v="0"/>
    <x v="0"/>
    <n v="66.891891891891888"/>
    <n v="4"/>
    <s v="Yes"/>
  </r>
  <r>
    <x v="1"/>
    <x v="1"/>
    <x v="1"/>
    <s v="West"/>
    <x v="1"/>
    <x v="1"/>
    <x v="1"/>
    <s v="North"/>
    <x v="0"/>
    <n v="2.2000000000000002"/>
    <n v="200"/>
    <n v="6"/>
    <d v="2024-06-16T00:00:00"/>
    <n v="6"/>
    <n v="0"/>
    <x v="0"/>
    <x v="0"/>
    <n v="90.909090909090907"/>
    <n v="5"/>
    <s v="No"/>
  </r>
  <r>
    <x v="2"/>
    <x v="2"/>
    <x v="2"/>
    <s v="North"/>
    <x v="2"/>
    <x v="0"/>
    <x v="2"/>
    <s v="East"/>
    <x v="0"/>
    <n v="5.7"/>
    <n v="444"/>
    <n v="4"/>
    <d v="2024-06-05T00:00:00"/>
    <n v="13"/>
    <n v="9"/>
    <x v="1"/>
    <x v="1"/>
    <n v="77.89473684210526"/>
    <n v="0"/>
    <s v="No"/>
  </r>
  <r>
    <x v="3"/>
    <x v="3"/>
    <x v="1"/>
    <s v="West"/>
    <x v="3"/>
    <x v="2"/>
    <x v="3"/>
    <s v="North"/>
    <x v="0"/>
    <n v="0.6"/>
    <n v="165"/>
    <n v="8"/>
    <d v="2024-01-22T00:00:00"/>
    <n v="9"/>
    <n v="1"/>
    <x v="1"/>
    <x v="2"/>
    <n v="275"/>
    <n v="3"/>
    <s v="No"/>
  </r>
  <r>
    <x v="4"/>
    <x v="4"/>
    <x v="1"/>
    <s v="West"/>
    <x v="4"/>
    <x v="2"/>
    <x v="0"/>
    <s v="North"/>
    <x v="0"/>
    <n v="8.1999999999999993"/>
    <n v="282"/>
    <n v="8"/>
    <d v="2024-04-25T00:00:00"/>
    <n v="9"/>
    <n v="1"/>
    <x v="1"/>
    <x v="2"/>
    <n v="34.390243902439025"/>
    <n v="1"/>
    <s v="No"/>
  </r>
  <r>
    <x v="5"/>
    <x v="5"/>
    <x v="3"/>
    <s v="South"/>
    <x v="5"/>
    <x v="1"/>
    <x v="4"/>
    <s v="South"/>
    <x v="1"/>
    <n v="1.4"/>
    <n v="80"/>
    <n v="4"/>
    <d v="2024-03-28T00:00:00"/>
    <n v="4"/>
    <n v="0"/>
    <x v="0"/>
    <x v="0"/>
    <n v="57.142857142857146"/>
    <n v="5"/>
    <s v="Yes"/>
  </r>
  <r>
    <x v="6"/>
    <x v="6"/>
    <x v="4"/>
    <s v="East"/>
    <x v="2"/>
    <x v="2"/>
    <x v="4"/>
    <s v="West"/>
    <x v="0"/>
    <n v="0.8"/>
    <n v="216"/>
    <n v="8"/>
    <d v="2024-03-23T00:00:00"/>
    <n v="9"/>
    <n v="1"/>
    <x v="1"/>
    <x v="2"/>
    <n v="270"/>
    <n v="3"/>
    <s v="No"/>
  </r>
  <r>
    <x v="7"/>
    <x v="7"/>
    <x v="1"/>
    <s v="West"/>
    <x v="4"/>
    <x v="2"/>
    <x v="4"/>
    <s v="North"/>
    <x v="0"/>
    <n v="3.6"/>
    <n v="181"/>
    <n v="8"/>
    <d v="2024-02-02T00:00:00"/>
    <n v="8"/>
    <n v="0"/>
    <x v="0"/>
    <x v="0"/>
    <n v="50.277777777777779"/>
    <n v="5"/>
    <s v="Yes"/>
  </r>
  <r>
    <x v="8"/>
    <x v="8"/>
    <x v="1"/>
    <s v="West"/>
    <x v="4"/>
    <x v="1"/>
    <x v="2"/>
    <s v="West"/>
    <x v="1"/>
    <n v="20"/>
    <n v="477"/>
    <n v="4"/>
    <d v="2024-02-14T00:00:00"/>
    <n v="9"/>
    <n v="5"/>
    <x v="1"/>
    <x v="2"/>
    <n v="23.85"/>
    <n v="5"/>
    <s v="No"/>
  </r>
  <r>
    <x v="9"/>
    <x v="9"/>
    <x v="0"/>
    <s v="South"/>
    <x v="5"/>
    <x v="2"/>
    <x v="3"/>
    <s v="South"/>
    <x v="1"/>
    <n v="2.8"/>
    <n v="80"/>
    <n v="6"/>
    <d v="2024-06-22T00:00:00"/>
    <n v="11"/>
    <n v="5"/>
    <x v="1"/>
    <x v="2"/>
    <n v="28.571428571428573"/>
    <n v="3"/>
    <s v="No"/>
  </r>
  <r>
    <x v="10"/>
    <x v="10"/>
    <x v="5"/>
    <s v="West"/>
    <x v="2"/>
    <x v="1"/>
    <x v="5"/>
    <s v="West"/>
    <x v="1"/>
    <n v="24.5"/>
    <n v="512"/>
    <n v="4"/>
    <d v="2024-07-02T00:00:00"/>
    <n v="12"/>
    <n v="8"/>
    <x v="1"/>
    <x v="2"/>
    <n v="20.897959183673468"/>
    <n v="3"/>
    <s v="Yes"/>
  </r>
  <r>
    <x v="11"/>
    <x v="8"/>
    <x v="5"/>
    <s v="West"/>
    <x v="0"/>
    <x v="2"/>
    <x v="1"/>
    <s v="North"/>
    <x v="0"/>
    <n v="8.1999999999999993"/>
    <n v="301"/>
    <n v="8"/>
    <d v="2024-02-13T00:00:00"/>
    <n v="8"/>
    <n v="0"/>
    <x v="0"/>
    <x v="0"/>
    <n v="36.707317073170735"/>
    <n v="5"/>
    <s v="Yes"/>
  </r>
  <r>
    <x v="12"/>
    <x v="11"/>
    <x v="5"/>
    <s v="West"/>
    <x v="5"/>
    <x v="0"/>
    <x v="4"/>
    <s v="North"/>
    <x v="0"/>
    <n v="4"/>
    <n v="387"/>
    <n v="4"/>
    <d v="2024-02-06T00:00:00"/>
    <n v="3"/>
    <n v="-1"/>
    <x v="0"/>
    <x v="0"/>
    <n v="96.75"/>
    <n v="5"/>
    <s v="Yes"/>
  </r>
  <r>
    <x v="13"/>
    <x v="12"/>
    <x v="1"/>
    <s v="West"/>
    <x v="0"/>
    <x v="2"/>
    <x v="5"/>
    <s v="South"/>
    <x v="0"/>
    <n v="23.9"/>
    <n v="538"/>
    <n v="8"/>
    <d v="2024-06-18T00:00:00"/>
    <n v="13"/>
    <n v="5"/>
    <x v="1"/>
    <x v="2"/>
    <n v="22.510460251046027"/>
    <n v="1"/>
    <s v="No"/>
  </r>
  <r>
    <x v="14"/>
    <x v="13"/>
    <x v="3"/>
    <s v="South"/>
    <x v="5"/>
    <x v="1"/>
    <x v="2"/>
    <s v="West"/>
    <x v="0"/>
    <n v="8.9"/>
    <n v="335"/>
    <n v="6"/>
    <d v="2024-01-07T00:00:00"/>
    <n v="5"/>
    <n v="-1"/>
    <x v="0"/>
    <x v="0"/>
    <n v="37.640449438202246"/>
    <n v="4"/>
    <s v="Yes"/>
  </r>
  <r>
    <x v="15"/>
    <x v="14"/>
    <x v="0"/>
    <s v="South"/>
    <x v="0"/>
    <x v="0"/>
    <x v="0"/>
    <s v="North"/>
    <x v="0"/>
    <n v="8.1"/>
    <n v="524"/>
    <n v="4"/>
    <d v="2024-02-25T00:00:00"/>
    <n v="4"/>
    <n v="0"/>
    <x v="0"/>
    <x v="0"/>
    <n v="64.691358024691354"/>
    <n v="5"/>
    <s v="Yes"/>
  </r>
  <r>
    <x v="16"/>
    <x v="15"/>
    <x v="2"/>
    <s v="North"/>
    <x v="3"/>
    <x v="2"/>
    <x v="4"/>
    <s v="West"/>
    <x v="0"/>
    <n v="3.8"/>
    <n v="225"/>
    <n v="8"/>
    <d v="2024-05-09T00:00:00"/>
    <n v="7"/>
    <n v="-1"/>
    <x v="0"/>
    <x v="0"/>
    <n v="59.21052631578948"/>
    <n v="4"/>
    <s v="No"/>
  </r>
  <r>
    <x v="17"/>
    <x v="16"/>
    <x v="1"/>
    <s v="West"/>
    <x v="4"/>
    <x v="0"/>
    <x v="3"/>
    <s v="West"/>
    <x v="1"/>
    <n v="4.5999999999999996"/>
    <n v="237"/>
    <n v="2"/>
    <d v="2024-06-06T00:00:00"/>
    <n v="2"/>
    <n v="0"/>
    <x v="0"/>
    <x v="0"/>
    <n v="51.521739130434788"/>
    <n v="5"/>
    <s v="Yes"/>
  </r>
  <r>
    <x v="18"/>
    <x v="17"/>
    <x v="2"/>
    <s v="North"/>
    <x v="5"/>
    <x v="2"/>
    <x v="3"/>
    <s v="West"/>
    <x v="0"/>
    <n v="3.7"/>
    <n v="203"/>
    <n v="8"/>
    <d v="2024-06-10T00:00:00"/>
    <n v="8"/>
    <n v="0"/>
    <x v="0"/>
    <x v="0"/>
    <n v="54.864864864864863"/>
    <n v="5"/>
    <s v="No"/>
  </r>
  <r>
    <x v="19"/>
    <x v="18"/>
    <x v="3"/>
    <s v="South"/>
    <x v="4"/>
    <x v="1"/>
    <x v="0"/>
    <s v="West"/>
    <x v="0"/>
    <n v="11"/>
    <n v="375"/>
    <n v="6"/>
    <d v="2024-01-18T00:00:00"/>
    <n v="7"/>
    <n v="1"/>
    <x v="1"/>
    <x v="2"/>
    <n v="34.090909090909093"/>
    <n v="3"/>
    <s v="No"/>
  </r>
  <r>
    <x v="20"/>
    <x v="19"/>
    <x v="1"/>
    <s v="West"/>
    <x v="5"/>
    <x v="0"/>
    <x v="3"/>
    <s v="West"/>
    <x v="1"/>
    <n v="1.8"/>
    <n v="80"/>
    <n v="2"/>
    <d v="2024-05-15T00:00:00"/>
    <n v="2"/>
    <n v="0"/>
    <x v="0"/>
    <x v="0"/>
    <n v="44.444444444444443"/>
    <n v="4"/>
    <s v="No"/>
  </r>
  <r>
    <x v="21"/>
    <x v="0"/>
    <x v="5"/>
    <s v="West"/>
    <x v="2"/>
    <x v="1"/>
    <x v="4"/>
    <s v="West"/>
    <x v="1"/>
    <n v="1.1000000000000001"/>
    <n v="80"/>
    <n v="4"/>
    <d v="2024-01-27T00:00:00"/>
    <n v="5"/>
    <n v="1"/>
    <x v="1"/>
    <x v="2"/>
    <n v="72.72727272727272"/>
    <n v="3"/>
    <s v="Yes"/>
  </r>
  <r>
    <x v="22"/>
    <x v="20"/>
    <x v="6"/>
    <s v="Unknown"/>
    <x v="4"/>
    <x v="1"/>
    <x v="3"/>
    <s v="West"/>
    <x v="0"/>
    <n v="4.8"/>
    <n v="149"/>
    <n v="4"/>
    <d v="2024-01-11T00:00:00"/>
    <n v="4"/>
    <n v="0"/>
    <x v="0"/>
    <x v="0"/>
    <n v="31.041666666666668"/>
    <n v="5"/>
    <s v="Yes"/>
  </r>
  <r>
    <x v="23"/>
    <x v="21"/>
    <x v="0"/>
    <s v="South"/>
    <x v="2"/>
    <x v="0"/>
    <x v="6"/>
    <s v="East"/>
    <x v="0"/>
    <n v="8.3000000000000007"/>
    <n v="552"/>
    <n v="4"/>
    <d v="2024-02-29T00:00:00"/>
    <n v="10"/>
    <n v="6"/>
    <x v="1"/>
    <x v="2"/>
    <n v="66.506024096385531"/>
    <n v="3"/>
    <s v="Yes"/>
  </r>
  <r>
    <x v="24"/>
    <x v="22"/>
    <x v="3"/>
    <s v="South"/>
    <x v="4"/>
    <x v="2"/>
    <x v="5"/>
    <s v="East"/>
    <x v="0"/>
    <n v="15.3"/>
    <n v="379"/>
    <n v="8"/>
    <d v="2024-03-28T00:00:00"/>
    <n v="9"/>
    <n v="1"/>
    <x v="1"/>
    <x v="2"/>
    <n v="24.771241830065357"/>
    <n v="2"/>
    <s v="No"/>
  </r>
  <r>
    <x v="25"/>
    <x v="23"/>
    <x v="1"/>
    <s v="West"/>
    <x v="0"/>
    <x v="2"/>
    <x v="4"/>
    <s v="East"/>
    <x v="0"/>
    <n v="4.8"/>
    <n v="203"/>
    <n v="8"/>
    <d v="2024-03-08T00:00:00"/>
    <n v="9"/>
    <n v="1"/>
    <x v="1"/>
    <x v="2"/>
    <n v="42.291666666666671"/>
    <n v="2"/>
    <s v="Yes"/>
  </r>
  <r>
    <x v="26"/>
    <x v="24"/>
    <x v="1"/>
    <s v="West"/>
    <x v="1"/>
    <x v="2"/>
    <x v="2"/>
    <s v="North"/>
    <x v="0"/>
    <n v="17.100000000000001"/>
    <n v="372"/>
    <n v="8"/>
    <d v="2024-04-10T00:00:00"/>
    <n v="7"/>
    <n v="-1"/>
    <x v="0"/>
    <x v="0"/>
    <n v="21.754385964912277"/>
    <n v="4"/>
    <s v="No"/>
  </r>
  <r>
    <x v="27"/>
    <x v="25"/>
    <x v="4"/>
    <s v="East"/>
    <x v="0"/>
    <x v="2"/>
    <x v="0"/>
    <s v="East"/>
    <x v="1"/>
    <n v="11.9"/>
    <n v="211"/>
    <n v="6"/>
    <d v="2024-02-07T00:00:00"/>
    <n v="6"/>
    <n v="0"/>
    <x v="0"/>
    <x v="0"/>
    <n v="17.731092436974791"/>
    <n v="2"/>
    <s v="No"/>
  </r>
  <r>
    <x v="28"/>
    <x v="26"/>
    <x v="4"/>
    <s v="East"/>
    <x v="4"/>
    <x v="0"/>
    <x v="3"/>
    <s v="South"/>
    <x v="0"/>
    <n v="5.6"/>
    <n v="433"/>
    <n v="4"/>
    <d v="2024-03-01T00:00:00"/>
    <n v="4"/>
    <n v="0"/>
    <x v="0"/>
    <x v="0"/>
    <n v="77.321428571428569"/>
    <n v="5"/>
    <s v="Yes"/>
  </r>
  <r>
    <x v="29"/>
    <x v="27"/>
    <x v="5"/>
    <s v="West"/>
    <x v="2"/>
    <x v="0"/>
    <x v="3"/>
    <s v="North"/>
    <x v="0"/>
    <n v="1.4"/>
    <n v="230"/>
    <n v="4"/>
    <d v="2024-02-09T00:00:00"/>
    <n v="5"/>
    <n v="1"/>
    <x v="1"/>
    <x v="1"/>
    <n v="164.28571428571431"/>
    <n v="0"/>
    <s v="Yes"/>
  </r>
  <r>
    <x v="30"/>
    <x v="28"/>
    <x v="2"/>
    <s v="North"/>
    <x v="0"/>
    <x v="1"/>
    <x v="0"/>
    <s v="West"/>
    <x v="0"/>
    <n v="12.3"/>
    <n v="436"/>
    <n v="6"/>
    <d v="2024-04-21T00:00:00"/>
    <n v="10"/>
    <n v="4"/>
    <x v="1"/>
    <x v="2"/>
    <n v="35.447154471544714"/>
    <n v="4"/>
    <s v="No"/>
  </r>
  <r>
    <x v="31"/>
    <x v="29"/>
    <x v="1"/>
    <s v="West"/>
    <x v="0"/>
    <x v="1"/>
    <x v="2"/>
    <s v="North"/>
    <x v="0"/>
    <n v="29.9"/>
    <n v="783"/>
    <n v="6"/>
    <d v="2024-06-22T00:00:00"/>
    <n v="6"/>
    <n v="0"/>
    <x v="0"/>
    <x v="0"/>
    <n v="26.187290969899667"/>
    <n v="4"/>
    <s v="Yes"/>
  </r>
  <r>
    <x v="32"/>
    <x v="30"/>
    <x v="1"/>
    <s v="West"/>
    <x v="2"/>
    <x v="2"/>
    <x v="2"/>
    <s v="North"/>
    <x v="0"/>
    <n v="35.799999999999997"/>
    <n v="695"/>
    <n v="8"/>
    <d v="2024-04-13T00:00:00"/>
    <n v="7"/>
    <n v="-1"/>
    <x v="0"/>
    <x v="0"/>
    <n v="19.41340782122905"/>
    <n v="4"/>
    <s v="No"/>
  </r>
  <r>
    <x v="33"/>
    <x v="31"/>
    <x v="2"/>
    <s v="North"/>
    <x v="2"/>
    <x v="0"/>
    <x v="5"/>
    <s v="North"/>
    <x v="1"/>
    <n v="50.9"/>
    <n v="2274"/>
    <n v="2"/>
    <d v="2024-03-07T00:00:00"/>
    <n v="2"/>
    <n v="0"/>
    <x v="0"/>
    <x v="0"/>
    <n v="44.675834970530452"/>
    <n v="5"/>
    <s v="Yes"/>
  </r>
  <r>
    <x v="34"/>
    <x v="30"/>
    <x v="4"/>
    <s v="East"/>
    <x v="0"/>
    <x v="2"/>
    <x v="5"/>
    <s v="West"/>
    <x v="0"/>
    <n v="22.5"/>
    <n v="439"/>
    <n v="8"/>
    <d v="2024-04-14T00:00:00"/>
    <n v="8"/>
    <n v="0"/>
    <x v="0"/>
    <x v="0"/>
    <n v="19.511111111111113"/>
    <n v="3"/>
    <s v="Yes"/>
  </r>
  <r>
    <x v="35"/>
    <x v="23"/>
    <x v="3"/>
    <s v="South"/>
    <x v="1"/>
    <x v="2"/>
    <x v="5"/>
    <s v="South"/>
    <x v="1"/>
    <n v="58.7"/>
    <n v="860"/>
    <n v="6"/>
    <d v="2024-03-04T00:00:00"/>
    <n v="5"/>
    <n v="-1"/>
    <x v="0"/>
    <x v="0"/>
    <n v="14.650766609880749"/>
    <n v="4"/>
    <s v="No"/>
  </r>
  <r>
    <x v="36"/>
    <x v="32"/>
    <x v="5"/>
    <s v="West"/>
    <x v="2"/>
    <x v="0"/>
    <x v="5"/>
    <s v="East"/>
    <x v="0"/>
    <n v="36.1"/>
    <n v="1815"/>
    <n v="4"/>
    <d v="2024-05-24T00:00:00"/>
    <n v="3"/>
    <n v="-1"/>
    <x v="0"/>
    <x v="0"/>
    <n v="50.277008310249307"/>
    <n v="4"/>
    <s v="Yes"/>
  </r>
  <r>
    <x v="37"/>
    <x v="19"/>
    <x v="2"/>
    <s v="North"/>
    <x v="2"/>
    <x v="2"/>
    <x v="5"/>
    <s v="East"/>
    <x v="0"/>
    <n v="50.6"/>
    <n v="848"/>
    <n v="8"/>
    <d v="2024-05-21T00:00:00"/>
    <n v="8"/>
    <n v="0"/>
    <x v="0"/>
    <x v="0"/>
    <n v="16.75889328063241"/>
    <n v="5"/>
    <s v="Yes"/>
  </r>
  <r>
    <x v="38"/>
    <x v="33"/>
    <x v="0"/>
    <s v="South"/>
    <x v="3"/>
    <x v="0"/>
    <x v="2"/>
    <s v="North"/>
    <x v="0"/>
    <n v="38.299999999999997"/>
    <n v="1918"/>
    <n v="4"/>
    <d v="2024-03-18T00:00:00"/>
    <n v="5"/>
    <n v="1"/>
    <x v="1"/>
    <x v="2"/>
    <n v="50.078328981723239"/>
    <n v="4"/>
    <s v="No"/>
  </r>
  <r>
    <x v="39"/>
    <x v="34"/>
    <x v="1"/>
    <s v="West"/>
    <x v="5"/>
    <x v="0"/>
    <x v="0"/>
    <s v="East"/>
    <x v="0"/>
    <n v="11"/>
    <n v="634"/>
    <n v="4"/>
    <d v="2024-05-14T00:00:00"/>
    <n v="3"/>
    <n v="-1"/>
    <x v="0"/>
    <x v="0"/>
    <n v="57.636363636363633"/>
    <n v="4"/>
    <s v="No"/>
  </r>
  <r>
    <x v="40"/>
    <x v="35"/>
    <x v="2"/>
    <s v="North"/>
    <x v="1"/>
    <x v="2"/>
    <x v="0"/>
    <s v="South"/>
    <x v="0"/>
    <n v="14.1"/>
    <n v="360"/>
    <n v="8"/>
    <d v="2024-01-30T00:00:00"/>
    <n v="9"/>
    <n v="1"/>
    <x v="1"/>
    <x v="2"/>
    <n v="25.531914893617021"/>
    <n v="2"/>
    <s v="No"/>
  </r>
  <r>
    <x v="41"/>
    <x v="36"/>
    <x v="4"/>
    <s v="East"/>
    <x v="2"/>
    <x v="0"/>
    <x v="5"/>
    <s v="East"/>
    <x v="1"/>
    <n v="40.9"/>
    <n v="1837"/>
    <n v="2"/>
    <d v="2024-05-12T00:00:00"/>
    <n v="2"/>
    <n v="0"/>
    <x v="0"/>
    <x v="0"/>
    <n v="44.914425427872864"/>
    <n v="4"/>
    <s v="No"/>
  </r>
  <r>
    <x v="42"/>
    <x v="37"/>
    <x v="4"/>
    <s v="East"/>
    <x v="2"/>
    <x v="2"/>
    <x v="4"/>
    <s v="South"/>
    <x v="0"/>
    <n v="2.1"/>
    <n v="160"/>
    <n v="8"/>
    <d v="2024-01-15T00:00:00"/>
    <n v="7"/>
    <n v="-1"/>
    <x v="0"/>
    <x v="0"/>
    <n v="76.19047619047619"/>
    <n v="5"/>
    <s v="Yes"/>
  </r>
  <r>
    <x v="43"/>
    <x v="38"/>
    <x v="1"/>
    <s v="West"/>
    <x v="5"/>
    <x v="0"/>
    <x v="0"/>
    <s v="South"/>
    <x v="0"/>
    <n v="11.1"/>
    <n v="678"/>
    <n v="4"/>
    <d v="2024-03-15T00:00:00"/>
    <n v="9"/>
    <n v="5"/>
    <x v="1"/>
    <x v="2"/>
    <n v="61.081081081081081"/>
    <n v="2"/>
    <s v="Yes"/>
  </r>
  <r>
    <x v="44"/>
    <x v="39"/>
    <x v="3"/>
    <s v="South"/>
    <x v="5"/>
    <x v="0"/>
    <x v="2"/>
    <s v="East"/>
    <x v="0"/>
    <n v="30.1"/>
    <n v="1545"/>
    <n v="4"/>
    <d v="2024-05-23T00:00:00"/>
    <n v="3"/>
    <n v="-1"/>
    <x v="0"/>
    <x v="0"/>
    <n v="51.328903654485046"/>
    <n v="5"/>
    <s v="No"/>
  </r>
  <r>
    <x v="45"/>
    <x v="1"/>
    <x v="2"/>
    <s v="North"/>
    <x v="2"/>
    <x v="2"/>
    <x v="4"/>
    <s v="North"/>
    <x v="1"/>
    <n v="1"/>
    <n v="80"/>
    <n v="6"/>
    <d v="2024-06-15T00:00:00"/>
    <n v="5"/>
    <n v="-1"/>
    <x v="0"/>
    <x v="0"/>
    <n v="80"/>
    <n v="5"/>
    <s v="No"/>
  </r>
  <r>
    <x v="46"/>
    <x v="40"/>
    <x v="5"/>
    <s v="West"/>
    <x v="0"/>
    <x v="1"/>
    <x v="4"/>
    <s v="North"/>
    <x v="0"/>
    <n v="3"/>
    <n v="247"/>
    <n v="6"/>
    <d v="2024-05-09T00:00:00"/>
    <n v="5"/>
    <n v="-1"/>
    <x v="0"/>
    <x v="0"/>
    <n v="82.333333333333329"/>
    <n v="4"/>
    <s v="Yes"/>
  </r>
  <r>
    <x v="47"/>
    <x v="13"/>
    <x v="0"/>
    <s v="South"/>
    <x v="6"/>
    <x v="2"/>
    <x v="0"/>
    <s v="West"/>
    <x v="0"/>
    <n v="10.199999999999999"/>
    <n v="292"/>
    <n v="8"/>
    <d v="2024-01-11T00:00:00"/>
    <n v="9"/>
    <n v="1"/>
    <x v="1"/>
    <x v="2"/>
    <n v="28.627450980392158"/>
    <n v="3"/>
    <s v="No"/>
  </r>
  <r>
    <x v="48"/>
    <x v="41"/>
    <x v="1"/>
    <s v="West"/>
    <x v="1"/>
    <x v="0"/>
    <x v="3"/>
    <s v="South"/>
    <x v="0"/>
    <n v="1.5"/>
    <n v="234"/>
    <n v="4"/>
    <d v="2024-07-03T00:00:00"/>
    <n v="8"/>
    <n v="4"/>
    <x v="1"/>
    <x v="2"/>
    <n v="156"/>
    <n v="1"/>
    <s v="Yes"/>
  </r>
  <r>
    <x v="49"/>
    <x v="42"/>
    <x v="2"/>
    <s v="North"/>
    <x v="2"/>
    <x v="0"/>
    <x v="3"/>
    <s v="South"/>
    <x v="0"/>
    <n v="5.4"/>
    <n v="398"/>
    <n v="4"/>
    <d v="2024-05-31T00:00:00"/>
    <n v="5"/>
    <n v="1"/>
    <x v="1"/>
    <x v="2"/>
    <n v="73.703703703703695"/>
    <n v="2"/>
    <s v="No"/>
  </r>
  <r>
    <x v="50"/>
    <x v="43"/>
    <x v="4"/>
    <s v="East"/>
    <x v="2"/>
    <x v="0"/>
    <x v="0"/>
    <s v="North"/>
    <x v="0"/>
    <n v="9.3000000000000007"/>
    <n v="606"/>
    <n v="4"/>
    <d v="2024-04-30T00:00:00"/>
    <n v="4"/>
    <n v="0"/>
    <x v="0"/>
    <x v="0"/>
    <n v="65.161290322580641"/>
    <n v="3"/>
    <s v="No"/>
  </r>
  <r>
    <x v="51"/>
    <x v="44"/>
    <x v="3"/>
    <s v="South"/>
    <x v="3"/>
    <x v="1"/>
    <x v="2"/>
    <s v="North"/>
    <x v="0"/>
    <n v="39.5"/>
    <n v="1042"/>
    <n v="6"/>
    <d v="2024-04-16T00:00:00"/>
    <n v="7"/>
    <n v="1"/>
    <x v="1"/>
    <x v="2"/>
    <n v="26.379746835443036"/>
    <n v="3"/>
    <s v="No"/>
  </r>
  <r>
    <x v="52"/>
    <x v="45"/>
    <x v="4"/>
    <s v="East"/>
    <x v="5"/>
    <x v="0"/>
    <x v="6"/>
    <s v="East"/>
    <x v="1"/>
    <n v="5.9"/>
    <n v="296"/>
    <n v="2"/>
    <d v="2024-04-09T00:00:00"/>
    <n v="8"/>
    <n v="6"/>
    <x v="1"/>
    <x v="2"/>
    <n v="50.169491525423723"/>
    <n v="2"/>
    <s v="Yes"/>
  </r>
  <r>
    <x v="53"/>
    <x v="46"/>
    <x v="2"/>
    <s v="North"/>
    <x v="1"/>
    <x v="0"/>
    <x v="2"/>
    <s v="South"/>
    <x v="0"/>
    <n v="8.3000000000000007"/>
    <n v="525"/>
    <n v="4"/>
    <d v="2024-01-07T00:00:00"/>
    <n v="4"/>
    <n v="0"/>
    <x v="0"/>
    <x v="0"/>
    <n v="63.253012048192765"/>
    <n v="4"/>
    <s v="No"/>
  </r>
  <r>
    <x v="54"/>
    <x v="47"/>
    <x v="4"/>
    <s v="East"/>
    <x v="4"/>
    <x v="1"/>
    <x v="4"/>
    <s v="West"/>
    <x v="0"/>
    <n v="3.9"/>
    <n v="248"/>
    <n v="6"/>
    <d v="2024-05-08T00:00:00"/>
    <n v="7"/>
    <n v="1"/>
    <x v="1"/>
    <x v="2"/>
    <n v="63.589743589743591"/>
    <n v="2"/>
    <s v="No"/>
  </r>
  <r>
    <x v="55"/>
    <x v="48"/>
    <x v="1"/>
    <s v="West"/>
    <x v="2"/>
    <x v="2"/>
    <x v="3"/>
    <s v="West"/>
    <x v="1"/>
    <n v="5.7"/>
    <n v="80"/>
    <n v="6"/>
    <d v="2024-04-01T00:00:00"/>
    <n v="7"/>
    <n v="1"/>
    <x v="1"/>
    <x v="2"/>
    <n v="14.035087719298245"/>
    <n v="2"/>
    <s v="No"/>
  </r>
  <r>
    <x v="56"/>
    <x v="49"/>
    <x v="1"/>
    <s v="West"/>
    <x v="5"/>
    <x v="2"/>
    <x v="5"/>
    <s v="South"/>
    <x v="0"/>
    <n v="39.5"/>
    <n v="718"/>
    <n v="8"/>
    <d v="2024-06-29T00:00:00"/>
    <n v="8"/>
    <n v="0"/>
    <x v="0"/>
    <x v="0"/>
    <n v="18.177215189873419"/>
    <n v="4"/>
    <s v="Yes"/>
  </r>
  <r>
    <x v="57"/>
    <x v="50"/>
    <x v="5"/>
    <s v="West"/>
    <x v="0"/>
    <x v="1"/>
    <x v="4"/>
    <s v="South"/>
    <x v="0"/>
    <n v="5"/>
    <n v="245"/>
    <n v="6"/>
    <d v="2024-02-20T00:00:00"/>
    <n v="7"/>
    <n v="1"/>
    <x v="1"/>
    <x v="2"/>
    <n v="49"/>
    <n v="3"/>
    <s v="Yes"/>
  </r>
  <r>
    <x v="58"/>
    <x v="26"/>
    <x v="1"/>
    <s v="West"/>
    <x v="0"/>
    <x v="2"/>
    <x v="3"/>
    <s v="South"/>
    <x v="0"/>
    <n v="5.9"/>
    <n v="244"/>
    <n v="8"/>
    <d v="2024-03-06T00:00:00"/>
    <n v="9"/>
    <n v="1"/>
    <x v="1"/>
    <x v="2"/>
    <n v="41.355932203389827"/>
    <n v="5"/>
    <s v="Yes"/>
  </r>
  <r>
    <x v="59"/>
    <x v="51"/>
    <x v="1"/>
    <s v="West"/>
    <x v="4"/>
    <x v="1"/>
    <x v="5"/>
    <s v="South"/>
    <x v="0"/>
    <n v="44.8"/>
    <n v="1171"/>
    <n v="6"/>
    <d v="2024-01-19T00:00:00"/>
    <n v="5"/>
    <n v="-1"/>
    <x v="0"/>
    <x v="0"/>
    <n v="26.138392857142858"/>
    <n v="3"/>
    <s v="No"/>
  </r>
  <r>
    <x v="60"/>
    <x v="52"/>
    <x v="3"/>
    <s v="South"/>
    <x v="1"/>
    <x v="1"/>
    <x v="4"/>
    <s v="East"/>
    <x v="0"/>
    <n v="2.1"/>
    <n v="197"/>
    <n v="6"/>
    <d v="2024-06-19T00:00:00"/>
    <n v="7"/>
    <n v="1"/>
    <x v="1"/>
    <x v="2"/>
    <n v="93.80952380952381"/>
    <n v="3"/>
    <s v="Yes"/>
  </r>
  <r>
    <x v="61"/>
    <x v="53"/>
    <x v="1"/>
    <s v="West"/>
    <x v="0"/>
    <x v="1"/>
    <x v="5"/>
    <s v="South"/>
    <x v="0"/>
    <n v="41.7"/>
    <n v="1061"/>
    <n v="6"/>
    <d v="2024-01-31T00:00:00"/>
    <n v="14"/>
    <n v="8"/>
    <x v="1"/>
    <x v="2"/>
    <n v="25.443645083932854"/>
    <n v="2"/>
    <s v="No"/>
  </r>
  <r>
    <x v="62"/>
    <x v="54"/>
    <x v="4"/>
    <s v="East"/>
    <x v="5"/>
    <x v="2"/>
    <x v="3"/>
    <s v="West"/>
    <x v="0"/>
    <n v="3.2"/>
    <n v="234"/>
    <n v="8"/>
    <d v="2024-02-16T00:00:00"/>
    <n v="7"/>
    <n v="-1"/>
    <x v="0"/>
    <x v="0"/>
    <n v="73.125"/>
    <n v="4"/>
    <s v="No"/>
  </r>
  <r>
    <x v="63"/>
    <x v="55"/>
    <x v="3"/>
    <s v="South"/>
    <x v="0"/>
    <x v="0"/>
    <x v="5"/>
    <s v="West"/>
    <x v="0"/>
    <n v="34"/>
    <n v="1694"/>
    <n v="4"/>
    <d v="2024-04-29T00:00:00"/>
    <n v="6"/>
    <n v="2"/>
    <x v="1"/>
    <x v="2"/>
    <n v="49.823529411764703"/>
    <n v="5"/>
    <s v="No"/>
  </r>
  <r>
    <x v="64"/>
    <x v="56"/>
    <x v="5"/>
    <s v="West"/>
    <x v="1"/>
    <x v="0"/>
    <x v="3"/>
    <s v="West"/>
    <x v="1"/>
    <n v="1.6"/>
    <n v="80"/>
    <n v="2"/>
    <d v="2024-06-02T00:00:00"/>
    <n v="1"/>
    <n v="-1"/>
    <x v="0"/>
    <x v="0"/>
    <n v="50"/>
    <n v="4"/>
    <s v="No"/>
  </r>
  <r>
    <x v="65"/>
    <x v="1"/>
    <x v="5"/>
    <s v="West"/>
    <x v="2"/>
    <x v="0"/>
    <x v="4"/>
    <s v="North"/>
    <x v="0"/>
    <n v="3.9"/>
    <n v="342"/>
    <n v="4"/>
    <d v="2024-06-13T00:00:00"/>
    <n v="3"/>
    <n v="-1"/>
    <x v="0"/>
    <x v="0"/>
    <n v="87.692307692307693"/>
    <n v="4"/>
    <s v="No"/>
  </r>
  <r>
    <x v="66"/>
    <x v="57"/>
    <x v="0"/>
    <s v="South"/>
    <x v="2"/>
    <x v="2"/>
    <x v="4"/>
    <s v="South"/>
    <x v="1"/>
    <n v="3.5"/>
    <n v="108"/>
    <n v="6"/>
    <d v="2024-06-29T00:00:00"/>
    <n v="6"/>
    <n v="0"/>
    <x v="0"/>
    <x v="0"/>
    <n v="30.857142857142858"/>
    <n v="4"/>
    <s v="No"/>
  </r>
  <r>
    <x v="67"/>
    <x v="58"/>
    <x v="2"/>
    <s v="North"/>
    <x v="1"/>
    <x v="0"/>
    <x v="0"/>
    <s v="West"/>
    <x v="0"/>
    <n v="11.4"/>
    <n v="700"/>
    <n v="4"/>
    <d v="2024-04-10T00:00:00"/>
    <n v="13"/>
    <n v="9"/>
    <x v="1"/>
    <x v="2"/>
    <n v="61.403508771929822"/>
    <n v="2"/>
    <s v="No"/>
  </r>
  <r>
    <x v="68"/>
    <x v="59"/>
    <x v="2"/>
    <s v="North"/>
    <x v="1"/>
    <x v="1"/>
    <x v="2"/>
    <s v="North"/>
    <x v="1"/>
    <n v="18.2"/>
    <n v="420"/>
    <n v="4"/>
    <d v="2024-05-23T00:00:00"/>
    <n v="4"/>
    <n v="0"/>
    <x v="0"/>
    <x v="0"/>
    <n v="23.076923076923077"/>
    <n v="5"/>
    <s v="Yes"/>
  </r>
  <r>
    <x v="69"/>
    <x v="18"/>
    <x v="3"/>
    <s v="South"/>
    <x v="5"/>
    <x v="0"/>
    <x v="5"/>
    <s v="East"/>
    <x v="0"/>
    <n v="20.6"/>
    <n v="1099"/>
    <n v="4"/>
    <d v="2024-01-20T00:00:00"/>
    <n v="9"/>
    <n v="5"/>
    <x v="1"/>
    <x v="2"/>
    <n v="53.349514563106794"/>
    <n v="3"/>
    <s v="No"/>
  </r>
  <r>
    <x v="70"/>
    <x v="26"/>
    <x v="5"/>
    <s v="West"/>
    <x v="4"/>
    <x v="2"/>
    <x v="4"/>
    <s v="East"/>
    <x v="0"/>
    <n v="0.9"/>
    <n v="222"/>
    <n v="8"/>
    <d v="2024-03-05T00:00:00"/>
    <n v="8"/>
    <n v="0"/>
    <x v="0"/>
    <x v="0"/>
    <n v="246.66666666666666"/>
    <n v="1"/>
    <s v="Yes"/>
  </r>
  <r>
    <x v="71"/>
    <x v="60"/>
    <x v="2"/>
    <s v="North"/>
    <x v="6"/>
    <x v="1"/>
    <x v="0"/>
    <s v="North"/>
    <x v="1"/>
    <n v="3"/>
    <n v="84"/>
    <n v="4"/>
    <d v="2024-03-05T00:00:00"/>
    <n v="4"/>
    <n v="0"/>
    <x v="0"/>
    <x v="0"/>
    <n v="28"/>
    <n v="4"/>
    <s v="Yes"/>
  </r>
  <r>
    <x v="72"/>
    <x v="25"/>
    <x v="0"/>
    <s v="South"/>
    <x v="4"/>
    <x v="0"/>
    <x v="3"/>
    <s v="East"/>
    <x v="0"/>
    <n v="6.9"/>
    <n v="506"/>
    <n v="4"/>
    <d v="2024-02-06T00:00:00"/>
    <n v="5"/>
    <n v="1"/>
    <x v="1"/>
    <x v="2"/>
    <n v="73.333333333333329"/>
    <n v="4"/>
    <s v="No"/>
  </r>
  <r>
    <x v="73"/>
    <x v="61"/>
    <x v="4"/>
    <s v="East"/>
    <x v="1"/>
    <x v="2"/>
    <x v="0"/>
    <s v="West"/>
    <x v="0"/>
    <n v="5.5"/>
    <n v="257"/>
    <n v="8"/>
    <d v="2024-06-26T00:00:00"/>
    <n v="9"/>
    <n v="1"/>
    <x v="1"/>
    <x v="2"/>
    <n v="46.727272727272727"/>
    <n v="4"/>
    <s v="Yes"/>
  </r>
  <r>
    <x v="74"/>
    <x v="13"/>
    <x v="0"/>
    <s v="South"/>
    <x v="0"/>
    <x v="2"/>
    <x v="3"/>
    <s v="East"/>
    <x v="0"/>
    <n v="2"/>
    <n v="236"/>
    <n v="8"/>
    <d v="2024-01-13T00:00:00"/>
    <n v="11"/>
    <n v="3"/>
    <x v="1"/>
    <x v="2"/>
    <n v="118"/>
    <n v="4"/>
    <s v="No"/>
  </r>
  <r>
    <x v="75"/>
    <x v="62"/>
    <x v="2"/>
    <s v="North"/>
    <x v="4"/>
    <x v="1"/>
    <x v="1"/>
    <s v="North"/>
    <x v="1"/>
    <n v="6.8"/>
    <n v="162"/>
    <n v="4"/>
    <d v="2024-06-30T00:00:00"/>
    <n v="3"/>
    <n v="-1"/>
    <x v="0"/>
    <x v="0"/>
    <n v="23.823529411764707"/>
    <n v="3"/>
    <s v="No"/>
  </r>
  <r>
    <x v="76"/>
    <x v="63"/>
    <x v="1"/>
    <s v="West"/>
    <x v="3"/>
    <x v="0"/>
    <x v="4"/>
    <s v="East"/>
    <x v="0"/>
    <n v="3"/>
    <n v="270"/>
    <n v="4"/>
    <d v="2024-04-22T00:00:00"/>
    <n v="4"/>
    <n v="0"/>
    <x v="0"/>
    <x v="0"/>
    <n v="90"/>
    <n v="4"/>
    <s v="No"/>
  </r>
  <r>
    <x v="77"/>
    <x v="64"/>
    <x v="3"/>
    <s v="South"/>
    <x v="2"/>
    <x v="2"/>
    <x v="1"/>
    <s v="South"/>
    <x v="1"/>
    <n v="19.899999999999999"/>
    <n v="313"/>
    <n v="6"/>
    <d v="2024-05-22T00:00:00"/>
    <n v="5"/>
    <n v="-1"/>
    <x v="0"/>
    <x v="0"/>
    <n v="15.728643216080403"/>
    <n v="3"/>
    <s v="No"/>
  </r>
  <r>
    <x v="78"/>
    <x v="65"/>
    <x v="3"/>
    <s v="South"/>
    <x v="3"/>
    <x v="1"/>
    <x v="0"/>
    <s v="East"/>
    <x v="0"/>
    <n v="7.8"/>
    <n v="341"/>
    <n v="6"/>
    <d v="2024-04-01T00:00:00"/>
    <n v="12"/>
    <n v="6"/>
    <x v="1"/>
    <x v="2"/>
    <n v="43.717948717948715"/>
    <n v="5"/>
    <s v="No"/>
  </r>
  <r>
    <x v="79"/>
    <x v="66"/>
    <x v="0"/>
    <s v="South"/>
    <x v="1"/>
    <x v="0"/>
    <x v="0"/>
    <s v="North"/>
    <x v="0"/>
    <n v="14.1"/>
    <n v="773"/>
    <n v="4"/>
    <d v="2024-02-19T00:00:00"/>
    <n v="4"/>
    <n v="0"/>
    <x v="0"/>
    <x v="0"/>
    <n v="54.822695035460995"/>
    <n v="4"/>
    <s v="Yes"/>
  </r>
  <r>
    <x v="80"/>
    <x v="67"/>
    <x v="4"/>
    <s v="East"/>
    <x v="2"/>
    <x v="2"/>
    <x v="4"/>
    <s v="West"/>
    <x v="0"/>
    <n v="2.2999999999999998"/>
    <n v="202"/>
    <n v="8"/>
    <d v="2024-03-26T00:00:00"/>
    <n v="10"/>
    <n v="2"/>
    <x v="1"/>
    <x v="2"/>
    <n v="87.826086956521749"/>
    <n v="1"/>
    <s v="Yes"/>
  </r>
  <r>
    <x v="81"/>
    <x v="52"/>
    <x v="2"/>
    <s v="North"/>
    <x v="0"/>
    <x v="0"/>
    <x v="1"/>
    <s v="North"/>
    <x v="1"/>
    <n v="3.3"/>
    <n v="166"/>
    <n v="2"/>
    <d v="2024-06-14T00:00:00"/>
    <n v="2"/>
    <n v="0"/>
    <x v="0"/>
    <x v="0"/>
    <n v="50.303030303030305"/>
    <n v="4"/>
    <s v="Yes"/>
  </r>
  <r>
    <x v="82"/>
    <x v="36"/>
    <x v="1"/>
    <s v="West"/>
    <x v="0"/>
    <x v="0"/>
    <x v="5"/>
    <s v="West"/>
    <x v="1"/>
    <n v="51.1"/>
    <n v="2322"/>
    <n v="2"/>
    <d v="2024-05-11T00:00:00"/>
    <n v="1"/>
    <n v="-1"/>
    <x v="0"/>
    <x v="0"/>
    <n v="45.44031311154599"/>
    <n v="3"/>
    <s v="Yes"/>
  </r>
  <r>
    <x v="83"/>
    <x v="30"/>
    <x v="4"/>
    <s v="East"/>
    <x v="4"/>
    <x v="2"/>
    <x v="2"/>
    <s v="North"/>
    <x v="0"/>
    <n v="19.8"/>
    <n v="397"/>
    <n v="8"/>
    <d v="2024-04-13T00:00:00"/>
    <n v="7"/>
    <n v="-1"/>
    <x v="0"/>
    <x v="3"/>
    <n v="20.050505050505048"/>
    <n v="0"/>
    <s v="No"/>
  </r>
  <r>
    <x v="84"/>
    <x v="49"/>
    <x v="3"/>
    <s v="South"/>
    <x v="1"/>
    <x v="1"/>
    <x v="3"/>
    <s v="East"/>
    <x v="0"/>
    <n v="6.4"/>
    <n v="279"/>
    <n v="6"/>
    <d v="2024-07-03T00:00:00"/>
    <n v="12"/>
    <n v="6"/>
    <x v="1"/>
    <x v="2"/>
    <n v="43.59375"/>
    <n v="3"/>
    <s v="Yes"/>
  </r>
  <r>
    <x v="85"/>
    <x v="68"/>
    <x v="0"/>
    <s v="South"/>
    <x v="0"/>
    <x v="0"/>
    <x v="4"/>
    <s v="North"/>
    <x v="0"/>
    <n v="1.7"/>
    <n v="243"/>
    <n v="4"/>
    <d v="2024-06-14T00:00:00"/>
    <n v="5"/>
    <n v="1"/>
    <x v="1"/>
    <x v="2"/>
    <n v="142.94117647058823"/>
    <n v="3"/>
    <s v="Yes"/>
  </r>
  <r>
    <x v="86"/>
    <x v="69"/>
    <x v="1"/>
    <s v="West"/>
    <x v="4"/>
    <x v="2"/>
    <x v="3"/>
    <s v="South"/>
    <x v="0"/>
    <n v="3.9"/>
    <n v="190"/>
    <n v="8"/>
    <d v="2024-05-17T00:00:00"/>
    <n v="9"/>
    <n v="1"/>
    <x v="1"/>
    <x v="2"/>
    <n v="48.717948717948723"/>
    <n v="2"/>
    <s v="Yes"/>
  </r>
  <r>
    <x v="87"/>
    <x v="70"/>
    <x v="2"/>
    <s v="North"/>
    <x v="4"/>
    <x v="1"/>
    <x v="1"/>
    <s v="West"/>
    <x v="0"/>
    <n v="18.5"/>
    <n v="564"/>
    <n v="6"/>
    <d v="2024-04-13T00:00:00"/>
    <n v="5"/>
    <n v="-1"/>
    <x v="0"/>
    <x v="0"/>
    <n v="30.486486486486488"/>
    <n v="3"/>
    <s v="No"/>
  </r>
  <r>
    <x v="88"/>
    <x v="71"/>
    <x v="5"/>
    <s v="West"/>
    <x v="5"/>
    <x v="1"/>
    <x v="5"/>
    <s v="West"/>
    <x v="1"/>
    <n v="19.3"/>
    <n v="410"/>
    <n v="4"/>
    <d v="2024-06-19T00:00:00"/>
    <n v="5"/>
    <n v="1"/>
    <x v="1"/>
    <x v="2"/>
    <n v="21.243523316062177"/>
    <n v="3"/>
    <s v="No"/>
  </r>
  <r>
    <x v="89"/>
    <x v="37"/>
    <x v="4"/>
    <s v="East"/>
    <x v="4"/>
    <x v="2"/>
    <x v="3"/>
    <s v="East"/>
    <x v="1"/>
    <n v="2.2000000000000002"/>
    <n v="80"/>
    <n v="6"/>
    <d v="2024-01-14T00:00:00"/>
    <n v="6"/>
    <n v="0"/>
    <x v="0"/>
    <x v="0"/>
    <n v="36.36363636363636"/>
    <n v="5"/>
    <s v="No"/>
  </r>
  <r>
    <x v="90"/>
    <x v="72"/>
    <x v="4"/>
    <s v="East"/>
    <x v="1"/>
    <x v="1"/>
    <x v="3"/>
    <s v="East"/>
    <x v="1"/>
    <n v="4.5999999999999996"/>
    <n v="84"/>
    <n v="4"/>
    <d v="2024-06-28T00:00:00"/>
    <n v="4"/>
    <n v="0"/>
    <x v="0"/>
    <x v="0"/>
    <n v="18.260869565217394"/>
    <n v="3"/>
    <s v="Yes"/>
  </r>
  <r>
    <x v="91"/>
    <x v="33"/>
    <x v="1"/>
    <s v="West"/>
    <x v="2"/>
    <x v="2"/>
    <x v="5"/>
    <s v="North"/>
    <x v="0"/>
    <n v="42.3"/>
    <n v="780"/>
    <n v="8"/>
    <d v="2024-03-21T00:00:00"/>
    <n v="8"/>
    <n v="0"/>
    <x v="0"/>
    <x v="0"/>
    <n v="18.439716312056738"/>
    <n v="5"/>
    <s v="Yes"/>
  </r>
  <r>
    <x v="92"/>
    <x v="73"/>
    <x v="4"/>
    <s v="East"/>
    <x v="4"/>
    <x v="1"/>
    <x v="1"/>
    <s v="East"/>
    <x v="1"/>
    <n v="10.3"/>
    <n v="218"/>
    <n v="4"/>
    <d v="2024-03-14T00:00:00"/>
    <n v="4"/>
    <n v="0"/>
    <x v="0"/>
    <x v="0"/>
    <n v="21.16504854368932"/>
    <n v="5"/>
    <s v="Yes"/>
  </r>
  <r>
    <x v="93"/>
    <x v="36"/>
    <x v="5"/>
    <s v="West"/>
    <x v="0"/>
    <x v="2"/>
    <x v="4"/>
    <s v="East"/>
    <x v="0"/>
    <n v="4.5"/>
    <n v="266"/>
    <n v="8"/>
    <d v="2024-05-19T00:00:00"/>
    <n v="9"/>
    <n v="1"/>
    <x v="1"/>
    <x v="2"/>
    <n v="59.111111111111114"/>
    <n v="1"/>
    <s v="No"/>
  </r>
  <r>
    <x v="94"/>
    <x v="74"/>
    <x v="1"/>
    <s v="West"/>
    <x v="3"/>
    <x v="2"/>
    <x v="2"/>
    <s v="East"/>
    <x v="0"/>
    <n v="33.1"/>
    <n v="598"/>
    <n v="8"/>
    <d v="2024-02-19T00:00:00"/>
    <n v="8"/>
    <n v="0"/>
    <x v="0"/>
    <x v="0"/>
    <n v="18.066465256797581"/>
    <n v="5"/>
    <s v="No"/>
  </r>
  <r>
    <x v="95"/>
    <x v="75"/>
    <x v="2"/>
    <s v="North"/>
    <x v="0"/>
    <x v="1"/>
    <x v="5"/>
    <s v="East"/>
    <x v="0"/>
    <n v="76.599999999999994"/>
    <n v="1820"/>
    <n v="6"/>
    <d v="2024-01-29T00:00:00"/>
    <n v="6"/>
    <n v="0"/>
    <x v="0"/>
    <x v="0"/>
    <n v="23.759791122715406"/>
    <n v="3"/>
    <s v="Yes"/>
  </r>
  <r>
    <x v="96"/>
    <x v="48"/>
    <x v="5"/>
    <s v="West"/>
    <x v="1"/>
    <x v="2"/>
    <x v="3"/>
    <s v="North"/>
    <x v="0"/>
    <n v="1.8"/>
    <n v="177"/>
    <n v="8"/>
    <d v="2024-04-01T00:00:00"/>
    <n v="7"/>
    <n v="-1"/>
    <x v="0"/>
    <x v="0"/>
    <n v="98.333333333333329"/>
    <n v="5"/>
    <s v="No"/>
  </r>
  <r>
    <x v="97"/>
    <x v="76"/>
    <x v="4"/>
    <s v="East"/>
    <x v="5"/>
    <x v="2"/>
    <x v="0"/>
    <s v="North"/>
    <x v="0"/>
    <n v="7"/>
    <n v="246"/>
    <n v="8"/>
    <d v="2024-02-04T00:00:00"/>
    <n v="8"/>
    <n v="0"/>
    <x v="0"/>
    <x v="0"/>
    <n v="35.142857142857146"/>
    <n v="4"/>
    <s v="Yes"/>
  </r>
  <r>
    <x v="98"/>
    <x v="77"/>
    <x v="4"/>
    <s v="East"/>
    <x v="1"/>
    <x v="1"/>
    <x v="4"/>
    <s v="East"/>
    <x v="1"/>
    <n v="1.8"/>
    <n v="86"/>
    <n v="4"/>
    <d v="2024-05-23T00:00:00"/>
    <n v="5"/>
    <n v="1"/>
    <x v="1"/>
    <x v="2"/>
    <n v="47.777777777777779"/>
    <n v="2"/>
    <s v="Yes"/>
  </r>
  <r>
    <x v="99"/>
    <x v="78"/>
    <x v="4"/>
    <s v="East"/>
    <x v="0"/>
    <x v="0"/>
    <x v="4"/>
    <s v="East"/>
    <x v="1"/>
    <n v="5"/>
    <n v="254"/>
    <n v="2"/>
    <d v="2024-03-28T00:00:00"/>
    <n v="2"/>
    <n v="0"/>
    <x v="0"/>
    <x v="0"/>
    <n v="50.8"/>
    <n v="5"/>
    <s v="No"/>
  </r>
  <r>
    <x v="100"/>
    <x v="79"/>
    <x v="1"/>
    <s v="West"/>
    <x v="4"/>
    <x v="2"/>
    <x v="4"/>
    <s v="East"/>
    <x v="0"/>
    <n v="0.7"/>
    <n v="210"/>
    <n v="8"/>
    <d v="2024-04-09T00:00:00"/>
    <n v="7"/>
    <n v="-1"/>
    <x v="0"/>
    <x v="0"/>
    <n v="300"/>
    <n v="5"/>
    <s v="No"/>
  </r>
  <r>
    <x v="101"/>
    <x v="56"/>
    <x v="4"/>
    <s v="East"/>
    <x v="0"/>
    <x v="2"/>
    <x v="2"/>
    <s v="South"/>
    <x v="0"/>
    <n v="19.5"/>
    <n v="472"/>
    <n v="8"/>
    <d v="2024-06-10T00:00:00"/>
    <n v="9"/>
    <n v="1"/>
    <x v="1"/>
    <x v="2"/>
    <n v="24.205128205128204"/>
    <n v="2"/>
    <s v="Yes"/>
  </r>
  <r>
    <x v="102"/>
    <x v="80"/>
    <x v="2"/>
    <s v="North"/>
    <x v="4"/>
    <x v="1"/>
    <x v="0"/>
    <s v="North"/>
    <x v="1"/>
    <n v="5.0999999999999996"/>
    <n v="139"/>
    <n v="4"/>
    <d v="2024-04-26T00:00:00"/>
    <n v="5"/>
    <n v="1"/>
    <x v="1"/>
    <x v="2"/>
    <n v="27.254901960784316"/>
    <n v="2"/>
    <s v="Yes"/>
  </r>
  <r>
    <x v="103"/>
    <x v="81"/>
    <x v="5"/>
    <s v="West"/>
    <x v="1"/>
    <x v="1"/>
    <x v="4"/>
    <s v="North"/>
    <x v="0"/>
    <n v="1.1000000000000001"/>
    <n v="211"/>
    <n v="6"/>
    <d v="2024-06-01T00:00:00"/>
    <n v="5"/>
    <n v="-1"/>
    <x v="0"/>
    <x v="0"/>
    <n v="191.81818181818181"/>
    <n v="2"/>
    <s v="Yes"/>
  </r>
  <r>
    <x v="104"/>
    <x v="82"/>
    <x v="2"/>
    <s v="North"/>
    <x v="5"/>
    <x v="2"/>
    <x v="1"/>
    <s v="South"/>
    <x v="0"/>
    <n v="18.7"/>
    <n v="395"/>
    <n v="8"/>
    <d v="2024-05-21T00:00:00"/>
    <n v="7"/>
    <n v="-1"/>
    <x v="0"/>
    <x v="0"/>
    <n v="21.122994652406419"/>
    <n v="4"/>
    <s v="No"/>
  </r>
  <r>
    <x v="105"/>
    <x v="83"/>
    <x v="3"/>
    <s v="South"/>
    <x v="2"/>
    <x v="2"/>
    <x v="4"/>
    <s v="West"/>
    <x v="0"/>
    <n v="2.4"/>
    <n v="225"/>
    <n v="8"/>
    <d v="2024-02-20T00:00:00"/>
    <n v="8"/>
    <n v="0"/>
    <x v="0"/>
    <x v="0"/>
    <n v="93.75"/>
    <n v="4"/>
    <s v="Yes"/>
  </r>
  <r>
    <x v="106"/>
    <x v="84"/>
    <x v="1"/>
    <s v="West"/>
    <x v="0"/>
    <x v="0"/>
    <x v="3"/>
    <s v="South"/>
    <x v="0"/>
    <n v="1.4"/>
    <n v="226"/>
    <n v="4"/>
    <d v="2024-02-18T00:00:00"/>
    <n v="10"/>
    <n v="6"/>
    <x v="1"/>
    <x v="2"/>
    <n v="161.42857142857144"/>
    <n v="2"/>
    <s v="Yes"/>
  </r>
  <r>
    <x v="107"/>
    <x v="34"/>
    <x v="5"/>
    <s v="West"/>
    <x v="5"/>
    <x v="0"/>
    <x v="4"/>
    <s v="South"/>
    <x v="0"/>
    <n v="1.2"/>
    <n v="196"/>
    <n v="4"/>
    <d v="2024-05-21T00:00:00"/>
    <n v="10"/>
    <n v="6"/>
    <x v="1"/>
    <x v="2"/>
    <n v="163.33333333333334"/>
    <n v="1"/>
    <s v="No"/>
  </r>
  <r>
    <x v="108"/>
    <x v="74"/>
    <x v="1"/>
    <s v="West"/>
    <x v="2"/>
    <x v="1"/>
    <x v="1"/>
    <s v="West"/>
    <x v="1"/>
    <n v="17.7"/>
    <n v="417"/>
    <n v="4"/>
    <d v="2024-02-15T00:00:00"/>
    <n v="4"/>
    <n v="0"/>
    <x v="0"/>
    <x v="0"/>
    <n v="23.559322033898304"/>
    <n v="4"/>
    <s v="No"/>
  </r>
  <r>
    <x v="109"/>
    <x v="85"/>
    <x v="3"/>
    <s v="South"/>
    <x v="0"/>
    <x v="0"/>
    <x v="1"/>
    <s v="North"/>
    <x v="0"/>
    <n v="17"/>
    <n v="910"/>
    <n v="4"/>
    <d v="2024-05-03T00:00:00"/>
    <n v="6"/>
    <n v="2"/>
    <x v="1"/>
    <x v="2"/>
    <n v="53.529411764705884"/>
    <n v="2"/>
    <s v="No"/>
  </r>
  <r>
    <x v="110"/>
    <x v="86"/>
    <x v="0"/>
    <s v="South"/>
    <x v="0"/>
    <x v="0"/>
    <x v="3"/>
    <s v="South"/>
    <x v="1"/>
    <n v="3.4"/>
    <n v="182"/>
    <n v="2"/>
    <d v="2024-01-11T00:00:00"/>
    <n v="1"/>
    <n v="-1"/>
    <x v="0"/>
    <x v="0"/>
    <n v="53.529411764705884"/>
    <n v="4"/>
    <s v="No"/>
  </r>
  <r>
    <x v="111"/>
    <x v="34"/>
    <x v="5"/>
    <s v="West"/>
    <x v="5"/>
    <x v="1"/>
    <x v="2"/>
    <s v="North"/>
    <x v="0"/>
    <n v="19.3"/>
    <n v="574"/>
    <n v="6"/>
    <d v="2024-05-18T00:00:00"/>
    <n v="7"/>
    <n v="1"/>
    <x v="1"/>
    <x v="2"/>
    <n v="29.740932642487046"/>
    <n v="2"/>
    <s v="Yes"/>
  </r>
  <r>
    <x v="112"/>
    <x v="55"/>
    <x v="0"/>
    <s v="South"/>
    <x v="0"/>
    <x v="2"/>
    <x v="4"/>
    <s v="West"/>
    <x v="0"/>
    <n v="4.8"/>
    <n v="191"/>
    <n v="8"/>
    <d v="2024-05-02T00:00:00"/>
    <n v="9"/>
    <n v="1"/>
    <x v="1"/>
    <x v="2"/>
    <n v="39.791666666666671"/>
    <n v="5"/>
    <s v="No"/>
  </r>
  <r>
    <x v="113"/>
    <x v="87"/>
    <x v="4"/>
    <s v="East"/>
    <x v="5"/>
    <x v="1"/>
    <x v="2"/>
    <s v="East"/>
    <x v="1"/>
    <n v="30.9"/>
    <n v="673"/>
    <n v="4"/>
    <d v="2024-03-26T00:00:00"/>
    <n v="3"/>
    <n v="-1"/>
    <x v="0"/>
    <x v="1"/>
    <n v="21.779935275080906"/>
    <n v="0"/>
    <s v="No"/>
  </r>
  <r>
    <x v="114"/>
    <x v="88"/>
    <x v="0"/>
    <s v="South"/>
    <x v="2"/>
    <x v="1"/>
    <x v="4"/>
    <s v="South"/>
    <x v="1"/>
    <n v="4.4000000000000004"/>
    <n v="80"/>
    <n v="4"/>
    <d v="2024-01-23T00:00:00"/>
    <n v="5"/>
    <n v="1"/>
    <x v="1"/>
    <x v="2"/>
    <n v="18.18181818181818"/>
    <n v="2"/>
    <s v="No"/>
  </r>
  <r>
    <x v="115"/>
    <x v="89"/>
    <x v="2"/>
    <s v="North"/>
    <x v="5"/>
    <x v="2"/>
    <x v="5"/>
    <s v="North"/>
    <x v="1"/>
    <n v="44.2"/>
    <n v="618"/>
    <n v="6"/>
    <d v="2024-03-16T00:00:00"/>
    <n v="7"/>
    <n v="1"/>
    <x v="1"/>
    <x v="2"/>
    <n v="13.981900452488686"/>
    <n v="2"/>
    <s v="Yes"/>
  </r>
  <r>
    <x v="116"/>
    <x v="62"/>
    <x v="0"/>
    <s v="South"/>
    <x v="4"/>
    <x v="0"/>
    <x v="5"/>
    <s v="West"/>
    <x v="0"/>
    <n v="26.5"/>
    <n v="1389"/>
    <n v="4"/>
    <d v="2024-07-03T00:00:00"/>
    <n v="6"/>
    <n v="2"/>
    <x v="1"/>
    <x v="2"/>
    <n v="52.415094339622641"/>
    <n v="4"/>
    <s v="No"/>
  </r>
  <r>
    <x v="117"/>
    <x v="3"/>
    <x v="2"/>
    <s v="North"/>
    <x v="4"/>
    <x v="2"/>
    <x v="2"/>
    <s v="West"/>
    <x v="0"/>
    <n v="30.3"/>
    <n v="614"/>
    <n v="8"/>
    <d v="2024-01-20T00:00:00"/>
    <n v="7"/>
    <n v="-1"/>
    <x v="0"/>
    <x v="0"/>
    <n v="20.264026402640262"/>
    <n v="4"/>
    <s v="No"/>
  </r>
  <r>
    <x v="118"/>
    <x v="90"/>
    <x v="3"/>
    <s v="South"/>
    <x v="2"/>
    <x v="1"/>
    <x v="0"/>
    <s v="South"/>
    <x v="1"/>
    <n v="2"/>
    <n v="80"/>
    <n v="4"/>
    <d v="2024-06-26T00:00:00"/>
    <n v="4"/>
    <n v="0"/>
    <x v="0"/>
    <x v="0"/>
    <n v="40"/>
    <n v="3"/>
    <s v="No"/>
  </r>
  <r>
    <x v="119"/>
    <x v="91"/>
    <x v="4"/>
    <s v="East"/>
    <x v="5"/>
    <x v="1"/>
    <x v="5"/>
    <s v="South"/>
    <x v="0"/>
    <n v="71.400000000000006"/>
    <n v="1766"/>
    <n v="6"/>
    <d v="2024-04-20T00:00:00"/>
    <n v="8"/>
    <n v="2"/>
    <x v="1"/>
    <x v="2"/>
    <n v="24.733893557422967"/>
    <n v="5"/>
    <s v="No"/>
  </r>
  <r>
    <x v="120"/>
    <x v="92"/>
    <x v="2"/>
    <s v="North"/>
    <x v="2"/>
    <x v="2"/>
    <x v="4"/>
    <s v="West"/>
    <x v="0"/>
    <n v="3.3"/>
    <n v="175"/>
    <n v="8"/>
    <d v="2024-03-01T00:00:00"/>
    <n v="7"/>
    <n v="-1"/>
    <x v="0"/>
    <x v="0"/>
    <n v="53.030303030303031"/>
    <n v="4"/>
    <s v="No"/>
  </r>
  <r>
    <x v="121"/>
    <x v="93"/>
    <x v="4"/>
    <s v="East"/>
    <x v="4"/>
    <x v="2"/>
    <x v="3"/>
    <s v="East"/>
    <x v="1"/>
    <n v="4.9000000000000004"/>
    <n v="120"/>
    <n v="6"/>
    <d v="2024-01-30T00:00:00"/>
    <n v="6"/>
    <n v="0"/>
    <x v="0"/>
    <x v="0"/>
    <n v="24.489795918367346"/>
    <n v="3"/>
    <s v="Yes"/>
  </r>
  <r>
    <x v="122"/>
    <x v="42"/>
    <x v="1"/>
    <s v="West"/>
    <x v="5"/>
    <x v="0"/>
    <x v="2"/>
    <s v="West"/>
    <x v="1"/>
    <n v="12.3"/>
    <n v="549"/>
    <n v="2"/>
    <d v="2024-06-01T00:00:00"/>
    <n v="6"/>
    <n v="4"/>
    <x v="1"/>
    <x v="2"/>
    <n v="44.634146341463413"/>
    <n v="3"/>
    <s v="Yes"/>
  </r>
  <r>
    <x v="123"/>
    <x v="94"/>
    <x v="2"/>
    <s v="North"/>
    <x v="5"/>
    <x v="2"/>
    <x v="0"/>
    <s v="East"/>
    <x v="0"/>
    <n v="1"/>
    <n v="205"/>
    <n v="8"/>
    <d v="2024-04-13T00:00:00"/>
    <n v="8"/>
    <n v="0"/>
    <x v="0"/>
    <x v="0"/>
    <n v="205"/>
    <n v="5"/>
    <s v="Yes"/>
  </r>
  <r>
    <x v="124"/>
    <x v="73"/>
    <x v="1"/>
    <s v="West"/>
    <x v="0"/>
    <x v="0"/>
    <x v="1"/>
    <s v="South"/>
    <x v="0"/>
    <n v="6.1"/>
    <n v="472"/>
    <n v="4"/>
    <d v="2024-03-22T00:00:00"/>
    <n v="12"/>
    <n v="8"/>
    <x v="1"/>
    <x v="2"/>
    <n v="77.377049180327873"/>
    <n v="3"/>
    <s v="No"/>
  </r>
  <r>
    <x v="125"/>
    <x v="48"/>
    <x v="3"/>
    <s v="South"/>
    <x v="4"/>
    <x v="0"/>
    <x v="0"/>
    <s v="South"/>
    <x v="1"/>
    <n v="11.3"/>
    <n v="546"/>
    <n v="2"/>
    <d v="2024-03-28T00:00:00"/>
    <n v="3"/>
    <n v="1"/>
    <x v="1"/>
    <x v="2"/>
    <n v="48.318584070796454"/>
    <n v="3"/>
    <s v="Yes"/>
  </r>
  <r>
    <x v="126"/>
    <x v="95"/>
    <x v="2"/>
    <s v="North"/>
    <x v="4"/>
    <x v="2"/>
    <x v="1"/>
    <s v="East"/>
    <x v="0"/>
    <n v="14.8"/>
    <n v="354"/>
    <n v="8"/>
    <d v="2024-02-10T00:00:00"/>
    <n v="8"/>
    <n v="0"/>
    <x v="0"/>
    <x v="3"/>
    <n v="23.918918918918919"/>
    <n v="0"/>
    <s v="No"/>
  </r>
  <r>
    <x v="127"/>
    <x v="96"/>
    <x v="0"/>
    <s v="South"/>
    <x v="2"/>
    <x v="1"/>
    <x v="4"/>
    <s v="East"/>
    <x v="0"/>
    <n v="3.9"/>
    <n v="248"/>
    <n v="6"/>
    <d v="2024-01-26T00:00:00"/>
    <n v="7"/>
    <n v="1"/>
    <x v="1"/>
    <x v="2"/>
    <n v="63.589743589743591"/>
    <n v="3"/>
    <s v="Yes"/>
  </r>
  <r>
    <x v="128"/>
    <x v="32"/>
    <x v="5"/>
    <s v="West"/>
    <x v="4"/>
    <x v="1"/>
    <x v="3"/>
    <s v="South"/>
    <x v="0"/>
    <n v="3.8"/>
    <n v="236"/>
    <n v="6"/>
    <d v="2024-05-26T00:00:00"/>
    <n v="5"/>
    <n v="-1"/>
    <x v="0"/>
    <x v="0"/>
    <n v="62.10526315789474"/>
    <n v="5"/>
    <s v="No"/>
  </r>
  <r>
    <x v="129"/>
    <x v="97"/>
    <x v="1"/>
    <s v="West"/>
    <x v="1"/>
    <x v="1"/>
    <x v="5"/>
    <s v="West"/>
    <x v="1"/>
    <n v="52.1"/>
    <n v="1139"/>
    <n v="4"/>
    <d v="2024-02-25T00:00:00"/>
    <n v="3"/>
    <n v="-1"/>
    <x v="0"/>
    <x v="0"/>
    <n v="21.86180422264875"/>
    <n v="5"/>
    <s v="No"/>
  </r>
  <r>
    <x v="130"/>
    <x v="38"/>
    <x v="0"/>
    <s v="South"/>
    <x v="0"/>
    <x v="2"/>
    <x v="2"/>
    <s v="South"/>
    <x v="1"/>
    <n v="21.4"/>
    <n v="359"/>
    <n v="6"/>
    <d v="2024-03-13T00:00:00"/>
    <n v="7"/>
    <n v="1"/>
    <x v="1"/>
    <x v="2"/>
    <n v="16.77570093457944"/>
    <n v="2"/>
    <s v="Yes"/>
  </r>
  <r>
    <x v="131"/>
    <x v="39"/>
    <x v="4"/>
    <s v="East"/>
    <x v="1"/>
    <x v="0"/>
    <x v="4"/>
    <s v="North"/>
    <x v="0"/>
    <n v="4.5"/>
    <n v="350"/>
    <n v="4"/>
    <d v="2024-05-25T00:00:00"/>
    <n v="5"/>
    <n v="1"/>
    <x v="1"/>
    <x v="2"/>
    <n v="77.777777777777771"/>
    <n v="2"/>
    <s v="No"/>
  </r>
  <r>
    <x v="132"/>
    <x v="60"/>
    <x v="4"/>
    <s v="East"/>
    <x v="0"/>
    <x v="2"/>
    <x v="2"/>
    <s v="West"/>
    <x v="0"/>
    <n v="20.399999999999999"/>
    <n v="428"/>
    <n v="8"/>
    <d v="2024-03-14T00:00:00"/>
    <n v="13"/>
    <n v="5"/>
    <x v="1"/>
    <x v="2"/>
    <n v="20.980392156862745"/>
    <n v="3"/>
    <s v="No"/>
  </r>
  <r>
    <x v="133"/>
    <x v="98"/>
    <x v="0"/>
    <s v="South"/>
    <x v="5"/>
    <x v="1"/>
    <x v="4"/>
    <s v="East"/>
    <x v="0"/>
    <n v="3.6"/>
    <n v="246"/>
    <n v="6"/>
    <d v="2024-01-10T00:00:00"/>
    <n v="5"/>
    <n v="-1"/>
    <x v="0"/>
    <x v="0"/>
    <n v="68.333333333333329"/>
    <n v="4"/>
    <s v="No"/>
  </r>
  <r>
    <x v="134"/>
    <x v="9"/>
    <x v="4"/>
    <s v="East"/>
    <x v="1"/>
    <x v="2"/>
    <x v="4"/>
    <s v="West"/>
    <x v="0"/>
    <n v="4.8"/>
    <n v="275"/>
    <n v="8"/>
    <d v="2024-06-19T00:00:00"/>
    <n v="8"/>
    <n v="0"/>
    <x v="0"/>
    <x v="0"/>
    <n v="57.291666666666671"/>
    <n v="4"/>
    <s v="Yes"/>
  </r>
  <r>
    <x v="135"/>
    <x v="99"/>
    <x v="4"/>
    <s v="East"/>
    <x v="1"/>
    <x v="2"/>
    <x v="0"/>
    <s v="North"/>
    <x v="0"/>
    <n v="1.3"/>
    <n v="155"/>
    <n v="8"/>
    <d v="2024-02-05T00:00:00"/>
    <n v="8"/>
    <n v="0"/>
    <x v="0"/>
    <x v="0"/>
    <n v="119.23076923076923"/>
    <n v="4"/>
    <s v="No"/>
  </r>
  <r>
    <x v="136"/>
    <x v="5"/>
    <x v="2"/>
    <s v="North"/>
    <x v="2"/>
    <x v="1"/>
    <x v="1"/>
    <s v="West"/>
    <x v="0"/>
    <n v="2.6"/>
    <n v="224"/>
    <n v="6"/>
    <d v="2024-03-29T00:00:00"/>
    <n v="5"/>
    <n v="-1"/>
    <x v="0"/>
    <x v="0"/>
    <n v="86.153846153846146"/>
    <n v="3"/>
    <s v="No"/>
  </r>
  <r>
    <x v="137"/>
    <x v="100"/>
    <x v="1"/>
    <s v="West"/>
    <x v="2"/>
    <x v="0"/>
    <x v="1"/>
    <s v="East"/>
    <x v="0"/>
    <n v="6.9"/>
    <n v="434"/>
    <n v="4"/>
    <d v="2024-04-01T00:00:00"/>
    <n v="5"/>
    <n v="1"/>
    <x v="1"/>
    <x v="2"/>
    <n v="62.89855072463768"/>
    <n v="3"/>
    <s v="No"/>
  </r>
  <r>
    <x v="138"/>
    <x v="39"/>
    <x v="4"/>
    <s v="East"/>
    <x v="4"/>
    <x v="1"/>
    <x v="5"/>
    <s v="South"/>
    <x v="0"/>
    <n v="32.700000000000003"/>
    <n v="897"/>
    <n v="6"/>
    <d v="2024-05-31T00:00:00"/>
    <n v="11"/>
    <n v="5"/>
    <x v="1"/>
    <x v="2"/>
    <n v="27.431192660550455"/>
    <n v="3"/>
    <s v="No"/>
  </r>
  <r>
    <x v="139"/>
    <x v="101"/>
    <x v="2"/>
    <s v="North"/>
    <x v="1"/>
    <x v="2"/>
    <x v="5"/>
    <s v="West"/>
    <x v="0"/>
    <n v="29.8"/>
    <n v="542"/>
    <n v="8"/>
    <d v="2024-05-12T00:00:00"/>
    <n v="9"/>
    <n v="1"/>
    <x v="1"/>
    <x v="2"/>
    <n v="18.187919463087248"/>
    <n v="2"/>
    <s v="Yes"/>
  </r>
  <r>
    <x v="140"/>
    <x v="102"/>
    <x v="1"/>
    <s v="West"/>
    <x v="5"/>
    <x v="0"/>
    <x v="0"/>
    <s v="West"/>
    <x v="1"/>
    <n v="5.5"/>
    <n v="256"/>
    <n v="2"/>
    <d v="2024-04-09T00:00:00"/>
    <n v="2"/>
    <n v="0"/>
    <x v="0"/>
    <x v="0"/>
    <n v="46.545454545454547"/>
    <n v="5"/>
    <s v="No"/>
  </r>
  <r>
    <x v="141"/>
    <x v="7"/>
    <x v="0"/>
    <s v="South"/>
    <x v="0"/>
    <x v="1"/>
    <x v="2"/>
    <s v="South"/>
    <x v="1"/>
    <n v="12.1"/>
    <n v="264"/>
    <n v="4"/>
    <d v="2024-02-04T00:00:00"/>
    <n v="10"/>
    <n v="6"/>
    <x v="1"/>
    <x v="2"/>
    <n v="21.81818181818182"/>
    <n v="3"/>
    <s v="No"/>
  </r>
  <r>
    <x v="142"/>
    <x v="1"/>
    <x v="0"/>
    <s v="South"/>
    <x v="1"/>
    <x v="2"/>
    <x v="2"/>
    <s v="East"/>
    <x v="0"/>
    <n v="25.7"/>
    <n v="525"/>
    <n v="8"/>
    <d v="2024-06-19T00:00:00"/>
    <n v="9"/>
    <n v="1"/>
    <x v="1"/>
    <x v="2"/>
    <n v="20.428015564202337"/>
    <n v="3"/>
    <s v="No"/>
  </r>
  <r>
    <x v="143"/>
    <x v="103"/>
    <x v="2"/>
    <s v="North"/>
    <x v="5"/>
    <x v="1"/>
    <x v="4"/>
    <s v="South"/>
    <x v="0"/>
    <n v="2"/>
    <n v="216"/>
    <n v="6"/>
    <d v="2024-04-20T00:00:00"/>
    <n v="10"/>
    <n v="4"/>
    <x v="1"/>
    <x v="2"/>
    <n v="108"/>
    <n v="2"/>
    <s v="No"/>
  </r>
  <r>
    <x v="144"/>
    <x v="27"/>
    <x v="5"/>
    <s v="West"/>
    <x v="1"/>
    <x v="2"/>
    <x v="2"/>
    <s v="West"/>
    <x v="1"/>
    <n v="20.9"/>
    <n v="292"/>
    <n v="6"/>
    <d v="2024-02-10T00:00:00"/>
    <n v="6"/>
    <n v="0"/>
    <x v="0"/>
    <x v="0"/>
    <n v="13.971291866028709"/>
    <n v="4"/>
    <s v="No"/>
  </r>
  <r>
    <x v="145"/>
    <x v="75"/>
    <x v="1"/>
    <s v="West"/>
    <x v="2"/>
    <x v="2"/>
    <x v="5"/>
    <s v="West"/>
    <x v="1"/>
    <n v="78.8"/>
    <n v="1117"/>
    <n v="6"/>
    <d v="2024-01-28T00:00:00"/>
    <n v="5"/>
    <n v="-1"/>
    <x v="0"/>
    <x v="0"/>
    <n v="14.1751269035533"/>
    <n v="5"/>
    <s v="No"/>
  </r>
  <r>
    <x v="146"/>
    <x v="23"/>
    <x v="5"/>
    <s v="West"/>
    <x v="0"/>
    <x v="0"/>
    <x v="0"/>
    <s v="North"/>
    <x v="0"/>
    <n v="1.5"/>
    <n v="260"/>
    <n v="4"/>
    <d v="2024-03-04T00:00:00"/>
    <n v="5"/>
    <n v="1"/>
    <x v="1"/>
    <x v="2"/>
    <n v="173.33333333333334"/>
    <n v="3"/>
    <s v="No"/>
  </r>
  <r>
    <x v="147"/>
    <x v="104"/>
    <x v="1"/>
    <s v="West"/>
    <x v="4"/>
    <x v="1"/>
    <x v="3"/>
    <s v="West"/>
    <x v="1"/>
    <n v="2.4"/>
    <n v="102"/>
    <n v="4"/>
    <d v="2024-03-19T00:00:00"/>
    <n v="12"/>
    <n v="8"/>
    <x v="1"/>
    <x v="2"/>
    <n v="42.5"/>
    <n v="3"/>
    <s v="No"/>
  </r>
  <r>
    <x v="148"/>
    <x v="105"/>
    <x v="1"/>
    <s v="West"/>
    <x v="4"/>
    <x v="0"/>
    <x v="0"/>
    <s v="North"/>
    <x v="0"/>
    <n v="1.6"/>
    <n v="206"/>
    <n v="4"/>
    <d v="2024-06-24T00:00:00"/>
    <n v="5"/>
    <n v="1"/>
    <x v="1"/>
    <x v="2"/>
    <n v="128.75"/>
    <n v="2"/>
    <s v="No"/>
  </r>
  <r>
    <x v="149"/>
    <x v="31"/>
    <x v="2"/>
    <s v="North"/>
    <x v="4"/>
    <x v="1"/>
    <x v="2"/>
    <s v="West"/>
    <x v="0"/>
    <n v="25.4"/>
    <n v="722"/>
    <n v="6"/>
    <d v="2024-03-11T00:00:00"/>
    <n v="6"/>
    <n v="0"/>
    <x v="0"/>
    <x v="0"/>
    <n v="28.425196850393704"/>
    <n v="4"/>
    <s v="No"/>
  </r>
  <r>
    <x v="150"/>
    <x v="37"/>
    <x v="2"/>
    <s v="North"/>
    <x v="5"/>
    <x v="1"/>
    <x v="2"/>
    <s v="North"/>
    <x v="1"/>
    <n v="18.5"/>
    <n v="435"/>
    <n v="4"/>
    <d v="2024-01-13T00:00:00"/>
    <n v="5"/>
    <n v="1"/>
    <x v="1"/>
    <x v="2"/>
    <n v="23.513513513513512"/>
    <n v="1"/>
    <s v="Yes"/>
  </r>
  <r>
    <x v="151"/>
    <x v="85"/>
    <x v="2"/>
    <s v="North"/>
    <x v="7"/>
    <x v="1"/>
    <x v="5"/>
    <s v="East"/>
    <x v="0"/>
    <n v="44"/>
    <n v="1104"/>
    <n v="6"/>
    <d v="2024-05-10T00:00:00"/>
    <n v="13"/>
    <n v="7"/>
    <x v="1"/>
    <x v="2"/>
    <n v="25.09090909090909"/>
    <n v="5"/>
    <s v="No"/>
  </r>
  <r>
    <x v="152"/>
    <x v="106"/>
    <x v="0"/>
    <s v="South"/>
    <x v="2"/>
    <x v="2"/>
    <x v="2"/>
    <s v="South"/>
    <x v="1"/>
    <n v="5.4"/>
    <n v="80"/>
    <n v="6"/>
    <d v="2024-04-24T00:00:00"/>
    <n v="5"/>
    <n v="-1"/>
    <x v="0"/>
    <x v="0"/>
    <n v="14.814814814814813"/>
    <n v="4"/>
    <s v="No"/>
  </r>
  <r>
    <x v="153"/>
    <x v="85"/>
    <x v="2"/>
    <s v="North"/>
    <x v="5"/>
    <x v="0"/>
    <x v="5"/>
    <s v="East"/>
    <x v="0"/>
    <n v="31.3"/>
    <n v="1568"/>
    <n v="4"/>
    <d v="2024-05-09T00:00:00"/>
    <n v="12"/>
    <n v="8"/>
    <x v="1"/>
    <x v="2"/>
    <n v="50.095846645367409"/>
    <n v="3"/>
    <s v="No"/>
  </r>
  <r>
    <x v="154"/>
    <x v="9"/>
    <x v="4"/>
    <s v="East"/>
    <x v="4"/>
    <x v="2"/>
    <x v="2"/>
    <s v="South"/>
    <x v="0"/>
    <n v="7.3"/>
    <n v="238"/>
    <n v="8"/>
    <d v="2024-06-25T00:00:00"/>
    <n v="14"/>
    <n v="6"/>
    <x v="1"/>
    <x v="2"/>
    <n v="32.602739726027401"/>
    <n v="1"/>
    <s v="Yes"/>
  </r>
  <r>
    <x v="155"/>
    <x v="89"/>
    <x v="0"/>
    <s v="South"/>
    <x v="4"/>
    <x v="0"/>
    <x v="5"/>
    <s v="West"/>
    <x v="0"/>
    <n v="66.099999999999994"/>
    <n v="3156"/>
    <n v="4"/>
    <d v="2024-03-17T00:00:00"/>
    <n v="8"/>
    <n v="4"/>
    <x v="1"/>
    <x v="2"/>
    <n v="47.745839636913772"/>
    <n v="5"/>
    <s v="Yes"/>
  </r>
  <r>
    <x v="156"/>
    <x v="6"/>
    <x v="0"/>
    <s v="South"/>
    <x v="2"/>
    <x v="2"/>
    <x v="4"/>
    <s v="East"/>
    <x v="0"/>
    <n v="2.4"/>
    <n v="172"/>
    <n v="8"/>
    <d v="2024-03-22T00:00:00"/>
    <n v="8"/>
    <n v="0"/>
    <x v="0"/>
    <x v="0"/>
    <n v="71.666666666666671"/>
    <n v="5"/>
    <s v="No"/>
  </r>
  <r>
    <x v="157"/>
    <x v="56"/>
    <x v="0"/>
    <s v="South"/>
    <x v="7"/>
    <x v="2"/>
    <x v="1"/>
    <s v="South"/>
    <x v="1"/>
    <n v="16.899999999999999"/>
    <n v="269"/>
    <n v="6"/>
    <d v="2024-06-09T00:00:00"/>
    <n v="8"/>
    <n v="2"/>
    <x v="1"/>
    <x v="2"/>
    <n v="15.917159763313611"/>
    <n v="3"/>
    <s v="No"/>
  </r>
  <r>
    <x v="158"/>
    <x v="92"/>
    <x v="3"/>
    <s v="South"/>
    <x v="2"/>
    <x v="0"/>
    <x v="0"/>
    <s v="North"/>
    <x v="0"/>
    <n v="9.4"/>
    <n v="563"/>
    <n v="4"/>
    <d v="2024-02-28T00:00:00"/>
    <n v="5"/>
    <n v="1"/>
    <x v="1"/>
    <x v="2"/>
    <n v="59.89361702127659"/>
    <n v="1"/>
    <s v="No"/>
  </r>
  <r>
    <x v="159"/>
    <x v="104"/>
    <x v="3"/>
    <s v="South"/>
    <x v="3"/>
    <x v="0"/>
    <x v="2"/>
    <s v="South"/>
    <x v="1"/>
    <n v="10.7"/>
    <n v="504"/>
    <n v="2"/>
    <d v="2024-03-10T00:00:00"/>
    <n v="3"/>
    <n v="1"/>
    <x v="1"/>
    <x v="2"/>
    <n v="47.10280373831776"/>
    <n v="2"/>
    <s v="No"/>
  </r>
  <r>
    <x v="160"/>
    <x v="98"/>
    <x v="3"/>
    <s v="South"/>
    <x v="4"/>
    <x v="1"/>
    <x v="0"/>
    <s v="North"/>
    <x v="0"/>
    <n v="10.1"/>
    <n v="424"/>
    <n v="6"/>
    <d v="2024-01-11T00:00:00"/>
    <n v="6"/>
    <n v="0"/>
    <x v="0"/>
    <x v="0"/>
    <n v="41.980198019801982"/>
    <n v="5"/>
    <s v="No"/>
  </r>
  <r>
    <x v="161"/>
    <x v="104"/>
    <x v="3"/>
    <s v="South"/>
    <x v="1"/>
    <x v="2"/>
    <x v="2"/>
    <s v="West"/>
    <x v="0"/>
    <n v="30.3"/>
    <n v="591"/>
    <n v="8"/>
    <d v="2024-03-15T00:00:00"/>
    <n v="8"/>
    <n v="0"/>
    <x v="0"/>
    <x v="0"/>
    <n v="19.504950495049503"/>
    <n v="5"/>
    <s v="No"/>
  </r>
  <r>
    <x v="162"/>
    <x v="107"/>
    <x v="4"/>
    <s v="East"/>
    <x v="5"/>
    <x v="2"/>
    <x v="0"/>
    <s v="North"/>
    <x v="0"/>
    <n v="8.8000000000000007"/>
    <n v="252"/>
    <n v="8"/>
    <d v="2024-06-12T00:00:00"/>
    <n v="9"/>
    <n v="1"/>
    <x v="1"/>
    <x v="2"/>
    <n v="28.636363636363633"/>
    <n v="4"/>
    <s v="No"/>
  </r>
  <r>
    <x v="163"/>
    <x v="51"/>
    <x v="5"/>
    <s v="West"/>
    <x v="4"/>
    <x v="1"/>
    <x v="3"/>
    <s v="North"/>
    <x v="0"/>
    <n v="5.7"/>
    <n v="249"/>
    <n v="6"/>
    <d v="2024-01-20T00:00:00"/>
    <n v="6"/>
    <n v="0"/>
    <x v="0"/>
    <x v="0"/>
    <n v="43.684210526315788"/>
    <n v="5"/>
    <s v="No"/>
  </r>
  <r>
    <x v="164"/>
    <x v="67"/>
    <x v="1"/>
    <s v="West"/>
    <x v="0"/>
    <x v="1"/>
    <x v="0"/>
    <s v="South"/>
    <x v="0"/>
    <n v="7.4"/>
    <n v="289"/>
    <n v="6"/>
    <d v="2024-03-21T00:00:00"/>
    <n v="5"/>
    <n v="-1"/>
    <x v="0"/>
    <x v="0"/>
    <n v="39.054054054054049"/>
    <n v="5"/>
    <s v="No"/>
  </r>
  <r>
    <x v="165"/>
    <x v="42"/>
    <x v="2"/>
    <s v="North"/>
    <x v="5"/>
    <x v="2"/>
    <x v="3"/>
    <s v="North"/>
    <x v="1"/>
    <n v="4.9000000000000004"/>
    <n v="93"/>
    <n v="6"/>
    <d v="2024-06-01T00:00:00"/>
    <n v="6"/>
    <n v="0"/>
    <x v="0"/>
    <x v="0"/>
    <n v="18.979591836734691"/>
    <n v="2"/>
    <s v="No"/>
  </r>
  <r>
    <x v="166"/>
    <x v="108"/>
    <x v="0"/>
    <s v="South"/>
    <x v="2"/>
    <x v="0"/>
    <x v="1"/>
    <s v="West"/>
    <x v="0"/>
    <n v="15.4"/>
    <n v="841"/>
    <n v="4"/>
    <d v="2024-04-23T00:00:00"/>
    <n v="3"/>
    <n v="-1"/>
    <x v="0"/>
    <x v="0"/>
    <n v="54.61038961038961"/>
    <n v="5"/>
    <s v="No"/>
  </r>
  <r>
    <x v="167"/>
    <x v="37"/>
    <x v="3"/>
    <s v="South"/>
    <x v="4"/>
    <x v="1"/>
    <x v="2"/>
    <s v="South"/>
    <x v="1"/>
    <n v="35.1"/>
    <n v="768"/>
    <n v="4"/>
    <d v="2024-01-13T00:00:00"/>
    <n v="5"/>
    <n v="1"/>
    <x v="1"/>
    <x v="2"/>
    <n v="21.880341880341881"/>
    <n v="2"/>
    <s v="Yes"/>
  </r>
  <r>
    <x v="168"/>
    <x v="109"/>
    <x v="2"/>
    <s v="North"/>
    <x v="0"/>
    <x v="2"/>
    <x v="1"/>
    <s v="East"/>
    <x v="0"/>
    <n v="6"/>
    <n v="242"/>
    <n v="8"/>
    <d v="2024-06-25T00:00:00"/>
    <n v="7"/>
    <n v="-1"/>
    <x v="0"/>
    <x v="0"/>
    <n v="40.333333333333336"/>
    <n v="5"/>
    <s v="No"/>
  </r>
  <r>
    <x v="169"/>
    <x v="110"/>
    <x v="3"/>
    <s v="South"/>
    <x v="4"/>
    <x v="1"/>
    <x v="2"/>
    <s v="North"/>
    <x v="0"/>
    <n v="21.8"/>
    <n v="668"/>
    <n v="6"/>
    <d v="2024-02-04T00:00:00"/>
    <n v="15"/>
    <n v="9"/>
    <x v="1"/>
    <x v="2"/>
    <n v="30.642201834862384"/>
    <n v="1"/>
    <s v="No"/>
  </r>
  <r>
    <x v="170"/>
    <x v="104"/>
    <x v="5"/>
    <s v="West"/>
    <x v="4"/>
    <x v="1"/>
    <x v="2"/>
    <s v="South"/>
    <x v="0"/>
    <n v="24.9"/>
    <n v="680"/>
    <n v="6"/>
    <d v="2024-03-19T00:00:00"/>
    <n v="12"/>
    <n v="6"/>
    <x v="1"/>
    <x v="2"/>
    <n v="27.309236947791167"/>
    <n v="5"/>
    <s v="No"/>
  </r>
  <r>
    <x v="171"/>
    <x v="60"/>
    <x v="3"/>
    <s v="South"/>
    <x v="2"/>
    <x v="0"/>
    <x v="1"/>
    <s v="West"/>
    <x v="0"/>
    <n v="3.1"/>
    <n v="329"/>
    <n v="4"/>
    <d v="2024-03-06T00:00:00"/>
    <n v="5"/>
    <n v="1"/>
    <x v="1"/>
    <x v="2"/>
    <n v="106.12903225806451"/>
    <n v="3"/>
    <s v="No"/>
  </r>
  <r>
    <x v="172"/>
    <x v="111"/>
    <x v="5"/>
    <s v="West"/>
    <x v="0"/>
    <x v="2"/>
    <x v="1"/>
    <s v="East"/>
    <x v="0"/>
    <n v="2.2000000000000002"/>
    <n v="163"/>
    <n v="8"/>
    <d v="2024-03-28T00:00:00"/>
    <n v="10"/>
    <n v="2"/>
    <x v="1"/>
    <x v="2"/>
    <n v="74.090909090909079"/>
    <n v="1"/>
    <s v="Yes"/>
  </r>
  <r>
    <x v="173"/>
    <x v="104"/>
    <x v="1"/>
    <s v="West"/>
    <x v="0"/>
    <x v="1"/>
    <x v="0"/>
    <s v="South"/>
    <x v="0"/>
    <n v="1.1000000000000001"/>
    <n v="195"/>
    <n v="6"/>
    <d v="2024-03-14T00:00:00"/>
    <n v="7"/>
    <n v="1"/>
    <x v="1"/>
    <x v="2"/>
    <n v="177.27272727272725"/>
    <n v="4"/>
    <s v="Yes"/>
  </r>
  <r>
    <x v="174"/>
    <x v="112"/>
    <x v="0"/>
    <s v="South"/>
    <x v="3"/>
    <x v="0"/>
    <x v="3"/>
    <s v="East"/>
    <x v="0"/>
    <n v="4.5999999999999996"/>
    <n v="331"/>
    <n v="4"/>
    <d v="2024-03-07T00:00:00"/>
    <n v="5"/>
    <n v="1"/>
    <x v="1"/>
    <x v="2"/>
    <n v="71.956521739130437"/>
    <n v="2"/>
    <s v="No"/>
  </r>
  <r>
    <x v="175"/>
    <x v="64"/>
    <x v="3"/>
    <s v="South"/>
    <x v="3"/>
    <x v="1"/>
    <x v="4"/>
    <s v="East"/>
    <x v="0"/>
    <n v="3.4"/>
    <n v="264"/>
    <n v="6"/>
    <d v="2024-05-28T00:00:00"/>
    <n v="11"/>
    <n v="5"/>
    <x v="1"/>
    <x v="2"/>
    <n v="77.64705882352942"/>
    <n v="3"/>
    <s v="No"/>
  </r>
  <r>
    <x v="176"/>
    <x v="53"/>
    <x v="4"/>
    <s v="East"/>
    <x v="1"/>
    <x v="2"/>
    <x v="1"/>
    <s v="South"/>
    <x v="0"/>
    <n v="10.7"/>
    <n v="306"/>
    <n v="8"/>
    <d v="2024-01-25T00:00:00"/>
    <n v="8"/>
    <n v="0"/>
    <x v="0"/>
    <x v="0"/>
    <n v="28.598130841121499"/>
    <n v="1"/>
    <s v="No"/>
  </r>
  <r>
    <x v="177"/>
    <x v="33"/>
    <x v="4"/>
    <s v="East"/>
    <x v="3"/>
    <x v="2"/>
    <x v="3"/>
    <s v="South"/>
    <x v="0"/>
    <n v="6.2"/>
    <n v="223"/>
    <n v="8"/>
    <d v="2024-03-20T00:00:00"/>
    <n v="7"/>
    <n v="-1"/>
    <x v="0"/>
    <x v="0"/>
    <n v="35.967741935483872"/>
    <n v="4"/>
    <s v="No"/>
  </r>
  <r>
    <x v="178"/>
    <x v="113"/>
    <x v="3"/>
    <s v="South"/>
    <x v="4"/>
    <x v="0"/>
    <x v="5"/>
    <s v="South"/>
    <x v="1"/>
    <n v="76.099999999999994"/>
    <n v="3434"/>
    <n v="2"/>
    <d v="2024-04-18T00:00:00"/>
    <n v="1"/>
    <n v="-1"/>
    <x v="0"/>
    <x v="0"/>
    <n v="45.124835742444155"/>
    <n v="4"/>
    <s v="No"/>
  </r>
  <r>
    <x v="179"/>
    <x v="15"/>
    <x v="4"/>
    <s v="East"/>
    <x v="2"/>
    <x v="0"/>
    <x v="1"/>
    <s v="North"/>
    <x v="0"/>
    <n v="12.5"/>
    <n v="719"/>
    <n v="4"/>
    <d v="2024-05-06T00:00:00"/>
    <n v="4"/>
    <n v="0"/>
    <x v="0"/>
    <x v="0"/>
    <n v="57.52"/>
    <n v="5"/>
    <s v="Yes"/>
  </r>
  <r>
    <x v="180"/>
    <x v="76"/>
    <x v="3"/>
    <s v="South"/>
    <x v="4"/>
    <x v="1"/>
    <x v="5"/>
    <s v="West"/>
    <x v="0"/>
    <n v="68.5"/>
    <n v="1689"/>
    <n v="6"/>
    <d v="2024-02-03T00:00:00"/>
    <n v="7"/>
    <n v="1"/>
    <x v="1"/>
    <x v="2"/>
    <n v="24.656934306569344"/>
    <n v="3"/>
    <s v="Yes"/>
  </r>
  <r>
    <x v="181"/>
    <x v="12"/>
    <x v="5"/>
    <s v="West"/>
    <x v="5"/>
    <x v="1"/>
    <x v="4"/>
    <s v="North"/>
    <x v="0"/>
    <n v="3.7"/>
    <n v="238"/>
    <n v="6"/>
    <d v="2024-06-10T00:00:00"/>
    <n v="5"/>
    <n v="-1"/>
    <x v="0"/>
    <x v="0"/>
    <n v="64.324324324324323"/>
    <n v="5"/>
    <s v="Yes"/>
  </r>
  <r>
    <x v="182"/>
    <x v="105"/>
    <x v="5"/>
    <s v="West"/>
    <x v="4"/>
    <x v="1"/>
    <x v="4"/>
    <s v="West"/>
    <x v="1"/>
    <n v="2.1"/>
    <n v="81"/>
    <n v="4"/>
    <d v="2024-06-22T00:00:00"/>
    <n v="3"/>
    <n v="-1"/>
    <x v="0"/>
    <x v="0"/>
    <n v="38.571428571428569"/>
    <n v="4"/>
    <s v="Yes"/>
  </r>
  <r>
    <x v="183"/>
    <x v="114"/>
    <x v="5"/>
    <s v="West"/>
    <x v="4"/>
    <x v="0"/>
    <x v="1"/>
    <s v="East"/>
    <x v="0"/>
    <n v="14.7"/>
    <n v="856"/>
    <n v="4"/>
    <d v="2024-02-13T00:00:00"/>
    <n v="3"/>
    <n v="-1"/>
    <x v="0"/>
    <x v="0"/>
    <n v="58.231292517006807"/>
    <n v="4"/>
    <s v="No"/>
  </r>
  <r>
    <x v="184"/>
    <x v="69"/>
    <x v="4"/>
    <s v="East"/>
    <x v="2"/>
    <x v="0"/>
    <x v="5"/>
    <s v="South"/>
    <x v="0"/>
    <n v="72.3"/>
    <n v="3409"/>
    <n v="4"/>
    <d v="2024-05-12T00:00:00"/>
    <n v="4"/>
    <n v="0"/>
    <x v="0"/>
    <x v="3"/>
    <n v="47.150760719225453"/>
    <n v="0"/>
    <s v="Yes"/>
  </r>
  <r>
    <x v="185"/>
    <x v="115"/>
    <x v="0"/>
    <s v="South"/>
    <x v="4"/>
    <x v="1"/>
    <x v="3"/>
    <s v="South"/>
    <x v="1"/>
    <n v="2.8"/>
    <n v="80"/>
    <n v="4"/>
    <d v="2024-05-11T00:00:00"/>
    <n v="5"/>
    <n v="1"/>
    <x v="1"/>
    <x v="2"/>
    <n v="28.571428571428573"/>
    <n v="1"/>
    <s v="Yes"/>
  </r>
  <r>
    <x v="186"/>
    <x v="116"/>
    <x v="4"/>
    <s v="East"/>
    <x v="2"/>
    <x v="1"/>
    <x v="3"/>
    <s v="North"/>
    <x v="0"/>
    <n v="7.6"/>
    <n v="314"/>
    <n v="6"/>
    <d v="2024-05-04T00:00:00"/>
    <n v="6"/>
    <n v="0"/>
    <x v="0"/>
    <x v="0"/>
    <n v="41.315789473684212"/>
    <n v="5"/>
    <s v="No"/>
  </r>
  <r>
    <x v="187"/>
    <x v="117"/>
    <x v="5"/>
    <s v="West"/>
    <x v="0"/>
    <x v="0"/>
    <x v="4"/>
    <s v="East"/>
    <x v="0"/>
    <n v="2.2999999999999998"/>
    <n v="233"/>
    <n v="4"/>
    <d v="2024-05-29T00:00:00"/>
    <n v="5"/>
    <n v="1"/>
    <x v="1"/>
    <x v="2"/>
    <n v="101.30434782608697"/>
    <n v="2"/>
    <s v="Yes"/>
  </r>
  <r>
    <x v="188"/>
    <x v="32"/>
    <x v="5"/>
    <s v="West"/>
    <x v="1"/>
    <x v="0"/>
    <x v="2"/>
    <s v="West"/>
    <x v="1"/>
    <n v="38.799999999999997"/>
    <n v="1805"/>
    <n v="2"/>
    <d v="2024-05-29T00:00:00"/>
    <n v="8"/>
    <n v="6"/>
    <x v="1"/>
    <x v="2"/>
    <n v="46.520618556701031"/>
    <n v="3"/>
    <s v="No"/>
  </r>
  <r>
    <x v="189"/>
    <x v="12"/>
    <x v="2"/>
    <s v="North"/>
    <x v="7"/>
    <x v="1"/>
    <x v="0"/>
    <s v="North"/>
    <x v="1"/>
    <n v="4.9000000000000004"/>
    <n v="160"/>
    <n v="4"/>
    <d v="2024-06-08T00:00:00"/>
    <n v="3"/>
    <n v="-1"/>
    <x v="0"/>
    <x v="1"/>
    <n v="32.653061224489797"/>
    <n v="0"/>
    <s v="No"/>
  </r>
  <r>
    <x v="190"/>
    <x v="63"/>
    <x v="5"/>
    <s v="West"/>
    <x v="2"/>
    <x v="2"/>
    <x v="4"/>
    <s v="North"/>
    <x v="0"/>
    <n v="4.9000000000000004"/>
    <n v="251"/>
    <n v="8"/>
    <d v="2024-04-27T00:00:00"/>
    <n v="9"/>
    <n v="1"/>
    <x v="1"/>
    <x v="2"/>
    <n v="51.224489795918366"/>
    <n v="2"/>
    <s v="No"/>
  </r>
  <r>
    <x v="191"/>
    <x v="4"/>
    <x v="0"/>
    <s v="South"/>
    <x v="2"/>
    <x v="2"/>
    <x v="2"/>
    <s v="North"/>
    <x v="0"/>
    <n v="24.8"/>
    <n v="524"/>
    <n v="8"/>
    <d v="2024-04-24T00:00:00"/>
    <n v="8"/>
    <n v="0"/>
    <x v="0"/>
    <x v="0"/>
    <n v="21.129032258064516"/>
    <n v="5"/>
    <s v="No"/>
  </r>
  <r>
    <x v="192"/>
    <x v="118"/>
    <x v="3"/>
    <s v="South"/>
    <x v="1"/>
    <x v="2"/>
    <x v="0"/>
    <s v="North"/>
    <x v="0"/>
    <n v="11.8"/>
    <n v="294"/>
    <n v="8"/>
    <d v="2024-06-17T00:00:00"/>
    <n v="9"/>
    <n v="1"/>
    <x v="1"/>
    <x v="2"/>
    <n v="24.915254237288135"/>
    <n v="1"/>
    <s v="Yes"/>
  </r>
  <r>
    <x v="193"/>
    <x v="18"/>
    <x v="3"/>
    <s v="South"/>
    <x v="2"/>
    <x v="2"/>
    <x v="4"/>
    <s v="East"/>
    <x v="0"/>
    <n v="2.4"/>
    <n v="210"/>
    <n v="8"/>
    <d v="2024-01-23T00:00:00"/>
    <n v="12"/>
    <n v="4"/>
    <x v="1"/>
    <x v="2"/>
    <n v="87.5"/>
    <n v="2"/>
    <s v="Yes"/>
  </r>
  <r>
    <x v="194"/>
    <x v="41"/>
    <x v="5"/>
    <s v="West"/>
    <x v="5"/>
    <x v="0"/>
    <x v="4"/>
    <s v="South"/>
    <x v="0"/>
    <n v="4.3"/>
    <n v="371"/>
    <n v="4"/>
    <d v="2024-06-29T00:00:00"/>
    <n v="4"/>
    <n v="0"/>
    <x v="0"/>
    <x v="0"/>
    <n v="86.279069767441868"/>
    <n v="2"/>
    <s v="Yes"/>
  </r>
  <r>
    <x v="195"/>
    <x v="119"/>
    <x v="2"/>
    <s v="North"/>
    <x v="1"/>
    <x v="0"/>
    <x v="3"/>
    <s v="West"/>
    <x v="0"/>
    <n v="0.7"/>
    <n v="187"/>
    <n v="4"/>
    <d v="2024-06-30T00:00:00"/>
    <n v="4"/>
    <n v="0"/>
    <x v="0"/>
    <x v="0"/>
    <n v="267.14285714285717"/>
    <n v="4"/>
    <s v="Yes"/>
  </r>
  <r>
    <x v="196"/>
    <x v="67"/>
    <x v="2"/>
    <s v="North"/>
    <x v="0"/>
    <x v="2"/>
    <x v="0"/>
    <s v="West"/>
    <x v="0"/>
    <n v="13.3"/>
    <n v="369"/>
    <n v="8"/>
    <d v="2024-03-29T00:00:00"/>
    <n v="13"/>
    <n v="5"/>
    <x v="1"/>
    <x v="2"/>
    <n v="27.744360902255636"/>
    <n v="3"/>
    <s v="No"/>
  </r>
  <r>
    <x v="197"/>
    <x v="120"/>
    <x v="0"/>
    <s v="South"/>
    <x v="5"/>
    <x v="0"/>
    <x v="5"/>
    <s v="East"/>
    <x v="0"/>
    <n v="37.799999999999997"/>
    <n v="1857"/>
    <n v="4"/>
    <d v="2024-05-25T00:00:00"/>
    <n v="3"/>
    <n v="-1"/>
    <x v="0"/>
    <x v="0"/>
    <n v="49.126984126984134"/>
    <n v="5"/>
    <s v="Yes"/>
  </r>
  <r>
    <x v="198"/>
    <x v="73"/>
    <x v="5"/>
    <s v="West"/>
    <x v="1"/>
    <x v="1"/>
    <x v="1"/>
    <s v="North"/>
    <x v="0"/>
    <n v="15.8"/>
    <n v="557"/>
    <n v="6"/>
    <d v="2024-03-15T00:00:00"/>
    <n v="5"/>
    <n v="-1"/>
    <x v="0"/>
    <x v="0"/>
    <n v="35.253164556962027"/>
    <n v="5"/>
    <s v="Yes"/>
  </r>
  <r>
    <x v="199"/>
    <x v="84"/>
    <x v="4"/>
    <s v="East"/>
    <x v="2"/>
    <x v="0"/>
    <x v="2"/>
    <s v="South"/>
    <x v="0"/>
    <n v="17.399999999999999"/>
    <n v="939"/>
    <n v="4"/>
    <d v="2024-02-13T00:00:00"/>
    <n v="5"/>
    <n v="1"/>
    <x v="1"/>
    <x v="2"/>
    <n v="53.965517241379317"/>
    <n v="3"/>
    <s v="Yes"/>
  </r>
  <r>
    <x v="200"/>
    <x v="90"/>
    <x v="5"/>
    <s v="West"/>
    <x v="5"/>
    <x v="2"/>
    <x v="2"/>
    <s v="North"/>
    <x v="0"/>
    <n v="20.7"/>
    <n v="469"/>
    <n v="8"/>
    <d v="2024-07-03T00:00:00"/>
    <n v="11"/>
    <n v="3"/>
    <x v="1"/>
    <x v="2"/>
    <n v="22.657004830917874"/>
    <n v="2"/>
    <s v="No"/>
  </r>
  <r>
    <x v="201"/>
    <x v="121"/>
    <x v="1"/>
    <s v="West"/>
    <x v="2"/>
    <x v="1"/>
    <x v="1"/>
    <s v="South"/>
    <x v="0"/>
    <n v="7.8"/>
    <n v="336"/>
    <n v="6"/>
    <d v="2024-02-11T00:00:00"/>
    <n v="5"/>
    <n v="-1"/>
    <x v="0"/>
    <x v="0"/>
    <n v="43.07692307692308"/>
    <n v="3"/>
    <s v="Yes"/>
  </r>
  <r>
    <x v="202"/>
    <x v="10"/>
    <x v="0"/>
    <s v="South"/>
    <x v="5"/>
    <x v="0"/>
    <x v="1"/>
    <s v="East"/>
    <x v="0"/>
    <n v="14.2"/>
    <n v="840"/>
    <n v="4"/>
    <d v="2024-06-25T00:00:00"/>
    <n v="5"/>
    <n v="1"/>
    <x v="1"/>
    <x v="2"/>
    <n v="59.154929577464792"/>
    <n v="2"/>
    <s v="Yes"/>
  </r>
  <r>
    <x v="203"/>
    <x v="9"/>
    <x v="5"/>
    <s v="West"/>
    <x v="4"/>
    <x v="0"/>
    <x v="2"/>
    <s v="North"/>
    <x v="0"/>
    <n v="26.7"/>
    <n v="1369"/>
    <n v="4"/>
    <d v="2024-06-17T00:00:00"/>
    <n v="6"/>
    <n v="2"/>
    <x v="1"/>
    <x v="2"/>
    <n v="51.273408239700373"/>
    <n v="1"/>
    <s v="Yes"/>
  </r>
  <r>
    <x v="204"/>
    <x v="78"/>
    <x v="3"/>
    <s v="South"/>
    <x v="1"/>
    <x v="0"/>
    <x v="1"/>
    <s v="East"/>
    <x v="0"/>
    <n v="14.7"/>
    <n v="782"/>
    <n v="4"/>
    <d v="2024-03-31T00:00:00"/>
    <n v="5"/>
    <n v="1"/>
    <x v="1"/>
    <x v="2"/>
    <n v="53.197278911564631"/>
    <n v="1"/>
    <s v="No"/>
  </r>
  <r>
    <x v="205"/>
    <x v="85"/>
    <x v="1"/>
    <s v="West"/>
    <x v="2"/>
    <x v="0"/>
    <x v="0"/>
    <s v="West"/>
    <x v="1"/>
    <n v="14.7"/>
    <n v="715"/>
    <n v="2"/>
    <d v="2024-04-28T00:00:00"/>
    <n v="1"/>
    <n v="-1"/>
    <x v="0"/>
    <x v="0"/>
    <n v="48.639455782312929"/>
    <n v="5"/>
    <s v="Yes"/>
  </r>
  <r>
    <x v="206"/>
    <x v="107"/>
    <x v="1"/>
    <s v="West"/>
    <x v="4"/>
    <x v="2"/>
    <x v="1"/>
    <s v="North"/>
    <x v="0"/>
    <n v="3.8"/>
    <n v="200"/>
    <n v="8"/>
    <d v="2024-06-12T00:00:00"/>
    <n v="9"/>
    <n v="1"/>
    <x v="1"/>
    <x v="2"/>
    <n v="52.631578947368425"/>
    <n v="1"/>
    <s v="No"/>
  </r>
  <r>
    <x v="207"/>
    <x v="122"/>
    <x v="1"/>
    <s v="West"/>
    <x v="2"/>
    <x v="0"/>
    <x v="3"/>
    <s v="East"/>
    <x v="0"/>
    <n v="6.5"/>
    <n v="440"/>
    <n v="4"/>
    <d v="2024-01-17T00:00:00"/>
    <n v="5"/>
    <n v="1"/>
    <x v="1"/>
    <x v="2"/>
    <n v="67.692307692307693"/>
    <n v="1"/>
    <s v="Yes"/>
  </r>
  <r>
    <x v="208"/>
    <x v="119"/>
    <x v="5"/>
    <s v="West"/>
    <x v="0"/>
    <x v="2"/>
    <x v="1"/>
    <s v="East"/>
    <x v="0"/>
    <n v="11.5"/>
    <n v="303"/>
    <n v="8"/>
    <s v=""/>
    <s v=""/>
    <s v=""/>
    <x v="2"/>
    <x v="4"/>
    <n v="26.347826086956523"/>
    <n v="0"/>
    <s v="Yes"/>
  </r>
  <r>
    <x v="209"/>
    <x v="123"/>
    <x v="2"/>
    <s v="North"/>
    <x v="2"/>
    <x v="0"/>
    <x v="1"/>
    <s v="North"/>
    <x v="1"/>
    <n v="4.8"/>
    <n v="232"/>
    <n v="2"/>
    <d v="2024-01-29T00:00:00"/>
    <n v="3"/>
    <n v="1"/>
    <x v="1"/>
    <x v="2"/>
    <n v="48.333333333333336"/>
    <n v="2"/>
    <s v="No"/>
  </r>
  <r>
    <x v="210"/>
    <x v="73"/>
    <x v="2"/>
    <s v="North"/>
    <x v="5"/>
    <x v="0"/>
    <x v="1"/>
    <s v="East"/>
    <x v="0"/>
    <n v="9.4"/>
    <n v="578"/>
    <n v="4"/>
    <d v="2024-03-15T00:00:00"/>
    <n v="5"/>
    <n v="1"/>
    <x v="1"/>
    <x v="2"/>
    <n v="61.48936170212766"/>
    <n v="3"/>
    <s v="Yes"/>
  </r>
  <r>
    <x v="211"/>
    <x v="124"/>
    <x v="4"/>
    <s v="East"/>
    <x v="7"/>
    <x v="1"/>
    <x v="0"/>
    <s v="West"/>
    <x v="0"/>
    <n v="11"/>
    <n v="442"/>
    <n v="6"/>
    <d v="2024-03-27T00:00:00"/>
    <n v="6"/>
    <n v="0"/>
    <x v="0"/>
    <x v="0"/>
    <n v="40.18181818181818"/>
    <n v="3"/>
    <s v="Yes"/>
  </r>
  <r>
    <x v="212"/>
    <x v="30"/>
    <x v="3"/>
    <s v="South"/>
    <x v="2"/>
    <x v="0"/>
    <x v="2"/>
    <s v="East"/>
    <x v="0"/>
    <n v="6.4"/>
    <n v="476"/>
    <n v="4"/>
    <d v="2024-04-11T00:00:00"/>
    <n v="5"/>
    <n v="1"/>
    <x v="1"/>
    <x v="2"/>
    <n v="74.375"/>
    <n v="5"/>
    <s v="Yes"/>
  </r>
  <r>
    <x v="213"/>
    <x v="125"/>
    <x v="3"/>
    <s v="South"/>
    <x v="2"/>
    <x v="2"/>
    <x v="2"/>
    <s v="East"/>
    <x v="0"/>
    <n v="19.2"/>
    <n v="455"/>
    <n v="8"/>
    <d v="2024-03-21T00:00:00"/>
    <n v="9"/>
    <n v="1"/>
    <x v="1"/>
    <x v="2"/>
    <n v="23.697916666666668"/>
    <n v="4"/>
    <s v="Yes"/>
  </r>
  <r>
    <x v="214"/>
    <x v="126"/>
    <x v="0"/>
    <s v="South"/>
    <x v="2"/>
    <x v="1"/>
    <x v="5"/>
    <s v="North"/>
    <x v="0"/>
    <n v="77"/>
    <n v="1851"/>
    <n v="6"/>
    <d v="2024-01-22T00:00:00"/>
    <n v="7"/>
    <n v="1"/>
    <x v="1"/>
    <x v="2"/>
    <n v="24.038961038961038"/>
    <n v="3"/>
    <s v="Yes"/>
  </r>
  <r>
    <x v="215"/>
    <x v="33"/>
    <x v="5"/>
    <s v="West"/>
    <x v="4"/>
    <x v="1"/>
    <x v="5"/>
    <s v="East"/>
    <x v="0"/>
    <n v="39.1"/>
    <n v="1053"/>
    <n v="6"/>
    <d v="2024-03-28T00:00:00"/>
    <n v="15"/>
    <n v="9"/>
    <x v="1"/>
    <x v="2"/>
    <n v="26.930946291560101"/>
    <n v="2"/>
    <s v="No"/>
  </r>
  <r>
    <x v="216"/>
    <x v="78"/>
    <x v="4"/>
    <s v="East"/>
    <x v="2"/>
    <x v="0"/>
    <x v="1"/>
    <s v="East"/>
    <x v="1"/>
    <n v="12.5"/>
    <n v="562"/>
    <n v="2"/>
    <d v="2024-03-28T00:00:00"/>
    <n v="2"/>
    <n v="0"/>
    <x v="0"/>
    <x v="0"/>
    <n v="44.96"/>
    <n v="4"/>
    <s v="Yes"/>
  </r>
  <r>
    <x v="217"/>
    <x v="36"/>
    <x v="3"/>
    <s v="South"/>
    <x v="2"/>
    <x v="1"/>
    <x v="0"/>
    <s v="South"/>
    <x v="1"/>
    <n v="11.4"/>
    <n v="227"/>
    <n v="4"/>
    <d v="2024-05-13T00:00:00"/>
    <n v="3"/>
    <n v="-1"/>
    <x v="0"/>
    <x v="0"/>
    <n v="19.912280701754387"/>
    <n v="3"/>
    <s v="Yes"/>
  </r>
  <r>
    <x v="218"/>
    <x v="127"/>
    <x v="0"/>
    <s v="South"/>
    <x v="0"/>
    <x v="1"/>
    <x v="1"/>
    <s v="West"/>
    <x v="0"/>
    <n v="10.7"/>
    <n v="390"/>
    <n v="6"/>
    <d v="2024-06-02T00:00:00"/>
    <n v="5"/>
    <n v="-1"/>
    <x v="0"/>
    <x v="0"/>
    <n v="36.448598130841127"/>
    <n v="5"/>
    <s v="No"/>
  </r>
  <r>
    <x v="219"/>
    <x v="128"/>
    <x v="2"/>
    <s v="North"/>
    <x v="5"/>
    <x v="2"/>
    <x v="3"/>
    <s v="East"/>
    <x v="0"/>
    <n v="4"/>
    <n v="238"/>
    <n v="8"/>
    <d v="2024-05-03T00:00:00"/>
    <n v="9"/>
    <n v="1"/>
    <x v="1"/>
    <x v="2"/>
    <n v="59.5"/>
    <n v="2"/>
    <s v="No"/>
  </r>
  <r>
    <x v="220"/>
    <x v="112"/>
    <x v="5"/>
    <s v="West"/>
    <x v="4"/>
    <x v="2"/>
    <x v="2"/>
    <s v="South"/>
    <x v="0"/>
    <n v="13.8"/>
    <n v="336"/>
    <n v="8"/>
    <d v="2024-03-10T00:00:00"/>
    <n v="8"/>
    <n v="0"/>
    <x v="0"/>
    <x v="0"/>
    <n v="24.34782608695652"/>
    <n v="4"/>
    <s v="Yes"/>
  </r>
  <r>
    <x v="221"/>
    <x v="3"/>
    <x v="5"/>
    <s v="West"/>
    <x v="2"/>
    <x v="1"/>
    <x v="1"/>
    <s v="North"/>
    <x v="0"/>
    <n v="15"/>
    <n v="470"/>
    <n v="6"/>
    <d v="2024-01-19T00:00:00"/>
    <n v="6"/>
    <n v="0"/>
    <x v="0"/>
    <x v="0"/>
    <n v="31.333333333333332"/>
    <n v="4"/>
    <s v="No"/>
  </r>
  <r>
    <x v="222"/>
    <x v="62"/>
    <x v="3"/>
    <s v="South"/>
    <x v="5"/>
    <x v="0"/>
    <x v="5"/>
    <s v="South"/>
    <x v="1"/>
    <n v="65.400000000000006"/>
    <n v="2934"/>
    <n v="2"/>
    <d v="2024-06-29T00:00:00"/>
    <n v="2"/>
    <n v="0"/>
    <x v="0"/>
    <x v="0"/>
    <n v="44.862385321100916"/>
    <n v="1"/>
    <s v="No"/>
  </r>
  <r>
    <x v="223"/>
    <x v="98"/>
    <x v="3"/>
    <s v="South"/>
    <x v="1"/>
    <x v="0"/>
    <x v="3"/>
    <s v="South"/>
    <x v="1"/>
    <n v="6.2"/>
    <n v="291"/>
    <n v="2"/>
    <d v="2024-01-07T00:00:00"/>
    <n v="2"/>
    <n v="0"/>
    <x v="0"/>
    <x v="0"/>
    <n v="46.935483870967744"/>
    <n v="4"/>
    <s v="Yes"/>
  </r>
  <r>
    <x v="224"/>
    <x v="120"/>
    <x v="0"/>
    <s v="South"/>
    <x v="4"/>
    <x v="1"/>
    <x v="0"/>
    <s v="West"/>
    <x v="0"/>
    <n v="4.2"/>
    <n v="284"/>
    <n v="6"/>
    <d v="2024-05-29T00:00:00"/>
    <n v="7"/>
    <n v="1"/>
    <x v="1"/>
    <x v="2"/>
    <n v="67.61904761904762"/>
    <n v="1"/>
    <s v="No"/>
  </r>
  <r>
    <x v="225"/>
    <x v="91"/>
    <x v="3"/>
    <s v="South"/>
    <x v="2"/>
    <x v="0"/>
    <x v="2"/>
    <s v="East"/>
    <x v="0"/>
    <n v="16.399999999999999"/>
    <n v="902"/>
    <n v="4"/>
    <d v="2024-04-16T00:00:00"/>
    <n v="4"/>
    <n v="0"/>
    <x v="0"/>
    <x v="0"/>
    <n v="55.000000000000007"/>
    <n v="4"/>
    <s v="Yes"/>
  </r>
  <r>
    <x v="226"/>
    <x v="129"/>
    <x v="1"/>
    <s v="West"/>
    <x v="0"/>
    <x v="1"/>
    <x v="3"/>
    <s v="West"/>
    <x v="1"/>
    <n v="3.8"/>
    <n v="124"/>
    <n v="4"/>
    <d v="2024-02-21T00:00:00"/>
    <n v="4"/>
    <n v="0"/>
    <x v="0"/>
    <x v="0"/>
    <n v="32.631578947368425"/>
    <n v="4"/>
    <s v="Yes"/>
  </r>
  <r>
    <x v="227"/>
    <x v="5"/>
    <x v="1"/>
    <s v="West"/>
    <x v="0"/>
    <x v="1"/>
    <x v="2"/>
    <s v="South"/>
    <x v="0"/>
    <n v="37.200000000000003"/>
    <n v="1000"/>
    <n v="6"/>
    <d v="2024-04-08T00:00:00"/>
    <n v="15"/>
    <n v="9"/>
    <x v="1"/>
    <x v="2"/>
    <n v="26.881720430107524"/>
    <n v="3"/>
    <s v="No"/>
  </r>
  <r>
    <x v="228"/>
    <x v="92"/>
    <x v="3"/>
    <s v="South"/>
    <x v="5"/>
    <x v="2"/>
    <x v="5"/>
    <s v="South"/>
    <x v="1"/>
    <n v="15.4"/>
    <n v="218"/>
    <n v="6"/>
    <d v="2024-03-01T00:00:00"/>
    <n v="7"/>
    <n v="1"/>
    <x v="1"/>
    <x v="2"/>
    <n v="14.155844155844155"/>
    <n v="4"/>
    <s v="No"/>
  </r>
  <r>
    <x v="229"/>
    <x v="81"/>
    <x v="3"/>
    <s v="South"/>
    <x v="2"/>
    <x v="0"/>
    <x v="0"/>
    <s v="North"/>
    <x v="0"/>
    <n v="3.6"/>
    <n v="348"/>
    <n v="4"/>
    <d v="2024-05-30T00:00:00"/>
    <n v="3"/>
    <n v="-1"/>
    <x v="0"/>
    <x v="0"/>
    <n v="96.666666666666657"/>
    <n v="4"/>
    <s v="Yes"/>
  </r>
  <r>
    <x v="230"/>
    <x v="103"/>
    <x v="4"/>
    <s v="East"/>
    <x v="4"/>
    <x v="0"/>
    <x v="2"/>
    <s v="West"/>
    <x v="0"/>
    <n v="22.1"/>
    <n v="1204"/>
    <n v="4"/>
    <d v="2024-04-19T00:00:00"/>
    <n v="9"/>
    <n v="5"/>
    <x v="1"/>
    <x v="2"/>
    <n v="54.479638009049772"/>
    <n v="3"/>
    <s v="Yes"/>
  </r>
  <r>
    <x v="231"/>
    <x v="130"/>
    <x v="3"/>
    <s v="South"/>
    <x v="5"/>
    <x v="2"/>
    <x v="4"/>
    <s v="South"/>
    <x v="1"/>
    <n v="3.6"/>
    <n v="88"/>
    <n v="6"/>
    <d v="2024-03-21T00:00:00"/>
    <n v="6"/>
    <n v="0"/>
    <x v="0"/>
    <x v="0"/>
    <n v="24.444444444444443"/>
    <n v="5"/>
    <s v="No"/>
  </r>
  <r>
    <x v="232"/>
    <x v="30"/>
    <x v="0"/>
    <s v="South"/>
    <x v="2"/>
    <x v="0"/>
    <x v="2"/>
    <s v="South"/>
    <x v="1"/>
    <n v="18.2"/>
    <n v="830"/>
    <n v="2"/>
    <d v="2024-04-13T00:00:00"/>
    <n v="7"/>
    <n v="5"/>
    <x v="1"/>
    <x v="2"/>
    <n v="45.604395604395606"/>
    <n v="3"/>
    <s v="Yes"/>
  </r>
  <r>
    <x v="233"/>
    <x v="106"/>
    <x v="0"/>
    <s v="South"/>
    <x v="3"/>
    <x v="1"/>
    <x v="5"/>
    <s v="West"/>
    <x v="0"/>
    <n v="53.3"/>
    <n v="1349"/>
    <n v="6"/>
    <d v="2024-04-26T00:00:00"/>
    <n v="7"/>
    <n v="1"/>
    <x v="1"/>
    <x v="1"/>
    <n v="25.309568480300189"/>
    <n v="0"/>
    <s v="No"/>
  </r>
  <r>
    <x v="234"/>
    <x v="69"/>
    <x v="0"/>
    <s v="South"/>
    <x v="1"/>
    <x v="2"/>
    <x v="2"/>
    <s v="South"/>
    <x v="1"/>
    <n v="8.1"/>
    <n v="146"/>
    <n v="6"/>
    <d v="2024-05-15T00:00:00"/>
    <n v="7"/>
    <n v="1"/>
    <x v="1"/>
    <x v="2"/>
    <n v="18.024691358024693"/>
    <n v="3"/>
    <s v="No"/>
  </r>
  <r>
    <x v="235"/>
    <x v="131"/>
    <x v="1"/>
    <s v="West"/>
    <x v="1"/>
    <x v="0"/>
    <x v="1"/>
    <s v="South"/>
    <x v="0"/>
    <n v="13.9"/>
    <n v="752"/>
    <n v="4"/>
    <d v="2024-03-25T00:00:00"/>
    <n v="3"/>
    <n v="-1"/>
    <x v="0"/>
    <x v="0"/>
    <n v="54.100719424460429"/>
    <n v="5"/>
    <s v="Yes"/>
  </r>
  <r>
    <x v="236"/>
    <x v="48"/>
    <x v="2"/>
    <s v="North"/>
    <x v="1"/>
    <x v="2"/>
    <x v="5"/>
    <s v="East"/>
    <x v="0"/>
    <n v="25.7"/>
    <n v="566"/>
    <n v="8"/>
    <d v="2024-04-02T00:00:00"/>
    <n v="8"/>
    <n v="0"/>
    <x v="0"/>
    <x v="0"/>
    <n v="22.023346303501945"/>
    <n v="3"/>
    <s v="No"/>
  </r>
  <r>
    <x v="237"/>
    <x v="60"/>
    <x v="3"/>
    <s v="South"/>
    <x v="4"/>
    <x v="0"/>
    <x v="1"/>
    <s v="West"/>
    <x v="0"/>
    <n v="17.5"/>
    <n v="995"/>
    <n v="4"/>
    <d v="2024-03-05T00:00:00"/>
    <n v="4"/>
    <n v="0"/>
    <x v="0"/>
    <x v="0"/>
    <n v="56.857142857142854"/>
    <n v="4"/>
    <s v="Yes"/>
  </r>
  <r>
    <x v="238"/>
    <x v="91"/>
    <x v="2"/>
    <s v="North"/>
    <x v="2"/>
    <x v="2"/>
    <x v="5"/>
    <s v="West"/>
    <x v="0"/>
    <n v="38.5"/>
    <n v="726"/>
    <n v="8"/>
    <d v="2024-04-19T00:00:00"/>
    <n v="7"/>
    <n v="-1"/>
    <x v="0"/>
    <x v="0"/>
    <n v="18.857142857142858"/>
    <n v="4"/>
    <s v="No"/>
  </r>
  <r>
    <x v="239"/>
    <x v="61"/>
    <x v="2"/>
    <s v="North"/>
    <x v="0"/>
    <x v="2"/>
    <x v="4"/>
    <s v="East"/>
    <x v="0"/>
    <n v="5"/>
    <n v="274"/>
    <n v="8"/>
    <d v="2024-06-29T00:00:00"/>
    <n v="12"/>
    <n v="4"/>
    <x v="1"/>
    <x v="2"/>
    <n v="54.8"/>
    <n v="1"/>
    <s v="No"/>
  </r>
  <r>
    <x v="240"/>
    <x v="63"/>
    <x v="3"/>
    <s v="South"/>
    <x v="4"/>
    <x v="2"/>
    <x v="1"/>
    <s v="East"/>
    <x v="0"/>
    <n v="13.6"/>
    <n v="367"/>
    <n v="8"/>
    <d v="2024-04-27T00:00:00"/>
    <n v="9"/>
    <n v="1"/>
    <x v="1"/>
    <x v="2"/>
    <n v="26.985294117647058"/>
    <n v="1"/>
    <s v="Yes"/>
  </r>
  <r>
    <x v="241"/>
    <x v="24"/>
    <x v="5"/>
    <s v="West"/>
    <x v="0"/>
    <x v="2"/>
    <x v="5"/>
    <s v="South"/>
    <x v="0"/>
    <n v="39.6"/>
    <n v="704"/>
    <n v="8"/>
    <d v="2024-04-10T00:00:00"/>
    <n v="7"/>
    <n v="-1"/>
    <x v="0"/>
    <x v="0"/>
    <n v="17.777777777777779"/>
    <n v="5"/>
    <s v="Yes"/>
  </r>
  <r>
    <x v="242"/>
    <x v="113"/>
    <x v="3"/>
    <s v="South"/>
    <x v="5"/>
    <x v="1"/>
    <x v="0"/>
    <s v="South"/>
    <x v="1"/>
    <n v="12"/>
    <n v="269"/>
    <n v="4"/>
    <d v="2024-04-21T00:00:00"/>
    <n v="4"/>
    <n v="0"/>
    <x v="0"/>
    <x v="0"/>
    <n v="22.416666666666668"/>
    <n v="5"/>
    <s v="No"/>
  </r>
  <r>
    <x v="243"/>
    <x v="73"/>
    <x v="1"/>
    <s v="West"/>
    <x v="5"/>
    <x v="1"/>
    <x v="3"/>
    <s v="East"/>
    <x v="0"/>
    <n v="7.9"/>
    <n v="348"/>
    <n v="6"/>
    <d v="2024-03-18T00:00:00"/>
    <n v="8"/>
    <n v="2"/>
    <x v="1"/>
    <x v="2"/>
    <n v="44.050632911392405"/>
    <n v="3"/>
    <s v="Yes"/>
  </r>
  <r>
    <x v="244"/>
    <x v="75"/>
    <x v="3"/>
    <s v="South"/>
    <x v="1"/>
    <x v="2"/>
    <x v="1"/>
    <s v="South"/>
    <x v="1"/>
    <n v="2.8"/>
    <n v="80"/>
    <n v="6"/>
    <d v="2024-01-28T00:00:00"/>
    <n v="5"/>
    <n v="-1"/>
    <x v="0"/>
    <x v="0"/>
    <n v="28.571428571428573"/>
    <n v="2"/>
    <s v="No"/>
  </r>
  <r>
    <x v="245"/>
    <x v="89"/>
    <x v="1"/>
    <s v="West"/>
    <x v="5"/>
    <x v="0"/>
    <x v="3"/>
    <s v="South"/>
    <x v="0"/>
    <n v="3.2"/>
    <n v="282"/>
    <n v="4"/>
    <d v="2024-03-14T00:00:00"/>
    <n v="5"/>
    <n v="1"/>
    <x v="1"/>
    <x v="3"/>
    <n v="88.125"/>
    <n v="0"/>
    <s v="Yes"/>
  </r>
  <r>
    <x v="246"/>
    <x v="115"/>
    <x v="4"/>
    <s v="East"/>
    <x v="4"/>
    <x v="0"/>
    <x v="4"/>
    <s v="West"/>
    <x v="0"/>
    <n v="0.7"/>
    <n v="159"/>
    <n v="4"/>
    <d v="2024-05-09T00:00:00"/>
    <n v="3"/>
    <n v="-1"/>
    <x v="0"/>
    <x v="0"/>
    <n v="227.14285714285717"/>
    <n v="4"/>
    <s v="No"/>
  </r>
  <r>
    <x v="247"/>
    <x v="132"/>
    <x v="4"/>
    <s v="East"/>
    <x v="4"/>
    <x v="2"/>
    <x v="2"/>
    <s v="North"/>
    <x v="0"/>
    <n v="13.6"/>
    <n v="332"/>
    <n v="8"/>
    <d v="2024-04-22T00:00:00"/>
    <n v="7"/>
    <n v="-1"/>
    <x v="0"/>
    <x v="0"/>
    <n v="24.411764705882355"/>
    <n v="4"/>
    <s v="Yes"/>
  </r>
  <r>
    <x v="248"/>
    <x v="27"/>
    <x v="5"/>
    <s v="West"/>
    <x v="2"/>
    <x v="0"/>
    <x v="2"/>
    <s v="South"/>
    <x v="0"/>
    <n v="30.6"/>
    <n v="1548"/>
    <n v="4"/>
    <d v="2024-02-08T00:00:00"/>
    <n v="4"/>
    <n v="0"/>
    <x v="0"/>
    <x v="0"/>
    <n v="50.588235294117645"/>
    <n v="4"/>
    <s v="No"/>
  </r>
  <r>
    <x v="249"/>
    <x v="133"/>
    <x v="5"/>
    <s v="West"/>
    <x v="1"/>
    <x v="0"/>
    <x v="0"/>
    <s v="South"/>
    <x v="0"/>
    <n v="2.9"/>
    <n v="253"/>
    <n v="4"/>
    <d v="2024-02-23T00:00:00"/>
    <n v="3"/>
    <n v="-1"/>
    <x v="0"/>
    <x v="0"/>
    <n v="87.241379310344826"/>
    <n v="5"/>
    <s v="Yes"/>
  </r>
  <r>
    <x v="250"/>
    <x v="1"/>
    <x v="3"/>
    <s v="South"/>
    <x v="2"/>
    <x v="1"/>
    <x v="4"/>
    <s v="West"/>
    <x v="0"/>
    <n v="2.4"/>
    <n v="222"/>
    <n v="6"/>
    <d v="2024-06-15T00:00:00"/>
    <n v="5"/>
    <n v="-1"/>
    <x v="0"/>
    <x v="0"/>
    <n v="92.5"/>
    <n v="4"/>
    <s v="No"/>
  </r>
  <r>
    <x v="251"/>
    <x v="7"/>
    <x v="3"/>
    <s v="South"/>
    <x v="1"/>
    <x v="0"/>
    <x v="5"/>
    <s v="North"/>
    <x v="0"/>
    <n v="33"/>
    <n v="1629"/>
    <n v="4"/>
    <d v="2024-01-29T00:00:00"/>
    <n v="4"/>
    <n v="0"/>
    <x v="0"/>
    <x v="0"/>
    <n v="49.363636363636367"/>
    <n v="4"/>
    <s v="No"/>
  </r>
  <r>
    <x v="252"/>
    <x v="134"/>
    <x v="3"/>
    <s v="South"/>
    <x v="2"/>
    <x v="1"/>
    <x v="3"/>
    <s v="West"/>
    <x v="0"/>
    <n v="2.2999999999999998"/>
    <n v="224"/>
    <n v="6"/>
    <d v="2024-03-10T00:00:00"/>
    <n v="7"/>
    <n v="1"/>
    <x v="1"/>
    <x v="2"/>
    <n v="97.391304347826093"/>
    <n v="3"/>
    <s v="No"/>
  </r>
  <r>
    <x v="253"/>
    <x v="127"/>
    <x v="4"/>
    <s v="East"/>
    <x v="1"/>
    <x v="2"/>
    <x v="0"/>
    <s v="North"/>
    <x v="0"/>
    <n v="3"/>
    <n v="220"/>
    <n v="8"/>
    <d v="2024-06-05T00:00:00"/>
    <n v="8"/>
    <n v="0"/>
    <x v="0"/>
    <x v="0"/>
    <n v="73.333333333333329"/>
    <n v="3"/>
    <s v="Yes"/>
  </r>
  <r>
    <x v="254"/>
    <x v="22"/>
    <x v="2"/>
    <s v="North"/>
    <x v="4"/>
    <x v="0"/>
    <x v="2"/>
    <s v="East"/>
    <x v="0"/>
    <n v="2.2000000000000002"/>
    <n v="1825"/>
    <n v="4"/>
    <d v="2024-03-24T00:00:00"/>
    <n v="5"/>
    <n v="1"/>
    <x v="1"/>
    <x v="2"/>
    <n v="829.5454545454545"/>
    <n v="3"/>
    <s v="No"/>
  </r>
  <r>
    <x v="255"/>
    <x v="131"/>
    <x v="1"/>
    <s v="West"/>
    <x v="0"/>
    <x v="2"/>
    <x v="2"/>
    <s v="South"/>
    <x v="0"/>
    <n v="36.5"/>
    <n v="516"/>
    <n v="8"/>
    <d v="2024-04-07T00:00:00"/>
    <n v="16"/>
    <n v="8"/>
    <x v="1"/>
    <x v="2"/>
    <n v="14.136986301369863"/>
    <n v="1"/>
    <s v="Yes"/>
  </r>
  <r>
    <x v="256"/>
    <x v="112"/>
    <x v="4"/>
    <s v="East"/>
    <x v="3"/>
    <x v="1"/>
    <x v="0"/>
    <s v="East"/>
    <x v="1"/>
    <n v="26.5"/>
    <n v="80"/>
    <n v="4"/>
    <d v="2024-03-06T00:00:00"/>
    <n v="4"/>
    <n v="0"/>
    <x v="0"/>
    <x v="0"/>
    <n v="3.0188679245283021"/>
    <n v="5"/>
    <s v="No"/>
  </r>
  <r>
    <x v="257"/>
    <x v="127"/>
    <x v="5"/>
    <s v="West"/>
    <x v="4"/>
    <x v="1"/>
    <x v="2"/>
    <s v="North"/>
    <x v="0"/>
    <n v="1.2"/>
    <n v="336"/>
    <n v="6"/>
    <d v="2024-06-04T00:00:00"/>
    <n v="7"/>
    <n v="1"/>
    <x v="1"/>
    <x v="2"/>
    <n v="280"/>
    <n v="3"/>
    <s v="Yes"/>
  </r>
  <r>
    <x v="258"/>
    <x v="117"/>
    <x v="1"/>
    <s v="West"/>
    <x v="3"/>
    <x v="2"/>
    <x v="4"/>
    <s v="South"/>
    <x v="0"/>
    <n v="9.3000000000000007"/>
    <n v="244"/>
    <n v="8"/>
    <d v="2024-06-01T00:00:00"/>
    <n v="8"/>
    <n v="0"/>
    <x v="0"/>
    <x v="0"/>
    <n v="26.236559139784944"/>
    <n v="4"/>
    <s v="No"/>
  </r>
  <r>
    <x v="259"/>
    <x v="134"/>
    <x v="4"/>
    <s v="East"/>
    <x v="7"/>
    <x v="2"/>
    <x v="0"/>
    <s v="East"/>
    <x v="1"/>
    <n v="3.7"/>
    <n v="211"/>
    <n v="6"/>
    <d v="2024-03-08T00:00:00"/>
    <n v="5"/>
    <n v="-1"/>
    <x v="0"/>
    <x v="0"/>
    <n v="57.027027027027025"/>
    <n v="4"/>
    <s v="Yes"/>
  </r>
  <r>
    <x v="260"/>
    <x v="129"/>
    <x v="4"/>
    <s v="East"/>
    <x v="4"/>
    <x v="0"/>
    <x v="3"/>
    <s v="West"/>
    <x v="0"/>
    <n v="14.9"/>
    <n v="438"/>
    <n v="4"/>
    <d v="2024-02-22T00:00:00"/>
    <n v="5"/>
    <n v="1"/>
    <x v="1"/>
    <x v="2"/>
    <n v="29.395973154362416"/>
    <n v="2"/>
    <s v="Yes"/>
  </r>
  <r>
    <x v="261"/>
    <x v="128"/>
    <x v="0"/>
    <s v="South"/>
    <x v="7"/>
    <x v="2"/>
    <x v="0"/>
    <s v="North"/>
    <x v="0"/>
    <n v="6.3"/>
    <n v="313"/>
    <n v="8"/>
    <d v="2024-05-02T00:00:00"/>
    <n v="8"/>
    <n v="0"/>
    <x v="0"/>
    <x v="0"/>
    <n v="49.682539682539684"/>
    <n v="5"/>
    <s v="Yes"/>
  </r>
  <r>
    <x v="262"/>
    <x v="120"/>
    <x v="3"/>
    <s v="South"/>
    <x v="4"/>
    <x v="1"/>
    <x v="4"/>
    <s v="North"/>
    <x v="0"/>
    <n v="13.7"/>
    <n v="216"/>
    <n v="6"/>
    <d v="2024-05-27T00:00:00"/>
    <n v="5"/>
    <n v="-1"/>
    <x v="0"/>
    <x v="0"/>
    <n v="15.766423357664234"/>
    <n v="5"/>
    <s v="No"/>
  </r>
  <r>
    <x v="263"/>
    <x v="131"/>
    <x v="0"/>
    <s v="South"/>
    <x v="5"/>
    <x v="0"/>
    <x v="1"/>
    <s v="East"/>
    <x v="0"/>
    <n v="3.2"/>
    <n v="864"/>
    <n v="4"/>
    <d v="2024-04-01T00:00:00"/>
    <n v="10"/>
    <n v="6"/>
    <x v="1"/>
    <x v="2"/>
    <n v="270"/>
    <n v="2"/>
    <s v="Yes"/>
  </r>
  <r>
    <x v="264"/>
    <x v="135"/>
    <x v="5"/>
    <s v="West"/>
    <x v="0"/>
    <x v="2"/>
    <x v="0"/>
    <s v="West"/>
    <x v="1"/>
    <n v="15.5"/>
    <n v="157"/>
    <n v="6"/>
    <d v="2024-02-29T00:00:00"/>
    <n v="5"/>
    <n v="-1"/>
    <x v="0"/>
    <x v="0"/>
    <n v="10.129032258064516"/>
    <n v="4"/>
    <s v="Yes"/>
  </r>
  <r>
    <x v="265"/>
    <x v="11"/>
    <x v="4"/>
    <s v="East"/>
    <x v="2"/>
    <x v="1"/>
    <x v="4"/>
    <s v="North"/>
    <x v="0"/>
    <n v="11.6"/>
    <n v="158"/>
    <n v="6"/>
    <d v="2024-02-09T00:00:00"/>
    <n v="6"/>
    <n v="0"/>
    <x v="0"/>
    <x v="0"/>
    <n v="13.620689655172415"/>
    <n v="5"/>
    <s v="No"/>
  </r>
  <r>
    <x v="266"/>
    <x v="136"/>
    <x v="1"/>
    <s v="West"/>
    <x v="4"/>
    <x v="0"/>
    <x v="2"/>
    <s v="South"/>
    <x v="0"/>
    <n v="0.7"/>
    <n v="398"/>
    <n v="4"/>
    <d v="2024-03-22T00:00:00"/>
    <n v="11"/>
    <n v="7"/>
    <x v="1"/>
    <x v="1"/>
    <n v="568.57142857142856"/>
    <n v="0"/>
    <s v="No"/>
  </r>
  <r>
    <x v="267"/>
    <x v="125"/>
    <x v="2"/>
    <s v="North"/>
    <x v="5"/>
    <x v="0"/>
    <x v="3"/>
    <s v="West"/>
    <x v="0"/>
    <n v="5.9"/>
    <n v="418"/>
    <n v="4"/>
    <d v="2024-03-16T00:00:00"/>
    <n v="4"/>
    <n v="0"/>
    <x v="0"/>
    <x v="0"/>
    <n v="70.847457627118644"/>
    <n v="5"/>
    <s v="Yes"/>
  </r>
  <r>
    <x v="268"/>
    <x v="29"/>
    <x v="4"/>
    <s v="East"/>
    <x v="1"/>
    <x v="2"/>
    <x v="0"/>
    <s v="East"/>
    <x v="1"/>
    <n v="5.4"/>
    <n v="124"/>
    <n v="6"/>
    <d v="2024-06-21T00:00:00"/>
    <n v="5"/>
    <n v="-1"/>
    <x v="0"/>
    <x v="0"/>
    <n v="22.962962962962962"/>
    <n v="4"/>
    <s v="No"/>
  </r>
  <r>
    <x v="269"/>
    <x v="123"/>
    <x v="5"/>
    <s v="West"/>
    <x v="2"/>
    <x v="1"/>
    <x v="2"/>
    <s v="South"/>
    <x v="0"/>
    <n v="6.6"/>
    <n v="555"/>
    <n v="6"/>
    <d v="2024-02-01T00:00:00"/>
    <n v="6"/>
    <n v="0"/>
    <x v="0"/>
    <x v="0"/>
    <n v="84.090909090909093"/>
    <n v="5"/>
    <s v="No"/>
  </r>
  <r>
    <x v="270"/>
    <x v="137"/>
    <x v="0"/>
    <s v="South"/>
    <x v="3"/>
    <x v="0"/>
    <x v="3"/>
    <s v="East"/>
    <x v="0"/>
    <n v="15.8"/>
    <n v="308"/>
    <n v="4"/>
    <d v="2024-04-26T00:00:00"/>
    <n v="4"/>
    <n v="0"/>
    <x v="0"/>
    <x v="0"/>
    <n v="19.49367088607595"/>
    <n v="4"/>
    <s v="No"/>
  </r>
  <r>
    <x v="271"/>
    <x v="119"/>
    <x v="5"/>
    <s v="West"/>
    <x v="1"/>
    <x v="1"/>
    <x v="3"/>
    <s v="West"/>
    <x v="1"/>
    <n v="3.6"/>
    <n v="80"/>
    <n v="4"/>
    <d v="2024-06-30T00:00:00"/>
    <n v="4"/>
    <n v="0"/>
    <x v="0"/>
    <x v="0"/>
    <n v="22.222222222222221"/>
    <n v="4"/>
    <s v="No"/>
  </r>
  <r>
    <x v="272"/>
    <x v="18"/>
    <x v="0"/>
    <s v="South"/>
    <x v="4"/>
    <x v="0"/>
    <x v="2"/>
    <s v="West"/>
    <x v="0"/>
    <n v="0.8"/>
    <n v="1299"/>
    <n v="4"/>
    <d v="2024-01-14T00:00:00"/>
    <n v="3"/>
    <n v="-1"/>
    <x v="0"/>
    <x v="0"/>
    <n v="1623.75"/>
    <n v="4"/>
    <s v="Yes"/>
  </r>
  <r>
    <x v="273"/>
    <x v="138"/>
    <x v="3"/>
    <s v="South"/>
    <x v="0"/>
    <x v="0"/>
    <x v="1"/>
    <s v="South"/>
    <x v="1"/>
    <n v="25.2"/>
    <n v="434"/>
    <n v="2"/>
    <d v="2024-05-26T00:00:00"/>
    <n v="1"/>
    <n v="-1"/>
    <x v="0"/>
    <x v="0"/>
    <n v="17.222222222222221"/>
    <n v="3"/>
    <s v="No"/>
  </r>
  <r>
    <x v="274"/>
    <x v="122"/>
    <x v="5"/>
    <s v="West"/>
    <x v="5"/>
    <x v="0"/>
    <x v="0"/>
    <s v="East"/>
    <x v="0"/>
    <n v="8.4"/>
    <n v="619"/>
    <n v="4"/>
    <d v="2024-01-15T00:00:00"/>
    <n v="3"/>
    <n v="-1"/>
    <x v="0"/>
    <x v="0"/>
    <n v="73.69047619047619"/>
    <n v="4"/>
    <s v="No"/>
  </r>
  <r>
    <x v="275"/>
    <x v="139"/>
    <x v="2"/>
    <s v="North"/>
    <x v="4"/>
    <x v="1"/>
    <x v="5"/>
    <s v="South"/>
    <x v="0"/>
    <n v="9.6999999999999993"/>
    <n v="1091"/>
    <n v="6"/>
    <d v="2024-01-24T00:00:00"/>
    <n v="8"/>
    <n v="2"/>
    <x v="1"/>
    <x v="2"/>
    <n v="112.47422680412372"/>
    <n v="5"/>
    <s v="No"/>
  </r>
  <r>
    <x v="276"/>
    <x v="140"/>
    <x v="0"/>
    <s v="South"/>
    <x v="2"/>
    <x v="1"/>
    <x v="3"/>
    <s v="North"/>
    <x v="0"/>
    <n v="43.6"/>
    <n v="316"/>
    <n v="6"/>
    <d v="2024-06-20T00:00:00"/>
    <n v="5"/>
    <n v="-1"/>
    <x v="0"/>
    <x v="0"/>
    <n v="7.2477064220183482"/>
    <n v="5"/>
    <s v="No"/>
  </r>
  <r>
    <x v="277"/>
    <x v="76"/>
    <x v="1"/>
    <s v="West"/>
    <x v="2"/>
    <x v="1"/>
    <x v="0"/>
    <s v="East"/>
    <x v="0"/>
    <n v="6.4"/>
    <n v="440"/>
    <n v="6"/>
    <d v="2024-02-02T00:00:00"/>
    <n v="6"/>
    <n v="0"/>
    <x v="0"/>
    <x v="0"/>
    <n v="68.75"/>
    <n v="5"/>
    <s v="No"/>
  </r>
  <r>
    <x v="278"/>
    <x v="141"/>
    <x v="3"/>
    <s v="South"/>
    <x v="1"/>
    <x v="2"/>
    <x v="0"/>
    <s v="West"/>
    <x v="0"/>
    <n v="11.8"/>
    <n v="250"/>
    <n v="8"/>
    <d v="2024-05-25T00:00:00"/>
    <n v="9"/>
    <n v="1"/>
    <x v="1"/>
    <x v="2"/>
    <n v="21.1864406779661"/>
    <n v="2"/>
    <s v="No"/>
  </r>
  <r>
    <x v="279"/>
    <x v="96"/>
    <x v="5"/>
    <s v="West"/>
    <x v="7"/>
    <x v="2"/>
    <x v="3"/>
    <s v="South"/>
    <x v="0"/>
    <n v="3.2"/>
    <n v="223"/>
    <n v="8"/>
    <d v="2024-01-27T00:00:00"/>
    <n v="8"/>
    <n v="0"/>
    <x v="0"/>
    <x v="0"/>
    <n v="69.6875"/>
    <n v="5"/>
    <s v="No"/>
  </r>
  <r>
    <x v="280"/>
    <x v="142"/>
    <x v="2"/>
    <s v="North"/>
    <x v="5"/>
    <x v="1"/>
    <x v="1"/>
    <s v="South"/>
    <x v="0"/>
    <n v="5.4"/>
    <n v="215"/>
    <n v="6"/>
    <d v="2024-03-24T00:00:00"/>
    <n v="7"/>
    <n v="1"/>
    <x v="1"/>
    <x v="2"/>
    <n v="39.81481481481481"/>
    <n v="2"/>
    <s v="No"/>
  </r>
  <r>
    <x v="281"/>
    <x v="61"/>
    <x v="2"/>
    <s v="North"/>
    <x v="0"/>
    <x v="0"/>
    <x v="5"/>
    <s v="North"/>
    <x v="1"/>
    <n v="2.4"/>
    <n v="3437"/>
    <n v="2"/>
    <d v="2024-06-26T00:00:00"/>
    <n v="9"/>
    <n v="7"/>
    <x v="1"/>
    <x v="1"/>
    <n v="1432.0833333333335"/>
    <n v="0"/>
    <s v="Yes"/>
  </r>
  <r>
    <x v="282"/>
    <x v="63"/>
    <x v="0"/>
    <s v="South"/>
    <x v="7"/>
    <x v="0"/>
    <x v="5"/>
    <s v="West"/>
    <x v="0"/>
    <n v="76.5"/>
    <n v="2804"/>
    <n v="4"/>
    <d v="2024-04-23T00:00:00"/>
    <n v="5"/>
    <n v="1"/>
    <x v="1"/>
    <x v="2"/>
    <n v="36.653594771241828"/>
    <n v="2"/>
    <s v="Yes"/>
  </r>
  <r>
    <x v="283"/>
    <x v="143"/>
    <x v="5"/>
    <s v="West"/>
    <x v="1"/>
    <x v="1"/>
    <x v="5"/>
    <s v="South"/>
    <x v="0"/>
    <n v="59.5"/>
    <n v="981"/>
    <n v="6"/>
    <d v="2024-05-15T00:00:00"/>
    <n v="6"/>
    <n v="0"/>
    <x v="0"/>
    <x v="0"/>
    <n v="16.487394957983192"/>
    <n v="3"/>
    <s v="No"/>
  </r>
  <r>
    <x v="284"/>
    <x v="78"/>
    <x v="4"/>
    <s v="East"/>
    <x v="5"/>
    <x v="0"/>
    <x v="2"/>
    <s v="East"/>
    <x v="1"/>
    <n v="35.1"/>
    <n v="531"/>
    <n v="2"/>
    <d v="2024-03-29T00:00:00"/>
    <n v="3"/>
    <n v="1"/>
    <x v="1"/>
    <x v="2"/>
    <n v="15.128205128205128"/>
    <n v="5"/>
    <s v="Yes"/>
  </r>
  <r>
    <x v="285"/>
    <x v="62"/>
    <x v="4"/>
    <s v="East"/>
    <x v="4"/>
    <x v="2"/>
    <x v="1"/>
    <s v="East"/>
    <x v="1"/>
    <n v="11.6"/>
    <n v="80"/>
    <n v="6"/>
    <s v=""/>
    <s v=""/>
    <s v=""/>
    <x v="2"/>
    <x v="4"/>
    <n v="6.8965517241379315"/>
    <n v="0"/>
    <s v="No"/>
  </r>
  <r>
    <x v="286"/>
    <x v="33"/>
    <x v="2"/>
    <s v="North"/>
    <x v="2"/>
    <x v="2"/>
    <x v="4"/>
    <s v="South"/>
    <x v="0"/>
    <n v="6.9"/>
    <n v="170"/>
    <n v="8"/>
    <d v="2024-03-22T00:00:00"/>
    <n v="9"/>
    <n v="1"/>
    <x v="1"/>
    <x v="2"/>
    <n v="24.637681159420289"/>
    <n v="4"/>
    <s v="Yes"/>
  </r>
  <r>
    <x v="287"/>
    <x v="15"/>
    <x v="1"/>
    <s v="West"/>
    <x v="4"/>
    <x v="2"/>
    <x v="5"/>
    <s v="East"/>
    <x v="0"/>
    <n v="1.4"/>
    <n v="1126"/>
    <n v="8"/>
    <d v="2024-05-15T00:00:00"/>
    <n v="13"/>
    <n v="5"/>
    <x v="1"/>
    <x v="1"/>
    <n v="804.28571428571433"/>
    <n v="0"/>
    <s v="No"/>
  </r>
  <r>
    <x v="288"/>
    <x v="105"/>
    <x v="1"/>
    <s v="West"/>
    <x v="1"/>
    <x v="2"/>
    <x v="0"/>
    <s v="North"/>
    <x v="0"/>
    <n v="69.7"/>
    <n v="327"/>
    <n v="8"/>
    <d v="2024-06-28T00:00:00"/>
    <n v="9"/>
    <n v="1"/>
    <x v="1"/>
    <x v="2"/>
    <n v="4.691535150645624"/>
    <n v="3"/>
    <s v="Yes"/>
  </r>
  <r>
    <x v="289"/>
    <x v="132"/>
    <x v="2"/>
    <s v="North"/>
    <x v="5"/>
    <x v="1"/>
    <x v="0"/>
    <s v="West"/>
    <x v="0"/>
    <n v="13.1"/>
    <n v="454"/>
    <n v="6"/>
    <d v="2024-04-20T00:00:00"/>
    <n v="5"/>
    <n v="-1"/>
    <x v="0"/>
    <x v="0"/>
    <n v="34.656488549618324"/>
    <n v="5"/>
    <s v="No"/>
  </r>
  <r>
    <x v="290"/>
    <x v="70"/>
    <x v="2"/>
    <s v="North"/>
    <x v="4"/>
    <x v="2"/>
    <x v="5"/>
    <s v="North"/>
    <x v="1"/>
    <n v="14.1"/>
    <n v="702"/>
    <n v="6"/>
    <d v="2024-04-15T00:00:00"/>
    <n v="7"/>
    <n v="1"/>
    <x v="1"/>
    <x v="2"/>
    <n v="49.787234042553195"/>
    <n v="5"/>
    <s v="No"/>
  </r>
  <r>
    <x v="291"/>
    <x v="98"/>
    <x v="1"/>
    <s v="West"/>
    <x v="2"/>
    <x v="2"/>
    <x v="2"/>
    <s v="East"/>
    <x v="0"/>
    <n v="50"/>
    <n v="758"/>
    <n v="8"/>
    <d v="2024-01-13T00:00:00"/>
    <n v="8"/>
    <n v="0"/>
    <x v="0"/>
    <x v="3"/>
    <n v="15.16"/>
    <n v="0"/>
    <s v="Yes"/>
  </r>
  <r>
    <x v="292"/>
    <x v="61"/>
    <x v="5"/>
    <s v="West"/>
    <x v="2"/>
    <x v="1"/>
    <x v="2"/>
    <s v="East"/>
    <x v="0"/>
    <n v="39.5"/>
    <n v="836"/>
    <n v="6"/>
    <d v="2024-06-22T00:00:00"/>
    <n v="5"/>
    <n v="-1"/>
    <x v="0"/>
    <x v="0"/>
    <n v="21.164556962025316"/>
    <n v="4"/>
    <s v="No"/>
  </r>
  <r>
    <x v="293"/>
    <x v="120"/>
    <x v="2"/>
    <s v="North"/>
    <x v="7"/>
    <x v="2"/>
    <x v="5"/>
    <s v="North"/>
    <x v="1"/>
    <n v="30.1"/>
    <n v="523"/>
    <n v="6"/>
    <d v="2024-05-29T00:00:00"/>
    <n v="7"/>
    <n v="1"/>
    <x v="1"/>
    <x v="2"/>
    <n v="17.375415282392026"/>
    <n v="2"/>
    <s v="No"/>
  </r>
  <r>
    <x v="294"/>
    <x v="144"/>
    <x v="5"/>
    <s v="West"/>
    <x v="4"/>
    <x v="1"/>
    <x v="0"/>
    <s v="North"/>
    <x v="0"/>
    <n v="34.4"/>
    <n v="283"/>
    <n v="6"/>
    <d v="2024-04-30T00:00:00"/>
    <n v="5"/>
    <n v="-1"/>
    <x v="0"/>
    <x v="0"/>
    <n v="8.2267441860465116"/>
    <n v="5"/>
    <s v="No"/>
  </r>
  <r>
    <x v="295"/>
    <x v="13"/>
    <x v="0"/>
    <s v="South"/>
    <x v="4"/>
    <x v="0"/>
    <x v="1"/>
    <s v="South"/>
    <x v="1"/>
    <n v="6.2"/>
    <n v="185"/>
    <n v="2"/>
    <d v="2024-01-05T00:00:00"/>
    <n v="3"/>
    <n v="1"/>
    <x v="1"/>
    <x v="2"/>
    <n v="29.838709677419352"/>
    <n v="1"/>
    <s v="Yes"/>
  </r>
  <r>
    <x v="296"/>
    <x v="37"/>
    <x v="3"/>
    <s v="South"/>
    <x v="2"/>
    <x v="2"/>
    <x v="0"/>
    <s v="West"/>
    <x v="0"/>
    <n v="3.9"/>
    <n v="339"/>
    <n v="8"/>
    <d v="2024-01-15T00:00:00"/>
    <n v="7"/>
    <n v="-1"/>
    <x v="0"/>
    <x v="3"/>
    <n v="86.92307692307692"/>
    <n v="0"/>
    <s v="Yes"/>
  </r>
  <r>
    <x v="297"/>
    <x v="70"/>
    <x v="5"/>
    <s v="West"/>
    <x v="4"/>
    <x v="2"/>
    <x v="0"/>
    <s v="North"/>
    <x v="0"/>
    <n v="10"/>
    <n v="270"/>
    <n v="8"/>
    <d v="2024-04-21T00:00:00"/>
    <n v="13"/>
    <n v="5"/>
    <x v="1"/>
    <x v="2"/>
    <n v="27"/>
    <n v="4"/>
    <s v="No"/>
  </r>
  <r>
    <x v="298"/>
    <x v="145"/>
    <x v="5"/>
    <s v="West"/>
    <x v="0"/>
    <x v="2"/>
    <x v="2"/>
    <s v="East"/>
    <x v="0"/>
    <n v="7.4"/>
    <n v="249"/>
    <n v="8"/>
    <d v="2024-06-26T00:00:00"/>
    <n v="13"/>
    <n v="5"/>
    <x v="1"/>
    <x v="2"/>
    <n v="33.648648648648646"/>
    <n v="1"/>
    <s v="Yes"/>
  </r>
  <r>
    <x v="299"/>
    <x v="11"/>
    <x v="3"/>
    <s v="South"/>
    <x v="5"/>
    <x v="0"/>
    <x v="0"/>
    <s v="West"/>
    <x v="0"/>
    <n v="5.6"/>
    <n v="260"/>
    <n v="4"/>
    <d v="2024-02-06T00:00:00"/>
    <n v="3"/>
    <n v="-1"/>
    <x v="0"/>
    <x v="1"/>
    <n v="46.428571428571431"/>
    <n v="0"/>
    <s v="No"/>
  </r>
  <r>
    <x v="300"/>
    <x v="93"/>
    <x v="0"/>
    <s v="South"/>
    <x v="4"/>
    <x v="1"/>
    <x v="5"/>
    <s v="East"/>
    <x v="0"/>
    <n v="1.9"/>
    <n v="1144"/>
    <n v="6"/>
    <d v="2024-01-29T00:00:00"/>
    <n v="5"/>
    <n v="-1"/>
    <x v="0"/>
    <x v="0"/>
    <n v="602.1052631578948"/>
    <n v="3"/>
    <s v="Yes"/>
  </r>
  <r>
    <x v="301"/>
    <x v="20"/>
    <x v="3"/>
    <s v="South"/>
    <x v="2"/>
    <x v="2"/>
    <x v="3"/>
    <s v="North"/>
    <x v="0"/>
    <n v="42.6"/>
    <n v="231"/>
    <n v="8"/>
    <d v="2024-01-15T00:00:00"/>
    <n v="8"/>
    <n v="0"/>
    <x v="0"/>
    <x v="3"/>
    <n v="5.4225352112676051"/>
    <n v="0"/>
    <s v="Yes"/>
  </r>
  <r>
    <x v="302"/>
    <x v="22"/>
    <x v="1"/>
    <s v="West"/>
    <x v="0"/>
    <x v="1"/>
    <x v="0"/>
    <s v="South"/>
    <x v="0"/>
    <n v="6.9"/>
    <n v="287"/>
    <n v="6"/>
    <d v="2024-03-25T00:00:00"/>
    <n v="6"/>
    <n v="0"/>
    <x v="0"/>
    <x v="0"/>
    <n v="41.594202898550719"/>
    <n v="5"/>
    <s v="Yes"/>
  </r>
  <r>
    <x v="303"/>
    <x v="49"/>
    <x v="4"/>
    <s v="East"/>
    <x v="5"/>
    <x v="0"/>
    <x v="1"/>
    <s v="South"/>
    <x v="0"/>
    <n v="5.5"/>
    <n v="1026"/>
    <n v="4"/>
    <d v="2024-06-27T00:00:00"/>
    <n v="6"/>
    <n v="2"/>
    <x v="1"/>
    <x v="2"/>
    <n v="186.54545454545453"/>
    <n v="5"/>
    <s v="Yes"/>
  </r>
  <r>
    <x v="304"/>
    <x v="138"/>
    <x v="0"/>
    <s v="South"/>
    <x v="0"/>
    <x v="2"/>
    <x v="3"/>
    <s v="South"/>
    <x v="1"/>
    <n v="19.8"/>
    <n v="80"/>
    <n v="6"/>
    <d v="2024-06-01T00:00:00"/>
    <n v="7"/>
    <n v="1"/>
    <x v="1"/>
    <x v="2"/>
    <n v="4.0404040404040407"/>
    <n v="1"/>
    <s v="No"/>
  </r>
  <r>
    <x v="305"/>
    <x v="57"/>
    <x v="2"/>
    <s v="North"/>
    <x v="5"/>
    <x v="0"/>
    <x v="3"/>
    <s v="West"/>
    <x v="0"/>
    <n v="3.9"/>
    <n v="385"/>
    <n v="4"/>
    <d v="2024-06-30T00:00:00"/>
    <n v="7"/>
    <n v="3"/>
    <x v="1"/>
    <x v="2"/>
    <n v="98.717948717948715"/>
    <n v="3"/>
    <s v="No"/>
  </r>
  <r>
    <x v="306"/>
    <x v="132"/>
    <x v="4"/>
    <s v="East"/>
    <x v="4"/>
    <x v="0"/>
    <x v="5"/>
    <s v="West"/>
    <x v="0"/>
    <n v="5.2"/>
    <n v="2718"/>
    <n v="4"/>
    <d v="2024-04-18T00:00:00"/>
    <n v="3"/>
    <n v="-1"/>
    <x v="0"/>
    <x v="1"/>
    <n v="522.69230769230762"/>
    <n v="0"/>
    <s v="No"/>
  </r>
  <r>
    <x v="307"/>
    <x v="70"/>
    <x v="4"/>
    <s v="East"/>
    <x v="0"/>
    <x v="1"/>
    <x v="3"/>
    <s v="West"/>
    <x v="0"/>
    <n v="56.7"/>
    <n v="247"/>
    <n v="6"/>
    <d v="2024-04-14T00:00:00"/>
    <n v="6"/>
    <n v="0"/>
    <x v="0"/>
    <x v="0"/>
    <n v="4.356261022927689"/>
    <n v="5"/>
    <s v="No"/>
  </r>
  <r>
    <x v="308"/>
    <x v="94"/>
    <x v="2"/>
    <s v="North"/>
    <x v="4"/>
    <x v="0"/>
    <x v="4"/>
    <s v="East"/>
    <x v="0"/>
    <n v="3.8"/>
    <n v="278"/>
    <n v="4"/>
    <d v="2024-04-10T00:00:00"/>
    <n v="5"/>
    <n v="1"/>
    <x v="1"/>
    <x v="2"/>
    <n v="73.15789473684211"/>
    <n v="4"/>
    <s v="Yes"/>
  </r>
  <r>
    <x v="309"/>
    <x v="32"/>
    <x v="5"/>
    <s v="West"/>
    <x v="2"/>
    <x v="2"/>
    <x v="1"/>
    <s v="South"/>
    <x v="0"/>
    <n v="2.8"/>
    <n v="475"/>
    <n v="8"/>
    <d v="2024-05-29T00:00:00"/>
    <n v="8"/>
    <n v="0"/>
    <x v="0"/>
    <x v="0"/>
    <n v="169.64285714285717"/>
    <n v="3"/>
    <s v="No"/>
  </r>
  <r>
    <x v="310"/>
    <x v="132"/>
    <x v="3"/>
    <s v="South"/>
    <x v="2"/>
    <x v="0"/>
    <x v="6"/>
    <s v="East"/>
    <x v="0"/>
    <n v="19.3"/>
    <n v="2457"/>
    <n v="4"/>
    <d v="2024-04-20T00:00:00"/>
    <n v="5"/>
    <n v="1"/>
    <x v="1"/>
    <x v="2"/>
    <n v="127.30569948186528"/>
    <n v="1"/>
    <s v="Yes"/>
  </r>
  <r>
    <x v="311"/>
    <x v="77"/>
    <x v="0"/>
    <s v="South"/>
    <x v="7"/>
    <x v="2"/>
    <x v="3"/>
    <s v="East"/>
    <x v="0"/>
    <n v="50.1"/>
    <n v="180"/>
    <n v="8"/>
    <d v="2024-05-28T00:00:00"/>
    <n v="10"/>
    <n v="2"/>
    <x v="1"/>
    <x v="2"/>
    <n v="3.5928143712574849"/>
    <n v="5"/>
    <s v="No"/>
  </r>
  <r>
    <x v="312"/>
    <x v="49"/>
    <x v="0"/>
    <s v="South"/>
    <x v="5"/>
    <x v="1"/>
    <x v="3"/>
    <s v="West"/>
    <x v="0"/>
    <n v="2.4"/>
    <n v="314"/>
    <n v="6"/>
    <d v="2024-06-27T00:00:00"/>
    <n v="6"/>
    <n v="0"/>
    <x v="0"/>
    <x v="0"/>
    <n v="130.83333333333334"/>
    <n v="5"/>
    <s v="No"/>
  </r>
  <r>
    <x v="313"/>
    <x v="74"/>
    <x v="2"/>
    <s v="North"/>
    <x v="2"/>
    <x v="2"/>
    <x v="0"/>
    <s v="West"/>
    <x v="0"/>
    <n v="7.5"/>
    <n v="169"/>
    <n v="8"/>
    <d v="2024-02-19T00:00:00"/>
    <n v="8"/>
    <n v="0"/>
    <x v="0"/>
    <x v="0"/>
    <n v="22.533333333333335"/>
    <n v="4"/>
    <s v="No"/>
  </r>
  <r>
    <x v="314"/>
    <x v="129"/>
    <x v="0"/>
    <s v="South"/>
    <x v="2"/>
    <x v="1"/>
    <x v="2"/>
    <s v="East"/>
    <x v="0"/>
    <n v="2.1"/>
    <n v="400"/>
    <n v="6"/>
    <d v="2024-02-24T00:00:00"/>
    <n v="7"/>
    <n v="1"/>
    <x v="1"/>
    <x v="2"/>
    <n v="190.47619047619048"/>
    <n v="4"/>
    <s v="No"/>
  </r>
  <r>
    <x v="315"/>
    <x v="146"/>
    <x v="3"/>
    <s v="South"/>
    <x v="2"/>
    <x v="2"/>
    <x v="3"/>
    <s v="West"/>
    <x v="0"/>
    <n v="12.7"/>
    <n v="217"/>
    <n v="8"/>
    <d v="2024-01-13T00:00:00"/>
    <n v="7"/>
    <n v="-1"/>
    <x v="0"/>
    <x v="0"/>
    <n v="17.086614173228348"/>
    <n v="3"/>
    <s v="No"/>
  </r>
  <r>
    <x v="316"/>
    <x v="89"/>
    <x v="4"/>
    <s v="East"/>
    <x v="0"/>
    <x v="2"/>
    <x v="5"/>
    <s v="West"/>
    <x v="0"/>
    <n v="5.7"/>
    <n v="1080"/>
    <n v="8"/>
    <d v="2024-03-25T00:00:00"/>
    <n v="16"/>
    <n v="8"/>
    <x v="1"/>
    <x v="2"/>
    <n v="189.4736842105263"/>
    <n v="3"/>
    <s v="No"/>
  </r>
  <r>
    <x v="317"/>
    <x v="9"/>
    <x v="3"/>
    <s v="South"/>
    <x v="0"/>
    <x v="2"/>
    <x v="3"/>
    <s v="West"/>
    <x v="0"/>
    <n v="66"/>
    <n v="198"/>
    <n v="8"/>
    <d v="2024-06-18T00:00:00"/>
    <n v="7"/>
    <n v="-1"/>
    <x v="0"/>
    <x v="0"/>
    <n v="3"/>
    <n v="4"/>
    <s v="No"/>
  </r>
  <r>
    <x v="318"/>
    <x v="147"/>
    <x v="3"/>
    <s v="South"/>
    <x v="1"/>
    <x v="2"/>
    <x v="5"/>
    <s v="South"/>
    <x v="1"/>
    <n v="2.6"/>
    <n v="670"/>
    <n v="6"/>
    <s v=""/>
    <s v=""/>
    <s v=""/>
    <x v="2"/>
    <x v="4"/>
    <n v="257.69230769230768"/>
    <n v="0"/>
    <s v="No"/>
  </r>
  <r>
    <x v="319"/>
    <x v="76"/>
    <x v="4"/>
    <s v="East"/>
    <x v="1"/>
    <x v="0"/>
    <x v="4"/>
    <s v="North"/>
    <x v="0"/>
    <n v="49.2"/>
    <n v="285"/>
    <n v="4"/>
    <d v="2024-01-31T00:00:00"/>
    <n v="4"/>
    <n v="0"/>
    <x v="0"/>
    <x v="0"/>
    <n v="5.7926829268292677"/>
    <n v="5"/>
    <s v="No"/>
  </r>
  <r>
    <x v="320"/>
    <x v="26"/>
    <x v="0"/>
    <s v="South"/>
    <x v="1"/>
    <x v="2"/>
    <x v="5"/>
    <s v="North"/>
    <x v="0"/>
    <n v="3.4"/>
    <n v="887"/>
    <n v="8"/>
    <d v="2024-03-05T00:00:00"/>
    <n v="8"/>
    <n v="0"/>
    <x v="0"/>
    <x v="0"/>
    <n v="260.88235294117646"/>
    <n v="4"/>
    <s v="No"/>
  </r>
  <r>
    <x v="321"/>
    <x v="125"/>
    <x v="3"/>
    <s v="South"/>
    <x v="4"/>
    <x v="0"/>
    <x v="0"/>
    <s v="East"/>
    <x v="0"/>
    <n v="49.7"/>
    <n v="582"/>
    <n v="4"/>
    <d v="2024-03-21T00:00:00"/>
    <n v="9"/>
    <n v="5"/>
    <x v="1"/>
    <x v="2"/>
    <n v="11.710261569416499"/>
    <n v="2"/>
    <s v="No"/>
  </r>
  <r>
    <x v="322"/>
    <x v="36"/>
    <x v="1"/>
    <s v="West"/>
    <x v="0"/>
    <x v="2"/>
    <x v="0"/>
    <s v="West"/>
    <x v="1"/>
    <n v="9.5"/>
    <n v="80"/>
    <n v="6"/>
    <d v="2024-05-21T00:00:00"/>
    <n v="11"/>
    <n v="5"/>
    <x v="1"/>
    <x v="1"/>
    <n v="8.4210526315789469"/>
    <n v="0"/>
    <s v="Yes"/>
  </r>
  <r>
    <x v="323"/>
    <x v="102"/>
    <x v="4"/>
    <s v="East"/>
    <x v="1"/>
    <x v="1"/>
    <x v="4"/>
    <s v="North"/>
    <x v="0"/>
    <n v="2"/>
    <n v="199"/>
    <n v="6"/>
    <d v="2024-04-22T00:00:00"/>
    <n v="15"/>
    <n v="9"/>
    <x v="1"/>
    <x v="2"/>
    <n v="99.5"/>
    <n v="1"/>
    <s v="No"/>
  </r>
  <r>
    <x v="324"/>
    <x v="46"/>
    <x v="4"/>
    <s v="East"/>
    <x v="1"/>
    <x v="2"/>
    <x v="2"/>
    <s v="South"/>
    <x v="0"/>
    <n v="1.6"/>
    <n v="379"/>
    <n v="8"/>
    <d v="2024-01-10T00:00:00"/>
    <n v="7"/>
    <n v="-1"/>
    <x v="0"/>
    <x v="0"/>
    <n v="236.875"/>
    <n v="5"/>
    <s v="No"/>
  </r>
  <r>
    <x v="325"/>
    <x v="9"/>
    <x v="0"/>
    <s v="South"/>
    <x v="5"/>
    <x v="0"/>
    <x v="2"/>
    <s v="East"/>
    <x v="0"/>
    <n v="15.5"/>
    <n v="990"/>
    <n v="4"/>
    <d v="2024-06-16T00:00:00"/>
    <n v="5"/>
    <n v="1"/>
    <x v="1"/>
    <x v="2"/>
    <n v="63.87096774193548"/>
    <n v="4"/>
    <s v="Yes"/>
  </r>
  <r>
    <x v="326"/>
    <x v="21"/>
    <x v="1"/>
    <s v="West"/>
    <x v="1"/>
    <x v="1"/>
    <x v="1"/>
    <s v="North"/>
    <x v="0"/>
    <n v="18"/>
    <n v="229"/>
    <n v="6"/>
    <d v="2024-02-25T00:00:00"/>
    <n v="6"/>
    <n v="0"/>
    <x v="0"/>
    <x v="0"/>
    <n v="12.722222222222221"/>
    <n v="5"/>
    <s v="No"/>
  </r>
  <r>
    <x v="327"/>
    <x v="68"/>
    <x v="5"/>
    <s v="West"/>
    <x v="2"/>
    <x v="0"/>
    <x v="2"/>
    <s v="West"/>
    <x v="1"/>
    <n v="2.1"/>
    <n v="745"/>
    <n v="2"/>
    <d v="2024-06-11T00:00:00"/>
    <n v="2"/>
    <n v="0"/>
    <x v="0"/>
    <x v="0"/>
    <n v="354.76190476190476"/>
    <n v="4"/>
    <s v="Yes"/>
  </r>
  <r>
    <x v="328"/>
    <x v="148"/>
    <x v="1"/>
    <s v="West"/>
    <x v="5"/>
    <x v="1"/>
    <x v="4"/>
    <s v="North"/>
    <x v="0"/>
    <n v="16.3"/>
    <n v="232"/>
    <n v="6"/>
    <d v="2024-05-14T00:00:00"/>
    <n v="7"/>
    <n v="1"/>
    <x v="1"/>
    <x v="2"/>
    <n v="14.233128834355828"/>
    <n v="1"/>
    <s v="No"/>
  </r>
  <r>
    <x v="329"/>
    <x v="100"/>
    <x v="1"/>
    <s v="West"/>
    <x v="4"/>
    <x v="1"/>
    <x v="2"/>
    <s v="North"/>
    <x v="0"/>
    <n v="2.8"/>
    <n v="1048"/>
    <n v="6"/>
    <d v="2024-04-03T00:00:00"/>
    <n v="7"/>
    <n v="1"/>
    <x v="1"/>
    <x v="2"/>
    <n v="374.28571428571433"/>
    <n v="2"/>
    <s v="Yes"/>
  </r>
  <r>
    <x v="330"/>
    <x v="132"/>
    <x v="5"/>
    <s v="West"/>
    <x v="2"/>
    <x v="1"/>
    <x v="1"/>
    <s v="East"/>
    <x v="0"/>
    <n v="39.700000000000003"/>
    <n v="263"/>
    <n v="6"/>
    <d v="2024-04-29T00:00:00"/>
    <n v="14"/>
    <n v="8"/>
    <x v="1"/>
    <x v="2"/>
    <n v="6.624685138539042"/>
    <n v="1"/>
    <s v="No"/>
  </r>
  <r>
    <x v="331"/>
    <x v="89"/>
    <x v="1"/>
    <s v="West"/>
    <x v="0"/>
    <x v="2"/>
    <x v="5"/>
    <s v="West"/>
    <x v="1"/>
    <n v="3.7"/>
    <n v="227"/>
    <n v="6"/>
    <d v="2024-03-24T00:00:00"/>
    <n v="15"/>
    <n v="9"/>
    <x v="1"/>
    <x v="2"/>
    <n v="61.351351351351347"/>
    <n v="2"/>
    <s v="No"/>
  </r>
  <r>
    <x v="332"/>
    <x v="105"/>
    <x v="1"/>
    <s v="West"/>
    <x v="0"/>
    <x v="0"/>
    <x v="4"/>
    <s v="South"/>
    <x v="0"/>
    <n v="17.5"/>
    <n v="360"/>
    <n v="4"/>
    <d v="2024-06-24T00:00:00"/>
    <n v="5"/>
    <n v="1"/>
    <x v="1"/>
    <x v="2"/>
    <n v="20.571428571428573"/>
    <n v="2"/>
    <s v="No"/>
  </r>
  <r>
    <x v="333"/>
    <x v="3"/>
    <x v="0"/>
    <s v="South"/>
    <x v="0"/>
    <x v="1"/>
    <x v="2"/>
    <s v="North"/>
    <x v="0"/>
    <n v="4.8"/>
    <n v="481"/>
    <n v="6"/>
    <d v="2024-01-18T00:00:00"/>
    <n v="5"/>
    <n v="-1"/>
    <x v="0"/>
    <x v="0"/>
    <n v="100.20833333333334"/>
    <n v="4"/>
    <s v="No"/>
  </r>
  <r>
    <x v="334"/>
    <x v="38"/>
    <x v="0"/>
    <s v="South"/>
    <x v="0"/>
    <x v="2"/>
    <x v="4"/>
    <s v="West"/>
    <x v="0"/>
    <n v="13.3"/>
    <n v="221"/>
    <n v="8"/>
    <d v="2024-03-18T00:00:00"/>
    <n v="12"/>
    <n v="4"/>
    <x v="1"/>
    <x v="2"/>
    <n v="16.616541353383457"/>
    <n v="1"/>
    <s v="No"/>
  </r>
  <r>
    <x v="335"/>
    <x v="50"/>
    <x v="2"/>
    <s v="North"/>
    <x v="2"/>
    <x v="1"/>
    <x v="3"/>
    <s v="West"/>
    <x v="0"/>
    <n v="4.0999999999999996"/>
    <n v="295"/>
    <n v="6"/>
    <d v="2024-02-20T00:00:00"/>
    <n v="7"/>
    <n v="1"/>
    <x v="1"/>
    <x v="3"/>
    <n v="71.951219512195124"/>
    <n v="0"/>
    <s v="No"/>
  </r>
  <r>
    <x v="336"/>
    <x v="137"/>
    <x v="5"/>
    <s v="West"/>
    <x v="5"/>
    <x v="1"/>
    <x v="5"/>
    <s v="North"/>
    <x v="0"/>
    <n v="7.4"/>
    <n v="669"/>
    <n v="6"/>
    <d v="2024-04-29T00:00:00"/>
    <n v="7"/>
    <n v="1"/>
    <x v="1"/>
    <x v="2"/>
    <n v="90.405405405405403"/>
    <n v="1"/>
    <s v="No"/>
  </r>
  <r>
    <x v="337"/>
    <x v="29"/>
    <x v="5"/>
    <s v="West"/>
    <x v="2"/>
    <x v="1"/>
    <x v="1"/>
    <s v="East"/>
    <x v="0"/>
    <n v="24.2"/>
    <n v="602"/>
    <n v="6"/>
    <d v="2024-06-23T00:00:00"/>
    <n v="7"/>
    <n v="1"/>
    <x v="1"/>
    <x v="2"/>
    <n v="24.876033057851242"/>
    <n v="3"/>
    <s v="No"/>
  </r>
  <r>
    <x v="338"/>
    <x v="28"/>
    <x v="1"/>
    <s v="West"/>
    <x v="1"/>
    <x v="2"/>
    <x v="1"/>
    <s v="West"/>
    <x v="1"/>
    <n v="19.5"/>
    <n v="159"/>
    <n v="6"/>
    <d v="2024-04-16T00:00:00"/>
    <n v="5"/>
    <n v="-1"/>
    <x v="0"/>
    <x v="0"/>
    <n v="8.1538461538461533"/>
    <n v="3"/>
    <s v="No"/>
  </r>
  <r>
    <x v="339"/>
    <x v="57"/>
    <x v="1"/>
    <s v="West"/>
    <x v="5"/>
    <x v="0"/>
    <x v="5"/>
    <s v="South"/>
    <x v="0"/>
    <n v="9.5"/>
    <n v="2992"/>
    <n v="4"/>
    <d v="2024-07-03T00:00:00"/>
    <n v="10"/>
    <n v="6"/>
    <x v="1"/>
    <x v="2"/>
    <n v="314.94736842105266"/>
    <n v="2"/>
    <s v="Yes"/>
  </r>
  <r>
    <x v="340"/>
    <x v="103"/>
    <x v="5"/>
    <s v="West"/>
    <x v="6"/>
    <x v="2"/>
    <x v="0"/>
    <s v="East"/>
    <x v="0"/>
    <n v="62.6"/>
    <n v="253"/>
    <n v="8"/>
    <d v="2024-04-17T00:00:00"/>
    <n v="7"/>
    <n v="-1"/>
    <x v="0"/>
    <x v="1"/>
    <n v="4.0415335463258781"/>
    <n v="0"/>
    <s v="No"/>
  </r>
  <r>
    <x v="341"/>
    <x v="108"/>
    <x v="5"/>
    <s v="West"/>
    <x v="4"/>
    <x v="1"/>
    <x v="3"/>
    <s v="North"/>
    <x v="0"/>
    <n v="8.6"/>
    <n v="217"/>
    <n v="6"/>
    <d v="2024-04-27T00:00:00"/>
    <n v="7"/>
    <n v="1"/>
    <x v="1"/>
    <x v="2"/>
    <n v="25.232558139534884"/>
    <n v="1"/>
    <s v="No"/>
  </r>
  <r>
    <x v="342"/>
    <x v="145"/>
    <x v="2"/>
    <s v="North"/>
    <x v="0"/>
    <x v="1"/>
    <x v="0"/>
    <s v="North"/>
    <x v="1"/>
    <n v="1.9"/>
    <n v="288"/>
    <n v="4"/>
    <d v="2024-06-16T00:00:00"/>
    <n v="3"/>
    <n v="-1"/>
    <x v="0"/>
    <x v="1"/>
    <n v="151.57894736842107"/>
    <n v="0"/>
    <s v="No"/>
  </r>
  <r>
    <x v="343"/>
    <x v="76"/>
    <x v="2"/>
    <s v="North"/>
    <x v="2"/>
    <x v="0"/>
    <x v="3"/>
    <s v="East"/>
    <x v="0"/>
    <n v="12.8"/>
    <n v="351"/>
    <n v="4"/>
    <d v="2024-01-31T00:00:00"/>
    <n v="4"/>
    <n v="0"/>
    <x v="0"/>
    <x v="0"/>
    <n v="27.421875"/>
    <n v="4"/>
    <s v="No"/>
  </r>
  <r>
    <x v="344"/>
    <x v="7"/>
    <x v="3"/>
    <s v="South"/>
    <x v="7"/>
    <x v="2"/>
    <x v="0"/>
    <s v="North"/>
    <x v="0"/>
    <n v="4.7"/>
    <n v="343"/>
    <n v="8"/>
    <d v="2024-02-01T00:00:00"/>
    <n v="7"/>
    <n v="-1"/>
    <x v="0"/>
    <x v="0"/>
    <n v="72.978723404255319"/>
    <n v="5"/>
    <s v="No"/>
  </r>
  <r>
    <x v="345"/>
    <x v="60"/>
    <x v="5"/>
    <s v="West"/>
    <x v="4"/>
    <x v="2"/>
    <x v="1"/>
    <s v="East"/>
    <x v="0"/>
    <n v="13.2"/>
    <n v="400"/>
    <n v="8"/>
    <d v="2024-03-08T00:00:00"/>
    <n v="7"/>
    <n v="-1"/>
    <x v="0"/>
    <x v="0"/>
    <n v="30.303030303030305"/>
    <n v="3"/>
    <s v="Yes"/>
  </r>
  <r>
    <x v="346"/>
    <x v="128"/>
    <x v="0"/>
    <s v="South"/>
    <x v="2"/>
    <x v="2"/>
    <x v="4"/>
    <s v="East"/>
    <x v="0"/>
    <n v="14.7"/>
    <n v="213"/>
    <n v="8"/>
    <d v="2024-05-01T00:00:00"/>
    <n v="7"/>
    <n v="-1"/>
    <x v="0"/>
    <x v="0"/>
    <n v="14.489795918367347"/>
    <n v="5"/>
    <s v="No"/>
  </r>
  <r>
    <x v="347"/>
    <x v="6"/>
    <x v="0"/>
    <s v="South"/>
    <x v="0"/>
    <x v="1"/>
    <x v="0"/>
    <s v="West"/>
    <x v="0"/>
    <n v="3"/>
    <n v="303"/>
    <n v="6"/>
    <d v="2024-03-19T00:00:00"/>
    <n v="5"/>
    <n v="-1"/>
    <x v="0"/>
    <x v="0"/>
    <n v="101"/>
    <n v="4"/>
    <s v="No"/>
  </r>
  <r>
    <x v="348"/>
    <x v="3"/>
    <x v="3"/>
    <s v="South"/>
    <x v="2"/>
    <x v="1"/>
    <x v="3"/>
    <s v="South"/>
    <x v="1"/>
    <n v="5.7"/>
    <n v="181"/>
    <n v="4"/>
    <d v="2024-01-19T00:00:00"/>
    <n v="6"/>
    <n v="2"/>
    <x v="1"/>
    <x v="2"/>
    <n v="31.754385964912281"/>
    <n v="4"/>
    <s v="Yes"/>
  </r>
  <r>
    <x v="349"/>
    <x v="105"/>
    <x v="5"/>
    <s v="West"/>
    <x v="0"/>
    <x v="2"/>
    <x v="4"/>
    <s v="East"/>
    <x v="0"/>
    <n v="6.8"/>
    <n v="176"/>
    <n v="8"/>
    <d v="2024-06-27T00:00:00"/>
    <n v="8"/>
    <n v="0"/>
    <x v="0"/>
    <x v="0"/>
    <n v="25.882352941176471"/>
    <n v="4"/>
    <s v="Yes"/>
  </r>
  <r>
    <x v="350"/>
    <x v="15"/>
    <x v="3"/>
    <s v="South"/>
    <x v="7"/>
    <x v="2"/>
    <x v="0"/>
    <s v="North"/>
    <x v="0"/>
    <n v="3"/>
    <n v="346"/>
    <n v="8"/>
    <d v="2024-05-10T00:00:00"/>
    <n v="8"/>
    <n v="0"/>
    <x v="0"/>
    <x v="0"/>
    <n v="115.33333333333333"/>
    <n v="5"/>
    <s v="No"/>
  </r>
  <r>
    <x v="351"/>
    <x v="62"/>
    <x v="3"/>
    <s v="South"/>
    <x v="2"/>
    <x v="1"/>
    <x v="4"/>
    <s v="West"/>
    <x v="0"/>
    <n v="10.5"/>
    <n v="176"/>
    <n v="6"/>
    <d v="2024-07-03T00:00:00"/>
    <n v="6"/>
    <n v="0"/>
    <x v="0"/>
    <x v="0"/>
    <n v="16.761904761904763"/>
    <n v="4"/>
    <s v="No"/>
  </r>
  <r>
    <x v="352"/>
    <x v="82"/>
    <x v="5"/>
    <s v="West"/>
    <x v="2"/>
    <x v="2"/>
    <x v="2"/>
    <s v="East"/>
    <x v="0"/>
    <n v="2.1"/>
    <n v="297"/>
    <n v="8"/>
    <d v="2024-05-21T00:00:00"/>
    <n v="7"/>
    <n v="-1"/>
    <x v="0"/>
    <x v="0"/>
    <n v="141.42857142857142"/>
    <n v="4"/>
    <s v="Yes"/>
  </r>
  <r>
    <x v="353"/>
    <x v="48"/>
    <x v="4"/>
    <s v="East"/>
    <x v="0"/>
    <x v="1"/>
    <x v="2"/>
    <s v="North"/>
    <x v="0"/>
    <n v="8.1999999999999993"/>
    <n v="914"/>
    <n v="6"/>
    <d v="2024-04-03T00:00:00"/>
    <n v="9"/>
    <n v="3"/>
    <x v="1"/>
    <x v="2"/>
    <n v="111.46341463414635"/>
    <n v="4"/>
    <s v="Yes"/>
  </r>
  <r>
    <x v="354"/>
    <x v="94"/>
    <x v="3"/>
    <s v="South"/>
    <x v="0"/>
    <x v="1"/>
    <x v="3"/>
    <s v="North"/>
    <x v="0"/>
    <n v="33.9"/>
    <n v="268"/>
    <n v="6"/>
    <d v="2024-04-13T00:00:00"/>
    <n v="8"/>
    <n v="2"/>
    <x v="1"/>
    <x v="2"/>
    <n v="7.9056047197640122"/>
    <n v="2"/>
    <s v="Yes"/>
  </r>
  <r>
    <x v="355"/>
    <x v="140"/>
    <x v="3"/>
    <s v="South"/>
    <x v="7"/>
    <x v="0"/>
    <x v="4"/>
    <s v="South"/>
    <x v="1"/>
    <n v="5"/>
    <n v="264"/>
    <n v="2"/>
    <d v="2024-06-18T00:00:00"/>
    <n v="3"/>
    <n v="1"/>
    <x v="1"/>
    <x v="2"/>
    <n v="52.8"/>
    <n v="2"/>
    <s v="Yes"/>
  </r>
  <r>
    <x v="356"/>
    <x v="25"/>
    <x v="4"/>
    <s v="East"/>
    <x v="0"/>
    <x v="2"/>
    <x v="2"/>
    <s v="South"/>
    <x v="0"/>
    <n v="4.7"/>
    <n v="649"/>
    <n v="8"/>
    <d v="2024-02-08T00:00:00"/>
    <n v="7"/>
    <n v="-1"/>
    <x v="0"/>
    <x v="0"/>
    <n v="138.08510638297872"/>
    <n v="2"/>
    <s v="Yes"/>
  </r>
  <r>
    <x v="357"/>
    <x v="146"/>
    <x v="4"/>
    <s v="East"/>
    <x v="1"/>
    <x v="1"/>
    <x v="5"/>
    <s v="North"/>
    <x v="0"/>
    <n v="32.799999999999997"/>
    <n v="1433"/>
    <n v="6"/>
    <d v="2024-01-12T00:00:00"/>
    <n v="6"/>
    <n v="0"/>
    <x v="0"/>
    <x v="0"/>
    <n v="43.689024390243908"/>
    <n v="4"/>
    <s v="No"/>
  </r>
  <r>
    <x v="358"/>
    <x v="118"/>
    <x v="3"/>
    <s v="South"/>
    <x v="0"/>
    <x v="2"/>
    <x v="1"/>
    <s v="East"/>
    <x v="0"/>
    <n v="59"/>
    <n v="236"/>
    <n v="8"/>
    <d v="2024-06-17T00:00:00"/>
    <n v="9"/>
    <n v="1"/>
    <x v="1"/>
    <x v="2"/>
    <n v="4"/>
    <n v="3"/>
    <s v="No"/>
  </r>
  <r>
    <x v="359"/>
    <x v="115"/>
    <x v="5"/>
    <s v="West"/>
    <x v="7"/>
    <x v="1"/>
    <x v="2"/>
    <s v="East"/>
    <x v="0"/>
    <n v="7.8"/>
    <n v="327"/>
    <n v="6"/>
    <d v="2024-05-12T00:00:00"/>
    <n v="6"/>
    <n v="0"/>
    <x v="0"/>
    <x v="0"/>
    <n v="41.923076923076927"/>
    <n v="4"/>
    <s v="No"/>
  </r>
  <r>
    <x v="360"/>
    <x v="69"/>
    <x v="5"/>
    <s v="West"/>
    <x v="4"/>
    <x v="0"/>
    <x v="3"/>
    <s v="South"/>
    <x v="0"/>
    <n v="6.4"/>
    <n v="405"/>
    <n v="4"/>
    <d v="2024-05-11T00:00:00"/>
    <n v="3"/>
    <n v="-1"/>
    <x v="0"/>
    <x v="0"/>
    <n v="63.28125"/>
    <n v="4"/>
    <s v="Yes"/>
  </r>
  <r>
    <x v="361"/>
    <x v="110"/>
    <x v="4"/>
    <s v="East"/>
    <x v="4"/>
    <x v="0"/>
    <x v="3"/>
    <s v="North"/>
    <x v="0"/>
    <n v="6"/>
    <n v="485"/>
    <n v="4"/>
    <d v="2024-01-23T00:00:00"/>
    <n v="3"/>
    <n v="-1"/>
    <x v="0"/>
    <x v="0"/>
    <n v="80.833333333333329"/>
    <n v="5"/>
    <s v="No"/>
  </r>
  <r>
    <x v="362"/>
    <x v="108"/>
    <x v="1"/>
    <s v="West"/>
    <x v="5"/>
    <x v="1"/>
    <x v="1"/>
    <s v="North"/>
    <x v="0"/>
    <n v="6.5"/>
    <n v="312"/>
    <n v="6"/>
    <d v="2024-04-26T00:00:00"/>
    <n v="6"/>
    <n v="0"/>
    <x v="0"/>
    <x v="0"/>
    <n v="48"/>
    <n v="5"/>
    <s v="Yes"/>
  </r>
  <r>
    <x v="363"/>
    <x v="126"/>
    <x v="4"/>
    <s v="East"/>
    <x v="4"/>
    <x v="1"/>
    <x v="1"/>
    <s v="South"/>
    <x v="0"/>
    <n v="7.6"/>
    <n v="358"/>
    <n v="6"/>
    <d v="2024-01-21T00:00:00"/>
    <n v="6"/>
    <n v="0"/>
    <x v="0"/>
    <x v="0"/>
    <n v="47.10526315789474"/>
    <n v="4"/>
    <s v="No"/>
  </r>
  <r>
    <x v="364"/>
    <x v="12"/>
    <x v="0"/>
    <s v="South"/>
    <x v="4"/>
    <x v="1"/>
    <x v="1"/>
    <s v="West"/>
    <x v="0"/>
    <n v="7.8"/>
    <n v="276"/>
    <n v="6"/>
    <d v="2024-06-15T00:00:00"/>
    <n v="10"/>
    <n v="4"/>
    <x v="1"/>
    <x v="2"/>
    <n v="35.384615384615387"/>
    <n v="2"/>
    <s v="No"/>
  </r>
  <r>
    <x v="365"/>
    <x v="86"/>
    <x v="3"/>
    <s v="South"/>
    <x v="4"/>
    <x v="0"/>
    <x v="2"/>
    <s v="East"/>
    <x v="0"/>
    <n v="6.3"/>
    <n v="1932"/>
    <n v="4"/>
    <d v="2024-01-18T00:00:00"/>
    <n v="8"/>
    <n v="4"/>
    <x v="1"/>
    <x v="2"/>
    <n v="306.66666666666669"/>
    <n v="2"/>
    <s v="No"/>
  </r>
  <r>
    <x v="366"/>
    <x v="36"/>
    <x v="3"/>
    <s v="South"/>
    <x v="1"/>
    <x v="0"/>
    <x v="2"/>
    <s v="East"/>
    <x v="0"/>
    <n v="39.799999999999997"/>
    <n v="1480"/>
    <n v="4"/>
    <d v="2024-05-14T00:00:00"/>
    <n v="4"/>
    <n v="0"/>
    <x v="0"/>
    <x v="0"/>
    <n v="37.185929648241206"/>
    <n v="4"/>
    <s v="Yes"/>
  </r>
  <r>
    <x v="367"/>
    <x v="149"/>
    <x v="1"/>
    <s v="West"/>
    <x v="5"/>
    <x v="1"/>
    <x v="2"/>
    <s v="South"/>
    <x v="0"/>
    <n v="29.5"/>
    <n v="800"/>
    <n v="6"/>
    <d v="2024-05-12T00:00:00"/>
    <n v="7"/>
    <n v="1"/>
    <x v="1"/>
    <x v="2"/>
    <n v="27.118644067796609"/>
    <n v="3"/>
    <s v="Yes"/>
  </r>
  <r>
    <x v="368"/>
    <x v="86"/>
    <x v="1"/>
    <s v="West"/>
    <x v="2"/>
    <x v="1"/>
    <x v="2"/>
    <s v="West"/>
    <x v="1"/>
    <n v="29.8"/>
    <n v="131"/>
    <n v="4"/>
    <d v="2024-01-13T00:00:00"/>
    <n v="3"/>
    <n v="-1"/>
    <x v="0"/>
    <x v="0"/>
    <n v="4.3959731543624159"/>
    <n v="5"/>
    <s v="No"/>
  </r>
  <r>
    <x v="369"/>
    <x v="31"/>
    <x v="1"/>
    <s v="West"/>
    <x v="1"/>
    <x v="2"/>
    <x v="0"/>
    <s v="North"/>
    <x v="0"/>
    <n v="7.2"/>
    <n v="207"/>
    <n v="8"/>
    <d v="2024-03-14T00:00:00"/>
    <n v="9"/>
    <n v="1"/>
    <x v="1"/>
    <x v="2"/>
    <n v="28.75"/>
    <n v="2"/>
    <s v="Yes"/>
  </r>
  <r>
    <x v="370"/>
    <x v="59"/>
    <x v="0"/>
    <s v="South"/>
    <x v="2"/>
    <x v="0"/>
    <x v="5"/>
    <s v="West"/>
    <x v="0"/>
    <n v="1.1000000000000001"/>
    <n v="3654"/>
    <n v="4"/>
    <d v="2024-06-01T00:00:00"/>
    <n v="13"/>
    <n v="9"/>
    <x v="1"/>
    <x v="2"/>
    <n v="3321.8181818181815"/>
    <n v="3"/>
    <s v="No"/>
  </r>
  <r>
    <x v="371"/>
    <x v="59"/>
    <x v="1"/>
    <s v="West"/>
    <x v="0"/>
    <x v="1"/>
    <x v="4"/>
    <s v="North"/>
    <x v="0"/>
    <n v="78.5"/>
    <n v="206"/>
    <n v="6"/>
    <d v="2024-05-30T00:00:00"/>
    <n v="11"/>
    <n v="5"/>
    <x v="1"/>
    <x v="2"/>
    <n v="2.6242038216560508"/>
    <n v="2"/>
    <s v="Yes"/>
  </r>
  <r>
    <x v="372"/>
    <x v="22"/>
    <x v="3"/>
    <s v="South"/>
    <x v="0"/>
    <x v="2"/>
    <x v="2"/>
    <s v="West"/>
    <x v="0"/>
    <n v="2.2000000000000002"/>
    <n v="249"/>
    <n v="8"/>
    <d v="2024-04-01T00:00:00"/>
    <n v="13"/>
    <n v="5"/>
    <x v="1"/>
    <x v="2"/>
    <n v="113.18181818181817"/>
    <n v="3"/>
    <s v="No"/>
  </r>
  <r>
    <x v="373"/>
    <x v="30"/>
    <x v="4"/>
    <s v="East"/>
    <x v="5"/>
    <x v="0"/>
    <x v="5"/>
    <s v="West"/>
    <x v="0"/>
    <n v="6.3"/>
    <n v="2215"/>
    <n v="4"/>
    <d v="2024-04-10T00:00:00"/>
    <n v="4"/>
    <n v="0"/>
    <x v="0"/>
    <x v="0"/>
    <n v="351.58730158730162"/>
    <n v="5"/>
    <s v="No"/>
  </r>
  <r>
    <x v="374"/>
    <x v="67"/>
    <x v="1"/>
    <s v="West"/>
    <x v="2"/>
    <x v="0"/>
    <x v="4"/>
    <s v="North"/>
    <x v="0"/>
    <n v="45.8"/>
    <n v="302"/>
    <n v="4"/>
    <d v="2024-03-26T00:00:00"/>
    <n v="10"/>
    <n v="6"/>
    <x v="1"/>
    <x v="2"/>
    <n v="6.5938864628820966"/>
    <n v="2"/>
    <s v="No"/>
  </r>
  <r>
    <x v="375"/>
    <x v="39"/>
    <x v="0"/>
    <s v="South"/>
    <x v="4"/>
    <x v="1"/>
    <x v="2"/>
    <s v="East"/>
    <x v="0"/>
    <n v="2.5"/>
    <n v="844"/>
    <n v="6"/>
    <d v="2024-05-27T00:00:00"/>
    <n v="7"/>
    <n v="1"/>
    <x v="1"/>
    <x v="2"/>
    <n v="337.6"/>
    <n v="1"/>
    <s v="Yes"/>
  </r>
  <r>
    <x v="376"/>
    <x v="110"/>
    <x v="4"/>
    <s v="East"/>
    <x v="2"/>
    <x v="2"/>
    <x v="2"/>
    <s v="South"/>
    <x v="0"/>
    <n v="29.9"/>
    <n v="597"/>
    <n v="8"/>
    <d v="2024-01-28T00:00:00"/>
    <n v="8"/>
    <n v="0"/>
    <x v="0"/>
    <x v="0"/>
    <n v="19.96655518394649"/>
    <n v="3"/>
    <s v="No"/>
  </r>
  <r>
    <x v="377"/>
    <x v="101"/>
    <x v="2"/>
    <s v="North"/>
    <x v="5"/>
    <x v="0"/>
    <x v="1"/>
    <s v="South"/>
    <x v="0"/>
    <n v="33.700000000000003"/>
    <n v="822"/>
    <n v="4"/>
    <d v="2024-05-10T00:00:00"/>
    <n v="7"/>
    <n v="3"/>
    <x v="1"/>
    <x v="2"/>
    <n v="24.39169139465875"/>
    <n v="2"/>
    <s v="No"/>
  </r>
  <r>
    <x v="378"/>
    <x v="5"/>
    <x v="4"/>
    <s v="East"/>
    <x v="1"/>
    <x v="2"/>
    <x v="2"/>
    <s v="South"/>
    <x v="0"/>
    <n v="14.5"/>
    <n v="477"/>
    <n v="8"/>
    <d v="2024-04-05T00:00:00"/>
    <n v="12"/>
    <n v="4"/>
    <x v="1"/>
    <x v="2"/>
    <n v="32.896551724137929"/>
    <n v="3"/>
    <s v="No"/>
  </r>
  <r>
    <x v="379"/>
    <x v="149"/>
    <x v="5"/>
    <s v="West"/>
    <x v="1"/>
    <x v="1"/>
    <x v="5"/>
    <s v="South"/>
    <x v="0"/>
    <n v="21.5"/>
    <n v="1341"/>
    <n v="6"/>
    <d v="2024-05-10T00:00:00"/>
    <n v="5"/>
    <n v="-1"/>
    <x v="0"/>
    <x v="0"/>
    <n v="62.372093023255815"/>
    <n v="5"/>
    <s v="No"/>
  </r>
  <r>
    <x v="380"/>
    <x v="86"/>
    <x v="0"/>
    <s v="South"/>
    <x v="1"/>
    <x v="2"/>
    <x v="1"/>
    <s v="South"/>
    <x v="1"/>
    <n v="53.1"/>
    <n v="80"/>
    <n v="6"/>
    <d v="2024-01-16T00:00:00"/>
    <n v="6"/>
    <n v="0"/>
    <x v="0"/>
    <x v="0"/>
    <n v="1.5065913370998116"/>
    <n v="4"/>
    <s v="No"/>
  </r>
  <r>
    <x v="381"/>
    <x v="79"/>
    <x v="0"/>
    <s v="South"/>
    <x v="2"/>
    <x v="0"/>
    <x v="1"/>
    <s v="South"/>
    <x v="1"/>
    <n v="4.2"/>
    <n v="815"/>
    <n v="2"/>
    <d v="2024-04-04T00:00:00"/>
    <n v="2"/>
    <n v="0"/>
    <x v="0"/>
    <x v="0"/>
    <n v="194.04761904761904"/>
    <n v="5"/>
    <s v="No"/>
  </r>
  <r>
    <x v="382"/>
    <x v="12"/>
    <x v="3"/>
    <s v="South"/>
    <x v="5"/>
    <x v="0"/>
    <x v="1"/>
    <s v="North"/>
    <x v="0"/>
    <n v="18.3"/>
    <n v="916"/>
    <n v="4"/>
    <d v="2024-06-11T00:00:00"/>
    <n v="6"/>
    <n v="2"/>
    <x v="1"/>
    <x v="2"/>
    <n v="50.05464480874317"/>
    <n v="3"/>
    <s v="Yes"/>
  </r>
  <r>
    <x v="383"/>
    <x v="42"/>
    <x v="4"/>
    <s v="East"/>
    <x v="0"/>
    <x v="0"/>
    <x v="5"/>
    <s v="West"/>
    <x v="0"/>
    <n v="16.899999999999999"/>
    <n v="1945"/>
    <n v="4"/>
    <d v="2024-05-31T00:00:00"/>
    <n v="5"/>
    <n v="1"/>
    <x v="1"/>
    <x v="2"/>
    <n v="115.08875739644971"/>
    <n v="5"/>
    <s v="No"/>
  </r>
  <r>
    <x v="384"/>
    <x v="4"/>
    <x v="2"/>
    <s v="North"/>
    <x v="5"/>
    <x v="0"/>
    <x v="0"/>
    <s v="North"/>
    <x v="1"/>
    <n v="39.299999999999997"/>
    <n v="390"/>
    <n v="2"/>
    <d v="2024-04-20T00:00:00"/>
    <n v="4"/>
    <n v="2"/>
    <x v="1"/>
    <x v="2"/>
    <n v="9.9236641221374047"/>
    <n v="3"/>
    <s v="No"/>
  </r>
  <r>
    <x v="385"/>
    <x v="63"/>
    <x v="5"/>
    <s v="West"/>
    <x v="2"/>
    <x v="1"/>
    <x v="3"/>
    <s v="South"/>
    <x v="0"/>
    <n v="8.6999999999999993"/>
    <n v="147"/>
    <n v="6"/>
    <d v="2024-04-24T00:00:00"/>
    <n v="6"/>
    <n v="0"/>
    <x v="0"/>
    <x v="0"/>
    <n v="16.896551724137932"/>
    <n v="2"/>
    <s v="Yes"/>
  </r>
  <r>
    <x v="386"/>
    <x v="126"/>
    <x v="2"/>
    <s v="North"/>
    <x v="5"/>
    <x v="0"/>
    <x v="1"/>
    <s v="West"/>
    <x v="0"/>
    <n v="0.9"/>
    <n v="325"/>
    <n v="4"/>
    <d v="2024-01-19T00:00:00"/>
    <n v="4"/>
    <n v="0"/>
    <x v="0"/>
    <x v="0"/>
    <n v="361.11111111111109"/>
    <n v="4"/>
    <s v="Yes"/>
  </r>
  <r>
    <x v="387"/>
    <x v="87"/>
    <x v="3"/>
    <s v="South"/>
    <x v="2"/>
    <x v="2"/>
    <x v="2"/>
    <s v="South"/>
    <x v="1"/>
    <n v="3.1"/>
    <n v="301"/>
    <n v="6"/>
    <d v="2024-04-07T00:00:00"/>
    <n v="15"/>
    <n v="9"/>
    <x v="1"/>
    <x v="2"/>
    <n v="97.096774193548384"/>
    <n v="2"/>
    <s v="No"/>
  </r>
  <r>
    <x v="388"/>
    <x v="105"/>
    <x v="5"/>
    <s v="West"/>
    <x v="2"/>
    <x v="2"/>
    <x v="3"/>
    <s v="North"/>
    <x v="0"/>
    <n v="19.5"/>
    <n v="221"/>
    <n v="8"/>
    <d v="2024-06-26T00:00:00"/>
    <n v="7"/>
    <n v="-1"/>
    <x v="0"/>
    <x v="0"/>
    <n v="11.333333333333334"/>
    <n v="5"/>
    <s v="No"/>
  </r>
  <r>
    <x v="389"/>
    <x v="44"/>
    <x v="4"/>
    <s v="East"/>
    <x v="5"/>
    <x v="0"/>
    <x v="4"/>
    <s v="South"/>
    <x v="0"/>
    <n v="1.6"/>
    <n v="179"/>
    <n v="4"/>
    <d v="2024-04-20T00:00:00"/>
    <n v="11"/>
    <n v="7"/>
    <x v="1"/>
    <x v="2"/>
    <n v="111.875"/>
    <n v="1"/>
    <s v="Yes"/>
  </r>
  <r>
    <x v="390"/>
    <x v="7"/>
    <x v="4"/>
    <s v="East"/>
    <x v="2"/>
    <x v="2"/>
    <x v="1"/>
    <s v="North"/>
    <x v="0"/>
    <n v="0.7"/>
    <n v="448"/>
    <n v="8"/>
    <d v="2024-02-03T00:00:00"/>
    <n v="9"/>
    <n v="1"/>
    <x v="1"/>
    <x v="2"/>
    <n v="640"/>
    <n v="1"/>
    <s v="Yes"/>
  </r>
  <r>
    <x v="391"/>
    <x v="64"/>
    <x v="2"/>
    <s v="North"/>
    <x v="2"/>
    <x v="2"/>
    <x v="1"/>
    <s v="West"/>
    <x v="0"/>
    <n v="20"/>
    <n v="248"/>
    <n v="8"/>
    <d v="2024-05-24T00:00:00"/>
    <n v="7"/>
    <n v="-1"/>
    <x v="0"/>
    <x v="0"/>
    <n v="12.4"/>
    <n v="4"/>
    <s v="Yes"/>
  </r>
  <r>
    <x v="392"/>
    <x v="134"/>
    <x v="1"/>
    <s v="West"/>
    <x v="7"/>
    <x v="2"/>
    <x v="0"/>
    <s v="South"/>
    <x v="0"/>
    <n v="5.6"/>
    <n v="326"/>
    <n v="8"/>
    <d v="2024-03-12T00:00:00"/>
    <n v="9"/>
    <n v="1"/>
    <x v="1"/>
    <x v="2"/>
    <n v="58.214285714285715"/>
    <n v="2"/>
    <s v="Yes"/>
  </r>
  <r>
    <x v="393"/>
    <x v="115"/>
    <x v="5"/>
    <s v="West"/>
    <x v="4"/>
    <x v="1"/>
    <x v="0"/>
    <s v="North"/>
    <x v="0"/>
    <n v="14.5"/>
    <n v="235"/>
    <n v="6"/>
    <d v="2024-05-13T00:00:00"/>
    <n v="7"/>
    <n v="1"/>
    <x v="1"/>
    <x v="2"/>
    <n v="16.206896551724139"/>
    <n v="2"/>
    <s v="Yes"/>
  </r>
  <r>
    <x v="394"/>
    <x v="150"/>
    <x v="5"/>
    <s v="West"/>
    <x v="5"/>
    <x v="1"/>
    <x v="1"/>
    <s v="North"/>
    <x v="0"/>
    <n v="3.2"/>
    <n v="369"/>
    <n v="6"/>
    <d v="2024-03-05T00:00:00"/>
    <n v="7"/>
    <n v="1"/>
    <x v="1"/>
    <x v="3"/>
    <n v="115.3125"/>
    <n v="0"/>
    <s v="No"/>
  </r>
  <r>
    <x v="395"/>
    <x v="147"/>
    <x v="0"/>
    <s v="South"/>
    <x v="5"/>
    <x v="2"/>
    <x v="5"/>
    <s v="South"/>
    <x v="1"/>
    <n v="11.3"/>
    <n v="271"/>
    <n v="6"/>
    <s v=""/>
    <s v=""/>
    <s v=""/>
    <x v="2"/>
    <x v="4"/>
    <n v="23.982300884955752"/>
    <n v="0"/>
    <s v="Yes"/>
  </r>
  <r>
    <x v="396"/>
    <x v="68"/>
    <x v="5"/>
    <s v="West"/>
    <x v="1"/>
    <x v="1"/>
    <x v="0"/>
    <s v="North"/>
    <x v="0"/>
    <n v="16.5"/>
    <n v="454"/>
    <n v="6"/>
    <d v="2024-06-15T00:00:00"/>
    <n v="6"/>
    <n v="0"/>
    <x v="0"/>
    <x v="0"/>
    <n v="27.515151515151516"/>
    <n v="5"/>
    <s v="Yes"/>
  </r>
  <r>
    <x v="397"/>
    <x v="142"/>
    <x v="5"/>
    <s v="West"/>
    <x v="1"/>
    <x v="0"/>
    <x v="3"/>
    <s v="West"/>
    <x v="1"/>
    <n v="12"/>
    <n v="169"/>
    <n v="2"/>
    <d v="2024-03-20T00:00:00"/>
    <n v="3"/>
    <n v="1"/>
    <x v="1"/>
    <x v="2"/>
    <n v="14.083333333333334"/>
    <n v="3"/>
    <s v="No"/>
  </r>
  <r>
    <x v="398"/>
    <x v="151"/>
    <x v="3"/>
    <s v="South"/>
    <x v="0"/>
    <x v="0"/>
    <x v="2"/>
    <s v="South"/>
    <x v="1"/>
    <n v="4.4000000000000004"/>
    <n v="1540"/>
    <n v="2"/>
    <d v="2024-02-20T00:00:00"/>
    <n v="2"/>
    <n v="0"/>
    <x v="0"/>
    <x v="0"/>
    <n v="350"/>
    <n v="3"/>
    <s v="Yes"/>
  </r>
  <r>
    <x v="399"/>
    <x v="114"/>
    <x v="0"/>
    <s v="South"/>
    <x v="1"/>
    <x v="1"/>
    <x v="1"/>
    <s v="West"/>
    <x v="0"/>
    <n v="34.6"/>
    <n v="596"/>
    <n v="6"/>
    <d v="2024-02-16T00:00:00"/>
    <n v="6"/>
    <n v="0"/>
    <x v="0"/>
    <x v="0"/>
    <n v="17.22543352601156"/>
    <n v="4"/>
    <s v="No"/>
  </r>
  <r>
    <x v="400"/>
    <x v="127"/>
    <x v="5"/>
    <s v="West"/>
    <x v="4"/>
    <x v="2"/>
    <x v="3"/>
    <s v="East"/>
    <x v="0"/>
    <n v="18"/>
    <n v="290"/>
    <n v="8"/>
    <d v="2024-06-05T00:00:00"/>
    <n v="8"/>
    <n v="0"/>
    <x v="0"/>
    <x v="0"/>
    <n v="16.111111111111111"/>
    <n v="4"/>
    <s v="No"/>
  </r>
  <r>
    <x v="401"/>
    <x v="44"/>
    <x v="0"/>
    <s v="South"/>
    <x v="1"/>
    <x v="2"/>
    <x v="5"/>
    <s v="West"/>
    <x v="0"/>
    <n v="5.8"/>
    <n v="506"/>
    <n v="8"/>
    <d v="2024-04-18T00:00:00"/>
    <n v="9"/>
    <n v="1"/>
    <x v="1"/>
    <x v="2"/>
    <n v="87.241379310344826"/>
    <n v="4"/>
    <s v="Yes"/>
  </r>
  <r>
    <x v="402"/>
    <x v="102"/>
    <x v="4"/>
    <s v="East"/>
    <x v="2"/>
    <x v="0"/>
    <x v="2"/>
    <s v="East"/>
    <x v="1"/>
    <n v="23.6"/>
    <n v="1149"/>
    <n v="2"/>
    <d v="2024-04-08T00:00:00"/>
    <n v="1"/>
    <n v="-1"/>
    <x v="0"/>
    <x v="0"/>
    <n v="48.686440677966097"/>
    <n v="5"/>
    <s v="No"/>
  </r>
  <r>
    <x v="403"/>
    <x v="136"/>
    <x v="3"/>
    <s v="South"/>
    <x v="0"/>
    <x v="0"/>
    <x v="0"/>
    <s v="South"/>
    <x v="1"/>
    <n v="26.1"/>
    <n v="484"/>
    <n v="2"/>
    <d v="2024-03-13T00:00:00"/>
    <n v="2"/>
    <n v="0"/>
    <x v="0"/>
    <x v="0"/>
    <n v="18.544061302681992"/>
    <n v="3"/>
    <s v="No"/>
  </r>
  <r>
    <x v="404"/>
    <x v="33"/>
    <x v="0"/>
    <s v="South"/>
    <x v="1"/>
    <x v="1"/>
    <x v="0"/>
    <s v="North"/>
    <x v="0"/>
    <n v="10.199999999999999"/>
    <n v="282"/>
    <n v="6"/>
    <d v="2024-03-19T00:00:00"/>
    <n v="6"/>
    <n v="0"/>
    <x v="0"/>
    <x v="0"/>
    <n v="27.647058823529413"/>
    <n v="5"/>
    <s v="No"/>
  </r>
  <r>
    <x v="405"/>
    <x v="104"/>
    <x v="4"/>
    <s v="East"/>
    <x v="4"/>
    <x v="0"/>
    <x v="0"/>
    <s v="East"/>
    <x v="1"/>
    <s v=""/>
    <n v="358"/>
    <n v="2"/>
    <d v="2024-03-14T00:00:00"/>
    <n v="7"/>
    <n v="5"/>
    <x v="1"/>
    <x v="2"/>
    <s v=""/>
    <n v="4"/>
    <s v="No"/>
  </r>
  <r>
    <x v="406"/>
    <x v="107"/>
    <x v="1"/>
    <s v="West"/>
    <x v="2"/>
    <x v="2"/>
    <x v="1"/>
    <s v="West"/>
    <x v="1"/>
    <n v="7"/>
    <n v="173"/>
    <n v="6"/>
    <d v="2024-06-09T00:00:00"/>
    <n v="6"/>
    <n v="0"/>
    <x v="0"/>
    <x v="0"/>
    <n v="24.714285714285715"/>
    <n v="4"/>
    <s v="Yes"/>
  </r>
  <r>
    <x v="407"/>
    <x v="53"/>
    <x v="2"/>
    <s v="North"/>
    <x v="1"/>
    <x v="2"/>
    <x v="2"/>
    <s v="South"/>
    <x v="0"/>
    <n v="11.5"/>
    <n v="517"/>
    <n v="8"/>
    <d v="2024-01-25T00:00:00"/>
    <n v="8"/>
    <n v="0"/>
    <x v="0"/>
    <x v="0"/>
    <n v="44.956521739130437"/>
    <n v="5"/>
    <s v="No"/>
  </r>
  <r>
    <x v="408"/>
    <x v="31"/>
    <x v="5"/>
    <s v="West"/>
    <x v="1"/>
    <x v="1"/>
    <x v="5"/>
    <s v="East"/>
    <x v="0"/>
    <n v="27.1"/>
    <n v="947"/>
    <n v="6"/>
    <d v="2024-03-11T00:00:00"/>
    <n v="6"/>
    <n v="0"/>
    <x v="0"/>
    <x v="0"/>
    <n v="34.944649446494466"/>
    <n v="5"/>
    <s v="No"/>
  </r>
  <r>
    <x v="409"/>
    <x v="0"/>
    <x v="4"/>
    <s v="East"/>
    <x v="4"/>
    <x v="1"/>
    <x v="1"/>
    <s v="North"/>
    <x v="0"/>
    <n v="35"/>
    <n v="574"/>
    <n v="6"/>
    <d v="2024-01-28T00:00:00"/>
    <n v="6"/>
    <n v="0"/>
    <x v="0"/>
    <x v="0"/>
    <n v="16.399999999999999"/>
    <n v="5"/>
    <s v="No"/>
  </r>
  <r>
    <x v="410"/>
    <x v="12"/>
    <x v="0"/>
    <s v="South"/>
    <x v="1"/>
    <x v="2"/>
    <x v="1"/>
    <s v="North"/>
    <x v="0"/>
    <n v="19.3"/>
    <n v="388"/>
    <n v="8"/>
    <d v="2024-06-12T00:00:00"/>
    <n v="7"/>
    <n v="-1"/>
    <x v="0"/>
    <x v="3"/>
    <n v="20.103626943005182"/>
    <n v="0"/>
    <s v="No"/>
  </r>
  <r>
    <x v="411"/>
    <x v="152"/>
    <x v="5"/>
    <s v="West"/>
    <x v="5"/>
    <x v="2"/>
    <x v="5"/>
    <s v="East"/>
    <x v="0"/>
    <n v="14.4"/>
    <n v="841"/>
    <n v="8"/>
    <d v="2024-02-21T00:00:00"/>
    <n v="7"/>
    <n v="-1"/>
    <x v="0"/>
    <x v="0"/>
    <n v="58.402777777777779"/>
    <n v="4"/>
    <s v="Yes"/>
  </r>
  <r>
    <x v="412"/>
    <x v="28"/>
    <x v="4"/>
    <s v="East"/>
    <x v="4"/>
    <x v="0"/>
    <x v="4"/>
    <s v="South"/>
    <x v="0"/>
    <n v="48.1"/>
    <n v="179"/>
    <n v="4"/>
    <d v="2024-04-18T00:00:00"/>
    <n v="7"/>
    <n v="3"/>
    <x v="1"/>
    <x v="2"/>
    <n v="3.7214137214137213"/>
    <n v="4"/>
    <s v="Yes"/>
  </r>
  <r>
    <x v="413"/>
    <x v="38"/>
    <x v="5"/>
    <s v="West"/>
    <x v="2"/>
    <x v="2"/>
    <x v="5"/>
    <s v="West"/>
    <x v="1"/>
    <n v="1"/>
    <n v="456"/>
    <n v="6"/>
    <d v="2024-03-11T00:00:00"/>
    <n v="5"/>
    <n v="-1"/>
    <x v="0"/>
    <x v="0"/>
    <n v="456"/>
    <n v="5"/>
    <s v="No"/>
  </r>
  <r>
    <x v="414"/>
    <x v="9"/>
    <x v="3"/>
    <s v="South"/>
    <x v="1"/>
    <x v="0"/>
    <x v="0"/>
    <s v="South"/>
    <x v="1"/>
    <n v="28.4"/>
    <n v="119"/>
    <n v="2"/>
    <d v="2024-06-13T00:00:00"/>
    <n v="2"/>
    <n v="0"/>
    <x v="0"/>
    <x v="0"/>
    <n v="4.1901408450704229"/>
    <n v="5"/>
    <s v="No"/>
  </r>
  <r>
    <x v="415"/>
    <x v="7"/>
    <x v="1"/>
    <s v="West"/>
    <x v="5"/>
    <x v="1"/>
    <x v="0"/>
    <s v="South"/>
    <x v="0"/>
    <n v="1.5"/>
    <n v="270"/>
    <n v="6"/>
    <d v="2024-02-05T00:00:00"/>
    <n v="11"/>
    <n v="5"/>
    <x v="1"/>
    <x v="2"/>
    <n v="180"/>
    <n v="5"/>
    <s v="No"/>
  </r>
  <r>
    <x v="416"/>
    <x v="90"/>
    <x v="2"/>
    <s v="North"/>
    <x v="5"/>
    <x v="1"/>
    <x v="4"/>
    <s v="West"/>
    <x v="0"/>
    <n v="6.7"/>
    <n v="169"/>
    <n v="6"/>
    <d v="2024-06-27T00:00:00"/>
    <n v="5"/>
    <n v="-1"/>
    <x v="0"/>
    <x v="0"/>
    <n v="25.223880597014926"/>
    <n v="3"/>
    <s v="Yes"/>
  </r>
  <r>
    <x v="417"/>
    <x v="58"/>
    <x v="5"/>
    <s v="West"/>
    <x v="7"/>
    <x v="1"/>
    <x v="2"/>
    <s v="North"/>
    <x v="0"/>
    <n v="1.7"/>
    <n v="824"/>
    <n v="6"/>
    <d v="2024-04-06T00:00:00"/>
    <n v="9"/>
    <n v="3"/>
    <x v="1"/>
    <x v="2"/>
    <n v="484.70588235294122"/>
    <n v="2"/>
    <s v="Yes"/>
  </r>
  <r>
    <x v="418"/>
    <x v="118"/>
    <x v="0"/>
    <s v="South"/>
    <x v="0"/>
    <x v="1"/>
    <x v="4"/>
    <s v="North"/>
    <x v="0"/>
    <n v="31.8"/>
    <n v="236"/>
    <n v="6"/>
    <d v="2024-06-13T00:00:00"/>
    <n v="5"/>
    <n v="-1"/>
    <x v="0"/>
    <x v="0"/>
    <n v="7.4213836477987423"/>
    <n v="4"/>
    <s v="No"/>
  </r>
  <r>
    <x v="419"/>
    <x v="37"/>
    <x v="0"/>
    <s v="South"/>
    <x v="2"/>
    <x v="0"/>
    <x v="2"/>
    <s v="East"/>
    <x v="0"/>
    <n v="3.1"/>
    <n v="847"/>
    <n v="4"/>
    <d v="2024-01-13T00:00:00"/>
    <n v="5"/>
    <n v="1"/>
    <x v="1"/>
    <x v="2"/>
    <n v="273.22580645161287"/>
    <n v="5"/>
    <s v="No"/>
  </r>
  <r>
    <x v="420"/>
    <x v="142"/>
    <x v="2"/>
    <s v="North"/>
    <x v="2"/>
    <x v="0"/>
    <x v="4"/>
    <s v="South"/>
    <x v="0"/>
    <n v="14.9"/>
    <n v="350"/>
    <n v="4"/>
    <d v="2024-03-27T00:00:00"/>
    <n v="10"/>
    <n v="6"/>
    <x v="1"/>
    <x v="2"/>
    <n v="23.48993288590604"/>
    <n v="2"/>
    <s v="No"/>
  </r>
  <r>
    <x v="421"/>
    <x v="134"/>
    <x v="3"/>
    <s v="South"/>
    <x v="0"/>
    <x v="0"/>
    <x v="0"/>
    <s v="West"/>
    <x v="0"/>
    <n v="4"/>
    <n v="339"/>
    <n v="4"/>
    <d v="2024-03-15T00:00:00"/>
    <n v="12"/>
    <n v="8"/>
    <x v="1"/>
    <x v="3"/>
    <n v="84.75"/>
    <n v="0"/>
    <s v="Yes"/>
  </r>
  <r>
    <x v="422"/>
    <x v="113"/>
    <x v="5"/>
    <s v="West"/>
    <x v="0"/>
    <x v="1"/>
    <x v="3"/>
    <s v="East"/>
    <x v="0"/>
    <s v=""/>
    <n v="285"/>
    <n v="6"/>
    <d v="2024-05-01T00:00:00"/>
    <n v="14"/>
    <n v="8"/>
    <x v="1"/>
    <x v="2"/>
    <s v=""/>
    <n v="1"/>
    <s v="No"/>
  </r>
  <r>
    <x v="423"/>
    <x v="36"/>
    <x v="4"/>
    <s v="East"/>
    <x v="5"/>
    <x v="2"/>
    <x v="1"/>
    <s v="West"/>
    <x v="0"/>
    <n v="5.6"/>
    <n v="275"/>
    <n v="8"/>
    <d v="2024-05-17T00:00:00"/>
    <n v="7"/>
    <n v="-1"/>
    <x v="0"/>
    <x v="0"/>
    <n v="49.107142857142861"/>
    <n v="2"/>
    <s v="Yes"/>
  </r>
  <r>
    <x v="424"/>
    <x v="76"/>
    <x v="4"/>
    <s v="East"/>
    <x v="2"/>
    <x v="2"/>
    <x v="0"/>
    <s v="East"/>
    <x v="1"/>
    <n v="5"/>
    <n v="96"/>
    <n v="6"/>
    <d v="2024-02-04T00:00:00"/>
    <n v="8"/>
    <n v="2"/>
    <x v="1"/>
    <x v="2"/>
    <n v="19.2"/>
    <n v="5"/>
    <s v="No"/>
  </r>
  <r>
    <x v="425"/>
    <x v="34"/>
    <x v="5"/>
    <s v="West"/>
    <x v="2"/>
    <x v="2"/>
    <x v="0"/>
    <s v="North"/>
    <x v="0"/>
    <n v="2.9"/>
    <n v="159"/>
    <n v="8"/>
    <d v="2024-05-20T00:00:00"/>
    <n v="9"/>
    <n v="1"/>
    <x v="1"/>
    <x v="2"/>
    <n v="54.827586206896555"/>
    <n v="3"/>
    <s v="No"/>
  </r>
  <r>
    <x v="426"/>
    <x v="107"/>
    <x v="1"/>
    <s v="West"/>
    <x v="4"/>
    <x v="0"/>
    <x v="0"/>
    <s v="North"/>
    <x v="0"/>
    <n v="2.1"/>
    <n v="511"/>
    <n v="4"/>
    <d v="2024-06-08T00:00:00"/>
    <n v="5"/>
    <n v="1"/>
    <x v="1"/>
    <x v="2"/>
    <n v="243.33333333333331"/>
    <n v="1"/>
    <s v="Yes"/>
  </r>
  <r>
    <x v="427"/>
    <x v="33"/>
    <x v="2"/>
    <s v="North"/>
    <x v="4"/>
    <x v="1"/>
    <x v="5"/>
    <s v="South"/>
    <x v="0"/>
    <n v="8.1"/>
    <n v="715"/>
    <n v="6"/>
    <d v="2024-03-27T00:00:00"/>
    <n v="14"/>
    <n v="8"/>
    <x v="1"/>
    <x v="2"/>
    <n v="88.271604938271608"/>
    <n v="3"/>
    <s v="No"/>
  </r>
  <r>
    <x v="428"/>
    <x v="133"/>
    <x v="4"/>
    <s v="East"/>
    <x v="2"/>
    <x v="2"/>
    <x v="0"/>
    <s v="East"/>
    <x v="1"/>
    <n v="23.8"/>
    <n v="145"/>
    <n v="6"/>
    <d v="2024-03-02T00:00:00"/>
    <n v="11"/>
    <n v="5"/>
    <x v="1"/>
    <x v="2"/>
    <n v="6.0924369747899156"/>
    <n v="3"/>
    <s v="No"/>
  </r>
  <r>
    <x v="429"/>
    <x v="121"/>
    <x v="5"/>
    <s v="West"/>
    <x v="4"/>
    <x v="1"/>
    <x v="1"/>
    <s v="North"/>
    <x v="0"/>
    <n v="10.6"/>
    <n v="328"/>
    <n v="6"/>
    <d v="2024-02-12T00:00:00"/>
    <n v="6"/>
    <n v="0"/>
    <x v="0"/>
    <x v="0"/>
    <n v="30.943396226415096"/>
    <n v="5"/>
    <s v="No"/>
  </r>
  <r>
    <x v="430"/>
    <x v="145"/>
    <x v="4"/>
    <s v="East"/>
    <x v="2"/>
    <x v="0"/>
    <x v="1"/>
    <s v="North"/>
    <x v="0"/>
    <n v="6.1"/>
    <n v="719"/>
    <n v="4"/>
    <d v="2024-06-17T00:00:00"/>
    <n v="4"/>
    <n v="0"/>
    <x v="0"/>
    <x v="0"/>
    <n v="117.8688524590164"/>
    <n v="5"/>
    <s v="No"/>
  </r>
  <r>
    <x v="431"/>
    <x v="129"/>
    <x v="3"/>
    <s v="South"/>
    <x v="1"/>
    <x v="2"/>
    <x v="2"/>
    <s v="West"/>
    <x v="0"/>
    <n v="11.9"/>
    <n v="361"/>
    <n v="8"/>
    <d v="2024-02-26T00:00:00"/>
    <n v="9"/>
    <n v="1"/>
    <x v="1"/>
    <x v="2"/>
    <n v="30.336134453781511"/>
    <n v="2"/>
    <s v="Yes"/>
  </r>
  <r>
    <x v="432"/>
    <x v="27"/>
    <x v="0"/>
    <s v="South"/>
    <x v="3"/>
    <x v="2"/>
    <x v="0"/>
    <s v="East"/>
    <x v="0"/>
    <n v="16.2"/>
    <n v="371"/>
    <n v="8"/>
    <d v="2024-02-12T00:00:00"/>
    <n v="8"/>
    <n v="0"/>
    <x v="0"/>
    <x v="0"/>
    <n v="22.901234567901234"/>
    <n v="5"/>
    <s v="No"/>
  </r>
  <r>
    <x v="433"/>
    <x v="10"/>
    <x v="2"/>
    <s v="North"/>
    <x v="4"/>
    <x v="1"/>
    <x v="5"/>
    <s v="West"/>
    <x v="0"/>
    <n v="14.8"/>
    <n v="1422"/>
    <n v="6"/>
    <d v="2024-07-03T00:00:00"/>
    <n v="13"/>
    <n v="7"/>
    <x v="1"/>
    <x v="2"/>
    <n v="96.081081081081081"/>
    <n v="4"/>
    <s v="No"/>
  </r>
  <r>
    <x v="434"/>
    <x v="43"/>
    <x v="3"/>
    <s v="South"/>
    <x v="4"/>
    <x v="2"/>
    <x v="2"/>
    <s v="North"/>
    <x v="0"/>
    <n v="56"/>
    <n v="440"/>
    <n v="8"/>
    <d v="2024-05-09T00:00:00"/>
    <n v="13"/>
    <n v="5"/>
    <x v="1"/>
    <x v="2"/>
    <n v="7.8571428571428568"/>
    <n v="2"/>
    <s v="Yes"/>
  </r>
  <r>
    <x v="435"/>
    <x v="87"/>
    <x v="1"/>
    <s v="West"/>
    <x v="1"/>
    <x v="0"/>
    <x v="2"/>
    <s v="West"/>
    <x v="1"/>
    <n v="17.899999999999999"/>
    <n v="281"/>
    <n v="2"/>
    <d v="2024-03-26T00:00:00"/>
    <n v="3"/>
    <n v="1"/>
    <x v="1"/>
    <x v="2"/>
    <n v="15.69832402234637"/>
    <n v="4"/>
    <s v="Yes"/>
  </r>
  <r>
    <x v="436"/>
    <x v="31"/>
    <x v="0"/>
    <s v="South"/>
    <x v="1"/>
    <x v="0"/>
    <x v="4"/>
    <s v="South"/>
    <x v="1"/>
    <n v="6.4"/>
    <n v="120"/>
    <n v="2"/>
    <d v="2024-03-06T00:00:00"/>
    <n v="1"/>
    <n v="-1"/>
    <x v="0"/>
    <x v="0"/>
    <n v="18.75"/>
    <n v="5"/>
    <s v="Yes"/>
  </r>
  <r>
    <x v="437"/>
    <x v="112"/>
    <x v="4"/>
    <s v="East"/>
    <x v="4"/>
    <x v="1"/>
    <x v="1"/>
    <s v="East"/>
    <x v="1"/>
    <n v="2"/>
    <n v="93"/>
    <n v="4"/>
    <d v="2024-03-08T00:00:00"/>
    <n v="6"/>
    <n v="2"/>
    <x v="1"/>
    <x v="2"/>
    <n v="46.5"/>
    <n v="5"/>
    <s v="Yes"/>
  </r>
  <r>
    <x v="438"/>
    <x v="50"/>
    <x v="1"/>
    <s v="West"/>
    <x v="5"/>
    <x v="0"/>
    <x v="0"/>
    <s v="North"/>
    <x v="0"/>
    <n v="3.9"/>
    <n v="537"/>
    <n v="4"/>
    <d v="2024-02-17T00:00:00"/>
    <n v="4"/>
    <n v="0"/>
    <x v="0"/>
    <x v="0"/>
    <n v="137.69230769230771"/>
    <n v="2"/>
    <s v="No"/>
  </r>
  <r>
    <x v="439"/>
    <x v="89"/>
    <x v="4"/>
    <s v="East"/>
    <x v="5"/>
    <x v="0"/>
    <x v="4"/>
    <s v="South"/>
    <x v="0"/>
    <n v="8"/>
    <n v="353"/>
    <n v="4"/>
    <d v="2024-03-13T00:00:00"/>
    <n v="4"/>
    <n v="0"/>
    <x v="0"/>
    <x v="0"/>
    <n v="44.125"/>
    <n v="3"/>
    <s v="Yes"/>
  </r>
  <r>
    <x v="440"/>
    <x v="43"/>
    <x v="4"/>
    <s v="East"/>
    <x v="0"/>
    <x v="1"/>
    <x v="0"/>
    <s v="East"/>
    <x v="1"/>
    <n v="3.7"/>
    <n v="201"/>
    <n v="4"/>
    <d v="2024-04-30T00:00:00"/>
    <n v="4"/>
    <n v="0"/>
    <x v="0"/>
    <x v="0"/>
    <n v="54.324324324324323"/>
    <n v="3"/>
    <s v="No"/>
  </r>
  <r>
    <x v="441"/>
    <x v="14"/>
    <x v="0"/>
    <s v="South"/>
    <x v="5"/>
    <x v="1"/>
    <x v="0"/>
    <s v="North"/>
    <x v="0"/>
    <n v="8.9"/>
    <n v="258"/>
    <n v="6"/>
    <d v="2024-02-28T00:00:00"/>
    <n v="7"/>
    <n v="1"/>
    <x v="1"/>
    <x v="1"/>
    <n v="28.988764044943817"/>
    <n v="0"/>
    <s v="Yes"/>
  </r>
  <r>
    <x v="442"/>
    <x v="96"/>
    <x v="2"/>
    <s v="North"/>
    <x v="0"/>
    <x v="1"/>
    <x v="0"/>
    <s v="South"/>
    <x v="0"/>
    <n v="3.6"/>
    <n v="247"/>
    <n v="6"/>
    <d v="2024-01-27T00:00:00"/>
    <n v="8"/>
    <n v="2"/>
    <x v="1"/>
    <x v="2"/>
    <n v="68.611111111111114"/>
    <n v="5"/>
    <s v="Yes"/>
  </r>
  <r>
    <x v="443"/>
    <x v="2"/>
    <x v="0"/>
    <s v="South"/>
    <x v="0"/>
    <x v="1"/>
    <x v="3"/>
    <s v="North"/>
    <x v="0"/>
    <n v="3.8"/>
    <n v="237"/>
    <n v="6"/>
    <d v="2024-05-30T00:00:00"/>
    <n v="7"/>
    <n v="1"/>
    <x v="1"/>
    <x v="3"/>
    <n v="62.368421052631582"/>
    <n v="0"/>
    <s v="No"/>
  </r>
  <r>
    <x v="444"/>
    <x v="52"/>
    <x v="3"/>
    <s v="South"/>
    <x v="4"/>
    <x v="0"/>
    <x v="0"/>
    <s v="South"/>
    <x v="1"/>
    <n v="4.5"/>
    <n v="685"/>
    <n v="2"/>
    <d v="2024-06-14T00:00:00"/>
    <n v="2"/>
    <n v="0"/>
    <x v="0"/>
    <x v="1"/>
    <n v="152.22222222222223"/>
    <n v="0"/>
    <s v="No"/>
  </r>
  <r>
    <x v="445"/>
    <x v="129"/>
    <x v="1"/>
    <s v="West"/>
    <x v="4"/>
    <x v="2"/>
    <x v="2"/>
    <s v="West"/>
    <x v="1"/>
    <n v="14.6"/>
    <n v="312"/>
    <n v="6"/>
    <d v="2024-02-24T00:00:00"/>
    <n v="7"/>
    <n v="1"/>
    <x v="1"/>
    <x v="2"/>
    <n v="21.36986301369863"/>
    <n v="2"/>
    <s v="Yes"/>
  </r>
  <r>
    <x v="446"/>
    <x v="123"/>
    <x v="1"/>
    <s v="West"/>
    <x v="2"/>
    <x v="2"/>
    <x v="2"/>
    <s v="West"/>
    <x v="1"/>
    <n v="22"/>
    <n v="325"/>
    <n v="6"/>
    <d v="2024-02-07T00:00:00"/>
    <n v="12"/>
    <n v="6"/>
    <x v="1"/>
    <x v="2"/>
    <n v="14.772727272727273"/>
    <n v="5"/>
    <s v="No"/>
  </r>
  <r>
    <x v="447"/>
    <x v="85"/>
    <x v="4"/>
    <s v="East"/>
    <x v="4"/>
    <x v="1"/>
    <x v="5"/>
    <s v="South"/>
    <x v="0"/>
    <n v="19.2"/>
    <n v="545"/>
    <n v="6"/>
    <d v="2024-05-04T00:00:00"/>
    <n v="7"/>
    <n v="1"/>
    <x v="1"/>
    <x v="2"/>
    <n v="28.385416666666668"/>
    <n v="3"/>
    <s v="Yes"/>
  </r>
  <r>
    <x v="448"/>
    <x v="50"/>
    <x v="3"/>
    <s v="South"/>
    <x v="1"/>
    <x v="2"/>
    <x v="5"/>
    <s v="West"/>
    <x v="0"/>
    <n v="16.3"/>
    <n v="743"/>
    <n v="8"/>
    <d v="2024-02-21T00:00:00"/>
    <n v="8"/>
    <n v="0"/>
    <x v="0"/>
    <x v="0"/>
    <n v="45.582822085889568"/>
    <n v="4"/>
    <s v="No"/>
  </r>
  <r>
    <x v="449"/>
    <x v="42"/>
    <x v="5"/>
    <s v="West"/>
    <x v="5"/>
    <x v="0"/>
    <x v="3"/>
    <s v="North"/>
    <x v="0"/>
    <n v="42.3"/>
    <n v="486"/>
    <n v="4"/>
    <d v="2024-05-30T00:00:00"/>
    <n v="4"/>
    <n v="0"/>
    <x v="0"/>
    <x v="0"/>
    <n v="11.48936170212766"/>
    <n v="5"/>
    <s v="Yes"/>
  </r>
  <r>
    <x v="450"/>
    <x v="139"/>
    <x v="4"/>
    <s v="East"/>
    <x v="5"/>
    <x v="0"/>
    <x v="5"/>
    <s v="North"/>
    <x v="0"/>
    <n v="6.3"/>
    <n v="2769"/>
    <n v="4"/>
    <d v="2024-01-20T00:00:00"/>
    <n v="4"/>
    <n v="0"/>
    <x v="0"/>
    <x v="0"/>
    <n v="439.52380952380952"/>
    <n v="4"/>
    <s v="Yes"/>
  </r>
  <r>
    <x v="451"/>
    <x v="52"/>
    <x v="0"/>
    <s v="South"/>
    <x v="1"/>
    <x v="2"/>
    <x v="4"/>
    <s v="North"/>
    <x v="0"/>
    <n v="58"/>
    <n v="222"/>
    <n v="8"/>
    <d v="2024-06-20T00:00:00"/>
    <n v="8"/>
    <n v="0"/>
    <x v="0"/>
    <x v="0"/>
    <n v="3.8275862068965516"/>
    <n v="4"/>
    <s v="Yes"/>
  </r>
  <r>
    <x v="452"/>
    <x v="126"/>
    <x v="5"/>
    <s v="West"/>
    <x v="7"/>
    <x v="1"/>
    <x v="3"/>
    <s v="South"/>
    <x v="0"/>
    <n v="3.3"/>
    <n v="185"/>
    <n v="6"/>
    <d v="2024-01-22T00:00:00"/>
    <n v="7"/>
    <n v="1"/>
    <x v="1"/>
    <x v="2"/>
    <n v="56.060606060606062"/>
    <n v="4"/>
    <s v="No"/>
  </r>
  <r>
    <x v="453"/>
    <x v="46"/>
    <x v="5"/>
    <s v="West"/>
    <x v="1"/>
    <x v="2"/>
    <x v="1"/>
    <s v="North"/>
    <x v="0"/>
    <n v="1.7"/>
    <n v="364"/>
    <n v="8"/>
    <d v="2024-01-11T00:00:00"/>
    <n v="8"/>
    <n v="0"/>
    <x v="0"/>
    <x v="0"/>
    <n v="214.11764705882354"/>
    <n v="4"/>
    <s v="No"/>
  </r>
  <r>
    <x v="454"/>
    <x v="98"/>
    <x v="1"/>
    <s v="West"/>
    <x v="1"/>
    <x v="2"/>
    <x v="4"/>
    <s v="East"/>
    <x v="0"/>
    <n v="15.4"/>
    <n v="163"/>
    <n v="8"/>
    <d v="2024-01-22T00:00:00"/>
    <n v="17"/>
    <n v="9"/>
    <x v="1"/>
    <x v="2"/>
    <n v="10.584415584415584"/>
    <n v="3"/>
    <s v="No"/>
  </r>
  <r>
    <x v="455"/>
    <x v="130"/>
    <x v="0"/>
    <s v="South"/>
    <x v="4"/>
    <x v="1"/>
    <x v="1"/>
    <s v="West"/>
    <x v="0"/>
    <n v="2.2000000000000002"/>
    <n v="417"/>
    <n v="6"/>
    <d v="2024-03-20T00:00:00"/>
    <n v="5"/>
    <n v="-1"/>
    <x v="0"/>
    <x v="0"/>
    <n v="189.54545454545453"/>
    <n v="3"/>
    <s v="No"/>
  </r>
  <r>
    <x v="456"/>
    <x v="128"/>
    <x v="0"/>
    <s v="South"/>
    <x v="2"/>
    <x v="0"/>
    <x v="0"/>
    <s v="South"/>
    <x v="1"/>
    <n v="12.5"/>
    <n v="671"/>
    <n v="2"/>
    <d v="2024-04-27T00:00:00"/>
    <n v="3"/>
    <n v="1"/>
    <x v="1"/>
    <x v="3"/>
    <n v="53.68"/>
    <n v="0"/>
    <s v="Yes"/>
  </r>
  <r>
    <x v="457"/>
    <x v="100"/>
    <x v="3"/>
    <s v="South"/>
    <x v="7"/>
    <x v="1"/>
    <x v="1"/>
    <s v="West"/>
    <x v="0"/>
    <n v="14.3"/>
    <n v="190"/>
    <n v="6"/>
    <d v="2024-04-01T00:00:00"/>
    <n v="5"/>
    <n v="-1"/>
    <x v="0"/>
    <x v="0"/>
    <n v="13.286713286713287"/>
    <n v="4"/>
    <s v="No"/>
  </r>
  <r>
    <x v="458"/>
    <x v="31"/>
    <x v="4"/>
    <s v="East"/>
    <x v="2"/>
    <x v="1"/>
    <x v="0"/>
    <s v="North"/>
    <x v="0"/>
    <n v="2.9"/>
    <n v="201"/>
    <n v="6"/>
    <d v="2024-03-12T00:00:00"/>
    <n v="7"/>
    <n v="1"/>
    <x v="1"/>
    <x v="1"/>
    <n v="69.310344827586206"/>
    <n v="0"/>
    <s v="No"/>
  </r>
  <r>
    <x v="459"/>
    <x v="121"/>
    <x v="5"/>
    <s v="West"/>
    <x v="1"/>
    <x v="2"/>
    <x v="3"/>
    <s v="West"/>
    <x v="1"/>
    <n v="1.4"/>
    <n v="80"/>
    <n v="6"/>
    <d v="2024-02-13T00:00:00"/>
    <n v="7"/>
    <n v="1"/>
    <x v="1"/>
    <x v="2"/>
    <n v="57.142857142857146"/>
    <n v="4"/>
    <s v="No"/>
  </r>
  <r>
    <x v="460"/>
    <x v="153"/>
    <x v="1"/>
    <s v="West"/>
    <x v="0"/>
    <x v="2"/>
    <x v="4"/>
    <s v="East"/>
    <x v="0"/>
    <n v="4.0999999999999996"/>
    <n v="192"/>
    <n v="8"/>
    <d v="2024-02-14T00:00:00"/>
    <n v="7"/>
    <n v="-1"/>
    <x v="0"/>
    <x v="0"/>
    <n v="46.829268292682933"/>
    <n v="5"/>
    <s v="Yes"/>
  </r>
  <r>
    <x v="461"/>
    <x v="72"/>
    <x v="4"/>
    <s v="East"/>
    <x v="1"/>
    <x v="1"/>
    <x v="2"/>
    <s v="East"/>
    <x v="1"/>
    <n v="1.9"/>
    <n v="462"/>
    <n v="4"/>
    <d v="2024-06-30T00:00:00"/>
    <n v="6"/>
    <n v="2"/>
    <x v="1"/>
    <x v="2"/>
    <n v="243.15789473684211"/>
    <n v="2"/>
    <s v="No"/>
  </r>
  <r>
    <x v="462"/>
    <x v="91"/>
    <x v="3"/>
    <s v="South"/>
    <x v="2"/>
    <x v="2"/>
    <x v="1"/>
    <s v="West"/>
    <x v="0"/>
    <n v="21.9"/>
    <n v="434"/>
    <n v="8"/>
    <d v="2024-04-20T00:00:00"/>
    <n v="8"/>
    <n v="0"/>
    <x v="0"/>
    <x v="0"/>
    <n v="19.817351598173516"/>
    <n v="5"/>
    <s v="No"/>
  </r>
  <r>
    <x v="463"/>
    <x v="77"/>
    <x v="2"/>
    <s v="North"/>
    <x v="4"/>
    <x v="1"/>
    <x v="1"/>
    <s v="East"/>
    <x v="0"/>
    <n v="19.3"/>
    <n v="335"/>
    <n v="6"/>
    <d v="2024-05-24T00:00:00"/>
    <n v="6"/>
    <n v="0"/>
    <x v="0"/>
    <x v="3"/>
    <n v="17.357512953367873"/>
    <n v="0"/>
    <s v="Yes"/>
  </r>
  <r>
    <x v="464"/>
    <x v="1"/>
    <x v="5"/>
    <s v="West"/>
    <x v="5"/>
    <x v="1"/>
    <x v="0"/>
    <s v="East"/>
    <x v="0"/>
    <n v="5.7"/>
    <n v="275"/>
    <n v="6"/>
    <d v="2024-06-17T00:00:00"/>
    <n v="7"/>
    <n v="1"/>
    <x v="1"/>
    <x v="2"/>
    <n v="48.245614035087719"/>
    <n v="1"/>
    <s v="No"/>
  </r>
  <r>
    <x v="465"/>
    <x v="62"/>
    <x v="0"/>
    <s v="South"/>
    <x v="4"/>
    <x v="0"/>
    <x v="4"/>
    <s v="West"/>
    <x v="0"/>
    <n v="3"/>
    <n v="315"/>
    <n v="4"/>
    <d v="2024-07-01T00:00:00"/>
    <n v="4"/>
    <n v="0"/>
    <x v="0"/>
    <x v="0"/>
    <n v="105"/>
    <n v="4"/>
    <s v="No"/>
  </r>
  <r>
    <x v="466"/>
    <x v="54"/>
    <x v="2"/>
    <s v="North"/>
    <x v="4"/>
    <x v="1"/>
    <x v="5"/>
    <s v="West"/>
    <x v="0"/>
    <n v="3.7"/>
    <n v="974"/>
    <n v="6"/>
    <d v="2024-02-16T00:00:00"/>
    <n v="7"/>
    <n v="1"/>
    <x v="1"/>
    <x v="2"/>
    <n v="263.24324324324323"/>
    <n v="3"/>
    <s v="No"/>
  </r>
  <r>
    <x v="467"/>
    <x v="104"/>
    <x v="1"/>
    <s v="West"/>
    <x v="4"/>
    <x v="1"/>
    <x v="0"/>
    <s v="North"/>
    <x v="0"/>
    <n v="36"/>
    <n v="337"/>
    <n v="6"/>
    <d v="2024-03-14T00:00:00"/>
    <n v="7"/>
    <n v="1"/>
    <x v="1"/>
    <x v="2"/>
    <n v="9.3611111111111107"/>
    <n v="4"/>
    <s v="No"/>
  </r>
  <r>
    <x v="468"/>
    <x v="15"/>
    <x v="1"/>
    <s v="West"/>
    <x v="1"/>
    <x v="0"/>
    <x v="3"/>
    <s v="East"/>
    <x v="0"/>
    <n v="5.8"/>
    <n v="386"/>
    <n v="4"/>
    <d v="2024-05-07T00:00:00"/>
    <n v="5"/>
    <n v="1"/>
    <x v="1"/>
    <x v="2"/>
    <n v="66.551724137931032"/>
    <n v="4"/>
    <s v="No"/>
  </r>
  <r>
    <x v="469"/>
    <x v="48"/>
    <x v="4"/>
    <s v="East"/>
    <x v="4"/>
    <x v="0"/>
    <x v="3"/>
    <s v="West"/>
    <x v="0"/>
    <n v="5.2"/>
    <n v="253"/>
    <n v="4"/>
    <d v="2024-04-03T00:00:00"/>
    <n v="9"/>
    <n v="5"/>
    <x v="1"/>
    <x v="2"/>
    <n v="48.653846153846153"/>
    <n v="2"/>
    <s v="Yes"/>
  </r>
  <r>
    <x v="470"/>
    <x v="153"/>
    <x v="2"/>
    <s v="North"/>
    <x v="5"/>
    <x v="1"/>
    <x v="2"/>
    <s v="North"/>
    <x v="1"/>
    <n v="1.7"/>
    <n v="341"/>
    <n v="4"/>
    <d v="2024-02-17T00:00:00"/>
    <n v="10"/>
    <n v="6"/>
    <x v="1"/>
    <x v="2"/>
    <n v="200.58823529411765"/>
    <n v="1"/>
    <s v="No"/>
  </r>
  <r>
    <x v="471"/>
    <x v="16"/>
    <x v="4"/>
    <s v="East"/>
    <x v="5"/>
    <x v="1"/>
    <x v="1"/>
    <s v="East"/>
    <x v="1"/>
    <n v="14.3"/>
    <n v="174"/>
    <n v="4"/>
    <d v="2024-06-07T00:00:00"/>
    <n v="3"/>
    <n v="-1"/>
    <x v="0"/>
    <x v="0"/>
    <n v="12.167832167832167"/>
    <n v="4"/>
    <s v="No"/>
  </r>
  <r>
    <x v="472"/>
    <x v="146"/>
    <x v="0"/>
    <s v="South"/>
    <x v="5"/>
    <x v="2"/>
    <x v="1"/>
    <s v="East"/>
    <x v="0"/>
    <n v="5.3"/>
    <n v="287"/>
    <n v="8"/>
    <d v="2024-01-20T00:00:00"/>
    <n v="14"/>
    <n v="6"/>
    <x v="1"/>
    <x v="2"/>
    <n v="54.150943396226417"/>
    <n v="3"/>
    <s v="No"/>
  </r>
  <r>
    <x v="473"/>
    <x v="91"/>
    <x v="1"/>
    <s v="West"/>
    <x v="7"/>
    <x v="0"/>
    <x v="0"/>
    <s v="South"/>
    <x v="0"/>
    <n v="8.6999999999999993"/>
    <n v="435"/>
    <n v="4"/>
    <d v="2024-04-16T00:00:00"/>
    <n v="4"/>
    <n v="0"/>
    <x v="0"/>
    <x v="3"/>
    <n v="50.000000000000007"/>
    <n v="0"/>
    <s v="Yes"/>
  </r>
  <r>
    <x v="474"/>
    <x v="44"/>
    <x v="1"/>
    <s v="West"/>
    <x v="4"/>
    <x v="2"/>
    <x v="5"/>
    <s v="South"/>
    <x v="0"/>
    <n v="6.6"/>
    <n v="1176"/>
    <n v="8"/>
    <d v="2024-04-18T00:00:00"/>
    <n v="9"/>
    <n v="1"/>
    <x v="1"/>
    <x v="2"/>
    <n v="178.18181818181819"/>
    <n v="3"/>
    <s v="Yes"/>
  </r>
  <r>
    <x v="475"/>
    <x v="39"/>
    <x v="2"/>
    <s v="North"/>
    <x v="4"/>
    <x v="2"/>
    <x v="2"/>
    <s v="North"/>
    <x v="1"/>
    <n v="71.3"/>
    <n v="140"/>
    <n v="6"/>
    <d v="2024-05-26T00:00:00"/>
    <n v="6"/>
    <n v="0"/>
    <x v="0"/>
    <x v="0"/>
    <n v="1.9635343618513326"/>
    <n v="2"/>
    <s v="Yes"/>
  </r>
  <r>
    <x v="476"/>
    <x v="136"/>
    <x v="2"/>
    <s v="North"/>
    <x v="4"/>
    <x v="1"/>
    <x v="3"/>
    <s v="East"/>
    <x v="0"/>
    <n v="2.1"/>
    <n v="222"/>
    <n v="6"/>
    <d v="2024-03-16T00:00:00"/>
    <n v="5"/>
    <n v="-1"/>
    <x v="0"/>
    <x v="0"/>
    <n v="105.71428571428571"/>
    <n v="4"/>
    <s v="Yes"/>
  </r>
  <r>
    <x v="477"/>
    <x v="20"/>
    <x v="0"/>
    <s v="South"/>
    <x v="3"/>
    <x v="1"/>
    <x v="2"/>
    <s v="North"/>
    <x v="0"/>
    <n v="10.1"/>
    <n v="778"/>
    <n v="6"/>
    <d v="2024-01-21T00:00:00"/>
    <n v="14"/>
    <n v="8"/>
    <x v="1"/>
    <x v="2"/>
    <n v="77.029702970297038"/>
    <n v="5"/>
    <s v="No"/>
  </r>
  <r>
    <x v="478"/>
    <x v="154"/>
    <x v="1"/>
    <s v="West"/>
    <x v="0"/>
    <x v="0"/>
    <x v="4"/>
    <s v="South"/>
    <x v="0"/>
    <n v="1.2"/>
    <n v="226"/>
    <n v="4"/>
    <d v="2024-01-14T00:00:00"/>
    <n v="13"/>
    <n v="9"/>
    <x v="1"/>
    <x v="2"/>
    <n v="188.33333333333334"/>
    <n v="1"/>
    <s v="Yes"/>
  </r>
  <r>
    <x v="479"/>
    <x v="118"/>
    <x v="1"/>
    <s v="West"/>
    <x v="7"/>
    <x v="1"/>
    <x v="1"/>
    <s v="West"/>
    <x v="1"/>
    <n v="29.3"/>
    <n v="374"/>
    <n v="4"/>
    <d v="2024-06-13T00:00:00"/>
    <n v="5"/>
    <n v="1"/>
    <x v="1"/>
    <x v="2"/>
    <n v="12.764505119453924"/>
    <n v="1"/>
    <s v="No"/>
  </r>
  <r>
    <x v="480"/>
    <x v="9"/>
    <x v="2"/>
    <s v="North"/>
    <x v="4"/>
    <x v="1"/>
    <x v="5"/>
    <s v="North"/>
    <x v="1"/>
    <n v="2"/>
    <n v="1268"/>
    <n v="4"/>
    <d v="2024-06-15T00:00:00"/>
    <n v="4"/>
    <n v="0"/>
    <x v="0"/>
    <x v="0"/>
    <n v="634"/>
    <n v="4"/>
    <s v="No"/>
  </r>
  <r>
    <x v="481"/>
    <x v="41"/>
    <x v="0"/>
    <s v="South"/>
    <x v="4"/>
    <x v="1"/>
    <x v="0"/>
    <s v="South"/>
    <x v="1"/>
    <n v="16.600000000000001"/>
    <n v="113"/>
    <n v="4"/>
    <d v="2024-06-28T00:00:00"/>
    <n v="3"/>
    <n v="-1"/>
    <x v="0"/>
    <x v="0"/>
    <n v="6.80722891566265"/>
    <n v="4"/>
    <s v="No"/>
  </r>
  <r>
    <x v="482"/>
    <x v="147"/>
    <x v="3"/>
    <s v="South"/>
    <x v="2"/>
    <x v="1"/>
    <x v="5"/>
    <s v="North"/>
    <x v="0"/>
    <n v="57.5"/>
    <n v="1544"/>
    <n v="6"/>
    <s v=""/>
    <s v=""/>
    <s v=""/>
    <x v="2"/>
    <x v="4"/>
    <n v="26.85217391304348"/>
    <n v="0"/>
    <s v="Yes"/>
  </r>
  <r>
    <x v="483"/>
    <x v="118"/>
    <x v="0"/>
    <s v="South"/>
    <x v="2"/>
    <x v="0"/>
    <x v="1"/>
    <s v="West"/>
    <x v="0"/>
    <n v="3.3"/>
    <n v="618"/>
    <n v="4"/>
    <d v="2024-06-18T00:00:00"/>
    <n v="10"/>
    <n v="6"/>
    <x v="1"/>
    <x v="2"/>
    <n v="187.27272727272728"/>
    <n v="4"/>
    <s v="Yes"/>
  </r>
  <r>
    <x v="484"/>
    <x v="155"/>
    <x v="3"/>
    <s v="South"/>
    <x v="0"/>
    <x v="2"/>
    <x v="4"/>
    <s v="North"/>
    <x v="0"/>
    <n v="62.1"/>
    <n v="238"/>
    <n v="8"/>
    <d v="2024-03-17T00:00:00"/>
    <n v="9"/>
    <n v="1"/>
    <x v="1"/>
    <x v="2"/>
    <n v="3.832528180354267"/>
    <n v="3"/>
    <s v="Yes"/>
  </r>
  <r>
    <x v="485"/>
    <x v="80"/>
    <x v="1"/>
    <s v="West"/>
    <x v="5"/>
    <x v="1"/>
    <x v="0"/>
    <s v="West"/>
    <x v="1"/>
    <n v="9.6"/>
    <n v="191"/>
    <n v="4"/>
    <d v="2024-04-25T00:00:00"/>
    <n v="4"/>
    <n v="0"/>
    <x v="0"/>
    <x v="0"/>
    <n v="19.895833333333336"/>
    <n v="4"/>
    <s v="No"/>
  </r>
  <r>
    <x v="486"/>
    <x v="27"/>
    <x v="2"/>
    <s v="North"/>
    <x v="1"/>
    <x v="0"/>
    <x v="4"/>
    <s v="South"/>
    <x v="0"/>
    <n v="2.2000000000000002"/>
    <n v="306"/>
    <n v="4"/>
    <d v="2024-02-08T00:00:00"/>
    <n v="4"/>
    <n v="0"/>
    <x v="0"/>
    <x v="0"/>
    <n v="139.09090909090909"/>
    <n v="2"/>
    <s v="Yes"/>
  </r>
  <r>
    <x v="487"/>
    <x v="117"/>
    <x v="2"/>
    <s v="North"/>
    <x v="7"/>
    <x v="0"/>
    <x v="3"/>
    <s v="South"/>
    <x v="0"/>
    <n v="8.5"/>
    <n v="523"/>
    <n v="4"/>
    <d v="2024-05-29T00:00:00"/>
    <n v="5"/>
    <n v="1"/>
    <x v="1"/>
    <x v="2"/>
    <n v="61.529411764705884"/>
    <n v="4"/>
    <s v="Yes"/>
  </r>
  <r>
    <x v="488"/>
    <x v="2"/>
    <x v="1"/>
    <s v="West"/>
    <x v="0"/>
    <x v="1"/>
    <x v="1"/>
    <s v="West"/>
    <x v="1"/>
    <n v="3.5"/>
    <n v="127"/>
    <n v="4"/>
    <d v="2024-05-26T00:00:00"/>
    <n v="3"/>
    <n v="-1"/>
    <x v="0"/>
    <x v="0"/>
    <n v="36.285714285714285"/>
    <n v="4"/>
    <s v="Yes"/>
  </r>
  <r>
    <x v="489"/>
    <x v="123"/>
    <x v="3"/>
    <s v="South"/>
    <x v="1"/>
    <x v="1"/>
    <x v="5"/>
    <s v="North"/>
    <x v="0"/>
    <n v="7.6"/>
    <n v="524"/>
    <n v="6"/>
    <d v="2024-02-01T00:00:00"/>
    <n v="6"/>
    <n v="0"/>
    <x v="0"/>
    <x v="0"/>
    <n v="68.94736842105263"/>
    <n v="3"/>
    <s v="Yes"/>
  </r>
  <r>
    <x v="490"/>
    <x v="112"/>
    <x v="0"/>
    <s v="South"/>
    <x v="5"/>
    <x v="1"/>
    <x v="3"/>
    <s v="North"/>
    <x v="0"/>
    <n v="3.9"/>
    <n v="301"/>
    <n v="6"/>
    <d v="2024-03-10T00:00:00"/>
    <n v="8"/>
    <n v="2"/>
    <x v="1"/>
    <x v="2"/>
    <n v="77.179487179487182"/>
    <n v="1"/>
    <s v="Yes"/>
  </r>
  <r>
    <x v="491"/>
    <x v="103"/>
    <x v="2"/>
    <s v="North"/>
    <x v="0"/>
    <x v="1"/>
    <x v="4"/>
    <s v="East"/>
    <x v="0"/>
    <n v="15.9"/>
    <n v="262"/>
    <n v="6"/>
    <d v="2024-04-18T00:00:00"/>
    <n v="8"/>
    <n v="2"/>
    <x v="1"/>
    <x v="2"/>
    <n v="16.477987421383649"/>
    <n v="4"/>
    <s v="Yes"/>
  </r>
  <r>
    <x v="492"/>
    <x v="156"/>
    <x v="0"/>
    <s v="South"/>
    <x v="2"/>
    <x v="2"/>
    <x v="3"/>
    <s v="South"/>
    <x v="1"/>
    <n v="6.5"/>
    <n v="80"/>
    <n v="6"/>
    <d v="2024-05-18T00:00:00"/>
    <n v="6"/>
    <n v="0"/>
    <x v="0"/>
    <x v="0"/>
    <n v="12.307692307692308"/>
    <n v="4"/>
    <s v="No"/>
  </r>
  <r>
    <x v="493"/>
    <x v="84"/>
    <x v="2"/>
    <s v="North"/>
    <x v="2"/>
    <x v="1"/>
    <x v="5"/>
    <s v="East"/>
    <x v="0"/>
    <n v="3.4"/>
    <n v="578"/>
    <n v="6"/>
    <d v="2024-02-13T00:00:00"/>
    <n v="5"/>
    <n v="-1"/>
    <x v="0"/>
    <x v="0"/>
    <n v="170"/>
    <n v="5"/>
    <s v="Yes"/>
  </r>
  <r>
    <x v="494"/>
    <x v="94"/>
    <x v="5"/>
    <s v="West"/>
    <x v="3"/>
    <x v="1"/>
    <x v="5"/>
    <s v="South"/>
    <x v="0"/>
    <n v="3.8"/>
    <n v="551"/>
    <n v="6"/>
    <d v="2024-04-12T00:00:00"/>
    <n v="7"/>
    <n v="1"/>
    <x v="1"/>
    <x v="2"/>
    <n v="145"/>
    <n v="3"/>
    <s v="Yes"/>
  </r>
  <r>
    <x v="495"/>
    <x v="49"/>
    <x v="5"/>
    <s v="West"/>
    <x v="2"/>
    <x v="2"/>
    <x v="1"/>
    <s v="South"/>
    <x v="0"/>
    <n v="20.6"/>
    <n v="255"/>
    <n v="8"/>
    <d v="2024-06-30T00:00:00"/>
    <n v="9"/>
    <n v="1"/>
    <x v="1"/>
    <x v="2"/>
    <n v="12.378640776699028"/>
    <n v="4"/>
    <s v="No"/>
  </r>
  <r>
    <x v="496"/>
    <x v="117"/>
    <x v="0"/>
    <s v="South"/>
    <x v="2"/>
    <x v="2"/>
    <x v="5"/>
    <s v="North"/>
    <x v="0"/>
    <n v="19.2"/>
    <n v="428"/>
    <n v="8"/>
    <d v="2024-05-31T00:00:00"/>
    <n v="7"/>
    <n v="-1"/>
    <x v="0"/>
    <x v="0"/>
    <n v="22.291666666666668"/>
    <n v="4"/>
    <s v="No"/>
  </r>
  <r>
    <x v="497"/>
    <x v="20"/>
    <x v="2"/>
    <s v="North"/>
    <x v="2"/>
    <x v="0"/>
    <x v="3"/>
    <s v="West"/>
    <x v="0"/>
    <n v="4.0999999999999996"/>
    <n v="405"/>
    <n v="4"/>
    <d v="2024-01-11T00:00:00"/>
    <n v="4"/>
    <n v="0"/>
    <x v="0"/>
    <x v="0"/>
    <n v="98.780487804878064"/>
    <n v="4"/>
    <s v="No"/>
  </r>
  <r>
    <x v="498"/>
    <x v="134"/>
    <x v="1"/>
    <s v="West"/>
    <x v="4"/>
    <x v="0"/>
    <x v="2"/>
    <s v="West"/>
    <x v="1"/>
    <n v="21.3"/>
    <n v="826"/>
    <n v="2"/>
    <d v="2024-03-08T00:00:00"/>
    <n v="5"/>
    <n v="3"/>
    <x v="1"/>
    <x v="2"/>
    <n v="38.779342723004696"/>
    <n v="1"/>
    <s v="No"/>
  </r>
  <r>
    <x v="499"/>
    <x v="95"/>
    <x v="3"/>
    <s v="South"/>
    <x v="0"/>
    <x v="0"/>
    <x v="5"/>
    <s v="East"/>
    <x v="0"/>
    <n v="5.5"/>
    <n v="3570"/>
    <n v="4"/>
    <d v="2024-02-07T00:00:00"/>
    <n v="5"/>
    <n v="1"/>
    <x v="1"/>
    <x v="2"/>
    <n v="649.09090909090912"/>
    <n v="2"/>
    <s v="Yes"/>
  </r>
  <r>
    <x v="500"/>
    <x v="34"/>
    <x v="5"/>
    <s v="West"/>
    <x v="4"/>
    <x v="0"/>
    <x v="1"/>
    <s v="East"/>
    <x v="0"/>
    <n v="17.899999999999999"/>
    <n v="640"/>
    <n v="4"/>
    <d v="2024-05-14T00:00:00"/>
    <n v="3"/>
    <n v="-1"/>
    <x v="0"/>
    <x v="0"/>
    <n v="35.754189944134083"/>
    <n v="4"/>
    <s v="Yes"/>
  </r>
  <r>
    <x v="501"/>
    <x v="130"/>
    <x v="3"/>
    <s v="South"/>
    <x v="4"/>
    <x v="2"/>
    <x v="4"/>
    <s v="South"/>
    <x v="1"/>
    <n v="76.5"/>
    <n v="118"/>
    <n v="6"/>
    <d v="2024-03-20T00:00:00"/>
    <n v="5"/>
    <n v="-1"/>
    <x v="0"/>
    <x v="0"/>
    <n v="1.542483660130719"/>
    <n v="5"/>
    <s v="Yes"/>
  </r>
  <r>
    <x v="502"/>
    <x v="153"/>
    <x v="1"/>
    <s v="West"/>
    <x v="4"/>
    <x v="2"/>
    <x v="4"/>
    <s v="North"/>
    <x v="0"/>
    <n v="10.199999999999999"/>
    <n v="208"/>
    <n v="8"/>
    <d v="2024-02-20T00:00:00"/>
    <n v="13"/>
    <n v="5"/>
    <x v="1"/>
    <x v="2"/>
    <n v="20.3921568627451"/>
    <n v="2"/>
    <s v="Yes"/>
  </r>
  <r>
    <x v="503"/>
    <x v="5"/>
    <x v="4"/>
    <s v="East"/>
    <x v="0"/>
    <x v="1"/>
    <x v="1"/>
    <s v="North"/>
    <x v="0"/>
    <n v="4.3"/>
    <n v="251"/>
    <n v="6"/>
    <d v="2024-03-30T00:00:00"/>
    <n v="6"/>
    <n v="0"/>
    <x v="0"/>
    <x v="0"/>
    <n v="58.372093023255815"/>
    <n v="5"/>
    <s v="No"/>
  </r>
  <r>
    <x v="504"/>
    <x v="31"/>
    <x v="2"/>
    <s v="North"/>
    <x v="0"/>
    <x v="1"/>
    <x v="1"/>
    <s v="West"/>
    <x v="0"/>
    <n v="3.8"/>
    <n v="406"/>
    <n v="6"/>
    <d v="2024-03-10T00:00:00"/>
    <n v="5"/>
    <n v="-1"/>
    <x v="0"/>
    <x v="0"/>
    <n v="106.8421052631579"/>
    <n v="4"/>
    <s v="No"/>
  </r>
  <r>
    <x v="505"/>
    <x v="86"/>
    <x v="0"/>
    <s v="South"/>
    <x v="2"/>
    <x v="2"/>
    <x v="5"/>
    <s v="South"/>
    <x v="1"/>
    <n v="3.1"/>
    <n v="870"/>
    <n v="6"/>
    <d v="2024-01-17T00:00:00"/>
    <n v="7"/>
    <n v="1"/>
    <x v="1"/>
    <x v="2"/>
    <n v="280.64516129032256"/>
    <n v="3"/>
    <s v="Yes"/>
  </r>
  <r>
    <x v="506"/>
    <x v="124"/>
    <x v="0"/>
    <s v="South"/>
    <x v="1"/>
    <x v="1"/>
    <x v="1"/>
    <s v="West"/>
    <x v="0"/>
    <n v="10.5"/>
    <n v="589"/>
    <n v="6"/>
    <d v="2024-03-28T00:00:00"/>
    <n v="7"/>
    <n v="1"/>
    <x v="1"/>
    <x v="2"/>
    <n v="56.095238095238095"/>
    <n v="4"/>
    <s v="Yes"/>
  </r>
  <r>
    <x v="507"/>
    <x v="15"/>
    <x v="3"/>
    <s v="South"/>
    <x v="0"/>
    <x v="0"/>
    <x v="1"/>
    <s v="West"/>
    <x v="0"/>
    <n v="59.7"/>
    <n v="685"/>
    <n v="4"/>
    <d v="2024-05-11T00:00:00"/>
    <n v="9"/>
    <n v="5"/>
    <x v="1"/>
    <x v="2"/>
    <n v="11.474036850921273"/>
    <n v="4"/>
    <s v="No"/>
  </r>
  <r>
    <x v="508"/>
    <x v="71"/>
    <x v="5"/>
    <s v="West"/>
    <x v="0"/>
    <x v="1"/>
    <x v="2"/>
    <s v="East"/>
    <x v="0"/>
    <n v="17.3"/>
    <n v="281"/>
    <n v="6"/>
    <d v="2024-06-23T00:00:00"/>
    <n v="9"/>
    <n v="3"/>
    <x v="1"/>
    <x v="2"/>
    <n v="16.242774566473987"/>
    <n v="4"/>
    <s v="Yes"/>
  </r>
  <r>
    <x v="509"/>
    <x v="102"/>
    <x v="5"/>
    <s v="West"/>
    <x v="2"/>
    <x v="2"/>
    <x v="3"/>
    <s v="North"/>
    <x v="0"/>
    <n v="11.9"/>
    <n v="210"/>
    <n v="8"/>
    <d v="2024-04-14T00:00:00"/>
    <n v="7"/>
    <n v="-1"/>
    <x v="0"/>
    <x v="0"/>
    <n v="17.647058823529409"/>
    <n v="3"/>
    <s v="No"/>
  </r>
  <r>
    <x v="510"/>
    <x v="85"/>
    <x v="2"/>
    <s v="North"/>
    <x v="5"/>
    <x v="2"/>
    <x v="2"/>
    <s v="North"/>
    <x v="1"/>
    <n v="6.9"/>
    <n v="395"/>
    <n v="6"/>
    <d v="2024-05-04T00:00:00"/>
    <n v="7"/>
    <n v="1"/>
    <x v="1"/>
    <x v="2"/>
    <n v="57.246376811594203"/>
    <n v="1"/>
    <s v="No"/>
  </r>
  <r>
    <x v="511"/>
    <x v="43"/>
    <x v="4"/>
    <s v="East"/>
    <x v="5"/>
    <x v="1"/>
    <x v="1"/>
    <s v="South"/>
    <x v="0"/>
    <n v="2.2000000000000002"/>
    <n v="329"/>
    <n v="6"/>
    <d v="2024-05-05T00:00:00"/>
    <n v="9"/>
    <n v="3"/>
    <x v="1"/>
    <x v="2"/>
    <n v="149.54545454545453"/>
    <n v="3"/>
    <s v="No"/>
  </r>
  <r>
    <x v="512"/>
    <x v="134"/>
    <x v="1"/>
    <s v="West"/>
    <x v="4"/>
    <x v="1"/>
    <x v="3"/>
    <s v="West"/>
    <x v="1"/>
    <n v="27.4"/>
    <n v="106"/>
    <n v="4"/>
    <d v="2024-03-07T00:00:00"/>
    <n v="4"/>
    <n v="0"/>
    <x v="0"/>
    <x v="3"/>
    <n v="3.8686131386861318"/>
    <n v="0"/>
    <s v="Yes"/>
  </r>
  <r>
    <x v="513"/>
    <x v="62"/>
    <x v="3"/>
    <s v="South"/>
    <x v="0"/>
    <x v="1"/>
    <x v="4"/>
    <s v="West"/>
    <x v="0"/>
    <n v="9.5"/>
    <n v="320"/>
    <n v="6"/>
    <s v=""/>
    <s v=""/>
    <s v=""/>
    <x v="2"/>
    <x v="4"/>
    <n v="33.684210526315788"/>
    <n v="0"/>
    <s v="Yes"/>
  </r>
  <r>
    <x v="514"/>
    <x v="134"/>
    <x v="3"/>
    <s v="South"/>
    <x v="0"/>
    <x v="0"/>
    <x v="3"/>
    <s v="East"/>
    <x v="0"/>
    <n v="4.2"/>
    <n v="249"/>
    <n v="4"/>
    <d v="2024-03-07T00:00:00"/>
    <n v="4"/>
    <n v="0"/>
    <x v="0"/>
    <x v="0"/>
    <n v="59.285714285714285"/>
    <n v="5"/>
    <s v="No"/>
  </r>
  <r>
    <x v="515"/>
    <x v="10"/>
    <x v="3"/>
    <s v="South"/>
    <x v="4"/>
    <x v="1"/>
    <x v="1"/>
    <s v="North"/>
    <x v="0"/>
    <n v="5"/>
    <n v="206"/>
    <n v="6"/>
    <d v="2024-06-27T00:00:00"/>
    <n v="7"/>
    <n v="1"/>
    <x v="1"/>
    <x v="2"/>
    <n v="41.2"/>
    <n v="2"/>
    <s v="No"/>
  </r>
  <r>
    <x v="516"/>
    <x v="95"/>
    <x v="2"/>
    <s v="North"/>
    <x v="5"/>
    <x v="2"/>
    <x v="5"/>
    <s v="West"/>
    <x v="0"/>
    <n v="0.9"/>
    <n v="928"/>
    <n v="8"/>
    <d v="2024-02-09T00:00:00"/>
    <n v="7"/>
    <n v="-1"/>
    <x v="0"/>
    <x v="0"/>
    <n v="1031.1111111111111"/>
    <n v="3"/>
    <s v="No"/>
  </r>
  <r>
    <x v="517"/>
    <x v="1"/>
    <x v="3"/>
    <s v="South"/>
    <x v="1"/>
    <x v="2"/>
    <x v="0"/>
    <s v="South"/>
    <x v="1"/>
    <n v="3.2"/>
    <n v="80"/>
    <n v="6"/>
    <d v="2024-06-16T00:00:00"/>
    <n v="6"/>
    <n v="0"/>
    <x v="0"/>
    <x v="0"/>
    <n v="25"/>
    <n v="4"/>
    <s v="Yes"/>
  </r>
  <r>
    <x v="518"/>
    <x v="120"/>
    <x v="3"/>
    <s v="South"/>
    <x v="1"/>
    <x v="2"/>
    <x v="5"/>
    <s v="East"/>
    <x v="0"/>
    <n v="55.9"/>
    <n v="478"/>
    <n v="8"/>
    <d v="2024-05-31T00:00:00"/>
    <n v="9"/>
    <n v="1"/>
    <x v="1"/>
    <x v="2"/>
    <n v="8.5509838998211087"/>
    <n v="2"/>
    <s v="Yes"/>
  </r>
  <r>
    <x v="519"/>
    <x v="147"/>
    <x v="2"/>
    <s v="North"/>
    <x v="0"/>
    <x v="0"/>
    <x v="0"/>
    <s v="North"/>
    <x v="1"/>
    <n v="2.2999999999999998"/>
    <n v="80"/>
    <n v="2"/>
    <d v="2024-06-30T00:00:00"/>
    <n v="2"/>
    <n v="0"/>
    <x v="0"/>
    <x v="0"/>
    <n v="34.782608695652179"/>
    <n v="5"/>
    <s v="No"/>
  </r>
  <r>
    <x v="520"/>
    <x v="33"/>
    <x v="3"/>
    <s v="South"/>
    <x v="0"/>
    <x v="1"/>
    <x v="4"/>
    <s v="East"/>
    <x v="0"/>
    <n v="22.4"/>
    <n v="219"/>
    <n v="6"/>
    <d v="2024-03-18T00:00:00"/>
    <n v="5"/>
    <n v="-1"/>
    <x v="0"/>
    <x v="0"/>
    <n v="9.7767857142857153"/>
    <n v="3"/>
    <s v="Yes"/>
  </r>
  <r>
    <x v="521"/>
    <x v="96"/>
    <x v="1"/>
    <s v="West"/>
    <x v="0"/>
    <x v="1"/>
    <x v="2"/>
    <s v="West"/>
    <x v="1"/>
    <n v="2.4"/>
    <n v="466"/>
    <n v="4"/>
    <d v="2024-01-27T00:00:00"/>
    <n v="8"/>
    <n v="4"/>
    <x v="1"/>
    <x v="2"/>
    <n v="194.16666666666669"/>
    <n v="4"/>
    <s v="No"/>
  </r>
  <r>
    <x v="522"/>
    <x v="36"/>
    <x v="2"/>
    <s v="North"/>
    <x v="2"/>
    <x v="1"/>
    <x v="4"/>
    <s v="West"/>
    <x v="0"/>
    <n v="3.2"/>
    <n v="169"/>
    <n v="6"/>
    <d v="2024-05-17T00:00:00"/>
    <n v="7"/>
    <n v="1"/>
    <x v="1"/>
    <x v="2"/>
    <n v="52.8125"/>
    <n v="2"/>
    <s v="Yes"/>
  </r>
  <r>
    <x v="523"/>
    <x v="131"/>
    <x v="0"/>
    <s v="South"/>
    <x v="3"/>
    <x v="1"/>
    <x v="1"/>
    <s v="East"/>
    <x v="0"/>
    <n v="19.2"/>
    <n v="461"/>
    <n v="6"/>
    <d v="2024-03-29T00:00:00"/>
    <n v="7"/>
    <n v="1"/>
    <x v="1"/>
    <x v="2"/>
    <n v="24.010416666666668"/>
    <n v="2"/>
    <s v="Yes"/>
  </r>
  <r>
    <x v="524"/>
    <x v="102"/>
    <x v="1"/>
    <s v="West"/>
    <x v="5"/>
    <x v="2"/>
    <x v="2"/>
    <s v="West"/>
    <x v="1"/>
    <n v="1.1000000000000001"/>
    <n v="454"/>
    <n v="6"/>
    <d v="2024-04-12T00:00:00"/>
    <n v="5"/>
    <n v="-1"/>
    <x v="0"/>
    <x v="0"/>
    <n v="412.72727272727269"/>
    <n v="5"/>
    <s v="No"/>
  </r>
  <r>
    <x v="525"/>
    <x v="157"/>
    <x v="2"/>
    <s v="North"/>
    <x v="7"/>
    <x v="0"/>
    <x v="3"/>
    <s v="North"/>
    <x v="1"/>
    <n v="12.2"/>
    <n v="166"/>
    <n v="2"/>
    <d v="2024-03-07T00:00:00"/>
    <n v="3"/>
    <n v="1"/>
    <x v="1"/>
    <x v="2"/>
    <n v="13.606557377049182"/>
    <n v="3"/>
    <s v="No"/>
  </r>
  <r>
    <x v="526"/>
    <x v="67"/>
    <x v="4"/>
    <s v="East"/>
    <x v="0"/>
    <x v="2"/>
    <x v="3"/>
    <s v="West"/>
    <x v="0"/>
    <n v="32.9"/>
    <n v="279"/>
    <n v="8"/>
    <d v="2024-03-25T00:00:00"/>
    <n v="9"/>
    <n v="1"/>
    <x v="1"/>
    <x v="3"/>
    <n v="8.4802431610942257"/>
    <n v="0"/>
    <s v="No"/>
  </r>
  <r>
    <x v="527"/>
    <x v="75"/>
    <x v="1"/>
    <s v="West"/>
    <x v="5"/>
    <x v="2"/>
    <x v="0"/>
    <s v="South"/>
    <x v="0"/>
    <n v="4.3"/>
    <n v="355"/>
    <n v="8"/>
    <d v="2024-02-01T00:00:00"/>
    <n v="9"/>
    <n v="1"/>
    <x v="1"/>
    <x v="2"/>
    <n v="82.558139534883722"/>
    <n v="5"/>
    <s v="No"/>
  </r>
  <r>
    <x v="528"/>
    <x v="82"/>
    <x v="1"/>
    <s v="West"/>
    <x v="3"/>
    <x v="1"/>
    <x v="5"/>
    <s v="South"/>
    <x v="0"/>
    <n v="6.4"/>
    <n v="1391"/>
    <n v="6"/>
    <d v="2024-05-19T00:00:00"/>
    <n v="5"/>
    <n v="-1"/>
    <x v="0"/>
    <x v="0"/>
    <n v="217.34375"/>
    <n v="1"/>
    <s v="Yes"/>
  </r>
  <r>
    <x v="529"/>
    <x v="9"/>
    <x v="5"/>
    <s v="West"/>
    <x v="5"/>
    <x v="2"/>
    <x v="3"/>
    <s v="West"/>
    <x v="1"/>
    <n v="14"/>
    <n v="80"/>
    <n v="6"/>
    <d v="2024-06-26T00:00:00"/>
    <n v="15"/>
    <n v="9"/>
    <x v="1"/>
    <x v="2"/>
    <n v="5.7142857142857144"/>
    <n v="1"/>
    <s v="No"/>
  </r>
  <r>
    <x v="530"/>
    <x v="158"/>
    <x v="5"/>
    <s v="West"/>
    <x v="2"/>
    <x v="0"/>
    <x v="5"/>
    <s v="West"/>
    <x v="1"/>
    <n v="57.3"/>
    <n v="2035"/>
    <n v="2"/>
    <d v="2024-05-18T00:00:00"/>
    <n v="3"/>
    <n v="1"/>
    <x v="1"/>
    <x v="1"/>
    <n v="35.514834205933681"/>
    <n v="0"/>
    <s v="Yes"/>
  </r>
  <r>
    <x v="531"/>
    <x v="5"/>
    <x v="1"/>
    <s v="West"/>
    <x v="5"/>
    <x v="1"/>
    <x v="3"/>
    <s v="West"/>
    <x v="1"/>
    <n v="4.9000000000000004"/>
    <n v="139"/>
    <n v="4"/>
    <d v="2024-03-27T00:00:00"/>
    <n v="3"/>
    <n v="-1"/>
    <x v="0"/>
    <x v="0"/>
    <n v="28.367346938775508"/>
    <n v="3"/>
    <s v="No"/>
  </r>
  <r>
    <x v="532"/>
    <x v="131"/>
    <x v="0"/>
    <s v="South"/>
    <x v="2"/>
    <x v="1"/>
    <x v="5"/>
    <s v="West"/>
    <x v="0"/>
    <n v="44.7"/>
    <n v="792"/>
    <n v="6"/>
    <d v="2024-03-29T00:00:00"/>
    <n v="7"/>
    <n v="1"/>
    <x v="1"/>
    <x v="2"/>
    <n v="17.718120805369125"/>
    <n v="5"/>
    <s v="Yes"/>
  </r>
  <r>
    <x v="533"/>
    <x v="138"/>
    <x v="0"/>
    <s v="South"/>
    <x v="3"/>
    <x v="0"/>
    <x v="5"/>
    <s v="West"/>
    <x v="0"/>
    <n v="7.6"/>
    <n v="1333"/>
    <n v="4"/>
    <d v="2024-05-30T00:00:00"/>
    <n v="5"/>
    <n v="1"/>
    <x v="1"/>
    <x v="2"/>
    <n v="175.39473684210526"/>
    <n v="3"/>
    <s v="Yes"/>
  </r>
  <r>
    <x v="534"/>
    <x v="146"/>
    <x v="1"/>
    <s v="West"/>
    <x v="0"/>
    <x v="2"/>
    <x v="4"/>
    <s v="West"/>
    <x v="1"/>
    <n v="30.4"/>
    <n v="80"/>
    <n v="6"/>
    <d v="2024-01-20T00:00:00"/>
    <n v="14"/>
    <n v="8"/>
    <x v="1"/>
    <x v="2"/>
    <n v="2.6315789473684212"/>
    <n v="2"/>
    <s v="Yes"/>
  </r>
  <r>
    <x v="535"/>
    <x v="140"/>
    <x v="0"/>
    <s v="South"/>
    <x v="3"/>
    <x v="0"/>
    <x v="3"/>
    <s v="North"/>
    <x v="0"/>
    <n v="25.3"/>
    <n v="341"/>
    <n v="4"/>
    <d v="2024-06-20T00:00:00"/>
    <n v="5"/>
    <n v="1"/>
    <x v="1"/>
    <x v="2"/>
    <n v="13.478260869565217"/>
    <n v="1"/>
    <s v="No"/>
  </r>
  <r>
    <x v="536"/>
    <x v="159"/>
    <x v="3"/>
    <s v="South"/>
    <x v="1"/>
    <x v="0"/>
    <x v="3"/>
    <s v="South"/>
    <x v="1"/>
    <n v="1.3"/>
    <n v="80"/>
    <n v="2"/>
    <d v="2024-01-10T00:00:00"/>
    <n v="1"/>
    <n v="-1"/>
    <x v="0"/>
    <x v="0"/>
    <n v="61.538461538461533"/>
    <n v="5"/>
    <s v="No"/>
  </r>
  <r>
    <x v="537"/>
    <x v="13"/>
    <x v="1"/>
    <s v="West"/>
    <x v="4"/>
    <x v="1"/>
    <x v="0"/>
    <s v="North"/>
    <x v="0"/>
    <n v="3.5"/>
    <n v="374"/>
    <n v="6"/>
    <d v="2024-01-07T00:00:00"/>
    <n v="5"/>
    <n v="-1"/>
    <x v="0"/>
    <x v="3"/>
    <n v="106.85714285714286"/>
    <n v="0"/>
    <s v="No"/>
  </r>
  <r>
    <x v="538"/>
    <x v="42"/>
    <x v="4"/>
    <s v="East"/>
    <x v="5"/>
    <x v="2"/>
    <x v="2"/>
    <s v="North"/>
    <x v="0"/>
    <n v="0.6"/>
    <n v="244"/>
    <n v="8"/>
    <d v="2024-06-02T00:00:00"/>
    <n v="7"/>
    <n v="-1"/>
    <x v="0"/>
    <x v="0"/>
    <n v="406.66666666666669"/>
    <n v="4"/>
    <s v="Yes"/>
  </r>
  <r>
    <x v="539"/>
    <x v="99"/>
    <x v="2"/>
    <s v="North"/>
    <x v="4"/>
    <x v="2"/>
    <x v="1"/>
    <s v="East"/>
    <x v="0"/>
    <n v="10.8"/>
    <n v="442"/>
    <n v="8"/>
    <d v="2024-02-05T00:00:00"/>
    <n v="8"/>
    <n v="0"/>
    <x v="0"/>
    <x v="0"/>
    <n v="40.925925925925924"/>
    <n v="3"/>
    <s v="No"/>
  </r>
  <r>
    <x v="540"/>
    <x v="70"/>
    <x v="3"/>
    <s v="South"/>
    <x v="5"/>
    <x v="0"/>
    <x v="5"/>
    <s v="North"/>
    <x v="0"/>
    <n v="6.5"/>
    <n v="2470"/>
    <n v="4"/>
    <d v="2024-04-13T00:00:00"/>
    <n v="5"/>
    <n v="1"/>
    <x v="1"/>
    <x v="1"/>
    <n v="380"/>
    <n v="0"/>
    <s v="No"/>
  </r>
  <r>
    <x v="541"/>
    <x v="60"/>
    <x v="5"/>
    <s v="West"/>
    <x v="0"/>
    <x v="1"/>
    <x v="5"/>
    <s v="North"/>
    <x v="0"/>
    <n v="19.899999999999999"/>
    <n v="1312"/>
    <n v="6"/>
    <d v="2024-03-07T00:00:00"/>
    <n v="6"/>
    <n v="0"/>
    <x v="0"/>
    <x v="0"/>
    <n v="65.929648241206039"/>
    <n v="4"/>
    <s v="No"/>
  </r>
  <r>
    <x v="542"/>
    <x v="20"/>
    <x v="0"/>
    <s v="South"/>
    <x v="2"/>
    <x v="0"/>
    <x v="1"/>
    <s v="West"/>
    <x v="0"/>
    <n v="50.6"/>
    <n v="891"/>
    <n v="4"/>
    <d v="2024-01-11T00:00:00"/>
    <n v="4"/>
    <n v="0"/>
    <x v="0"/>
    <x v="0"/>
    <n v="17.608695652173914"/>
    <n v="5"/>
    <s v="Yes"/>
  </r>
  <r>
    <x v="543"/>
    <x v="97"/>
    <x v="3"/>
    <s v="South"/>
    <x v="4"/>
    <x v="1"/>
    <x v="2"/>
    <s v="North"/>
    <x v="0"/>
    <n v="53.2"/>
    <n v="942"/>
    <n v="6"/>
    <d v="2024-02-27T00:00:00"/>
    <n v="5"/>
    <n v="-1"/>
    <x v="0"/>
    <x v="0"/>
    <n v="17.706766917293233"/>
    <n v="4"/>
    <s v="No"/>
  </r>
  <r>
    <x v="544"/>
    <x v="129"/>
    <x v="0"/>
    <s v="South"/>
    <x v="1"/>
    <x v="0"/>
    <x v="4"/>
    <s v="East"/>
    <x v="0"/>
    <n v="16.100000000000001"/>
    <n v="254"/>
    <n v="4"/>
    <d v="2024-02-20T00:00:00"/>
    <n v="3"/>
    <n v="-1"/>
    <x v="0"/>
    <x v="0"/>
    <n v="15.776397515527949"/>
    <n v="5"/>
    <s v="Yes"/>
  </r>
  <r>
    <x v="545"/>
    <x v="28"/>
    <x v="2"/>
    <s v="North"/>
    <x v="2"/>
    <x v="2"/>
    <x v="1"/>
    <s v="West"/>
    <x v="0"/>
    <n v="36.4"/>
    <n v="202"/>
    <n v="8"/>
    <d v="2024-04-18T00:00:00"/>
    <n v="7"/>
    <n v="-1"/>
    <x v="0"/>
    <x v="0"/>
    <n v="5.5494505494505493"/>
    <n v="5"/>
    <s v="Yes"/>
  </r>
  <r>
    <x v="546"/>
    <x v="40"/>
    <x v="3"/>
    <s v="South"/>
    <x v="2"/>
    <x v="2"/>
    <x v="6"/>
    <s v="East"/>
    <x v="0"/>
    <n v="1.5"/>
    <n v="179"/>
    <n v="8"/>
    <d v="2024-05-11T00:00:00"/>
    <n v="7"/>
    <n v="-1"/>
    <x v="0"/>
    <x v="0"/>
    <n v="119.33333333333333"/>
    <n v="4"/>
    <s v="Yes"/>
  </r>
  <r>
    <x v="547"/>
    <x v="35"/>
    <x v="0"/>
    <s v="South"/>
    <x v="1"/>
    <x v="2"/>
    <x v="3"/>
    <s v="West"/>
    <x v="0"/>
    <n v="5"/>
    <n v="155"/>
    <n v="8"/>
    <d v="2024-01-29T00:00:00"/>
    <n v="8"/>
    <n v="0"/>
    <x v="0"/>
    <x v="0"/>
    <n v="31"/>
    <n v="3"/>
    <s v="No"/>
  </r>
  <r>
    <x v="548"/>
    <x v="60"/>
    <x v="4"/>
    <s v="East"/>
    <x v="2"/>
    <x v="1"/>
    <x v="4"/>
    <s v="North"/>
    <x v="0"/>
    <n v="3.1"/>
    <n v="193"/>
    <n v="6"/>
    <d v="2024-03-08T00:00:00"/>
    <n v="7"/>
    <n v="1"/>
    <x v="1"/>
    <x v="2"/>
    <n v="62.258064516129032"/>
    <n v="5"/>
    <s v="No"/>
  </r>
  <r>
    <x v="549"/>
    <x v="3"/>
    <x v="0"/>
    <s v="South"/>
    <x v="5"/>
    <x v="2"/>
    <x v="0"/>
    <s v="East"/>
    <x v="0"/>
    <n v="2.4"/>
    <n v="236"/>
    <n v="8"/>
    <d v="2024-01-22T00:00:00"/>
    <n v="9"/>
    <n v="1"/>
    <x v="1"/>
    <x v="2"/>
    <n v="98.333333333333343"/>
    <n v="3"/>
    <s v="No"/>
  </r>
  <r>
    <x v="550"/>
    <x v="32"/>
    <x v="4"/>
    <s v="East"/>
    <x v="0"/>
    <x v="2"/>
    <x v="1"/>
    <s v="North"/>
    <x v="0"/>
    <n v="2.2000000000000002"/>
    <n v="318"/>
    <n v="8"/>
    <d v="2024-05-28T00:00:00"/>
    <n v="7"/>
    <n v="-1"/>
    <x v="0"/>
    <x v="0"/>
    <n v="144.54545454545453"/>
    <n v="4"/>
    <s v="No"/>
  </r>
  <r>
    <x v="551"/>
    <x v="38"/>
    <x v="3"/>
    <s v="South"/>
    <x v="4"/>
    <x v="1"/>
    <x v="0"/>
    <s v="South"/>
    <x v="1"/>
    <n v="8"/>
    <n v="111"/>
    <n v="4"/>
    <d v="2024-03-11T00:00:00"/>
    <n v="5"/>
    <n v="1"/>
    <x v="1"/>
    <x v="2"/>
    <n v="13.875"/>
    <n v="3"/>
    <s v="Yes"/>
  </r>
  <r>
    <x v="552"/>
    <x v="154"/>
    <x v="4"/>
    <s v="East"/>
    <x v="1"/>
    <x v="0"/>
    <x v="5"/>
    <s v="South"/>
    <x v="0"/>
    <n v="10"/>
    <n v="3105"/>
    <n v="4"/>
    <d v="2024-01-06T00:00:00"/>
    <n v="5"/>
    <n v="1"/>
    <x v="1"/>
    <x v="1"/>
    <n v="310.5"/>
    <n v="0"/>
    <s v="Yes"/>
  </r>
  <r>
    <x v="553"/>
    <x v="125"/>
    <x v="0"/>
    <s v="South"/>
    <x v="7"/>
    <x v="1"/>
    <x v="4"/>
    <s v="East"/>
    <x v="0"/>
    <n v="3.5"/>
    <n v="237"/>
    <n v="6"/>
    <d v="2024-03-20T00:00:00"/>
    <n v="8"/>
    <n v="2"/>
    <x v="1"/>
    <x v="2"/>
    <n v="67.714285714285708"/>
    <n v="3"/>
    <s v="Yes"/>
  </r>
  <r>
    <x v="554"/>
    <x v="103"/>
    <x v="2"/>
    <s v="North"/>
    <x v="0"/>
    <x v="1"/>
    <x v="4"/>
    <s v="West"/>
    <x v="0"/>
    <n v="64.5"/>
    <n v="165"/>
    <n v="6"/>
    <d v="2024-04-16T00:00:00"/>
    <n v="6"/>
    <n v="0"/>
    <x v="0"/>
    <x v="0"/>
    <n v="2.558139534883721"/>
    <n v="4"/>
    <s v="No"/>
  </r>
  <r>
    <x v="555"/>
    <x v="22"/>
    <x v="0"/>
    <s v="South"/>
    <x v="2"/>
    <x v="1"/>
    <x v="4"/>
    <s v="North"/>
    <x v="0"/>
    <n v="2.6"/>
    <n v="161"/>
    <n v="6"/>
    <d v="2024-03-26T00:00:00"/>
    <n v="7"/>
    <n v="1"/>
    <x v="1"/>
    <x v="2"/>
    <n v="61.92307692307692"/>
    <n v="1"/>
    <s v="No"/>
  </r>
  <r>
    <x v="556"/>
    <x v="108"/>
    <x v="6"/>
    <s v="Unknown"/>
    <x v="2"/>
    <x v="2"/>
    <x v="2"/>
    <s v="West"/>
    <x v="0"/>
    <n v="1.4"/>
    <n v="346"/>
    <n v="8"/>
    <d v="2024-05-05T00:00:00"/>
    <n v="15"/>
    <n v="7"/>
    <x v="1"/>
    <x v="2"/>
    <n v="247.14285714285717"/>
    <n v="5"/>
    <s v="No"/>
  </r>
  <r>
    <x v="557"/>
    <x v="61"/>
    <x v="0"/>
    <s v="South"/>
    <x v="2"/>
    <x v="1"/>
    <x v="1"/>
    <s v="South"/>
    <x v="1"/>
    <n v="0.7"/>
    <n v="286"/>
    <n v="4"/>
    <d v="2024-06-27T00:00:00"/>
    <n v="10"/>
    <n v="6"/>
    <x v="1"/>
    <x v="2"/>
    <n v="408.57142857142861"/>
    <n v="3"/>
    <s v="Yes"/>
  </r>
  <r>
    <x v="558"/>
    <x v="34"/>
    <x v="1"/>
    <s v="West"/>
    <x v="4"/>
    <x v="2"/>
    <x v="5"/>
    <s v="West"/>
    <x v="1"/>
    <n v="11.4"/>
    <n v="627"/>
    <n v="6"/>
    <d v="2024-05-17T00:00:00"/>
    <n v="6"/>
    <n v="0"/>
    <x v="0"/>
    <x v="0"/>
    <n v="55"/>
    <n v="5"/>
    <s v="No"/>
  </r>
  <r>
    <x v="559"/>
    <x v="58"/>
    <x v="2"/>
    <s v="North"/>
    <x v="1"/>
    <x v="0"/>
    <x v="2"/>
    <s v="East"/>
    <x v="0"/>
    <n v="13.4"/>
    <n v="1104"/>
    <n v="4"/>
    <d v="2024-04-01T00:00:00"/>
    <n v="4"/>
    <n v="0"/>
    <x v="0"/>
    <x v="0"/>
    <n v="82.388059701492537"/>
    <n v="4"/>
    <s v="No"/>
  </r>
  <r>
    <x v="560"/>
    <x v="136"/>
    <x v="4"/>
    <s v="East"/>
    <x v="1"/>
    <x v="0"/>
    <x v="3"/>
    <s v="East"/>
    <x v="1"/>
    <n v="46.6"/>
    <n v="117"/>
    <n v="2"/>
    <d v="2024-03-13T00:00:00"/>
    <n v="2"/>
    <n v="0"/>
    <x v="0"/>
    <x v="0"/>
    <n v="2.5107296137339055"/>
    <n v="5"/>
    <s v="No"/>
  </r>
  <r>
    <x v="561"/>
    <x v="35"/>
    <x v="3"/>
    <s v="South"/>
    <x v="0"/>
    <x v="0"/>
    <x v="5"/>
    <s v="South"/>
    <x v="1"/>
    <n v="20.100000000000001"/>
    <n v="1630"/>
    <n v="2"/>
    <d v="2024-01-25T00:00:00"/>
    <n v="4"/>
    <n v="2"/>
    <x v="1"/>
    <x v="2"/>
    <n v="81.094527363184071"/>
    <n v="3"/>
    <s v="No"/>
  </r>
  <r>
    <x v="562"/>
    <x v="97"/>
    <x v="0"/>
    <s v="South"/>
    <x v="5"/>
    <x v="2"/>
    <x v="3"/>
    <s v="West"/>
    <x v="0"/>
    <n v="1.3"/>
    <n v="257"/>
    <n v="8"/>
    <d v="2024-03-06T00:00:00"/>
    <n v="13"/>
    <n v="5"/>
    <x v="1"/>
    <x v="2"/>
    <n v="197.69230769230768"/>
    <n v="2"/>
    <s v="Yes"/>
  </r>
  <r>
    <x v="563"/>
    <x v="22"/>
    <x v="0"/>
    <s v="South"/>
    <x v="2"/>
    <x v="2"/>
    <x v="0"/>
    <s v="South"/>
    <x v="1"/>
    <n v="35.1"/>
    <n v="80"/>
    <n v="6"/>
    <d v="2024-04-01T00:00:00"/>
    <n v="13"/>
    <n v="7"/>
    <x v="1"/>
    <x v="1"/>
    <n v="2.2792022792022792"/>
    <n v="0"/>
    <s v="No"/>
  </r>
  <r>
    <x v="564"/>
    <x v="158"/>
    <x v="3"/>
    <s v="South"/>
    <x v="0"/>
    <x v="1"/>
    <x v="5"/>
    <s v="West"/>
    <x v="0"/>
    <n v="5.6"/>
    <n v="711"/>
    <n v="6"/>
    <d v="2024-05-29T00:00:00"/>
    <n v="14"/>
    <n v="8"/>
    <x v="1"/>
    <x v="2"/>
    <n v="126.96428571428572"/>
    <n v="4"/>
    <s v="No"/>
  </r>
  <r>
    <x v="565"/>
    <x v="148"/>
    <x v="3"/>
    <s v="South"/>
    <x v="2"/>
    <x v="2"/>
    <x v="2"/>
    <s v="West"/>
    <x v="0"/>
    <n v="1.9"/>
    <n v="478"/>
    <n v="8"/>
    <d v="2024-05-14T00:00:00"/>
    <n v="7"/>
    <n v="-1"/>
    <x v="0"/>
    <x v="0"/>
    <n v="251.57894736842107"/>
    <n v="4"/>
    <s v="Yes"/>
  </r>
  <r>
    <x v="566"/>
    <x v="143"/>
    <x v="3"/>
    <s v="South"/>
    <x v="2"/>
    <x v="2"/>
    <x v="1"/>
    <s v="North"/>
    <x v="0"/>
    <n v="25.5"/>
    <n v="427"/>
    <n v="8"/>
    <d v="2024-05-16T00:00:00"/>
    <n v="7"/>
    <n v="-1"/>
    <x v="0"/>
    <x v="0"/>
    <n v="16.745098039215687"/>
    <n v="5"/>
    <s v="No"/>
  </r>
  <r>
    <x v="567"/>
    <x v="156"/>
    <x v="4"/>
    <s v="East"/>
    <x v="1"/>
    <x v="1"/>
    <x v="2"/>
    <s v="West"/>
    <x v="0"/>
    <n v="21.7"/>
    <n v="1012"/>
    <n v="6"/>
    <d v="2024-05-17T00:00:00"/>
    <n v="5"/>
    <n v="-1"/>
    <x v="0"/>
    <x v="0"/>
    <n v="46.635944700460833"/>
    <n v="5"/>
    <s v="No"/>
  </r>
  <r>
    <x v="568"/>
    <x v="25"/>
    <x v="1"/>
    <s v="West"/>
    <x v="2"/>
    <x v="2"/>
    <x v="5"/>
    <s v="West"/>
    <x v="1"/>
    <n v="16"/>
    <n v="415"/>
    <n v="6"/>
    <d v="2024-02-09T00:00:00"/>
    <n v="8"/>
    <n v="2"/>
    <x v="1"/>
    <x v="2"/>
    <n v="25.9375"/>
    <n v="2"/>
    <s v="Yes"/>
  </r>
  <r>
    <x v="569"/>
    <x v="95"/>
    <x v="2"/>
    <s v="North"/>
    <x v="4"/>
    <x v="0"/>
    <x v="0"/>
    <s v="North"/>
    <x v="1"/>
    <n v="37.5"/>
    <n v="245"/>
    <n v="2"/>
    <d v="2024-02-05T00:00:00"/>
    <n v="3"/>
    <n v="1"/>
    <x v="1"/>
    <x v="1"/>
    <n v="6.5333333333333332"/>
    <n v="0"/>
    <s v="Yes"/>
  </r>
  <r>
    <x v="570"/>
    <x v="109"/>
    <x v="5"/>
    <s v="West"/>
    <x v="1"/>
    <x v="1"/>
    <x v="2"/>
    <s v="West"/>
    <x v="1"/>
    <n v="27.4"/>
    <n v="155"/>
    <n v="4"/>
    <d v="2024-06-22T00:00:00"/>
    <n v="4"/>
    <n v="0"/>
    <x v="0"/>
    <x v="0"/>
    <n v="5.6569343065693429"/>
    <n v="5"/>
    <s v="Yes"/>
  </r>
  <r>
    <x v="571"/>
    <x v="132"/>
    <x v="2"/>
    <s v="North"/>
    <x v="0"/>
    <x v="1"/>
    <x v="3"/>
    <s v="West"/>
    <x v="0"/>
    <n v="5.5"/>
    <n v="313"/>
    <n v="6"/>
    <d v="2024-04-22T00:00:00"/>
    <n v="7"/>
    <n v="1"/>
    <x v="1"/>
    <x v="2"/>
    <n v="56.909090909090907"/>
    <n v="4"/>
    <s v="No"/>
  </r>
  <r>
    <x v="572"/>
    <x v="68"/>
    <x v="0"/>
    <s v="South"/>
    <x v="4"/>
    <x v="1"/>
    <x v="2"/>
    <s v="West"/>
    <x v="0"/>
    <n v="5.9"/>
    <n v="407"/>
    <n v="6"/>
    <d v="2024-06-14T00:00:00"/>
    <n v="5"/>
    <n v="-1"/>
    <x v="0"/>
    <x v="0"/>
    <n v="68.983050847457619"/>
    <n v="5"/>
    <s v="No"/>
  </r>
  <r>
    <x v="573"/>
    <x v="2"/>
    <x v="2"/>
    <s v="North"/>
    <x v="3"/>
    <x v="2"/>
    <x v="1"/>
    <s v="South"/>
    <x v="0"/>
    <n v="6.3"/>
    <n v="349"/>
    <n v="8"/>
    <d v="2024-05-30T00:00:00"/>
    <n v="7"/>
    <n v="-1"/>
    <x v="0"/>
    <x v="3"/>
    <n v="55.396825396825399"/>
    <n v="0"/>
    <s v="No"/>
  </r>
  <r>
    <x v="574"/>
    <x v="118"/>
    <x v="2"/>
    <s v="North"/>
    <x v="4"/>
    <x v="1"/>
    <x v="3"/>
    <s v="East"/>
    <x v="0"/>
    <n v="10.8"/>
    <n v="295"/>
    <n v="6"/>
    <d v="2024-06-13T00:00:00"/>
    <n v="5"/>
    <n v="-1"/>
    <x v="0"/>
    <x v="0"/>
    <n v="27.314814814814813"/>
    <n v="5"/>
    <s v="No"/>
  </r>
  <r>
    <x v="575"/>
    <x v="4"/>
    <x v="4"/>
    <s v="East"/>
    <x v="2"/>
    <x v="1"/>
    <x v="4"/>
    <s v="West"/>
    <x v="0"/>
    <n v="12.3"/>
    <n v="164"/>
    <n v="6"/>
    <d v="2024-04-25T00:00:00"/>
    <n v="9"/>
    <n v="3"/>
    <x v="1"/>
    <x v="2"/>
    <n v="13.333333333333332"/>
    <n v="3"/>
    <s v="No"/>
  </r>
  <r>
    <x v="576"/>
    <x v="55"/>
    <x v="2"/>
    <s v="North"/>
    <x v="5"/>
    <x v="0"/>
    <x v="4"/>
    <s v="North"/>
    <x v="1"/>
    <n v="6.2"/>
    <n v="259"/>
    <n v="2"/>
    <d v="2024-04-25T00:00:00"/>
    <n v="2"/>
    <n v="0"/>
    <x v="0"/>
    <x v="0"/>
    <n v="41.774193548387096"/>
    <n v="5"/>
    <s v="Yes"/>
  </r>
  <r>
    <x v="577"/>
    <x v="39"/>
    <x v="3"/>
    <s v="South"/>
    <x v="2"/>
    <x v="0"/>
    <x v="4"/>
    <s v="South"/>
    <x v="1"/>
    <n v="0.9"/>
    <n v="230"/>
    <n v="2"/>
    <d v="2024-05-21T00:00:00"/>
    <n v="1"/>
    <n v="-1"/>
    <x v="0"/>
    <x v="0"/>
    <n v="255.55555555555554"/>
    <n v="4"/>
    <s v="No"/>
  </r>
  <r>
    <x v="578"/>
    <x v="101"/>
    <x v="3"/>
    <s v="South"/>
    <x v="0"/>
    <x v="0"/>
    <x v="5"/>
    <s v="West"/>
    <x v="0"/>
    <n v="4.8"/>
    <n v="1221"/>
    <n v="4"/>
    <d v="2024-05-15T00:00:00"/>
    <n v="12"/>
    <n v="8"/>
    <x v="1"/>
    <x v="2"/>
    <n v="254.375"/>
    <n v="4"/>
    <s v="No"/>
  </r>
  <r>
    <x v="579"/>
    <x v="127"/>
    <x v="5"/>
    <s v="West"/>
    <x v="4"/>
    <x v="0"/>
    <x v="1"/>
    <s v="North"/>
    <x v="0"/>
    <n v="4.8"/>
    <n v="743"/>
    <n v="4"/>
    <d v="2024-06-01T00:00:00"/>
    <n v="4"/>
    <n v="0"/>
    <x v="0"/>
    <x v="0"/>
    <n v="154.79166666666669"/>
    <n v="5"/>
    <s v="No"/>
  </r>
  <r>
    <x v="580"/>
    <x v="5"/>
    <x v="3"/>
    <s v="South"/>
    <x v="3"/>
    <x v="2"/>
    <x v="2"/>
    <s v="North"/>
    <x v="0"/>
    <n v="10"/>
    <n v="592"/>
    <n v="8"/>
    <d v="2024-04-02T00:00:00"/>
    <n v="9"/>
    <n v="1"/>
    <x v="1"/>
    <x v="2"/>
    <n v="59.2"/>
    <n v="3"/>
    <s v="No"/>
  </r>
  <r>
    <x v="581"/>
    <x v="20"/>
    <x v="0"/>
    <s v="South"/>
    <x v="4"/>
    <x v="2"/>
    <x v="2"/>
    <s v="South"/>
    <x v="1"/>
    <n v="23"/>
    <n v="483"/>
    <n v="6"/>
    <d v="2024-01-14T00:00:00"/>
    <n v="7"/>
    <n v="1"/>
    <x v="1"/>
    <x v="2"/>
    <n v="21"/>
    <n v="3"/>
    <s v="No"/>
  </r>
  <r>
    <x v="582"/>
    <x v="59"/>
    <x v="4"/>
    <s v="East"/>
    <x v="2"/>
    <x v="0"/>
    <x v="1"/>
    <s v="North"/>
    <x v="0"/>
    <n v="13.6"/>
    <n v="414"/>
    <n v="4"/>
    <d v="2024-05-24T00:00:00"/>
    <n v="5"/>
    <n v="1"/>
    <x v="1"/>
    <x v="2"/>
    <n v="30.441176470588236"/>
    <n v="5"/>
    <s v="No"/>
  </r>
  <r>
    <x v="583"/>
    <x v="107"/>
    <x v="4"/>
    <s v="East"/>
    <x v="3"/>
    <x v="1"/>
    <x v="0"/>
    <s v="South"/>
    <x v="0"/>
    <n v="31.1"/>
    <n v="339"/>
    <n v="6"/>
    <d v="2024-06-10T00:00:00"/>
    <n v="7"/>
    <n v="1"/>
    <x v="1"/>
    <x v="2"/>
    <n v="10.90032154340836"/>
    <n v="2"/>
    <s v="No"/>
  </r>
  <r>
    <x v="584"/>
    <x v="157"/>
    <x v="5"/>
    <s v="West"/>
    <x v="4"/>
    <x v="1"/>
    <x v="1"/>
    <s v="North"/>
    <x v="0"/>
    <n v="31.3"/>
    <n v="572"/>
    <n v="6"/>
    <d v="2024-03-11T00:00:00"/>
    <n v="7"/>
    <n v="1"/>
    <x v="1"/>
    <x v="2"/>
    <n v="18.274760383386582"/>
    <n v="4"/>
    <s v="No"/>
  </r>
  <r>
    <x v="585"/>
    <x v="160"/>
    <x v="0"/>
    <s v="South"/>
    <x v="7"/>
    <x v="0"/>
    <x v="5"/>
    <s v="West"/>
    <x v="0"/>
    <n v="5.4"/>
    <n v="3540"/>
    <n v="4"/>
    <d v="2024-01-09T00:00:00"/>
    <n v="5"/>
    <n v="1"/>
    <x v="1"/>
    <x v="2"/>
    <n v="655.55555555555554"/>
    <n v="4"/>
    <s v="No"/>
  </r>
  <r>
    <x v="586"/>
    <x v="44"/>
    <x v="4"/>
    <s v="East"/>
    <x v="0"/>
    <x v="1"/>
    <x v="4"/>
    <s v="East"/>
    <x v="1"/>
    <n v="7.6"/>
    <n v="142"/>
    <n v="4"/>
    <d v="2024-04-12T00:00:00"/>
    <n v="3"/>
    <n v="-1"/>
    <x v="0"/>
    <x v="0"/>
    <n v="18.684210526315791"/>
    <n v="3"/>
    <s v="No"/>
  </r>
  <r>
    <x v="587"/>
    <x v="20"/>
    <x v="2"/>
    <s v="North"/>
    <x v="2"/>
    <x v="0"/>
    <x v="5"/>
    <s v="South"/>
    <x v="0"/>
    <n v="18.7"/>
    <n v="2792"/>
    <n v="4"/>
    <d v="2024-01-13T00:00:00"/>
    <n v="6"/>
    <n v="2"/>
    <x v="1"/>
    <x v="2"/>
    <n v="149.30481283422461"/>
    <n v="4"/>
    <s v="No"/>
  </r>
  <r>
    <x v="588"/>
    <x v="53"/>
    <x v="4"/>
    <s v="East"/>
    <x v="5"/>
    <x v="0"/>
    <x v="1"/>
    <s v="East"/>
    <x v="1"/>
    <n v="74.599999999999994"/>
    <n v="510"/>
    <n v="2"/>
    <d v="2024-01-27T00:00:00"/>
    <n v="10"/>
    <n v="8"/>
    <x v="1"/>
    <x v="2"/>
    <n v="6.8364611260053625"/>
    <n v="2"/>
    <s v="No"/>
  </r>
  <r>
    <x v="589"/>
    <x v="114"/>
    <x v="3"/>
    <s v="South"/>
    <x v="4"/>
    <x v="1"/>
    <x v="0"/>
    <s v="East"/>
    <x v="0"/>
    <n v="4.5"/>
    <n v="374"/>
    <n v="6"/>
    <d v="2024-02-15T00:00:00"/>
    <n v="5"/>
    <n v="-1"/>
    <x v="0"/>
    <x v="0"/>
    <n v="83.111111111111114"/>
    <n v="4"/>
    <s v="Yes"/>
  </r>
  <r>
    <x v="590"/>
    <x v="144"/>
    <x v="0"/>
    <s v="South"/>
    <x v="0"/>
    <x v="2"/>
    <x v="2"/>
    <s v="West"/>
    <x v="0"/>
    <n v="59.1"/>
    <n v="729"/>
    <n v="8"/>
    <d v="2024-05-10T00:00:00"/>
    <n v="15"/>
    <n v="7"/>
    <x v="1"/>
    <x v="2"/>
    <n v="12.335025380710659"/>
    <n v="5"/>
    <s v="No"/>
  </r>
  <r>
    <x v="591"/>
    <x v="102"/>
    <x v="4"/>
    <s v="East"/>
    <x v="2"/>
    <x v="0"/>
    <x v="5"/>
    <s v="West"/>
    <x v="0"/>
    <n v="11.9"/>
    <n v="2546"/>
    <n v="4"/>
    <d v="2024-04-11T00:00:00"/>
    <n v="4"/>
    <n v="0"/>
    <x v="0"/>
    <x v="0"/>
    <n v="213.94957983193277"/>
    <n v="5"/>
    <s v="Yes"/>
  </r>
  <r>
    <x v="592"/>
    <x v="78"/>
    <x v="4"/>
    <s v="East"/>
    <x v="2"/>
    <x v="2"/>
    <x v="4"/>
    <s v="West"/>
    <x v="0"/>
    <n v="10.7"/>
    <n v="161"/>
    <n v="8"/>
    <d v="2024-04-04T00:00:00"/>
    <n v="9"/>
    <n v="1"/>
    <x v="1"/>
    <x v="2"/>
    <n v="15.046728971962617"/>
    <n v="2"/>
    <s v="Yes"/>
  </r>
  <r>
    <x v="593"/>
    <x v="71"/>
    <x v="4"/>
    <s v="East"/>
    <x v="5"/>
    <x v="0"/>
    <x v="0"/>
    <s v="West"/>
    <x v="0"/>
    <n v="38.5"/>
    <n v="388"/>
    <n v="4"/>
    <d v="2024-06-17T00:00:00"/>
    <n v="3"/>
    <n v="-1"/>
    <x v="0"/>
    <x v="0"/>
    <n v="10.077922077922079"/>
    <n v="4"/>
    <s v="Yes"/>
  </r>
  <r>
    <x v="594"/>
    <x v="74"/>
    <x v="5"/>
    <s v="West"/>
    <x v="2"/>
    <x v="0"/>
    <x v="1"/>
    <s v="West"/>
    <x v="1"/>
    <n v="53.8"/>
    <n v="268"/>
    <n v="2"/>
    <d v="2024-02-12T00:00:00"/>
    <n v="1"/>
    <n v="-1"/>
    <x v="0"/>
    <x v="0"/>
    <n v="4.981412639405205"/>
    <n v="5"/>
    <s v="No"/>
  </r>
  <r>
    <x v="595"/>
    <x v="20"/>
    <x v="2"/>
    <s v="North"/>
    <x v="2"/>
    <x v="1"/>
    <x v="0"/>
    <s v="East"/>
    <x v="0"/>
    <n v="2.7"/>
    <n v="513"/>
    <n v="6"/>
    <d v="2024-01-13T00:00:00"/>
    <n v="6"/>
    <n v="0"/>
    <x v="0"/>
    <x v="0"/>
    <n v="190"/>
    <n v="3"/>
    <s v="No"/>
  </r>
  <r>
    <x v="596"/>
    <x v="25"/>
    <x v="2"/>
    <s v="North"/>
    <x v="4"/>
    <x v="2"/>
    <x v="3"/>
    <s v="East"/>
    <x v="0"/>
    <n v="5.6"/>
    <n v="212"/>
    <n v="8"/>
    <d v="2024-02-10T00:00:00"/>
    <n v="9"/>
    <n v="1"/>
    <x v="1"/>
    <x v="2"/>
    <n v="37.857142857142861"/>
    <n v="2"/>
    <s v="No"/>
  </r>
  <r>
    <x v="597"/>
    <x v="94"/>
    <x v="1"/>
    <s v="West"/>
    <x v="5"/>
    <x v="2"/>
    <x v="5"/>
    <s v="West"/>
    <x v="1"/>
    <n v="4.9000000000000004"/>
    <n v="541"/>
    <n v="6"/>
    <d v="2024-04-12T00:00:00"/>
    <n v="7"/>
    <n v="1"/>
    <x v="1"/>
    <x v="2"/>
    <n v="110.40816326530611"/>
    <n v="1"/>
    <s v="No"/>
  </r>
  <r>
    <x v="598"/>
    <x v="136"/>
    <x v="2"/>
    <s v="North"/>
    <x v="7"/>
    <x v="2"/>
    <x v="5"/>
    <s v="North"/>
    <x v="1"/>
    <n v="13.8"/>
    <n v="656"/>
    <n v="6"/>
    <d v="2024-03-26T00:00:00"/>
    <n v="15"/>
    <n v="9"/>
    <x v="1"/>
    <x v="2"/>
    <n v="47.536231884057969"/>
    <n v="4"/>
    <s v="Yes"/>
  </r>
  <r>
    <x v="599"/>
    <x v="7"/>
    <x v="0"/>
    <s v="South"/>
    <x v="1"/>
    <x v="1"/>
    <x v="5"/>
    <s v="East"/>
    <x v="0"/>
    <n v="16.100000000000001"/>
    <n v="584"/>
    <n v="6"/>
    <d v="2024-01-31T00:00:00"/>
    <n v="6"/>
    <n v="0"/>
    <x v="0"/>
    <x v="0"/>
    <n v="36.273291925465834"/>
    <n v="4"/>
    <s v="Yes"/>
  </r>
  <r>
    <x v="600"/>
    <x v="1"/>
    <x v="5"/>
    <s v="West"/>
    <x v="5"/>
    <x v="2"/>
    <x v="3"/>
    <s v="South"/>
    <x v="0"/>
    <n v="1.4"/>
    <n v="174"/>
    <n v="8"/>
    <d v="2024-06-17T00:00:00"/>
    <n v="7"/>
    <n v="-1"/>
    <x v="0"/>
    <x v="0"/>
    <n v="124.28571428571429"/>
    <n v="4"/>
    <s v="No"/>
  </r>
  <r>
    <x v="601"/>
    <x v="113"/>
    <x v="2"/>
    <s v="North"/>
    <x v="2"/>
    <x v="2"/>
    <x v="1"/>
    <s v="West"/>
    <x v="0"/>
    <n v="39.9"/>
    <n v="315"/>
    <n v="8"/>
    <d v="2024-04-25T00:00:00"/>
    <n v="8"/>
    <n v="0"/>
    <x v="0"/>
    <x v="0"/>
    <n v="7.8947368421052637"/>
    <n v="4"/>
    <s v="No"/>
  </r>
  <r>
    <x v="602"/>
    <x v="161"/>
    <x v="2"/>
    <s v="North"/>
    <x v="3"/>
    <x v="1"/>
    <x v="2"/>
    <s v="East"/>
    <x v="0"/>
    <n v="45.5"/>
    <n v="977"/>
    <n v="6"/>
    <d v="2024-04-18T00:00:00"/>
    <n v="5"/>
    <n v="-1"/>
    <x v="0"/>
    <x v="0"/>
    <n v="21.472527472527471"/>
    <n v="5"/>
    <s v="Yes"/>
  </r>
  <r>
    <x v="603"/>
    <x v="61"/>
    <x v="1"/>
    <s v="West"/>
    <x v="4"/>
    <x v="1"/>
    <x v="2"/>
    <s v="West"/>
    <x v="1"/>
    <n v="19.600000000000001"/>
    <n v="776"/>
    <n v="4"/>
    <d v="2024-06-25T00:00:00"/>
    <n v="8"/>
    <n v="4"/>
    <x v="1"/>
    <x v="1"/>
    <n v="39.591836734693878"/>
    <n v="0"/>
    <s v="Yes"/>
  </r>
  <r>
    <x v="604"/>
    <x v="88"/>
    <x v="4"/>
    <s v="East"/>
    <x v="1"/>
    <x v="2"/>
    <x v="3"/>
    <s v="South"/>
    <x v="0"/>
    <n v="1.7"/>
    <n v="219"/>
    <n v="8"/>
    <d v="2024-01-26T00:00:00"/>
    <n v="8"/>
    <n v="0"/>
    <x v="0"/>
    <x v="0"/>
    <n v="128.8235294117647"/>
    <n v="5"/>
    <s v="No"/>
  </r>
  <r>
    <x v="605"/>
    <x v="48"/>
    <x v="5"/>
    <s v="West"/>
    <x v="2"/>
    <x v="2"/>
    <x v="2"/>
    <s v="South"/>
    <x v="0"/>
    <n v="10.8"/>
    <n v="629"/>
    <n v="8"/>
    <d v="2024-04-01T00:00:00"/>
    <n v="7"/>
    <n v="-1"/>
    <x v="0"/>
    <x v="0"/>
    <n v="58.240740740740733"/>
    <n v="3"/>
    <s v="No"/>
  </r>
  <r>
    <x v="606"/>
    <x v="162"/>
    <x v="5"/>
    <s v="West"/>
    <x v="2"/>
    <x v="1"/>
    <x v="4"/>
    <s v="South"/>
    <x v="0"/>
    <n v="37.1"/>
    <n v="209"/>
    <n v="6"/>
    <d v="2024-04-09T00:00:00"/>
    <n v="5"/>
    <n v="-1"/>
    <x v="0"/>
    <x v="0"/>
    <n v="5.6334231805929917"/>
    <n v="4"/>
    <s v="No"/>
  </r>
  <r>
    <x v="607"/>
    <x v="104"/>
    <x v="3"/>
    <s v="South"/>
    <x v="5"/>
    <x v="0"/>
    <x v="5"/>
    <s v="North"/>
    <x v="0"/>
    <n v="34.5"/>
    <n v="2549"/>
    <n v="4"/>
    <d v="2024-03-12T00:00:00"/>
    <n v="5"/>
    <n v="1"/>
    <x v="1"/>
    <x v="1"/>
    <n v="73.884057971014499"/>
    <n v="0"/>
    <s v="No"/>
  </r>
  <r>
    <x v="608"/>
    <x v="73"/>
    <x v="0"/>
    <s v="South"/>
    <x v="0"/>
    <x v="1"/>
    <x v="0"/>
    <s v="South"/>
    <x v="1"/>
    <n v="3.9"/>
    <n v="177"/>
    <n v="4"/>
    <d v="2024-03-15T00:00:00"/>
    <n v="5"/>
    <n v="1"/>
    <x v="1"/>
    <x v="2"/>
    <n v="45.384615384615387"/>
    <n v="4"/>
    <s v="Yes"/>
  </r>
  <r>
    <x v="609"/>
    <x v="91"/>
    <x v="2"/>
    <s v="North"/>
    <x v="2"/>
    <x v="2"/>
    <x v="3"/>
    <s v="East"/>
    <x v="0"/>
    <n v="34"/>
    <n v="223"/>
    <n v="8"/>
    <d v="2024-04-25T00:00:00"/>
    <n v="13"/>
    <n v="5"/>
    <x v="1"/>
    <x v="2"/>
    <n v="6.5588235294117645"/>
    <n v="4"/>
    <s v="No"/>
  </r>
  <r>
    <x v="610"/>
    <x v="117"/>
    <x v="5"/>
    <s v="West"/>
    <x v="4"/>
    <x v="0"/>
    <x v="5"/>
    <s v="South"/>
    <x v="0"/>
    <n v="3.4"/>
    <n v="2906"/>
    <n v="4"/>
    <d v="2024-05-28T00:00:00"/>
    <n v="4"/>
    <n v="0"/>
    <x v="0"/>
    <x v="0"/>
    <n v="854.70588235294122"/>
    <n v="5"/>
    <s v="Yes"/>
  </r>
  <r>
    <x v="611"/>
    <x v="34"/>
    <x v="1"/>
    <s v="West"/>
    <x v="1"/>
    <x v="1"/>
    <x v="4"/>
    <s v="North"/>
    <x v="0"/>
    <n v="53.7"/>
    <n v="202"/>
    <n v="6"/>
    <d v="2024-05-17T00:00:00"/>
    <n v="6"/>
    <n v="0"/>
    <x v="0"/>
    <x v="0"/>
    <n v="3.7616387337057726"/>
    <n v="4"/>
    <s v="Yes"/>
  </r>
  <r>
    <x v="612"/>
    <x v="124"/>
    <x v="0"/>
    <s v="South"/>
    <x v="5"/>
    <x v="2"/>
    <x v="2"/>
    <s v="North"/>
    <x v="0"/>
    <n v="7"/>
    <n v="656"/>
    <n v="8"/>
    <d v="2024-03-30T00:00:00"/>
    <n v="9"/>
    <n v="1"/>
    <x v="1"/>
    <x v="2"/>
    <n v="93.714285714285708"/>
    <n v="4"/>
    <s v="Yes"/>
  </r>
  <r>
    <x v="613"/>
    <x v="161"/>
    <x v="2"/>
    <s v="North"/>
    <x v="4"/>
    <x v="1"/>
    <x v="2"/>
    <s v="West"/>
    <x v="0"/>
    <n v="2.7"/>
    <n v="608"/>
    <n v="6"/>
    <d v="2024-04-18T00:00:00"/>
    <n v="5"/>
    <n v="-1"/>
    <x v="0"/>
    <x v="0"/>
    <n v="225.18518518518516"/>
    <n v="5"/>
    <s v="Yes"/>
  </r>
  <r>
    <x v="614"/>
    <x v="55"/>
    <x v="1"/>
    <s v="West"/>
    <x v="7"/>
    <x v="1"/>
    <x v="2"/>
    <s v="South"/>
    <x v="0"/>
    <n v="61.8"/>
    <n v="742"/>
    <n v="6"/>
    <d v="2024-04-29T00:00:00"/>
    <n v="6"/>
    <n v="0"/>
    <x v="0"/>
    <x v="0"/>
    <n v="12.006472491909385"/>
    <n v="5"/>
    <s v="No"/>
  </r>
  <r>
    <x v="615"/>
    <x v="145"/>
    <x v="4"/>
    <s v="East"/>
    <x v="0"/>
    <x v="2"/>
    <x v="1"/>
    <s v="North"/>
    <x v="0"/>
    <n v="1.5"/>
    <n v="372"/>
    <n v="8"/>
    <d v="2024-06-21T00:00:00"/>
    <n v="8"/>
    <n v="0"/>
    <x v="0"/>
    <x v="0"/>
    <n v="248"/>
    <n v="5"/>
    <s v="No"/>
  </r>
  <r>
    <x v="616"/>
    <x v="114"/>
    <x v="0"/>
    <s v="South"/>
    <x v="3"/>
    <x v="0"/>
    <x v="0"/>
    <s v="East"/>
    <x v="0"/>
    <n v="34.700000000000003"/>
    <n v="384"/>
    <n v="4"/>
    <d v="2024-02-13T00:00:00"/>
    <n v="3"/>
    <n v="-1"/>
    <x v="0"/>
    <x v="0"/>
    <n v="11.066282420749278"/>
    <n v="5"/>
    <s v="Yes"/>
  </r>
  <r>
    <x v="617"/>
    <x v="52"/>
    <x v="1"/>
    <s v="West"/>
    <x v="1"/>
    <x v="2"/>
    <x v="1"/>
    <s v="West"/>
    <x v="1"/>
    <n v="20"/>
    <n v="289"/>
    <n v="6"/>
    <d v="2024-06-18T00:00:00"/>
    <n v="6"/>
    <n v="0"/>
    <x v="0"/>
    <x v="0"/>
    <n v="14.45"/>
    <n v="4"/>
    <s v="No"/>
  </r>
  <r>
    <x v="618"/>
    <x v="86"/>
    <x v="0"/>
    <s v="South"/>
    <x v="2"/>
    <x v="1"/>
    <x v="1"/>
    <s v="West"/>
    <x v="0"/>
    <n v="24.8"/>
    <n v="526"/>
    <n v="6"/>
    <d v="2024-01-17T00:00:00"/>
    <n v="7"/>
    <n v="1"/>
    <x v="1"/>
    <x v="2"/>
    <n v="21.20967741935484"/>
    <n v="3"/>
    <s v="No"/>
  </r>
  <r>
    <x v="619"/>
    <x v="102"/>
    <x v="0"/>
    <s v="South"/>
    <x v="0"/>
    <x v="2"/>
    <x v="4"/>
    <s v="East"/>
    <x v="0"/>
    <n v="14.5"/>
    <n v="208"/>
    <n v="8"/>
    <d v="2024-04-24T00:00:00"/>
    <n v="17"/>
    <n v="9"/>
    <x v="1"/>
    <x v="2"/>
    <n v="14.344827586206897"/>
    <n v="1"/>
    <s v="No"/>
  </r>
  <r>
    <x v="620"/>
    <x v="110"/>
    <x v="0"/>
    <s v="South"/>
    <x v="2"/>
    <x v="2"/>
    <x v="1"/>
    <s v="East"/>
    <x v="0"/>
    <n v="4.0999999999999996"/>
    <n v="284"/>
    <n v="8"/>
    <d v="2024-01-28T00:00:00"/>
    <n v="8"/>
    <n v="0"/>
    <x v="0"/>
    <x v="0"/>
    <n v="69.268292682926841"/>
    <n v="4"/>
    <s v="Yes"/>
  </r>
  <r>
    <x v="621"/>
    <x v="108"/>
    <x v="4"/>
    <s v="East"/>
    <x v="4"/>
    <x v="1"/>
    <x v="5"/>
    <s v="South"/>
    <x v="0"/>
    <n v="17.899999999999999"/>
    <n v="992"/>
    <n v="6"/>
    <d v="2024-04-26T00:00:00"/>
    <n v="6"/>
    <n v="0"/>
    <x v="0"/>
    <x v="0"/>
    <n v="55.418994413407823"/>
    <n v="4"/>
    <s v="No"/>
  </r>
  <r>
    <x v="622"/>
    <x v="141"/>
    <x v="5"/>
    <s v="West"/>
    <x v="4"/>
    <x v="1"/>
    <x v="4"/>
    <s v="South"/>
    <x v="0"/>
    <n v="14.8"/>
    <n v="210"/>
    <n v="6"/>
    <d v="2024-05-23T00:00:00"/>
    <n v="7"/>
    <n v="1"/>
    <x v="1"/>
    <x v="2"/>
    <n v="14.189189189189188"/>
    <n v="4"/>
    <s v="No"/>
  </r>
  <r>
    <x v="623"/>
    <x v="53"/>
    <x v="3"/>
    <s v="South"/>
    <x v="5"/>
    <x v="0"/>
    <x v="2"/>
    <s v="East"/>
    <x v="0"/>
    <n v="3"/>
    <n v="880"/>
    <n v="4"/>
    <d v="2024-01-22T00:00:00"/>
    <n v="5"/>
    <n v="1"/>
    <x v="1"/>
    <x v="2"/>
    <n v="293.33333333333331"/>
    <n v="4"/>
    <s v="Yes"/>
  </r>
  <r>
    <x v="624"/>
    <x v="156"/>
    <x v="0"/>
    <s v="South"/>
    <x v="5"/>
    <x v="0"/>
    <x v="0"/>
    <s v="North"/>
    <x v="0"/>
    <n v="10.3"/>
    <n v="569"/>
    <n v="4"/>
    <d v="2024-05-15T00:00:00"/>
    <n v="3"/>
    <n v="-1"/>
    <x v="0"/>
    <x v="0"/>
    <n v="55.242718446601941"/>
    <n v="5"/>
    <s v="Yes"/>
  </r>
  <r>
    <x v="625"/>
    <x v="48"/>
    <x v="6"/>
    <s v="Unknown"/>
    <x v="2"/>
    <x v="1"/>
    <x v="1"/>
    <s v="East"/>
    <x v="0"/>
    <n v="37.799999999999997"/>
    <n v="395"/>
    <n v="6"/>
    <d v="2024-03-31T00:00:00"/>
    <n v="6"/>
    <n v="0"/>
    <x v="0"/>
    <x v="0"/>
    <n v="10.449735449735451"/>
    <n v="5"/>
    <s v="Yes"/>
  </r>
  <r>
    <x v="626"/>
    <x v="163"/>
    <x v="2"/>
    <s v="North"/>
    <x v="2"/>
    <x v="0"/>
    <x v="5"/>
    <s v="South"/>
    <x v="0"/>
    <n v="3.3"/>
    <n v="1576"/>
    <n v="4"/>
    <d v="2024-04-17T00:00:00"/>
    <n v="3"/>
    <n v="-1"/>
    <x v="0"/>
    <x v="1"/>
    <n v="477.57575757575762"/>
    <n v="0"/>
    <s v="No"/>
  </r>
  <r>
    <x v="627"/>
    <x v="6"/>
    <x v="2"/>
    <s v="North"/>
    <x v="4"/>
    <x v="0"/>
    <x v="3"/>
    <s v="South"/>
    <x v="0"/>
    <n v="16.8"/>
    <n v="472"/>
    <n v="4"/>
    <d v="2024-03-27T00:00:00"/>
    <n v="13"/>
    <n v="9"/>
    <x v="1"/>
    <x v="2"/>
    <n v="28.095238095238095"/>
    <n v="5"/>
    <s v="Yes"/>
  </r>
  <r>
    <x v="628"/>
    <x v="29"/>
    <x v="2"/>
    <s v="North"/>
    <x v="5"/>
    <x v="1"/>
    <x v="0"/>
    <s v="West"/>
    <x v="0"/>
    <n v="9.9"/>
    <n v="264"/>
    <n v="6"/>
    <d v="2024-06-22T00:00:00"/>
    <n v="6"/>
    <n v="0"/>
    <x v="0"/>
    <x v="1"/>
    <n v="26.666666666666664"/>
    <n v="0"/>
    <s v="Yes"/>
  </r>
  <r>
    <x v="629"/>
    <x v="44"/>
    <x v="1"/>
    <s v="West"/>
    <x v="1"/>
    <x v="2"/>
    <x v="0"/>
    <s v="West"/>
    <x v="1"/>
    <n v="9.6"/>
    <n v="186"/>
    <n v="6"/>
    <d v="2024-04-16T00:00:00"/>
    <n v="7"/>
    <n v="1"/>
    <x v="1"/>
    <x v="2"/>
    <n v="19.375"/>
    <n v="3"/>
    <s v="No"/>
  </r>
  <r>
    <x v="630"/>
    <x v="70"/>
    <x v="5"/>
    <s v="West"/>
    <x v="4"/>
    <x v="0"/>
    <x v="2"/>
    <s v="South"/>
    <x v="0"/>
    <n v="30.8"/>
    <n v="1320"/>
    <n v="4"/>
    <d v="2024-04-15T00:00:00"/>
    <n v="7"/>
    <n v="3"/>
    <x v="1"/>
    <x v="2"/>
    <n v="42.857142857142854"/>
    <n v="1"/>
    <s v="Yes"/>
  </r>
  <r>
    <x v="631"/>
    <x v="46"/>
    <x v="4"/>
    <s v="East"/>
    <x v="4"/>
    <x v="1"/>
    <x v="1"/>
    <s v="East"/>
    <x v="1"/>
    <n v="7.6"/>
    <n v="314"/>
    <n v="4"/>
    <d v="2024-01-08T00:00:00"/>
    <n v="5"/>
    <n v="1"/>
    <x v="1"/>
    <x v="2"/>
    <n v="41.315789473684212"/>
    <n v="3"/>
    <s v="Yes"/>
  </r>
  <r>
    <x v="632"/>
    <x v="77"/>
    <x v="0"/>
    <s v="South"/>
    <x v="2"/>
    <x v="0"/>
    <x v="4"/>
    <s v="North"/>
    <x v="0"/>
    <n v="4.5"/>
    <n v="403"/>
    <n v="4"/>
    <d v="2024-05-23T00:00:00"/>
    <n v="5"/>
    <n v="1"/>
    <x v="1"/>
    <x v="2"/>
    <n v="89.555555555555557"/>
    <n v="2"/>
    <s v="Yes"/>
  </r>
  <r>
    <x v="633"/>
    <x v="38"/>
    <x v="3"/>
    <s v="South"/>
    <x v="7"/>
    <x v="2"/>
    <x v="1"/>
    <s v="West"/>
    <x v="0"/>
    <n v="9.6"/>
    <n v="352"/>
    <n v="8"/>
    <d v="2024-03-15T00:00:00"/>
    <n v="9"/>
    <n v="1"/>
    <x v="1"/>
    <x v="2"/>
    <n v="36.666666666666671"/>
    <n v="2"/>
    <s v="No"/>
  </r>
  <r>
    <x v="634"/>
    <x v="5"/>
    <x v="5"/>
    <s v="West"/>
    <x v="0"/>
    <x v="2"/>
    <x v="1"/>
    <s v="East"/>
    <x v="0"/>
    <n v="25.8"/>
    <n v="383"/>
    <n v="8"/>
    <d v="2024-04-03T00:00:00"/>
    <n v="10"/>
    <n v="2"/>
    <x v="1"/>
    <x v="2"/>
    <n v="14.844961240310077"/>
    <n v="3"/>
    <s v="Yes"/>
  </r>
  <r>
    <x v="635"/>
    <x v="3"/>
    <x v="1"/>
    <s v="West"/>
    <x v="5"/>
    <x v="0"/>
    <x v="4"/>
    <s v="East"/>
    <x v="0"/>
    <n v="12.8"/>
    <n v="249"/>
    <n v="4"/>
    <d v="2024-01-18T00:00:00"/>
    <n v="5"/>
    <n v="1"/>
    <x v="1"/>
    <x v="2"/>
    <n v="19.453125"/>
    <n v="1"/>
    <s v="No"/>
  </r>
  <r>
    <x v="636"/>
    <x v="142"/>
    <x v="3"/>
    <s v="South"/>
    <x v="0"/>
    <x v="1"/>
    <x v="2"/>
    <s v="North"/>
    <x v="0"/>
    <n v="4.7"/>
    <n v="836"/>
    <n v="6"/>
    <d v="2024-03-23T00:00:00"/>
    <n v="6"/>
    <n v="0"/>
    <x v="0"/>
    <x v="0"/>
    <n v="177.87234042553192"/>
    <n v="4"/>
    <s v="Yes"/>
  </r>
  <r>
    <x v="637"/>
    <x v="55"/>
    <x v="3"/>
    <s v="South"/>
    <x v="0"/>
    <x v="2"/>
    <x v="4"/>
    <s v="West"/>
    <x v="0"/>
    <n v="11.9"/>
    <n v="227"/>
    <n v="8"/>
    <d v="2024-05-01T00:00:00"/>
    <n v="8"/>
    <n v="0"/>
    <x v="0"/>
    <x v="0"/>
    <n v="19.07563025210084"/>
    <n v="4"/>
    <s v="Yes"/>
  </r>
  <r>
    <x v="638"/>
    <x v="37"/>
    <x v="1"/>
    <s v="West"/>
    <x v="0"/>
    <x v="0"/>
    <x v="5"/>
    <s v="East"/>
    <x v="0"/>
    <n v="16.5"/>
    <n v="3727"/>
    <n v="4"/>
    <d v="2024-01-19T00:00:00"/>
    <n v="11"/>
    <n v="7"/>
    <x v="1"/>
    <x v="2"/>
    <n v="225.87878787878788"/>
    <n v="4"/>
    <s v="Yes"/>
  </r>
  <r>
    <x v="639"/>
    <x v="25"/>
    <x v="2"/>
    <s v="North"/>
    <x v="1"/>
    <x v="2"/>
    <x v="5"/>
    <s v="East"/>
    <x v="0"/>
    <n v="1"/>
    <n v="771"/>
    <n v="8"/>
    <d v="2024-02-09T00:00:00"/>
    <n v="8"/>
    <n v="0"/>
    <x v="0"/>
    <x v="0"/>
    <n v="771"/>
    <n v="2"/>
    <s v="No"/>
  </r>
  <r>
    <x v="640"/>
    <x v="101"/>
    <x v="5"/>
    <s v="West"/>
    <x v="5"/>
    <x v="1"/>
    <x v="3"/>
    <s v="West"/>
    <x v="1"/>
    <n v="29.4"/>
    <n v="210"/>
    <n v="4"/>
    <d v="2024-05-06T00:00:00"/>
    <n v="3"/>
    <n v="-1"/>
    <x v="0"/>
    <x v="0"/>
    <n v="7.1428571428571432"/>
    <n v="4"/>
    <s v="No"/>
  </r>
  <r>
    <x v="641"/>
    <x v="73"/>
    <x v="2"/>
    <s v="North"/>
    <x v="4"/>
    <x v="1"/>
    <x v="1"/>
    <s v="East"/>
    <x v="0"/>
    <n v="2.2000000000000002"/>
    <n v="317"/>
    <n v="6"/>
    <d v="2024-03-16T00:00:00"/>
    <n v="6"/>
    <n v="0"/>
    <x v="0"/>
    <x v="0"/>
    <n v="144.09090909090907"/>
    <n v="4"/>
    <s v="No"/>
  </r>
  <r>
    <x v="642"/>
    <x v="25"/>
    <x v="3"/>
    <s v="South"/>
    <x v="0"/>
    <x v="0"/>
    <x v="4"/>
    <s v="West"/>
    <x v="0"/>
    <n v="79.5"/>
    <n v="317"/>
    <n v="4"/>
    <d v="2024-02-04T00:00:00"/>
    <n v="3"/>
    <n v="-1"/>
    <x v="0"/>
    <x v="0"/>
    <n v="3.9874213836477987"/>
    <n v="3"/>
    <s v="Yes"/>
  </r>
  <r>
    <x v="643"/>
    <x v="4"/>
    <x v="0"/>
    <s v="South"/>
    <x v="1"/>
    <x v="0"/>
    <x v="2"/>
    <s v="East"/>
    <x v="0"/>
    <n v="41.9"/>
    <n v="770"/>
    <n v="4"/>
    <d v="2024-04-19T00:00:00"/>
    <n v="3"/>
    <n v="-1"/>
    <x v="0"/>
    <x v="0"/>
    <n v="18.377088305489259"/>
    <n v="5"/>
    <s v="No"/>
  </r>
  <r>
    <x v="644"/>
    <x v="115"/>
    <x v="3"/>
    <s v="South"/>
    <x v="4"/>
    <x v="0"/>
    <x v="0"/>
    <s v="West"/>
    <x v="0"/>
    <n v="7.2"/>
    <n v="657"/>
    <n v="4"/>
    <d v="2024-05-10T00:00:00"/>
    <n v="4"/>
    <n v="0"/>
    <x v="0"/>
    <x v="0"/>
    <n v="91.25"/>
    <n v="3"/>
    <s v="No"/>
  </r>
  <r>
    <x v="645"/>
    <x v="7"/>
    <x v="3"/>
    <s v="South"/>
    <x v="2"/>
    <x v="2"/>
    <x v="0"/>
    <s v="West"/>
    <x v="0"/>
    <n v="6.1"/>
    <n v="166"/>
    <n v="8"/>
    <d v="2024-02-03T00:00:00"/>
    <n v="9"/>
    <n v="1"/>
    <x v="1"/>
    <x v="2"/>
    <n v="27.213114754098363"/>
    <n v="4"/>
    <s v="No"/>
  </r>
  <r>
    <x v="646"/>
    <x v="114"/>
    <x v="4"/>
    <s v="East"/>
    <x v="4"/>
    <x v="2"/>
    <x v="1"/>
    <s v="East"/>
    <x v="1"/>
    <n v="3.9"/>
    <n v="119"/>
    <n v="6"/>
    <d v="2024-02-17T00:00:00"/>
    <n v="7"/>
    <n v="1"/>
    <x v="1"/>
    <x v="2"/>
    <n v="30.512820512820515"/>
    <n v="1"/>
    <s v="No"/>
  </r>
  <r>
    <x v="647"/>
    <x v="143"/>
    <x v="0"/>
    <s v="South"/>
    <x v="1"/>
    <x v="2"/>
    <x v="1"/>
    <s v="South"/>
    <x v="1"/>
    <n v="14"/>
    <n v="80"/>
    <n v="6"/>
    <d v="2024-05-14T00:00:00"/>
    <n v="5"/>
    <n v="-1"/>
    <x v="0"/>
    <x v="1"/>
    <n v="5.7142857142857144"/>
    <n v="0"/>
    <s v="Yes"/>
  </r>
  <r>
    <x v="648"/>
    <x v="127"/>
    <x v="0"/>
    <s v="South"/>
    <x v="2"/>
    <x v="0"/>
    <x v="0"/>
    <s v="North"/>
    <x v="0"/>
    <n v="32.700000000000003"/>
    <n v="339"/>
    <n v="4"/>
    <d v="2024-05-31T00:00:00"/>
    <n v="3"/>
    <n v="-1"/>
    <x v="0"/>
    <x v="0"/>
    <n v="10.36697247706422"/>
    <n v="4"/>
    <s v="Yes"/>
  </r>
  <r>
    <x v="649"/>
    <x v="92"/>
    <x v="3"/>
    <s v="South"/>
    <x v="4"/>
    <x v="0"/>
    <x v="0"/>
    <s v="South"/>
    <x v="1"/>
    <n v="11.6"/>
    <n v="597"/>
    <n v="2"/>
    <d v="2024-02-26T00:00:00"/>
    <n v="3"/>
    <n v="1"/>
    <x v="1"/>
    <x v="1"/>
    <n v="51.46551724137931"/>
    <n v="0"/>
    <s v="No"/>
  </r>
  <r>
    <x v="650"/>
    <x v="104"/>
    <x v="5"/>
    <s v="West"/>
    <x v="2"/>
    <x v="2"/>
    <x v="2"/>
    <s v="South"/>
    <x v="0"/>
    <n v="1.4"/>
    <n v="226"/>
    <n v="8"/>
    <d v="2024-03-16T00:00:00"/>
    <n v="9"/>
    <n v="1"/>
    <x v="1"/>
    <x v="2"/>
    <n v="161.42857142857144"/>
    <n v="1"/>
    <s v="No"/>
  </r>
  <r>
    <x v="651"/>
    <x v="145"/>
    <x v="4"/>
    <s v="East"/>
    <x v="0"/>
    <x v="1"/>
    <x v="3"/>
    <s v="West"/>
    <x v="0"/>
    <n v="6.2"/>
    <n v="262"/>
    <n v="6"/>
    <d v="2024-06-20T00:00:00"/>
    <n v="7"/>
    <n v="1"/>
    <x v="1"/>
    <x v="2"/>
    <n v="42.258064516129032"/>
    <n v="2"/>
    <s v="No"/>
  </r>
  <r>
    <x v="652"/>
    <x v="77"/>
    <x v="3"/>
    <s v="South"/>
    <x v="4"/>
    <x v="0"/>
    <x v="1"/>
    <s v="East"/>
    <x v="0"/>
    <n v="4.3"/>
    <n v="968"/>
    <n v="4"/>
    <d v="2024-05-31T00:00:00"/>
    <n v="13"/>
    <n v="9"/>
    <x v="1"/>
    <x v="2"/>
    <n v="225.11627906976744"/>
    <n v="4"/>
    <s v="Yes"/>
  </r>
  <r>
    <x v="653"/>
    <x v="135"/>
    <x v="2"/>
    <s v="North"/>
    <x v="2"/>
    <x v="0"/>
    <x v="2"/>
    <s v="East"/>
    <x v="0"/>
    <n v="4.2"/>
    <n v="479"/>
    <n v="4"/>
    <d v="2024-02-28T00:00:00"/>
    <n v="4"/>
    <n v="0"/>
    <x v="0"/>
    <x v="0"/>
    <n v="114.04761904761904"/>
    <n v="2"/>
    <s v="Yes"/>
  </r>
  <r>
    <x v="654"/>
    <x v="164"/>
    <x v="5"/>
    <s v="West"/>
    <x v="4"/>
    <x v="2"/>
    <x v="0"/>
    <s v="South"/>
    <x v="0"/>
    <n v="12.2"/>
    <n v="223"/>
    <n v="8"/>
    <d v="2024-06-15T00:00:00"/>
    <n v="9"/>
    <n v="1"/>
    <x v="1"/>
    <x v="2"/>
    <n v="18.278688524590166"/>
    <n v="4"/>
    <s v="Yes"/>
  </r>
  <r>
    <x v="655"/>
    <x v="153"/>
    <x v="1"/>
    <s v="West"/>
    <x v="2"/>
    <x v="0"/>
    <x v="0"/>
    <s v="West"/>
    <x v="1"/>
    <n v="6.2"/>
    <n v="330"/>
    <n v="2"/>
    <d v="2024-02-10T00:00:00"/>
    <n v="3"/>
    <n v="1"/>
    <x v="1"/>
    <x v="2"/>
    <n v="53.225806451612904"/>
    <n v="3"/>
    <s v="No"/>
  </r>
  <r>
    <x v="656"/>
    <x v="81"/>
    <x v="4"/>
    <s v="East"/>
    <x v="1"/>
    <x v="1"/>
    <x v="3"/>
    <s v="South"/>
    <x v="0"/>
    <n v="5.0999999999999996"/>
    <n v="219"/>
    <n v="6"/>
    <d v="2024-06-03T00:00:00"/>
    <n v="7"/>
    <n v="1"/>
    <x v="1"/>
    <x v="2"/>
    <n v="42.941176470588239"/>
    <n v="4"/>
    <s v="Yes"/>
  </r>
  <r>
    <x v="657"/>
    <x v="92"/>
    <x v="2"/>
    <s v="North"/>
    <x v="5"/>
    <x v="0"/>
    <x v="1"/>
    <s v="West"/>
    <x v="0"/>
    <n v="17.5"/>
    <n v="354"/>
    <n v="4"/>
    <d v="2024-02-26T00:00:00"/>
    <n v="3"/>
    <n v="-1"/>
    <x v="0"/>
    <x v="0"/>
    <n v="20.228571428571428"/>
    <n v="3"/>
    <s v="No"/>
  </r>
  <r>
    <x v="658"/>
    <x v="151"/>
    <x v="3"/>
    <s v="South"/>
    <x v="2"/>
    <x v="0"/>
    <x v="4"/>
    <s v="West"/>
    <x v="0"/>
    <n v="6.5"/>
    <n v="268"/>
    <n v="4"/>
    <d v="2024-02-21T00:00:00"/>
    <n v="3"/>
    <n v="-1"/>
    <x v="0"/>
    <x v="0"/>
    <n v="41.230769230769234"/>
    <n v="4"/>
    <s v="No"/>
  </r>
  <r>
    <x v="659"/>
    <x v="117"/>
    <x v="0"/>
    <s v="South"/>
    <x v="2"/>
    <x v="2"/>
    <x v="4"/>
    <s v="South"/>
    <x v="1"/>
    <n v="4.0999999999999996"/>
    <n v="80"/>
    <n v="6"/>
    <d v="2024-06-04T00:00:00"/>
    <n v="11"/>
    <n v="5"/>
    <x v="1"/>
    <x v="2"/>
    <n v="19.512195121951223"/>
    <n v="4"/>
    <s v="Yes"/>
  </r>
  <r>
    <x v="660"/>
    <x v="87"/>
    <x v="3"/>
    <s v="South"/>
    <x v="2"/>
    <x v="2"/>
    <x v="1"/>
    <s v="East"/>
    <x v="0"/>
    <n v="7.5"/>
    <n v="239"/>
    <n v="8"/>
    <d v="2024-04-02T00:00:00"/>
    <n v="10"/>
    <n v="2"/>
    <x v="1"/>
    <x v="2"/>
    <n v="31.866666666666667"/>
    <n v="1"/>
    <s v="No"/>
  </r>
  <r>
    <x v="661"/>
    <x v="13"/>
    <x v="6"/>
    <s v="Unknown"/>
    <x v="2"/>
    <x v="0"/>
    <x v="1"/>
    <s v="South"/>
    <x v="0"/>
    <n v="3.4"/>
    <n v="523"/>
    <n v="2"/>
    <d v="2024-01-04T00:00:00"/>
    <n v="2"/>
    <n v="0"/>
    <x v="0"/>
    <x v="0"/>
    <n v="153.8235294117647"/>
    <n v="2"/>
    <s v="No"/>
  </r>
  <r>
    <x v="662"/>
    <x v="107"/>
    <x v="4"/>
    <s v="East"/>
    <x v="5"/>
    <x v="2"/>
    <x v="4"/>
    <s v="East"/>
    <x v="1"/>
    <n v="3.6"/>
    <n v="80"/>
    <n v="6"/>
    <d v="2024-06-09T00:00:00"/>
    <n v="6"/>
    <n v="0"/>
    <x v="0"/>
    <x v="0"/>
    <n v="22.222222222222221"/>
    <n v="4"/>
    <s v="Yes"/>
  </r>
  <r>
    <x v="663"/>
    <x v="108"/>
    <x v="2"/>
    <s v="North"/>
    <x v="4"/>
    <x v="0"/>
    <x v="1"/>
    <s v="South"/>
    <x v="0"/>
    <n v="1.4"/>
    <n v="374"/>
    <n v="4"/>
    <d v="2024-04-25T00:00:00"/>
    <n v="5"/>
    <n v="1"/>
    <x v="1"/>
    <x v="2"/>
    <n v="267.14285714285717"/>
    <n v="1"/>
    <s v="No"/>
  </r>
  <r>
    <x v="664"/>
    <x v="47"/>
    <x v="2"/>
    <s v="North"/>
    <x v="0"/>
    <x v="0"/>
    <x v="0"/>
    <s v="East"/>
    <x v="0"/>
    <n v="4"/>
    <n v="763"/>
    <n v="4"/>
    <d v="2024-05-05T00:00:00"/>
    <n v="4"/>
    <n v="0"/>
    <x v="0"/>
    <x v="0"/>
    <n v="190.75"/>
    <n v="5"/>
    <s v="No"/>
  </r>
  <r>
    <x v="665"/>
    <x v="86"/>
    <x v="5"/>
    <s v="West"/>
    <x v="7"/>
    <x v="2"/>
    <x v="1"/>
    <s v="East"/>
    <x v="0"/>
    <n v="8.1"/>
    <n v="383"/>
    <n v="8"/>
    <d v="2024-01-22T00:00:00"/>
    <n v="12"/>
    <n v="4"/>
    <x v="1"/>
    <x v="2"/>
    <n v="47.283950617283949"/>
    <n v="1"/>
    <s v="No"/>
  </r>
  <r>
    <x v="666"/>
    <x v="57"/>
    <x v="0"/>
    <s v="South"/>
    <x v="1"/>
    <x v="2"/>
    <x v="4"/>
    <s v="West"/>
    <x v="0"/>
    <n v="11.9"/>
    <n v="149"/>
    <n v="8"/>
    <d v="2024-07-02T00:00:00"/>
    <n v="9"/>
    <n v="1"/>
    <x v="1"/>
    <x v="2"/>
    <n v="12.521008403361344"/>
    <n v="1"/>
    <s v="No"/>
  </r>
  <r>
    <x v="667"/>
    <x v="18"/>
    <x v="4"/>
    <s v="East"/>
    <x v="2"/>
    <x v="0"/>
    <x v="4"/>
    <s v="South"/>
    <x v="0"/>
    <n v="4.0999999999999996"/>
    <n v="254"/>
    <n v="4"/>
    <d v="2024-01-15T00:00:00"/>
    <n v="4"/>
    <n v="0"/>
    <x v="0"/>
    <x v="0"/>
    <n v="61.951219512195131"/>
    <n v="5"/>
    <s v="No"/>
  </r>
  <r>
    <x v="668"/>
    <x v="119"/>
    <x v="1"/>
    <s v="West"/>
    <x v="3"/>
    <x v="2"/>
    <x v="0"/>
    <s v="West"/>
    <x v="1"/>
    <n v="4.0999999999999996"/>
    <n v="137"/>
    <n v="6"/>
    <d v="2024-07-01T00:00:00"/>
    <n v="5"/>
    <n v="-1"/>
    <x v="0"/>
    <x v="1"/>
    <n v="33.414634146341463"/>
    <n v="0"/>
    <s v="Yes"/>
  </r>
  <r>
    <x v="669"/>
    <x v="49"/>
    <x v="5"/>
    <s v="West"/>
    <x v="4"/>
    <x v="2"/>
    <x v="5"/>
    <s v="West"/>
    <x v="1"/>
    <n v="13.8"/>
    <n v="607"/>
    <n v="6"/>
    <d v="2024-06-26T00:00:00"/>
    <n v="5"/>
    <n v="-1"/>
    <x v="0"/>
    <x v="0"/>
    <n v="43.985507246376812"/>
    <n v="5"/>
    <s v="Yes"/>
  </r>
  <r>
    <x v="670"/>
    <x v="2"/>
    <x v="5"/>
    <s v="West"/>
    <x v="4"/>
    <x v="2"/>
    <x v="1"/>
    <s v="South"/>
    <x v="0"/>
    <n v="17.2"/>
    <n v="369"/>
    <n v="8"/>
    <d v="2024-05-31T00:00:00"/>
    <n v="8"/>
    <n v="0"/>
    <x v="0"/>
    <x v="0"/>
    <n v="21.453488372093023"/>
    <n v="4"/>
    <s v="No"/>
  </r>
  <r>
    <x v="671"/>
    <x v="52"/>
    <x v="2"/>
    <s v="North"/>
    <x v="1"/>
    <x v="1"/>
    <x v="3"/>
    <s v="East"/>
    <x v="0"/>
    <n v="1"/>
    <n v="153"/>
    <n v="6"/>
    <d v="2024-06-17T00:00:00"/>
    <n v="5"/>
    <n v="-1"/>
    <x v="0"/>
    <x v="0"/>
    <n v="153"/>
    <n v="4"/>
    <s v="No"/>
  </r>
  <r>
    <x v="672"/>
    <x v="161"/>
    <x v="6"/>
    <s v="Unknown"/>
    <x v="5"/>
    <x v="0"/>
    <x v="2"/>
    <s v="South"/>
    <x v="0"/>
    <n v="2.5"/>
    <n v="830"/>
    <n v="4"/>
    <d v="2024-04-16T00:00:00"/>
    <n v="3"/>
    <n v="-1"/>
    <x v="0"/>
    <x v="0"/>
    <n v="332"/>
    <n v="4"/>
    <s v="No"/>
  </r>
  <r>
    <x v="673"/>
    <x v="81"/>
    <x v="2"/>
    <s v="North"/>
    <x v="5"/>
    <x v="0"/>
    <x v="3"/>
    <s v="East"/>
    <x v="0"/>
    <n v="7.2"/>
    <n v="230"/>
    <n v="4"/>
    <d v="2024-06-07T00:00:00"/>
    <n v="11"/>
    <n v="7"/>
    <x v="1"/>
    <x v="1"/>
    <n v="31.944444444444443"/>
    <n v="0"/>
    <s v="No"/>
  </r>
  <r>
    <x v="674"/>
    <x v="165"/>
    <x v="3"/>
    <s v="South"/>
    <x v="0"/>
    <x v="0"/>
    <x v="0"/>
    <s v="South"/>
    <x v="1"/>
    <n v="40.6"/>
    <n v="80"/>
    <n v="2"/>
    <d v="2024-02-17T00:00:00"/>
    <n v="1"/>
    <n v="-1"/>
    <x v="0"/>
    <x v="0"/>
    <n v="1.9704433497536946"/>
    <n v="5"/>
    <s v="No"/>
  </r>
  <r>
    <x v="675"/>
    <x v="37"/>
    <x v="6"/>
    <s v="Unknown"/>
    <x v="3"/>
    <x v="2"/>
    <x v="2"/>
    <s v="East"/>
    <x v="0"/>
    <n v="13.9"/>
    <n v="321"/>
    <n v="8"/>
    <d v="2024-01-17T00:00:00"/>
    <n v="9"/>
    <n v="1"/>
    <x v="1"/>
    <x v="2"/>
    <n v="23.093525179856115"/>
    <n v="4"/>
    <s v="No"/>
  </r>
  <r>
    <x v="676"/>
    <x v="74"/>
    <x v="4"/>
    <s v="East"/>
    <x v="1"/>
    <x v="1"/>
    <x v="4"/>
    <s v="East"/>
    <x v="1"/>
    <n v="1"/>
    <n v="98"/>
    <n v="4"/>
    <d v="2024-02-15T00:00:00"/>
    <n v="4"/>
    <n v="0"/>
    <x v="0"/>
    <x v="0"/>
    <n v="98"/>
    <n v="5"/>
    <s v="No"/>
  </r>
  <r>
    <x v="677"/>
    <x v="59"/>
    <x v="6"/>
    <s v="Unknown"/>
    <x v="4"/>
    <x v="0"/>
    <x v="2"/>
    <s v="East"/>
    <x v="0"/>
    <n v="25.7"/>
    <n v="581"/>
    <n v="4"/>
    <d v="2024-05-22T00:00:00"/>
    <n v="3"/>
    <n v="-1"/>
    <x v="0"/>
    <x v="0"/>
    <n v="22.607003891050585"/>
    <n v="5"/>
    <s v="No"/>
  </r>
  <r>
    <x v="678"/>
    <x v="51"/>
    <x v="0"/>
    <s v="South"/>
    <x v="4"/>
    <x v="1"/>
    <x v="2"/>
    <s v="South"/>
    <x v="1"/>
    <n v="14.5"/>
    <n v="167"/>
    <n v="4"/>
    <d v="2024-01-19T00:00:00"/>
    <n v="5"/>
    <n v="1"/>
    <x v="1"/>
    <x v="2"/>
    <n v="11.517241379310345"/>
    <n v="1"/>
    <s v="No"/>
  </r>
  <r>
    <x v="679"/>
    <x v="102"/>
    <x v="4"/>
    <s v="East"/>
    <x v="0"/>
    <x v="2"/>
    <x v="2"/>
    <s v="South"/>
    <x v="0"/>
    <n v="1.9"/>
    <n v="356"/>
    <n v="8"/>
    <d v="2024-04-15T00:00:00"/>
    <n v="8"/>
    <n v="0"/>
    <x v="0"/>
    <x v="0"/>
    <n v="187.36842105263159"/>
    <n v="2"/>
    <s v="No"/>
  </r>
  <r>
    <x v="680"/>
    <x v="41"/>
    <x v="3"/>
    <s v="South"/>
    <x v="7"/>
    <x v="0"/>
    <x v="2"/>
    <s v="East"/>
    <x v="0"/>
    <n v="1.5"/>
    <n v="1953"/>
    <n v="4"/>
    <d v="2024-06-30T00:00:00"/>
    <n v="5"/>
    <n v="1"/>
    <x v="1"/>
    <x v="2"/>
    <n v="1302"/>
    <n v="3"/>
    <s v="Yes"/>
  </r>
  <r>
    <x v="681"/>
    <x v="72"/>
    <x v="5"/>
    <s v="West"/>
    <x v="5"/>
    <x v="0"/>
    <x v="4"/>
    <s v="North"/>
    <x v="0"/>
    <n v="10.7"/>
    <n v="305"/>
    <n v="4"/>
    <d v="2024-07-03T00:00:00"/>
    <n v="9"/>
    <n v="5"/>
    <x v="1"/>
    <x v="2"/>
    <n v="28.504672897196265"/>
    <n v="3"/>
    <s v="No"/>
  </r>
  <r>
    <x v="682"/>
    <x v="14"/>
    <x v="1"/>
    <s v="West"/>
    <x v="2"/>
    <x v="2"/>
    <x v="4"/>
    <s v="East"/>
    <x v="0"/>
    <n v="4.5"/>
    <n v="220"/>
    <n v="8"/>
    <d v="2024-03-01T00:00:00"/>
    <n v="9"/>
    <n v="1"/>
    <x v="1"/>
    <x v="2"/>
    <n v="48.888888888888886"/>
    <n v="3"/>
    <s v="No"/>
  </r>
  <r>
    <x v="683"/>
    <x v="134"/>
    <x v="5"/>
    <s v="West"/>
    <x v="2"/>
    <x v="1"/>
    <x v="4"/>
    <s v="North"/>
    <x v="0"/>
    <n v="8.3000000000000007"/>
    <n v="197"/>
    <n v="6"/>
    <d v="2024-03-12T00:00:00"/>
    <n v="9"/>
    <n v="3"/>
    <x v="1"/>
    <x v="2"/>
    <n v="23.734939759036141"/>
    <n v="2"/>
    <s v="No"/>
  </r>
  <r>
    <x v="684"/>
    <x v="116"/>
    <x v="4"/>
    <s v="East"/>
    <x v="2"/>
    <x v="1"/>
    <x v="1"/>
    <s v="South"/>
    <x v="0"/>
    <n v="6.7"/>
    <n v="233"/>
    <n v="6"/>
    <d v="2024-05-05T00:00:00"/>
    <n v="7"/>
    <n v="1"/>
    <x v="1"/>
    <x v="2"/>
    <n v="34.776119402985074"/>
    <n v="3"/>
    <s v="No"/>
  </r>
  <r>
    <x v="685"/>
    <x v="54"/>
    <x v="3"/>
    <s v="South"/>
    <x v="1"/>
    <x v="1"/>
    <x v="5"/>
    <s v="South"/>
    <x v="1"/>
    <n v="10.8"/>
    <n v="588"/>
    <n v="4"/>
    <d v="2024-02-12T00:00:00"/>
    <n v="3"/>
    <n v="-1"/>
    <x v="0"/>
    <x v="0"/>
    <n v="54.444444444444443"/>
    <n v="5"/>
    <s v="No"/>
  </r>
  <r>
    <x v="686"/>
    <x v="166"/>
    <x v="0"/>
    <s v="South"/>
    <x v="0"/>
    <x v="0"/>
    <x v="1"/>
    <s v="South"/>
    <x v="1"/>
    <n v="39.6"/>
    <n v="456"/>
    <n v="2"/>
    <d v="2024-06-10T00:00:00"/>
    <n v="3"/>
    <n v="1"/>
    <x v="1"/>
    <x v="2"/>
    <n v="11.515151515151516"/>
    <n v="2"/>
    <s v="No"/>
  </r>
  <r>
    <x v="687"/>
    <x v="4"/>
    <x v="5"/>
    <s v="West"/>
    <x v="5"/>
    <x v="2"/>
    <x v="3"/>
    <s v="South"/>
    <x v="0"/>
    <n v="3.9"/>
    <n v="157"/>
    <n v="8"/>
    <d v="2024-04-25T00:00:00"/>
    <n v="9"/>
    <n v="1"/>
    <x v="1"/>
    <x v="2"/>
    <n v="40.256410256410255"/>
    <n v="1"/>
    <s v="No"/>
  </r>
  <r>
    <x v="688"/>
    <x v="15"/>
    <x v="1"/>
    <s v="West"/>
    <x v="0"/>
    <x v="1"/>
    <x v="4"/>
    <s v="South"/>
    <x v="0"/>
    <n v="3.4"/>
    <n v="233"/>
    <n v="6"/>
    <d v="2024-05-08T00:00:00"/>
    <n v="6"/>
    <n v="0"/>
    <x v="0"/>
    <x v="0"/>
    <n v="68.529411764705884"/>
    <n v="4"/>
    <s v="No"/>
  </r>
  <r>
    <x v="689"/>
    <x v="81"/>
    <x v="0"/>
    <s v="South"/>
    <x v="4"/>
    <x v="1"/>
    <x v="0"/>
    <s v="North"/>
    <x v="0"/>
    <n v="1.5"/>
    <n v="508"/>
    <n v="6"/>
    <d v="2024-06-03T00:00:00"/>
    <n v="7"/>
    <n v="1"/>
    <x v="1"/>
    <x v="2"/>
    <n v="338.66666666666669"/>
    <n v="3"/>
    <s v="Yes"/>
  </r>
  <r>
    <x v="690"/>
    <x v="95"/>
    <x v="5"/>
    <s v="West"/>
    <x v="5"/>
    <x v="1"/>
    <x v="4"/>
    <s v="West"/>
    <x v="1"/>
    <n v="3.4"/>
    <n v="80"/>
    <n v="4"/>
    <d v="2024-02-06T00:00:00"/>
    <n v="4"/>
    <n v="0"/>
    <x v="0"/>
    <x v="0"/>
    <n v="23.529411764705884"/>
    <n v="3"/>
    <s v="No"/>
  </r>
  <r>
    <x v="691"/>
    <x v="31"/>
    <x v="5"/>
    <s v="West"/>
    <x v="0"/>
    <x v="1"/>
    <x v="0"/>
    <s v="West"/>
    <x v="1"/>
    <n v="26.3"/>
    <n v="279"/>
    <n v="4"/>
    <d v="2024-03-08T00:00:00"/>
    <n v="3"/>
    <n v="-1"/>
    <x v="0"/>
    <x v="0"/>
    <n v="10.608365019011407"/>
    <n v="4"/>
    <s v="Yes"/>
  </r>
  <r>
    <x v="692"/>
    <x v="86"/>
    <x v="3"/>
    <s v="South"/>
    <x v="1"/>
    <x v="2"/>
    <x v="0"/>
    <s v="South"/>
    <x v="1"/>
    <n v="10.3"/>
    <n v="80"/>
    <n v="6"/>
    <d v="2024-01-16T00:00:00"/>
    <n v="6"/>
    <n v="0"/>
    <x v="0"/>
    <x v="0"/>
    <n v="7.7669902912621351"/>
    <n v="4"/>
    <s v="Yes"/>
  </r>
  <r>
    <x v="693"/>
    <x v="19"/>
    <x v="3"/>
    <s v="South"/>
    <x v="5"/>
    <x v="2"/>
    <x v="5"/>
    <s v="West"/>
    <x v="0"/>
    <n v="1.4"/>
    <n v="362"/>
    <n v="8"/>
    <d v="2024-05-22T00:00:00"/>
    <n v="9"/>
    <n v="1"/>
    <x v="1"/>
    <x v="2"/>
    <n v="258.57142857142861"/>
    <n v="1"/>
    <s v="No"/>
  </r>
  <r>
    <x v="694"/>
    <x v="116"/>
    <x v="4"/>
    <s v="East"/>
    <x v="0"/>
    <x v="1"/>
    <x v="3"/>
    <s v="West"/>
    <x v="0"/>
    <n v="2.2999999999999998"/>
    <n v="283"/>
    <n v="6"/>
    <d v="2024-05-05T00:00:00"/>
    <n v="7"/>
    <n v="1"/>
    <x v="1"/>
    <x v="2"/>
    <n v="123.04347826086958"/>
    <n v="4"/>
    <s v="No"/>
  </r>
  <r>
    <x v="695"/>
    <x v="112"/>
    <x v="4"/>
    <s v="East"/>
    <x v="4"/>
    <x v="0"/>
    <x v="3"/>
    <s v="South"/>
    <x v="0"/>
    <n v="13.9"/>
    <n v="327"/>
    <n v="4"/>
    <d v="2024-03-13T00:00:00"/>
    <n v="11"/>
    <n v="7"/>
    <x v="1"/>
    <x v="2"/>
    <n v="23.525179856115109"/>
    <n v="4"/>
    <s v="No"/>
  </r>
  <r>
    <x v="696"/>
    <x v="143"/>
    <x v="5"/>
    <s v="West"/>
    <x v="4"/>
    <x v="2"/>
    <x v="1"/>
    <s v="South"/>
    <x v="0"/>
    <n v="0.8"/>
    <n v="370"/>
    <n v="8"/>
    <d v="2024-05-21T00:00:00"/>
    <n v="12"/>
    <n v="4"/>
    <x v="1"/>
    <x v="2"/>
    <n v="462.5"/>
    <n v="3"/>
    <s v="Yes"/>
  </r>
  <r>
    <x v="697"/>
    <x v="18"/>
    <x v="0"/>
    <s v="South"/>
    <x v="2"/>
    <x v="1"/>
    <x v="0"/>
    <s v="East"/>
    <x v="0"/>
    <n v="12"/>
    <n v="316"/>
    <n v="6"/>
    <d v="2024-01-17T00:00:00"/>
    <n v="6"/>
    <n v="0"/>
    <x v="0"/>
    <x v="0"/>
    <n v="26.333333333333332"/>
    <n v="3"/>
    <s v="No"/>
  </r>
  <r>
    <x v="698"/>
    <x v="161"/>
    <x v="5"/>
    <s v="West"/>
    <x v="4"/>
    <x v="0"/>
    <x v="0"/>
    <s v="North"/>
    <x v="0"/>
    <n v="1.1000000000000001"/>
    <n v="396"/>
    <n v="4"/>
    <d v="2024-04-22T00:00:00"/>
    <n v="9"/>
    <n v="5"/>
    <x v="1"/>
    <x v="1"/>
    <n v="359.99999999999994"/>
    <n v="0"/>
    <s v="No"/>
  </r>
  <r>
    <x v="699"/>
    <x v="111"/>
    <x v="5"/>
    <s v="West"/>
    <x v="2"/>
    <x v="1"/>
    <x v="3"/>
    <s v="East"/>
    <x v="0"/>
    <n v="16.399999999999999"/>
    <n v="326"/>
    <n v="6"/>
    <d v="2024-03-24T00:00:00"/>
    <n v="6"/>
    <n v="0"/>
    <x v="0"/>
    <x v="0"/>
    <n v="19.878048780487806"/>
    <n v="4"/>
    <s v="No"/>
  </r>
  <r>
    <x v="700"/>
    <x v="91"/>
    <x v="5"/>
    <s v="West"/>
    <x v="5"/>
    <x v="0"/>
    <x v="5"/>
    <s v="South"/>
    <x v="0"/>
    <n v="3.7"/>
    <n v="1591"/>
    <n v="4"/>
    <d v="2024-04-16T00:00:00"/>
    <n v="4"/>
    <n v="0"/>
    <x v="0"/>
    <x v="0"/>
    <n v="430"/>
    <n v="5"/>
    <s v="Yes"/>
  </r>
  <r>
    <x v="701"/>
    <x v="76"/>
    <x v="0"/>
    <s v="South"/>
    <x v="3"/>
    <x v="1"/>
    <x v="2"/>
    <s v="North"/>
    <x v="0"/>
    <n v="4.4000000000000004"/>
    <n v="558"/>
    <n v="6"/>
    <d v="2024-02-03T00:00:00"/>
    <n v="7"/>
    <n v="1"/>
    <x v="1"/>
    <x v="1"/>
    <n v="126.81818181818181"/>
    <n v="0"/>
    <s v="Yes"/>
  </r>
  <r>
    <x v="702"/>
    <x v="138"/>
    <x v="5"/>
    <s v="West"/>
    <x v="4"/>
    <x v="2"/>
    <x v="4"/>
    <s v="North"/>
    <x v="0"/>
    <n v="15.7"/>
    <n v="196"/>
    <n v="8"/>
    <d v="2024-06-03T00:00:00"/>
    <n v="9"/>
    <n v="1"/>
    <x v="1"/>
    <x v="2"/>
    <n v="12.48407643312102"/>
    <n v="2"/>
    <s v="No"/>
  </r>
  <r>
    <x v="703"/>
    <x v="27"/>
    <x v="4"/>
    <s v="East"/>
    <x v="3"/>
    <x v="0"/>
    <x v="5"/>
    <s v="South"/>
    <x v="0"/>
    <n v="5.5"/>
    <n v="2025"/>
    <n v="4"/>
    <d v="2024-02-08T00:00:00"/>
    <n v="4"/>
    <n v="0"/>
    <x v="0"/>
    <x v="0"/>
    <n v="368.18181818181819"/>
    <n v="3"/>
    <s v="Yes"/>
  </r>
  <r>
    <x v="704"/>
    <x v="11"/>
    <x v="2"/>
    <s v="North"/>
    <x v="4"/>
    <x v="1"/>
    <x v="5"/>
    <s v="East"/>
    <x v="0"/>
    <n v="4.5999999999999996"/>
    <n v="660"/>
    <n v="6"/>
    <d v="2024-02-09T00:00:00"/>
    <n v="6"/>
    <n v="0"/>
    <x v="0"/>
    <x v="0"/>
    <n v="143.47826086956522"/>
    <n v="5"/>
    <s v="No"/>
  </r>
  <r>
    <x v="705"/>
    <x v="67"/>
    <x v="4"/>
    <s v="East"/>
    <x v="0"/>
    <x v="0"/>
    <x v="3"/>
    <s v="West"/>
    <x v="0"/>
    <n v="5.9"/>
    <n v="331"/>
    <n v="4"/>
    <d v="2024-03-19T00:00:00"/>
    <n v="3"/>
    <n v="-1"/>
    <x v="0"/>
    <x v="3"/>
    <n v="56.101694915254235"/>
    <n v="0"/>
    <s v="Yes"/>
  </r>
  <r>
    <x v="706"/>
    <x v="118"/>
    <x v="0"/>
    <s v="South"/>
    <x v="5"/>
    <x v="2"/>
    <x v="0"/>
    <s v="South"/>
    <x v="1"/>
    <n v="31.7"/>
    <n v="89"/>
    <n v="6"/>
    <d v="2024-06-15T00:00:00"/>
    <n v="7"/>
    <n v="1"/>
    <x v="1"/>
    <x v="2"/>
    <n v="2.8075709779179809"/>
    <n v="5"/>
    <s v="Yes"/>
  </r>
  <r>
    <x v="707"/>
    <x v="159"/>
    <x v="5"/>
    <s v="West"/>
    <x v="5"/>
    <x v="1"/>
    <x v="1"/>
    <s v="West"/>
    <x v="1"/>
    <n v="16.600000000000001"/>
    <n v="84"/>
    <n v="4"/>
    <d v="2024-01-14T00:00:00"/>
    <n v="5"/>
    <n v="1"/>
    <x v="1"/>
    <x v="2"/>
    <n v="5.0602409638554215"/>
    <n v="1"/>
    <s v="Yes"/>
  </r>
  <r>
    <x v="708"/>
    <x v="89"/>
    <x v="1"/>
    <s v="West"/>
    <x v="1"/>
    <x v="1"/>
    <x v="5"/>
    <s v="West"/>
    <x v="1"/>
    <n v="2.4"/>
    <n v="1465"/>
    <n v="4"/>
    <d v="2024-03-13T00:00:00"/>
    <n v="4"/>
    <n v="0"/>
    <x v="0"/>
    <x v="0"/>
    <n v="610.41666666666674"/>
    <n v="5"/>
    <s v="Yes"/>
  </r>
  <r>
    <x v="709"/>
    <x v="31"/>
    <x v="4"/>
    <s v="East"/>
    <x v="4"/>
    <x v="2"/>
    <x v="4"/>
    <s v="South"/>
    <x v="0"/>
    <n v="40.6"/>
    <n v="216"/>
    <n v="8"/>
    <d v="2024-03-13T00:00:00"/>
    <n v="8"/>
    <n v="0"/>
    <x v="0"/>
    <x v="0"/>
    <n v="5.3201970443349751"/>
    <n v="5"/>
    <s v="No"/>
  </r>
  <r>
    <x v="710"/>
    <x v="39"/>
    <x v="0"/>
    <s v="South"/>
    <x v="2"/>
    <x v="1"/>
    <x v="4"/>
    <s v="South"/>
    <x v="1"/>
    <n v="23.2"/>
    <n v="80"/>
    <n v="4"/>
    <d v="2024-05-24T00:00:00"/>
    <n v="4"/>
    <n v="0"/>
    <x v="0"/>
    <x v="0"/>
    <n v="3.4482758620689657"/>
    <n v="4"/>
    <s v="No"/>
  </r>
  <r>
    <x v="711"/>
    <x v="0"/>
    <x v="5"/>
    <s v="West"/>
    <x v="0"/>
    <x v="0"/>
    <x v="5"/>
    <s v="North"/>
    <x v="0"/>
    <n v="2.9"/>
    <n v="907"/>
    <n v="4"/>
    <d v="2024-01-27T00:00:00"/>
    <n v="5"/>
    <n v="1"/>
    <x v="1"/>
    <x v="2"/>
    <n v="312.75862068965517"/>
    <n v="3"/>
    <s v="Yes"/>
  </r>
  <r>
    <x v="712"/>
    <x v="74"/>
    <x v="2"/>
    <s v="North"/>
    <x v="0"/>
    <x v="2"/>
    <x v="0"/>
    <s v="North"/>
    <x v="1"/>
    <n v="5.5"/>
    <n v="195"/>
    <n v="6"/>
    <d v="2024-02-17T00:00:00"/>
    <n v="6"/>
    <n v="0"/>
    <x v="0"/>
    <x v="0"/>
    <n v="35.454545454545453"/>
    <n v="5"/>
    <s v="Yes"/>
  </r>
  <r>
    <x v="713"/>
    <x v="11"/>
    <x v="3"/>
    <s v="South"/>
    <x v="5"/>
    <x v="0"/>
    <x v="4"/>
    <s v="West"/>
    <x v="0"/>
    <s v=""/>
    <n v="281"/>
    <n v="4"/>
    <d v="2024-02-06T00:00:00"/>
    <n v="3"/>
    <n v="-1"/>
    <x v="0"/>
    <x v="0"/>
    <s v=""/>
    <n v="5"/>
    <s v="Yes"/>
  </r>
  <r>
    <x v="714"/>
    <x v="82"/>
    <x v="2"/>
    <s v="North"/>
    <x v="0"/>
    <x v="0"/>
    <x v="1"/>
    <s v="East"/>
    <x v="0"/>
    <n v="64.900000000000006"/>
    <n v="726"/>
    <n v="4"/>
    <d v="2024-05-22T00:00:00"/>
    <n v="8"/>
    <n v="4"/>
    <x v="1"/>
    <x v="2"/>
    <n v="11.1864406779661"/>
    <n v="3"/>
    <s v="No"/>
  </r>
  <r>
    <x v="715"/>
    <x v="104"/>
    <x v="2"/>
    <s v="North"/>
    <x v="4"/>
    <x v="2"/>
    <x v="3"/>
    <s v="South"/>
    <x v="0"/>
    <n v="1.4"/>
    <n v="169"/>
    <n v="8"/>
    <d v="2024-03-14T00:00:00"/>
    <n v="7"/>
    <n v="-1"/>
    <x v="0"/>
    <x v="0"/>
    <n v="120.71428571428572"/>
    <n v="1"/>
    <s v="No"/>
  </r>
  <r>
    <x v="716"/>
    <x v="71"/>
    <x v="1"/>
    <s v="West"/>
    <x v="2"/>
    <x v="0"/>
    <x v="1"/>
    <s v="West"/>
    <x v="1"/>
    <n v="1.5"/>
    <n v="469"/>
    <n v="2"/>
    <d v="2024-06-17T00:00:00"/>
    <n v="3"/>
    <n v="1"/>
    <x v="1"/>
    <x v="2"/>
    <n v="312.66666666666669"/>
    <n v="1"/>
    <s v="No"/>
  </r>
  <r>
    <x v="717"/>
    <x v="122"/>
    <x v="2"/>
    <s v="North"/>
    <x v="0"/>
    <x v="1"/>
    <x v="4"/>
    <s v="East"/>
    <x v="0"/>
    <n v="2.7"/>
    <n v="239"/>
    <n v="6"/>
    <d v="2024-01-19T00:00:00"/>
    <n v="7"/>
    <n v="1"/>
    <x v="1"/>
    <x v="2"/>
    <n v="88.518518518518519"/>
    <n v="4"/>
    <s v="No"/>
  </r>
  <r>
    <x v="718"/>
    <x v="162"/>
    <x v="1"/>
    <s v="West"/>
    <x v="1"/>
    <x v="2"/>
    <x v="5"/>
    <s v="North"/>
    <x v="0"/>
    <n v="17"/>
    <n v="1094"/>
    <n v="8"/>
    <d v="2024-04-12T00:00:00"/>
    <n v="8"/>
    <n v="0"/>
    <x v="0"/>
    <x v="0"/>
    <n v="64.352941176470594"/>
    <n v="2"/>
    <s v="No"/>
  </r>
  <r>
    <x v="719"/>
    <x v="32"/>
    <x v="0"/>
    <s v="South"/>
    <x v="5"/>
    <x v="0"/>
    <x v="3"/>
    <s v="West"/>
    <x v="0"/>
    <n v="10.7"/>
    <n v="434"/>
    <n v="4"/>
    <d v="2024-05-28T00:00:00"/>
    <n v="7"/>
    <n v="3"/>
    <x v="1"/>
    <x v="2"/>
    <n v="40.560747663551403"/>
    <n v="1"/>
    <s v="Yes"/>
  </r>
  <r>
    <x v="720"/>
    <x v="159"/>
    <x v="5"/>
    <s v="West"/>
    <x v="2"/>
    <x v="1"/>
    <x v="2"/>
    <s v="North"/>
    <x v="0"/>
    <n v="3.1"/>
    <n v="858"/>
    <n v="6"/>
    <d v="2024-01-14T00:00:00"/>
    <n v="5"/>
    <n v="-1"/>
    <x v="0"/>
    <x v="0"/>
    <n v="276.77419354838707"/>
    <n v="5"/>
    <s v="Yes"/>
  </r>
  <r>
    <x v="721"/>
    <x v="15"/>
    <x v="3"/>
    <s v="South"/>
    <x v="1"/>
    <x v="0"/>
    <x v="1"/>
    <s v="East"/>
    <x v="0"/>
    <n v="12.9"/>
    <n v="933"/>
    <n v="4"/>
    <d v="2024-05-05T00:00:00"/>
    <n v="3"/>
    <n v="-1"/>
    <x v="0"/>
    <x v="0"/>
    <n v="72.325581395348834"/>
    <n v="4"/>
    <s v="No"/>
  </r>
  <r>
    <x v="722"/>
    <x v="59"/>
    <x v="0"/>
    <s v="South"/>
    <x v="4"/>
    <x v="1"/>
    <x v="3"/>
    <s v="West"/>
    <x v="0"/>
    <n v="3.4"/>
    <n v="328"/>
    <n v="6"/>
    <d v="2024-05-26T00:00:00"/>
    <n v="7"/>
    <n v="1"/>
    <x v="1"/>
    <x v="2"/>
    <n v="96.470588235294116"/>
    <n v="2"/>
    <s v="No"/>
  </r>
  <r>
    <x v="723"/>
    <x v="39"/>
    <x v="2"/>
    <s v="North"/>
    <x v="0"/>
    <x v="0"/>
    <x v="0"/>
    <s v="West"/>
    <x v="0"/>
    <n v="9.1999999999999993"/>
    <n v="594"/>
    <n v="4"/>
    <d v="2024-05-25T00:00:00"/>
    <n v="5"/>
    <n v="1"/>
    <x v="1"/>
    <x v="2"/>
    <n v="64.565217391304358"/>
    <n v="2"/>
    <s v="No"/>
  </r>
  <r>
    <x v="724"/>
    <x v="67"/>
    <x v="0"/>
    <s v="South"/>
    <x v="1"/>
    <x v="2"/>
    <x v="2"/>
    <s v="South"/>
    <x v="1"/>
    <n v="3.3"/>
    <n v="303"/>
    <n v="6"/>
    <d v="2024-03-21T00:00:00"/>
    <n v="5"/>
    <n v="-1"/>
    <x v="0"/>
    <x v="0"/>
    <n v="91.818181818181827"/>
    <n v="5"/>
    <s v="Yes"/>
  </r>
  <r>
    <x v="725"/>
    <x v="160"/>
    <x v="1"/>
    <s v="West"/>
    <x v="0"/>
    <x v="0"/>
    <x v="2"/>
    <s v="West"/>
    <x v="1"/>
    <n v="66.2"/>
    <n v="512"/>
    <n v="2"/>
    <d v="2024-01-06T00:00:00"/>
    <n v="2"/>
    <n v="0"/>
    <x v="0"/>
    <x v="0"/>
    <n v="7.7341389728096672"/>
    <n v="5"/>
    <s v="No"/>
  </r>
  <r>
    <x v="726"/>
    <x v="44"/>
    <x v="4"/>
    <s v="East"/>
    <x v="0"/>
    <x v="0"/>
    <x v="1"/>
    <s v="South"/>
    <x v="0"/>
    <n v="5.9"/>
    <n v="621"/>
    <n v="4"/>
    <d v="2024-04-14T00:00:00"/>
    <n v="5"/>
    <n v="1"/>
    <x v="1"/>
    <x v="2"/>
    <n v="105.25423728813558"/>
    <n v="1"/>
    <s v="Yes"/>
  </r>
  <r>
    <x v="727"/>
    <x v="65"/>
    <x v="1"/>
    <s v="West"/>
    <x v="0"/>
    <x v="1"/>
    <x v="2"/>
    <s v="East"/>
    <x v="0"/>
    <n v="30.3"/>
    <n v="323"/>
    <n v="6"/>
    <d v="2024-03-26T00:00:00"/>
    <n v="6"/>
    <n v="0"/>
    <x v="0"/>
    <x v="0"/>
    <n v="10.66006600660066"/>
    <n v="5"/>
    <s v="No"/>
  </r>
  <r>
    <x v="728"/>
    <x v="15"/>
    <x v="3"/>
    <s v="South"/>
    <x v="0"/>
    <x v="2"/>
    <x v="2"/>
    <s v="North"/>
    <x v="0"/>
    <n v="16.600000000000001"/>
    <n v="610"/>
    <n v="8"/>
    <d v="2024-05-10T00:00:00"/>
    <n v="8"/>
    <n v="0"/>
    <x v="0"/>
    <x v="0"/>
    <n v="36.746987951807228"/>
    <n v="3"/>
    <s v="No"/>
  </r>
  <r>
    <x v="729"/>
    <x v="6"/>
    <x v="4"/>
    <s v="East"/>
    <x v="2"/>
    <x v="2"/>
    <x v="4"/>
    <s v="West"/>
    <x v="0"/>
    <n v="7.6"/>
    <n v="271"/>
    <n v="8"/>
    <d v="2024-03-21T00:00:00"/>
    <n v="7"/>
    <n v="-1"/>
    <x v="0"/>
    <x v="0"/>
    <n v="35.65789473684211"/>
    <n v="3"/>
    <s v="Yes"/>
  </r>
  <r>
    <x v="730"/>
    <x v="32"/>
    <x v="1"/>
    <s v="West"/>
    <x v="5"/>
    <x v="0"/>
    <x v="4"/>
    <s v="North"/>
    <x v="0"/>
    <n v="9.8000000000000007"/>
    <n v="335"/>
    <n v="4"/>
    <d v="2024-05-25T00:00:00"/>
    <n v="4"/>
    <n v="0"/>
    <x v="0"/>
    <x v="0"/>
    <n v="34.183673469387756"/>
    <n v="5"/>
    <s v="No"/>
  </r>
  <r>
    <x v="731"/>
    <x v="83"/>
    <x v="3"/>
    <s v="South"/>
    <x v="5"/>
    <x v="0"/>
    <x v="2"/>
    <s v="West"/>
    <x v="0"/>
    <n v="20.8"/>
    <n v="1378"/>
    <n v="4"/>
    <d v="2024-02-16T00:00:00"/>
    <n v="4"/>
    <n v="0"/>
    <x v="0"/>
    <x v="0"/>
    <n v="66.25"/>
    <n v="4"/>
    <s v="Yes"/>
  </r>
  <r>
    <x v="732"/>
    <x v="133"/>
    <x v="2"/>
    <s v="North"/>
    <x v="1"/>
    <x v="2"/>
    <x v="2"/>
    <s v="North"/>
    <x v="1"/>
    <n v="11.4"/>
    <n v="227"/>
    <n v="6"/>
    <d v="2024-02-27T00:00:00"/>
    <n v="7"/>
    <n v="1"/>
    <x v="1"/>
    <x v="2"/>
    <n v="19.912280701754387"/>
    <n v="2"/>
    <s v="Yes"/>
  </r>
  <r>
    <x v="733"/>
    <x v="131"/>
    <x v="0"/>
    <s v="South"/>
    <x v="5"/>
    <x v="0"/>
    <x v="1"/>
    <s v="East"/>
    <x v="0"/>
    <n v="10.8"/>
    <n v="368"/>
    <n v="4"/>
    <d v="2024-03-25T00:00:00"/>
    <n v="3"/>
    <n v="-1"/>
    <x v="0"/>
    <x v="0"/>
    <n v="34.074074074074069"/>
    <n v="5"/>
    <s v="Yes"/>
  </r>
  <r>
    <x v="734"/>
    <x v="14"/>
    <x v="5"/>
    <s v="West"/>
    <x v="5"/>
    <x v="1"/>
    <x v="0"/>
    <s v="West"/>
    <x v="1"/>
    <n v="7.7"/>
    <n v="339"/>
    <n v="4"/>
    <d v="2024-02-26T00:00:00"/>
    <n v="5"/>
    <n v="1"/>
    <x v="1"/>
    <x v="2"/>
    <n v="44.025974025974023"/>
    <n v="2"/>
    <s v="Yes"/>
  </r>
  <r>
    <x v="735"/>
    <x v="60"/>
    <x v="5"/>
    <s v="West"/>
    <x v="0"/>
    <x v="1"/>
    <x v="2"/>
    <s v="North"/>
    <x v="0"/>
    <n v="34.1"/>
    <n v="577"/>
    <n v="6"/>
    <d v="2024-03-07T00:00:00"/>
    <n v="6"/>
    <n v="0"/>
    <x v="0"/>
    <x v="0"/>
    <n v="16.920821114369502"/>
    <n v="4"/>
    <s v="Yes"/>
  </r>
  <r>
    <x v="736"/>
    <x v="73"/>
    <x v="2"/>
    <s v="North"/>
    <x v="1"/>
    <x v="0"/>
    <x v="3"/>
    <s v="West"/>
    <x v="0"/>
    <n v="4.8"/>
    <n v="514"/>
    <n v="4"/>
    <d v="2024-03-13T00:00:00"/>
    <n v="3"/>
    <n v="-1"/>
    <x v="0"/>
    <x v="0"/>
    <n v="107.08333333333334"/>
    <n v="5"/>
    <s v="No"/>
  </r>
  <r>
    <x v="737"/>
    <x v="162"/>
    <x v="4"/>
    <s v="East"/>
    <x v="3"/>
    <x v="1"/>
    <x v="0"/>
    <s v="West"/>
    <x v="0"/>
    <n v="4.2"/>
    <n v="430"/>
    <n v="6"/>
    <d v="2024-04-10T00:00:00"/>
    <n v="6"/>
    <n v="0"/>
    <x v="0"/>
    <x v="0"/>
    <n v="102.38095238095238"/>
    <n v="4"/>
    <s v="No"/>
  </r>
  <r>
    <x v="738"/>
    <x v="79"/>
    <x v="5"/>
    <s v="West"/>
    <x v="2"/>
    <x v="2"/>
    <x v="2"/>
    <s v="West"/>
    <x v="1"/>
    <n v="26.4"/>
    <n v="520"/>
    <n v="6"/>
    <d v="2024-04-07T00:00:00"/>
    <n v="5"/>
    <n v="-1"/>
    <x v="0"/>
    <x v="0"/>
    <n v="19.696969696969699"/>
    <n v="4"/>
    <s v="No"/>
  </r>
  <r>
    <x v="739"/>
    <x v="108"/>
    <x v="3"/>
    <s v="South"/>
    <x v="0"/>
    <x v="2"/>
    <x v="1"/>
    <s v="North"/>
    <x v="0"/>
    <n v="14.7"/>
    <n v="423"/>
    <n v="8"/>
    <d v="2024-04-28T00:00:00"/>
    <n v="8"/>
    <n v="0"/>
    <x v="0"/>
    <x v="0"/>
    <n v="28.775510204081634"/>
    <n v="5"/>
    <s v="Yes"/>
  </r>
  <r>
    <x v="740"/>
    <x v="143"/>
    <x v="3"/>
    <s v="South"/>
    <x v="0"/>
    <x v="0"/>
    <x v="5"/>
    <s v="East"/>
    <x v="0"/>
    <n v="5"/>
    <n v="3710"/>
    <n v="4"/>
    <d v="2024-05-12T00:00:00"/>
    <n v="3"/>
    <n v="-1"/>
    <x v="0"/>
    <x v="0"/>
    <n v="742"/>
    <n v="5"/>
    <s v="Yes"/>
  </r>
  <r>
    <x v="741"/>
    <x v="114"/>
    <x v="0"/>
    <s v="South"/>
    <x v="5"/>
    <x v="2"/>
    <x v="2"/>
    <s v="East"/>
    <x v="0"/>
    <n v="14.2"/>
    <n v="574"/>
    <n v="8"/>
    <d v="2024-02-18T00:00:00"/>
    <n v="8"/>
    <n v="0"/>
    <x v="0"/>
    <x v="0"/>
    <n v="40.422535211267608"/>
    <n v="5"/>
    <s v="No"/>
  </r>
  <r>
    <x v="742"/>
    <x v="97"/>
    <x v="4"/>
    <s v="East"/>
    <x v="5"/>
    <x v="2"/>
    <x v="1"/>
    <s v="East"/>
    <x v="1"/>
    <n v="19.2"/>
    <n v="249"/>
    <n v="6"/>
    <d v="2024-02-27T00:00:00"/>
    <n v="5"/>
    <n v="-1"/>
    <x v="0"/>
    <x v="0"/>
    <n v="12.96875"/>
    <n v="5"/>
    <s v="Yes"/>
  </r>
  <r>
    <x v="743"/>
    <x v="81"/>
    <x v="5"/>
    <s v="West"/>
    <x v="2"/>
    <x v="1"/>
    <x v="3"/>
    <s v="West"/>
    <x v="1"/>
    <n v="7.6"/>
    <n v="187"/>
    <n v="4"/>
    <d v="2024-05-31T00:00:00"/>
    <n v="4"/>
    <n v="0"/>
    <x v="0"/>
    <x v="3"/>
    <n v="24.605263157894736"/>
    <n v="0"/>
    <s v="No"/>
  </r>
  <r>
    <x v="744"/>
    <x v="7"/>
    <x v="5"/>
    <s v="West"/>
    <x v="2"/>
    <x v="1"/>
    <x v="3"/>
    <s v="West"/>
    <x v="1"/>
    <n v="14"/>
    <n v="88"/>
    <n v="4"/>
    <d v="2024-01-29T00:00:00"/>
    <n v="4"/>
    <n v="0"/>
    <x v="0"/>
    <x v="0"/>
    <n v="6.2857142857142856"/>
    <n v="5"/>
    <s v="No"/>
  </r>
  <r>
    <x v="745"/>
    <x v="153"/>
    <x v="4"/>
    <s v="East"/>
    <x v="3"/>
    <x v="1"/>
    <x v="5"/>
    <s v="North"/>
    <x v="0"/>
    <n v="36.9"/>
    <n v="1642"/>
    <n v="6"/>
    <d v="2024-02-12T00:00:00"/>
    <n v="5"/>
    <n v="-1"/>
    <x v="0"/>
    <x v="0"/>
    <n v="44.498644986449868"/>
    <n v="4"/>
    <s v="Yes"/>
  </r>
  <r>
    <x v="746"/>
    <x v="148"/>
    <x v="3"/>
    <s v="South"/>
    <x v="5"/>
    <x v="1"/>
    <x v="3"/>
    <s v="South"/>
    <x v="1"/>
    <s v=""/>
    <n v="150"/>
    <n v="4"/>
    <d v="2024-05-11T00:00:00"/>
    <n v="4"/>
    <n v="0"/>
    <x v="0"/>
    <x v="0"/>
    <s v=""/>
    <n v="5"/>
    <s v="No"/>
  </r>
  <r>
    <x v="747"/>
    <x v="100"/>
    <x v="0"/>
    <s v="South"/>
    <x v="4"/>
    <x v="2"/>
    <x v="1"/>
    <s v="North"/>
    <x v="0"/>
    <n v="78.400000000000006"/>
    <n v="415"/>
    <n v="8"/>
    <d v="2024-04-03T00:00:00"/>
    <n v="7"/>
    <n v="-1"/>
    <x v="0"/>
    <x v="0"/>
    <n v="5.2933673469387754"/>
    <n v="5"/>
    <s v="No"/>
  </r>
  <r>
    <x v="748"/>
    <x v="107"/>
    <x v="4"/>
    <s v="East"/>
    <x v="0"/>
    <x v="1"/>
    <x v="3"/>
    <s v="South"/>
    <x v="0"/>
    <n v="27.7"/>
    <n v="222"/>
    <n v="6"/>
    <d v="2024-06-09T00:00:00"/>
    <n v="6"/>
    <n v="0"/>
    <x v="0"/>
    <x v="0"/>
    <n v="8.0144404332129966"/>
    <n v="5"/>
    <s v="No"/>
  </r>
  <r>
    <x v="749"/>
    <x v="65"/>
    <x v="0"/>
    <s v="South"/>
    <x v="0"/>
    <x v="0"/>
    <x v="3"/>
    <s v="East"/>
    <x v="0"/>
    <n v="18.8"/>
    <n v="391"/>
    <n v="4"/>
    <d v="2024-03-23T00:00:00"/>
    <n v="3"/>
    <n v="-1"/>
    <x v="0"/>
    <x v="0"/>
    <n v="20.797872340425531"/>
    <n v="5"/>
    <s v="Yes"/>
  </r>
  <r>
    <x v="750"/>
    <x v="7"/>
    <x v="2"/>
    <s v="North"/>
    <x v="0"/>
    <x v="2"/>
    <x v="5"/>
    <s v="East"/>
    <x v="0"/>
    <n v="6.7"/>
    <n v="363"/>
    <n v="8"/>
    <d v="2024-02-10T00:00:00"/>
    <n v="16"/>
    <n v="8"/>
    <x v="1"/>
    <x v="2"/>
    <n v="54.179104477611936"/>
    <n v="4"/>
    <s v="No"/>
  </r>
  <r>
    <x v="751"/>
    <x v="119"/>
    <x v="2"/>
    <s v="North"/>
    <x v="4"/>
    <x v="0"/>
    <x v="5"/>
    <s v="East"/>
    <x v="0"/>
    <n v="2.5"/>
    <n v="2134"/>
    <n v="4"/>
    <d v="2024-06-29T00:00:00"/>
    <n v="3"/>
    <n v="-1"/>
    <x v="0"/>
    <x v="0"/>
    <n v="853.6"/>
    <n v="3"/>
    <s v="No"/>
  </r>
  <r>
    <x v="752"/>
    <x v="133"/>
    <x v="4"/>
    <s v="East"/>
    <x v="5"/>
    <x v="1"/>
    <x v="0"/>
    <s v="West"/>
    <x v="0"/>
    <n v="66.2"/>
    <n v="360"/>
    <n v="6"/>
    <d v="2024-02-27T00:00:00"/>
    <n v="7"/>
    <n v="1"/>
    <x v="1"/>
    <x v="2"/>
    <n v="5.4380664652567976"/>
    <n v="4"/>
    <s v="No"/>
  </r>
  <r>
    <x v="753"/>
    <x v="87"/>
    <x v="1"/>
    <s v="West"/>
    <x v="1"/>
    <x v="2"/>
    <x v="1"/>
    <s v="North"/>
    <x v="0"/>
    <n v="6.1"/>
    <n v="397"/>
    <n v="8"/>
    <d v="2024-03-31T00:00:00"/>
    <n v="8"/>
    <n v="0"/>
    <x v="0"/>
    <x v="0"/>
    <n v="65.081967213114751"/>
    <n v="5"/>
    <s v="Yes"/>
  </r>
  <r>
    <x v="754"/>
    <x v="42"/>
    <x v="4"/>
    <s v="East"/>
    <x v="4"/>
    <x v="0"/>
    <x v="1"/>
    <s v="North"/>
    <x v="0"/>
    <n v="15.9"/>
    <n v="478"/>
    <n v="4"/>
    <d v="2024-06-07T00:00:00"/>
    <n v="12"/>
    <n v="8"/>
    <x v="1"/>
    <x v="2"/>
    <n v="30.062893081761004"/>
    <n v="4"/>
    <s v="Yes"/>
  </r>
  <r>
    <x v="755"/>
    <x v="22"/>
    <x v="1"/>
    <s v="West"/>
    <x v="3"/>
    <x v="2"/>
    <x v="0"/>
    <s v="West"/>
    <x v="1"/>
    <n v="2.8"/>
    <n v="177"/>
    <n v="6"/>
    <d v="2024-03-24T00:00:00"/>
    <n v="5"/>
    <n v="-1"/>
    <x v="0"/>
    <x v="0"/>
    <n v="63.214285714285715"/>
    <n v="4"/>
    <s v="No"/>
  </r>
  <r>
    <x v="756"/>
    <x v="74"/>
    <x v="4"/>
    <s v="East"/>
    <x v="1"/>
    <x v="2"/>
    <x v="0"/>
    <s v="West"/>
    <x v="0"/>
    <n v="4.5999999999999996"/>
    <n v="297"/>
    <n v="8"/>
    <d v="2024-02-20T00:00:00"/>
    <n v="9"/>
    <n v="1"/>
    <x v="1"/>
    <x v="2"/>
    <n v="64.565217391304358"/>
    <n v="3"/>
    <s v="Yes"/>
  </r>
  <r>
    <x v="757"/>
    <x v="105"/>
    <x v="3"/>
    <s v="South"/>
    <x v="4"/>
    <x v="1"/>
    <x v="2"/>
    <s v="East"/>
    <x v="0"/>
    <n v="16.899999999999999"/>
    <n v="305"/>
    <n v="6"/>
    <d v="2024-06-30T00:00:00"/>
    <n v="11"/>
    <n v="5"/>
    <x v="1"/>
    <x v="2"/>
    <n v="18.047337278106511"/>
    <n v="2"/>
    <s v="Yes"/>
  </r>
  <r>
    <x v="758"/>
    <x v="114"/>
    <x v="5"/>
    <s v="West"/>
    <x v="5"/>
    <x v="2"/>
    <x v="1"/>
    <s v="West"/>
    <x v="1"/>
    <n v="44.2"/>
    <n v="95"/>
    <n v="6"/>
    <d v="2024-02-15T00:00:00"/>
    <n v="5"/>
    <n v="-1"/>
    <x v="0"/>
    <x v="0"/>
    <n v="2.1493212669683257"/>
    <n v="4"/>
    <s v="No"/>
  </r>
  <r>
    <x v="759"/>
    <x v="156"/>
    <x v="4"/>
    <s v="East"/>
    <x v="3"/>
    <x v="2"/>
    <x v="5"/>
    <s v="South"/>
    <x v="0"/>
    <n v="9.3000000000000007"/>
    <n v="881"/>
    <n v="8"/>
    <d v="2024-05-21T00:00:00"/>
    <n v="9"/>
    <n v="1"/>
    <x v="1"/>
    <x v="2"/>
    <n v="94.731182795698913"/>
    <n v="1"/>
    <s v="Yes"/>
  </r>
  <r>
    <x v="760"/>
    <x v="23"/>
    <x v="4"/>
    <s v="East"/>
    <x v="2"/>
    <x v="2"/>
    <x v="3"/>
    <s v="East"/>
    <x v="1"/>
    <n v="19.600000000000001"/>
    <n v="80"/>
    <n v="6"/>
    <d v="2024-03-04T00:00:00"/>
    <n v="5"/>
    <n v="-1"/>
    <x v="0"/>
    <x v="1"/>
    <n v="4.0816326530612246"/>
    <n v="0"/>
    <s v="No"/>
  </r>
  <r>
    <x v="761"/>
    <x v="49"/>
    <x v="1"/>
    <s v="West"/>
    <x v="3"/>
    <x v="0"/>
    <x v="5"/>
    <s v="East"/>
    <x v="0"/>
    <n v="6.3"/>
    <n v="3113"/>
    <n v="4"/>
    <d v="2024-06-25T00:00:00"/>
    <n v="4"/>
    <n v="0"/>
    <x v="0"/>
    <x v="0"/>
    <n v="494.12698412698415"/>
    <n v="4"/>
    <s v="No"/>
  </r>
  <r>
    <x v="762"/>
    <x v="18"/>
    <x v="3"/>
    <s v="South"/>
    <x v="4"/>
    <x v="1"/>
    <x v="5"/>
    <s v="West"/>
    <x v="0"/>
    <n v="9.1999999999999993"/>
    <n v="1604"/>
    <n v="6"/>
    <d v="2024-01-17T00:00:00"/>
    <n v="6"/>
    <n v="0"/>
    <x v="0"/>
    <x v="0"/>
    <n v="174.34782608695653"/>
    <n v="3"/>
    <s v="Yes"/>
  </r>
  <r>
    <x v="763"/>
    <x v="102"/>
    <x v="3"/>
    <s v="South"/>
    <x v="4"/>
    <x v="2"/>
    <x v="0"/>
    <s v="West"/>
    <x v="0"/>
    <n v="10.6"/>
    <n v="264"/>
    <n v="8"/>
    <d v="2024-04-14T00:00:00"/>
    <n v="7"/>
    <n v="-1"/>
    <x v="0"/>
    <x v="0"/>
    <n v="24.90566037735849"/>
    <n v="4"/>
    <s v="Yes"/>
  </r>
  <r>
    <x v="764"/>
    <x v="76"/>
    <x v="0"/>
    <s v="South"/>
    <x v="1"/>
    <x v="0"/>
    <x v="3"/>
    <s v="East"/>
    <x v="0"/>
    <n v="7.3"/>
    <n v="461"/>
    <n v="4"/>
    <d v="2024-01-31T00:00:00"/>
    <n v="4"/>
    <n v="0"/>
    <x v="0"/>
    <x v="0"/>
    <n v="63.150684931506852"/>
    <n v="4"/>
    <s v="Yes"/>
  </r>
  <r>
    <x v="765"/>
    <x v="120"/>
    <x v="0"/>
    <s v="South"/>
    <x v="5"/>
    <x v="0"/>
    <x v="1"/>
    <s v="East"/>
    <x v="0"/>
    <n v="4.2"/>
    <n v="808"/>
    <n v="4"/>
    <d v="2024-05-26T00:00:00"/>
    <n v="4"/>
    <n v="0"/>
    <x v="0"/>
    <x v="0"/>
    <n v="192.38095238095238"/>
    <n v="4"/>
    <s v="Yes"/>
  </r>
  <r>
    <x v="766"/>
    <x v="165"/>
    <x v="0"/>
    <s v="South"/>
    <x v="1"/>
    <x v="2"/>
    <x v="4"/>
    <s v="South"/>
    <x v="1"/>
    <n v="53"/>
    <n v="80"/>
    <n v="6"/>
    <d v="2024-02-23T00:00:00"/>
    <n v="7"/>
    <n v="1"/>
    <x v="1"/>
    <x v="2"/>
    <n v="1.5094339622641511"/>
    <n v="1"/>
    <s v="No"/>
  </r>
  <r>
    <x v="767"/>
    <x v="46"/>
    <x v="3"/>
    <s v="South"/>
    <x v="3"/>
    <x v="2"/>
    <x v="2"/>
    <s v="East"/>
    <x v="0"/>
    <n v="2.2000000000000002"/>
    <n v="323"/>
    <n v="8"/>
    <d v="2024-01-12T00:00:00"/>
    <n v="9"/>
    <n v="1"/>
    <x v="1"/>
    <x v="1"/>
    <n v="146.81818181818181"/>
    <n v="0"/>
    <s v="No"/>
  </r>
  <r>
    <x v="768"/>
    <x v="139"/>
    <x v="3"/>
    <s v="South"/>
    <x v="5"/>
    <x v="0"/>
    <x v="0"/>
    <s v="East"/>
    <x v="0"/>
    <n v="65.7"/>
    <n v="755"/>
    <n v="4"/>
    <d v="2024-01-19T00:00:00"/>
    <n v="3"/>
    <n v="-1"/>
    <x v="0"/>
    <x v="0"/>
    <n v="11.491628614916285"/>
    <n v="5"/>
    <s v="No"/>
  </r>
  <r>
    <x v="769"/>
    <x v="144"/>
    <x v="4"/>
    <s v="East"/>
    <x v="4"/>
    <x v="1"/>
    <x v="1"/>
    <s v="East"/>
    <x v="1"/>
    <n v="65.2"/>
    <n v="304"/>
    <n v="4"/>
    <d v="2024-04-28T00:00:00"/>
    <n v="3"/>
    <n v="-1"/>
    <x v="0"/>
    <x v="0"/>
    <n v="4.6625766871165641"/>
    <n v="3"/>
    <s v="No"/>
  </r>
  <r>
    <x v="770"/>
    <x v="47"/>
    <x v="4"/>
    <s v="East"/>
    <x v="2"/>
    <x v="2"/>
    <x v="4"/>
    <s v="South"/>
    <x v="0"/>
    <n v="3.9"/>
    <n v="185"/>
    <n v="8"/>
    <d v="2024-05-10T00:00:00"/>
    <n v="9"/>
    <n v="1"/>
    <x v="1"/>
    <x v="2"/>
    <n v="47.435897435897438"/>
    <n v="3"/>
    <s v="No"/>
  </r>
  <r>
    <x v="771"/>
    <x v="85"/>
    <x v="3"/>
    <s v="South"/>
    <x v="2"/>
    <x v="1"/>
    <x v="4"/>
    <s v="North"/>
    <x v="0"/>
    <n v="6.1"/>
    <n v="287"/>
    <n v="6"/>
    <d v="2024-05-02T00:00:00"/>
    <n v="5"/>
    <n v="-1"/>
    <x v="0"/>
    <x v="0"/>
    <n v="47.049180327868854"/>
    <n v="4"/>
    <s v="No"/>
  </r>
  <r>
    <x v="772"/>
    <x v="47"/>
    <x v="4"/>
    <s v="East"/>
    <x v="0"/>
    <x v="2"/>
    <x v="1"/>
    <s v="South"/>
    <x v="0"/>
    <n v="15.1"/>
    <n v="369"/>
    <n v="8"/>
    <d v="2024-05-10T00:00:00"/>
    <n v="9"/>
    <n v="1"/>
    <x v="1"/>
    <x v="2"/>
    <n v="24.437086092715234"/>
    <n v="3"/>
    <s v="Yes"/>
  </r>
  <r>
    <x v="773"/>
    <x v="101"/>
    <x v="2"/>
    <s v="North"/>
    <x v="0"/>
    <x v="2"/>
    <x v="5"/>
    <s v="North"/>
    <x v="1"/>
    <n v="2.7"/>
    <n v="438"/>
    <n v="6"/>
    <d v="2024-05-15T00:00:00"/>
    <n v="12"/>
    <n v="6"/>
    <x v="1"/>
    <x v="2"/>
    <n v="162.2222222222222"/>
    <n v="3"/>
    <s v="No"/>
  </r>
  <r>
    <x v="774"/>
    <x v="24"/>
    <x v="0"/>
    <s v="South"/>
    <x v="5"/>
    <x v="1"/>
    <x v="1"/>
    <s v="East"/>
    <x v="0"/>
    <n v="8.3000000000000007"/>
    <n v="526"/>
    <n v="6"/>
    <d v="2024-04-10T00:00:00"/>
    <n v="7"/>
    <n v="1"/>
    <x v="1"/>
    <x v="2"/>
    <n v="63.373493975903607"/>
    <n v="3"/>
    <s v="Yes"/>
  </r>
  <r>
    <x v="775"/>
    <x v="82"/>
    <x v="5"/>
    <s v="West"/>
    <x v="2"/>
    <x v="0"/>
    <x v="0"/>
    <s v="East"/>
    <x v="0"/>
    <n v="12.2"/>
    <n v="700"/>
    <n v="4"/>
    <d v="2024-05-23T00:00:00"/>
    <n v="9"/>
    <n v="5"/>
    <x v="1"/>
    <x v="2"/>
    <n v="57.377049180327873"/>
    <n v="2"/>
    <s v="Yes"/>
  </r>
  <r>
    <x v="776"/>
    <x v="56"/>
    <x v="2"/>
    <s v="North"/>
    <x v="4"/>
    <x v="2"/>
    <x v="5"/>
    <s v="South"/>
    <x v="0"/>
    <n v="11.9"/>
    <n v="1108"/>
    <n v="8"/>
    <d v="2024-06-10T00:00:00"/>
    <n v="9"/>
    <n v="1"/>
    <x v="1"/>
    <x v="2"/>
    <n v="93.109243697478988"/>
    <n v="2"/>
    <s v="No"/>
  </r>
  <r>
    <x v="777"/>
    <x v="35"/>
    <x v="5"/>
    <s v="West"/>
    <x v="1"/>
    <x v="2"/>
    <x v="3"/>
    <s v="West"/>
    <x v="1"/>
    <n v="1.6"/>
    <n v="80"/>
    <n v="6"/>
    <d v="2024-01-26T00:00:00"/>
    <n v="5"/>
    <n v="-1"/>
    <x v="0"/>
    <x v="0"/>
    <n v="50"/>
    <n v="4"/>
    <s v="Yes"/>
  </r>
  <r>
    <x v="778"/>
    <x v="59"/>
    <x v="2"/>
    <s v="North"/>
    <x v="7"/>
    <x v="2"/>
    <x v="5"/>
    <s v="South"/>
    <x v="0"/>
    <n v="4.3"/>
    <n v="806"/>
    <n v="8"/>
    <d v="2024-05-28T00:00:00"/>
    <n v="9"/>
    <n v="1"/>
    <x v="1"/>
    <x v="2"/>
    <n v="187.44186046511629"/>
    <n v="2"/>
    <s v="No"/>
  </r>
  <r>
    <x v="779"/>
    <x v="139"/>
    <x v="4"/>
    <s v="East"/>
    <x v="5"/>
    <x v="1"/>
    <x v="4"/>
    <s v="East"/>
    <x v="1"/>
    <n v="13.6"/>
    <n v="100"/>
    <n v="4"/>
    <d v="2024-01-20T00:00:00"/>
    <n v="4"/>
    <n v="0"/>
    <x v="0"/>
    <x v="0"/>
    <n v="7.3529411764705888"/>
    <n v="5"/>
    <s v="No"/>
  </r>
  <r>
    <x v="780"/>
    <x v="80"/>
    <x v="4"/>
    <s v="East"/>
    <x v="4"/>
    <x v="2"/>
    <x v="3"/>
    <s v="South"/>
    <x v="0"/>
    <n v="27.1"/>
    <n v="217"/>
    <n v="8"/>
    <d v="2024-05-04T00:00:00"/>
    <n v="13"/>
    <n v="5"/>
    <x v="1"/>
    <x v="3"/>
    <n v="8.0073800738007375"/>
    <n v="0"/>
    <s v="No"/>
  </r>
  <r>
    <x v="781"/>
    <x v="60"/>
    <x v="0"/>
    <s v="South"/>
    <x v="0"/>
    <x v="2"/>
    <x v="1"/>
    <s v="North"/>
    <x v="0"/>
    <n v="15.3"/>
    <n v="419"/>
    <n v="8"/>
    <d v="2024-03-09T00:00:00"/>
    <n v="8"/>
    <n v="0"/>
    <x v="0"/>
    <x v="0"/>
    <n v="27.385620915032678"/>
    <n v="3"/>
    <s v="No"/>
  </r>
  <r>
    <x v="782"/>
    <x v="2"/>
    <x v="2"/>
    <s v="North"/>
    <x v="5"/>
    <x v="1"/>
    <x v="2"/>
    <s v="North"/>
    <x v="1"/>
    <n v="10.9"/>
    <n v="887"/>
    <n v="4"/>
    <d v="2024-05-28T00:00:00"/>
    <n v="5"/>
    <n v="1"/>
    <x v="1"/>
    <x v="2"/>
    <n v="81.376146788990823"/>
    <n v="2"/>
    <s v="Yes"/>
  </r>
  <r>
    <x v="783"/>
    <x v="113"/>
    <x v="2"/>
    <s v="North"/>
    <x v="5"/>
    <x v="0"/>
    <x v="2"/>
    <s v="North"/>
    <x v="1"/>
    <n v="70.400000000000006"/>
    <n v="340"/>
    <n v="2"/>
    <d v="2024-04-20T00:00:00"/>
    <n v="3"/>
    <n v="1"/>
    <x v="1"/>
    <x v="2"/>
    <n v="4.8295454545454541"/>
    <n v="3"/>
    <s v="No"/>
  </r>
  <r>
    <x v="784"/>
    <x v="59"/>
    <x v="5"/>
    <s v="West"/>
    <x v="0"/>
    <x v="2"/>
    <x v="2"/>
    <s v="North"/>
    <x v="0"/>
    <n v="2.2000000000000002"/>
    <n v="684"/>
    <n v="8"/>
    <d v="2024-06-05T00:00:00"/>
    <n v="17"/>
    <n v="9"/>
    <x v="1"/>
    <x v="2"/>
    <n v="310.90909090909088"/>
    <n v="3"/>
    <s v="No"/>
  </r>
  <r>
    <x v="785"/>
    <x v="55"/>
    <x v="5"/>
    <s v="West"/>
    <x v="1"/>
    <x v="2"/>
    <x v="5"/>
    <s v="East"/>
    <x v="0"/>
    <n v="46.7"/>
    <n v="1062"/>
    <n v="8"/>
    <d v="2024-04-30T00:00:00"/>
    <n v="7"/>
    <n v="-1"/>
    <x v="0"/>
    <x v="0"/>
    <n v="22.740899357601712"/>
    <n v="5"/>
    <s v="Yes"/>
  </r>
  <r>
    <x v="786"/>
    <x v="9"/>
    <x v="1"/>
    <s v="West"/>
    <x v="0"/>
    <x v="1"/>
    <x v="3"/>
    <s v="North"/>
    <x v="0"/>
    <n v="2.8"/>
    <n v="199"/>
    <n v="6"/>
    <d v="2024-06-17T00:00:00"/>
    <n v="6"/>
    <n v="0"/>
    <x v="0"/>
    <x v="0"/>
    <n v="71.071428571428569"/>
    <n v="5"/>
    <s v="Yes"/>
  </r>
  <r>
    <x v="787"/>
    <x v="166"/>
    <x v="4"/>
    <s v="East"/>
    <x v="0"/>
    <x v="2"/>
    <x v="0"/>
    <s v="East"/>
    <x v="1"/>
    <n v="1.9"/>
    <n v="239"/>
    <n v="6"/>
    <d v="2024-06-14T00:00:00"/>
    <n v="7"/>
    <n v="1"/>
    <x v="1"/>
    <x v="2"/>
    <n v="125.78947368421053"/>
    <n v="4"/>
    <s v="Yes"/>
  </r>
  <r>
    <x v="788"/>
    <x v="134"/>
    <x v="5"/>
    <s v="West"/>
    <x v="4"/>
    <x v="2"/>
    <x v="4"/>
    <s v="East"/>
    <x v="0"/>
    <n v="15.6"/>
    <n v="197"/>
    <n v="8"/>
    <d v="2024-03-11T00:00:00"/>
    <n v="8"/>
    <n v="0"/>
    <x v="0"/>
    <x v="0"/>
    <n v="12.628205128205128"/>
    <n v="5"/>
    <s v="No"/>
  </r>
  <r>
    <x v="789"/>
    <x v="31"/>
    <x v="3"/>
    <s v="South"/>
    <x v="0"/>
    <x v="2"/>
    <x v="2"/>
    <s v="West"/>
    <x v="0"/>
    <n v="39.1"/>
    <n v="418"/>
    <n v="8"/>
    <d v="2024-03-12T00:00:00"/>
    <n v="7"/>
    <n v="-1"/>
    <x v="0"/>
    <x v="0"/>
    <n v="10.690537084398976"/>
    <n v="5"/>
    <s v="No"/>
  </r>
  <r>
    <x v="790"/>
    <x v="46"/>
    <x v="4"/>
    <s v="East"/>
    <x v="5"/>
    <x v="0"/>
    <x v="5"/>
    <s v="South"/>
    <x v="0"/>
    <n v="6.7"/>
    <n v="1282"/>
    <n v="4"/>
    <d v="2024-01-08T00:00:00"/>
    <n v="5"/>
    <n v="1"/>
    <x v="1"/>
    <x v="3"/>
    <n v="191.34328358208955"/>
    <n v="0"/>
    <s v="No"/>
  </r>
  <r>
    <x v="791"/>
    <x v="59"/>
    <x v="1"/>
    <s v="West"/>
    <x v="1"/>
    <x v="0"/>
    <x v="2"/>
    <s v="South"/>
    <x v="0"/>
    <n v="39.5"/>
    <n v="891"/>
    <n v="4"/>
    <d v="2024-05-24T00:00:00"/>
    <n v="5"/>
    <n v="1"/>
    <x v="1"/>
    <x v="3"/>
    <n v="22.556962025316455"/>
    <n v="0"/>
    <s v="No"/>
  </r>
  <r>
    <x v="792"/>
    <x v="39"/>
    <x v="5"/>
    <s v="West"/>
    <x v="4"/>
    <x v="1"/>
    <x v="5"/>
    <s v="North"/>
    <x v="0"/>
    <n v="61.3"/>
    <n v="1129"/>
    <n v="6"/>
    <d v="2024-05-25T00:00:00"/>
    <n v="5"/>
    <n v="-1"/>
    <x v="0"/>
    <x v="0"/>
    <n v="18.417618270799348"/>
    <n v="3"/>
    <s v="Yes"/>
  </r>
  <r>
    <x v="793"/>
    <x v="14"/>
    <x v="2"/>
    <s v="North"/>
    <x v="5"/>
    <x v="0"/>
    <x v="4"/>
    <s v="South"/>
    <x v="0"/>
    <n v="2.5"/>
    <n v="369"/>
    <n v="4"/>
    <d v="2024-02-26T00:00:00"/>
    <n v="5"/>
    <n v="1"/>
    <x v="1"/>
    <x v="2"/>
    <n v="147.6"/>
    <n v="3"/>
    <s v="No"/>
  </r>
  <r>
    <x v="794"/>
    <x v="152"/>
    <x v="3"/>
    <s v="South"/>
    <x v="7"/>
    <x v="2"/>
    <x v="5"/>
    <s v="East"/>
    <x v="0"/>
    <n v="14.7"/>
    <n v="946"/>
    <n v="8"/>
    <d v="2024-02-23T00:00:00"/>
    <n v="9"/>
    <n v="1"/>
    <x v="1"/>
    <x v="2"/>
    <n v="64.353741496598644"/>
    <n v="3"/>
    <s v="No"/>
  </r>
  <r>
    <x v="795"/>
    <x v="127"/>
    <x v="0"/>
    <s v="South"/>
    <x v="0"/>
    <x v="1"/>
    <x v="5"/>
    <s v="South"/>
    <x v="1"/>
    <n v="0.9"/>
    <n v="967"/>
    <n v="4"/>
    <d v="2024-06-04T00:00:00"/>
    <n v="7"/>
    <n v="3"/>
    <x v="1"/>
    <x v="2"/>
    <n v="1074.4444444444443"/>
    <n v="5"/>
    <s v="No"/>
  </r>
  <r>
    <x v="796"/>
    <x v="50"/>
    <x v="5"/>
    <s v="West"/>
    <x v="0"/>
    <x v="2"/>
    <x v="0"/>
    <s v="South"/>
    <x v="0"/>
    <n v="20.7"/>
    <n v="246"/>
    <n v="8"/>
    <d v="2024-02-22T00:00:00"/>
    <n v="9"/>
    <n v="1"/>
    <x v="1"/>
    <x v="2"/>
    <n v="11.884057971014494"/>
    <n v="1"/>
    <s v="No"/>
  </r>
  <r>
    <x v="797"/>
    <x v="14"/>
    <x v="3"/>
    <s v="South"/>
    <x v="4"/>
    <x v="2"/>
    <x v="2"/>
    <s v="North"/>
    <x v="0"/>
    <n v="25.7"/>
    <n v="459"/>
    <n v="8"/>
    <d v="2024-02-29T00:00:00"/>
    <n v="8"/>
    <n v="0"/>
    <x v="0"/>
    <x v="0"/>
    <n v="17.859922178988327"/>
    <n v="5"/>
    <s v="Yes"/>
  </r>
  <r>
    <x v="798"/>
    <x v="1"/>
    <x v="4"/>
    <s v="East"/>
    <x v="5"/>
    <x v="2"/>
    <x v="4"/>
    <s v="North"/>
    <x v="0"/>
    <n v="15.8"/>
    <n v="134"/>
    <n v="8"/>
    <d v="2024-06-19T00:00:00"/>
    <n v="9"/>
    <n v="1"/>
    <x v="1"/>
    <x v="2"/>
    <n v="8.4810126582278471"/>
    <n v="3"/>
    <s v="No"/>
  </r>
  <r>
    <x v="799"/>
    <x v="95"/>
    <x v="1"/>
    <s v="West"/>
    <x v="5"/>
    <x v="1"/>
    <x v="5"/>
    <s v="North"/>
    <x v="0"/>
    <n v="45.6"/>
    <n v="1033"/>
    <n v="6"/>
    <d v="2024-02-09T00:00:00"/>
    <n v="7"/>
    <n v="1"/>
    <x v="1"/>
    <x v="2"/>
    <n v="22.653508771929825"/>
    <n v="3"/>
    <s v="No"/>
  </r>
  <r>
    <x v="800"/>
    <x v="140"/>
    <x v="4"/>
    <s v="East"/>
    <x v="0"/>
    <x v="1"/>
    <x v="3"/>
    <s v="South"/>
    <x v="0"/>
    <n v="4.9000000000000004"/>
    <n v="236"/>
    <n v="6"/>
    <d v="2024-06-21T00:00:00"/>
    <n v="6"/>
    <n v="0"/>
    <x v="0"/>
    <x v="0"/>
    <n v="48.163265306122447"/>
    <n v="4"/>
    <s v="No"/>
  </r>
  <r>
    <x v="801"/>
    <x v="40"/>
    <x v="5"/>
    <s v="West"/>
    <x v="5"/>
    <x v="2"/>
    <x v="4"/>
    <s v="East"/>
    <x v="0"/>
    <n v="52.9"/>
    <n v="207"/>
    <n v="8"/>
    <d v="2024-05-12T00:00:00"/>
    <n v="8"/>
    <n v="0"/>
    <x v="0"/>
    <x v="0"/>
    <n v="3.9130434782608696"/>
    <n v="5"/>
    <s v="No"/>
  </r>
  <r>
    <x v="802"/>
    <x v="128"/>
    <x v="1"/>
    <s v="West"/>
    <x v="2"/>
    <x v="2"/>
    <x v="1"/>
    <s v="West"/>
    <x v="1"/>
    <n v="41.5"/>
    <n v="80"/>
    <n v="6"/>
    <d v="2024-04-29T00:00:00"/>
    <n v="5"/>
    <n v="-1"/>
    <x v="0"/>
    <x v="0"/>
    <n v="1.927710843373494"/>
    <n v="3"/>
    <s v="Yes"/>
  </r>
  <r>
    <x v="803"/>
    <x v="126"/>
    <x v="2"/>
    <s v="North"/>
    <x v="4"/>
    <x v="0"/>
    <x v="4"/>
    <s v="South"/>
    <x v="0"/>
    <n v="6.8"/>
    <n v="348"/>
    <n v="4"/>
    <d v="2024-01-20T00:00:00"/>
    <n v="5"/>
    <n v="1"/>
    <x v="1"/>
    <x v="2"/>
    <n v="51.176470588235297"/>
    <n v="1"/>
    <s v="Yes"/>
  </r>
  <r>
    <x v="804"/>
    <x v="51"/>
    <x v="4"/>
    <s v="East"/>
    <x v="4"/>
    <x v="2"/>
    <x v="3"/>
    <s v="East"/>
    <x v="1"/>
    <n v="20"/>
    <n v="80"/>
    <n v="6"/>
    <d v="2024-01-20T00:00:00"/>
    <n v="6"/>
    <n v="0"/>
    <x v="0"/>
    <x v="0"/>
    <n v="4"/>
    <n v="5"/>
    <s v="No"/>
  </r>
  <r>
    <x v="805"/>
    <x v="126"/>
    <x v="1"/>
    <s v="West"/>
    <x v="0"/>
    <x v="2"/>
    <x v="3"/>
    <s v="East"/>
    <x v="0"/>
    <n v="0.7"/>
    <n v="258"/>
    <n v="8"/>
    <d v="2024-01-25T00:00:00"/>
    <n v="10"/>
    <n v="2"/>
    <x v="1"/>
    <x v="2"/>
    <n v="368.57142857142861"/>
    <n v="5"/>
    <s v="Yes"/>
  </r>
  <r>
    <x v="806"/>
    <x v="153"/>
    <x v="3"/>
    <s v="South"/>
    <x v="2"/>
    <x v="0"/>
    <x v="5"/>
    <s v="North"/>
    <x v="0"/>
    <n v="38.6"/>
    <n v="3458"/>
    <n v="4"/>
    <d v="2024-02-17T00:00:00"/>
    <n v="10"/>
    <n v="6"/>
    <x v="1"/>
    <x v="2"/>
    <n v="89.585492227979273"/>
    <n v="3"/>
    <s v="No"/>
  </r>
  <r>
    <x v="807"/>
    <x v="146"/>
    <x v="3"/>
    <s v="South"/>
    <x v="1"/>
    <x v="0"/>
    <x v="5"/>
    <s v="South"/>
    <x v="1"/>
    <n v="4"/>
    <n v="1214"/>
    <n v="2"/>
    <d v="2024-01-09T00:00:00"/>
    <n v="3"/>
    <n v="1"/>
    <x v="1"/>
    <x v="2"/>
    <n v="303.5"/>
    <n v="2"/>
    <s v="No"/>
  </r>
  <r>
    <x v="808"/>
    <x v="11"/>
    <x v="4"/>
    <s v="East"/>
    <x v="0"/>
    <x v="0"/>
    <x v="2"/>
    <s v="South"/>
    <x v="0"/>
    <n v="2.2000000000000002"/>
    <n v="894"/>
    <n v="4"/>
    <d v="2024-02-06T00:00:00"/>
    <n v="3"/>
    <n v="-1"/>
    <x v="0"/>
    <x v="0"/>
    <n v="406.36363636363632"/>
    <n v="4"/>
    <s v="No"/>
  </r>
  <r>
    <x v="809"/>
    <x v="83"/>
    <x v="1"/>
    <s v="West"/>
    <x v="2"/>
    <x v="1"/>
    <x v="0"/>
    <s v="North"/>
    <x v="0"/>
    <n v="5.2"/>
    <n v="184"/>
    <n v="6"/>
    <d v="2024-02-17T00:00:00"/>
    <n v="5"/>
    <n v="-1"/>
    <x v="0"/>
    <x v="0"/>
    <n v="35.384615384615387"/>
    <n v="4"/>
    <s v="No"/>
  </r>
  <r>
    <x v="810"/>
    <x v="63"/>
    <x v="0"/>
    <s v="South"/>
    <x v="2"/>
    <x v="2"/>
    <x v="3"/>
    <s v="West"/>
    <x v="0"/>
    <n v="3.7"/>
    <n v="192"/>
    <n v="8"/>
    <d v="2024-04-27T00:00:00"/>
    <n v="9"/>
    <n v="1"/>
    <x v="1"/>
    <x v="2"/>
    <n v="51.891891891891888"/>
    <n v="1"/>
    <s v="Yes"/>
  </r>
  <r>
    <x v="811"/>
    <x v="81"/>
    <x v="0"/>
    <s v="South"/>
    <x v="4"/>
    <x v="0"/>
    <x v="1"/>
    <s v="West"/>
    <x v="0"/>
    <n v="5.5"/>
    <n v="903"/>
    <n v="4"/>
    <d v="2024-05-30T00:00:00"/>
    <n v="3"/>
    <n v="-1"/>
    <x v="0"/>
    <x v="1"/>
    <n v="164.18181818181819"/>
    <n v="0"/>
    <s v="No"/>
  </r>
  <r>
    <x v="812"/>
    <x v="104"/>
    <x v="0"/>
    <s v="South"/>
    <x v="0"/>
    <x v="0"/>
    <x v="3"/>
    <s v="East"/>
    <x v="0"/>
    <n v="4.4000000000000004"/>
    <n v="477"/>
    <n v="4"/>
    <d v="2024-03-12T00:00:00"/>
    <n v="5"/>
    <n v="1"/>
    <x v="1"/>
    <x v="2"/>
    <n v="108.40909090909091"/>
    <n v="3"/>
    <s v="No"/>
  </r>
  <r>
    <x v="813"/>
    <x v="26"/>
    <x v="5"/>
    <s v="West"/>
    <x v="0"/>
    <x v="0"/>
    <x v="2"/>
    <s v="North"/>
    <x v="0"/>
    <n v="73.099999999999994"/>
    <n v="824"/>
    <n v="4"/>
    <d v="2024-03-02T00:00:00"/>
    <n v="5"/>
    <n v="1"/>
    <x v="1"/>
    <x v="2"/>
    <n v="11.272229822161423"/>
    <n v="2"/>
    <s v="Yes"/>
  </r>
  <r>
    <x v="814"/>
    <x v="15"/>
    <x v="0"/>
    <s v="South"/>
    <x v="4"/>
    <x v="0"/>
    <x v="5"/>
    <s v="North"/>
    <x v="0"/>
    <n v="26.7"/>
    <n v="2222"/>
    <n v="4"/>
    <d v="2024-05-07T00:00:00"/>
    <n v="5"/>
    <n v="1"/>
    <x v="1"/>
    <x v="2"/>
    <n v="83.220973782771537"/>
    <n v="2"/>
    <s v="No"/>
  </r>
  <r>
    <x v="815"/>
    <x v="15"/>
    <x v="0"/>
    <s v="South"/>
    <x v="5"/>
    <x v="0"/>
    <x v="2"/>
    <s v="North"/>
    <x v="0"/>
    <n v="16.399999999999999"/>
    <n v="595"/>
    <n v="4"/>
    <d v="2024-05-07T00:00:00"/>
    <n v="5"/>
    <n v="1"/>
    <x v="1"/>
    <x v="2"/>
    <n v="36.280487804878049"/>
    <n v="4"/>
    <s v="No"/>
  </r>
  <r>
    <x v="816"/>
    <x v="158"/>
    <x v="1"/>
    <s v="West"/>
    <x v="0"/>
    <x v="1"/>
    <x v="3"/>
    <s v="East"/>
    <x v="0"/>
    <n v="1.5"/>
    <n v="265"/>
    <n v="6"/>
    <d v="2024-05-22T00:00:00"/>
    <n v="7"/>
    <n v="1"/>
    <x v="1"/>
    <x v="2"/>
    <n v="176.66666666666666"/>
    <n v="1"/>
    <s v="No"/>
  </r>
  <r>
    <x v="817"/>
    <x v="157"/>
    <x v="2"/>
    <s v="North"/>
    <x v="2"/>
    <x v="1"/>
    <x v="0"/>
    <s v="East"/>
    <x v="0"/>
    <n v="0.9"/>
    <n v="391"/>
    <n v="6"/>
    <d v="2024-03-14T00:00:00"/>
    <n v="10"/>
    <n v="4"/>
    <x v="1"/>
    <x v="2"/>
    <n v="434.44444444444446"/>
    <n v="5"/>
    <s v="No"/>
  </r>
  <r>
    <x v="818"/>
    <x v="19"/>
    <x v="1"/>
    <s v="West"/>
    <x v="4"/>
    <x v="2"/>
    <x v="5"/>
    <s v="East"/>
    <x v="0"/>
    <n v="16.899999999999999"/>
    <n v="1030"/>
    <n v="8"/>
    <d v="2024-05-22T00:00:00"/>
    <n v="9"/>
    <n v="1"/>
    <x v="1"/>
    <x v="2"/>
    <n v="60.946745562130182"/>
    <n v="1"/>
    <s v="No"/>
  </r>
  <r>
    <x v="819"/>
    <x v="15"/>
    <x v="0"/>
    <s v="South"/>
    <x v="4"/>
    <x v="2"/>
    <x v="1"/>
    <s v="West"/>
    <x v="0"/>
    <n v="6.5"/>
    <n v="295"/>
    <n v="8"/>
    <d v="2024-05-12T00:00:00"/>
    <n v="10"/>
    <n v="2"/>
    <x v="1"/>
    <x v="2"/>
    <n v="45.384615384615387"/>
    <n v="2"/>
    <s v="Yes"/>
  </r>
  <r>
    <x v="820"/>
    <x v="46"/>
    <x v="3"/>
    <s v="South"/>
    <x v="5"/>
    <x v="2"/>
    <x v="1"/>
    <s v="East"/>
    <x v="0"/>
    <n v="14.1"/>
    <n v="306"/>
    <n v="8"/>
    <d v="2024-01-12T00:00:00"/>
    <n v="9"/>
    <n v="1"/>
    <x v="1"/>
    <x v="2"/>
    <n v="21.702127659574469"/>
    <n v="1"/>
    <s v="No"/>
  </r>
  <r>
    <x v="821"/>
    <x v="144"/>
    <x v="4"/>
    <s v="East"/>
    <x v="7"/>
    <x v="1"/>
    <x v="2"/>
    <s v="South"/>
    <x v="0"/>
    <n v="46"/>
    <n v="443"/>
    <n v="6"/>
    <d v="2024-05-02T00:00:00"/>
    <n v="7"/>
    <n v="1"/>
    <x v="1"/>
    <x v="2"/>
    <n v="9.6304347826086953"/>
    <n v="2"/>
    <s v="No"/>
  </r>
  <r>
    <x v="822"/>
    <x v="114"/>
    <x v="0"/>
    <s v="South"/>
    <x v="7"/>
    <x v="0"/>
    <x v="4"/>
    <s v="South"/>
    <x v="1"/>
    <n v="9.9"/>
    <n v="198"/>
    <n v="2"/>
    <d v="2024-02-13T00:00:00"/>
    <n v="3"/>
    <n v="1"/>
    <x v="1"/>
    <x v="2"/>
    <n v="20"/>
    <n v="2"/>
    <s v="No"/>
  </r>
  <r>
    <x v="823"/>
    <x v="38"/>
    <x v="3"/>
    <s v="South"/>
    <x v="2"/>
    <x v="0"/>
    <x v="2"/>
    <s v="South"/>
    <x v="1"/>
    <n v="4.2"/>
    <n v="1191"/>
    <n v="2"/>
    <d v="2024-03-12T00:00:00"/>
    <n v="6"/>
    <n v="4"/>
    <x v="1"/>
    <x v="2"/>
    <n v="283.57142857142856"/>
    <n v="5"/>
    <s v="No"/>
  </r>
  <r>
    <x v="824"/>
    <x v="86"/>
    <x v="3"/>
    <s v="South"/>
    <x v="1"/>
    <x v="0"/>
    <x v="4"/>
    <s v="South"/>
    <x v="1"/>
    <n v="7.3"/>
    <n v="80"/>
    <n v="2"/>
    <d v="2024-01-11T00:00:00"/>
    <n v="1"/>
    <n v="-1"/>
    <x v="0"/>
    <x v="0"/>
    <n v="10.95890410958904"/>
    <n v="4"/>
    <s v="Yes"/>
  </r>
  <r>
    <x v="825"/>
    <x v="133"/>
    <x v="0"/>
    <s v="South"/>
    <x v="5"/>
    <x v="2"/>
    <x v="3"/>
    <s v="North"/>
    <x v="0"/>
    <n v="9.3000000000000007"/>
    <n v="232"/>
    <n v="8"/>
    <d v="2024-03-01T00:00:00"/>
    <n v="10"/>
    <n v="2"/>
    <x v="1"/>
    <x v="3"/>
    <n v="24.946236559139784"/>
    <n v="0"/>
    <s v="Yes"/>
  </r>
  <r>
    <x v="826"/>
    <x v="117"/>
    <x v="1"/>
    <s v="West"/>
    <x v="2"/>
    <x v="1"/>
    <x v="5"/>
    <s v="West"/>
    <x v="1"/>
    <n v="62.7"/>
    <n v="1278"/>
    <n v="4"/>
    <d v="2024-05-28T00:00:00"/>
    <n v="4"/>
    <n v="0"/>
    <x v="0"/>
    <x v="0"/>
    <n v="20.382775119617225"/>
    <n v="4"/>
    <s v="No"/>
  </r>
  <r>
    <x v="827"/>
    <x v="35"/>
    <x v="2"/>
    <s v="North"/>
    <x v="3"/>
    <x v="1"/>
    <x v="5"/>
    <s v="West"/>
    <x v="0"/>
    <n v="7.6"/>
    <n v="1124"/>
    <n v="6"/>
    <d v="2024-01-27T00:00:00"/>
    <n v="6"/>
    <n v="0"/>
    <x v="0"/>
    <x v="0"/>
    <n v="147.89473684210526"/>
    <n v="5"/>
    <s v="No"/>
  </r>
  <r>
    <x v="828"/>
    <x v="145"/>
    <x v="1"/>
    <s v="West"/>
    <x v="3"/>
    <x v="1"/>
    <x v="4"/>
    <s v="West"/>
    <x v="1"/>
    <n v="13.2"/>
    <n v="84"/>
    <n v="4"/>
    <d v="2024-06-16T00:00:00"/>
    <n v="3"/>
    <n v="-1"/>
    <x v="0"/>
    <x v="0"/>
    <n v="6.3636363636363642"/>
    <n v="5"/>
    <s v="No"/>
  </r>
  <r>
    <x v="829"/>
    <x v="128"/>
    <x v="4"/>
    <s v="East"/>
    <x v="2"/>
    <x v="1"/>
    <x v="0"/>
    <s v="North"/>
    <x v="0"/>
    <n v="13.2"/>
    <n v="425"/>
    <n v="6"/>
    <d v="2024-04-30T00:00:00"/>
    <n v="6"/>
    <n v="0"/>
    <x v="0"/>
    <x v="0"/>
    <n v="32.196969696969695"/>
    <n v="4"/>
    <s v="No"/>
  </r>
  <r>
    <x v="830"/>
    <x v="32"/>
    <x v="2"/>
    <s v="North"/>
    <x v="1"/>
    <x v="2"/>
    <x v="5"/>
    <s v="South"/>
    <x v="0"/>
    <n v="4"/>
    <n v="673"/>
    <n v="8"/>
    <d v="2024-05-30T00:00:00"/>
    <n v="9"/>
    <n v="1"/>
    <x v="1"/>
    <x v="2"/>
    <n v="168.25"/>
    <n v="5"/>
    <s v="No"/>
  </r>
  <r>
    <x v="831"/>
    <x v="65"/>
    <x v="2"/>
    <s v="North"/>
    <x v="0"/>
    <x v="1"/>
    <x v="3"/>
    <s v="North"/>
    <x v="1"/>
    <n v="26.6"/>
    <n v="137"/>
    <n v="4"/>
    <d v="2024-03-27T00:00:00"/>
    <n v="7"/>
    <n v="3"/>
    <x v="1"/>
    <x v="2"/>
    <n v="5.1503759398496234"/>
    <n v="4"/>
    <s v="No"/>
  </r>
  <r>
    <x v="832"/>
    <x v="47"/>
    <x v="0"/>
    <s v="South"/>
    <x v="2"/>
    <x v="0"/>
    <x v="4"/>
    <s v="North"/>
    <x v="0"/>
    <n v="1.4"/>
    <n v="319"/>
    <n v="4"/>
    <d v="2024-05-06T00:00:00"/>
    <n v="5"/>
    <n v="1"/>
    <x v="1"/>
    <x v="2"/>
    <n v="227.85714285714286"/>
    <n v="2"/>
    <s v="No"/>
  </r>
  <r>
    <x v="833"/>
    <x v="69"/>
    <x v="4"/>
    <s v="East"/>
    <x v="5"/>
    <x v="2"/>
    <x v="1"/>
    <s v="North"/>
    <x v="0"/>
    <n v="5"/>
    <n v="212"/>
    <n v="8"/>
    <d v="2024-05-17T00:00:00"/>
    <n v="9"/>
    <n v="1"/>
    <x v="1"/>
    <x v="2"/>
    <n v="42.4"/>
    <n v="1"/>
    <s v="Yes"/>
  </r>
  <r>
    <x v="834"/>
    <x v="50"/>
    <x v="5"/>
    <s v="West"/>
    <x v="1"/>
    <x v="2"/>
    <x v="1"/>
    <s v="North"/>
    <x v="0"/>
    <n v="59.3"/>
    <n v="380"/>
    <n v="8"/>
    <d v="2024-02-22T00:00:00"/>
    <n v="9"/>
    <n v="1"/>
    <x v="1"/>
    <x v="2"/>
    <n v="6.4080944350758857"/>
    <n v="3"/>
    <s v="No"/>
  </r>
  <r>
    <x v="835"/>
    <x v="160"/>
    <x v="1"/>
    <s v="West"/>
    <x v="0"/>
    <x v="0"/>
    <x v="3"/>
    <s v="North"/>
    <x v="0"/>
    <n v="44.9"/>
    <n v="431"/>
    <n v="4"/>
    <d v="2024-01-08T00:00:00"/>
    <n v="4"/>
    <n v="0"/>
    <x v="0"/>
    <x v="0"/>
    <n v="9.5991091314031181"/>
    <n v="5"/>
    <s v="Yes"/>
  </r>
  <r>
    <x v="836"/>
    <x v="115"/>
    <x v="4"/>
    <s v="East"/>
    <x v="2"/>
    <x v="0"/>
    <x v="3"/>
    <s v="East"/>
    <x v="1"/>
    <n v="3.3"/>
    <n v="80"/>
    <n v="2"/>
    <d v="2024-05-15T00:00:00"/>
    <n v="9"/>
    <n v="7"/>
    <x v="1"/>
    <x v="2"/>
    <n v="24.242424242424242"/>
    <n v="4"/>
    <s v="No"/>
  </r>
  <r>
    <x v="837"/>
    <x v="22"/>
    <x v="5"/>
    <s v="West"/>
    <x v="5"/>
    <x v="1"/>
    <x v="3"/>
    <s v="South"/>
    <x v="0"/>
    <n v="11.8"/>
    <n v="232"/>
    <n v="6"/>
    <d v="2024-03-25T00:00:00"/>
    <n v="6"/>
    <n v="0"/>
    <x v="0"/>
    <x v="0"/>
    <n v="19.66101694915254"/>
    <n v="4"/>
    <s v="Yes"/>
  </r>
  <r>
    <x v="838"/>
    <x v="157"/>
    <x v="1"/>
    <s v="West"/>
    <x v="0"/>
    <x v="0"/>
    <x v="2"/>
    <s v="South"/>
    <x v="0"/>
    <n v="33.6"/>
    <n v="702"/>
    <n v="4"/>
    <d v="2024-03-07T00:00:00"/>
    <n v="3"/>
    <n v="-1"/>
    <x v="0"/>
    <x v="0"/>
    <n v="20.892857142857142"/>
    <n v="3"/>
    <s v="No"/>
  </r>
  <r>
    <x v="839"/>
    <x v="6"/>
    <x v="1"/>
    <s v="West"/>
    <x v="7"/>
    <x v="0"/>
    <x v="1"/>
    <s v="South"/>
    <x v="0"/>
    <n v="6.1"/>
    <n v="953"/>
    <n v="4"/>
    <d v="2024-03-26T00:00:00"/>
    <n v="12"/>
    <n v="8"/>
    <x v="1"/>
    <x v="2"/>
    <n v="156.22950819672133"/>
    <n v="5"/>
    <s v="No"/>
  </r>
  <r>
    <x v="840"/>
    <x v="131"/>
    <x v="4"/>
    <s v="East"/>
    <x v="0"/>
    <x v="2"/>
    <x v="1"/>
    <s v="East"/>
    <x v="1"/>
    <n v="3.3"/>
    <n v="80"/>
    <n v="6"/>
    <d v="2024-04-01T00:00:00"/>
    <n v="10"/>
    <n v="4"/>
    <x v="1"/>
    <x v="2"/>
    <n v="24.242424242424242"/>
    <n v="3"/>
    <s v="Yes"/>
  </r>
  <r>
    <x v="841"/>
    <x v="143"/>
    <x v="2"/>
    <s v="North"/>
    <x v="0"/>
    <x v="1"/>
    <x v="4"/>
    <s v="West"/>
    <x v="0"/>
    <n v="3.2"/>
    <n v="261"/>
    <n v="6"/>
    <d v="2024-05-16T00:00:00"/>
    <n v="7"/>
    <n v="1"/>
    <x v="1"/>
    <x v="2"/>
    <n v="81.5625"/>
    <n v="3"/>
    <s v="No"/>
  </r>
  <r>
    <x v="842"/>
    <x v="2"/>
    <x v="5"/>
    <s v="West"/>
    <x v="2"/>
    <x v="1"/>
    <x v="5"/>
    <s v="North"/>
    <x v="0"/>
    <n v="14.1"/>
    <n v="1897"/>
    <n v="6"/>
    <d v="2024-05-30T00:00:00"/>
    <n v="7"/>
    <n v="1"/>
    <x v="1"/>
    <x v="1"/>
    <n v="134.53900709219857"/>
    <n v="0"/>
    <s v="Yes"/>
  </r>
  <r>
    <x v="843"/>
    <x v="53"/>
    <x v="5"/>
    <s v="West"/>
    <x v="0"/>
    <x v="1"/>
    <x v="2"/>
    <s v="East"/>
    <x v="0"/>
    <n v="6.9"/>
    <n v="713"/>
    <n v="6"/>
    <d v="2024-01-24T00:00:00"/>
    <n v="7"/>
    <n v="1"/>
    <x v="1"/>
    <x v="2"/>
    <n v="103.33333333333333"/>
    <n v="4"/>
    <s v="Yes"/>
  </r>
  <r>
    <x v="844"/>
    <x v="6"/>
    <x v="4"/>
    <s v="East"/>
    <x v="0"/>
    <x v="1"/>
    <x v="4"/>
    <s v="North"/>
    <x v="0"/>
    <n v="1.9"/>
    <n v="269"/>
    <n v="6"/>
    <d v="2024-03-21T00:00:00"/>
    <n v="7"/>
    <n v="1"/>
    <x v="1"/>
    <x v="2"/>
    <n v="141.57894736842107"/>
    <n v="5"/>
    <s v="No"/>
  </r>
  <r>
    <x v="845"/>
    <x v="34"/>
    <x v="3"/>
    <s v="South"/>
    <x v="4"/>
    <x v="1"/>
    <x v="5"/>
    <s v="West"/>
    <x v="0"/>
    <n v="3.7"/>
    <n v="1322"/>
    <n v="6"/>
    <d v="2024-05-16T00:00:00"/>
    <n v="5"/>
    <n v="-1"/>
    <x v="0"/>
    <x v="0"/>
    <n v="357.29729729729729"/>
    <n v="4"/>
    <s v="No"/>
  </r>
  <r>
    <x v="846"/>
    <x v="19"/>
    <x v="0"/>
    <s v="South"/>
    <x v="5"/>
    <x v="2"/>
    <x v="2"/>
    <s v="North"/>
    <x v="0"/>
    <n v="12.5"/>
    <n v="240"/>
    <n v="8"/>
    <d v="2024-05-20T00:00:00"/>
    <n v="7"/>
    <n v="-1"/>
    <x v="0"/>
    <x v="0"/>
    <n v="19.2"/>
    <n v="4"/>
    <s v="No"/>
  </r>
  <r>
    <x v="847"/>
    <x v="45"/>
    <x v="0"/>
    <s v="South"/>
    <x v="0"/>
    <x v="1"/>
    <x v="5"/>
    <s v="South"/>
    <x v="1"/>
    <n v="17.7"/>
    <n v="425"/>
    <n v="4"/>
    <d v="2024-04-10T00:00:00"/>
    <n v="9"/>
    <n v="5"/>
    <x v="1"/>
    <x v="2"/>
    <n v="24.011299435028249"/>
    <n v="2"/>
    <s v="No"/>
  </r>
  <r>
    <x v="848"/>
    <x v="24"/>
    <x v="2"/>
    <s v="North"/>
    <x v="2"/>
    <x v="1"/>
    <x v="2"/>
    <s v="East"/>
    <x v="0"/>
    <n v="2.5"/>
    <n v="1014"/>
    <n v="6"/>
    <d v="2024-04-10T00:00:00"/>
    <n v="7"/>
    <n v="1"/>
    <x v="1"/>
    <x v="2"/>
    <n v="405.6"/>
    <n v="1"/>
    <s v="No"/>
  </r>
  <r>
    <x v="849"/>
    <x v="95"/>
    <x v="4"/>
    <s v="East"/>
    <x v="2"/>
    <x v="0"/>
    <x v="2"/>
    <s v="North"/>
    <x v="0"/>
    <n v="2.7"/>
    <n v="1222"/>
    <n v="4"/>
    <d v="2024-02-12T00:00:00"/>
    <n v="10"/>
    <n v="6"/>
    <x v="1"/>
    <x v="2"/>
    <n v="452.59259259259255"/>
    <n v="2"/>
    <s v="No"/>
  </r>
  <r>
    <x v="850"/>
    <x v="6"/>
    <x v="1"/>
    <s v="West"/>
    <x v="5"/>
    <x v="2"/>
    <x v="0"/>
    <s v="East"/>
    <x v="0"/>
    <n v="79.599999999999994"/>
    <n v="293"/>
    <n v="8"/>
    <d v="2024-03-26T00:00:00"/>
    <n v="12"/>
    <n v="4"/>
    <x v="1"/>
    <x v="2"/>
    <n v="3.6809045226130657"/>
    <n v="3"/>
    <s v="No"/>
  </r>
  <r>
    <x v="851"/>
    <x v="22"/>
    <x v="3"/>
    <s v="South"/>
    <x v="7"/>
    <x v="1"/>
    <x v="1"/>
    <s v="East"/>
    <x v="0"/>
    <n v="25.4"/>
    <n v="471"/>
    <n v="6"/>
    <d v="2024-03-24T00:00:00"/>
    <n v="5"/>
    <n v="-1"/>
    <x v="0"/>
    <x v="0"/>
    <n v="18.543307086614174"/>
    <n v="5"/>
    <s v="No"/>
  </r>
  <r>
    <x v="852"/>
    <x v="123"/>
    <x v="1"/>
    <s v="West"/>
    <x v="2"/>
    <x v="1"/>
    <x v="4"/>
    <s v="East"/>
    <x v="0"/>
    <n v="3.9"/>
    <n v="177"/>
    <n v="6"/>
    <d v="2024-02-02T00:00:00"/>
    <n v="7"/>
    <n v="1"/>
    <x v="1"/>
    <x v="2"/>
    <n v="45.384615384615387"/>
    <n v="5"/>
    <s v="Yes"/>
  </r>
  <r>
    <x v="853"/>
    <x v="39"/>
    <x v="1"/>
    <s v="West"/>
    <x v="0"/>
    <x v="0"/>
    <x v="2"/>
    <s v="East"/>
    <x v="0"/>
    <n v="54"/>
    <n v="1552"/>
    <n v="4"/>
    <d v="2024-05-25T00:00:00"/>
    <n v="5"/>
    <n v="1"/>
    <x v="1"/>
    <x v="2"/>
    <n v="28.74074074074074"/>
    <n v="4"/>
    <s v="No"/>
  </r>
  <r>
    <x v="854"/>
    <x v="140"/>
    <x v="5"/>
    <s v="West"/>
    <x v="5"/>
    <x v="2"/>
    <x v="0"/>
    <s v="North"/>
    <x v="0"/>
    <n v="5"/>
    <n v="274"/>
    <n v="8"/>
    <d v="2024-06-24T00:00:00"/>
    <n v="9"/>
    <n v="1"/>
    <x v="1"/>
    <x v="2"/>
    <n v="54.8"/>
    <n v="4"/>
    <s v="No"/>
  </r>
  <r>
    <x v="855"/>
    <x v="59"/>
    <x v="4"/>
    <s v="East"/>
    <x v="1"/>
    <x v="1"/>
    <x v="0"/>
    <s v="North"/>
    <x v="0"/>
    <n v="18.600000000000001"/>
    <n v="514"/>
    <n v="6"/>
    <d v="2024-05-25T00:00:00"/>
    <n v="6"/>
    <n v="0"/>
    <x v="0"/>
    <x v="0"/>
    <n v="27.634408602150536"/>
    <n v="4"/>
    <s v="No"/>
  </r>
  <r>
    <x v="856"/>
    <x v="84"/>
    <x v="3"/>
    <s v="South"/>
    <x v="4"/>
    <x v="0"/>
    <x v="1"/>
    <s v="East"/>
    <x v="0"/>
    <n v="38.6"/>
    <n v="954"/>
    <n v="4"/>
    <d v="2024-02-12T00:00:00"/>
    <n v="4"/>
    <n v="0"/>
    <x v="0"/>
    <x v="0"/>
    <n v="24.71502590673575"/>
    <n v="5"/>
    <s v="Yes"/>
  </r>
  <r>
    <x v="857"/>
    <x v="104"/>
    <x v="0"/>
    <s v="South"/>
    <x v="5"/>
    <x v="1"/>
    <x v="2"/>
    <s v="North"/>
    <x v="0"/>
    <n v="22.7"/>
    <n v="955"/>
    <n v="6"/>
    <d v="2024-03-14T00:00:00"/>
    <n v="7"/>
    <n v="1"/>
    <x v="1"/>
    <x v="2"/>
    <n v="42.070484581497801"/>
    <n v="2"/>
    <s v="No"/>
  </r>
  <r>
    <x v="858"/>
    <x v="94"/>
    <x v="1"/>
    <s v="West"/>
    <x v="0"/>
    <x v="2"/>
    <x v="2"/>
    <s v="East"/>
    <x v="0"/>
    <n v="9.6"/>
    <n v="541"/>
    <n v="8"/>
    <d v="2024-04-13T00:00:00"/>
    <n v="8"/>
    <n v="0"/>
    <x v="0"/>
    <x v="0"/>
    <n v="56.354166666666671"/>
    <n v="4"/>
    <s v="No"/>
  </r>
  <r>
    <x v="859"/>
    <x v="113"/>
    <x v="1"/>
    <s v="West"/>
    <x v="3"/>
    <x v="2"/>
    <x v="1"/>
    <s v="East"/>
    <x v="0"/>
    <n v="13.8"/>
    <n v="291"/>
    <n v="8"/>
    <d v="2024-04-26T00:00:00"/>
    <n v="9"/>
    <n v="1"/>
    <x v="1"/>
    <x v="2"/>
    <n v="21.086956521739129"/>
    <n v="1"/>
    <s v="Yes"/>
  </r>
  <r>
    <x v="860"/>
    <x v="123"/>
    <x v="2"/>
    <s v="North"/>
    <x v="1"/>
    <x v="1"/>
    <x v="4"/>
    <s v="South"/>
    <x v="0"/>
    <n v="2.2999999999999998"/>
    <n v="289"/>
    <n v="6"/>
    <d v="2024-01-31T00:00:00"/>
    <n v="5"/>
    <n v="-1"/>
    <x v="0"/>
    <x v="0"/>
    <n v="125.65217391304348"/>
    <n v="4"/>
    <s v="No"/>
  </r>
  <r>
    <x v="861"/>
    <x v="2"/>
    <x v="5"/>
    <s v="West"/>
    <x v="7"/>
    <x v="1"/>
    <x v="0"/>
    <s v="West"/>
    <x v="1"/>
    <n v="30.4"/>
    <n v="122"/>
    <n v="4"/>
    <d v="2024-05-28T00:00:00"/>
    <n v="5"/>
    <n v="1"/>
    <x v="1"/>
    <x v="2"/>
    <n v="4.0131578947368425"/>
    <n v="4"/>
    <s v="Yes"/>
  </r>
  <r>
    <x v="862"/>
    <x v="75"/>
    <x v="1"/>
    <s v="West"/>
    <x v="5"/>
    <x v="1"/>
    <x v="3"/>
    <s v="North"/>
    <x v="0"/>
    <n v="8.6999999999999993"/>
    <n v="197"/>
    <n v="6"/>
    <d v="2024-01-29T00:00:00"/>
    <n v="6"/>
    <n v="0"/>
    <x v="0"/>
    <x v="0"/>
    <n v="22.643678160919542"/>
    <n v="4"/>
    <s v="No"/>
  </r>
  <r>
    <x v="863"/>
    <x v="87"/>
    <x v="4"/>
    <s v="East"/>
    <x v="0"/>
    <x v="1"/>
    <x v="5"/>
    <s v="North"/>
    <x v="0"/>
    <n v="14.6"/>
    <n v="824"/>
    <n v="6"/>
    <d v="2024-03-28T00:00:00"/>
    <n v="5"/>
    <n v="-1"/>
    <x v="0"/>
    <x v="0"/>
    <n v="56.438356164383563"/>
    <n v="5"/>
    <s v="No"/>
  </r>
  <r>
    <x v="864"/>
    <x v="103"/>
    <x v="1"/>
    <s v="West"/>
    <x v="1"/>
    <x v="2"/>
    <x v="3"/>
    <s v="North"/>
    <x v="0"/>
    <n v="17.2"/>
    <n v="255"/>
    <n v="8"/>
    <d v="2024-04-17T00:00:00"/>
    <n v="7"/>
    <n v="-1"/>
    <x v="0"/>
    <x v="0"/>
    <n v="14.825581395348838"/>
    <n v="5"/>
    <s v="No"/>
  </r>
  <r>
    <x v="865"/>
    <x v="112"/>
    <x v="5"/>
    <s v="West"/>
    <x v="7"/>
    <x v="0"/>
    <x v="5"/>
    <s v="South"/>
    <x v="0"/>
    <n v="37.700000000000003"/>
    <n v="2524"/>
    <n v="4"/>
    <d v="2024-03-12T00:00:00"/>
    <n v="10"/>
    <n v="6"/>
    <x v="1"/>
    <x v="2"/>
    <n v="66.949602122015904"/>
    <n v="4"/>
    <s v="No"/>
  </r>
  <r>
    <x v="866"/>
    <x v="167"/>
    <x v="1"/>
    <s v="West"/>
    <x v="5"/>
    <x v="2"/>
    <x v="4"/>
    <s v="West"/>
    <x v="1"/>
    <n v="25.5"/>
    <n v="120"/>
    <n v="6"/>
    <d v="2024-03-03T00:00:00"/>
    <n v="7"/>
    <n v="1"/>
    <x v="1"/>
    <x v="2"/>
    <n v="4.7058823529411766"/>
    <n v="2"/>
    <s v="No"/>
  </r>
  <r>
    <x v="867"/>
    <x v="156"/>
    <x v="5"/>
    <s v="West"/>
    <x v="2"/>
    <x v="2"/>
    <x v="4"/>
    <s v="East"/>
    <x v="0"/>
    <n v="8.9"/>
    <n v="194"/>
    <n v="8"/>
    <d v="2024-05-19T00:00:00"/>
    <n v="7"/>
    <n v="-1"/>
    <x v="0"/>
    <x v="0"/>
    <n v="21.797752808988765"/>
    <n v="2"/>
    <s v="No"/>
  </r>
  <r>
    <x v="868"/>
    <x v="30"/>
    <x v="1"/>
    <s v="West"/>
    <x v="0"/>
    <x v="2"/>
    <x v="5"/>
    <s v="East"/>
    <x v="0"/>
    <n v="4"/>
    <n v="587"/>
    <n v="8"/>
    <d v="2024-04-15T00:00:00"/>
    <n v="9"/>
    <n v="1"/>
    <x v="1"/>
    <x v="2"/>
    <n v="146.75"/>
    <n v="1"/>
    <s v="No"/>
  </r>
  <r>
    <x v="869"/>
    <x v="119"/>
    <x v="5"/>
    <s v="West"/>
    <x v="1"/>
    <x v="2"/>
    <x v="5"/>
    <s v="West"/>
    <x v="1"/>
    <n v="6.7"/>
    <n v="875"/>
    <n v="6"/>
    <s v=""/>
    <s v=""/>
    <s v=""/>
    <x v="2"/>
    <x v="4"/>
    <n v="130.59701492537314"/>
    <n v="0"/>
    <s v="Yes"/>
  </r>
  <r>
    <x v="870"/>
    <x v="147"/>
    <x v="3"/>
    <s v="South"/>
    <x v="0"/>
    <x v="0"/>
    <x v="4"/>
    <s v="West"/>
    <x v="0"/>
    <n v="0.9"/>
    <n v="292"/>
    <n v="4"/>
    <d v="2024-07-03T00:00:00"/>
    <n v="5"/>
    <n v="1"/>
    <x v="1"/>
    <x v="2"/>
    <n v="324.44444444444446"/>
    <n v="3"/>
    <s v="No"/>
  </r>
  <r>
    <x v="871"/>
    <x v="157"/>
    <x v="0"/>
    <s v="South"/>
    <x v="3"/>
    <x v="1"/>
    <x v="2"/>
    <s v="North"/>
    <x v="0"/>
    <n v="31.8"/>
    <n v="749"/>
    <n v="6"/>
    <d v="2024-03-11T00:00:00"/>
    <n v="7"/>
    <n v="1"/>
    <x v="1"/>
    <x v="2"/>
    <n v="23.553459119496853"/>
    <n v="1"/>
    <s v="Yes"/>
  </r>
  <r>
    <x v="872"/>
    <x v="14"/>
    <x v="2"/>
    <s v="North"/>
    <x v="1"/>
    <x v="0"/>
    <x v="0"/>
    <s v="West"/>
    <x v="0"/>
    <n v="4.4000000000000004"/>
    <n v="752"/>
    <n v="4"/>
    <d v="2024-02-26T00:00:00"/>
    <n v="5"/>
    <n v="1"/>
    <x v="1"/>
    <x v="2"/>
    <n v="170.90909090909091"/>
    <n v="2"/>
    <s v="No"/>
  </r>
  <r>
    <x v="873"/>
    <x v="140"/>
    <x v="5"/>
    <s v="West"/>
    <x v="2"/>
    <x v="0"/>
    <x v="0"/>
    <s v="West"/>
    <x v="1"/>
    <n v="51.6"/>
    <n v="709"/>
    <n v="2"/>
    <d v="2024-06-16T00:00:00"/>
    <n v="1"/>
    <n v="-1"/>
    <x v="0"/>
    <x v="0"/>
    <n v="13.74031007751938"/>
    <n v="3"/>
    <s v="Yes"/>
  </r>
  <r>
    <x v="874"/>
    <x v="137"/>
    <x v="5"/>
    <s v="West"/>
    <x v="3"/>
    <x v="1"/>
    <x v="4"/>
    <s v="South"/>
    <x v="0"/>
    <n v="4.9000000000000004"/>
    <n v="225"/>
    <n v="6"/>
    <d v="2024-04-29T00:00:00"/>
    <n v="7"/>
    <n v="1"/>
    <x v="1"/>
    <x v="2"/>
    <n v="45.918367346938773"/>
    <n v="3"/>
    <s v="No"/>
  </r>
  <r>
    <x v="875"/>
    <x v="40"/>
    <x v="0"/>
    <s v="South"/>
    <x v="1"/>
    <x v="0"/>
    <x v="2"/>
    <s v="North"/>
    <x v="0"/>
    <n v="4.3"/>
    <n v="394"/>
    <n v="4"/>
    <d v="2024-05-09T00:00:00"/>
    <n v="5"/>
    <n v="1"/>
    <x v="1"/>
    <x v="2"/>
    <n v="91.627906976744185"/>
    <n v="2"/>
    <s v="No"/>
  </r>
  <r>
    <x v="876"/>
    <x v="90"/>
    <x v="1"/>
    <s v="West"/>
    <x v="1"/>
    <x v="2"/>
    <x v="4"/>
    <s v="West"/>
    <x v="1"/>
    <n v="28.9"/>
    <n v="80"/>
    <n v="6"/>
    <d v="2024-06-29T00:00:00"/>
    <n v="7"/>
    <n v="1"/>
    <x v="1"/>
    <x v="2"/>
    <n v="2.7681660899653981"/>
    <n v="2"/>
    <s v="Yes"/>
  </r>
  <r>
    <x v="877"/>
    <x v="14"/>
    <x v="3"/>
    <s v="South"/>
    <x v="5"/>
    <x v="1"/>
    <x v="5"/>
    <s v="West"/>
    <x v="0"/>
    <n v="63.2"/>
    <n v="777"/>
    <n v="6"/>
    <d v="2024-02-27T00:00:00"/>
    <n v="6"/>
    <n v="0"/>
    <x v="0"/>
    <x v="0"/>
    <n v="12.294303797468354"/>
    <n v="3"/>
    <s v="Yes"/>
  </r>
  <r>
    <x v="878"/>
    <x v="105"/>
    <x v="0"/>
    <s v="South"/>
    <x v="3"/>
    <x v="0"/>
    <x v="4"/>
    <s v="North"/>
    <x v="0"/>
    <n v="2.8"/>
    <n v="355"/>
    <n v="4"/>
    <d v="2024-06-24T00:00:00"/>
    <n v="5"/>
    <n v="1"/>
    <x v="1"/>
    <x v="2"/>
    <n v="126.78571428571429"/>
    <n v="3"/>
    <s v="No"/>
  </r>
  <r>
    <x v="879"/>
    <x v="137"/>
    <x v="6"/>
    <s v="Unknown"/>
    <x v="5"/>
    <x v="2"/>
    <x v="2"/>
    <s v="East"/>
    <x v="0"/>
    <n v="26"/>
    <n v="419"/>
    <n v="8"/>
    <d v="2024-05-08T00:00:00"/>
    <n v="16"/>
    <n v="8"/>
    <x v="1"/>
    <x v="2"/>
    <n v="16.115384615384617"/>
    <n v="4"/>
    <s v="No"/>
  </r>
  <r>
    <x v="880"/>
    <x v="40"/>
    <x v="1"/>
    <s v="West"/>
    <x v="2"/>
    <x v="1"/>
    <x v="2"/>
    <s v="West"/>
    <x v="1"/>
    <n v="13.5"/>
    <n v="575"/>
    <n v="4"/>
    <d v="2024-05-07T00:00:00"/>
    <n v="3"/>
    <n v="-1"/>
    <x v="0"/>
    <x v="0"/>
    <n v="42.592592592592595"/>
    <n v="4"/>
    <s v="No"/>
  </r>
  <r>
    <x v="881"/>
    <x v="46"/>
    <x v="4"/>
    <s v="East"/>
    <x v="5"/>
    <x v="1"/>
    <x v="1"/>
    <s v="East"/>
    <x v="1"/>
    <n v="14.8"/>
    <n v="410"/>
    <n v="4"/>
    <d v="2024-01-12T00:00:00"/>
    <n v="9"/>
    <n v="5"/>
    <x v="1"/>
    <x v="2"/>
    <n v="27.702702702702702"/>
    <n v="2"/>
    <s v="No"/>
  </r>
  <r>
    <x v="882"/>
    <x v="28"/>
    <x v="3"/>
    <s v="South"/>
    <x v="0"/>
    <x v="2"/>
    <x v="5"/>
    <s v="East"/>
    <x v="0"/>
    <n v="3.7"/>
    <n v="988"/>
    <n v="8"/>
    <d v="2024-04-20T00:00:00"/>
    <n v="9"/>
    <n v="1"/>
    <x v="1"/>
    <x v="1"/>
    <n v="267.02702702702703"/>
    <n v="0"/>
    <s v="No"/>
  </r>
  <r>
    <x v="883"/>
    <x v="139"/>
    <x v="5"/>
    <s v="West"/>
    <x v="1"/>
    <x v="2"/>
    <x v="3"/>
    <s v="East"/>
    <x v="0"/>
    <n v="5.0999999999999996"/>
    <n v="215"/>
    <n v="8"/>
    <d v="2024-01-23T00:00:00"/>
    <n v="7"/>
    <n v="-1"/>
    <x v="0"/>
    <x v="0"/>
    <n v="42.156862745098039"/>
    <n v="5"/>
    <s v="Yes"/>
  </r>
  <r>
    <x v="884"/>
    <x v="123"/>
    <x v="1"/>
    <s v="West"/>
    <x v="7"/>
    <x v="2"/>
    <x v="0"/>
    <s v="South"/>
    <x v="0"/>
    <n v="4.9000000000000004"/>
    <n v="271"/>
    <n v="8"/>
    <d v="2024-02-03T00:00:00"/>
    <n v="8"/>
    <n v="0"/>
    <x v="0"/>
    <x v="0"/>
    <n v="55.306122448979586"/>
    <n v="5"/>
    <s v="Yes"/>
  </r>
  <r>
    <x v="885"/>
    <x v="141"/>
    <x v="0"/>
    <s v="South"/>
    <x v="1"/>
    <x v="1"/>
    <x v="0"/>
    <s v="West"/>
    <x v="0"/>
    <n v="28"/>
    <n v="431"/>
    <n v="6"/>
    <d v="2024-05-21T00:00:00"/>
    <n v="5"/>
    <n v="-1"/>
    <x v="0"/>
    <x v="0"/>
    <n v="15.392857142857142"/>
    <n v="4"/>
    <s v="No"/>
  </r>
  <r>
    <x v="886"/>
    <x v="68"/>
    <x v="4"/>
    <s v="East"/>
    <x v="2"/>
    <x v="1"/>
    <x v="1"/>
    <s v="South"/>
    <x v="0"/>
    <n v="4.0999999999999996"/>
    <n v="491"/>
    <n v="6"/>
    <d v="2024-06-16T00:00:00"/>
    <n v="7"/>
    <n v="1"/>
    <x v="1"/>
    <x v="2"/>
    <n v="119.75609756097562"/>
    <n v="2"/>
    <s v="No"/>
  </r>
  <r>
    <x v="887"/>
    <x v="91"/>
    <x v="5"/>
    <s v="West"/>
    <x v="0"/>
    <x v="0"/>
    <x v="5"/>
    <s v="North"/>
    <x v="0"/>
    <n v="18.100000000000001"/>
    <n v="2860"/>
    <n v="4"/>
    <d v="2024-04-17T00:00:00"/>
    <n v="5"/>
    <n v="1"/>
    <x v="1"/>
    <x v="2"/>
    <n v="158.01104972375688"/>
    <n v="4"/>
    <s v="No"/>
  </r>
  <r>
    <x v="888"/>
    <x v="132"/>
    <x v="3"/>
    <s v="South"/>
    <x v="0"/>
    <x v="1"/>
    <x v="2"/>
    <s v="North"/>
    <x v="0"/>
    <n v="26.6"/>
    <n v="785"/>
    <n v="6"/>
    <d v="2024-04-22T00:00:00"/>
    <n v="7"/>
    <n v="1"/>
    <x v="1"/>
    <x v="2"/>
    <n v="29.511278195488721"/>
    <n v="1"/>
    <s v="Yes"/>
  </r>
  <r>
    <x v="889"/>
    <x v="6"/>
    <x v="4"/>
    <s v="East"/>
    <x v="4"/>
    <x v="0"/>
    <x v="0"/>
    <s v="West"/>
    <x v="0"/>
    <n v="17.5"/>
    <n v="704"/>
    <n v="4"/>
    <d v="2024-03-18T00:00:00"/>
    <n v="4"/>
    <n v="0"/>
    <x v="0"/>
    <x v="0"/>
    <n v="40.228571428571428"/>
    <n v="4"/>
    <s v="No"/>
  </r>
  <r>
    <x v="890"/>
    <x v="57"/>
    <x v="5"/>
    <s v="West"/>
    <x v="4"/>
    <x v="1"/>
    <x v="3"/>
    <s v="North"/>
    <x v="0"/>
    <n v="61.5"/>
    <n v="227"/>
    <n v="6"/>
    <d v="2024-07-03T00:00:00"/>
    <n v="10"/>
    <n v="4"/>
    <x v="1"/>
    <x v="2"/>
    <n v="3.6910569105691056"/>
    <n v="3"/>
    <s v="No"/>
  </r>
  <r>
    <x v="891"/>
    <x v="65"/>
    <x v="2"/>
    <s v="North"/>
    <x v="7"/>
    <x v="1"/>
    <x v="2"/>
    <s v="South"/>
    <x v="0"/>
    <n v="3.9"/>
    <n v="608"/>
    <n v="6"/>
    <d v="2024-03-27T00:00:00"/>
    <n v="7"/>
    <n v="1"/>
    <x v="1"/>
    <x v="2"/>
    <n v="155.89743589743591"/>
    <n v="4"/>
    <s v="Yes"/>
  </r>
  <r>
    <x v="892"/>
    <x v="123"/>
    <x v="0"/>
    <s v="South"/>
    <x v="0"/>
    <x v="2"/>
    <x v="1"/>
    <s v="West"/>
    <x v="0"/>
    <n v="9.1"/>
    <n v="320"/>
    <n v="8"/>
    <d v="2024-02-06T00:00:00"/>
    <n v="11"/>
    <n v="3"/>
    <x v="1"/>
    <x v="2"/>
    <n v="35.164835164835168"/>
    <n v="4"/>
    <s v="No"/>
  </r>
  <r>
    <x v="893"/>
    <x v="86"/>
    <x v="5"/>
    <s v="West"/>
    <x v="2"/>
    <x v="0"/>
    <x v="2"/>
    <s v="North"/>
    <x v="0"/>
    <n v="11.4"/>
    <n v="1362"/>
    <n v="4"/>
    <d v="2024-01-17T00:00:00"/>
    <n v="7"/>
    <n v="3"/>
    <x v="1"/>
    <x v="2"/>
    <n v="119.47368421052632"/>
    <n v="1"/>
    <s v="No"/>
  </r>
  <r>
    <x v="894"/>
    <x v="139"/>
    <x v="1"/>
    <s v="West"/>
    <x v="0"/>
    <x v="0"/>
    <x v="1"/>
    <s v="East"/>
    <x v="0"/>
    <n v="13.2"/>
    <n v="883"/>
    <n v="4"/>
    <d v="2024-01-29T00:00:00"/>
    <n v="13"/>
    <n v="9"/>
    <x v="1"/>
    <x v="2"/>
    <n v="66.893939393939391"/>
    <n v="4"/>
    <s v="Yes"/>
  </r>
  <r>
    <x v="895"/>
    <x v="118"/>
    <x v="0"/>
    <s v="South"/>
    <x v="4"/>
    <x v="2"/>
    <x v="5"/>
    <s v="West"/>
    <x v="0"/>
    <n v="60.4"/>
    <n v="1273"/>
    <n v="8"/>
    <d v="2024-06-23T00:00:00"/>
    <n v="15"/>
    <n v="7"/>
    <x v="1"/>
    <x v="2"/>
    <n v="21.076158940397352"/>
    <n v="5"/>
    <s v="No"/>
  </r>
  <r>
    <x v="896"/>
    <x v="74"/>
    <x v="4"/>
    <s v="East"/>
    <x v="5"/>
    <x v="2"/>
    <x v="3"/>
    <s v="North"/>
    <x v="0"/>
    <n v="29.1"/>
    <n v="236"/>
    <n v="8"/>
    <d v="2024-02-19T00:00:00"/>
    <n v="8"/>
    <n v="0"/>
    <x v="0"/>
    <x v="0"/>
    <n v="8.1099656357388312"/>
    <n v="4"/>
    <s v="No"/>
  </r>
  <r>
    <x v="897"/>
    <x v="150"/>
    <x v="2"/>
    <s v="North"/>
    <x v="5"/>
    <x v="1"/>
    <x v="5"/>
    <s v="East"/>
    <x v="0"/>
    <n v="12.5"/>
    <n v="518"/>
    <n v="6"/>
    <d v="2024-03-12T00:00:00"/>
    <n v="14"/>
    <n v="8"/>
    <x v="1"/>
    <x v="2"/>
    <n v="41.44"/>
    <n v="2"/>
    <s v="No"/>
  </r>
  <r>
    <x v="898"/>
    <x v="46"/>
    <x v="0"/>
    <s v="South"/>
    <x v="5"/>
    <x v="2"/>
    <x v="4"/>
    <s v="East"/>
    <x v="0"/>
    <n v="3"/>
    <n v="185"/>
    <n v="8"/>
    <d v="2024-01-11T00:00:00"/>
    <n v="8"/>
    <n v="0"/>
    <x v="0"/>
    <x v="0"/>
    <n v="61.666666666666664"/>
    <n v="5"/>
    <s v="No"/>
  </r>
  <r>
    <x v="899"/>
    <x v="131"/>
    <x v="1"/>
    <s v="West"/>
    <x v="2"/>
    <x v="0"/>
    <x v="4"/>
    <s v="West"/>
    <x v="1"/>
    <n v="18.7"/>
    <n v="80"/>
    <n v="2"/>
    <d v="2024-03-23T00:00:00"/>
    <n v="1"/>
    <n v="-1"/>
    <x v="0"/>
    <x v="0"/>
    <n v="4.2780748663101607"/>
    <n v="3"/>
    <s v="No"/>
  </r>
  <r>
    <x v="900"/>
    <x v="56"/>
    <x v="4"/>
    <s v="East"/>
    <x v="2"/>
    <x v="1"/>
    <x v="4"/>
    <s v="West"/>
    <x v="0"/>
    <n v="14"/>
    <n v="268"/>
    <n v="6"/>
    <d v="2024-06-07T00:00:00"/>
    <n v="6"/>
    <n v="0"/>
    <x v="0"/>
    <x v="0"/>
    <n v="19.142857142857142"/>
    <n v="4"/>
    <s v="No"/>
  </r>
  <r>
    <x v="901"/>
    <x v="151"/>
    <x v="1"/>
    <s v="West"/>
    <x v="4"/>
    <x v="1"/>
    <x v="3"/>
    <s v="South"/>
    <x v="0"/>
    <n v="25.7"/>
    <n v="243"/>
    <n v="6"/>
    <d v="2024-02-25T00:00:00"/>
    <n v="7"/>
    <n v="1"/>
    <x v="1"/>
    <x v="2"/>
    <n v="9.4552529182879379"/>
    <n v="3"/>
    <s v="No"/>
  </r>
  <r>
    <x v="902"/>
    <x v="146"/>
    <x v="2"/>
    <s v="North"/>
    <x v="5"/>
    <x v="0"/>
    <x v="2"/>
    <s v="North"/>
    <x v="1"/>
    <n v="16.100000000000001"/>
    <n v="1137"/>
    <n v="2"/>
    <d v="2024-01-08T00:00:00"/>
    <n v="2"/>
    <n v="0"/>
    <x v="0"/>
    <x v="0"/>
    <n v="70.621118012422357"/>
    <n v="4"/>
    <s v="No"/>
  </r>
  <r>
    <x v="903"/>
    <x v="88"/>
    <x v="3"/>
    <s v="South"/>
    <x v="0"/>
    <x v="0"/>
    <x v="0"/>
    <s v="South"/>
    <x v="1"/>
    <n v="78.8"/>
    <n v="190"/>
    <n v="2"/>
    <d v="2024-01-27T00:00:00"/>
    <n v="9"/>
    <n v="7"/>
    <x v="1"/>
    <x v="2"/>
    <n v="2.4111675126903553"/>
    <n v="2"/>
    <s v="No"/>
  </r>
  <r>
    <x v="904"/>
    <x v="132"/>
    <x v="2"/>
    <s v="North"/>
    <x v="0"/>
    <x v="1"/>
    <x v="1"/>
    <s v="East"/>
    <x v="0"/>
    <n v="4.4000000000000004"/>
    <n v="216"/>
    <n v="6"/>
    <d v="2024-04-22T00:00:00"/>
    <n v="7"/>
    <n v="1"/>
    <x v="1"/>
    <x v="2"/>
    <n v="49.090909090909086"/>
    <n v="5"/>
    <s v="No"/>
  </r>
  <r>
    <x v="905"/>
    <x v="69"/>
    <x v="2"/>
    <s v="North"/>
    <x v="0"/>
    <x v="2"/>
    <x v="5"/>
    <s v="East"/>
    <x v="0"/>
    <n v="16.600000000000001"/>
    <n v="1188"/>
    <n v="8"/>
    <d v="2024-05-22T00:00:00"/>
    <n v="14"/>
    <n v="6"/>
    <x v="1"/>
    <x v="1"/>
    <n v="71.566265060240951"/>
    <n v="0"/>
    <s v="No"/>
  </r>
  <r>
    <x v="906"/>
    <x v="155"/>
    <x v="3"/>
    <s v="South"/>
    <x v="2"/>
    <x v="1"/>
    <x v="5"/>
    <s v="South"/>
    <x v="1"/>
    <n v="2.5"/>
    <n v="552"/>
    <n v="4"/>
    <d v="2024-03-12T00:00:00"/>
    <n v="4"/>
    <n v="0"/>
    <x v="0"/>
    <x v="0"/>
    <n v="220.8"/>
    <n v="2"/>
    <s v="Yes"/>
  </r>
  <r>
    <x v="907"/>
    <x v="76"/>
    <x v="0"/>
    <s v="South"/>
    <x v="4"/>
    <x v="0"/>
    <x v="3"/>
    <s v="East"/>
    <x v="0"/>
    <n v="0.9"/>
    <n v="234"/>
    <n v="4"/>
    <d v="2024-02-01T00:00:00"/>
    <n v="5"/>
    <n v="1"/>
    <x v="1"/>
    <x v="2"/>
    <n v="260"/>
    <n v="2"/>
    <s v="Yes"/>
  </r>
  <r>
    <x v="908"/>
    <x v="101"/>
    <x v="4"/>
    <s v="East"/>
    <x v="2"/>
    <x v="2"/>
    <x v="2"/>
    <s v="West"/>
    <x v="0"/>
    <n v="3.6"/>
    <n v="296"/>
    <n v="8"/>
    <d v="2024-05-12T00:00:00"/>
    <n v="9"/>
    <n v="1"/>
    <x v="1"/>
    <x v="2"/>
    <n v="82.222222222222214"/>
    <n v="2"/>
    <s v="No"/>
  </r>
  <r>
    <x v="909"/>
    <x v="12"/>
    <x v="2"/>
    <s v="North"/>
    <x v="1"/>
    <x v="2"/>
    <x v="0"/>
    <s v="West"/>
    <x v="0"/>
    <n v="1.9"/>
    <n v="208"/>
    <n v="8"/>
    <d v="2024-06-12T00:00:00"/>
    <n v="7"/>
    <n v="-1"/>
    <x v="0"/>
    <x v="0"/>
    <n v="109.47368421052632"/>
    <n v="1"/>
    <s v="No"/>
  </r>
  <r>
    <x v="910"/>
    <x v="48"/>
    <x v="5"/>
    <s v="West"/>
    <x v="0"/>
    <x v="0"/>
    <x v="5"/>
    <s v="South"/>
    <x v="0"/>
    <n v="24.4"/>
    <n v="1929"/>
    <n v="4"/>
    <d v="2024-04-04T00:00:00"/>
    <n v="10"/>
    <n v="6"/>
    <x v="1"/>
    <x v="2"/>
    <n v="79.057377049180332"/>
    <n v="3"/>
    <s v="No"/>
  </r>
  <r>
    <x v="911"/>
    <x v="63"/>
    <x v="3"/>
    <s v="South"/>
    <x v="2"/>
    <x v="0"/>
    <x v="0"/>
    <s v="South"/>
    <x v="1"/>
    <n v="3.2"/>
    <n v="593"/>
    <n v="2"/>
    <d v="2024-04-20T00:00:00"/>
    <n v="2"/>
    <n v="0"/>
    <x v="0"/>
    <x v="0"/>
    <n v="185.3125"/>
    <n v="4"/>
    <s v="No"/>
  </r>
  <r>
    <x v="912"/>
    <x v="159"/>
    <x v="5"/>
    <s v="West"/>
    <x v="1"/>
    <x v="2"/>
    <x v="0"/>
    <s v="East"/>
    <x v="0"/>
    <n v="3"/>
    <n v="393"/>
    <n v="8"/>
    <d v="2024-01-16T00:00:00"/>
    <n v="7"/>
    <n v="-1"/>
    <x v="0"/>
    <x v="0"/>
    <n v="131"/>
    <n v="4"/>
    <s v="No"/>
  </r>
  <r>
    <x v="913"/>
    <x v="87"/>
    <x v="5"/>
    <s v="West"/>
    <x v="3"/>
    <x v="2"/>
    <x v="1"/>
    <s v="South"/>
    <x v="0"/>
    <n v="76.099999999999994"/>
    <n v="344"/>
    <n v="8"/>
    <d v="2024-03-30T00:00:00"/>
    <n v="7"/>
    <n v="-1"/>
    <x v="0"/>
    <x v="0"/>
    <n v="4.5203679369250986"/>
    <n v="5"/>
    <s v="No"/>
  </r>
  <r>
    <x v="914"/>
    <x v="151"/>
    <x v="1"/>
    <s v="West"/>
    <x v="5"/>
    <x v="1"/>
    <x v="5"/>
    <s v="North"/>
    <x v="0"/>
    <n v="22.6"/>
    <n v="798"/>
    <n v="6"/>
    <d v="2024-03-03T00:00:00"/>
    <n v="14"/>
    <n v="8"/>
    <x v="1"/>
    <x v="2"/>
    <n v="35.309734513274336"/>
    <n v="2"/>
    <s v="No"/>
  </r>
  <r>
    <x v="915"/>
    <x v="91"/>
    <x v="5"/>
    <s v="West"/>
    <x v="3"/>
    <x v="0"/>
    <x v="4"/>
    <s v="East"/>
    <x v="0"/>
    <n v="1.4"/>
    <n v="292"/>
    <n v="4"/>
    <d v="2024-04-15T00:00:00"/>
    <n v="3"/>
    <n v="-1"/>
    <x v="0"/>
    <x v="0"/>
    <n v="208.57142857142858"/>
    <n v="4"/>
    <s v="No"/>
  </r>
  <r>
    <x v="916"/>
    <x v="24"/>
    <x v="0"/>
    <s v="South"/>
    <x v="4"/>
    <x v="1"/>
    <x v="2"/>
    <s v="North"/>
    <x v="0"/>
    <n v="7.1"/>
    <n v="513"/>
    <n v="6"/>
    <d v="2024-04-10T00:00:00"/>
    <n v="7"/>
    <n v="1"/>
    <x v="1"/>
    <x v="2"/>
    <n v="72.25352112676056"/>
    <n v="4"/>
    <s v="No"/>
  </r>
  <r>
    <x v="917"/>
    <x v="34"/>
    <x v="2"/>
    <s v="North"/>
    <x v="4"/>
    <x v="1"/>
    <x v="3"/>
    <s v="West"/>
    <x v="0"/>
    <n v="3.9"/>
    <n v="302"/>
    <n v="6"/>
    <d v="2024-05-24T00:00:00"/>
    <n v="13"/>
    <n v="7"/>
    <x v="1"/>
    <x v="2"/>
    <n v="77.435897435897431"/>
    <n v="3"/>
    <s v="No"/>
  </r>
  <r>
    <x v="918"/>
    <x v="37"/>
    <x v="2"/>
    <s v="North"/>
    <x v="5"/>
    <x v="1"/>
    <x v="0"/>
    <s v="East"/>
    <x v="0"/>
    <n v="39.9"/>
    <n v="365"/>
    <n v="6"/>
    <d v="2024-01-13T00:00:00"/>
    <n v="5"/>
    <n v="-1"/>
    <x v="0"/>
    <x v="0"/>
    <n v="9.1478696741854648"/>
    <n v="5"/>
    <s v="Yes"/>
  </r>
  <r>
    <x v="919"/>
    <x v="160"/>
    <x v="3"/>
    <s v="South"/>
    <x v="1"/>
    <x v="0"/>
    <x v="5"/>
    <s v="West"/>
    <x v="0"/>
    <n v="12.1"/>
    <n v="3633"/>
    <n v="4"/>
    <d v="2024-01-09T00:00:00"/>
    <n v="5"/>
    <n v="1"/>
    <x v="1"/>
    <x v="2"/>
    <n v="300.24793388429754"/>
    <n v="3"/>
    <s v="Yes"/>
  </r>
  <r>
    <x v="920"/>
    <x v="8"/>
    <x v="4"/>
    <s v="East"/>
    <x v="3"/>
    <x v="0"/>
    <x v="2"/>
    <s v="West"/>
    <x v="0"/>
    <n v="14.6"/>
    <n v="1521"/>
    <n v="4"/>
    <d v="2024-02-09T00:00:00"/>
    <n v="4"/>
    <n v="0"/>
    <x v="0"/>
    <x v="0"/>
    <n v="104.17808219178083"/>
    <n v="2"/>
    <s v="Yes"/>
  </r>
  <r>
    <x v="921"/>
    <x v="156"/>
    <x v="5"/>
    <s v="West"/>
    <x v="2"/>
    <x v="2"/>
    <x v="4"/>
    <s v="West"/>
    <x v="1"/>
    <n v="15.8"/>
    <n v="80"/>
    <n v="6"/>
    <d v="2024-05-18T00:00:00"/>
    <n v="6"/>
    <n v="0"/>
    <x v="0"/>
    <x v="0"/>
    <n v="5.0632911392405058"/>
    <n v="5"/>
    <s v="No"/>
  </r>
  <r>
    <x v="922"/>
    <x v="31"/>
    <x v="0"/>
    <s v="South"/>
    <x v="2"/>
    <x v="1"/>
    <x v="5"/>
    <s v="South"/>
    <x v="1"/>
    <n v="27.7"/>
    <n v="1705"/>
    <n v="4"/>
    <d v="2024-03-09T00:00:00"/>
    <n v="4"/>
    <n v="0"/>
    <x v="0"/>
    <x v="0"/>
    <n v="61.552346570397113"/>
    <n v="5"/>
    <s v="Yes"/>
  </r>
  <r>
    <x v="923"/>
    <x v="156"/>
    <x v="5"/>
    <s v="West"/>
    <x v="1"/>
    <x v="2"/>
    <x v="0"/>
    <s v="North"/>
    <x v="0"/>
    <n v="2"/>
    <n v="172"/>
    <n v="8"/>
    <d v="2024-05-21T00:00:00"/>
    <n v="9"/>
    <n v="1"/>
    <x v="1"/>
    <x v="2"/>
    <n v="86"/>
    <n v="4"/>
    <s v="Yes"/>
  </r>
  <r>
    <x v="924"/>
    <x v="75"/>
    <x v="5"/>
    <s v="West"/>
    <x v="7"/>
    <x v="0"/>
    <x v="5"/>
    <s v="East"/>
    <x v="0"/>
    <n v="15.3"/>
    <n v="1089"/>
    <n v="4"/>
    <d v="2024-01-27T00:00:00"/>
    <n v="4"/>
    <n v="0"/>
    <x v="0"/>
    <x v="0"/>
    <n v="71.17647058823529"/>
    <n v="1"/>
    <s v="Yes"/>
  </r>
  <r>
    <x v="925"/>
    <x v="16"/>
    <x v="1"/>
    <s v="West"/>
    <x v="4"/>
    <x v="0"/>
    <x v="1"/>
    <s v="South"/>
    <x v="0"/>
    <n v="5.7"/>
    <n v="907"/>
    <n v="4"/>
    <d v="2024-06-09T00:00:00"/>
    <n v="5"/>
    <n v="1"/>
    <x v="1"/>
    <x v="2"/>
    <n v="159.12280701754386"/>
    <n v="3"/>
    <s v="No"/>
  </r>
  <r>
    <x v="926"/>
    <x v="14"/>
    <x v="4"/>
    <s v="East"/>
    <x v="1"/>
    <x v="2"/>
    <x v="0"/>
    <s v="North"/>
    <x v="0"/>
    <n v="9.6"/>
    <n v="315"/>
    <n v="8"/>
    <d v="2024-02-28T00:00:00"/>
    <n v="7"/>
    <n v="-1"/>
    <x v="0"/>
    <x v="0"/>
    <n v="32.8125"/>
    <n v="5"/>
    <s v="No"/>
  </r>
  <r>
    <x v="927"/>
    <x v="93"/>
    <x v="5"/>
    <s v="West"/>
    <x v="5"/>
    <x v="0"/>
    <x v="0"/>
    <s v="North"/>
    <x v="0"/>
    <n v="77.3"/>
    <n v="860"/>
    <n v="4"/>
    <d v="2024-01-27T00:00:00"/>
    <n v="3"/>
    <n v="-1"/>
    <x v="0"/>
    <x v="0"/>
    <n v="11.125485122897802"/>
    <n v="1"/>
    <s v="No"/>
  </r>
  <r>
    <x v="928"/>
    <x v="44"/>
    <x v="4"/>
    <s v="East"/>
    <x v="2"/>
    <x v="0"/>
    <x v="0"/>
    <s v="South"/>
    <x v="0"/>
    <n v="30.7"/>
    <n v="297"/>
    <n v="4"/>
    <d v="2024-04-16T00:00:00"/>
    <n v="7"/>
    <n v="3"/>
    <x v="1"/>
    <x v="2"/>
    <n v="9.6742671009771986"/>
    <n v="3"/>
    <s v="Yes"/>
  </r>
  <r>
    <x v="929"/>
    <x v="153"/>
    <x v="0"/>
    <s v="South"/>
    <x v="2"/>
    <x v="0"/>
    <x v="0"/>
    <s v="South"/>
    <x v="1"/>
    <n v="0.9"/>
    <n v="80"/>
    <n v="2"/>
    <d v="2024-02-08T00:00:00"/>
    <n v="1"/>
    <n v="-1"/>
    <x v="0"/>
    <x v="0"/>
    <n v="88.888888888888886"/>
    <n v="4"/>
    <s v="No"/>
  </r>
  <r>
    <x v="930"/>
    <x v="154"/>
    <x v="2"/>
    <s v="North"/>
    <x v="1"/>
    <x v="2"/>
    <x v="2"/>
    <s v="East"/>
    <x v="0"/>
    <n v="78.400000000000006"/>
    <n v="432"/>
    <n v="8"/>
    <d v="2024-01-08T00:00:00"/>
    <n v="7"/>
    <n v="-1"/>
    <x v="0"/>
    <x v="3"/>
    <n v="5.5102040816326525"/>
    <n v="0"/>
    <s v="Yes"/>
  </r>
  <r>
    <x v="931"/>
    <x v="122"/>
    <x v="5"/>
    <s v="West"/>
    <x v="0"/>
    <x v="2"/>
    <x v="2"/>
    <s v="West"/>
    <x v="1"/>
    <n v="1.6"/>
    <n v="612"/>
    <n v="6"/>
    <d v="2024-01-18T00:00:00"/>
    <n v="6"/>
    <n v="0"/>
    <x v="0"/>
    <x v="0"/>
    <n v="382.5"/>
    <n v="5"/>
    <s v="No"/>
  </r>
  <r>
    <x v="932"/>
    <x v="38"/>
    <x v="3"/>
    <s v="South"/>
    <x v="0"/>
    <x v="1"/>
    <x v="2"/>
    <s v="North"/>
    <x v="0"/>
    <n v="19.7"/>
    <n v="242"/>
    <n v="6"/>
    <d v="2024-03-12T00:00:00"/>
    <n v="6"/>
    <n v="0"/>
    <x v="0"/>
    <x v="0"/>
    <n v="12.284263959390863"/>
    <n v="5"/>
    <s v="No"/>
  </r>
  <r>
    <x v="933"/>
    <x v="114"/>
    <x v="1"/>
    <s v="West"/>
    <x v="0"/>
    <x v="0"/>
    <x v="5"/>
    <s v="South"/>
    <x v="0"/>
    <n v="16.399999999999999"/>
    <n v="915"/>
    <n v="4"/>
    <d v="2024-02-15T00:00:00"/>
    <n v="5"/>
    <n v="1"/>
    <x v="1"/>
    <x v="2"/>
    <n v="55.792682926829272"/>
    <n v="4"/>
    <s v="No"/>
  </r>
  <r>
    <x v="934"/>
    <x v="131"/>
    <x v="5"/>
    <s v="West"/>
    <x v="3"/>
    <x v="1"/>
    <x v="5"/>
    <s v="North"/>
    <x v="0"/>
    <n v="10.5"/>
    <n v="1788"/>
    <n v="6"/>
    <d v="2024-03-28T00:00:00"/>
    <n v="6"/>
    <n v="0"/>
    <x v="0"/>
    <x v="1"/>
    <n v="170.28571428571428"/>
    <n v="0"/>
    <s v="No"/>
  </r>
  <r>
    <x v="935"/>
    <x v="9"/>
    <x v="3"/>
    <s v="South"/>
    <x v="0"/>
    <x v="2"/>
    <x v="3"/>
    <s v="North"/>
    <x v="0"/>
    <n v="14.5"/>
    <n v="300"/>
    <n v="8"/>
    <d v="2024-06-18T00:00:00"/>
    <n v="7"/>
    <n v="-1"/>
    <x v="0"/>
    <x v="3"/>
    <n v="20.689655172413794"/>
    <n v="0"/>
    <s v="Yes"/>
  </r>
  <r>
    <x v="936"/>
    <x v="111"/>
    <x v="3"/>
    <s v="South"/>
    <x v="5"/>
    <x v="2"/>
    <x v="4"/>
    <s v="North"/>
    <x v="0"/>
    <n v="2.9"/>
    <n v="207"/>
    <n v="8"/>
    <d v="2024-04-02T00:00:00"/>
    <n v="15"/>
    <n v="7"/>
    <x v="1"/>
    <x v="2"/>
    <n v="71.379310344827587"/>
    <n v="3"/>
    <s v="No"/>
  </r>
  <r>
    <x v="937"/>
    <x v="130"/>
    <x v="4"/>
    <s v="East"/>
    <x v="1"/>
    <x v="2"/>
    <x v="0"/>
    <s v="North"/>
    <x v="0"/>
    <n v="1.3"/>
    <n v="351"/>
    <n v="8"/>
    <d v="2024-03-22T00:00:00"/>
    <n v="7"/>
    <n v="-1"/>
    <x v="0"/>
    <x v="3"/>
    <n v="270"/>
    <n v="0"/>
    <s v="Yes"/>
  </r>
  <r>
    <x v="938"/>
    <x v="154"/>
    <x v="2"/>
    <s v="North"/>
    <x v="2"/>
    <x v="1"/>
    <x v="4"/>
    <s v="North"/>
    <x v="1"/>
    <n v="21.2"/>
    <n v="80"/>
    <n v="4"/>
    <d v="2024-01-06T00:00:00"/>
    <n v="5"/>
    <n v="1"/>
    <x v="1"/>
    <x v="2"/>
    <n v="3.7735849056603774"/>
    <n v="1"/>
    <s v="No"/>
  </r>
  <r>
    <x v="939"/>
    <x v="92"/>
    <x v="4"/>
    <s v="East"/>
    <x v="0"/>
    <x v="2"/>
    <x v="5"/>
    <s v="North"/>
    <x v="0"/>
    <n v="39.6"/>
    <n v="975"/>
    <n v="8"/>
    <d v="2024-03-09T00:00:00"/>
    <n v="15"/>
    <n v="7"/>
    <x v="1"/>
    <x v="2"/>
    <n v="24.621212121212121"/>
    <n v="1"/>
    <s v="No"/>
  </r>
  <r>
    <x v="940"/>
    <x v="89"/>
    <x v="5"/>
    <s v="West"/>
    <x v="0"/>
    <x v="2"/>
    <x v="4"/>
    <s v="West"/>
    <x v="1"/>
    <n v="5"/>
    <n v="80"/>
    <n v="6"/>
    <d v="2024-03-14T00:00:00"/>
    <n v="5"/>
    <n v="-1"/>
    <x v="0"/>
    <x v="0"/>
    <n v="16"/>
    <n v="5"/>
    <s v="Yes"/>
  </r>
  <r>
    <x v="941"/>
    <x v="117"/>
    <x v="1"/>
    <s v="West"/>
    <x v="5"/>
    <x v="1"/>
    <x v="4"/>
    <s v="North"/>
    <x v="0"/>
    <n v="15.9"/>
    <n v="255"/>
    <n v="6"/>
    <d v="2024-06-03T00:00:00"/>
    <n v="10"/>
    <n v="4"/>
    <x v="1"/>
    <x v="2"/>
    <n v="16.037735849056602"/>
    <n v="1"/>
    <s v="Yes"/>
  </r>
  <r>
    <x v="942"/>
    <x v="149"/>
    <x v="1"/>
    <s v="West"/>
    <x v="2"/>
    <x v="2"/>
    <x v="5"/>
    <s v="North"/>
    <x v="0"/>
    <n v="74.900000000000006"/>
    <n v="645"/>
    <n v="8"/>
    <d v="2024-05-16T00:00:00"/>
    <n v="11"/>
    <n v="3"/>
    <x v="1"/>
    <x v="2"/>
    <n v="8.6114819759679566"/>
    <n v="1"/>
    <s v="No"/>
  </r>
  <r>
    <x v="943"/>
    <x v="78"/>
    <x v="1"/>
    <s v="West"/>
    <x v="1"/>
    <x v="2"/>
    <x v="0"/>
    <s v="South"/>
    <x v="0"/>
    <n v="7.6"/>
    <n v="267"/>
    <n v="8"/>
    <d v="2024-04-04T00:00:00"/>
    <n v="9"/>
    <n v="1"/>
    <x v="1"/>
    <x v="2"/>
    <n v="35.131578947368425"/>
    <n v="5"/>
    <s v="No"/>
  </r>
  <r>
    <x v="944"/>
    <x v="90"/>
    <x v="1"/>
    <s v="West"/>
    <x v="4"/>
    <x v="0"/>
    <x v="2"/>
    <s v="South"/>
    <x v="0"/>
    <n v="2.7"/>
    <n v="440"/>
    <n v="4"/>
    <d v="2024-06-25T00:00:00"/>
    <n v="3"/>
    <n v="-1"/>
    <x v="0"/>
    <x v="0"/>
    <n v="162.96296296296296"/>
    <n v="4"/>
    <s v="No"/>
  </r>
  <r>
    <x v="945"/>
    <x v="140"/>
    <x v="5"/>
    <s v="West"/>
    <x v="0"/>
    <x v="0"/>
    <x v="5"/>
    <s v="West"/>
    <x v="1"/>
    <n v="11.3"/>
    <n v="2965"/>
    <n v="2"/>
    <d v="2024-06-16T00:00:00"/>
    <n v="1"/>
    <n v="-1"/>
    <x v="0"/>
    <x v="0"/>
    <n v="262.38938053097343"/>
    <n v="5"/>
    <s v="Yes"/>
  </r>
  <r>
    <x v="946"/>
    <x v="101"/>
    <x v="5"/>
    <s v="West"/>
    <x v="5"/>
    <x v="1"/>
    <x v="2"/>
    <s v="East"/>
    <x v="0"/>
    <n v="1.9"/>
    <n v="783"/>
    <n v="6"/>
    <d v="2024-05-12T00:00:00"/>
    <n v="9"/>
    <n v="3"/>
    <x v="1"/>
    <x v="2"/>
    <n v="412.10526315789474"/>
    <n v="4"/>
    <s v="Yes"/>
  </r>
  <r>
    <x v="947"/>
    <x v="2"/>
    <x v="1"/>
    <s v="West"/>
    <x v="0"/>
    <x v="1"/>
    <x v="5"/>
    <s v="West"/>
    <x v="1"/>
    <n v="60.7"/>
    <n v="515"/>
    <n v="4"/>
    <d v="2024-05-27T00:00:00"/>
    <n v="4"/>
    <n v="0"/>
    <x v="0"/>
    <x v="0"/>
    <n v="8.4843492586490932"/>
    <n v="5"/>
    <s v="No"/>
  </r>
  <r>
    <x v="948"/>
    <x v="157"/>
    <x v="1"/>
    <s v="West"/>
    <x v="2"/>
    <x v="1"/>
    <x v="3"/>
    <s v="West"/>
    <x v="1"/>
    <n v="0.6"/>
    <n v="216"/>
    <n v="4"/>
    <d v="2024-03-13T00:00:00"/>
    <n v="9"/>
    <n v="5"/>
    <x v="1"/>
    <x v="2"/>
    <n v="360"/>
    <n v="2"/>
    <s v="No"/>
  </r>
  <r>
    <x v="949"/>
    <x v="72"/>
    <x v="3"/>
    <s v="South"/>
    <x v="0"/>
    <x v="0"/>
    <x v="3"/>
    <s v="West"/>
    <x v="0"/>
    <n v="2.1"/>
    <n v="447"/>
    <n v="4"/>
    <d v="2024-07-03T00:00:00"/>
    <n v="9"/>
    <n v="5"/>
    <x v="1"/>
    <x v="2"/>
    <n v="212.85714285714286"/>
    <n v="5"/>
    <s v="No"/>
  </r>
  <r>
    <x v="950"/>
    <x v="118"/>
    <x v="5"/>
    <s v="West"/>
    <x v="4"/>
    <x v="2"/>
    <x v="1"/>
    <s v="East"/>
    <x v="0"/>
    <n v="34.1"/>
    <n v="190"/>
    <n v="8"/>
    <d v="2024-06-17T00:00:00"/>
    <n v="9"/>
    <n v="1"/>
    <x v="1"/>
    <x v="2"/>
    <n v="5.5718475073313778"/>
    <n v="3"/>
    <s v="Yes"/>
  </r>
  <r>
    <x v="951"/>
    <x v="43"/>
    <x v="0"/>
    <s v="South"/>
    <x v="0"/>
    <x v="1"/>
    <x v="5"/>
    <s v="East"/>
    <x v="0"/>
    <n v="7.2"/>
    <n v="1469"/>
    <n v="6"/>
    <d v="2024-05-02T00:00:00"/>
    <n v="6"/>
    <n v="0"/>
    <x v="0"/>
    <x v="0"/>
    <n v="204.02777777777777"/>
    <n v="4"/>
    <s v="No"/>
  </r>
  <r>
    <x v="952"/>
    <x v="8"/>
    <x v="2"/>
    <s v="North"/>
    <x v="1"/>
    <x v="1"/>
    <x v="4"/>
    <s v="East"/>
    <x v="0"/>
    <n v="5.3"/>
    <n v="173"/>
    <n v="6"/>
    <d v="2024-02-11T00:00:00"/>
    <n v="6"/>
    <n v="0"/>
    <x v="0"/>
    <x v="0"/>
    <n v="32.641509433962263"/>
    <n v="4"/>
    <s v="Yes"/>
  </r>
  <r>
    <x v="953"/>
    <x v="42"/>
    <x v="2"/>
    <s v="North"/>
    <x v="0"/>
    <x v="2"/>
    <x v="1"/>
    <s v="North"/>
    <x v="1"/>
    <n v="65.5"/>
    <n v="106"/>
    <n v="6"/>
    <d v="2024-06-10T00:00:00"/>
    <n v="15"/>
    <n v="9"/>
    <x v="1"/>
    <x v="2"/>
    <n v="1.6183206106870229"/>
    <n v="3"/>
    <s v="No"/>
  </r>
  <r>
    <x v="954"/>
    <x v="96"/>
    <x v="2"/>
    <s v="North"/>
    <x v="1"/>
    <x v="0"/>
    <x v="4"/>
    <s v="West"/>
    <x v="0"/>
    <n v="27.6"/>
    <n v="227"/>
    <n v="4"/>
    <d v="2024-01-23T00:00:00"/>
    <n v="4"/>
    <n v="0"/>
    <x v="0"/>
    <x v="0"/>
    <n v="8.22463768115942"/>
    <n v="2"/>
    <s v="No"/>
  </r>
  <r>
    <x v="955"/>
    <x v="81"/>
    <x v="0"/>
    <s v="South"/>
    <x v="4"/>
    <x v="2"/>
    <x v="3"/>
    <s v="East"/>
    <x v="0"/>
    <n v="21.7"/>
    <n v="202"/>
    <n v="8"/>
    <d v="2024-06-05T00:00:00"/>
    <n v="9"/>
    <n v="1"/>
    <x v="1"/>
    <x v="2"/>
    <n v="9.3087557603686637"/>
    <n v="4"/>
    <s v="No"/>
  </r>
  <r>
    <x v="956"/>
    <x v="98"/>
    <x v="5"/>
    <s v="West"/>
    <x v="5"/>
    <x v="1"/>
    <x v="0"/>
    <s v="East"/>
    <x v="0"/>
    <n v="7.1"/>
    <n v="452"/>
    <n v="6"/>
    <d v="2024-01-13T00:00:00"/>
    <n v="8"/>
    <n v="2"/>
    <x v="1"/>
    <x v="2"/>
    <n v="63.661971830985919"/>
    <n v="3"/>
    <s v="No"/>
  </r>
  <r>
    <x v="957"/>
    <x v="43"/>
    <x v="0"/>
    <s v="South"/>
    <x v="0"/>
    <x v="2"/>
    <x v="0"/>
    <s v="East"/>
    <x v="0"/>
    <n v="6.6"/>
    <n v="255"/>
    <n v="8"/>
    <d v="2024-05-06T00:00:00"/>
    <n v="10"/>
    <n v="2"/>
    <x v="1"/>
    <x v="2"/>
    <n v="38.63636363636364"/>
    <n v="2"/>
    <s v="Yes"/>
  </r>
  <r>
    <x v="958"/>
    <x v="88"/>
    <x v="2"/>
    <s v="North"/>
    <x v="2"/>
    <x v="2"/>
    <x v="3"/>
    <s v="South"/>
    <x v="0"/>
    <n v="2.5"/>
    <n v="233"/>
    <n v="8"/>
    <d v="2024-01-27T00:00:00"/>
    <n v="9"/>
    <n v="1"/>
    <x v="1"/>
    <x v="3"/>
    <n v="93.2"/>
    <n v="0"/>
    <s v="Yes"/>
  </r>
  <r>
    <x v="959"/>
    <x v="137"/>
    <x v="1"/>
    <s v="West"/>
    <x v="0"/>
    <x v="1"/>
    <x v="2"/>
    <s v="North"/>
    <x v="0"/>
    <n v="58.5"/>
    <n v="309"/>
    <n v="6"/>
    <d v="2024-04-27T00:00:00"/>
    <n v="5"/>
    <n v="-1"/>
    <x v="0"/>
    <x v="0"/>
    <n v="5.2820512820512819"/>
    <n v="3"/>
    <s v="Yes"/>
  </r>
  <r>
    <x v="960"/>
    <x v="61"/>
    <x v="4"/>
    <s v="East"/>
    <x v="0"/>
    <x v="2"/>
    <x v="3"/>
    <s v="West"/>
    <x v="0"/>
    <n v="1.2"/>
    <n v="254"/>
    <n v="8"/>
    <d v="2024-06-24T00:00:00"/>
    <n v="7"/>
    <n v="-1"/>
    <x v="0"/>
    <x v="0"/>
    <n v="211.66666666666669"/>
    <n v="5"/>
    <s v="Yes"/>
  </r>
  <r>
    <x v="961"/>
    <x v="107"/>
    <x v="2"/>
    <s v="North"/>
    <x v="0"/>
    <x v="0"/>
    <x v="4"/>
    <s v="West"/>
    <x v="0"/>
    <n v="8.9"/>
    <n v="273"/>
    <n v="4"/>
    <d v="2024-06-16T00:00:00"/>
    <n v="13"/>
    <n v="9"/>
    <x v="1"/>
    <x v="2"/>
    <n v="30.674157303370784"/>
    <n v="1"/>
    <s v="No"/>
  </r>
  <r>
    <x v="962"/>
    <x v="6"/>
    <x v="5"/>
    <s v="West"/>
    <x v="1"/>
    <x v="2"/>
    <x v="0"/>
    <s v="East"/>
    <x v="0"/>
    <n v="1.8"/>
    <n v="288"/>
    <n v="8"/>
    <d v="2024-03-21T00:00:00"/>
    <n v="7"/>
    <n v="-1"/>
    <x v="0"/>
    <x v="0"/>
    <n v="160"/>
    <n v="3"/>
    <s v="No"/>
  </r>
  <r>
    <x v="963"/>
    <x v="80"/>
    <x v="4"/>
    <s v="East"/>
    <x v="0"/>
    <x v="1"/>
    <x v="3"/>
    <s v="East"/>
    <x v="1"/>
    <n v="4"/>
    <n v="104"/>
    <n v="4"/>
    <d v="2024-05-02T00:00:00"/>
    <n v="11"/>
    <n v="7"/>
    <x v="1"/>
    <x v="2"/>
    <n v="26"/>
    <n v="4"/>
    <s v="No"/>
  </r>
  <r>
    <x v="964"/>
    <x v="111"/>
    <x v="1"/>
    <s v="West"/>
    <x v="0"/>
    <x v="0"/>
    <x v="1"/>
    <s v="East"/>
    <x v="0"/>
    <n v="12.9"/>
    <n v="891"/>
    <n v="4"/>
    <d v="2024-03-23T00:00:00"/>
    <n v="5"/>
    <n v="1"/>
    <x v="1"/>
    <x v="2"/>
    <n v="69.069767441860463"/>
    <n v="2"/>
    <s v="No"/>
  </r>
  <r>
    <x v="965"/>
    <x v="165"/>
    <x v="4"/>
    <s v="East"/>
    <x v="4"/>
    <x v="2"/>
    <x v="1"/>
    <s v="South"/>
    <x v="0"/>
    <n v="8.3000000000000007"/>
    <n v="244"/>
    <n v="8"/>
    <d v="2024-02-25T00:00:00"/>
    <n v="9"/>
    <n v="1"/>
    <x v="1"/>
    <x v="2"/>
    <n v="29.397590361445779"/>
    <n v="4"/>
    <s v="No"/>
  </r>
  <r>
    <x v="966"/>
    <x v="121"/>
    <x v="0"/>
    <s v="South"/>
    <x v="4"/>
    <x v="2"/>
    <x v="1"/>
    <s v="West"/>
    <x v="0"/>
    <n v="3.2"/>
    <n v="295"/>
    <n v="8"/>
    <d v="2024-02-15T00:00:00"/>
    <n v="9"/>
    <n v="1"/>
    <x v="1"/>
    <x v="1"/>
    <n v="92.1875"/>
    <n v="0"/>
    <s v="No"/>
  </r>
  <r>
    <x v="967"/>
    <x v="150"/>
    <x v="0"/>
    <s v="South"/>
    <x v="0"/>
    <x v="1"/>
    <x v="1"/>
    <s v="South"/>
    <x v="1"/>
    <n v="7.7"/>
    <n v="80"/>
    <n v="4"/>
    <d v="2024-03-02T00:00:00"/>
    <n v="4"/>
    <n v="0"/>
    <x v="0"/>
    <x v="0"/>
    <n v="10.38961038961039"/>
    <n v="5"/>
    <s v="Yes"/>
  </r>
  <r>
    <x v="968"/>
    <x v="64"/>
    <x v="5"/>
    <s v="West"/>
    <x v="4"/>
    <x v="0"/>
    <x v="4"/>
    <s v="West"/>
    <x v="1"/>
    <n v="6.8"/>
    <n v="211"/>
    <n v="2"/>
    <d v="2024-05-19T00:00:00"/>
    <n v="2"/>
    <n v="0"/>
    <x v="0"/>
    <x v="0"/>
    <n v="31.029411764705884"/>
    <n v="5"/>
    <s v="Yes"/>
  </r>
  <r>
    <x v="969"/>
    <x v="106"/>
    <x v="2"/>
    <s v="North"/>
    <x v="4"/>
    <x v="0"/>
    <x v="4"/>
    <s v="South"/>
    <x v="0"/>
    <n v="3.3"/>
    <n v="310"/>
    <n v="4"/>
    <d v="2024-04-22T00:00:00"/>
    <n v="3"/>
    <n v="-1"/>
    <x v="0"/>
    <x v="0"/>
    <n v="93.939393939393938"/>
    <n v="5"/>
    <s v="Yes"/>
  </r>
  <r>
    <x v="970"/>
    <x v="79"/>
    <x v="4"/>
    <s v="East"/>
    <x v="6"/>
    <x v="1"/>
    <x v="1"/>
    <s v="North"/>
    <x v="0"/>
    <n v="11.6"/>
    <n v="311"/>
    <n v="6"/>
    <d v="2024-04-14T00:00:00"/>
    <n v="12"/>
    <n v="6"/>
    <x v="1"/>
    <x v="2"/>
    <n v="26.810344827586206"/>
    <n v="3"/>
    <s v="No"/>
  </r>
  <r>
    <x v="971"/>
    <x v="45"/>
    <x v="2"/>
    <s v="North"/>
    <x v="4"/>
    <x v="1"/>
    <x v="2"/>
    <s v="West"/>
    <x v="0"/>
    <n v="5.4"/>
    <n v="712"/>
    <n v="6"/>
    <d v="2024-04-08T00:00:00"/>
    <n v="7"/>
    <n v="1"/>
    <x v="1"/>
    <x v="2"/>
    <n v="131.85185185185185"/>
    <n v="5"/>
    <s v="No"/>
  </r>
  <r>
    <x v="972"/>
    <x v="142"/>
    <x v="3"/>
    <s v="South"/>
    <x v="0"/>
    <x v="0"/>
    <x v="5"/>
    <s v="East"/>
    <x v="0"/>
    <n v="15.6"/>
    <n v="2811"/>
    <n v="4"/>
    <d v="2024-03-28T00:00:00"/>
    <n v="11"/>
    <n v="7"/>
    <x v="1"/>
    <x v="2"/>
    <n v="180.19230769230771"/>
    <n v="3"/>
    <s v="No"/>
  </r>
  <r>
    <x v="973"/>
    <x v="49"/>
    <x v="5"/>
    <s v="West"/>
    <x v="2"/>
    <x v="0"/>
    <x v="2"/>
    <s v="North"/>
    <x v="0"/>
    <n v="5.6"/>
    <n v="1184"/>
    <n v="4"/>
    <d v="2024-06-26T00:00:00"/>
    <n v="5"/>
    <n v="1"/>
    <x v="1"/>
    <x v="2"/>
    <n v="211.42857142857144"/>
    <n v="5"/>
    <s v="Yes"/>
  </r>
  <r>
    <x v="974"/>
    <x v="129"/>
    <x v="1"/>
    <s v="West"/>
    <x v="1"/>
    <x v="1"/>
    <x v="1"/>
    <s v="West"/>
    <x v="1"/>
    <n v="11.9"/>
    <n v="263"/>
    <n v="4"/>
    <d v="2024-02-21T00:00:00"/>
    <n v="4"/>
    <n v="0"/>
    <x v="0"/>
    <x v="0"/>
    <n v="22.100840336134453"/>
    <n v="4"/>
    <s v="No"/>
  </r>
  <r>
    <x v="975"/>
    <x v="140"/>
    <x v="3"/>
    <s v="South"/>
    <x v="2"/>
    <x v="0"/>
    <x v="3"/>
    <s v="West"/>
    <x v="0"/>
    <n v="2.9"/>
    <n v="389"/>
    <n v="4"/>
    <d v="2024-06-18T00:00:00"/>
    <n v="3"/>
    <n v="-1"/>
    <x v="0"/>
    <x v="0"/>
    <n v="134.13793103448276"/>
    <n v="5"/>
    <s v="Yes"/>
  </r>
  <r>
    <x v="976"/>
    <x v="93"/>
    <x v="4"/>
    <s v="East"/>
    <x v="0"/>
    <x v="0"/>
    <x v="3"/>
    <s v="South"/>
    <x v="0"/>
    <n v="4.3"/>
    <n v="292"/>
    <n v="4"/>
    <d v="2024-01-27T00:00:00"/>
    <n v="3"/>
    <n v="-1"/>
    <x v="0"/>
    <x v="0"/>
    <n v="67.906976744186053"/>
    <n v="3"/>
    <s v="No"/>
  </r>
  <r>
    <x v="977"/>
    <x v="70"/>
    <x v="4"/>
    <s v="East"/>
    <x v="4"/>
    <x v="2"/>
    <x v="4"/>
    <s v="East"/>
    <x v="1"/>
    <n v="3.4"/>
    <n v="95"/>
    <n v="6"/>
    <d v="2024-04-13T00:00:00"/>
    <n v="5"/>
    <n v="-1"/>
    <x v="0"/>
    <x v="0"/>
    <n v="27.941176470588236"/>
    <n v="4"/>
    <s v="No"/>
  </r>
  <r>
    <x v="978"/>
    <x v="124"/>
    <x v="3"/>
    <s v="South"/>
    <x v="0"/>
    <x v="2"/>
    <x v="4"/>
    <s v="North"/>
    <x v="0"/>
    <n v="6.4"/>
    <n v="187"/>
    <n v="8"/>
    <d v="2024-04-03T00:00:00"/>
    <n v="13"/>
    <n v="5"/>
    <x v="1"/>
    <x v="2"/>
    <n v="29.21875"/>
    <n v="3"/>
    <s v="No"/>
  </r>
  <r>
    <x v="979"/>
    <x v="33"/>
    <x v="4"/>
    <s v="East"/>
    <x v="2"/>
    <x v="0"/>
    <x v="5"/>
    <s v="East"/>
    <x v="1"/>
    <n v="26.4"/>
    <n v="3376"/>
    <n v="2"/>
    <d v="2024-03-14T00:00:00"/>
    <n v="1"/>
    <n v="-1"/>
    <x v="0"/>
    <x v="0"/>
    <n v="127.87878787878789"/>
    <n v="5"/>
    <s v="Yes"/>
  </r>
  <r>
    <x v="980"/>
    <x v="47"/>
    <x v="2"/>
    <s v="North"/>
    <x v="4"/>
    <x v="0"/>
    <x v="3"/>
    <s v="North"/>
    <x v="1"/>
    <n v="58.1"/>
    <n v="333"/>
    <n v="2"/>
    <d v="2024-05-05T00:00:00"/>
    <n v="4"/>
    <n v="2"/>
    <x v="1"/>
    <x v="2"/>
    <n v="5.7314974182444063"/>
    <n v="5"/>
    <s v="Yes"/>
  </r>
  <r>
    <x v="981"/>
    <x v="135"/>
    <x v="3"/>
    <s v="South"/>
    <x v="0"/>
    <x v="2"/>
    <x v="3"/>
    <s v="West"/>
    <x v="0"/>
    <n v="23.2"/>
    <n v="197"/>
    <n v="8"/>
    <d v="2024-03-02T00:00:00"/>
    <n v="7"/>
    <n v="-1"/>
    <x v="0"/>
    <x v="0"/>
    <n v="8.4913793103448274"/>
    <n v="4"/>
    <s v="No"/>
  </r>
  <r>
    <x v="982"/>
    <x v="7"/>
    <x v="0"/>
    <s v="South"/>
    <x v="2"/>
    <x v="2"/>
    <x v="2"/>
    <s v="North"/>
    <x v="0"/>
    <n v="11.3"/>
    <n v="669"/>
    <n v="8"/>
    <d v="2024-02-02T00:00:00"/>
    <n v="8"/>
    <n v="0"/>
    <x v="0"/>
    <x v="0"/>
    <n v="59.203539823008846"/>
    <n v="4"/>
    <s v="No"/>
  </r>
  <r>
    <x v="983"/>
    <x v="32"/>
    <x v="1"/>
    <s v="West"/>
    <x v="0"/>
    <x v="0"/>
    <x v="0"/>
    <s v="West"/>
    <x v="1"/>
    <n v="5.3"/>
    <n v="107"/>
    <n v="2"/>
    <d v="2024-05-25T00:00:00"/>
    <n v="4"/>
    <n v="2"/>
    <x v="1"/>
    <x v="2"/>
    <n v="20.188679245283019"/>
    <n v="3"/>
    <s v="No"/>
  </r>
  <r>
    <x v="984"/>
    <x v="137"/>
    <x v="5"/>
    <s v="West"/>
    <x v="1"/>
    <x v="1"/>
    <x v="0"/>
    <s v="West"/>
    <x v="1"/>
    <n v="2.4"/>
    <n v="164"/>
    <n v="4"/>
    <d v="2024-04-25T00:00:00"/>
    <n v="3"/>
    <n v="-1"/>
    <x v="0"/>
    <x v="0"/>
    <n v="68.333333333333343"/>
    <n v="3"/>
    <s v="No"/>
  </r>
  <r>
    <x v="985"/>
    <x v="13"/>
    <x v="0"/>
    <s v="South"/>
    <x v="0"/>
    <x v="2"/>
    <x v="3"/>
    <s v="East"/>
    <x v="0"/>
    <n v="4.9000000000000004"/>
    <n v="214"/>
    <n v="8"/>
    <d v="2024-01-18T00:00:00"/>
    <n v="16"/>
    <n v="8"/>
    <x v="1"/>
    <x v="2"/>
    <n v="43.673469387755098"/>
    <n v="2"/>
    <s v="No"/>
  </r>
  <r>
    <x v="986"/>
    <x v="163"/>
    <x v="4"/>
    <s v="East"/>
    <x v="0"/>
    <x v="1"/>
    <x v="4"/>
    <s v="South"/>
    <x v="0"/>
    <n v="1.7"/>
    <n v="294"/>
    <n v="6"/>
    <d v="2024-04-20T00:00:00"/>
    <n v="6"/>
    <n v="0"/>
    <x v="0"/>
    <x v="0"/>
    <n v="172.94117647058823"/>
    <n v="5"/>
    <s v="Yes"/>
  </r>
  <r>
    <x v="987"/>
    <x v="75"/>
    <x v="1"/>
    <s v="West"/>
    <x v="0"/>
    <x v="2"/>
    <x v="4"/>
    <s v="South"/>
    <x v="0"/>
    <n v="74.7"/>
    <n v="186"/>
    <n v="8"/>
    <d v="2024-02-01T00:00:00"/>
    <n v="9"/>
    <n v="1"/>
    <x v="1"/>
    <x v="2"/>
    <n v="2.4899598393574296"/>
    <n v="4"/>
    <s v="No"/>
  </r>
  <r>
    <x v="988"/>
    <x v="18"/>
    <x v="1"/>
    <s v="West"/>
    <x v="2"/>
    <x v="2"/>
    <x v="4"/>
    <s v="East"/>
    <x v="0"/>
    <n v="6.8"/>
    <n v="218"/>
    <n v="8"/>
    <d v="2024-01-19T00:00:00"/>
    <n v="8"/>
    <n v="0"/>
    <x v="0"/>
    <x v="0"/>
    <n v="32.058823529411768"/>
    <n v="5"/>
    <s v="No"/>
  </r>
  <r>
    <x v="989"/>
    <x v="95"/>
    <x v="0"/>
    <s v="South"/>
    <x v="2"/>
    <x v="0"/>
    <x v="3"/>
    <s v="East"/>
    <x v="0"/>
    <n v="3.3"/>
    <n v="496"/>
    <n v="4"/>
    <d v="2024-02-07T00:00:00"/>
    <n v="5"/>
    <n v="1"/>
    <x v="1"/>
    <x v="2"/>
    <n v="150.30303030303031"/>
    <n v="1"/>
    <s v="Yes"/>
  </r>
  <r>
    <x v="990"/>
    <x v="78"/>
    <x v="2"/>
    <s v="North"/>
    <x v="2"/>
    <x v="0"/>
    <x v="5"/>
    <s v="East"/>
    <x v="0"/>
    <n v="35.299999999999997"/>
    <n v="2075"/>
    <n v="4"/>
    <d v="2024-03-31T00:00:00"/>
    <n v="5"/>
    <n v="1"/>
    <x v="1"/>
    <x v="2"/>
    <n v="58.781869688385271"/>
    <n v="2"/>
    <s v="No"/>
  </r>
  <r>
    <x v="991"/>
    <x v="94"/>
    <x v="4"/>
    <s v="East"/>
    <x v="2"/>
    <x v="1"/>
    <x v="0"/>
    <s v="North"/>
    <x v="0"/>
    <n v="2.2999999999999998"/>
    <n v="290"/>
    <n v="6"/>
    <d v="2024-04-10T00:00:00"/>
    <n v="5"/>
    <n v="-1"/>
    <x v="0"/>
    <x v="0"/>
    <n v="126.08695652173914"/>
    <n v="4"/>
    <s v="No"/>
  </r>
  <r>
    <x v="992"/>
    <x v="12"/>
    <x v="5"/>
    <s v="West"/>
    <x v="0"/>
    <x v="1"/>
    <x v="4"/>
    <s v="East"/>
    <x v="0"/>
    <n v="8"/>
    <n v="163"/>
    <n v="6"/>
    <d v="2024-06-10T00:00:00"/>
    <n v="5"/>
    <n v="-1"/>
    <x v="0"/>
    <x v="0"/>
    <n v="20.375"/>
    <n v="4"/>
    <s v="Yes"/>
  </r>
  <r>
    <x v="993"/>
    <x v="2"/>
    <x v="2"/>
    <s v="North"/>
    <x v="0"/>
    <x v="2"/>
    <x v="3"/>
    <s v="North"/>
    <x v="1"/>
    <n v="1.3"/>
    <n v="89"/>
    <n v="6"/>
    <d v="2024-05-30T00:00:00"/>
    <n v="7"/>
    <n v="1"/>
    <x v="1"/>
    <x v="2"/>
    <n v="68.461538461538453"/>
    <n v="3"/>
    <s v="Yes"/>
  </r>
  <r>
    <x v="994"/>
    <x v="80"/>
    <x v="1"/>
    <s v="West"/>
    <x v="4"/>
    <x v="0"/>
    <x v="0"/>
    <s v="East"/>
    <x v="0"/>
    <n v="4"/>
    <n v="531"/>
    <n v="4"/>
    <d v="2024-04-25T00:00:00"/>
    <n v="4"/>
    <n v="0"/>
    <x v="0"/>
    <x v="0"/>
    <n v="132.75"/>
    <n v="4"/>
    <s v="No"/>
  </r>
  <r>
    <x v="995"/>
    <x v="10"/>
    <x v="0"/>
    <s v="South"/>
    <x v="4"/>
    <x v="1"/>
    <x v="1"/>
    <s v="North"/>
    <x v="0"/>
    <n v="2.6"/>
    <n v="589"/>
    <n v="6"/>
    <d v="2024-06-26T00:00:00"/>
    <n v="6"/>
    <n v="0"/>
    <x v="0"/>
    <x v="0"/>
    <n v="226.53846153846152"/>
    <n v="3"/>
    <s v="Yes"/>
  </r>
  <r>
    <x v="996"/>
    <x v="158"/>
    <x v="3"/>
    <s v="South"/>
    <x v="5"/>
    <x v="2"/>
    <x v="4"/>
    <s v="West"/>
    <x v="0"/>
    <n v="2.7"/>
    <n v="208"/>
    <n v="8"/>
    <d v="2024-05-27T00:00:00"/>
    <n v="12"/>
    <n v="4"/>
    <x v="1"/>
    <x v="2"/>
    <n v="77.037037037037038"/>
    <n v="4"/>
    <s v="No"/>
  </r>
  <r>
    <x v="997"/>
    <x v="69"/>
    <x v="0"/>
    <s v="South"/>
    <x v="5"/>
    <x v="1"/>
    <x v="0"/>
    <s v="East"/>
    <x v="0"/>
    <n v="7.9"/>
    <n v="210"/>
    <n v="6"/>
    <d v="2024-05-14T00:00:00"/>
    <n v="6"/>
    <n v="0"/>
    <x v="0"/>
    <x v="0"/>
    <n v="26.582278481012658"/>
    <n v="2"/>
    <s v="Yes"/>
  </r>
  <r>
    <x v="998"/>
    <x v="161"/>
    <x v="3"/>
    <s v="South"/>
    <x v="4"/>
    <x v="1"/>
    <x v="3"/>
    <s v="South"/>
    <x v="1"/>
    <n v="41.6"/>
    <n v="80"/>
    <n v="4"/>
    <d v="2024-04-16T00:00:00"/>
    <n v="3"/>
    <n v="-1"/>
    <x v="0"/>
    <x v="0"/>
    <n v="1.9230769230769229"/>
    <n v="2"/>
    <s v="No"/>
  </r>
  <r>
    <x v="999"/>
    <x v="87"/>
    <x v="5"/>
    <s v="West"/>
    <x v="1"/>
    <x v="2"/>
    <x v="4"/>
    <s v="East"/>
    <x v="0"/>
    <n v="6.7"/>
    <n v="209"/>
    <n v="8"/>
    <d v="2024-03-30T00:00:00"/>
    <n v="7"/>
    <n v="-1"/>
    <x v="0"/>
    <x v="0"/>
    <n v="31.194029850746269"/>
    <n v="4"/>
    <s v="No"/>
  </r>
  <r>
    <x v="1000"/>
    <x v="40"/>
    <x v="2"/>
    <s v="North"/>
    <x v="0"/>
    <x v="0"/>
    <x v="1"/>
    <s v="North"/>
    <x v="1"/>
    <n v="1.3"/>
    <n v="758"/>
    <n v="2"/>
    <d v="2024-05-05T00:00:00"/>
    <n v="1"/>
    <n v="-1"/>
    <x v="0"/>
    <x v="0"/>
    <n v="583.07692307692309"/>
    <n v="3"/>
    <s v="No"/>
  </r>
  <r>
    <x v="1001"/>
    <x v="82"/>
    <x v="1"/>
    <s v="West"/>
    <x v="2"/>
    <x v="1"/>
    <x v="2"/>
    <s v="East"/>
    <x v="0"/>
    <n v="3.2"/>
    <n v="858"/>
    <n v="6"/>
    <d v="2024-05-20T00:00:00"/>
    <n v="6"/>
    <n v="0"/>
    <x v="0"/>
    <x v="0"/>
    <n v="268.125"/>
    <n v="4"/>
    <s v="No"/>
  </r>
  <r>
    <x v="1002"/>
    <x v="53"/>
    <x v="5"/>
    <s v="West"/>
    <x v="2"/>
    <x v="1"/>
    <x v="5"/>
    <s v="North"/>
    <x v="0"/>
    <n v="8.1999999999999993"/>
    <n v="1547"/>
    <n v="6"/>
    <d v="2024-01-23T00:00:00"/>
    <n v="6"/>
    <n v="0"/>
    <x v="0"/>
    <x v="0"/>
    <n v="188.65853658536588"/>
    <n v="4"/>
    <s v="Yes"/>
  </r>
  <r>
    <x v="1003"/>
    <x v="95"/>
    <x v="3"/>
    <s v="South"/>
    <x v="0"/>
    <x v="0"/>
    <x v="0"/>
    <s v="West"/>
    <x v="0"/>
    <n v="18.5"/>
    <n v="384"/>
    <n v="4"/>
    <d v="2024-02-07T00:00:00"/>
    <n v="5"/>
    <n v="1"/>
    <x v="1"/>
    <x v="2"/>
    <n v="20.756756756756758"/>
    <n v="1"/>
    <s v="Yes"/>
  </r>
  <r>
    <x v="1004"/>
    <x v="125"/>
    <x v="2"/>
    <s v="North"/>
    <x v="4"/>
    <x v="0"/>
    <x v="0"/>
    <s v="South"/>
    <x v="0"/>
    <n v="2.2999999999999998"/>
    <n v="679"/>
    <n v="4"/>
    <d v="2024-03-15T00:00:00"/>
    <n v="3"/>
    <n v="-1"/>
    <x v="0"/>
    <x v="0"/>
    <n v="295.21739130434787"/>
    <n v="5"/>
    <s v="No"/>
  </r>
  <r>
    <x v="1005"/>
    <x v="66"/>
    <x v="5"/>
    <s v="West"/>
    <x v="1"/>
    <x v="2"/>
    <x v="5"/>
    <s v="East"/>
    <x v="0"/>
    <n v="3.3"/>
    <n v="1023"/>
    <n v="8"/>
    <d v="2024-02-23T00:00:00"/>
    <n v="8"/>
    <n v="0"/>
    <x v="0"/>
    <x v="0"/>
    <n v="310"/>
    <n v="4"/>
    <s v="No"/>
  </r>
  <r>
    <x v="1006"/>
    <x v="47"/>
    <x v="3"/>
    <s v="South"/>
    <x v="2"/>
    <x v="1"/>
    <x v="3"/>
    <s v="South"/>
    <x v="1"/>
    <n v="0.8"/>
    <n v="80"/>
    <n v="4"/>
    <d v="2024-05-05T00:00:00"/>
    <n v="4"/>
    <n v="0"/>
    <x v="0"/>
    <x v="0"/>
    <n v="100"/>
    <n v="4"/>
    <s v="No"/>
  </r>
  <r>
    <x v="1007"/>
    <x v="32"/>
    <x v="1"/>
    <s v="West"/>
    <x v="0"/>
    <x v="2"/>
    <x v="4"/>
    <s v="West"/>
    <x v="1"/>
    <n v="2.2000000000000002"/>
    <n v="81"/>
    <n v="6"/>
    <d v="2024-06-05T00:00:00"/>
    <n v="15"/>
    <n v="9"/>
    <x v="1"/>
    <x v="2"/>
    <n v="36.818181818181813"/>
    <n v="4"/>
    <s v="Yes"/>
  </r>
  <r>
    <x v="1008"/>
    <x v="153"/>
    <x v="3"/>
    <s v="South"/>
    <x v="5"/>
    <x v="1"/>
    <x v="3"/>
    <s v="West"/>
    <x v="0"/>
    <n v="15.9"/>
    <n v="189"/>
    <n v="6"/>
    <d v="2024-02-20T00:00:00"/>
    <n v="13"/>
    <n v="7"/>
    <x v="1"/>
    <x v="2"/>
    <n v="11.886792452830189"/>
    <n v="4"/>
    <s v="No"/>
  </r>
  <r>
    <x v="1009"/>
    <x v="117"/>
    <x v="4"/>
    <s v="East"/>
    <x v="5"/>
    <x v="1"/>
    <x v="0"/>
    <s v="South"/>
    <x v="0"/>
    <n v="32.9"/>
    <n v="229"/>
    <n v="6"/>
    <d v="2024-05-29T00:00:00"/>
    <n v="5"/>
    <n v="-1"/>
    <x v="0"/>
    <x v="0"/>
    <n v="6.9604863221884505"/>
    <n v="5"/>
    <s v="No"/>
  </r>
  <r>
    <x v="1010"/>
    <x v="86"/>
    <x v="2"/>
    <s v="North"/>
    <x v="0"/>
    <x v="0"/>
    <x v="5"/>
    <s v="East"/>
    <x v="0"/>
    <n v="62.5"/>
    <n v="2536"/>
    <n v="4"/>
    <d v="2024-01-20T00:00:00"/>
    <n v="10"/>
    <n v="6"/>
    <x v="1"/>
    <x v="2"/>
    <n v="40.576000000000001"/>
    <n v="5"/>
    <s v="Yes"/>
  </r>
  <r>
    <x v="1011"/>
    <x v="167"/>
    <x v="1"/>
    <s v="West"/>
    <x v="5"/>
    <x v="0"/>
    <x v="3"/>
    <s v="North"/>
    <x v="0"/>
    <n v="5.3"/>
    <n v="224"/>
    <n v="4"/>
    <d v="2024-02-29T00:00:00"/>
    <n v="4"/>
    <n v="0"/>
    <x v="0"/>
    <x v="0"/>
    <n v="42.264150943396231"/>
    <n v="5"/>
    <s v="Yes"/>
  </r>
  <r>
    <x v="1012"/>
    <x v="74"/>
    <x v="2"/>
    <s v="North"/>
    <x v="0"/>
    <x v="0"/>
    <x v="3"/>
    <s v="East"/>
    <x v="0"/>
    <n v="11.2"/>
    <n v="486"/>
    <n v="4"/>
    <d v="2024-02-15T00:00:00"/>
    <n v="4"/>
    <n v="0"/>
    <x v="0"/>
    <x v="0"/>
    <n v="43.392857142857146"/>
    <n v="3"/>
    <s v="No"/>
  </r>
  <r>
    <x v="1013"/>
    <x v="124"/>
    <x v="1"/>
    <s v="West"/>
    <x v="4"/>
    <x v="1"/>
    <x v="5"/>
    <s v="East"/>
    <x v="0"/>
    <n v="60"/>
    <n v="575"/>
    <n v="6"/>
    <d v="2024-03-28T00:00:00"/>
    <n v="7"/>
    <n v="1"/>
    <x v="1"/>
    <x v="2"/>
    <n v="9.5833333333333339"/>
    <n v="1"/>
    <s v="Yes"/>
  </r>
  <r>
    <x v="1014"/>
    <x v="144"/>
    <x v="1"/>
    <s v="West"/>
    <x v="4"/>
    <x v="0"/>
    <x v="1"/>
    <s v="South"/>
    <x v="0"/>
    <n v="2.2999999999999998"/>
    <n v="424"/>
    <n v="4"/>
    <d v="2024-04-28T00:00:00"/>
    <n v="3"/>
    <n v="-1"/>
    <x v="0"/>
    <x v="0"/>
    <n v="184.34782608695653"/>
    <n v="5"/>
    <s v="No"/>
  </r>
  <r>
    <x v="1015"/>
    <x v="109"/>
    <x v="5"/>
    <s v="West"/>
    <x v="2"/>
    <x v="2"/>
    <x v="1"/>
    <s v="North"/>
    <x v="0"/>
    <n v="3.4"/>
    <n v="408"/>
    <n v="8"/>
    <d v="2024-06-26T00:00:00"/>
    <n v="8"/>
    <n v="0"/>
    <x v="0"/>
    <x v="0"/>
    <n v="120"/>
    <n v="4"/>
    <s v="Yes"/>
  </r>
  <r>
    <x v="1016"/>
    <x v="53"/>
    <x v="4"/>
    <s v="East"/>
    <x v="5"/>
    <x v="1"/>
    <x v="1"/>
    <s v="West"/>
    <x v="0"/>
    <n v="2.4"/>
    <n v="229"/>
    <n v="6"/>
    <d v="2024-01-23T00:00:00"/>
    <n v="6"/>
    <n v="0"/>
    <x v="0"/>
    <x v="0"/>
    <n v="95.416666666666671"/>
    <n v="4"/>
    <s v="Yes"/>
  </r>
  <r>
    <x v="1017"/>
    <x v="137"/>
    <x v="3"/>
    <s v="South"/>
    <x v="1"/>
    <x v="1"/>
    <x v="4"/>
    <s v="West"/>
    <x v="0"/>
    <n v="4.7"/>
    <n v="179"/>
    <n v="6"/>
    <d v="2024-04-28T00:00:00"/>
    <n v="6"/>
    <n v="0"/>
    <x v="0"/>
    <x v="0"/>
    <n v="38.085106382978722"/>
    <n v="5"/>
    <s v="Yes"/>
  </r>
  <r>
    <x v="1018"/>
    <x v="63"/>
    <x v="5"/>
    <s v="West"/>
    <x v="1"/>
    <x v="0"/>
    <x v="0"/>
    <s v="East"/>
    <x v="0"/>
    <n v="52.9"/>
    <n v="775"/>
    <n v="4"/>
    <d v="2024-04-23T00:00:00"/>
    <n v="5"/>
    <n v="1"/>
    <x v="1"/>
    <x v="2"/>
    <n v="14.650283553875237"/>
    <n v="2"/>
    <s v="No"/>
  </r>
  <r>
    <x v="1019"/>
    <x v="38"/>
    <x v="1"/>
    <s v="West"/>
    <x v="1"/>
    <x v="1"/>
    <x v="2"/>
    <s v="East"/>
    <x v="0"/>
    <n v="1.8"/>
    <n v="894"/>
    <n v="6"/>
    <d v="2024-03-13T00:00:00"/>
    <n v="7"/>
    <n v="1"/>
    <x v="1"/>
    <x v="2"/>
    <n v="496.66666666666663"/>
    <n v="1"/>
    <s v="No"/>
  </r>
  <r>
    <x v="1020"/>
    <x v="41"/>
    <x v="0"/>
    <s v="South"/>
    <x v="4"/>
    <x v="2"/>
    <x v="2"/>
    <s v="West"/>
    <x v="0"/>
    <n v="6.9"/>
    <n v="302"/>
    <n v="8"/>
    <s v=""/>
    <s v=""/>
    <s v=""/>
    <x v="2"/>
    <x v="4"/>
    <n v="43.768115942028984"/>
    <n v="0"/>
    <s v="No"/>
  </r>
  <r>
    <x v="1021"/>
    <x v="66"/>
    <x v="1"/>
    <s v="West"/>
    <x v="2"/>
    <x v="1"/>
    <x v="2"/>
    <s v="South"/>
    <x v="0"/>
    <n v="18.3"/>
    <n v="945"/>
    <n v="6"/>
    <d v="2024-02-22T00:00:00"/>
    <n v="7"/>
    <n v="1"/>
    <x v="1"/>
    <x v="2"/>
    <n v="51.639344262295083"/>
    <n v="3"/>
    <s v="Yes"/>
  </r>
  <r>
    <x v="1022"/>
    <x v="21"/>
    <x v="3"/>
    <s v="South"/>
    <x v="5"/>
    <x v="2"/>
    <x v="1"/>
    <s v="East"/>
    <x v="0"/>
    <n v="5.4"/>
    <n v="216"/>
    <n v="8"/>
    <d v="2024-02-26T00:00:00"/>
    <n v="7"/>
    <n v="-1"/>
    <x v="0"/>
    <x v="0"/>
    <n v="40"/>
    <n v="5"/>
    <s v="Yes"/>
  </r>
  <r>
    <x v="1023"/>
    <x v="144"/>
    <x v="5"/>
    <s v="West"/>
    <x v="5"/>
    <x v="0"/>
    <x v="3"/>
    <s v="North"/>
    <x v="0"/>
    <n v="14.7"/>
    <n v="290"/>
    <n v="4"/>
    <d v="2024-04-28T00:00:00"/>
    <n v="3"/>
    <n v="-1"/>
    <x v="0"/>
    <x v="0"/>
    <n v="19.727891156462587"/>
    <n v="2"/>
    <s v="No"/>
  </r>
  <r>
    <x v="1024"/>
    <x v="54"/>
    <x v="3"/>
    <s v="South"/>
    <x v="5"/>
    <x v="0"/>
    <x v="2"/>
    <s v="East"/>
    <x v="0"/>
    <n v="2.2999999999999998"/>
    <n v="1394"/>
    <n v="4"/>
    <d v="2024-02-16T00:00:00"/>
    <n v="7"/>
    <n v="3"/>
    <x v="1"/>
    <x v="2"/>
    <n v="606.08695652173913"/>
    <n v="3"/>
    <s v="Yes"/>
  </r>
  <r>
    <x v="1025"/>
    <x v="32"/>
    <x v="4"/>
    <s v="East"/>
    <x v="1"/>
    <x v="2"/>
    <x v="5"/>
    <s v="South"/>
    <x v="0"/>
    <n v="2.2000000000000002"/>
    <n v="362"/>
    <n v="8"/>
    <d v="2024-05-29T00:00:00"/>
    <n v="8"/>
    <n v="0"/>
    <x v="0"/>
    <x v="0"/>
    <n v="164.54545454545453"/>
    <n v="1"/>
    <s v="Yes"/>
  </r>
  <r>
    <x v="1026"/>
    <x v="130"/>
    <x v="2"/>
    <s v="North"/>
    <x v="0"/>
    <x v="2"/>
    <x v="4"/>
    <s v="South"/>
    <x v="0"/>
    <n v="14.3"/>
    <n v="161"/>
    <n v="8"/>
    <d v="2024-03-24T00:00:00"/>
    <n v="9"/>
    <n v="1"/>
    <x v="1"/>
    <x v="2"/>
    <n v="11.258741258741258"/>
    <n v="1"/>
    <s v="No"/>
  </r>
  <r>
    <x v="1027"/>
    <x v="30"/>
    <x v="4"/>
    <s v="East"/>
    <x v="5"/>
    <x v="0"/>
    <x v="2"/>
    <s v="East"/>
    <x v="1"/>
    <n v="34.299999999999997"/>
    <n v="1062"/>
    <n v="2"/>
    <d v="2024-04-08T00:00:00"/>
    <n v="2"/>
    <n v="0"/>
    <x v="0"/>
    <x v="0"/>
    <n v="30.962099125364436"/>
    <n v="5"/>
    <s v="Yes"/>
  </r>
  <r>
    <x v="1028"/>
    <x v="17"/>
    <x v="1"/>
    <s v="West"/>
    <x v="7"/>
    <x v="2"/>
    <x v="1"/>
    <s v="North"/>
    <x v="0"/>
    <n v="10.199999999999999"/>
    <n v="393"/>
    <n v="8"/>
    <d v="2024-06-10T00:00:00"/>
    <n v="8"/>
    <n v="0"/>
    <x v="0"/>
    <x v="0"/>
    <n v="38.529411764705884"/>
    <n v="4"/>
    <s v="Yes"/>
  </r>
  <r>
    <x v="1029"/>
    <x v="164"/>
    <x v="3"/>
    <s v="South"/>
    <x v="0"/>
    <x v="1"/>
    <x v="3"/>
    <s v="East"/>
    <x v="0"/>
    <n v="36.5"/>
    <n v="330"/>
    <n v="6"/>
    <d v="2024-06-11T00:00:00"/>
    <n v="5"/>
    <n v="-1"/>
    <x v="0"/>
    <x v="0"/>
    <n v="9.0410958904109595"/>
    <n v="4"/>
    <s v="No"/>
  </r>
  <r>
    <x v="1030"/>
    <x v="107"/>
    <x v="1"/>
    <s v="West"/>
    <x v="5"/>
    <x v="1"/>
    <x v="1"/>
    <s v="North"/>
    <x v="0"/>
    <n v="6.8"/>
    <n v="322"/>
    <n v="6"/>
    <d v="2024-06-09T00:00:00"/>
    <n v="6"/>
    <n v="0"/>
    <x v="0"/>
    <x v="0"/>
    <n v="47.352941176470587"/>
    <n v="5"/>
    <s v="Yes"/>
  </r>
  <r>
    <x v="1031"/>
    <x v="49"/>
    <x v="3"/>
    <s v="South"/>
    <x v="0"/>
    <x v="0"/>
    <x v="3"/>
    <s v="West"/>
    <x v="0"/>
    <n v="1.9"/>
    <n v="230"/>
    <n v="4"/>
    <d v="2024-06-25T00:00:00"/>
    <n v="4"/>
    <n v="0"/>
    <x v="0"/>
    <x v="0"/>
    <n v="121.05263157894737"/>
    <n v="5"/>
    <s v="No"/>
  </r>
  <r>
    <x v="1032"/>
    <x v="147"/>
    <x v="2"/>
    <s v="North"/>
    <x v="5"/>
    <x v="1"/>
    <x v="2"/>
    <s v="West"/>
    <x v="0"/>
    <n v="26.8"/>
    <n v="792"/>
    <n v="6"/>
    <s v=""/>
    <s v=""/>
    <s v=""/>
    <x v="2"/>
    <x v="4"/>
    <n v="29.552238805970148"/>
    <n v="0"/>
    <s v="Yes"/>
  </r>
  <r>
    <x v="1033"/>
    <x v="25"/>
    <x v="4"/>
    <s v="East"/>
    <x v="7"/>
    <x v="1"/>
    <x v="3"/>
    <s v="West"/>
    <x v="0"/>
    <n v="15.1"/>
    <n v="358"/>
    <n v="6"/>
    <d v="2024-02-06T00:00:00"/>
    <n v="5"/>
    <n v="-1"/>
    <x v="0"/>
    <x v="0"/>
    <n v="23.70860927152318"/>
    <n v="5"/>
    <s v="No"/>
  </r>
  <r>
    <x v="1034"/>
    <x v="21"/>
    <x v="0"/>
    <s v="South"/>
    <x v="2"/>
    <x v="2"/>
    <x v="3"/>
    <s v="East"/>
    <x v="0"/>
    <n v="1.6"/>
    <n v="223"/>
    <n v="8"/>
    <d v="2024-02-26T00:00:00"/>
    <n v="7"/>
    <n v="-1"/>
    <x v="0"/>
    <x v="0"/>
    <n v="139.375"/>
    <n v="4"/>
    <s v="No"/>
  </r>
  <r>
    <x v="1035"/>
    <x v="25"/>
    <x v="5"/>
    <s v="West"/>
    <x v="4"/>
    <x v="0"/>
    <x v="1"/>
    <s v="North"/>
    <x v="0"/>
    <n v="24"/>
    <n v="1051"/>
    <n v="4"/>
    <d v="2024-02-06T00:00:00"/>
    <n v="5"/>
    <n v="1"/>
    <x v="1"/>
    <x v="2"/>
    <n v="43.791666666666664"/>
    <n v="1"/>
    <s v="No"/>
  </r>
  <r>
    <x v="1036"/>
    <x v="102"/>
    <x v="2"/>
    <s v="North"/>
    <x v="0"/>
    <x v="1"/>
    <x v="3"/>
    <s v="East"/>
    <x v="0"/>
    <n v="17.899999999999999"/>
    <n v="291"/>
    <n v="6"/>
    <d v="2024-04-13T00:00:00"/>
    <n v="6"/>
    <n v="0"/>
    <x v="0"/>
    <x v="0"/>
    <n v="16.256983240223466"/>
    <n v="4"/>
    <s v="No"/>
  </r>
  <r>
    <x v="1037"/>
    <x v="127"/>
    <x v="5"/>
    <s v="West"/>
    <x v="7"/>
    <x v="2"/>
    <x v="2"/>
    <s v="East"/>
    <x v="0"/>
    <n v="6.4"/>
    <n v="523"/>
    <n v="8"/>
    <d v="2024-06-14T00:00:00"/>
    <n v="17"/>
    <n v="9"/>
    <x v="1"/>
    <x v="2"/>
    <n v="81.71875"/>
    <n v="3"/>
    <s v="No"/>
  </r>
  <r>
    <x v="1038"/>
    <x v="17"/>
    <x v="2"/>
    <s v="North"/>
    <x v="7"/>
    <x v="2"/>
    <x v="3"/>
    <s v="South"/>
    <x v="0"/>
    <n v="7.1"/>
    <n v="232"/>
    <n v="8"/>
    <d v="2024-06-10T00:00:00"/>
    <n v="8"/>
    <n v="0"/>
    <x v="0"/>
    <x v="0"/>
    <n v="32.676056338028168"/>
    <n v="5"/>
    <s v="No"/>
  </r>
  <r>
    <x v="1039"/>
    <x v="166"/>
    <x v="1"/>
    <s v="West"/>
    <x v="2"/>
    <x v="2"/>
    <x v="4"/>
    <s v="East"/>
    <x v="0"/>
    <n v="1.5"/>
    <n v="250"/>
    <n v="8"/>
    <d v="2024-06-16T00:00:00"/>
    <n v="9"/>
    <n v="1"/>
    <x v="1"/>
    <x v="2"/>
    <n v="166.66666666666666"/>
    <n v="2"/>
    <s v="Yes"/>
  </r>
  <r>
    <x v="1040"/>
    <x v="118"/>
    <x v="1"/>
    <s v="West"/>
    <x v="0"/>
    <x v="1"/>
    <x v="4"/>
    <s v="East"/>
    <x v="0"/>
    <n v="29.7"/>
    <n v="135"/>
    <n v="6"/>
    <d v="2024-06-13T00:00:00"/>
    <n v="5"/>
    <n v="-1"/>
    <x v="0"/>
    <x v="0"/>
    <n v="4.5454545454545459"/>
    <n v="4"/>
    <s v="No"/>
  </r>
  <r>
    <x v="1041"/>
    <x v="91"/>
    <x v="2"/>
    <s v="North"/>
    <x v="4"/>
    <x v="0"/>
    <x v="1"/>
    <s v="North"/>
    <x v="1"/>
    <n v="7.8"/>
    <n v="432"/>
    <n v="2"/>
    <d v="2024-04-15T00:00:00"/>
    <n v="3"/>
    <n v="1"/>
    <x v="1"/>
    <x v="2"/>
    <n v="55.384615384615387"/>
    <n v="4"/>
    <s v="No"/>
  </r>
  <r>
    <x v="1042"/>
    <x v="42"/>
    <x v="4"/>
    <s v="East"/>
    <x v="1"/>
    <x v="0"/>
    <x v="4"/>
    <s v="East"/>
    <x v="1"/>
    <n v="3.6"/>
    <n v="80"/>
    <n v="2"/>
    <d v="2024-05-27T00:00:00"/>
    <n v="1"/>
    <n v="-1"/>
    <x v="0"/>
    <x v="0"/>
    <n v="22.222222222222221"/>
    <n v="5"/>
    <s v="Yes"/>
  </r>
  <r>
    <x v="1043"/>
    <x v="123"/>
    <x v="4"/>
    <s v="East"/>
    <x v="5"/>
    <x v="1"/>
    <x v="1"/>
    <s v="South"/>
    <x v="0"/>
    <n v="19.3"/>
    <n v="439"/>
    <n v="6"/>
    <d v="2024-01-31T00:00:00"/>
    <n v="5"/>
    <n v="-1"/>
    <x v="0"/>
    <x v="0"/>
    <n v="22.746113989637305"/>
    <n v="3"/>
    <s v="No"/>
  </r>
  <r>
    <x v="1044"/>
    <x v="54"/>
    <x v="2"/>
    <s v="North"/>
    <x v="1"/>
    <x v="1"/>
    <x v="4"/>
    <s v="South"/>
    <x v="0"/>
    <n v="3.8"/>
    <n v="214"/>
    <n v="6"/>
    <d v="2024-02-15T00:00:00"/>
    <n v="6"/>
    <n v="0"/>
    <x v="0"/>
    <x v="0"/>
    <n v="56.315789473684212"/>
    <n v="4"/>
    <s v="No"/>
  </r>
  <r>
    <x v="1045"/>
    <x v="68"/>
    <x v="3"/>
    <s v="South"/>
    <x v="0"/>
    <x v="1"/>
    <x v="0"/>
    <s v="South"/>
    <x v="1"/>
    <n v="28.3"/>
    <n v="80"/>
    <n v="4"/>
    <d v="2024-06-12T00:00:00"/>
    <n v="3"/>
    <n v="-1"/>
    <x v="0"/>
    <x v="0"/>
    <n v="2.8268551236749118"/>
    <n v="5"/>
    <s v="Yes"/>
  </r>
  <r>
    <x v="1046"/>
    <x v="89"/>
    <x v="2"/>
    <s v="North"/>
    <x v="4"/>
    <x v="1"/>
    <x v="3"/>
    <s v="East"/>
    <x v="0"/>
    <n v="4.4000000000000004"/>
    <n v="344"/>
    <n v="6"/>
    <d v="2024-03-16T00:00:00"/>
    <n v="7"/>
    <n v="1"/>
    <x v="1"/>
    <x v="2"/>
    <n v="78.181818181818173"/>
    <n v="3"/>
    <s v="Yes"/>
  </r>
  <r>
    <x v="1047"/>
    <x v="112"/>
    <x v="3"/>
    <s v="South"/>
    <x v="3"/>
    <x v="0"/>
    <x v="2"/>
    <s v="West"/>
    <x v="0"/>
    <n v="3.3"/>
    <n v="550"/>
    <n v="4"/>
    <d v="2024-03-06T00:00:00"/>
    <n v="4"/>
    <n v="0"/>
    <x v="0"/>
    <x v="0"/>
    <n v="166.66666666666669"/>
    <n v="4"/>
    <s v="Yes"/>
  </r>
  <r>
    <x v="1048"/>
    <x v="62"/>
    <x v="5"/>
    <s v="West"/>
    <x v="2"/>
    <x v="0"/>
    <x v="4"/>
    <s v="West"/>
    <x v="1"/>
    <n v="0.6"/>
    <n v="80"/>
    <n v="2"/>
    <d v="2024-06-30T00:00:00"/>
    <n v="3"/>
    <n v="1"/>
    <x v="1"/>
    <x v="2"/>
    <n v="133.33333333333334"/>
    <n v="3"/>
    <s v="Yes"/>
  </r>
  <r>
    <x v="1049"/>
    <x v="39"/>
    <x v="0"/>
    <s v="South"/>
    <x v="5"/>
    <x v="2"/>
    <x v="5"/>
    <s v="West"/>
    <x v="0"/>
    <n v="10.1"/>
    <n v="1050"/>
    <n v="8"/>
    <d v="2024-05-27T00:00:00"/>
    <n v="7"/>
    <n v="-1"/>
    <x v="0"/>
    <x v="0"/>
    <n v="103.96039603960396"/>
    <n v="5"/>
    <s v="No"/>
  </r>
  <r>
    <x v="1050"/>
    <x v="77"/>
    <x v="1"/>
    <s v="West"/>
    <x v="0"/>
    <x v="2"/>
    <x v="4"/>
    <s v="East"/>
    <x v="0"/>
    <n v="0.9"/>
    <n v="216"/>
    <n v="8"/>
    <d v="2024-05-25T00:00:00"/>
    <n v="7"/>
    <n v="-1"/>
    <x v="0"/>
    <x v="0"/>
    <n v="240"/>
    <n v="4"/>
    <s v="Yes"/>
  </r>
  <r>
    <x v="1051"/>
    <x v="56"/>
    <x v="1"/>
    <s v="West"/>
    <x v="3"/>
    <x v="0"/>
    <x v="1"/>
    <s v="North"/>
    <x v="0"/>
    <n v="11.7"/>
    <n v="572"/>
    <n v="4"/>
    <d v="2024-06-04T00:00:00"/>
    <n v="3"/>
    <n v="-1"/>
    <x v="0"/>
    <x v="0"/>
    <n v="48.888888888888893"/>
    <n v="5"/>
    <s v="Yes"/>
  </r>
  <r>
    <x v="1052"/>
    <x v="97"/>
    <x v="4"/>
    <s v="East"/>
    <x v="5"/>
    <x v="0"/>
    <x v="0"/>
    <s v="East"/>
    <x v="1"/>
    <n v="2.8"/>
    <n v="427"/>
    <n v="2"/>
    <d v="2024-02-25T00:00:00"/>
    <n v="3"/>
    <n v="1"/>
    <x v="1"/>
    <x v="2"/>
    <n v="152.5"/>
    <n v="3"/>
    <s v="Yes"/>
  </r>
  <r>
    <x v="1053"/>
    <x v="154"/>
    <x v="5"/>
    <s v="West"/>
    <x v="3"/>
    <x v="2"/>
    <x v="5"/>
    <s v="East"/>
    <x v="0"/>
    <n v="1"/>
    <n v="1138"/>
    <n v="8"/>
    <d v="2024-01-09T00:00:00"/>
    <n v="8"/>
    <n v="0"/>
    <x v="0"/>
    <x v="0"/>
    <n v="1138"/>
    <n v="5"/>
    <s v="No"/>
  </r>
  <r>
    <x v="1054"/>
    <x v="159"/>
    <x v="2"/>
    <s v="North"/>
    <x v="4"/>
    <x v="2"/>
    <x v="5"/>
    <s v="South"/>
    <x v="0"/>
    <n v="6.2"/>
    <n v="966"/>
    <n v="8"/>
    <d v="2024-01-26T00:00:00"/>
    <n v="17"/>
    <n v="9"/>
    <x v="1"/>
    <x v="2"/>
    <n v="155.80645161290323"/>
    <n v="1"/>
    <s v="No"/>
  </r>
  <r>
    <x v="1055"/>
    <x v="118"/>
    <x v="1"/>
    <s v="West"/>
    <x v="0"/>
    <x v="2"/>
    <x v="0"/>
    <s v="North"/>
    <x v="0"/>
    <n v="7.9"/>
    <n v="249"/>
    <n v="8"/>
    <d v="2024-06-16T00:00:00"/>
    <n v="8"/>
    <n v="0"/>
    <x v="0"/>
    <x v="0"/>
    <n v="31.518987341772149"/>
    <n v="5"/>
    <s v="No"/>
  </r>
  <r>
    <x v="1056"/>
    <x v="139"/>
    <x v="5"/>
    <s v="West"/>
    <x v="4"/>
    <x v="0"/>
    <x v="2"/>
    <s v="South"/>
    <x v="0"/>
    <n v="0.9"/>
    <n v="1098"/>
    <n v="4"/>
    <d v="2024-01-19T00:00:00"/>
    <n v="3"/>
    <n v="-1"/>
    <x v="0"/>
    <x v="0"/>
    <n v="1220"/>
    <n v="5"/>
    <s v="No"/>
  </r>
  <r>
    <x v="1057"/>
    <x v="92"/>
    <x v="0"/>
    <s v="South"/>
    <x v="0"/>
    <x v="2"/>
    <x v="0"/>
    <s v="West"/>
    <x v="0"/>
    <n v="63.8"/>
    <n v="351"/>
    <n v="8"/>
    <d v="2024-03-01T00:00:00"/>
    <n v="7"/>
    <n v="-1"/>
    <x v="0"/>
    <x v="1"/>
    <n v="5.5015673981191222"/>
    <n v="0"/>
    <s v="Yes"/>
  </r>
  <r>
    <x v="1058"/>
    <x v="122"/>
    <x v="1"/>
    <s v="West"/>
    <x v="5"/>
    <x v="0"/>
    <x v="5"/>
    <s v="West"/>
    <x v="1"/>
    <n v="4.5999999999999996"/>
    <n v="3412"/>
    <n v="2"/>
    <d v="2024-01-13T00:00:00"/>
    <n v="1"/>
    <n v="-1"/>
    <x v="0"/>
    <x v="0"/>
    <n v="741.73913043478262"/>
    <n v="4"/>
    <s v="No"/>
  </r>
  <r>
    <x v="1059"/>
    <x v="97"/>
    <x v="5"/>
    <s v="West"/>
    <x v="0"/>
    <x v="2"/>
    <x v="4"/>
    <s v="West"/>
    <x v="1"/>
    <n v="8.5"/>
    <n v="104"/>
    <n v="6"/>
    <d v="2024-02-28T00:00:00"/>
    <n v="6"/>
    <n v="0"/>
    <x v="0"/>
    <x v="0"/>
    <n v="12.235294117647058"/>
    <n v="4"/>
    <s v="No"/>
  </r>
  <r>
    <x v="1060"/>
    <x v="106"/>
    <x v="0"/>
    <s v="South"/>
    <x v="2"/>
    <x v="1"/>
    <x v="4"/>
    <s v="South"/>
    <x v="1"/>
    <n v="9.6999999999999993"/>
    <n v="91"/>
    <n v="4"/>
    <d v="2024-05-02T00:00:00"/>
    <n v="13"/>
    <n v="9"/>
    <x v="1"/>
    <x v="2"/>
    <n v="9.3814432989690726"/>
    <n v="3"/>
    <s v="Yes"/>
  </r>
  <r>
    <x v="1061"/>
    <x v="29"/>
    <x v="5"/>
    <s v="West"/>
    <x v="5"/>
    <x v="1"/>
    <x v="3"/>
    <s v="South"/>
    <x v="0"/>
    <n v="68.5"/>
    <n v="292"/>
    <n v="6"/>
    <d v="2024-06-22T00:00:00"/>
    <n v="6"/>
    <n v="0"/>
    <x v="0"/>
    <x v="0"/>
    <n v="4.2627737226277373"/>
    <n v="4"/>
    <s v="No"/>
  </r>
  <r>
    <x v="1062"/>
    <x v="66"/>
    <x v="4"/>
    <s v="East"/>
    <x v="4"/>
    <x v="2"/>
    <x v="0"/>
    <s v="North"/>
    <x v="0"/>
    <n v="58.2"/>
    <n v="290"/>
    <n v="8"/>
    <d v="2024-02-23T00:00:00"/>
    <n v="8"/>
    <n v="0"/>
    <x v="0"/>
    <x v="0"/>
    <n v="4.9828178694158076"/>
    <n v="3"/>
    <s v="Yes"/>
  </r>
  <r>
    <x v="1063"/>
    <x v="159"/>
    <x v="5"/>
    <s v="West"/>
    <x v="2"/>
    <x v="1"/>
    <x v="3"/>
    <s v="South"/>
    <x v="0"/>
    <n v="4.5"/>
    <n v="138"/>
    <n v="6"/>
    <d v="2024-01-14T00:00:00"/>
    <n v="5"/>
    <n v="-1"/>
    <x v="0"/>
    <x v="0"/>
    <n v="30.666666666666668"/>
    <n v="4"/>
    <s v="Yes"/>
  </r>
  <r>
    <x v="1064"/>
    <x v="9"/>
    <x v="4"/>
    <s v="East"/>
    <x v="0"/>
    <x v="2"/>
    <x v="5"/>
    <s v="West"/>
    <x v="0"/>
    <n v="20.3"/>
    <n v="1049"/>
    <n v="8"/>
    <d v="2024-06-20T00:00:00"/>
    <n v="9"/>
    <n v="1"/>
    <x v="1"/>
    <x v="3"/>
    <n v="51.674876847290641"/>
    <n v="0"/>
    <s v="No"/>
  </r>
  <r>
    <x v="1065"/>
    <x v="58"/>
    <x v="5"/>
    <s v="West"/>
    <x v="5"/>
    <x v="0"/>
    <x v="4"/>
    <s v="South"/>
    <x v="0"/>
    <n v="10.199999999999999"/>
    <n v="366"/>
    <n v="4"/>
    <d v="2024-04-01T00:00:00"/>
    <n v="4"/>
    <n v="0"/>
    <x v="0"/>
    <x v="0"/>
    <n v="35.882352941176471"/>
    <n v="4"/>
    <s v="Yes"/>
  </r>
  <r>
    <x v="1066"/>
    <x v="102"/>
    <x v="0"/>
    <s v="South"/>
    <x v="4"/>
    <x v="0"/>
    <x v="2"/>
    <s v="South"/>
    <x v="1"/>
    <n v="74.7"/>
    <n v="540"/>
    <n v="2"/>
    <d v="2024-04-10T00:00:00"/>
    <n v="3"/>
    <n v="1"/>
    <x v="1"/>
    <x v="2"/>
    <n v="7.2289156626506017"/>
    <n v="2"/>
    <s v="Yes"/>
  </r>
  <r>
    <x v="1067"/>
    <x v="73"/>
    <x v="3"/>
    <s v="South"/>
    <x v="4"/>
    <x v="2"/>
    <x v="0"/>
    <s v="South"/>
    <x v="1"/>
    <n v="4.9000000000000004"/>
    <n v="103"/>
    <n v="6"/>
    <d v="2024-03-20T00:00:00"/>
    <n v="10"/>
    <n v="4"/>
    <x v="1"/>
    <x v="2"/>
    <n v="21.020408163265305"/>
    <n v="4"/>
    <s v="No"/>
  </r>
  <r>
    <x v="1068"/>
    <x v="20"/>
    <x v="0"/>
    <s v="South"/>
    <x v="5"/>
    <x v="0"/>
    <x v="5"/>
    <s v="East"/>
    <x v="0"/>
    <n v="3.2"/>
    <n v="2674"/>
    <n v="4"/>
    <d v="2024-01-19T00:00:00"/>
    <n v="12"/>
    <n v="8"/>
    <x v="1"/>
    <x v="2"/>
    <n v="835.625"/>
    <n v="2"/>
    <s v="No"/>
  </r>
  <r>
    <x v="1069"/>
    <x v="20"/>
    <x v="3"/>
    <s v="South"/>
    <x v="4"/>
    <x v="1"/>
    <x v="5"/>
    <s v="East"/>
    <x v="0"/>
    <n v="5.3"/>
    <n v="1736"/>
    <n v="6"/>
    <d v="2024-01-12T00:00:00"/>
    <n v="5"/>
    <n v="-1"/>
    <x v="0"/>
    <x v="0"/>
    <n v="327.54716981132077"/>
    <n v="4"/>
    <s v="Yes"/>
  </r>
  <r>
    <x v="1070"/>
    <x v="167"/>
    <x v="0"/>
    <s v="South"/>
    <x v="7"/>
    <x v="1"/>
    <x v="4"/>
    <s v="East"/>
    <x v="0"/>
    <n v="11"/>
    <n v="267"/>
    <n v="6"/>
    <d v="2024-03-03T00:00:00"/>
    <n v="7"/>
    <n v="1"/>
    <x v="1"/>
    <x v="2"/>
    <n v="24.272727272727273"/>
    <n v="2"/>
    <s v="Yes"/>
  </r>
  <r>
    <x v="1071"/>
    <x v="34"/>
    <x v="1"/>
    <s v="West"/>
    <x v="7"/>
    <x v="1"/>
    <x v="0"/>
    <s v="East"/>
    <x v="0"/>
    <n v="0.6"/>
    <n v="481"/>
    <n v="6"/>
    <d v="2024-05-18T00:00:00"/>
    <n v="7"/>
    <n v="1"/>
    <x v="1"/>
    <x v="2"/>
    <n v="801.66666666666674"/>
    <n v="2"/>
    <s v="No"/>
  </r>
  <r>
    <x v="1072"/>
    <x v="73"/>
    <x v="4"/>
    <s v="East"/>
    <x v="4"/>
    <x v="2"/>
    <x v="5"/>
    <s v="East"/>
    <x v="1"/>
    <n v="61.4"/>
    <n v="1168"/>
    <n v="6"/>
    <d v="2024-03-16T00:00:00"/>
    <n v="6"/>
    <n v="0"/>
    <x v="0"/>
    <x v="0"/>
    <n v="19.022801302931597"/>
    <n v="3"/>
    <s v="Yes"/>
  </r>
  <r>
    <x v="1073"/>
    <x v="145"/>
    <x v="4"/>
    <s v="East"/>
    <x v="1"/>
    <x v="0"/>
    <x v="4"/>
    <s v="West"/>
    <x v="0"/>
    <n v="3.8"/>
    <n v="328"/>
    <n v="4"/>
    <d v="2024-06-16T00:00:00"/>
    <n v="3"/>
    <n v="-1"/>
    <x v="0"/>
    <x v="0"/>
    <n v="86.31578947368422"/>
    <n v="5"/>
    <s v="No"/>
  </r>
  <r>
    <x v="1074"/>
    <x v="104"/>
    <x v="4"/>
    <s v="East"/>
    <x v="5"/>
    <x v="0"/>
    <x v="2"/>
    <s v="West"/>
    <x v="0"/>
    <n v="1.8"/>
    <n v="1382"/>
    <n v="4"/>
    <d v="2024-03-11T00:00:00"/>
    <n v="4"/>
    <n v="0"/>
    <x v="0"/>
    <x v="0"/>
    <n v="767.77777777777771"/>
    <n v="4"/>
    <s v="No"/>
  </r>
  <r>
    <x v="1075"/>
    <x v="89"/>
    <x v="3"/>
    <s v="South"/>
    <x v="3"/>
    <x v="1"/>
    <x v="1"/>
    <s v="South"/>
    <x v="1"/>
    <n v="12.4"/>
    <n v="80"/>
    <n v="4"/>
    <d v="2024-03-14T00:00:00"/>
    <n v="5"/>
    <n v="1"/>
    <x v="1"/>
    <x v="2"/>
    <n v="6.4516129032258061"/>
    <n v="3"/>
    <s v="Yes"/>
  </r>
  <r>
    <x v="1076"/>
    <x v="13"/>
    <x v="1"/>
    <s v="West"/>
    <x v="0"/>
    <x v="2"/>
    <x v="4"/>
    <s v="South"/>
    <x v="0"/>
    <n v="6.5"/>
    <n v="206"/>
    <n v="8"/>
    <d v="2024-01-11T00:00:00"/>
    <n v="9"/>
    <n v="1"/>
    <x v="1"/>
    <x v="2"/>
    <n v="31.692307692307693"/>
    <n v="3"/>
    <s v="No"/>
  </r>
  <r>
    <x v="1077"/>
    <x v="113"/>
    <x v="2"/>
    <s v="North"/>
    <x v="1"/>
    <x v="0"/>
    <x v="4"/>
    <s v="West"/>
    <x v="0"/>
    <n v="55"/>
    <n v="302"/>
    <n v="4"/>
    <d v="2024-04-21T00:00:00"/>
    <n v="4"/>
    <n v="0"/>
    <x v="0"/>
    <x v="0"/>
    <n v="5.4909090909090912"/>
    <n v="3"/>
    <s v="No"/>
  </r>
  <r>
    <x v="1078"/>
    <x v="28"/>
    <x v="1"/>
    <s v="West"/>
    <x v="1"/>
    <x v="0"/>
    <x v="2"/>
    <s v="East"/>
    <x v="0"/>
    <n v="71.5"/>
    <n v="1174"/>
    <n v="4"/>
    <d v="2024-04-14T00:00:00"/>
    <n v="3"/>
    <n v="-1"/>
    <x v="0"/>
    <x v="3"/>
    <n v="16.41958041958042"/>
    <n v="0"/>
    <s v="Yes"/>
  </r>
  <r>
    <x v="1079"/>
    <x v="24"/>
    <x v="3"/>
    <s v="South"/>
    <x v="0"/>
    <x v="1"/>
    <x v="1"/>
    <s v="North"/>
    <x v="0"/>
    <n v="4.4000000000000004"/>
    <n v="192"/>
    <n v="6"/>
    <d v="2024-04-15T00:00:00"/>
    <n v="12"/>
    <n v="6"/>
    <x v="1"/>
    <x v="2"/>
    <n v="43.636363636363633"/>
    <n v="2"/>
    <s v="No"/>
  </r>
  <r>
    <x v="1080"/>
    <x v="129"/>
    <x v="5"/>
    <s v="West"/>
    <x v="7"/>
    <x v="0"/>
    <x v="2"/>
    <s v="South"/>
    <x v="0"/>
    <n v="14.1"/>
    <n v="1813"/>
    <n v="4"/>
    <d v="2024-02-22T00:00:00"/>
    <n v="5"/>
    <n v="1"/>
    <x v="1"/>
    <x v="2"/>
    <n v="128.58156028368793"/>
    <n v="2"/>
    <s v="No"/>
  </r>
  <r>
    <x v="1081"/>
    <x v="140"/>
    <x v="2"/>
    <s v="North"/>
    <x v="5"/>
    <x v="2"/>
    <x v="1"/>
    <s v="West"/>
    <x v="0"/>
    <n v="79.5"/>
    <n v="221"/>
    <n v="8"/>
    <d v="2024-06-28T00:00:00"/>
    <n v="13"/>
    <n v="5"/>
    <x v="1"/>
    <x v="2"/>
    <n v="2.7798742138364778"/>
    <n v="1"/>
    <s v="Yes"/>
  </r>
  <r>
    <x v="1082"/>
    <x v="104"/>
    <x v="4"/>
    <s v="East"/>
    <x v="4"/>
    <x v="2"/>
    <x v="1"/>
    <s v="West"/>
    <x v="0"/>
    <n v="3"/>
    <n v="359"/>
    <n v="8"/>
    <d v="2024-03-23T00:00:00"/>
    <n v="16"/>
    <n v="8"/>
    <x v="1"/>
    <x v="2"/>
    <n v="119.66666666666667"/>
    <n v="1"/>
    <s v="Yes"/>
  </r>
  <r>
    <x v="1083"/>
    <x v="78"/>
    <x v="5"/>
    <s v="West"/>
    <x v="2"/>
    <x v="1"/>
    <x v="4"/>
    <s v="North"/>
    <x v="0"/>
    <n v="27.9"/>
    <n v="237"/>
    <n v="6"/>
    <d v="2024-04-01T00:00:00"/>
    <n v="6"/>
    <n v="0"/>
    <x v="0"/>
    <x v="0"/>
    <n v="8.4946236559139781"/>
    <n v="4"/>
    <s v="No"/>
  </r>
  <r>
    <x v="1084"/>
    <x v="148"/>
    <x v="5"/>
    <s v="West"/>
    <x v="2"/>
    <x v="0"/>
    <x v="2"/>
    <s v="North"/>
    <x v="0"/>
    <n v="2.7"/>
    <n v="836"/>
    <n v="4"/>
    <d v="2024-05-11T00:00:00"/>
    <n v="4"/>
    <n v="0"/>
    <x v="0"/>
    <x v="0"/>
    <n v="309.62962962962962"/>
    <n v="4"/>
    <s v="No"/>
  </r>
  <r>
    <x v="1085"/>
    <x v="29"/>
    <x v="5"/>
    <s v="West"/>
    <x v="1"/>
    <x v="0"/>
    <x v="5"/>
    <s v="South"/>
    <x v="0"/>
    <n v="4.5"/>
    <n v="2228"/>
    <n v="4"/>
    <d v="2024-06-21T00:00:00"/>
    <n v="5"/>
    <n v="1"/>
    <x v="1"/>
    <x v="2"/>
    <n v="495.11111111111109"/>
    <n v="2"/>
    <s v="Yes"/>
  </r>
  <r>
    <x v="1086"/>
    <x v="87"/>
    <x v="4"/>
    <s v="East"/>
    <x v="4"/>
    <x v="2"/>
    <x v="5"/>
    <s v="South"/>
    <x v="0"/>
    <n v="3.6"/>
    <n v="493"/>
    <n v="8"/>
    <d v="2024-03-30T00:00:00"/>
    <n v="7"/>
    <n v="-1"/>
    <x v="0"/>
    <x v="3"/>
    <n v="136.94444444444443"/>
    <n v="0"/>
    <s v="No"/>
  </r>
  <r>
    <x v="1087"/>
    <x v="1"/>
    <x v="0"/>
    <s v="South"/>
    <x v="4"/>
    <x v="1"/>
    <x v="2"/>
    <s v="East"/>
    <x v="0"/>
    <n v="21.8"/>
    <n v="527"/>
    <n v="6"/>
    <d v="2024-06-15T00:00:00"/>
    <n v="5"/>
    <n v="-1"/>
    <x v="0"/>
    <x v="0"/>
    <n v="24.174311926605505"/>
    <n v="3"/>
    <s v="No"/>
  </r>
  <r>
    <x v="1088"/>
    <x v="69"/>
    <x v="4"/>
    <s v="East"/>
    <x v="4"/>
    <x v="0"/>
    <x v="4"/>
    <s v="North"/>
    <x v="0"/>
    <n v="2.7"/>
    <n v="238"/>
    <n v="4"/>
    <d v="2024-05-12T00:00:00"/>
    <n v="4"/>
    <n v="0"/>
    <x v="0"/>
    <x v="0"/>
    <n v="88.148148148148138"/>
    <n v="4"/>
    <s v="Yes"/>
  </r>
  <r>
    <x v="1089"/>
    <x v="11"/>
    <x v="4"/>
    <s v="East"/>
    <x v="5"/>
    <x v="0"/>
    <x v="3"/>
    <s v="North"/>
    <x v="0"/>
    <n v="37.1"/>
    <n v="467"/>
    <n v="4"/>
    <d v="2024-02-14T00:00:00"/>
    <n v="11"/>
    <n v="7"/>
    <x v="1"/>
    <x v="2"/>
    <n v="12.587601078167115"/>
    <n v="3"/>
    <s v="Yes"/>
  </r>
  <r>
    <x v="1090"/>
    <x v="129"/>
    <x v="0"/>
    <s v="South"/>
    <x v="0"/>
    <x v="0"/>
    <x v="3"/>
    <s v="South"/>
    <x v="1"/>
    <n v="3.8"/>
    <n v="93"/>
    <n v="2"/>
    <d v="2024-02-19T00:00:00"/>
    <n v="2"/>
    <n v="0"/>
    <x v="0"/>
    <x v="0"/>
    <n v="24.473684210526319"/>
    <n v="4"/>
    <s v="No"/>
  </r>
  <r>
    <x v="1091"/>
    <x v="22"/>
    <x v="5"/>
    <s v="West"/>
    <x v="6"/>
    <x v="2"/>
    <x v="3"/>
    <s v="West"/>
    <x v="1"/>
    <n v="12.8"/>
    <n v="111"/>
    <n v="6"/>
    <d v="2024-04-03T00:00:00"/>
    <n v="15"/>
    <n v="9"/>
    <x v="1"/>
    <x v="2"/>
    <n v="8.671875"/>
    <n v="5"/>
    <s v="Yes"/>
  </r>
  <r>
    <x v="1092"/>
    <x v="155"/>
    <x v="0"/>
    <s v="South"/>
    <x v="4"/>
    <x v="0"/>
    <x v="4"/>
    <s v="East"/>
    <x v="0"/>
    <n v="3.7"/>
    <n v="276"/>
    <n v="4"/>
    <d v="2024-03-11T00:00:00"/>
    <n v="3"/>
    <n v="-1"/>
    <x v="0"/>
    <x v="0"/>
    <n v="74.594594594594597"/>
    <n v="5"/>
    <s v="No"/>
  </r>
  <r>
    <x v="1093"/>
    <x v="83"/>
    <x v="0"/>
    <s v="South"/>
    <x v="0"/>
    <x v="2"/>
    <x v="2"/>
    <s v="North"/>
    <x v="0"/>
    <n v="14.7"/>
    <n v="426"/>
    <n v="8"/>
    <d v="2024-02-20T00:00:00"/>
    <n v="8"/>
    <n v="0"/>
    <x v="0"/>
    <x v="0"/>
    <n v="28.979591836734695"/>
    <n v="2"/>
    <s v="Yes"/>
  </r>
  <r>
    <x v="1094"/>
    <x v="14"/>
    <x v="1"/>
    <s v="West"/>
    <x v="5"/>
    <x v="2"/>
    <x v="1"/>
    <s v="East"/>
    <x v="0"/>
    <n v="46.3"/>
    <n v="259"/>
    <n v="8"/>
    <d v="2024-02-28T00:00:00"/>
    <n v="7"/>
    <n v="-1"/>
    <x v="0"/>
    <x v="0"/>
    <n v="5.5939524838012966"/>
    <n v="5"/>
    <s v="Yes"/>
  </r>
  <r>
    <x v="1095"/>
    <x v="160"/>
    <x v="2"/>
    <s v="North"/>
    <x v="0"/>
    <x v="0"/>
    <x v="4"/>
    <s v="East"/>
    <x v="0"/>
    <n v="21"/>
    <n v="265"/>
    <n v="4"/>
    <d v="2024-01-09T00:00:00"/>
    <n v="5"/>
    <n v="1"/>
    <x v="1"/>
    <x v="2"/>
    <n v="12.619047619047619"/>
    <n v="4"/>
    <s v="No"/>
  </r>
  <r>
    <x v="1096"/>
    <x v="131"/>
    <x v="3"/>
    <s v="South"/>
    <x v="2"/>
    <x v="2"/>
    <x v="1"/>
    <s v="South"/>
    <x v="1"/>
    <n v="16.7"/>
    <n v="155"/>
    <n v="6"/>
    <d v="2024-03-30T00:00:00"/>
    <n v="8"/>
    <n v="2"/>
    <x v="1"/>
    <x v="2"/>
    <n v="9.2814371257485035"/>
    <n v="3"/>
    <s v="No"/>
  </r>
  <r>
    <x v="1097"/>
    <x v="124"/>
    <x v="4"/>
    <s v="East"/>
    <x v="2"/>
    <x v="2"/>
    <x v="1"/>
    <s v="South"/>
    <x v="0"/>
    <n v="2.5"/>
    <n v="273"/>
    <n v="8"/>
    <d v="2024-03-30T00:00:00"/>
    <n v="9"/>
    <n v="1"/>
    <x v="1"/>
    <x v="2"/>
    <n v="109.2"/>
    <n v="4"/>
    <s v="Yes"/>
  </r>
  <r>
    <x v="1098"/>
    <x v="38"/>
    <x v="4"/>
    <s v="East"/>
    <x v="2"/>
    <x v="2"/>
    <x v="0"/>
    <s v="West"/>
    <x v="0"/>
    <n v="6.4"/>
    <n v="324"/>
    <n v="8"/>
    <d v="2024-03-15T00:00:00"/>
    <n v="9"/>
    <n v="1"/>
    <x v="1"/>
    <x v="2"/>
    <n v="50.625"/>
    <n v="2"/>
    <s v="Yes"/>
  </r>
  <r>
    <x v="1099"/>
    <x v="117"/>
    <x v="5"/>
    <s v="West"/>
    <x v="5"/>
    <x v="0"/>
    <x v="5"/>
    <s v="North"/>
    <x v="0"/>
    <n v="1.7"/>
    <n v="2075"/>
    <n v="4"/>
    <d v="2024-05-29T00:00:00"/>
    <n v="5"/>
    <n v="1"/>
    <x v="1"/>
    <x v="1"/>
    <n v="1220.5882352941176"/>
    <n v="0"/>
    <s v="No"/>
  </r>
  <r>
    <x v="1100"/>
    <x v="109"/>
    <x v="3"/>
    <s v="South"/>
    <x v="3"/>
    <x v="2"/>
    <x v="0"/>
    <s v="South"/>
    <x v="1"/>
    <n v="6.6"/>
    <n v="215"/>
    <n v="6"/>
    <d v="2024-06-24T00:00:00"/>
    <n v="6"/>
    <n v="0"/>
    <x v="0"/>
    <x v="0"/>
    <n v="32.575757575757578"/>
    <n v="5"/>
    <s v="Yes"/>
  </r>
  <r>
    <x v="1101"/>
    <x v="163"/>
    <x v="0"/>
    <s v="South"/>
    <x v="5"/>
    <x v="1"/>
    <x v="4"/>
    <s v="South"/>
    <x v="1"/>
    <n v="3.4"/>
    <n v="140"/>
    <n v="4"/>
    <d v="2024-04-18T00:00:00"/>
    <n v="4"/>
    <n v="0"/>
    <x v="0"/>
    <x v="0"/>
    <n v="41.176470588235297"/>
    <n v="4"/>
    <s v="Yes"/>
  </r>
  <r>
    <x v="1102"/>
    <x v="136"/>
    <x v="4"/>
    <s v="East"/>
    <x v="5"/>
    <x v="2"/>
    <x v="2"/>
    <s v="North"/>
    <x v="0"/>
    <n v="21.7"/>
    <n v="358"/>
    <n v="8"/>
    <d v="2024-03-20T00:00:00"/>
    <n v="9"/>
    <n v="1"/>
    <x v="1"/>
    <x v="2"/>
    <n v="16.497695852534562"/>
    <n v="3"/>
    <s v="No"/>
  </r>
  <r>
    <x v="1103"/>
    <x v="83"/>
    <x v="5"/>
    <s v="West"/>
    <x v="0"/>
    <x v="1"/>
    <x v="1"/>
    <s v="East"/>
    <x v="0"/>
    <n v="3.7"/>
    <n v="635"/>
    <n v="6"/>
    <d v="2024-02-23T00:00:00"/>
    <n v="11"/>
    <n v="5"/>
    <x v="1"/>
    <x v="2"/>
    <n v="171.62162162162161"/>
    <n v="5"/>
    <s v="No"/>
  </r>
  <r>
    <x v="1104"/>
    <x v="76"/>
    <x v="5"/>
    <s v="West"/>
    <x v="2"/>
    <x v="0"/>
    <x v="5"/>
    <s v="North"/>
    <x v="0"/>
    <n v="2.2999999999999998"/>
    <n v="992"/>
    <n v="4"/>
    <d v="2024-01-31T00:00:00"/>
    <n v="4"/>
    <n v="0"/>
    <x v="0"/>
    <x v="0"/>
    <n v="431.304347826087"/>
    <n v="5"/>
    <s v="No"/>
  </r>
  <r>
    <x v="1105"/>
    <x v="102"/>
    <x v="3"/>
    <s v="South"/>
    <x v="1"/>
    <x v="1"/>
    <x v="3"/>
    <s v="West"/>
    <x v="0"/>
    <n v="10.7"/>
    <n v="364"/>
    <n v="6"/>
    <d v="2024-04-14T00:00:00"/>
    <n v="7"/>
    <n v="1"/>
    <x v="1"/>
    <x v="2"/>
    <n v="34.018691588785046"/>
    <n v="4"/>
    <s v="No"/>
  </r>
  <r>
    <x v="1106"/>
    <x v="155"/>
    <x v="4"/>
    <s v="East"/>
    <x v="2"/>
    <x v="2"/>
    <x v="4"/>
    <s v="West"/>
    <x v="0"/>
    <n v="7.5"/>
    <n v="261"/>
    <n v="8"/>
    <d v="2024-03-16T00:00:00"/>
    <n v="8"/>
    <n v="0"/>
    <x v="0"/>
    <x v="0"/>
    <n v="34.799999999999997"/>
    <n v="5"/>
    <s v="Yes"/>
  </r>
  <r>
    <x v="1107"/>
    <x v="2"/>
    <x v="3"/>
    <s v="South"/>
    <x v="0"/>
    <x v="2"/>
    <x v="5"/>
    <s v="South"/>
    <x v="1"/>
    <n v="14.2"/>
    <n v="223"/>
    <n v="6"/>
    <d v="2024-05-29T00:00:00"/>
    <n v="6"/>
    <n v="0"/>
    <x v="0"/>
    <x v="0"/>
    <n v="15.704225352112676"/>
    <n v="4"/>
    <s v="Yes"/>
  </r>
  <r>
    <x v="1108"/>
    <x v="54"/>
    <x v="5"/>
    <s v="West"/>
    <x v="0"/>
    <x v="0"/>
    <x v="4"/>
    <s v="North"/>
    <x v="0"/>
    <n v="43.3"/>
    <n v="229"/>
    <n v="4"/>
    <d v="2024-02-14T00:00:00"/>
    <n v="5"/>
    <n v="1"/>
    <x v="1"/>
    <x v="2"/>
    <n v="5.2886836027713633"/>
    <n v="3"/>
    <s v="No"/>
  </r>
  <r>
    <x v="1109"/>
    <x v="80"/>
    <x v="0"/>
    <s v="South"/>
    <x v="0"/>
    <x v="0"/>
    <x v="4"/>
    <s v="South"/>
    <x v="1"/>
    <n v="11.8"/>
    <n v="99"/>
    <n v="2"/>
    <d v="2024-04-25T00:00:00"/>
    <n v="4"/>
    <n v="2"/>
    <x v="1"/>
    <x v="2"/>
    <n v="8.3898305084745761"/>
    <n v="4"/>
    <s v="No"/>
  </r>
  <r>
    <x v="1110"/>
    <x v="46"/>
    <x v="4"/>
    <s v="East"/>
    <x v="1"/>
    <x v="2"/>
    <x v="5"/>
    <s v="East"/>
    <x v="1"/>
    <n v="3.7"/>
    <n v="900"/>
    <n v="6"/>
    <d v="2024-01-10T00:00:00"/>
    <n v="7"/>
    <n v="1"/>
    <x v="1"/>
    <x v="2"/>
    <n v="243.24324324324323"/>
    <n v="3"/>
    <s v="Yes"/>
  </r>
  <r>
    <x v="1111"/>
    <x v="99"/>
    <x v="1"/>
    <s v="West"/>
    <x v="4"/>
    <x v="1"/>
    <x v="1"/>
    <s v="South"/>
    <x v="0"/>
    <n v="16.7"/>
    <n v="386"/>
    <n v="6"/>
    <d v="2024-02-03T00:00:00"/>
    <n v="6"/>
    <n v="0"/>
    <x v="0"/>
    <x v="0"/>
    <n v="23.113772455089823"/>
    <n v="4"/>
    <s v="No"/>
  </r>
  <r>
    <x v="1112"/>
    <x v="53"/>
    <x v="5"/>
    <s v="West"/>
    <x v="1"/>
    <x v="2"/>
    <x v="1"/>
    <s v="North"/>
    <x v="0"/>
    <n v="19.600000000000001"/>
    <n v="355"/>
    <n v="8"/>
    <d v="2024-01-24T00:00:00"/>
    <n v="7"/>
    <n v="-1"/>
    <x v="0"/>
    <x v="0"/>
    <n v="18.112244897959183"/>
    <n v="2"/>
    <s v="No"/>
  </r>
  <r>
    <x v="1113"/>
    <x v="153"/>
    <x v="5"/>
    <s v="West"/>
    <x v="0"/>
    <x v="1"/>
    <x v="5"/>
    <s v="North"/>
    <x v="0"/>
    <n v="17.5"/>
    <n v="1447"/>
    <n v="6"/>
    <d v="2024-02-14T00:00:00"/>
    <n v="7"/>
    <n v="1"/>
    <x v="1"/>
    <x v="2"/>
    <n v="82.685714285714283"/>
    <n v="3"/>
    <s v="No"/>
  </r>
  <r>
    <x v="1114"/>
    <x v="105"/>
    <x v="1"/>
    <s v="West"/>
    <x v="4"/>
    <x v="0"/>
    <x v="4"/>
    <s v="East"/>
    <x v="0"/>
    <n v="7"/>
    <n v="245"/>
    <n v="4"/>
    <d v="2024-06-23T00:00:00"/>
    <n v="4"/>
    <n v="0"/>
    <x v="0"/>
    <x v="0"/>
    <n v="35"/>
    <n v="5"/>
    <s v="No"/>
  </r>
  <r>
    <x v="1115"/>
    <x v="144"/>
    <x v="1"/>
    <s v="West"/>
    <x v="0"/>
    <x v="2"/>
    <x v="5"/>
    <s v="North"/>
    <x v="0"/>
    <n v="4.3"/>
    <n v="994"/>
    <n v="8"/>
    <d v="2024-05-02T00:00:00"/>
    <n v="7"/>
    <n v="-1"/>
    <x v="0"/>
    <x v="0"/>
    <n v="231.16279069767444"/>
    <n v="4"/>
    <s v="No"/>
  </r>
  <r>
    <x v="1116"/>
    <x v="17"/>
    <x v="3"/>
    <s v="South"/>
    <x v="0"/>
    <x v="0"/>
    <x v="4"/>
    <s v="South"/>
    <x v="1"/>
    <n v="2.4"/>
    <n v="191"/>
    <n v="2"/>
    <d v="2024-06-07T00:00:00"/>
    <n v="5"/>
    <n v="3"/>
    <x v="1"/>
    <x v="2"/>
    <n v="79.583333333333343"/>
    <n v="3"/>
    <s v="No"/>
  </r>
  <r>
    <x v="1117"/>
    <x v="107"/>
    <x v="2"/>
    <s v="North"/>
    <x v="0"/>
    <x v="2"/>
    <x v="2"/>
    <s v="North"/>
    <x v="1"/>
    <n v="16.5"/>
    <n v="307"/>
    <n v="6"/>
    <d v="2024-06-10T00:00:00"/>
    <n v="7"/>
    <n v="1"/>
    <x v="1"/>
    <x v="2"/>
    <n v="18.606060606060606"/>
    <n v="2"/>
    <s v="No"/>
  </r>
  <r>
    <x v="1118"/>
    <x v="98"/>
    <x v="0"/>
    <s v="South"/>
    <x v="2"/>
    <x v="1"/>
    <x v="4"/>
    <s v="East"/>
    <x v="0"/>
    <n v="1.7"/>
    <n v="205"/>
    <n v="6"/>
    <d v="2024-01-10T00:00:00"/>
    <n v="5"/>
    <n v="-1"/>
    <x v="0"/>
    <x v="0"/>
    <n v="120.58823529411765"/>
    <n v="3"/>
    <s v="No"/>
  </r>
  <r>
    <x v="1119"/>
    <x v="68"/>
    <x v="3"/>
    <s v="South"/>
    <x v="1"/>
    <x v="0"/>
    <x v="1"/>
    <s v="South"/>
    <x v="1"/>
    <n v="1.5"/>
    <n v="807"/>
    <n v="2"/>
    <d v="2024-06-11T00:00:00"/>
    <n v="2"/>
    <n v="0"/>
    <x v="0"/>
    <x v="0"/>
    <n v="538"/>
    <n v="5"/>
    <s v="Yes"/>
  </r>
  <r>
    <x v="1120"/>
    <x v="91"/>
    <x v="4"/>
    <s v="East"/>
    <x v="0"/>
    <x v="1"/>
    <x v="2"/>
    <s v="West"/>
    <x v="0"/>
    <n v="66.2"/>
    <n v="502"/>
    <n v="6"/>
    <d v="2024-04-27T00:00:00"/>
    <n v="15"/>
    <n v="9"/>
    <x v="1"/>
    <x v="2"/>
    <n v="7.5830815709969785"/>
    <n v="2"/>
    <s v="Yes"/>
  </r>
  <r>
    <x v="1121"/>
    <x v="138"/>
    <x v="3"/>
    <s v="South"/>
    <x v="2"/>
    <x v="2"/>
    <x v="2"/>
    <s v="North"/>
    <x v="0"/>
    <n v="8.4"/>
    <n v="324"/>
    <n v="8"/>
    <d v="2024-06-03T00:00:00"/>
    <n v="9"/>
    <n v="1"/>
    <x v="1"/>
    <x v="2"/>
    <n v="38.571428571428569"/>
    <n v="2"/>
    <s v="Yes"/>
  </r>
  <r>
    <x v="1122"/>
    <x v="122"/>
    <x v="4"/>
    <s v="East"/>
    <x v="0"/>
    <x v="1"/>
    <x v="0"/>
    <s v="West"/>
    <x v="0"/>
    <n v="15.6"/>
    <n v="201"/>
    <n v="6"/>
    <d v="2024-01-19T00:00:00"/>
    <n v="7"/>
    <n v="1"/>
    <x v="1"/>
    <x v="2"/>
    <n v="12.884615384615385"/>
    <n v="3"/>
    <s v="No"/>
  </r>
  <r>
    <x v="1123"/>
    <x v="103"/>
    <x v="4"/>
    <s v="East"/>
    <x v="5"/>
    <x v="0"/>
    <x v="3"/>
    <s v="South"/>
    <x v="0"/>
    <n v="58.6"/>
    <n v="300"/>
    <n v="4"/>
    <d v="2024-04-15T00:00:00"/>
    <n v="5"/>
    <n v="1"/>
    <x v="1"/>
    <x v="2"/>
    <n v="5.1194539249146755"/>
    <n v="3"/>
    <s v="No"/>
  </r>
  <r>
    <x v="1124"/>
    <x v="68"/>
    <x v="2"/>
    <s v="North"/>
    <x v="4"/>
    <x v="1"/>
    <x v="2"/>
    <s v="South"/>
    <x v="0"/>
    <n v="1.1000000000000001"/>
    <n v="483"/>
    <n v="6"/>
    <d v="2024-06-20T00:00:00"/>
    <n v="11"/>
    <n v="5"/>
    <x v="1"/>
    <x v="2"/>
    <n v="439.09090909090907"/>
    <n v="2"/>
    <s v="No"/>
  </r>
  <r>
    <x v="1125"/>
    <x v="136"/>
    <x v="4"/>
    <s v="East"/>
    <x v="4"/>
    <x v="2"/>
    <x v="5"/>
    <s v="North"/>
    <x v="0"/>
    <n v="56.8"/>
    <n v="766"/>
    <n v="8"/>
    <d v="2024-03-18T00:00:00"/>
    <n v="7"/>
    <n v="-1"/>
    <x v="0"/>
    <x v="0"/>
    <n v="13.485915492957748"/>
    <n v="5"/>
    <s v="Yes"/>
  </r>
  <r>
    <x v="1126"/>
    <x v="65"/>
    <x v="5"/>
    <s v="West"/>
    <x v="4"/>
    <x v="2"/>
    <x v="3"/>
    <s v="North"/>
    <x v="0"/>
    <n v="3.4"/>
    <n v="269"/>
    <n v="8"/>
    <d v="2024-03-27T00:00:00"/>
    <n v="7"/>
    <n v="-1"/>
    <x v="0"/>
    <x v="0"/>
    <n v="79.117647058823536"/>
    <n v="4"/>
    <s v="No"/>
  </r>
  <r>
    <x v="1127"/>
    <x v="49"/>
    <x v="2"/>
    <s v="North"/>
    <x v="5"/>
    <x v="1"/>
    <x v="1"/>
    <s v="West"/>
    <x v="0"/>
    <n v="20.7"/>
    <n v="461"/>
    <n v="6"/>
    <d v="2024-07-03T00:00:00"/>
    <n v="12"/>
    <n v="6"/>
    <x v="1"/>
    <x v="2"/>
    <n v="22.270531400966185"/>
    <n v="3"/>
    <s v="Yes"/>
  </r>
  <r>
    <x v="1128"/>
    <x v="127"/>
    <x v="5"/>
    <s v="West"/>
    <x v="2"/>
    <x v="0"/>
    <x v="5"/>
    <s v="West"/>
    <x v="1"/>
    <n v="1.5"/>
    <n v="1643"/>
    <n v="2"/>
    <d v="2024-06-02T00:00:00"/>
    <n v="5"/>
    <n v="3"/>
    <x v="1"/>
    <x v="2"/>
    <n v="1095.3333333333333"/>
    <n v="1"/>
    <s v="No"/>
  </r>
  <r>
    <x v="1129"/>
    <x v="91"/>
    <x v="3"/>
    <s v="South"/>
    <x v="5"/>
    <x v="2"/>
    <x v="2"/>
    <s v="East"/>
    <x v="0"/>
    <n v="18.5"/>
    <n v="387"/>
    <n v="8"/>
    <d v="2024-04-19T00:00:00"/>
    <n v="7"/>
    <n v="-1"/>
    <x v="0"/>
    <x v="0"/>
    <n v="20.918918918918919"/>
    <n v="5"/>
    <s v="No"/>
  </r>
  <r>
    <x v="1130"/>
    <x v="58"/>
    <x v="5"/>
    <s v="West"/>
    <x v="5"/>
    <x v="2"/>
    <x v="2"/>
    <s v="North"/>
    <x v="0"/>
    <n v="13.9"/>
    <n v="549"/>
    <n v="8"/>
    <d v="2024-04-06T00:00:00"/>
    <n v="9"/>
    <n v="1"/>
    <x v="1"/>
    <x v="2"/>
    <n v="39.49640287769784"/>
    <n v="1"/>
    <s v="No"/>
  </r>
  <r>
    <x v="1131"/>
    <x v="47"/>
    <x v="2"/>
    <s v="North"/>
    <x v="2"/>
    <x v="0"/>
    <x v="1"/>
    <s v="South"/>
    <x v="0"/>
    <n v="10.5"/>
    <n v="276"/>
    <n v="4"/>
    <d v="2024-05-05T00:00:00"/>
    <n v="4"/>
    <n v="0"/>
    <x v="0"/>
    <x v="0"/>
    <n v="26.285714285714285"/>
    <n v="2"/>
    <s v="No"/>
  </r>
  <r>
    <x v="1132"/>
    <x v="128"/>
    <x v="1"/>
    <s v="West"/>
    <x v="2"/>
    <x v="2"/>
    <x v="2"/>
    <s v="East"/>
    <x v="0"/>
    <n v="2.8"/>
    <n v="398"/>
    <n v="8"/>
    <d v="2024-05-01T00:00:00"/>
    <n v="7"/>
    <n v="-1"/>
    <x v="0"/>
    <x v="0"/>
    <n v="142.14285714285714"/>
    <n v="4"/>
    <s v="No"/>
  </r>
  <r>
    <x v="1133"/>
    <x v="44"/>
    <x v="4"/>
    <s v="East"/>
    <x v="2"/>
    <x v="0"/>
    <x v="1"/>
    <s v="West"/>
    <x v="0"/>
    <n v="3.8"/>
    <n v="296"/>
    <n v="4"/>
    <d v="2024-04-14T00:00:00"/>
    <n v="5"/>
    <n v="1"/>
    <x v="1"/>
    <x v="2"/>
    <n v="77.89473684210526"/>
    <n v="3"/>
    <s v="Yes"/>
  </r>
  <r>
    <x v="1134"/>
    <x v="40"/>
    <x v="3"/>
    <s v="South"/>
    <x v="2"/>
    <x v="0"/>
    <x v="1"/>
    <s v="South"/>
    <x v="1"/>
    <n v="14"/>
    <n v="336"/>
    <n v="2"/>
    <d v="2024-05-07T00:00:00"/>
    <n v="3"/>
    <n v="1"/>
    <x v="1"/>
    <x v="2"/>
    <n v="24"/>
    <n v="1"/>
    <s v="Yes"/>
  </r>
  <r>
    <x v="1135"/>
    <x v="11"/>
    <x v="0"/>
    <s v="South"/>
    <x v="5"/>
    <x v="2"/>
    <x v="4"/>
    <s v="North"/>
    <x v="0"/>
    <n v="44.6"/>
    <n v="151"/>
    <n v="8"/>
    <d v="2024-02-18T00:00:00"/>
    <n v="15"/>
    <n v="7"/>
    <x v="1"/>
    <x v="2"/>
    <n v="3.3856502242152464"/>
    <n v="4"/>
    <s v="No"/>
  </r>
  <r>
    <x v="1136"/>
    <x v="22"/>
    <x v="1"/>
    <s v="West"/>
    <x v="1"/>
    <x v="1"/>
    <x v="5"/>
    <s v="South"/>
    <x v="0"/>
    <n v="7.4"/>
    <n v="802"/>
    <n v="6"/>
    <d v="2024-03-26T00:00:00"/>
    <n v="7"/>
    <n v="1"/>
    <x v="1"/>
    <x v="3"/>
    <n v="108.37837837837837"/>
    <n v="0"/>
    <s v="Yes"/>
  </r>
  <r>
    <x v="1137"/>
    <x v="124"/>
    <x v="2"/>
    <s v="North"/>
    <x v="0"/>
    <x v="1"/>
    <x v="5"/>
    <s v="East"/>
    <x v="0"/>
    <n v="13.8"/>
    <n v="790"/>
    <n v="6"/>
    <d v="2024-03-27T00:00:00"/>
    <n v="6"/>
    <n v="0"/>
    <x v="0"/>
    <x v="0"/>
    <n v="57.246376811594203"/>
    <n v="2"/>
    <s v="No"/>
  </r>
  <r>
    <x v="1138"/>
    <x v="96"/>
    <x v="1"/>
    <s v="West"/>
    <x v="2"/>
    <x v="1"/>
    <x v="1"/>
    <s v="North"/>
    <x v="0"/>
    <n v="36.700000000000003"/>
    <n v="414"/>
    <n v="6"/>
    <d v="2024-01-26T00:00:00"/>
    <n v="7"/>
    <n v="1"/>
    <x v="1"/>
    <x v="2"/>
    <n v="11.280653950953678"/>
    <n v="1"/>
    <s v="No"/>
  </r>
  <r>
    <x v="1139"/>
    <x v="42"/>
    <x v="0"/>
    <s v="South"/>
    <x v="5"/>
    <x v="1"/>
    <x v="4"/>
    <s v="South"/>
    <x v="1"/>
    <n v="16.5"/>
    <n v="80"/>
    <n v="4"/>
    <d v="2024-06-01T00:00:00"/>
    <n v="6"/>
    <n v="2"/>
    <x v="1"/>
    <x v="2"/>
    <n v="4.8484848484848486"/>
    <n v="1"/>
    <s v="No"/>
  </r>
  <r>
    <x v="1140"/>
    <x v="85"/>
    <x v="2"/>
    <s v="North"/>
    <x v="0"/>
    <x v="1"/>
    <x v="5"/>
    <s v="West"/>
    <x v="0"/>
    <n v="27.6"/>
    <n v="1157"/>
    <n v="6"/>
    <d v="2024-05-09T00:00:00"/>
    <n v="12"/>
    <n v="6"/>
    <x v="1"/>
    <x v="2"/>
    <n v="41.920289855072461"/>
    <n v="4"/>
    <s v="No"/>
  </r>
  <r>
    <x v="1141"/>
    <x v="88"/>
    <x v="2"/>
    <s v="North"/>
    <x v="0"/>
    <x v="0"/>
    <x v="3"/>
    <s v="East"/>
    <x v="0"/>
    <n v="3.3"/>
    <n v="471"/>
    <n v="4"/>
    <d v="2024-01-21T00:00:00"/>
    <n v="3"/>
    <n v="-1"/>
    <x v="0"/>
    <x v="0"/>
    <n v="142.72727272727275"/>
    <n v="4"/>
    <s v="No"/>
  </r>
  <r>
    <x v="1142"/>
    <x v="41"/>
    <x v="0"/>
    <s v="South"/>
    <x v="4"/>
    <x v="1"/>
    <x v="5"/>
    <s v="East"/>
    <x v="0"/>
    <n v="16.8"/>
    <n v="1777"/>
    <n v="6"/>
    <d v="2024-07-03T00:00:00"/>
    <n v="8"/>
    <n v="2"/>
    <x v="1"/>
    <x v="2"/>
    <n v="105.77380952380952"/>
    <n v="3"/>
    <s v="Yes"/>
  </r>
  <r>
    <x v="1143"/>
    <x v="61"/>
    <x v="2"/>
    <s v="North"/>
    <x v="0"/>
    <x v="1"/>
    <x v="3"/>
    <s v="North"/>
    <x v="1"/>
    <n v="3.9"/>
    <n v="80"/>
    <n v="4"/>
    <d v="2024-06-21T00:00:00"/>
    <n v="4"/>
    <n v="0"/>
    <x v="0"/>
    <x v="0"/>
    <n v="20.512820512820515"/>
    <n v="3"/>
    <s v="No"/>
  </r>
  <r>
    <x v="1144"/>
    <x v="121"/>
    <x v="5"/>
    <s v="West"/>
    <x v="7"/>
    <x v="2"/>
    <x v="1"/>
    <s v="East"/>
    <x v="0"/>
    <n v="7.8"/>
    <n v="227"/>
    <n v="8"/>
    <d v="2024-02-16T00:00:00"/>
    <n v="10"/>
    <n v="2"/>
    <x v="1"/>
    <x v="2"/>
    <n v="29.102564102564102"/>
    <n v="2"/>
    <s v="No"/>
  </r>
  <r>
    <x v="1145"/>
    <x v="95"/>
    <x v="1"/>
    <s v="West"/>
    <x v="4"/>
    <x v="0"/>
    <x v="4"/>
    <s v="North"/>
    <x v="0"/>
    <n v="1.2"/>
    <n v="295"/>
    <n v="4"/>
    <d v="2024-02-07T00:00:00"/>
    <n v="5"/>
    <n v="1"/>
    <x v="1"/>
    <x v="2"/>
    <n v="245.83333333333334"/>
    <n v="1"/>
    <s v="Yes"/>
  </r>
  <r>
    <x v="1146"/>
    <x v="56"/>
    <x v="3"/>
    <s v="South"/>
    <x v="1"/>
    <x v="0"/>
    <x v="2"/>
    <s v="West"/>
    <x v="0"/>
    <n v="29.8"/>
    <n v="467"/>
    <n v="4"/>
    <d v="2024-06-06T00:00:00"/>
    <n v="5"/>
    <n v="1"/>
    <x v="1"/>
    <x v="2"/>
    <n v="15.671140939597315"/>
    <n v="3"/>
    <s v="Yes"/>
  </r>
  <r>
    <x v="1147"/>
    <x v="118"/>
    <x v="3"/>
    <s v="South"/>
    <x v="2"/>
    <x v="0"/>
    <x v="1"/>
    <s v="West"/>
    <x v="0"/>
    <n v="27.9"/>
    <n v="886"/>
    <n v="4"/>
    <d v="2024-06-11T00:00:00"/>
    <n v="3"/>
    <n v="-1"/>
    <x v="0"/>
    <x v="0"/>
    <n v="31.756272401433694"/>
    <n v="3"/>
    <s v="No"/>
  </r>
  <r>
    <x v="1148"/>
    <x v="122"/>
    <x v="1"/>
    <s v="West"/>
    <x v="4"/>
    <x v="1"/>
    <x v="1"/>
    <s v="South"/>
    <x v="0"/>
    <n v="9.4"/>
    <n v="334"/>
    <n v="6"/>
    <d v="2024-01-18T00:00:00"/>
    <n v="6"/>
    <n v="0"/>
    <x v="0"/>
    <x v="0"/>
    <n v="35.531914893617021"/>
    <n v="2"/>
    <s v="No"/>
  </r>
  <r>
    <x v="1149"/>
    <x v="106"/>
    <x v="4"/>
    <s v="East"/>
    <x v="0"/>
    <x v="0"/>
    <x v="5"/>
    <s v="East"/>
    <x v="1"/>
    <n v="1.3"/>
    <n v="1904"/>
    <n v="2"/>
    <d v="2024-04-21T00:00:00"/>
    <n v="2"/>
    <n v="0"/>
    <x v="0"/>
    <x v="0"/>
    <n v="1464.6153846153845"/>
    <n v="4"/>
    <s v="No"/>
  </r>
  <r>
    <x v="1150"/>
    <x v="129"/>
    <x v="4"/>
    <s v="East"/>
    <x v="0"/>
    <x v="2"/>
    <x v="2"/>
    <s v="North"/>
    <x v="0"/>
    <n v="10.199999999999999"/>
    <n v="229"/>
    <n v="8"/>
    <d v="2024-02-25T00:00:00"/>
    <n v="8"/>
    <n v="0"/>
    <x v="0"/>
    <x v="0"/>
    <n v="22.450980392156865"/>
    <n v="2"/>
    <s v="No"/>
  </r>
  <r>
    <x v="1151"/>
    <x v="94"/>
    <x v="3"/>
    <s v="South"/>
    <x v="3"/>
    <x v="0"/>
    <x v="1"/>
    <s v="West"/>
    <x v="0"/>
    <n v="43.8"/>
    <n v="782"/>
    <n v="4"/>
    <d v="2024-04-09T00:00:00"/>
    <n v="4"/>
    <n v="0"/>
    <x v="0"/>
    <x v="0"/>
    <n v="17.853881278538815"/>
    <n v="4"/>
    <s v="No"/>
  </r>
  <r>
    <x v="1152"/>
    <x v="35"/>
    <x v="5"/>
    <s v="West"/>
    <x v="1"/>
    <x v="1"/>
    <x v="1"/>
    <s v="North"/>
    <x v="0"/>
    <n v="7.7"/>
    <n v="515"/>
    <n v="6"/>
    <d v="2024-01-27T00:00:00"/>
    <n v="6"/>
    <n v="0"/>
    <x v="0"/>
    <x v="0"/>
    <n v="66.883116883116884"/>
    <n v="5"/>
    <s v="No"/>
  </r>
  <r>
    <x v="1153"/>
    <x v="139"/>
    <x v="0"/>
    <s v="South"/>
    <x v="1"/>
    <x v="1"/>
    <x v="0"/>
    <s v="South"/>
    <x v="1"/>
    <n v="75.2"/>
    <n v="152"/>
    <n v="4"/>
    <d v="2024-01-20T00:00:00"/>
    <n v="4"/>
    <n v="0"/>
    <x v="0"/>
    <x v="0"/>
    <n v="2.021276595744681"/>
    <n v="3"/>
    <s v="Yes"/>
  </r>
  <r>
    <x v="1154"/>
    <x v="145"/>
    <x v="1"/>
    <s v="West"/>
    <x v="1"/>
    <x v="0"/>
    <x v="3"/>
    <s v="West"/>
    <x v="1"/>
    <n v="1.3"/>
    <n v="96"/>
    <n v="2"/>
    <d v="2024-06-14T00:00:00"/>
    <n v="1"/>
    <n v="-1"/>
    <x v="0"/>
    <x v="0"/>
    <n v="73.84615384615384"/>
    <n v="5"/>
    <s v="No"/>
  </r>
  <r>
    <x v="1155"/>
    <x v="60"/>
    <x v="1"/>
    <s v="West"/>
    <x v="1"/>
    <x v="1"/>
    <x v="2"/>
    <s v="South"/>
    <x v="0"/>
    <n v="4.5"/>
    <n v="581"/>
    <n v="6"/>
    <d v="2024-03-08T00:00:00"/>
    <n v="7"/>
    <n v="1"/>
    <x v="1"/>
    <x v="2"/>
    <n v="129.11111111111111"/>
    <n v="4"/>
    <s v="Yes"/>
  </r>
  <r>
    <x v="1156"/>
    <x v="10"/>
    <x v="1"/>
    <s v="West"/>
    <x v="2"/>
    <x v="0"/>
    <x v="3"/>
    <s v="West"/>
    <x v="1"/>
    <n v="2.1"/>
    <n v="322"/>
    <n v="2"/>
    <d v="2024-06-21T00:00:00"/>
    <n v="1"/>
    <n v="-1"/>
    <x v="0"/>
    <x v="0"/>
    <n v="153.33333333333331"/>
    <n v="5"/>
    <s v="Yes"/>
  </r>
  <r>
    <x v="1157"/>
    <x v="71"/>
    <x v="5"/>
    <s v="West"/>
    <x v="4"/>
    <x v="1"/>
    <x v="5"/>
    <s v="North"/>
    <x v="0"/>
    <n v="6.7"/>
    <n v="1217"/>
    <n v="6"/>
    <d v="2024-06-21T00:00:00"/>
    <n v="7"/>
    <n v="1"/>
    <x v="1"/>
    <x v="2"/>
    <n v="181.64179104477611"/>
    <n v="3"/>
    <s v="Yes"/>
  </r>
  <r>
    <x v="1158"/>
    <x v="71"/>
    <x v="4"/>
    <s v="East"/>
    <x v="7"/>
    <x v="1"/>
    <x v="4"/>
    <s v="North"/>
    <x v="0"/>
    <n v="15.8"/>
    <n v="188"/>
    <n v="6"/>
    <d v="2024-06-21T00:00:00"/>
    <n v="7"/>
    <n v="1"/>
    <x v="1"/>
    <x v="2"/>
    <n v="11.898734177215189"/>
    <n v="4"/>
    <s v="No"/>
  </r>
  <r>
    <x v="1159"/>
    <x v="66"/>
    <x v="5"/>
    <s v="West"/>
    <x v="5"/>
    <x v="0"/>
    <x v="4"/>
    <s v="South"/>
    <x v="0"/>
    <n v="8.1999999999999993"/>
    <n v="242"/>
    <n v="4"/>
    <d v="2024-02-23T00:00:00"/>
    <n v="8"/>
    <n v="4"/>
    <x v="1"/>
    <x v="2"/>
    <n v="29.512195121951223"/>
    <n v="2"/>
    <s v="Yes"/>
  </r>
  <r>
    <x v="1160"/>
    <x v="156"/>
    <x v="0"/>
    <s v="South"/>
    <x v="7"/>
    <x v="1"/>
    <x v="5"/>
    <s v="South"/>
    <x v="1"/>
    <n v="42.4"/>
    <n v="442"/>
    <n v="4"/>
    <d v="2024-05-16T00:00:00"/>
    <n v="4"/>
    <n v="0"/>
    <x v="0"/>
    <x v="0"/>
    <n v="10.424528301886793"/>
    <n v="4"/>
    <s v="Yes"/>
  </r>
  <r>
    <x v="1161"/>
    <x v="14"/>
    <x v="5"/>
    <s v="West"/>
    <x v="5"/>
    <x v="2"/>
    <x v="1"/>
    <s v="South"/>
    <x v="0"/>
    <n v="5.6"/>
    <n v="420"/>
    <n v="8"/>
    <d v="2024-02-28T00:00:00"/>
    <n v="7"/>
    <n v="-1"/>
    <x v="0"/>
    <x v="0"/>
    <n v="75"/>
    <n v="4"/>
    <s v="No"/>
  </r>
  <r>
    <x v="1162"/>
    <x v="39"/>
    <x v="0"/>
    <s v="South"/>
    <x v="0"/>
    <x v="1"/>
    <x v="0"/>
    <s v="South"/>
    <x v="1"/>
    <n v="13.5"/>
    <n v="80"/>
    <n v="4"/>
    <d v="2024-05-24T00:00:00"/>
    <n v="4"/>
    <n v="0"/>
    <x v="0"/>
    <x v="0"/>
    <n v="5.9259259259259256"/>
    <n v="5"/>
    <s v="No"/>
  </r>
  <r>
    <x v="1163"/>
    <x v="146"/>
    <x v="4"/>
    <s v="East"/>
    <x v="4"/>
    <x v="1"/>
    <x v="4"/>
    <s v="East"/>
    <x v="1"/>
    <n v="16.100000000000001"/>
    <n v="129"/>
    <n v="4"/>
    <d v="2024-01-12T00:00:00"/>
    <n v="6"/>
    <n v="2"/>
    <x v="1"/>
    <x v="2"/>
    <n v="8.012422360248447"/>
    <n v="3"/>
    <s v="No"/>
  </r>
  <r>
    <x v="1164"/>
    <x v="153"/>
    <x v="3"/>
    <s v="South"/>
    <x v="4"/>
    <x v="2"/>
    <x v="4"/>
    <s v="West"/>
    <x v="0"/>
    <n v="4.5"/>
    <n v="210"/>
    <n v="8"/>
    <d v="2024-02-14T00:00:00"/>
    <n v="7"/>
    <n v="-1"/>
    <x v="0"/>
    <x v="0"/>
    <n v="46.666666666666664"/>
    <n v="5"/>
    <s v="No"/>
  </r>
  <r>
    <x v="1165"/>
    <x v="164"/>
    <x v="0"/>
    <s v="South"/>
    <x v="4"/>
    <x v="2"/>
    <x v="2"/>
    <s v="West"/>
    <x v="0"/>
    <n v="0.9"/>
    <n v="370"/>
    <n v="8"/>
    <d v="2024-06-14T00:00:00"/>
    <n v="8"/>
    <n v="0"/>
    <x v="0"/>
    <x v="0"/>
    <n v="411.11111111111109"/>
    <n v="3"/>
    <s v="No"/>
  </r>
  <r>
    <x v="1166"/>
    <x v="68"/>
    <x v="4"/>
    <s v="East"/>
    <x v="2"/>
    <x v="2"/>
    <x v="1"/>
    <s v="North"/>
    <x v="0"/>
    <n v="20.9"/>
    <n v="444"/>
    <n v="8"/>
    <d v="2024-06-18T00:00:00"/>
    <n v="9"/>
    <n v="1"/>
    <x v="1"/>
    <x v="2"/>
    <n v="21.244019138755981"/>
    <n v="4"/>
    <s v="No"/>
  </r>
  <r>
    <x v="1167"/>
    <x v="38"/>
    <x v="5"/>
    <s v="West"/>
    <x v="4"/>
    <x v="1"/>
    <x v="4"/>
    <s v="South"/>
    <x v="0"/>
    <n v="7"/>
    <n v="158"/>
    <n v="6"/>
    <d v="2024-03-13T00:00:00"/>
    <n v="7"/>
    <n v="1"/>
    <x v="1"/>
    <x v="2"/>
    <n v="22.571428571428573"/>
    <n v="3"/>
    <s v="Yes"/>
  </r>
  <r>
    <x v="1168"/>
    <x v="13"/>
    <x v="4"/>
    <s v="East"/>
    <x v="1"/>
    <x v="0"/>
    <x v="2"/>
    <s v="North"/>
    <x v="0"/>
    <n v="46.2"/>
    <n v="986"/>
    <n v="4"/>
    <d v="2024-01-07T00:00:00"/>
    <n v="5"/>
    <n v="1"/>
    <x v="1"/>
    <x v="2"/>
    <n v="21.341991341991342"/>
    <n v="3"/>
    <s v="No"/>
  </r>
  <r>
    <x v="1169"/>
    <x v="94"/>
    <x v="0"/>
    <s v="South"/>
    <x v="0"/>
    <x v="2"/>
    <x v="5"/>
    <s v="South"/>
    <x v="1"/>
    <n v="1.8"/>
    <n v="972"/>
    <n v="6"/>
    <d v="2024-04-10T00:00:00"/>
    <n v="5"/>
    <n v="-1"/>
    <x v="0"/>
    <x v="0"/>
    <n v="540"/>
    <n v="4"/>
    <s v="Yes"/>
  </r>
  <r>
    <x v="1170"/>
    <x v="114"/>
    <x v="4"/>
    <s v="East"/>
    <x v="0"/>
    <x v="0"/>
    <x v="0"/>
    <s v="East"/>
    <x v="1"/>
    <n v="1.4"/>
    <n v="132"/>
    <n v="2"/>
    <d v="2024-02-21T00:00:00"/>
    <n v="11"/>
    <n v="9"/>
    <x v="1"/>
    <x v="2"/>
    <n v="94.285714285714292"/>
    <n v="3"/>
    <s v="Yes"/>
  </r>
  <r>
    <x v="1171"/>
    <x v="56"/>
    <x v="1"/>
    <s v="West"/>
    <x v="2"/>
    <x v="2"/>
    <x v="3"/>
    <s v="North"/>
    <x v="0"/>
    <n v="19"/>
    <n v="210"/>
    <n v="8"/>
    <d v="2024-06-08T00:00:00"/>
    <n v="7"/>
    <n v="-1"/>
    <x v="0"/>
    <x v="3"/>
    <n v="11.052631578947368"/>
    <n v="0"/>
    <s v="No"/>
  </r>
  <r>
    <x v="1172"/>
    <x v="106"/>
    <x v="1"/>
    <s v="West"/>
    <x v="4"/>
    <x v="2"/>
    <x v="0"/>
    <s v="West"/>
    <x v="1"/>
    <n v="18.8"/>
    <n v="141"/>
    <n v="6"/>
    <d v="2024-04-24T00:00:00"/>
    <n v="5"/>
    <n v="-1"/>
    <x v="0"/>
    <x v="0"/>
    <n v="7.5"/>
    <n v="5"/>
    <s v="No"/>
  </r>
  <r>
    <x v="1173"/>
    <x v="145"/>
    <x v="5"/>
    <s v="West"/>
    <x v="2"/>
    <x v="1"/>
    <x v="0"/>
    <s v="West"/>
    <x v="1"/>
    <n v="2"/>
    <n v="236"/>
    <n v="4"/>
    <d v="2024-06-17T00:00:00"/>
    <n v="4"/>
    <n v="0"/>
    <x v="0"/>
    <x v="0"/>
    <n v="118"/>
    <n v="5"/>
    <s v="Yes"/>
  </r>
  <r>
    <x v="1174"/>
    <x v="156"/>
    <x v="3"/>
    <s v="South"/>
    <x v="0"/>
    <x v="2"/>
    <x v="2"/>
    <s v="North"/>
    <x v="0"/>
    <n v="3.5"/>
    <n v="314"/>
    <n v="8"/>
    <d v="2024-05-20T00:00:00"/>
    <n v="8"/>
    <n v="0"/>
    <x v="0"/>
    <x v="0"/>
    <n v="89.714285714285708"/>
    <n v="5"/>
    <s v="Yes"/>
  </r>
  <r>
    <x v="1175"/>
    <x v="164"/>
    <x v="5"/>
    <s v="West"/>
    <x v="4"/>
    <x v="1"/>
    <x v="1"/>
    <s v="West"/>
    <x v="1"/>
    <n v="4.9000000000000004"/>
    <n v="279"/>
    <n v="4"/>
    <d v="2024-06-09T00:00:00"/>
    <n v="3"/>
    <n v="-1"/>
    <x v="0"/>
    <x v="0"/>
    <n v="56.938775510204074"/>
    <n v="3"/>
    <s v="No"/>
  </r>
  <r>
    <x v="1176"/>
    <x v="137"/>
    <x v="5"/>
    <s v="West"/>
    <x v="1"/>
    <x v="2"/>
    <x v="0"/>
    <s v="East"/>
    <x v="0"/>
    <n v="13.4"/>
    <n v="288"/>
    <n v="8"/>
    <d v="2024-05-08T00:00:00"/>
    <n v="16"/>
    <n v="8"/>
    <x v="1"/>
    <x v="2"/>
    <n v="21.492537313432834"/>
    <n v="4"/>
    <s v="Yes"/>
  </r>
  <r>
    <x v="1177"/>
    <x v="22"/>
    <x v="0"/>
    <s v="South"/>
    <x v="7"/>
    <x v="2"/>
    <x v="3"/>
    <s v="South"/>
    <x v="1"/>
    <n v="19.600000000000001"/>
    <n v="111"/>
    <n v="6"/>
    <d v="2024-03-24T00:00:00"/>
    <n v="5"/>
    <n v="-1"/>
    <x v="0"/>
    <x v="0"/>
    <n v="5.6632653061224483"/>
    <n v="5"/>
    <s v="Yes"/>
  </r>
  <r>
    <x v="1178"/>
    <x v="3"/>
    <x v="0"/>
    <s v="South"/>
    <x v="1"/>
    <x v="1"/>
    <x v="2"/>
    <s v="West"/>
    <x v="0"/>
    <n v="1.2"/>
    <n v="490"/>
    <n v="6"/>
    <d v="2024-01-20T00:00:00"/>
    <n v="7"/>
    <n v="1"/>
    <x v="1"/>
    <x v="2"/>
    <n v="408.33333333333337"/>
    <n v="2"/>
    <s v="No"/>
  </r>
  <r>
    <x v="1179"/>
    <x v="41"/>
    <x v="4"/>
    <s v="East"/>
    <x v="1"/>
    <x v="0"/>
    <x v="2"/>
    <s v="South"/>
    <x v="0"/>
    <n v="17.399999999999999"/>
    <n v="1177"/>
    <n v="4"/>
    <d v="2024-07-03T00:00:00"/>
    <n v="8"/>
    <n v="4"/>
    <x v="1"/>
    <x v="2"/>
    <n v="67.643678160919549"/>
    <n v="4"/>
    <s v="Yes"/>
  </r>
  <r>
    <x v="1180"/>
    <x v="98"/>
    <x v="0"/>
    <s v="South"/>
    <x v="1"/>
    <x v="2"/>
    <x v="0"/>
    <s v="South"/>
    <x v="1"/>
    <n v="69.5"/>
    <n v="133"/>
    <n v="6"/>
    <d v="2024-01-10T00:00:00"/>
    <n v="5"/>
    <n v="-1"/>
    <x v="0"/>
    <x v="0"/>
    <n v="1.9136690647482015"/>
    <n v="1"/>
    <s v="Yes"/>
  </r>
  <r>
    <x v="1181"/>
    <x v="24"/>
    <x v="3"/>
    <s v="South"/>
    <x v="5"/>
    <x v="0"/>
    <x v="5"/>
    <s v="North"/>
    <x v="0"/>
    <n v="2.2999999999999998"/>
    <n v="2522"/>
    <n v="4"/>
    <d v="2024-04-11T00:00:00"/>
    <n v="8"/>
    <n v="4"/>
    <x v="1"/>
    <x v="1"/>
    <n v="1096.521739130435"/>
    <n v="0"/>
    <s v="Yes"/>
  </r>
  <r>
    <x v="1182"/>
    <x v="45"/>
    <x v="1"/>
    <s v="West"/>
    <x v="0"/>
    <x v="1"/>
    <x v="3"/>
    <s v="East"/>
    <x v="0"/>
    <n v="0.9"/>
    <n v="203"/>
    <n v="6"/>
    <d v="2024-04-08T00:00:00"/>
    <n v="7"/>
    <n v="1"/>
    <x v="1"/>
    <x v="2"/>
    <n v="225.55555555555554"/>
    <n v="2"/>
    <s v="No"/>
  </r>
  <r>
    <x v="1183"/>
    <x v="57"/>
    <x v="1"/>
    <s v="West"/>
    <x v="1"/>
    <x v="2"/>
    <x v="2"/>
    <s v="South"/>
    <x v="0"/>
    <n v="3.3"/>
    <n v="290"/>
    <n v="8"/>
    <d v="2024-06-30T00:00:00"/>
    <n v="7"/>
    <n v="-1"/>
    <x v="0"/>
    <x v="0"/>
    <n v="87.87878787878789"/>
    <n v="4"/>
    <s v="Yes"/>
  </r>
  <r>
    <x v="1184"/>
    <x v="142"/>
    <x v="2"/>
    <s v="North"/>
    <x v="5"/>
    <x v="2"/>
    <x v="4"/>
    <s v="West"/>
    <x v="0"/>
    <n v="6.8"/>
    <n v="206"/>
    <n v="8"/>
    <d v="2024-03-24T00:00:00"/>
    <n v="7"/>
    <n v="-1"/>
    <x v="0"/>
    <x v="0"/>
    <n v="30.294117647058826"/>
    <n v="5"/>
    <s v="No"/>
  </r>
  <r>
    <x v="1185"/>
    <x v="162"/>
    <x v="5"/>
    <s v="West"/>
    <x v="5"/>
    <x v="2"/>
    <x v="5"/>
    <s v="South"/>
    <x v="0"/>
    <n v="11.5"/>
    <n v="1171"/>
    <n v="8"/>
    <d v="2024-04-13T00:00:00"/>
    <n v="9"/>
    <n v="1"/>
    <x v="1"/>
    <x v="2"/>
    <n v="101.82608695652173"/>
    <n v="5"/>
    <s v="Yes"/>
  </r>
  <r>
    <x v="1186"/>
    <x v="57"/>
    <x v="5"/>
    <s v="West"/>
    <x v="7"/>
    <x v="1"/>
    <x v="4"/>
    <s v="East"/>
    <x v="0"/>
    <n v="11.1"/>
    <n v="294"/>
    <n v="6"/>
    <d v="2024-06-28T00:00:00"/>
    <n v="5"/>
    <n v="-1"/>
    <x v="0"/>
    <x v="0"/>
    <n v="26.486486486486488"/>
    <n v="5"/>
    <s v="Yes"/>
  </r>
  <r>
    <x v="1187"/>
    <x v="32"/>
    <x v="3"/>
    <s v="South"/>
    <x v="2"/>
    <x v="1"/>
    <x v="0"/>
    <s v="West"/>
    <x v="0"/>
    <n v="13"/>
    <n v="238"/>
    <n v="6"/>
    <d v="2024-06-01T00:00:00"/>
    <n v="11"/>
    <n v="5"/>
    <x v="1"/>
    <x v="2"/>
    <n v="18.307692307692307"/>
    <n v="4"/>
    <s v="Yes"/>
  </r>
  <r>
    <x v="1188"/>
    <x v="163"/>
    <x v="5"/>
    <s v="West"/>
    <x v="2"/>
    <x v="2"/>
    <x v="0"/>
    <s v="West"/>
    <x v="1"/>
    <n v="9.9"/>
    <n v="82"/>
    <n v="6"/>
    <d v="2024-04-19T00:00:00"/>
    <n v="5"/>
    <n v="-1"/>
    <x v="0"/>
    <x v="0"/>
    <n v="8.282828282828282"/>
    <n v="4"/>
    <s v="No"/>
  </r>
  <r>
    <x v="1189"/>
    <x v="122"/>
    <x v="1"/>
    <s v="West"/>
    <x v="0"/>
    <x v="0"/>
    <x v="4"/>
    <s v="South"/>
    <x v="0"/>
    <n v="6.8"/>
    <n v="373"/>
    <n v="4"/>
    <d v="2024-01-16T00:00:00"/>
    <n v="4"/>
    <n v="0"/>
    <x v="0"/>
    <x v="0"/>
    <n v="54.852941176470587"/>
    <n v="4"/>
    <s v="No"/>
  </r>
  <r>
    <x v="1190"/>
    <x v="150"/>
    <x v="0"/>
    <s v="South"/>
    <x v="5"/>
    <x v="0"/>
    <x v="0"/>
    <s v="East"/>
    <x v="0"/>
    <n v="13.2"/>
    <n v="797"/>
    <n v="4"/>
    <d v="2024-03-03T00:00:00"/>
    <n v="5"/>
    <n v="1"/>
    <x v="1"/>
    <x v="2"/>
    <n v="60.378787878787882"/>
    <n v="1"/>
    <s v="Yes"/>
  </r>
  <r>
    <x v="1191"/>
    <x v="26"/>
    <x v="2"/>
    <s v="North"/>
    <x v="5"/>
    <x v="2"/>
    <x v="1"/>
    <s v="West"/>
    <x v="0"/>
    <n v="22.2"/>
    <n v="407"/>
    <n v="8"/>
    <d v="2024-03-04T00:00:00"/>
    <n v="7"/>
    <n v="-1"/>
    <x v="0"/>
    <x v="0"/>
    <n v="18.333333333333332"/>
    <n v="4"/>
    <s v="No"/>
  </r>
  <r>
    <x v="1192"/>
    <x v="43"/>
    <x v="4"/>
    <s v="East"/>
    <x v="0"/>
    <x v="2"/>
    <x v="2"/>
    <s v="North"/>
    <x v="0"/>
    <n v="6.6"/>
    <n v="270"/>
    <n v="8"/>
    <d v="2024-05-03T00:00:00"/>
    <n v="7"/>
    <n v="-1"/>
    <x v="0"/>
    <x v="0"/>
    <n v="40.909090909090914"/>
    <n v="4"/>
    <s v="No"/>
  </r>
  <r>
    <x v="1193"/>
    <x v="141"/>
    <x v="2"/>
    <s v="North"/>
    <x v="1"/>
    <x v="2"/>
    <x v="4"/>
    <s v="North"/>
    <x v="1"/>
    <n v="52.7"/>
    <n v="80"/>
    <n v="6"/>
    <d v="2024-05-21T00:00:00"/>
    <n v="5"/>
    <n v="-1"/>
    <x v="0"/>
    <x v="0"/>
    <n v="1.5180265654648954"/>
    <n v="5"/>
    <s v="Yes"/>
  </r>
  <r>
    <x v="1194"/>
    <x v="67"/>
    <x v="5"/>
    <s v="West"/>
    <x v="2"/>
    <x v="0"/>
    <x v="5"/>
    <s v="North"/>
    <x v="0"/>
    <n v="0.9"/>
    <n v="1469"/>
    <n v="4"/>
    <d v="2024-03-20T00:00:00"/>
    <n v="4"/>
    <n v="0"/>
    <x v="0"/>
    <x v="0"/>
    <n v="1632.2222222222222"/>
    <n v="4"/>
    <s v="Yes"/>
  </r>
  <r>
    <x v="1195"/>
    <x v="35"/>
    <x v="5"/>
    <s v="West"/>
    <x v="4"/>
    <x v="2"/>
    <x v="2"/>
    <s v="East"/>
    <x v="0"/>
    <n v="11.5"/>
    <n v="495"/>
    <n v="8"/>
    <d v="2024-01-29T00:00:00"/>
    <n v="8"/>
    <n v="0"/>
    <x v="0"/>
    <x v="0"/>
    <n v="43.043478260869563"/>
    <n v="5"/>
    <s v="Yes"/>
  </r>
  <r>
    <x v="1196"/>
    <x v="9"/>
    <x v="1"/>
    <s v="West"/>
    <x v="0"/>
    <x v="0"/>
    <x v="0"/>
    <s v="East"/>
    <x v="0"/>
    <n v="3.1"/>
    <n v="809"/>
    <n v="4"/>
    <d v="2024-06-18T00:00:00"/>
    <n v="7"/>
    <n v="3"/>
    <x v="1"/>
    <x v="2"/>
    <n v="260.96774193548384"/>
    <n v="2"/>
    <s v="No"/>
  </r>
  <r>
    <x v="1197"/>
    <x v="25"/>
    <x v="1"/>
    <s v="West"/>
    <x v="0"/>
    <x v="1"/>
    <x v="3"/>
    <s v="North"/>
    <x v="0"/>
    <n v="70.900000000000006"/>
    <n v="170"/>
    <n v="6"/>
    <d v="2024-02-07T00:00:00"/>
    <n v="6"/>
    <n v="0"/>
    <x v="0"/>
    <x v="0"/>
    <n v="2.397743300423131"/>
    <n v="5"/>
    <s v="No"/>
  </r>
  <r>
    <x v="1198"/>
    <x v="121"/>
    <x v="5"/>
    <s v="West"/>
    <x v="5"/>
    <x v="2"/>
    <x v="1"/>
    <s v="East"/>
    <x v="0"/>
    <n v="3.9"/>
    <n v="395"/>
    <n v="8"/>
    <d v="2024-02-22T00:00:00"/>
    <n v="16"/>
    <n v="8"/>
    <x v="1"/>
    <x v="2"/>
    <n v="101.28205128205128"/>
    <n v="2"/>
    <s v="Yes"/>
  </r>
  <r>
    <x v="1199"/>
    <x v="92"/>
    <x v="3"/>
    <s v="South"/>
    <x v="0"/>
    <x v="2"/>
    <x v="0"/>
    <s v="North"/>
    <x v="0"/>
    <n v="3.1"/>
    <n v="359"/>
    <n v="8"/>
    <d v="2024-03-03T00:00:00"/>
    <n v="9"/>
    <n v="1"/>
    <x v="1"/>
    <x v="2"/>
    <n v="115.80645161290322"/>
    <n v="1"/>
    <s v="No"/>
  </r>
  <r>
    <x v="1200"/>
    <x v="163"/>
    <x v="4"/>
    <s v="East"/>
    <x v="4"/>
    <x v="1"/>
    <x v="3"/>
    <s v="North"/>
    <x v="0"/>
    <s v=""/>
    <n v="305"/>
    <n v="6"/>
    <d v="2024-04-26T00:00:00"/>
    <n v="12"/>
    <n v="6"/>
    <x v="1"/>
    <x v="2"/>
    <s v=""/>
    <n v="3"/>
    <s v="No"/>
  </r>
  <r>
    <x v="1201"/>
    <x v="34"/>
    <x v="5"/>
    <s v="West"/>
    <x v="2"/>
    <x v="2"/>
    <x v="4"/>
    <s v="South"/>
    <x v="0"/>
    <n v="4.2"/>
    <n v="195"/>
    <n v="8"/>
    <d v="2024-05-20T00:00:00"/>
    <n v="9"/>
    <n v="1"/>
    <x v="1"/>
    <x v="2"/>
    <n v="46.428571428571423"/>
    <n v="1"/>
    <s v="No"/>
  </r>
  <r>
    <x v="1202"/>
    <x v="51"/>
    <x v="5"/>
    <s v="West"/>
    <x v="4"/>
    <x v="2"/>
    <x v="4"/>
    <s v="West"/>
    <x v="1"/>
    <n v="13.9"/>
    <n v="113"/>
    <n v="6"/>
    <d v="2024-01-21T00:00:00"/>
    <n v="7"/>
    <n v="1"/>
    <x v="1"/>
    <x v="2"/>
    <n v="8.129496402877697"/>
    <n v="1"/>
    <s v="No"/>
  </r>
  <r>
    <x v="1203"/>
    <x v="17"/>
    <x v="3"/>
    <s v="South"/>
    <x v="2"/>
    <x v="1"/>
    <x v="2"/>
    <s v="East"/>
    <x v="0"/>
    <n v="14.1"/>
    <n v="399"/>
    <n v="6"/>
    <d v="2024-06-08T00:00:00"/>
    <n v="6"/>
    <n v="0"/>
    <x v="0"/>
    <x v="0"/>
    <n v="28.297872340425531"/>
    <n v="4"/>
    <s v="No"/>
  </r>
  <r>
    <x v="1204"/>
    <x v="27"/>
    <x v="0"/>
    <s v="South"/>
    <x v="0"/>
    <x v="2"/>
    <x v="0"/>
    <s v="West"/>
    <x v="0"/>
    <n v="6.2"/>
    <n v="276"/>
    <n v="8"/>
    <d v="2024-02-17T00:00:00"/>
    <n v="13"/>
    <n v="5"/>
    <x v="1"/>
    <x v="3"/>
    <n v="44.516129032258064"/>
    <n v="0"/>
    <s v="No"/>
  </r>
  <r>
    <x v="1205"/>
    <x v="1"/>
    <x v="4"/>
    <s v="East"/>
    <x v="0"/>
    <x v="1"/>
    <x v="5"/>
    <s v="West"/>
    <x v="0"/>
    <n v="1"/>
    <n v="1895"/>
    <n v="6"/>
    <d v="2024-06-15T00:00:00"/>
    <n v="5"/>
    <n v="-1"/>
    <x v="0"/>
    <x v="1"/>
    <n v="1895"/>
    <n v="0"/>
    <s v="No"/>
  </r>
  <r>
    <x v="1206"/>
    <x v="37"/>
    <x v="2"/>
    <s v="North"/>
    <x v="1"/>
    <x v="1"/>
    <x v="3"/>
    <s v="East"/>
    <x v="0"/>
    <n v="29.4"/>
    <n v="293"/>
    <n v="6"/>
    <d v="2024-01-13T00:00:00"/>
    <n v="5"/>
    <n v="-1"/>
    <x v="0"/>
    <x v="0"/>
    <n v="9.9659863945578238"/>
    <n v="4"/>
    <s v="No"/>
  </r>
  <r>
    <x v="1207"/>
    <x v="132"/>
    <x v="2"/>
    <s v="North"/>
    <x v="5"/>
    <x v="1"/>
    <x v="3"/>
    <s v="East"/>
    <x v="0"/>
    <n v="22.8"/>
    <n v="276"/>
    <n v="6"/>
    <d v="2024-04-22T00:00:00"/>
    <n v="7"/>
    <n v="1"/>
    <x v="1"/>
    <x v="2"/>
    <n v="12.105263157894736"/>
    <n v="3"/>
    <s v="No"/>
  </r>
  <r>
    <x v="1208"/>
    <x v="33"/>
    <x v="5"/>
    <s v="West"/>
    <x v="7"/>
    <x v="0"/>
    <x v="2"/>
    <s v="North"/>
    <x v="0"/>
    <n v="14.1"/>
    <n v="969"/>
    <n v="4"/>
    <d v="2024-03-20T00:00:00"/>
    <n v="7"/>
    <n v="3"/>
    <x v="1"/>
    <x v="2"/>
    <n v="68.723404255319153"/>
    <n v="2"/>
    <s v="No"/>
  </r>
  <r>
    <x v="1209"/>
    <x v="153"/>
    <x v="0"/>
    <s v="South"/>
    <x v="7"/>
    <x v="2"/>
    <x v="2"/>
    <s v="West"/>
    <x v="0"/>
    <n v="1.9"/>
    <n v="638"/>
    <n v="8"/>
    <d v="2024-02-15T00:00:00"/>
    <n v="8"/>
    <n v="0"/>
    <x v="0"/>
    <x v="0"/>
    <n v="335.78947368421052"/>
    <n v="5"/>
    <s v="No"/>
  </r>
  <r>
    <x v="1210"/>
    <x v="17"/>
    <x v="5"/>
    <s v="West"/>
    <x v="5"/>
    <x v="2"/>
    <x v="5"/>
    <s v="North"/>
    <x v="0"/>
    <n v="16.899999999999999"/>
    <n v="616"/>
    <n v="8"/>
    <d v="2024-06-10T00:00:00"/>
    <n v="8"/>
    <n v="0"/>
    <x v="0"/>
    <x v="0"/>
    <n v="36.449704142011839"/>
    <n v="5"/>
    <s v="Yes"/>
  </r>
  <r>
    <x v="1211"/>
    <x v="37"/>
    <x v="5"/>
    <s v="West"/>
    <x v="4"/>
    <x v="0"/>
    <x v="0"/>
    <s v="North"/>
    <x v="0"/>
    <n v="13.1"/>
    <n v="305"/>
    <n v="4"/>
    <d v="2024-01-11T00:00:00"/>
    <n v="3"/>
    <n v="-1"/>
    <x v="0"/>
    <x v="0"/>
    <n v="23.282442748091604"/>
    <n v="5"/>
    <s v="No"/>
  </r>
  <r>
    <x v="1212"/>
    <x v="73"/>
    <x v="1"/>
    <s v="West"/>
    <x v="5"/>
    <x v="0"/>
    <x v="0"/>
    <s v="South"/>
    <x v="0"/>
    <n v="6.8"/>
    <n v="842"/>
    <n v="4"/>
    <d v="2024-03-21T00:00:00"/>
    <n v="11"/>
    <n v="7"/>
    <x v="1"/>
    <x v="2"/>
    <n v="123.82352941176471"/>
    <n v="3"/>
    <s v="No"/>
  </r>
  <r>
    <x v="1213"/>
    <x v="11"/>
    <x v="0"/>
    <s v="South"/>
    <x v="5"/>
    <x v="1"/>
    <x v="1"/>
    <s v="West"/>
    <x v="0"/>
    <n v="4.0999999999999996"/>
    <n v="564"/>
    <n v="6"/>
    <d v="2024-02-08T00:00:00"/>
    <n v="5"/>
    <n v="-1"/>
    <x v="0"/>
    <x v="0"/>
    <n v="137.5609756097561"/>
    <n v="4"/>
    <s v="No"/>
  </r>
  <r>
    <x v="1214"/>
    <x v="73"/>
    <x v="4"/>
    <s v="East"/>
    <x v="0"/>
    <x v="1"/>
    <x v="0"/>
    <s v="East"/>
    <x v="1"/>
    <n v="4.5999999999999996"/>
    <n v="306"/>
    <n v="4"/>
    <d v="2024-03-23T00:00:00"/>
    <n v="13"/>
    <n v="9"/>
    <x v="1"/>
    <x v="2"/>
    <n v="66.521739130434781"/>
    <n v="5"/>
    <s v="Yes"/>
  </r>
  <r>
    <x v="1215"/>
    <x v="44"/>
    <x v="2"/>
    <s v="North"/>
    <x v="1"/>
    <x v="0"/>
    <x v="0"/>
    <s v="East"/>
    <x v="0"/>
    <n v="12.5"/>
    <n v="797"/>
    <n v="4"/>
    <d v="2024-04-12T00:00:00"/>
    <n v="3"/>
    <n v="-1"/>
    <x v="0"/>
    <x v="0"/>
    <n v="63.76"/>
    <n v="5"/>
    <s v="Yes"/>
  </r>
  <r>
    <x v="1216"/>
    <x v="69"/>
    <x v="5"/>
    <s v="West"/>
    <x v="2"/>
    <x v="1"/>
    <x v="4"/>
    <s v="West"/>
    <x v="1"/>
    <n v="5.8"/>
    <n v="80"/>
    <n v="4"/>
    <d v="2024-05-13T00:00:00"/>
    <n v="5"/>
    <n v="1"/>
    <x v="1"/>
    <x v="2"/>
    <n v="13.793103448275863"/>
    <n v="3"/>
    <s v="No"/>
  </r>
  <r>
    <x v="1217"/>
    <x v="3"/>
    <x v="2"/>
    <s v="North"/>
    <x v="4"/>
    <x v="1"/>
    <x v="1"/>
    <s v="South"/>
    <x v="0"/>
    <n v="77.400000000000006"/>
    <n v="381"/>
    <n v="6"/>
    <d v="2024-01-18T00:00:00"/>
    <n v="5"/>
    <n v="-1"/>
    <x v="0"/>
    <x v="0"/>
    <n v="4.9224806201550386"/>
    <n v="1"/>
    <s v="Yes"/>
  </r>
  <r>
    <x v="1218"/>
    <x v="118"/>
    <x v="3"/>
    <s v="South"/>
    <x v="0"/>
    <x v="2"/>
    <x v="1"/>
    <s v="North"/>
    <x v="0"/>
    <n v="5.0999999999999996"/>
    <n v="298"/>
    <n v="8"/>
    <d v="2024-06-20T00:00:00"/>
    <n v="12"/>
    <n v="4"/>
    <x v="1"/>
    <x v="2"/>
    <n v="58.431372549019613"/>
    <n v="2"/>
    <s v="Yes"/>
  </r>
  <r>
    <x v="1219"/>
    <x v="151"/>
    <x v="3"/>
    <s v="South"/>
    <x v="4"/>
    <x v="1"/>
    <x v="2"/>
    <s v="East"/>
    <x v="0"/>
    <n v="6.9"/>
    <n v="426"/>
    <n v="6"/>
    <d v="2024-02-25T00:00:00"/>
    <n v="7"/>
    <n v="1"/>
    <x v="1"/>
    <x v="2"/>
    <n v="61.739130434782602"/>
    <n v="3"/>
    <s v="No"/>
  </r>
  <r>
    <x v="1220"/>
    <x v="95"/>
    <x v="1"/>
    <s v="West"/>
    <x v="3"/>
    <x v="0"/>
    <x v="0"/>
    <s v="West"/>
    <x v="1"/>
    <n v="17.2"/>
    <n v="445"/>
    <n v="2"/>
    <d v="2024-02-04T00:00:00"/>
    <n v="2"/>
    <n v="0"/>
    <x v="0"/>
    <x v="0"/>
    <n v="25.872093023255815"/>
    <n v="4"/>
    <s v="Yes"/>
  </r>
  <r>
    <x v="1221"/>
    <x v="30"/>
    <x v="1"/>
    <s v="West"/>
    <x v="5"/>
    <x v="0"/>
    <x v="0"/>
    <s v="East"/>
    <x v="0"/>
    <n v="32.6"/>
    <n v="271"/>
    <n v="4"/>
    <d v="2024-04-11T00:00:00"/>
    <n v="5"/>
    <n v="1"/>
    <x v="1"/>
    <x v="2"/>
    <n v="8.3128834355828225"/>
    <n v="1"/>
    <s v="Yes"/>
  </r>
  <r>
    <x v="1222"/>
    <x v="5"/>
    <x v="1"/>
    <s v="West"/>
    <x v="3"/>
    <x v="2"/>
    <x v="2"/>
    <s v="West"/>
    <x v="1"/>
    <n v="32.6"/>
    <n v="341"/>
    <n v="6"/>
    <d v="2024-03-30T00:00:00"/>
    <n v="6"/>
    <n v="0"/>
    <x v="0"/>
    <x v="0"/>
    <n v="10.460122699386503"/>
    <n v="2"/>
    <s v="Yes"/>
  </r>
  <r>
    <x v="1223"/>
    <x v="53"/>
    <x v="5"/>
    <s v="West"/>
    <x v="2"/>
    <x v="2"/>
    <x v="5"/>
    <s v="South"/>
    <x v="0"/>
    <n v="3.4"/>
    <n v="749"/>
    <n v="8"/>
    <d v="2024-01-27T00:00:00"/>
    <n v="10"/>
    <n v="2"/>
    <x v="1"/>
    <x v="2"/>
    <n v="220.29411764705884"/>
    <n v="3"/>
    <s v="No"/>
  </r>
  <r>
    <x v="1224"/>
    <x v="167"/>
    <x v="3"/>
    <s v="South"/>
    <x v="4"/>
    <x v="0"/>
    <x v="1"/>
    <s v="East"/>
    <x v="0"/>
    <n v="14.2"/>
    <n v="757"/>
    <n v="4"/>
    <d v="2024-03-07T00:00:00"/>
    <n v="11"/>
    <n v="7"/>
    <x v="1"/>
    <x v="2"/>
    <n v="53.309859154929583"/>
    <n v="4"/>
    <s v="No"/>
  </r>
  <r>
    <x v="1225"/>
    <x v="21"/>
    <x v="3"/>
    <s v="South"/>
    <x v="4"/>
    <x v="1"/>
    <x v="4"/>
    <s v="East"/>
    <x v="0"/>
    <n v="16.8"/>
    <n v="201"/>
    <n v="6"/>
    <d v="2024-02-25T00:00:00"/>
    <n v="6"/>
    <n v="0"/>
    <x v="0"/>
    <x v="0"/>
    <n v="11.964285714285714"/>
    <n v="5"/>
    <s v="No"/>
  </r>
  <r>
    <x v="1226"/>
    <x v="3"/>
    <x v="3"/>
    <s v="South"/>
    <x v="5"/>
    <x v="2"/>
    <x v="0"/>
    <s v="North"/>
    <x v="0"/>
    <n v="11.2"/>
    <n v="219"/>
    <n v="8"/>
    <d v="2024-01-21T00:00:00"/>
    <n v="8"/>
    <n v="0"/>
    <x v="0"/>
    <x v="0"/>
    <n v="19.553571428571431"/>
    <n v="5"/>
    <s v="No"/>
  </r>
  <r>
    <x v="1227"/>
    <x v="162"/>
    <x v="2"/>
    <s v="North"/>
    <x v="5"/>
    <x v="1"/>
    <x v="6"/>
    <s v="East"/>
    <x v="0"/>
    <n v="14.7"/>
    <n v="834"/>
    <n v="6"/>
    <d v="2024-04-11T00:00:00"/>
    <n v="7"/>
    <n v="1"/>
    <x v="1"/>
    <x v="3"/>
    <n v="56.734693877551024"/>
    <n v="0"/>
    <s v="Yes"/>
  </r>
  <r>
    <x v="1228"/>
    <x v="121"/>
    <x v="3"/>
    <s v="South"/>
    <x v="0"/>
    <x v="2"/>
    <x v="5"/>
    <s v="North"/>
    <x v="0"/>
    <n v="0.8"/>
    <n v="454"/>
    <n v="8"/>
    <d v="2024-02-17T00:00:00"/>
    <n v="11"/>
    <n v="3"/>
    <x v="1"/>
    <x v="2"/>
    <n v="567.5"/>
    <n v="2"/>
    <s v="No"/>
  </r>
  <r>
    <x v="1229"/>
    <x v="111"/>
    <x v="4"/>
    <s v="East"/>
    <x v="4"/>
    <x v="0"/>
    <x v="4"/>
    <s v="South"/>
    <x v="0"/>
    <n v="11.4"/>
    <n v="270"/>
    <n v="4"/>
    <d v="2024-03-28T00:00:00"/>
    <n v="10"/>
    <n v="6"/>
    <x v="1"/>
    <x v="2"/>
    <n v="23.684210526315788"/>
    <n v="4"/>
    <s v="No"/>
  </r>
  <r>
    <x v="1230"/>
    <x v="95"/>
    <x v="2"/>
    <s v="North"/>
    <x v="5"/>
    <x v="0"/>
    <x v="0"/>
    <s v="North"/>
    <x v="1"/>
    <n v="8.9"/>
    <n v="271"/>
    <n v="2"/>
    <d v="2024-02-04T00:00:00"/>
    <n v="2"/>
    <n v="0"/>
    <x v="0"/>
    <x v="0"/>
    <n v="30.44943820224719"/>
    <n v="4"/>
    <s v="No"/>
  </r>
  <r>
    <x v="1231"/>
    <x v="36"/>
    <x v="5"/>
    <s v="West"/>
    <x v="5"/>
    <x v="2"/>
    <x v="4"/>
    <s v="West"/>
    <x v="1"/>
    <n v="10.5"/>
    <n v="80"/>
    <n v="6"/>
    <d v="2024-05-15T00:00:00"/>
    <n v="5"/>
    <n v="-1"/>
    <x v="0"/>
    <x v="1"/>
    <n v="7.6190476190476186"/>
    <n v="0"/>
    <s v="No"/>
  </r>
  <r>
    <x v="1232"/>
    <x v="53"/>
    <x v="1"/>
    <s v="West"/>
    <x v="1"/>
    <x v="2"/>
    <x v="1"/>
    <s v="East"/>
    <x v="0"/>
    <n v="9.6"/>
    <n v="409"/>
    <n v="8"/>
    <d v="2024-01-24T00:00:00"/>
    <n v="7"/>
    <n v="-1"/>
    <x v="0"/>
    <x v="1"/>
    <n v="42.604166666666671"/>
    <n v="0"/>
    <s v="No"/>
  </r>
  <r>
    <x v="1233"/>
    <x v="145"/>
    <x v="3"/>
    <s v="South"/>
    <x v="2"/>
    <x v="0"/>
    <x v="4"/>
    <s v="North"/>
    <x v="0"/>
    <n v="2.6"/>
    <n v="280"/>
    <n v="4"/>
    <d v="2024-06-17T00:00:00"/>
    <n v="4"/>
    <n v="0"/>
    <x v="0"/>
    <x v="0"/>
    <n v="107.69230769230769"/>
    <n v="5"/>
    <s v="No"/>
  </r>
  <r>
    <x v="1234"/>
    <x v="80"/>
    <x v="4"/>
    <s v="East"/>
    <x v="1"/>
    <x v="1"/>
    <x v="4"/>
    <s v="East"/>
    <x v="1"/>
    <n v="23.2"/>
    <n v="144"/>
    <n v="4"/>
    <d v="2024-04-26T00:00:00"/>
    <n v="5"/>
    <n v="1"/>
    <x v="1"/>
    <x v="2"/>
    <n v="6.2068965517241379"/>
    <n v="4"/>
    <s v="Yes"/>
  </r>
  <r>
    <x v="1235"/>
    <x v="111"/>
    <x v="3"/>
    <s v="South"/>
    <x v="5"/>
    <x v="2"/>
    <x v="2"/>
    <s v="North"/>
    <x v="0"/>
    <n v="44"/>
    <n v="529"/>
    <n v="8"/>
    <d v="2024-03-27T00:00:00"/>
    <n v="9"/>
    <n v="1"/>
    <x v="1"/>
    <x v="2"/>
    <n v="12.022727272727273"/>
    <n v="3"/>
    <s v="No"/>
  </r>
  <r>
    <x v="1236"/>
    <x v="91"/>
    <x v="0"/>
    <s v="South"/>
    <x v="4"/>
    <x v="1"/>
    <x v="5"/>
    <s v="North"/>
    <x v="0"/>
    <n v="13.7"/>
    <n v="1126"/>
    <n v="6"/>
    <d v="2024-04-24T00:00:00"/>
    <n v="12"/>
    <n v="6"/>
    <x v="1"/>
    <x v="2"/>
    <n v="82.189781021897815"/>
    <n v="2"/>
    <s v="Yes"/>
  </r>
  <r>
    <x v="1237"/>
    <x v="104"/>
    <x v="5"/>
    <s v="West"/>
    <x v="1"/>
    <x v="1"/>
    <x v="3"/>
    <s v="West"/>
    <x v="1"/>
    <n v="0.8"/>
    <n v="152"/>
    <n v="4"/>
    <d v="2024-03-12T00:00:00"/>
    <n v="5"/>
    <n v="1"/>
    <x v="1"/>
    <x v="2"/>
    <n v="190"/>
    <n v="1"/>
    <s v="No"/>
  </r>
  <r>
    <x v="1238"/>
    <x v="53"/>
    <x v="3"/>
    <s v="South"/>
    <x v="6"/>
    <x v="0"/>
    <x v="0"/>
    <s v="North"/>
    <x v="0"/>
    <n v="1.8"/>
    <n v="496"/>
    <n v="4"/>
    <d v="2024-01-21T00:00:00"/>
    <n v="4"/>
    <n v="0"/>
    <x v="0"/>
    <x v="3"/>
    <n v="275.55555555555554"/>
    <n v="0"/>
    <s v="Yes"/>
  </r>
  <r>
    <x v="1239"/>
    <x v="153"/>
    <x v="2"/>
    <s v="North"/>
    <x v="0"/>
    <x v="0"/>
    <x v="5"/>
    <s v="East"/>
    <x v="0"/>
    <n v="30"/>
    <n v="1250"/>
    <n v="4"/>
    <d v="2024-02-12T00:00:00"/>
    <n v="5"/>
    <n v="1"/>
    <x v="1"/>
    <x v="2"/>
    <n v="41.666666666666664"/>
    <n v="2"/>
    <s v="Yes"/>
  </r>
  <r>
    <x v="1240"/>
    <x v="74"/>
    <x v="5"/>
    <s v="West"/>
    <x v="0"/>
    <x v="1"/>
    <x v="1"/>
    <s v="East"/>
    <x v="0"/>
    <n v="23.3"/>
    <n v="398"/>
    <n v="6"/>
    <d v="2024-02-26T00:00:00"/>
    <n v="15"/>
    <n v="9"/>
    <x v="1"/>
    <x v="2"/>
    <n v="17.081545064377682"/>
    <n v="2"/>
    <s v="No"/>
  </r>
  <r>
    <x v="1241"/>
    <x v="167"/>
    <x v="5"/>
    <s v="West"/>
    <x v="4"/>
    <x v="2"/>
    <x v="0"/>
    <s v="North"/>
    <x v="0"/>
    <n v="2.2999999999999998"/>
    <n v="296"/>
    <n v="8"/>
    <d v="2024-03-04T00:00:00"/>
    <n v="8"/>
    <n v="0"/>
    <x v="0"/>
    <x v="0"/>
    <n v="128.69565217391306"/>
    <n v="4"/>
    <s v="No"/>
  </r>
  <r>
    <x v="1242"/>
    <x v="28"/>
    <x v="4"/>
    <s v="East"/>
    <x v="4"/>
    <x v="2"/>
    <x v="4"/>
    <s v="West"/>
    <x v="0"/>
    <n v="5.0999999999999996"/>
    <n v="200"/>
    <n v="8"/>
    <d v="2024-04-20T00:00:00"/>
    <n v="9"/>
    <n v="1"/>
    <x v="1"/>
    <x v="2"/>
    <n v="39.215686274509807"/>
    <n v="3"/>
    <s v="No"/>
  </r>
  <r>
    <x v="1243"/>
    <x v="12"/>
    <x v="5"/>
    <s v="West"/>
    <x v="2"/>
    <x v="1"/>
    <x v="2"/>
    <s v="West"/>
    <x v="1"/>
    <n v="2.2999999999999998"/>
    <n v="853"/>
    <n v="4"/>
    <d v="2024-06-08T00:00:00"/>
    <n v="3"/>
    <n v="-1"/>
    <x v="0"/>
    <x v="0"/>
    <n v="370.86956521739131"/>
    <n v="3"/>
    <s v="Yes"/>
  </r>
  <r>
    <x v="1244"/>
    <x v="72"/>
    <x v="5"/>
    <s v="West"/>
    <x v="3"/>
    <x v="0"/>
    <x v="4"/>
    <s v="North"/>
    <x v="0"/>
    <n v="19.7"/>
    <n v="253"/>
    <n v="4"/>
    <d v="2024-06-27T00:00:00"/>
    <n v="3"/>
    <n v="-1"/>
    <x v="0"/>
    <x v="0"/>
    <n v="12.842639593908629"/>
    <n v="5"/>
    <s v="Yes"/>
  </r>
  <r>
    <x v="1245"/>
    <x v="75"/>
    <x v="4"/>
    <s v="East"/>
    <x v="0"/>
    <x v="0"/>
    <x v="4"/>
    <s v="West"/>
    <x v="0"/>
    <n v="2.2999999999999998"/>
    <n v="335"/>
    <n v="4"/>
    <d v="2024-01-26T00:00:00"/>
    <n v="3"/>
    <n v="-1"/>
    <x v="0"/>
    <x v="0"/>
    <n v="145.6521739130435"/>
    <n v="5"/>
    <s v="No"/>
  </r>
  <r>
    <x v="1246"/>
    <x v="156"/>
    <x v="1"/>
    <s v="West"/>
    <x v="1"/>
    <x v="2"/>
    <x v="1"/>
    <s v="South"/>
    <x v="0"/>
    <n v="3.9"/>
    <n v="325"/>
    <n v="8"/>
    <d v="2024-05-21T00:00:00"/>
    <n v="9"/>
    <n v="1"/>
    <x v="1"/>
    <x v="2"/>
    <n v="83.333333333333329"/>
    <n v="4"/>
    <s v="Yes"/>
  </r>
  <r>
    <x v="1247"/>
    <x v="94"/>
    <x v="4"/>
    <s v="East"/>
    <x v="1"/>
    <x v="1"/>
    <x v="4"/>
    <s v="West"/>
    <x v="0"/>
    <n v="27.3"/>
    <n v="250"/>
    <n v="6"/>
    <d v="2024-04-11T00:00:00"/>
    <n v="6"/>
    <n v="0"/>
    <x v="0"/>
    <x v="0"/>
    <n v="9.1575091575091569"/>
    <n v="3"/>
    <s v="Yes"/>
  </r>
  <r>
    <x v="1248"/>
    <x v="66"/>
    <x v="5"/>
    <s v="West"/>
    <x v="2"/>
    <x v="1"/>
    <x v="1"/>
    <s v="North"/>
    <x v="0"/>
    <n v="42.1"/>
    <n v="531"/>
    <n v="6"/>
    <d v="2024-02-22T00:00:00"/>
    <n v="7"/>
    <n v="1"/>
    <x v="1"/>
    <x v="2"/>
    <n v="12.612826603325415"/>
    <n v="3"/>
    <s v="No"/>
  </r>
  <r>
    <x v="1249"/>
    <x v="113"/>
    <x v="5"/>
    <s v="West"/>
    <x v="4"/>
    <x v="2"/>
    <x v="1"/>
    <s v="East"/>
    <x v="0"/>
    <n v="7.7"/>
    <n v="386"/>
    <n v="8"/>
    <d v="2024-04-25T00:00:00"/>
    <n v="8"/>
    <n v="0"/>
    <x v="0"/>
    <x v="0"/>
    <n v="50.129870129870127"/>
    <n v="5"/>
    <s v="No"/>
  </r>
  <r>
    <x v="1250"/>
    <x v="148"/>
    <x v="4"/>
    <s v="East"/>
    <x v="2"/>
    <x v="2"/>
    <x v="0"/>
    <s v="West"/>
    <x v="0"/>
    <n v="7"/>
    <n v="248"/>
    <n v="8"/>
    <d v="2024-05-14T00:00:00"/>
    <n v="7"/>
    <n v="-1"/>
    <x v="0"/>
    <x v="0"/>
    <n v="35.428571428571431"/>
    <n v="5"/>
    <s v="No"/>
  </r>
  <r>
    <x v="1251"/>
    <x v="147"/>
    <x v="0"/>
    <s v="South"/>
    <x v="4"/>
    <x v="0"/>
    <x v="4"/>
    <s v="West"/>
    <x v="0"/>
    <n v="23.9"/>
    <n v="338"/>
    <n v="4"/>
    <s v=""/>
    <s v=""/>
    <s v=""/>
    <x v="2"/>
    <x v="4"/>
    <n v="14.142259414225942"/>
    <n v="0"/>
    <s v="No"/>
  </r>
  <r>
    <x v="1252"/>
    <x v="99"/>
    <x v="5"/>
    <s v="West"/>
    <x v="2"/>
    <x v="0"/>
    <x v="3"/>
    <s v="East"/>
    <x v="0"/>
    <n v="9.1999999999999993"/>
    <n v="420"/>
    <n v="4"/>
    <d v="2024-02-01T00:00:00"/>
    <n v="4"/>
    <n v="0"/>
    <x v="0"/>
    <x v="0"/>
    <n v="45.652173913043484"/>
    <n v="2"/>
    <s v="No"/>
  </r>
  <r>
    <x v="1253"/>
    <x v="123"/>
    <x v="4"/>
    <s v="East"/>
    <x v="5"/>
    <x v="2"/>
    <x v="4"/>
    <s v="North"/>
    <x v="0"/>
    <n v="11.9"/>
    <n v="196"/>
    <n v="8"/>
    <d v="2024-02-02T00:00:00"/>
    <n v="7"/>
    <n v="-1"/>
    <x v="0"/>
    <x v="0"/>
    <n v="16.470588235294116"/>
    <n v="4"/>
    <s v="No"/>
  </r>
  <r>
    <x v="1254"/>
    <x v="142"/>
    <x v="1"/>
    <s v="West"/>
    <x v="2"/>
    <x v="1"/>
    <x v="5"/>
    <s v="East"/>
    <x v="0"/>
    <n v="2.5"/>
    <n v="1643"/>
    <n v="6"/>
    <d v="2024-03-23T00:00:00"/>
    <n v="6"/>
    <n v="0"/>
    <x v="0"/>
    <x v="0"/>
    <n v="657.2"/>
    <n v="4"/>
    <s v="No"/>
  </r>
  <r>
    <x v="1255"/>
    <x v="84"/>
    <x v="4"/>
    <s v="East"/>
    <x v="0"/>
    <x v="0"/>
    <x v="3"/>
    <s v="West"/>
    <x v="0"/>
    <n v="37.299999999999997"/>
    <n v="382"/>
    <n v="4"/>
    <d v="2024-02-20T00:00:00"/>
    <n v="12"/>
    <n v="8"/>
    <x v="1"/>
    <x v="2"/>
    <n v="10.241286863270778"/>
    <n v="2"/>
    <s v="Yes"/>
  </r>
  <r>
    <x v="1256"/>
    <x v="112"/>
    <x v="2"/>
    <s v="North"/>
    <x v="0"/>
    <x v="2"/>
    <x v="2"/>
    <s v="South"/>
    <x v="0"/>
    <n v="1.2"/>
    <n v="440"/>
    <n v="8"/>
    <d v="2024-03-11T00:00:00"/>
    <n v="9"/>
    <n v="1"/>
    <x v="1"/>
    <x v="2"/>
    <n v="366.66666666666669"/>
    <n v="3"/>
    <s v="Yes"/>
  </r>
  <r>
    <x v="1257"/>
    <x v="123"/>
    <x v="4"/>
    <s v="East"/>
    <x v="0"/>
    <x v="0"/>
    <x v="5"/>
    <s v="West"/>
    <x v="0"/>
    <n v="3.6"/>
    <n v="2387"/>
    <n v="4"/>
    <d v="2024-01-29T00:00:00"/>
    <n v="3"/>
    <n v="-1"/>
    <x v="0"/>
    <x v="0"/>
    <n v="663.05555555555554"/>
    <n v="4"/>
    <s v="No"/>
  </r>
  <r>
    <x v="1258"/>
    <x v="5"/>
    <x v="3"/>
    <s v="South"/>
    <x v="2"/>
    <x v="0"/>
    <x v="0"/>
    <s v="South"/>
    <x v="1"/>
    <n v="14"/>
    <n v="619"/>
    <n v="2"/>
    <d v="2024-03-30T00:00:00"/>
    <n v="6"/>
    <n v="4"/>
    <x v="1"/>
    <x v="2"/>
    <n v="44.214285714285715"/>
    <n v="3"/>
    <s v="Yes"/>
  </r>
  <r>
    <x v="1259"/>
    <x v="132"/>
    <x v="4"/>
    <s v="East"/>
    <x v="1"/>
    <x v="2"/>
    <x v="5"/>
    <s v="North"/>
    <x v="0"/>
    <n v="3.7"/>
    <n v="393"/>
    <n v="8"/>
    <d v="2024-04-26T00:00:00"/>
    <n v="11"/>
    <n v="3"/>
    <x v="1"/>
    <x v="2"/>
    <n v="106.21621621621621"/>
    <n v="1"/>
    <s v="No"/>
  </r>
  <r>
    <x v="1260"/>
    <x v="145"/>
    <x v="2"/>
    <s v="North"/>
    <x v="3"/>
    <x v="0"/>
    <x v="1"/>
    <s v="North"/>
    <x v="1"/>
    <n v="17.8"/>
    <n v="842"/>
    <n v="2"/>
    <d v="2024-06-14T00:00:00"/>
    <n v="1"/>
    <n v="-1"/>
    <x v="0"/>
    <x v="0"/>
    <n v="47.303370786516851"/>
    <n v="3"/>
    <s v="No"/>
  </r>
  <r>
    <x v="1261"/>
    <x v="52"/>
    <x v="4"/>
    <s v="East"/>
    <x v="4"/>
    <x v="2"/>
    <x v="1"/>
    <s v="East"/>
    <x v="1"/>
    <n v="12.9"/>
    <n v="125"/>
    <n v="6"/>
    <d v="2024-06-18T00:00:00"/>
    <n v="6"/>
    <n v="0"/>
    <x v="0"/>
    <x v="0"/>
    <n v="9.6899224806201545"/>
    <n v="5"/>
    <s v="Yes"/>
  </r>
  <r>
    <x v="1262"/>
    <x v="164"/>
    <x v="0"/>
    <s v="South"/>
    <x v="5"/>
    <x v="0"/>
    <x v="3"/>
    <s v="East"/>
    <x v="0"/>
    <n v="4.4000000000000004"/>
    <n v="394"/>
    <n v="4"/>
    <d v="2024-06-11T00:00:00"/>
    <n v="5"/>
    <n v="1"/>
    <x v="1"/>
    <x v="2"/>
    <n v="89.545454545454533"/>
    <n v="2"/>
    <s v="Yes"/>
  </r>
  <r>
    <x v="1263"/>
    <x v="164"/>
    <x v="4"/>
    <s v="East"/>
    <x v="4"/>
    <x v="2"/>
    <x v="4"/>
    <s v="West"/>
    <x v="0"/>
    <n v="3.8"/>
    <n v="148"/>
    <n v="8"/>
    <d v="2024-06-19T00:00:00"/>
    <n v="13"/>
    <n v="5"/>
    <x v="1"/>
    <x v="2"/>
    <n v="38.94736842105263"/>
    <n v="2"/>
    <s v="No"/>
  </r>
  <r>
    <x v="1264"/>
    <x v="72"/>
    <x v="4"/>
    <s v="East"/>
    <x v="0"/>
    <x v="0"/>
    <x v="2"/>
    <s v="North"/>
    <x v="0"/>
    <n v="5.2"/>
    <n v="1069"/>
    <n v="4"/>
    <d v="2024-06-29T00:00:00"/>
    <n v="5"/>
    <n v="1"/>
    <x v="1"/>
    <x v="2"/>
    <n v="205.57692307692307"/>
    <n v="5"/>
    <s v="No"/>
  </r>
  <r>
    <x v="1265"/>
    <x v="149"/>
    <x v="3"/>
    <s v="South"/>
    <x v="4"/>
    <x v="2"/>
    <x v="4"/>
    <s v="East"/>
    <x v="0"/>
    <n v="2.1"/>
    <n v="247"/>
    <n v="8"/>
    <d v="2024-05-13T00:00:00"/>
    <n v="8"/>
    <n v="0"/>
    <x v="0"/>
    <x v="0"/>
    <n v="117.61904761904762"/>
    <n v="5"/>
    <s v="Yes"/>
  </r>
  <r>
    <x v="1266"/>
    <x v="94"/>
    <x v="5"/>
    <s v="West"/>
    <x v="0"/>
    <x v="2"/>
    <x v="1"/>
    <s v="West"/>
    <x v="1"/>
    <n v="69"/>
    <n v="141"/>
    <n v="6"/>
    <d v="2024-04-12T00:00:00"/>
    <n v="7"/>
    <n v="1"/>
    <x v="1"/>
    <x v="2"/>
    <n v="2.0434782608695654"/>
    <n v="3"/>
    <s v="No"/>
  </r>
  <r>
    <x v="1267"/>
    <x v="3"/>
    <x v="2"/>
    <s v="North"/>
    <x v="4"/>
    <x v="1"/>
    <x v="5"/>
    <s v="South"/>
    <x v="0"/>
    <n v="5.8"/>
    <n v="1376"/>
    <n v="6"/>
    <d v="2024-01-18T00:00:00"/>
    <n v="5"/>
    <n v="-1"/>
    <x v="0"/>
    <x v="0"/>
    <n v="237.24137931034483"/>
    <n v="4"/>
    <s v="Yes"/>
  </r>
  <r>
    <x v="1268"/>
    <x v="134"/>
    <x v="0"/>
    <s v="South"/>
    <x v="0"/>
    <x v="0"/>
    <x v="2"/>
    <s v="South"/>
    <x v="1"/>
    <n v="21.8"/>
    <n v="774"/>
    <n v="2"/>
    <d v="2024-03-13T00:00:00"/>
    <n v="10"/>
    <n v="8"/>
    <x v="1"/>
    <x v="2"/>
    <n v="35.5045871559633"/>
    <n v="3"/>
    <s v="No"/>
  </r>
  <r>
    <x v="1269"/>
    <x v="25"/>
    <x v="2"/>
    <s v="North"/>
    <x v="0"/>
    <x v="2"/>
    <x v="4"/>
    <s v="West"/>
    <x v="0"/>
    <n v="48.6"/>
    <n v="238"/>
    <n v="8"/>
    <d v="2024-02-08T00:00:00"/>
    <n v="7"/>
    <n v="-1"/>
    <x v="0"/>
    <x v="0"/>
    <n v="4.8971193415637861"/>
    <n v="5"/>
    <s v="No"/>
  </r>
  <r>
    <x v="1270"/>
    <x v="54"/>
    <x v="2"/>
    <s v="North"/>
    <x v="1"/>
    <x v="0"/>
    <x v="3"/>
    <s v="East"/>
    <x v="0"/>
    <n v="13.7"/>
    <n v="508"/>
    <n v="4"/>
    <d v="2024-02-13T00:00:00"/>
    <n v="4"/>
    <n v="0"/>
    <x v="0"/>
    <x v="0"/>
    <n v="37.080291970802925"/>
    <n v="3"/>
    <s v="Yes"/>
  </r>
  <r>
    <x v="1271"/>
    <x v="112"/>
    <x v="5"/>
    <s v="West"/>
    <x v="0"/>
    <x v="2"/>
    <x v="5"/>
    <s v="West"/>
    <x v="1"/>
    <n v="16.899999999999999"/>
    <n v="529"/>
    <n v="6"/>
    <d v="2024-03-07T00:00:00"/>
    <n v="5"/>
    <n v="-1"/>
    <x v="0"/>
    <x v="0"/>
    <n v="31.301775147928996"/>
    <n v="5"/>
    <s v="Yes"/>
  </r>
  <r>
    <x v="1272"/>
    <x v="110"/>
    <x v="2"/>
    <s v="North"/>
    <x v="0"/>
    <x v="0"/>
    <x v="1"/>
    <s v="West"/>
    <x v="0"/>
    <n v="18.5"/>
    <n v="811"/>
    <n v="4"/>
    <d v="2024-01-23T00:00:00"/>
    <n v="3"/>
    <n v="-1"/>
    <x v="0"/>
    <x v="0"/>
    <n v="43.837837837837839"/>
    <n v="3"/>
    <s v="No"/>
  </r>
  <r>
    <x v="1273"/>
    <x v="97"/>
    <x v="2"/>
    <s v="North"/>
    <x v="2"/>
    <x v="2"/>
    <x v="2"/>
    <s v="North"/>
    <x v="1"/>
    <n v="9.3000000000000007"/>
    <n v="170"/>
    <n v="6"/>
    <d v="2024-02-28T00:00:00"/>
    <n v="6"/>
    <n v="0"/>
    <x v="0"/>
    <x v="1"/>
    <n v="18.279569892473116"/>
    <n v="0"/>
    <s v="No"/>
  </r>
  <r>
    <x v="1274"/>
    <x v="38"/>
    <x v="1"/>
    <s v="West"/>
    <x v="4"/>
    <x v="0"/>
    <x v="0"/>
    <s v="North"/>
    <x v="0"/>
    <n v="4.4000000000000004"/>
    <n v="332"/>
    <n v="4"/>
    <d v="2024-03-11T00:00:00"/>
    <n v="5"/>
    <n v="1"/>
    <x v="1"/>
    <x v="2"/>
    <n v="75.454545454545453"/>
    <n v="2"/>
    <s v="No"/>
  </r>
  <r>
    <x v="1275"/>
    <x v="47"/>
    <x v="0"/>
    <s v="South"/>
    <x v="4"/>
    <x v="0"/>
    <x v="5"/>
    <s v="East"/>
    <x v="0"/>
    <n v="1.7"/>
    <n v="1258"/>
    <n v="4"/>
    <d v="2024-05-05T00:00:00"/>
    <n v="4"/>
    <n v="0"/>
    <x v="0"/>
    <x v="0"/>
    <n v="740"/>
    <n v="4"/>
    <s v="No"/>
  </r>
  <r>
    <x v="1276"/>
    <x v="45"/>
    <x v="3"/>
    <s v="South"/>
    <x v="5"/>
    <x v="1"/>
    <x v="4"/>
    <s v="East"/>
    <x v="0"/>
    <n v="20.8"/>
    <n v="216"/>
    <n v="6"/>
    <d v="2024-04-16T00:00:00"/>
    <n v="15"/>
    <n v="9"/>
    <x v="1"/>
    <x v="2"/>
    <n v="10.384615384615385"/>
    <n v="3"/>
    <s v="No"/>
  </r>
  <r>
    <x v="1277"/>
    <x v="16"/>
    <x v="1"/>
    <s v="West"/>
    <x v="0"/>
    <x v="2"/>
    <x v="4"/>
    <s v="East"/>
    <x v="0"/>
    <n v="3"/>
    <n v="265"/>
    <n v="8"/>
    <d v="2024-06-18T00:00:00"/>
    <n v="14"/>
    <n v="6"/>
    <x v="1"/>
    <x v="2"/>
    <n v="88.333333333333329"/>
    <n v="3"/>
    <s v="No"/>
  </r>
  <r>
    <x v="1278"/>
    <x v="4"/>
    <x v="5"/>
    <s v="West"/>
    <x v="0"/>
    <x v="1"/>
    <x v="2"/>
    <s v="North"/>
    <x v="0"/>
    <n v="5.9"/>
    <n v="341"/>
    <n v="6"/>
    <d v="2024-04-23T00:00:00"/>
    <n v="7"/>
    <n v="1"/>
    <x v="1"/>
    <x v="2"/>
    <n v="57.796610169491522"/>
    <n v="3"/>
    <s v="Yes"/>
  </r>
  <r>
    <x v="1279"/>
    <x v="45"/>
    <x v="3"/>
    <s v="South"/>
    <x v="0"/>
    <x v="0"/>
    <x v="3"/>
    <s v="West"/>
    <x v="0"/>
    <n v="55.5"/>
    <n v="267"/>
    <n v="4"/>
    <d v="2024-04-11T00:00:00"/>
    <n v="10"/>
    <n v="6"/>
    <x v="1"/>
    <x v="3"/>
    <n v="4.8108108108108105"/>
    <n v="0"/>
    <s v="No"/>
  </r>
  <r>
    <x v="1280"/>
    <x v="80"/>
    <x v="2"/>
    <s v="North"/>
    <x v="0"/>
    <x v="2"/>
    <x v="1"/>
    <s v="South"/>
    <x v="0"/>
    <n v="16.600000000000001"/>
    <n v="330"/>
    <n v="8"/>
    <d v="2024-04-28T00:00:00"/>
    <n v="7"/>
    <n v="-1"/>
    <x v="0"/>
    <x v="0"/>
    <n v="19.879518072289155"/>
    <n v="4"/>
    <s v="No"/>
  </r>
  <r>
    <x v="1281"/>
    <x v="13"/>
    <x v="1"/>
    <s v="West"/>
    <x v="3"/>
    <x v="1"/>
    <x v="5"/>
    <s v="North"/>
    <x v="0"/>
    <n v="2.7"/>
    <n v="1315"/>
    <n v="6"/>
    <d v="2024-01-08T00:00:00"/>
    <n v="6"/>
    <n v="0"/>
    <x v="0"/>
    <x v="0"/>
    <n v="487.03703703703701"/>
    <n v="4"/>
    <s v="Yes"/>
  </r>
  <r>
    <x v="1282"/>
    <x v="107"/>
    <x v="0"/>
    <s v="South"/>
    <x v="2"/>
    <x v="0"/>
    <x v="5"/>
    <s v="South"/>
    <x v="1"/>
    <n v="7.9"/>
    <n v="3572"/>
    <n v="2"/>
    <d v="2024-06-06T00:00:00"/>
    <n v="3"/>
    <n v="1"/>
    <x v="1"/>
    <x v="2"/>
    <n v="452.15189873417722"/>
    <n v="2"/>
    <s v="Yes"/>
  </r>
  <r>
    <x v="1283"/>
    <x v="40"/>
    <x v="5"/>
    <s v="West"/>
    <x v="0"/>
    <x v="0"/>
    <x v="0"/>
    <s v="East"/>
    <x v="0"/>
    <n v="36.5"/>
    <n v="796"/>
    <n v="4"/>
    <d v="2024-05-07T00:00:00"/>
    <n v="3"/>
    <n v="-1"/>
    <x v="0"/>
    <x v="1"/>
    <n v="21.80821917808219"/>
    <n v="0"/>
    <s v="No"/>
  </r>
  <r>
    <x v="1284"/>
    <x v="88"/>
    <x v="1"/>
    <s v="West"/>
    <x v="1"/>
    <x v="2"/>
    <x v="5"/>
    <s v="South"/>
    <x v="0"/>
    <n v="15.3"/>
    <n v="784"/>
    <n v="8"/>
    <d v="2024-01-27T00:00:00"/>
    <n v="9"/>
    <n v="1"/>
    <x v="1"/>
    <x v="2"/>
    <n v="51.241830065359473"/>
    <n v="2"/>
    <s v="Yes"/>
  </r>
  <r>
    <x v="1285"/>
    <x v="39"/>
    <x v="4"/>
    <s v="East"/>
    <x v="5"/>
    <x v="2"/>
    <x v="5"/>
    <s v="South"/>
    <x v="0"/>
    <n v="11.8"/>
    <n v="1007"/>
    <n v="8"/>
    <d v="2024-05-28T00:00:00"/>
    <n v="8"/>
    <n v="0"/>
    <x v="0"/>
    <x v="0"/>
    <n v="85.338983050847446"/>
    <n v="4"/>
    <s v="Yes"/>
  </r>
  <r>
    <x v="1286"/>
    <x v="6"/>
    <x v="2"/>
    <s v="North"/>
    <x v="5"/>
    <x v="1"/>
    <x v="0"/>
    <s v="North"/>
    <x v="1"/>
    <n v="3.4"/>
    <n v="96"/>
    <n v="4"/>
    <d v="2024-03-20T00:00:00"/>
    <n v="6"/>
    <n v="2"/>
    <x v="1"/>
    <x v="2"/>
    <n v="28.235294117647058"/>
    <n v="4"/>
    <s v="No"/>
  </r>
  <r>
    <x v="1287"/>
    <x v="58"/>
    <x v="0"/>
    <s v="South"/>
    <x v="2"/>
    <x v="1"/>
    <x v="1"/>
    <s v="West"/>
    <x v="0"/>
    <n v="23.8"/>
    <n v="419"/>
    <n v="6"/>
    <d v="2024-04-04T00:00:00"/>
    <n v="7"/>
    <n v="1"/>
    <x v="1"/>
    <x v="2"/>
    <n v="17.605042016806721"/>
    <n v="3"/>
    <s v="Yes"/>
  </r>
  <r>
    <x v="1288"/>
    <x v="43"/>
    <x v="2"/>
    <s v="North"/>
    <x v="0"/>
    <x v="2"/>
    <x v="3"/>
    <s v="North"/>
    <x v="1"/>
    <n v="1.9"/>
    <n v="128"/>
    <n v="6"/>
    <d v="2024-05-04T00:00:00"/>
    <n v="8"/>
    <n v="2"/>
    <x v="1"/>
    <x v="2"/>
    <n v="67.368421052631575"/>
    <n v="1"/>
    <s v="Yes"/>
  </r>
  <r>
    <x v="1289"/>
    <x v="5"/>
    <x v="3"/>
    <s v="South"/>
    <x v="0"/>
    <x v="2"/>
    <x v="3"/>
    <s v="South"/>
    <x v="1"/>
    <n v="4.5999999999999996"/>
    <n v="80"/>
    <n v="6"/>
    <d v="2024-03-31T00:00:00"/>
    <n v="7"/>
    <n v="1"/>
    <x v="1"/>
    <x v="2"/>
    <n v="17.39130434782609"/>
    <n v="5"/>
    <s v="No"/>
  </r>
  <r>
    <x v="1290"/>
    <x v="113"/>
    <x v="1"/>
    <s v="West"/>
    <x v="4"/>
    <x v="0"/>
    <x v="1"/>
    <s v="North"/>
    <x v="0"/>
    <n v="7.3"/>
    <n v="868"/>
    <n v="4"/>
    <d v="2024-04-20T00:00:00"/>
    <n v="3"/>
    <n v="-1"/>
    <x v="0"/>
    <x v="0"/>
    <n v="118.9041095890411"/>
    <n v="2"/>
    <s v="No"/>
  </r>
  <r>
    <x v="1291"/>
    <x v="76"/>
    <x v="4"/>
    <s v="East"/>
    <x v="5"/>
    <x v="0"/>
    <x v="3"/>
    <s v="East"/>
    <x v="1"/>
    <n v="2.2999999999999998"/>
    <n v="332"/>
    <n v="2"/>
    <d v="2024-01-28T00:00:00"/>
    <n v="1"/>
    <n v="-1"/>
    <x v="0"/>
    <x v="0"/>
    <n v="144.34782608695653"/>
    <n v="3"/>
    <s v="No"/>
  </r>
  <r>
    <x v="1292"/>
    <x v="154"/>
    <x v="1"/>
    <s v="West"/>
    <x v="0"/>
    <x v="1"/>
    <x v="4"/>
    <s v="North"/>
    <x v="0"/>
    <n v="13.8"/>
    <n v="188"/>
    <n v="6"/>
    <d v="2024-01-13T00:00:00"/>
    <n v="12"/>
    <n v="6"/>
    <x v="1"/>
    <x v="2"/>
    <n v="13.623188405797102"/>
    <n v="3"/>
    <s v="Yes"/>
  </r>
  <r>
    <x v="1293"/>
    <x v="137"/>
    <x v="3"/>
    <s v="South"/>
    <x v="5"/>
    <x v="0"/>
    <x v="4"/>
    <s v="North"/>
    <x v="0"/>
    <n v="54.3"/>
    <n v="313"/>
    <n v="4"/>
    <d v="2024-05-02T00:00:00"/>
    <n v="10"/>
    <n v="6"/>
    <x v="1"/>
    <x v="2"/>
    <n v="5.764272559852671"/>
    <n v="2"/>
    <s v="No"/>
  </r>
  <r>
    <x v="1294"/>
    <x v="126"/>
    <x v="3"/>
    <s v="South"/>
    <x v="5"/>
    <x v="0"/>
    <x v="5"/>
    <s v="East"/>
    <x v="0"/>
    <n v="79.900000000000006"/>
    <n v="1269"/>
    <n v="4"/>
    <d v="2024-01-28T00:00:00"/>
    <n v="13"/>
    <n v="9"/>
    <x v="1"/>
    <x v="2"/>
    <n v="15.882352941176469"/>
    <n v="4"/>
    <s v="Yes"/>
  </r>
  <r>
    <x v="1295"/>
    <x v="118"/>
    <x v="3"/>
    <s v="South"/>
    <x v="1"/>
    <x v="2"/>
    <x v="0"/>
    <s v="North"/>
    <x v="0"/>
    <n v="14.1"/>
    <n v="304"/>
    <n v="8"/>
    <d v="2024-06-20T00:00:00"/>
    <n v="12"/>
    <n v="4"/>
    <x v="1"/>
    <x v="2"/>
    <n v="21.560283687943262"/>
    <n v="2"/>
    <s v="No"/>
  </r>
  <r>
    <x v="1296"/>
    <x v="141"/>
    <x v="2"/>
    <s v="North"/>
    <x v="0"/>
    <x v="2"/>
    <x v="3"/>
    <s v="West"/>
    <x v="0"/>
    <n v="42.3"/>
    <n v="224"/>
    <n v="8"/>
    <d v="2024-05-25T00:00:00"/>
    <n v="9"/>
    <n v="1"/>
    <x v="1"/>
    <x v="2"/>
    <n v="5.295508274231679"/>
    <n v="5"/>
    <s v="No"/>
  </r>
  <r>
    <x v="1297"/>
    <x v="108"/>
    <x v="0"/>
    <s v="South"/>
    <x v="0"/>
    <x v="1"/>
    <x v="2"/>
    <s v="North"/>
    <x v="0"/>
    <n v="62.7"/>
    <n v="669"/>
    <n v="6"/>
    <d v="2024-04-29T00:00:00"/>
    <n v="9"/>
    <n v="3"/>
    <x v="1"/>
    <x v="2"/>
    <n v="10.669856459330143"/>
    <n v="5"/>
    <s v="Yes"/>
  </r>
  <r>
    <x v="1298"/>
    <x v="126"/>
    <x v="5"/>
    <s v="West"/>
    <x v="5"/>
    <x v="0"/>
    <x v="1"/>
    <s v="East"/>
    <x v="0"/>
    <n v="4.7"/>
    <n v="718"/>
    <n v="4"/>
    <d v="2024-01-19T00:00:00"/>
    <n v="4"/>
    <n v="0"/>
    <x v="0"/>
    <x v="0"/>
    <n v="152.7659574468085"/>
    <n v="3"/>
    <s v="Yes"/>
  </r>
  <r>
    <x v="1299"/>
    <x v="37"/>
    <x v="3"/>
    <s v="South"/>
    <x v="0"/>
    <x v="1"/>
    <x v="5"/>
    <s v="South"/>
    <x v="1"/>
    <n v="9.9"/>
    <n v="867"/>
    <n v="4"/>
    <d v="2024-01-16T00:00:00"/>
    <n v="8"/>
    <n v="4"/>
    <x v="1"/>
    <x v="2"/>
    <n v="87.575757575757578"/>
    <n v="2"/>
    <s v="Yes"/>
  </r>
  <r>
    <x v="1300"/>
    <x v="155"/>
    <x v="4"/>
    <s v="East"/>
    <x v="2"/>
    <x v="1"/>
    <x v="4"/>
    <s v="South"/>
    <x v="0"/>
    <n v="7.9"/>
    <n v="248"/>
    <n v="6"/>
    <d v="2024-03-15T00:00:00"/>
    <n v="7"/>
    <n v="1"/>
    <x v="1"/>
    <x v="2"/>
    <n v="31.39240506329114"/>
    <n v="2"/>
    <s v="No"/>
  </r>
  <r>
    <x v="1301"/>
    <x v="80"/>
    <x v="3"/>
    <s v="South"/>
    <x v="2"/>
    <x v="2"/>
    <x v="2"/>
    <s v="East"/>
    <x v="0"/>
    <n v="2.6"/>
    <n v="682"/>
    <n v="8"/>
    <d v="2024-05-06T00:00:00"/>
    <n v="15"/>
    <n v="7"/>
    <x v="1"/>
    <x v="2"/>
    <n v="262.30769230769232"/>
    <n v="3"/>
    <s v="Yes"/>
  </r>
  <r>
    <x v="1302"/>
    <x v="9"/>
    <x v="3"/>
    <s v="South"/>
    <x v="1"/>
    <x v="2"/>
    <x v="1"/>
    <s v="West"/>
    <x v="0"/>
    <n v="15.2"/>
    <n v="376"/>
    <n v="8"/>
    <d v="2024-06-20T00:00:00"/>
    <n v="9"/>
    <n v="1"/>
    <x v="1"/>
    <x v="2"/>
    <n v="24.736842105263158"/>
    <n v="3"/>
    <s v="Yes"/>
  </r>
  <r>
    <x v="1303"/>
    <x v="76"/>
    <x v="3"/>
    <s v="South"/>
    <x v="5"/>
    <x v="1"/>
    <x v="0"/>
    <s v="North"/>
    <x v="0"/>
    <n v="7.6"/>
    <n v="278"/>
    <n v="6"/>
    <d v="2024-02-04T00:00:00"/>
    <n v="8"/>
    <n v="2"/>
    <x v="1"/>
    <x v="2"/>
    <n v="36.578947368421055"/>
    <n v="2"/>
    <s v="Yes"/>
  </r>
  <r>
    <x v="1304"/>
    <x v="75"/>
    <x v="0"/>
    <s v="South"/>
    <x v="0"/>
    <x v="0"/>
    <x v="5"/>
    <s v="East"/>
    <x v="0"/>
    <n v="2.6"/>
    <n v="1534"/>
    <n v="4"/>
    <d v="2024-01-28T00:00:00"/>
    <n v="5"/>
    <n v="1"/>
    <x v="1"/>
    <x v="2"/>
    <n v="590"/>
    <n v="2"/>
    <s v="No"/>
  </r>
  <r>
    <x v="1305"/>
    <x v="141"/>
    <x v="1"/>
    <s v="West"/>
    <x v="1"/>
    <x v="1"/>
    <x v="0"/>
    <s v="West"/>
    <x v="1"/>
    <n v="2.9"/>
    <n v="80"/>
    <n v="4"/>
    <d v="2024-05-21T00:00:00"/>
    <n v="5"/>
    <n v="1"/>
    <x v="1"/>
    <x v="2"/>
    <n v="27.586206896551726"/>
    <n v="1"/>
    <s v="Yes"/>
  </r>
  <r>
    <x v="1306"/>
    <x v="150"/>
    <x v="4"/>
    <s v="East"/>
    <x v="2"/>
    <x v="2"/>
    <x v="3"/>
    <s v="East"/>
    <x v="1"/>
    <n v="24.2"/>
    <n v="80"/>
    <n v="6"/>
    <d v="2024-03-04T00:00:00"/>
    <n v="6"/>
    <n v="0"/>
    <x v="0"/>
    <x v="0"/>
    <n v="3.3057851239669422"/>
    <n v="3"/>
    <s v="No"/>
  </r>
  <r>
    <x v="1307"/>
    <x v="60"/>
    <x v="2"/>
    <s v="North"/>
    <x v="4"/>
    <x v="2"/>
    <x v="1"/>
    <s v="North"/>
    <x v="1"/>
    <n v="7.6"/>
    <n v="235"/>
    <n v="6"/>
    <d v="2024-03-06T00:00:00"/>
    <n v="5"/>
    <n v="-1"/>
    <x v="0"/>
    <x v="0"/>
    <n v="30.921052631578949"/>
    <n v="5"/>
    <s v="No"/>
  </r>
  <r>
    <x v="1308"/>
    <x v="147"/>
    <x v="0"/>
    <s v="South"/>
    <x v="4"/>
    <x v="1"/>
    <x v="2"/>
    <s v="East"/>
    <x v="0"/>
    <n v="5.3"/>
    <n v="605"/>
    <n v="6"/>
    <s v=""/>
    <s v=""/>
    <s v=""/>
    <x v="2"/>
    <x v="4"/>
    <n v="114.15094339622642"/>
    <n v="0"/>
    <s v="No"/>
  </r>
  <r>
    <x v="1309"/>
    <x v="101"/>
    <x v="4"/>
    <s v="East"/>
    <x v="4"/>
    <x v="0"/>
    <x v="5"/>
    <s v="West"/>
    <x v="0"/>
    <n v="22.6"/>
    <n v="2518"/>
    <n v="4"/>
    <d v="2024-05-15T00:00:00"/>
    <n v="12"/>
    <n v="8"/>
    <x v="1"/>
    <x v="2"/>
    <n v="111.41592920353982"/>
    <n v="2"/>
    <s v="No"/>
  </r>
  <r>
    <x v="1310"/>
    <x v="8"/>
    <x v="4"/>
    <s v="East"/>
    <x v="5"/>
    <x v="0"/>
    <x v="4"/>
    <s v="South"/>
    <x v="0"/>
    <n v="12.1"/>
    <n v="221"/>
    <n v="4"/>
    <d v="2024-02-08T00:00:00"/>
    <n v="3"/>
    <n v="-1"/>
    <x v="0"/>
    <x v="0"/>
    <n v="18.264462809917354"/>
    <n v="5"/>
    <s v="Yes"/>
  </r>
  <r>
    <x v="1311"/>
    <x v="119"/>
    <x v="1"/>
    <s v="West"/>
    <x v="1"/>
    <x v="0"/>
    <x v="3"/>
    <s v="East"/>
    <x v="0"/>
    <n v="40.299999999999997"/>
    <n v="291"/>
    <n v="4"/>
    <d v="2024-07-03T00:00:00"/>
    <n v="7"/>
    <n v="3"/>
    <x v="1"/>
    <x v="2"/>
    <n v="7.2208436724565761"/>
    <n v="2"/>
    <s v="No"/>
  </r>
  <r>
    <x v="1312"/>
    <x v="142"/>
    <x v="2"/>
    <s v="North"/>
    <x v="4"/>
    <x v="2"/>
    <x v="2"/>
    <s v="West"/>
    <x v="0"/>
    <n v="3.3"/>
    <n v="647"/>
    <n v="8"/>
    <d v="2024-03-27T00:00:00"/>
    <n v="10"/>
    <n v="2"/>
    <x v="1"/>
    <x v="2"/>
    <n v="196.06060606060606"/>
    <n v="2"/>
    <s v="No"/>
  </r>
  <r>
    <x v="1313"/>
    <x v="15"/>
    <x v="3"/>
    <s v="South"/>
    <x v="5"/>
    <x v="0"/>
    <x v="5"/>
    <s v="North"/>
    <x v="0"/>
    <n v="37"/>
    <n v="3255"/>
    <n v="4"/>
    <d v="2024-05-06T00:00:00"/>
    <n v="4"/>
    <n v="0"/>
    <x v="0"/>
    <x v="1"/>
    <n v="87.972972972972968"/>
    <n v="0"/>
    <s v="No"/>
  </r>
  <r>
    <x v="1314"/>
    <x v="143"/>
    <x v="0"/>
    <s v="South"/>
    <x v="0"/>
    <x v="0"/>
    <x v="5"/>
    <s v="East"/>
    <x v="0"/>
    <n v="3.7"/>
    <n v="2558"/>
    <n v="4"/>
    <d v="2024-05-17T00:00:00"/>
    <n v="8"/>
    <n v="4"/>
    <x v="1"/>
    <x v="2"/>
    <n v="691.35135135135135"/>
    <n v="3"/>
    <s v="Yes"/>
  </r>
  <r>
    <x v="1315"/>
    <x v="7"/>
    <x v="0"/>
    <s v="South"/>
    <x v="1"/>
    <x v="2"/>
    <x v="3"/>
    <s v="West"/>
    <x v="0"/>
    <n v="14.5"/>
    <n v="174"/>
    <n v="8"/>
    <d v="2024-02-03T00:00:00"/>
    <n v="9"/>
    <n v="1"/>
    <x v="1"/>
    <x v="2"/>
    <n v="12"/>
    <n v="2"/>
    <s v="Yes"/>
  </r>
  <r>
    <x v="1316"/>
    <x v="136"/>
    <x v="3"/>
    <s v="South"/>
    <x v="1"/>
    <x v="2"/>
    <x v="5"/>
    <s v="West"/>
    <x v="0"/>
    <n v="5.2"/>
    <n v="784"/>
    <n v="8"/>
    <d v="2024-03-23T00:00:00"/>
    <n v="12"/>
    <n v="4"/>
    <x v="1"/>
    <x v="2"/>
    <n v="150.76923076923077"/>
    <n v="3"/>
    <s v="No"/>
  </r>
  <r>
    <x v="1317"/>
    <x v="76"/>
    <x v="3"/>
    <s v="South"/>
    <x v="2"/>
    <x v="0"/>
    <x v="2"/>
    <s v="South"/>
    <x v="1"/>
    <n v="29.7"/>
    <n v="349"/>
    <n v="2"/>
    <d v="2024-01-28T00:00:00"/>
    <n v="1"/>
    <n v="-1"/>
    <x v="0"/>
    <x v="0"/>
    <n v="11.750841750841751"/>
    <n v="5"/>
    <s v="No"/>
  </r>
  <r>
    <x v="1318"/>
    <x v="166"/>
    <x v="1"/>
    <s v="West"/>
    <x v="0"/>
    <x v="1"/>
    <x v="3"/>
    <s v="West"/>
    <x v="1"/>
    <n v="1.1000000000000001"/>
    <n v="80"/>
    <n v="4"/>
    <d v="2024-06-12T00:00:00"/>
    <n v="5"/>
    <n v="1"/>
    <x v="1"/>
    <x v="2"/>
    <n v="72.72727272727272"/>
    <n v="1"/>
    <s v="No"/>
  </r>
  <r>
    <x v="1319"/>
    <x v="76"/>
    <x v="4"/>
    <s v="East"/>
    <x v="1"/>
    <x v="1"/>
    <x v="4"/>
    <s v="West"/>
    <x v="0"/>
    <n v="3.7"/>
    <n v="186"/>
    <n v="6"/>
    <d v="2024-02-02T00:00:00"/>
    <n v="6"/>
    <n v="0"/>
    <x v="0"/>
    <x v="0"/>
    <n v="50.270270270270267"/>
    <n v="4"/>
    <s v="No"/>
  </r>
  <r>
    <x v="1320"/>
    <x v="63"/>
    <x v="1"/>
    <s v="West"/>
    <x v="2"/>
    <x v="0"/>
    <x v="2"/>
    <s v="West"/>
    <x v="1"/>
    <n v="14.8"/>
    <n v="1491"/>
    <n v="2"/>
    <d v="2024-04-19T00:00:00"/>
    <n v="1"/>
    <n v="-1"/>
    <x v="0"/>
    <x v="3"/>
    <n v="100.74324324324324"/>
    <n v="0"/>
    <s v="No"/>
  </r>
  <r>
    <x v="1321"/>
    <x v="145"/>
    <x v="1"/>
    <s v="West"/>
    <x v="7"/>
    <x v="0"/>
    <x v="5"/>
    <s v="South"/>
    <x v="0"/>
    <n v="19.8"/>
    <n v="3287"/>
    <n v="4"/>
    <d v="2024-06-22T00:00:00"/>
    <n v="9"/>
    <n v="5"/>
    <x v="1"/>
    <x v="2"/>
    <n v="166.01010101010101"/>
    <n v="2"/>
    <s v="Yes"/>
  </r>
  <r>
    <x v="1322"/>
    <x v="114"/>
    <x v="3"/>
    <s v="South"/>
    <x v="0"/>
    <x v="2"/>
    <x v="3"/>
    <s v="East"/>
    <x v="0"/>
    <n v="52.5"/>
    <n v="202"/>
    <n v="8"/>
    <d v="2024-02-18T00:00:00"/>
    <n v="8"/>
    <n v="0"/>
    <x v="0"/>
    <x v="0"/>
    <n v="3.8476190476190477"/>
    <n v="2"/>
    <s v="Yes"/>
  </r>
  <r>
    <x v="1323"/>
    <x v="50"/>
    <x v="0"/>
    <s v="South"/>
    <x v="5"/>
    <x v="1"/>
    <x v="0"/>
    <s v="South"/>
    <x v="1"/>
    <n v="1.5"/>
    <n v="190"/>
    <n v="4"/>
    <d v="2024-02-19T00:00:00"/>
    <n v="6"/>
    <n v="2"/>
    <x v="1"/>
    <x v="2"/>
    <n v="126.66666666666667"/>
    <n v="2"/>
    <s v="No"/>
  </r>
  <r>
    <x v="1324"/>
    <x v="34"/>
    <x v="1"/>
    <s v="West"/>
    <x v="1"/>
    <x v="2"/>
    <x v="0"/>
    <s v="East"/>
    <x v="0"/>
    <n v="2.7"/>
    <n v="270"/>
    <n v="8"/>
    <d v="2024-05-19T00:00:00"/>
    <n v="8"/>
    <n v="0"/>
    <x v="0"/>
    <x v="3"/>
    <n v="100"/>
    <n v="0"/>
    <s v="Yes"/>
  </r>
  <r>
    <x v="1325"/>
    <x v="125"/>
    <x v="1"/>
    <s v="West"/>
    <x v="5"/>
    <x v="2"/>
    <x v="5"/>
    <s v="East"/>
    <x v="0"/>
    <n v="31.4"/>
    <n v="1235"/>
    <n v="8"/>
    <d v="2024-03-19T00:00:00"/>
    <n v="7"/>
    <n v="-1"/>
    <x v="0"/>
    <x v="0"/>
    <n v="39.331210191082803"/>
    <n v="4"/>
    <s v="No"/>
  </r>
  <r>
    <x v="1326"/>
    <x v="53"/>
    <x v="0"/>
    <s v="South"/>
    <x v="0"/>
    <x v="2"/>
    <x v="1"/>
    <s v="East"/>
    <x v="0"/>
    <n v="68.3"/>
    <n v="244"/>
    <n v="8"/>
    <d v="2024-01-25T00:00:00"/>
    <n v="8"/>
    <n v="0"/>
    <x v="0"/>
    <x v="0"/>
    <n v="3.5724743777452419"/>
    <n v="4"/>
    <s v="Yes"/>
  </r>
  <r>
    <x v="1327"/>
    <x v="55"/>
    <x v="5"/>
    <s v="West"/>
    <x v="0"/>
    <x v="2"/>
    <x v="3"/>
    <s v="West"/>
    <x v="1"/>
    <n v="53.1"/>
    <n v="80"/>
    <n v="6"/>
    <d v="2024-04-28T00:00:00"/>
    <n v="5"/>
    <n v="-1"/>
    <x v="0"/>
    <x v="1"/>
    <n v="1.5065913370998116"/>
    <n v="0"/>
    <s v="No"/>
  </r>
  <r>
    <x v="1328"/>
    <x v="83"/>
    <x v="4"/>
    <s v="East"/>
    <x v="4"/>
    <x v="2"/>
    <x v="0"/>
    <s v="East"/>
    <x v="1"/>
    <n v="0.9"/>
    <n v="143"/>
    <n v="6"/>
    <d v="2024-02-17T00:00:00"/>
    <n v="5"/>
    <n v="-1"/>
    <x v="0"/>
    <x v="0"/>
    <n v="158.88888888888889"/>
    <n v="4"/>
    <s v="No"/>
  </r>
  <r>
    <x v="1329"/>
    <x v="79"/>
    <x v="2"/>
    <s v="North"/>
    <x v="2"/>
    <x v="0"/>
    <x v="0"/>
    <s v="East"/>
    <x v="0"/>
    <n v="46"/>
    <n v="264"/>
    <n v="4"/>
    <d v="2024-04-05T00:00:00"/>
    <n v="3"/>
    <n v="-1"/>
    <x v="0"/>
    <x v="0"/>
    <n v="5.7391304347826084"/>
    <n v="5"/>
    <s v="No"/>
  </r>
  <r>
    <x v="1330"/>
    <x v="128"/>
    <x v="5"/>
    <s v="West"/>
    <x v="4"/>
    <x v="0"/>
    <x v="3"/>
    <s v="East"/>
    <x v="0"/>
    <n v="8.3000000000000007"/>
    <n v="469"/>
    <n v="4"/>
    <d v="2024-04-30T00:00:00"/>
    <n v="6"/>
    <n v="2"/>
    <x v="1"/>
    <x v="2"/>
    <n v="56.506024096385538"/>
    <n v="4"/>
    <s v="Yes"/>
  </r>
  <r>
    <x v="1331"/>
    <x v="164"/>
    <x v="2"/>
    <s v="North"/>
    <x v="0"/>
    <x v="0"/>
    <x v="3"/>
    <s v="East"/>
    <x v="0"/>
    <n v="1.9"/>
    <n v="319"/>
    <n v="4"/>
    <d v="2024-06-09T00:00:00"/>
    <n v="3"/>
    <n v="-1"/>
    <x v="0"/>
    <x v="0"/>
    <n v="167.89473684210526"/>
    <n v="4"/>
    <s v="No"/>
  </r>
  <r>
    <x v="1332"/>
    <x v="132"/>
    <x v="4"/>
    <s v="East"/>
    <x v="0"/>
    <x v="2"/>
    <x v="2"/>
    <s v="East"/>
    <x v="1"/>
    <n v="2.6"/>
    <n v="502"/>
    <n v="6"/>
    <d v="2024-04-22T00:00:00"/>
    <n v="7"/>
    <n v="1"/>
    <x v="1"/>
    <x v="2"/>
    <n v="193.07692307692307"/>
    <n v="3"/>
    <s v="Yes"/>
  </r>
  <r>
    <x v="1333"/>
    <x v="148"/>
    <x v="4"/>
    <s v="East"/>
    <x v="0"/>
    <x v="2"/>
    <x v="5"/>
    <s v="South"/>
    <x v="0"/>
    <n v="33.299999999999997"/>
    <n v="522"/>
    <n v="8"/>
    <d v="2024-05-16T00:00:00"/>
    <n v="9"/>
    <n v="1"/>
    <x v="1"/>
    <x v="2"/>
    <n v="15.675675675675677"/>
    <n v="2"/>
    <s v="Yes"/>
  </r>
  <r>
    <x v="1334"/>
    <x v="107"/>
    <x v="5"/>
    <s v="West"/>
    <x v="0"/>
    <x v="1"/>
    <x v="5"/>
    <s v="East"/>
    <x v="0"/>
    <n v="68.900000000000006"/>
    <n v="1700"/>
    <n v="6"/>
    <d v="2024-06-10T00:00:00"/>
    <n v="7"/>
    <n v="1"/>
    <x v="1"/>
    <x v="2"/>
    <n v="24.673439767779389"/>
    <n v="1"/>
    <s v="No"/>
  </r>
  <r>
    <x v="1335"/>
    <x v="25"/>
    <x v="2"/>
    <s v="North"/>
    <x v="2"/>
    <x v="2"/>
    <x v="0"/>
    <s v="West"/>
    <x v="0"/>
    <n v="1.3"/>
    <n v="387"/>
    <n v="8"/>
    <d v="2024-02-09T00:00:00"/>
    <n v="8"/>
    <n v="0"/>
    <x v="0"/>
    <x v="0"/>
    <n v="297.69230769230768"/>
    <n v="5"/>
    <s v="Yes"/>
  </r>
  <r>
    <x v="1336"/>
    <x v="62"/>
    <x v="4"/>
    <s v="East"/>
    <x v="4"/>
    <x v="0"/>
    <x v="1"/>
    <s v="West"/>
    <x v="0"/>
    <n v="9.3000000000000007"/>
    <n v="592"/>
    <n v="4"/>
    <d v="2024-07-03T00:00:00"/>
    <n v="6"/>
    <n v="2"/>
    <x v="1"/>
    <x v="2"/>
    <n v="63.655913978494617"/>
    <n v="3"/>
    <s v="No"/>
  </r>
  <r>
    <x v="1337"/>
    <x v="150"/>
    <x v="1"/>
    <s v="West"/>
    <x v="0"/>
    <x v="0"/>
    <x v="0"/>
    <s v="South"/>
    <x v="0"/>
    <n v="4.5999999999999996"/>
    <n v="447"/>
    <n v="4"/>
    <d v="2024-03-01T00:00:00"/>
    <n v="3"/>
    <n v="-1"/>
    <x v="0"/>
    <x v="0"/>
    <n v="97.173913043478265"/>
    <n v="5"/>
    <s v="Yes"/>
  </r>
  <r>
    <x v="1338"/>
    <x v="17"/>
    <x v="2"/>
    <s v="North"/>
    <x v="6"/>
    <x v="0"/>
    <x v="5"/>
    <s v="East"/>
    <x v="0"/>
    <n v="76.2"/>
    <n v="1449"/>
    <n v="4"/>
    <d v="2024-06-12T00:00:00"/>
    <n v="10"/>
    <n v="6"/>
    <x v="1"/>
    <x v="2"/>
    <n v="19.015748031496063"/>
    <n v="3"/>
    <s v="Yes"/>
  </r>
  <r>
    <x v="1339"/>
    <x v="155"/>
    <x v="5"/>
    <s v="West"/>
    <x v="0"/>
    <x v="1"/>
    <x v="4"/>
    <s v="West"/>
    <x v="1"/>
    <n v="4.5999999999999996"/>
    <n v="80"/>
    <n v="4"/>
    <d v="2024-03-14T00:00:00"/>
    <n v="6"/>
    <n v="2"/>
    <x v="1"/>
    <x v="2"/>
    <n v="17.39130434782609"/>
    <n v="2"/>
    <s v="Yes"/>
  </r>
  <r>
    <x v="1340"/>
    <x v="146"/>
    <x v="0"/>
    <s v="South"/>
    <x v="5"/>
    <x v="0"/>
    <x v="5"/>
    <s v="North"/>
    <x v="0"/>
    <n v="3.5"/>
    <n v="1188"/>
    <n v="4"/>
    <d v="2024-01-17T00:00:00"/>
    <n v="11"/>
    <n v="7"/>
    <x v="1"/>
    <x v="2"/>
    <n v="339.42857142857144"/>
    <n v="2"/>
    <s v="No"/>
  </r>
  <r>
    <x v="1341"/>
    <x v="123"/>
    <x v="3"/>
    <s v="South"/>
    <x v="4"/>
    <x v="1"/>
    <x v="3"/>
    <s v="East"/>
    <x v="0"/>
    <n v="6.9"/>
    <n v="238"/>
    <n v="6"/>
    <d v="2024-01-31T00:00:00"/>
    <n v="5"/>
    <n v="-1"/>
    <x v="0"/>
    <x v="0"/>
    <n v="34.492753623188406"/>
    <n v="5"/>
    <s v="No"/>
  </r>
  <r>
    <x v="1342"/>
    <x v="160"/>
    <x v="0"/>
    <s v="South"/>
    <x v="0"/>
    <x v="1"/>
    <x v="3"/>
    <s v="West"/>
    <x v="0"/>
    <n v="1.7"/>
    <n v="260"/>
    <n v="6"/>
    <d v="2024-01-09T00:00:00"/>
    <n v="5"/>
    <n v="-1"/>
    <x v="0"/>
    <x v="0"/>
    <n v="152.94117647058823"/>
    <n v="5"/>
    <s v="No"/>
  </r>
  <r>
    <x v="1343"/>
    <x v="162"/>
    <x v="3"/>
    <s v="South"/>
    <x v="1"/>
    <x v="0"/>
    <x v="3"/>
    <s v="East"/>
    <x v="0"/>
    <n v="6.4"/>
    <n v="328"/>
    <n v="4"/>
    <d v="2024-04-09T00:00:00"/>
    <n v="5"/>
    <n v="1"/>
    <x v="1"/>
    <x v="2"/>
    <n v="51.25"/>
    <n v="3"/>
    <s v="No"/>
  </r>
  <r>
    <x v="1344"/>
    <x v="167"/>
    <x v="3"/>
    <s v="South"/>
    <x v="2"/>
    <x v="1"/>
    <x v="3"/>
    <s v="East"/>
    <x v="0"/>
    <n v="4"/>
    <n v="282"/>
    <n v="6"/>
    <d v="2024-03-10T00:00:00"/>
    <n v="14"/>
    <n v="8"/>
    <x v="1"/>
    <x v="2"/>
    <n v="70.5"/>
    <n v="1"/>
    <s v="No"/>
  </r>
  <r>
    <x v="1345"/>
    <x v="125"/>
    <x v="0"/>
    <s v="South"/>
    <x v="2"/>
    <x v="2"/>
    <x v="3"/>
    <s v="West"/>
    <x v="0"/>
    <n v="37.1"/>
    <n v="238"/>
    <n v="8"/>
    <d v="2024-03-19T00:00:00"/>
    <n v="7"/>
    <n v="-1"/>
    <x v="0"/>
    <x v="0"/>
    <n v="6.415094339622641"/>
    <n v="5"/>
    <s v="No"/>
  </r>
  <r>
    <x v="1346"/>
    <x v="67"/>
    <x v="0"/>
    <s v="South"/>
    <x v="4"/>
    <x v="2"/>
    <x v="3"/>
    <s v="South"/>
    <x v="1"/>
    <n v="23.2"/>
    <n v="95"/>
    <n v="6"/>
    <d v="2024-03-22T00:00:00"/>
    <n v="6"/>
    <n v="0"/>
    <x v="0"/>
    <x v="0"/>
    <n v="4.0948275862068968"/>
    <n v="4"/>
    <s v="No"/>
  </r>
  <r>
    <x v="1347"/>
    <x v="33"/>
    <x v="5"/>
    <s v="West"/>
    <x v="4"/>
    <x v="2"/>
    <x v="1"/>
    <s v="East"/>
    <x v="0"/>
    <n v="67.900000000000006"/>
    <n v="183"/>
    <n v="8"/>
    <d v="2024-03-20T00:00:00"/>
    <n v="7"/>
    <n v="-1"/>
    <x v="0"/>
    <x v="0"/>
    <n v="2.6951399116347567"/>
    <n v="4"/>
    <s v="No"/>
  </r>
  <r>
    <x v="1348"/>
    <x v="34"/>
    <x v="2"/>
    <s v="North"/>
    <x v="5"/>
    <x v="0"/>
    <x v="4"/>
    <s v="South"/>
    <x v="0"/>
    <n v="13"/>
    <n v="324"/>
    <n v="4"/>
    <d v="2024-05-21T00:00:00"/>
    <n v="10"/>
    <n v="6"/>
    <x v="1"/>
    <x v="2"/>
    <n v="24.923076923076923"/>
    <n v="1"/>
    <s v="No"/>
  </r>
  <r>
    <x v="1349"/>
    <x v="101"/>
    <x v="4"/>
    <s v="East"/>
    <x v="7"/>
    <x v="1"/>
    <x v="4"/>
    <s v="South"/>
    <x v="0"/>
    <n v="10.1"/>
    <n v="275"/>
    <n v="6"/>
    <d v="2024-05-08T00:00:00"/>
    <n v="5"/>
    <n v="-1"/>
    <x v="0"/>
    <x v="0"/>
    <n v="27.227722772277229"/>
    <n v="4"/>
    <s v="No"/>
  </r>
  <r>
    <x v="1350"/>
    <x v="5"/>
    <x v="3"/>
    <s v="South"/>
    <x v="0"/>
    <x v="0"/>
    <x v="5"/>
    <s v="South"/>
    <x v="1"/>
    <n v="7"/>
    <n v="2286"/>
    <n v="2"/>
    <d v="2024-03-26T00:00:00"/>
    <n v="2"/>
    <n v="0"/>
    <x v="0"/>
    <x v="1"/>
    <n v="326.57142857142856"/>
    <n v="0"/>
    <s v="No"/>
  </r>
  <r>
    <x v="1351"/>
    <x v="56"/>
    <x v="0"/>
    <s v="South"/>
    <x v="5"/>
    <x v="0"/>
    <x v="4"/>
    <s v="North"/>
    <x v="0"/>
    <n v="28.8"/>
    <n v="230"/>
    <n v="4"/>
    <d v="2024-06-05T00:00:00"/>
    <n v="4"/>
    <n v="0"/>
    <x v="0"/>
    <x v="0"/>
    <n v="7.9861111111111107"/>
    <n v="5"/>
    <s v="Yes"/>
  </r>
  <r>
    <x v="1352"/>
    <x v="34"/>
    <x v="0"/>
    <s v="South"/>
    <x v="1"/>
    <x v="2"/>
    <x v="2"/>
    <s v="East"/>
    <x v="0"/>
    <n v="3.9"/>
    <n v="258"/>
    <n v="8"/>
    <d v="2024-05-20T00:00:00"/>
    <n v="9"/>
    <n v="1"/>
    <x v="1"/>
    <x v="2"/>
    <n v="66.15384615384616"/>
    <n v="4"/>
    <s v="No"/>
  </r>
  <r>
    <x v="1353"/>
    <x v="25"/>
    <x v="3"/>
    <s v="South"/>
    <x v="2"/>
    <x v="1"/>
    <x v="4"/>
    <s v="West"/>
    <x v="0"/>
    <n v="23"/>
    <n v="208"/>
    <n v="6"/>
    <d v="2024-02-08T00:00:00"/>
    <n v="7"/>
    <n v="1"/>
    <x v="1"/>
    <x v="2"/>
    <n v="9.0434782608695645"/>
    <n v="2"/>
    <s v="No"/>
  </r>
  <r>
    <x v="1354"/>
    <x v="112"/>
    <x v="1"/>
    <s v="West"/>
    <x v="2"/>
    <x v="0"/>
    <x v="0"/>
    <s v="West"/>
    <x v="1"/>
    <n v="2.8"/>
    <n v="699"/>
    <n v="2"/>
    <d v="2024-03-05T00:00:00"/>
    <n v="3"/>
    <n v="1"/>
    <x v="1"/>
    <x v="2"/>
    <n v="249.64285714285717"/>
    <n v="1"/>
    <s v="Yes"/>
  </r>
  <r>
    <x v="1355"/>
    <x v="125"/>
    <x v="3"/>
    <s v="South"/>
    <x v="0"/>
    <x v="1"/>
    <x v="0"/>
    <s v="South"/>
    <x v="1"/>
    <n v="5.3"/>
    <n v="329"/>
    <n v="4"/>
    <d v="2024-03-17T00:00:00"/>
    <n v="5"/>
    <n v="1"/>
    <x v="1"/>
    <x v="2"/>
    <n v="62.075471698113212"/>
    <n v="3"/>
    <s v="No"/>
  </r>
  <r>
    <x v="1356"/>
    <x v="117"/>
    <x v="4"/>
    <s v="East"/>
    <x v="2"/>
    <x v="2"/>
    <x v="5"/>
    <s v="North"/>
    <x v="0"/>
    <n v="3.3"/>
    <n v="697"/>
    <n v="8"/>
    <d v="2024-05-31T00:00:00"/>
    <n v="7"/>
    <n v="-1"/>
    <x v="0"/>
    <x v="0"/>
    <n v="211.21212121212122"/>
    <n v="3"/>
    <s v="No"/>
  </r>
  <r>
    <x v="1357"/>
    <x v="140"/>
    <x v="1"/>
    <s v="West"/>
    <x v="7"/>
    <x v="0"/>
    <x v="0"/>
    <s v="West"/>
    <x v="1"/>
    <n v="5.3"/>
    <n v="110"/>
    <n v="2"/>
    <d v="2024-06-24T00:00:00"/>
    <n v="9"/>
    <n v="7"/>
    <x v="1"/>
    <x v="2"/>
    <n v="20.754716981132077"/>
    <n v="3"/>
    <s v="Yes"/>
  </r>
  <r>
    <x v="1358"/>
    <x v="31"/>
    <x v="5"/>
    <s v="West"/>
    <x v="1"/>
    <x v="2"/>
    <x v="1"/>
    <s v="South"/>
    <x v="0"/>
    <n v="7.2"/>
    <n v="350"/>
    <n v="8"/>
    <d v="2024-03-12T00:00:00"/>
    <n v="7"/>
    <n v="-1"/>
    <x v="0"/>
    <x v="0"/>
    <n v="48.611111111111107"/>
    <n v="5"/>
    <s v="Yes"/>
  </r>
  <r>
    <x v="1359"/>
    <x v="116"/>
    <x v="4"/>
    <s v="East"/>
    <x v="1"/>
    <x v="1"/>
    <x v="5"/>
    <s v="South"/>
    <x v="0"/>
    <n v="3.8"/>
    <n v="1472"/>
    <n v="6"/>
    <d v="2024-05-05T00:00:00"/>
    <n v="7"/>
    <n v="1"/>
    <x v="1"/>
    <x v="2"/>
    <n v="387.36842105263162"/>
    <n v="2"/>
    <s v="Yes"/>
  </r>
  <r>
    <x v="1360"/>
    <x v="71"/>
    <x v="1"/>
    <s v="West"/>
    <x v="1"/>
    <x v="0"/>
    <x v="2"/>
    <s v="East"/>
    <x v="0"/>
    <n v="4"/>
    <n v="1691"/>
    <n v="4"/>
    <d v="2024-06-18T00:00:00"/>
    <n v="4"/>
    <n v="0"/>
    <x v="0"/>
    <x v="0"/>
    <n v="422.75"/>
    <n v="5"/>
    <s v="No"/>
  </r>
  <r>
    <x v="1361"/>
    <x v="144"/>
    <x v="2"/>
    <s v="North"/>
    <x v="4"/>
    <x v="1"/>
    <x v="4"/>
    <s v="East"/>
    <x v="0"/>
    <n v="3"/>
    <n v="235"/>
    <n v="6"/>
    <d v="2024-04-30T00:00:00"/>
    <n v="5"/>
    <n v="-1"/>
    <x v="0"/>
    <x v="0"/>
    <n v="78.333333333333329"/>
    <n v="5"/>
    <s v="Yes"/>
  </r>
  <r>
    <x v="1362"/>
    <x v="13"/>
    <x v="2"/>
    <s v="North"/>
    <x v="0"/>
    <x v="1"/>
    <x v="1"/>
    <s v="North"/>
    <x v="1"/>
    <n v="3.4"/>
    <n v="200"/>
    <n v="4"/>
    <d v="2024-01-07T00:00:00"/>
    <n v="5"/>
    <n v="1"/>
    <x v="1"/>
    <x v="2"/>
    <n v="58.82352941176471"/>
    <n v="3"/>
    <s v="No"/>
  </r>
  <r>
    <x v="1363"/>
    <x v="35"/>
    <x v="3"/>
    <s v="South"/>
    <x v="4"/>
    <x v="0"/>
    <x v="2"/>
    <s v="East"/>
    <x v="0"/>
    <n v="51.4"/>
    <n v="1452"/>
    <n v="4"/>
    <d v="2024-01-24T00:00:00"/>
    <n v="3"/>
    <n v="-1"/>
    <x v="0"/>
    <x v="0"/>
    <n v="28.249027237354085"/>
    <n v="4"/>
    <s v="Yes"/>
  </r>
  <r>
    <x v="1364"/>
    <x v="165"/>
    <x v="0"/>
    <s v="South"/>
    <x v="0"/>
    <x v="1"/>
    <x v="2"/>
    <s v="East"/>
    <x v="0"/>
    <s v=""/>
    <n v="732"/>
    <n v="6"/>
    <d v="2024-02-22T00:00:00"/>
    <n v="6"/>
    <n v="0"/>
    <x v="0"/>
    <x v="0"/>
    <s v=""/>
    <n v="3"/>
    <s v="No"/>
  </r>
  <r>
    <x v="1365"/>
    <x v="131"/>
    <x v="4"/>
    <s v="East"/>
    <x v="0"/>
    <x v="2"/>
    <x v="4"/>
    <s v="South"/>
    <x v="0"/>
    <n v="5.2"/>
    <n v="154"/>
    <n v="8"/>
    <d v="2024-04-03T00:00:00"/>
    <n v="12"/>
    <n v="4"/>
    <x v="1"/>
    <x v="2"/>
    <n v="29.615384615384613"/>
    <n v="3"/>
    <s v="Yes"/>
  </r>
  <r>
    <x v="1366"/>
    <x v="31"/>
    <x v="3"/>
    <s v="South"/>
    <x v="5"/>
    <x v="2"/>
    <x v="0"/>
    <s v="South"/>
    <x v="1"/>
    <n v="1.2"/>
    <n v="171"/>
    <n v="6"/>
    <d v="2024-03-15T00:00:00"/>
    <n v="10"/>
    <n v="4"/>
    <x v="1"/>
    <x v="2"/>
    <n v="142.5"/>
    <n v="5"/>
    <s v="No"/>
  </r>
  <r>
    <x v="1367"/>
    <x v="62"/>
    <x v="0"/>
    <s v="South"/>
    <x v="5"/>
    <x v="2"/>
    <x v="4"/>
    <s v="East"/>
    <x v="0"/>
    <n v="14.9"/>
    <n v="236"/>
    <n v="8"/>
    <s v=""/>
    <s v=""/>
    <s v=""/>
    <x v="2"/>
    <x v="4"/>
    <n v="15.838926174496644"/>
    <n v="0"/>
    <s v="Yes"/>
  </r>
  <r>
    <x v="1368"/>
    <x v="125"/>
    <x v="0"/>
    <s v="South"/>
    <x v="0"/>
    <x v="2"/>
    <x v="5"/>
    <s v="East"/>
    <x v="0"/>
    <n v="14.6"/>
    <n v="695"/>
    <n v="8"/>
    <d v="2024-03-21T00:00:00"/>
    <n v="9"/>
    <n v="1"/>
    <x v="1"/>
    <x v="2"/>
    <n v="47.602739726027401"/>
    <n v="3"/>
    <s v="No"/>
  </r>
  <r>
    <x v="1369"/>
    <x v="51"/>
    <x v="4"/>
    <s v="East"/>
    <x v="0"/>
    <x v="0"/>
    <x v="5"/>
    <s v="West"/>
    <x v="0"/>
    <n v="35.200000000000003"/>
    <n v="2589"/>
    <n v="4"/>
    <d v="2024-01-19T00:00:00"/>
    <n v="5"/>
    <n v="1"/>
    <x v="1"/>
    <x v="2"/>
    <n v="73.55113636363636"/>
    <n v="1"/>
    <s v="Yes"/>
  </r>
  <r>
    <x v="1370"/>
    <x v="55"/>
    <x v="0"/>
    <s v="South"/>
    <x v="4"/>
    <x v="0"/>
    <x v="5"/>
    <s v="North"/>
    <x v="0"/>
    <n v="2.5"/>
    <n v="1223"/>
    <n v="4"/>
    <d v="2024-04-30T00:00:00"/>
    <n v="7"/>
    <n v="3"/>
    <x v="1"/>
    <x v="2"/>
    <n v="489.2"/>
    <n v="3"/>
    <s v="Yes"/>
  </r>
  <r>
    <x v="1371"/>
    <x v="101"/>
    <x v="5"/>
    <s v="West"/>
    <x v="4"/>
    <x v="0"/>
    <x v="1"/>
    <s v="South"/>
    <x v="0"/>
    <n v="13"/>
    <n v="439"/>
    <n v="4"/>
    <d v="2024-05-08T00:00:00"/>
    <n v="5"/>
    <n v="1"/>
    <x v="1"/>
    <x v="2"/>
    <n v="33.769230769230766"/>
    <n v="3"/>
    <s v="Yes"/>
  </r>
  <r>
    <x v="1372"/>
    <x v="102"/>
    <x v="1"/>
    <s v="West"/>
    <x v="0"/>
    <x v="0"/>
    <x v="0"/>
    <s v="South"/>
    <x v="0"/>
    <n v="59.1"/>
    <n v="711"/>
    <n v="4"/>
    <d v="2024-04-12T00:00:00"/>
    <n v="5"/>
    <n v="1"/>
    <x v="1"/>
    <x v="2"/>
    <n v="12.030456852791877"/>
    <n v="3"/>
    <s v="No"/>
  </r>
  <r>
    <x v="1373"/>
    <x v="93"/>
    <x v="2"/>
    <s v="North"/>
    <x v="4"/>
    <x v="0"/>
    <x v="5"/>
    <s v="North"/>
    <x v="1"/>
    <n v="34"/>
    <n v="1977"/>
    <n v="2"/>
    <d v="2024-01-26T00:00:00"/>
    <n v="2"/>
    <n v="0"/>
    <x v="0"/>
    <x v="0"/>
    <n v="58.147058823529413"/>
    <n v="5"/>
    <s v="No"/>
  </r>
  <r>
    <x v="1374"/>
    <x v="112"/>
    <x v="0"/>
    <s v="South"/>
    <x v="0"/>
    <x v="2"/>
    <x v="4"/>
    <s v="West"/>
    <x v="0"/>
    <n v="2.2000000000000002"/>
    <n v="155"/>
    <n v="8"/>
    <d v="2024-03-19T00:00:00"/>
    <n v="17"/>
    <n v="9"/>
    <x v="1"/>
    <x v="2"/>
    <n v="70.454545454545453"/>
    <n v="2"/>
    <s v="Yes"/>
  </r>
  <r>
    <x v="1375"/>
    <x v="149"/>
    <x v="1"/>
    <s v="West"/>
    <x v="4"/>
    <x v="1"/>
    <x v="1"/>
    <s v="North"/>
    <x v="0"/>
    <n v="5.3"/>
    <n v="423"/>
    <n v="6"/>
    <d v="2024-05-11T00:00:00"/>
    <n v="6"/>
    <n v="0"/>
    <x v="0"/>
    <x v="0"/>
    <n v="79.811320754716988"/>
    <n v="3"/>
    <s v="No"/>
  </r>
  <r>
    <x v="1376"/>
    <x v="130"/>
    <x v="1"/>
    <s v="West"/>
    <x v="0"/>
    <x v="0"/>
    <x v="4"/>
    <s v="North"/>
    <x v="0"/>
    <n v="9.5"/>
    <n v="189"/>
    <n v="4"/>
    <d v="2024-03-19T00:00:00"/>
    <n v="4"/>
    <n v="0"/>
    <x v="0"/>
    <x v="0"/>
    <n v="19.894736842105264"/>
    <n v="4"/>
    <s v="No"/>
  </r>
  <r>
    <x v="1377"/>
    <x v="139"/>
    <x v="0"/>
    <s v="South"/>
    <x v="4"/>
    <x v="1"/>
    <x v="5"/>
    <s v="North"/>
    <x v="0"/>
    <n v="28.9"/>
    <n v="1836"/>
    <n v="6"/>
    <d v="2024-01-23T00:00:00"/>
    <n v="7"/>
    <n v="1"/>
    <x v="1"/>
    <x v="2"/>
    <n v="63.529411764705884"/>
    <n v="1"/>
    <s v="No"/>
  </r>
  <r>
    <x v="1378"/>
    <x v="75"/>
    <x v="4"/>
    <s v="East"/>
    <x v="5"/>
    <x v="1"/>
    <x v="2"/>
    <s v="North"/>
    <x v="0"/>
    <n v="27.1"/>
    <n v="328"/>
    <n v="6"/>
    <d v="2024-02-06T00:00:00"/>
    <n v="14"/>
    <n v="8"/>
    <x v="1"/>
    <x v="2"/>
    <n v="12.103321033210332"/>
    <n v="4"/>
    <s v="Yes"/>
  </r>
  <r>
    <x v="1379"/>
    <x v="158"/>
    <x v="5"/>
    <s v="West"/>
    <x v="2"/>
    <x v="0"/>
    <x v="4"/>
    <s v="North"/>
    <x v="0"/>
    <n v="1.1000000000000001"/>
    <n v="341"/>
    <n v="4"/>
    <d v="2024-05-21T00:00:00"/>
    <n v="6"/>
    <n v="2"/>
    <x v="1"/>
    <x v="2"/>
    <n v="310"/>
    <n v="3"/>
    <s v="No"/>
  </r>
  <r>
    <x v="1380"/>
    <x v="45"/>
    <x v="2"/>
    <s v="North"/>
    <x v="4"/>
    <x v="2"/>
    <x v="1"/>
    <s v="North"/>
    <x v="1"/>
    <n v="10.9"/>
    <n v="113"/>
    <n v="6"/>
    <d v="2024-04-07T00:00:00"/>
    <n v="6"/>
    <n v="0"/>
    <x v="0"/>
    <x v="0"/>
    <n v="10.36697247706422"/>
    <n v="2"/>
    <s v="No"/>
  </r>
  <r>
    <x v="1381"/>
    <x v="140"/>
    <x v="3"/>
    <s v="South"/>
    <x v="5"/>
    <x v="2"/>
    <x v="5"/>
    <s v="West"/>
    <x v="0"/>
    <n v="2.9"/>
    <n v="1113"/>
    <n v="8"/>
    <d v="2024-06-22T00:00:00"/>
    <n v="7"/>
    <n v="-1"/>
    <x v="0"/>
    <x v="0"/>
    <n v="383.79310344827587"/>
    <n v="5"/>
    <s v="Yes"/>
  </r>
  <r>
    <x v="1382"/>
    <x v="148"/>
    <x v="0"/>
    <s v="South"/>
    <x v="7"/>
    <x v="1"/>
    <x v="0"/>
    <s v="North"/>
    <x v="0"/>
    <n v="40.700000000000003"/>
    <n v="489"/>
    <n v="6"/>
    <d v="2024-05-14T00:00:00"/>
    <n v="7"/>
    <n v="1"/>
    <x v="1"/>
    <x v="2"/>
    <n v="12.014742014742014"/>
    <n v="4"/>
    <s v="No"/>
  </r>
  <r>
    <x v="1383"/>
    <x v="95"/>
    <x v="1"/>
    <s v="West"/>
    <x v="0"/>
    <x v="2"/>
    <x v="3"/>
    <s v="West"/>
    <x v="1"/>
    <n v="53.4"/>
    <n v="80"/>
    <n v="6"/>
    <d v="2024-02-15T00:00:00"/>
    <n v="13"/>
    <n v="7"/>
    <x v="1"/>
    <x v="3"/>
    <n v="1.4981273408239701"/>
    <n v="0"/>
    <s v="Yes"/>
  </r>
  <r>
    <x v="1384"/>
    <x v="149"/>
    <x v="0"/>
    <s v="South"/>
    <x v="2"/>
    <x v="0"/>
    <x v="2"/>
    <s v="South"/>
    <x v="1"/>
    <n v="23.2"/>
    <n v="1614"/>
    <n v="2"/>
    <d v="2024-05-08T00:00:00"/>
    <n v="3"/>
    <n v="1"/>
    <x v="1"/>
    <x v="2"/>
    <n v="69.568965517241381"/>
    <n v="4"/>
    <s v="Yes"/>
  </r>
  <r>
    <x v="1385"/>
    <x v="125"/>
    <x v="3"/>
    <s v="South"/>
    <x v="3"/>
    <x v="0"/>
    <x v="5"/>
    <s v="South"/>
    <x v="1"/>
    <n v="7"/>
    <n v="866"/>
    <n v="2"/>
    <d v="2024-03-15T00:00:00"/>
    <n v="3"/>
    <n v="1"/>
    <x v="1"/>
    <x v="2"/>
    <n v="123.71428571428571"/>
    <n v="1"/>
    <s v="Yes"/>
  </r>
  <r>
    <x v="1386"/>
    <x v="18"/>
    <x v="5"/>
    <s v="West"/>
    <x v="4"/>
    <x v="0"/>
    <x v="2"/>
    <s v="South"/>
    <x v="0"/>
    <n v="11.8"/>
    <n v="1086"/>
    <n v="4"/>
    <d v="2024-01-15T00:00:00"/>
    <n v="4"/>
    <n v="0"/>
    <x v="0"/>
    <x v="0"/>
    <n v="92.033898305084733"/>
    <n v="4"/>
    <s v="Yes"/>
  </r>
  <r>
    <x v="1387"/>
    <x v="134"/>
    <x v="4"/>
    <s v="East"/>
    <x v="5"/>
    <x v="2"/>
    <x v="1"/>
    <s v="West"/>
    <x v="0"/>
    <n v="43.3"/>
    <n v="472"/>
    <n v="8"/>
    <d v="2024-03-12T00:00:00"/>
    <n v="9"/>
    <n v="1"/>
    <x v="1"/>
    <x v="2"/>
    <n v="10.900692840646652"/>
    <n v="3"/>
    <s v="Yes"/>
  </r>
  <r>
    <x v="1388"/>
    <x v="122"/>
    <x v="5"/>
    <s v="West"/>
    <x v="2"/>
    <x v="0"/>
    <x v="4"/>
    <s v="West"/>
    <x v="1"/>
    <n v="1.4"/>
    <n v="80"/>
    <n v="2"/>
    <d v="2024-01-15T00:00:00"/>
    <n v="3"/>
    <n v="1"/>
    <x v="1"/>
    <x v="2"/>
    <n v="57.142857142857146"/>
    <n v="4"/>
    <s v="Yes"/>
  </r>
  <r>
    <x v="1389"/>
    <x v="110"/>
    <x v="4"/>
    <s v="East"/>
    <x v="1"/>
    <x v="2"/>
    <x v="3"/>
    <s v="East"/>
    <x v="1"/>
    <n v="13.1"/>
    <n v="99"/>
    <n v="6"/>
    <d v="2024-01-25T00:00:00"/>
    <n v="5"/>
    <n v="-1"/>
    <x v="0"/>
    <x v="0"/>
    <n v="7.5572519083969469"/>
    <n v="1"/>
    <s v="No"/>
  </r>
  <r>
    <x v="1390"/>
    <x v="20"/>
    <x v="5"/>
    <s v="West"/>
    <x v="0"/>
    <x v="0"/>
    <x v="3"/>
    <s v="West"/>
    <x v="1"/>
    <n v="1.3"/>
    <n v="329"/>
    <n v="2"/>
    <d v="2024-01-09T00:00:00"/>
    <n v="2"/>
    <n v="0"/>
    <x v="0"/>
    <x v="3"/>
    <n v="253.07692307692307"/>
    <n v="0"/>
    <s v="No"/>
  </r>
  <r>
    <x v="1391"/>
    <x v="98"/>
    <x v="3"/>
    <s v="South"/>
    <x v="1"/>
    <x v="0"/>
    <x v="4"/>
    <s v="North"/>
    <x v="0"/>
    <n v="75.900000000000006"/>
    <n v="183"/>
    <n v="4"/>
    <d v="2024-01-10T00:00:00"/>
    <n v="5"/>
    <n v="1"/>
    <x v="1"/>
    <x v="2"/>
    <n v="2.4110671936758892"/>
    <n v="4"/>
    <s v="No"/>
  </r>
  <r>
    <x v="1392"/>
    <x v="0"/>
    <x v="3"/>
    <s v="South"/>
    <x v="4"/>
    <x v="2"/>
    <x v="4"/>
    <s v="South"/>
    <x v="1"/>
    <n v="8.3000000000000007"/>
    <n v="80"/>
    <n v="6"/>
    <d v="2024-01-27T00:00:00"/>
    <n v="5"/>
    <n v="-1"/>
    <x v="0"/>
    <x v="0"/>
    <n v="9.6385542168674689"/>
    <n v="5"/>
    <s v="Yes"/>
  </r>
  <r>
    <x v="1393"/>
    <x v="162"/>
    <x v="4"/>
    <s v="East"/>
    <x v="3"/>
    <x v="2"/>
    <x v="4"/>
    <s v="West"/>
    <x v="0"/>
    <n v="3.1"/>
    <n v="191"/>
    <n v="8"/>
    <d v="2024-04-13T00:00:00"/>
    <n v="9"/>
    <n v="1"/>
    <x v="1"/>
    <x v="2"/>
    <n v="61.612903225806448"/>
    <n v="2"/>
    <s v="No"/>
  </r>
  <r>
    <x v="1394"/>
    <x v="76"/>
    <x v="4"/>
    <s v="East"/>
    <x v="0"/>
    <x v="1"/>
    <x v="1"/>
    <s v="West"/>
    <x v="0"/>
    <s v=""/>
    <n v="456"/>
    <n v="6"/>
    <d v="2024-02-01T00:00:00"/>
    <n v="5"/>
    <n v="-1"/>
    <x v="0"/>
    <x v="0"/>
    <s v=""/>
    <n v="5"/>
    <s v="Yes"/>
  </r>
  <r>
    <x v="1395"/>
    <x v="133"/>
    <x v="1"/>
    <s v="West"/>
    <x v="5"/>
    <x v="1"/>
    <x v="1"/>
    <s v="West"/>
    <x v="1"/>
    <n v="70.599999999999994"/>
    <n v="379"/>
    <n v="4"/>
    <d v="2024-02-25T00:00:00"/>
    <n v="5"/>
    <n v="1"/>
    <x v="1"/>
    <x v="2"/>
    <n v="5.3682719546742215"/>
    <n v="3"/>
    <s v="No"/>
  </r>
  <r>
    <x v="1396"/>
    <x v="67"/>
    <x v="2"/>
    <s v="North"/>
    <x v="5"/>
    <x v="1"/>
    <x v="3"/>
    <s v="West"/>
    <x v="0"/>
    <n v="13.1"/>
    <n v="255"/>
    <n v="6"/>
    <d v="2024-03-23T00:00:00"/>
    <n v="7"/>
    <n v="1"/>
    <x v="1"/>
    <x v="2"/>
    <n v="19.465648854961831"/>
    <n v="5"/>
    <s v="Yes"/>
  </r>
  <r>
    <x v="1397"/>
    <x v="95"/>
    <x v="1"/>
    <s v="West"/>
    <x v="0"/>
    <x v="0"/>
    <x v="4"/>
    <s v="East"/>
    <x v="0"/>
    <n v="2.2999999999999998"/>
    <n v="205"/>
    <n v="4"/>
    <d v="2024-02-07T00:00:00"/>
    <n v="5"/>
    <n v="1"/>
    <x v="1"/>
    <x v="2"/>
    <n v="89.130434782608702"/>
    <n v="2"/>
    <s v="Yes"/>
  </r>
  <r>
    <x v="1398"/>
    <x v="84"/>
    <x v="3"/>
    <s v="South"/>
    <x v="4"/>
    <x v="1"/>
    <x v="2"/>
    <s v="South"/>
    <x v="1"/>
    <n v="34.700000000000003"/>
    <n v="383"/>
    <n v="4"/>
    <d v="2024-02-13T00:00:00"/>
    <n v="5"/>
    <n v="1"/>
    <x v="1"/>
    <x v="2"/>
    <n v="11.037463976945244"/>
    <n v="3"/>
    <s v="No"/>
  </r>
  <r>
    <x v="1399"/>
    <x v="1"/>
    <x v="5"/>
    <s v="West"/>
    <x v="4"/>
    <x v="0"/>
    <x v="1"/>
    <s v="West"/>
    <x v="1"/>
    <n v="19.399999999999999"/>
    <n v="401"/>
    <n v="2"/>
    <d v="2024-06-11T00:00:00"/>
    <n v="1"/>
    <n v="-1"/>
    <x v="0"/>
    <x v="0"/>
    <n v="20.670103092783506"/>
    <n v="5"/>
    <s v="No"/>
  </r>
  <r>
    <x v="1400"/>
    <x v="115"/>
    <x v="3"/>
    <s v="South"/>
    <x v="1"/>
    <x v="1"/>
    <x v="1"/>
    <s v="East"/>
    <x v="0"/>
    <n v="19.600000000000001"/>
    <n v="479"/>
    <n v="6"/>
    <d v="2024-05-12T00:00:00"/>
    <n v="6"/>
    <n v="0"/>
    <x v="0"/>
    <x v="0"/>
    <n v="24.438775510204081"/>
    <n v="4"/>
    <s v="No"/>
  </r>
  <r>
    <x v="1401"/>
    <x v="43"/>
    <x v="2"/>
    <s v="North"/>
    <x v="5"/>
    <x v="2"/>
    <x v="2"/>
    <s v="West"/>
    <x v="0"/>
    <n v="18.899999999999999"/>
    <n v="353"/>
    <n v="8"/>
    <d v="2024-05-03T00:00:00"/>
    <n v="7"/>
    <n v="-1"/>
    <x v="0"/>
    <x v="0"/>
    <n v="18.677248677248677"/>
    <n v="4"/>
    <s v="No"/>
  </r>
  <r>
    <x v="1402"/>
    <x v="28"/>
    <x v="5"/>
    <s v="West"/>
    <x v="1"/>
    <x v="2"/>
    <x v="4"/>
    <s v="West"/>
    <x v="1"/>
    <n v="2.1"/>
    <n v="115"/>
    <n v="6"/>
    <d v="2024-04-17T00:00:00"/>
    <n v="6"/>
    <n v="0"/>
    <x v="0"/>
    <x v="0"/>
    <n v="54.761904761904759"/>
    <n v="4"/>
    <s v="Yes"/>
  </r>
  <r>
    <x v="1403"/>
    <x v="82"/>
    <x v="4"/>
    <s v="East"/>
    <x v="2"/>
    <x v="0"/>
    <x v="2"/>
    <s v="South"/>
    <x v="0"/>
    <n v="4.9000000000000004"/>
    <n v="493"/>
    <n v="4"/>
    <d v="2024-05-19T00:00:00"/>
    <n v="5"/>
    <n v="1"/>
    <x v="1"/>
    <x v="2"/>
    <n v="100.61224489795917"/>
    <n v="1"/>
    <s v="Yes"/>
  </r>
  <r>
    <x v="1404"/>
    <x v="38"/>
    <x v="4"/>
    <s v="East"/>
    <x v="1"/>
    <x v="2"/>
    <x v="3"/>
    <s v="East"/>
    <x v="1"/>
    <n v="7.5"/>
    <n v="85"/>
    <n v="6"/>
    <d v="2024-03-13T00:00:00"/>
    <n v="7"/>
    <n v="1"/>
    <x v="1"/>
    <x v="2"/>
    <n v="11.333333333333334"/>
    <n v="3"/>
    <s v="No"/>
  </r>
  <r>
    <x v="1405"/>
    <x v="55"/>
    <x v="5"/>
    <s v="West"/>
    <x v="1"/>
    <x v="1"/>
    <x v="3"/>
    <s v="East"/>
    <x v="0"/>
    <n v="1"/>
    <n v="299"/>
    <n v="6"/>
    <d v="2024-04-30T00:00:00"/>
    <n v="7"/>
    <n v="1"/>
    <x v="1"/>
    <x v="2"/>
    <n v="299"/>
    <n v="4"/>
    <s v="Yes"/>
  </r>
  <r>
    <x v="1406"/>
    <x v="118"/>
    <x v="2"/>
    <s v="North"/>
    <x v="5"/>
    <x v="1"/>
    <x v="0"/>
    <s v="West"/>
    <x v="0"/>
    <n v="3.3"/>
    <n v="366"/>
    <n v="6"/>
    <d v="2024-06-16T00:00:00"/>
    <n v="8"/>
    <n v="2"/>
    <x v="1"/>
    <x v="2"/>
    <n v="110.90909090909092"/>
    <n v="5"/>
    <s v="Yes"/>
  </r>
  <r>
    <x v="1407"/>
    <x v="51"/>
    <x v="5"/>
    <s v="West"/>
    <x v="5"/>
    <x v="1"/>
    <x v="2"/>
    <s v="South"/>
    <x v="0"/>
    <n v="2.8"/>
    <n v="727"/>
    <n v="6"/>
    <d v="2024-01-20T00:00:00"/>
    <n v="6"/>
    <n v="0"/>
    <x v="0"/>
    <x v="0"/>
    <n v="259.64285714285717"/>
    <n v="1"/>
    <s v="Yes"/>
  </r>
  <r>
    <x v="1408"/>
    <x v="138"/>
    <x v="1"/>
    <s v="West"/>
    <x v="0"/>
    <x v="2"/>
    <x v="5"/>
    <s v="West"/>
    <x v="1"/>
    <n v="12.6"/>
    <n v="762"/>
    <n v="6"/>
    <d v="2024-06-02T00:00:00"/>
    <n v="8"/>
    <n v="2"/>
    <x v="1"/>
    <x v="2"/>
    <n v="60.476190476190474"/>
    <n v="3"/>
    <s v="No"/>
  </r>
  <r>
    <x v="1409"/>
    <x v="107"/>
    <x v="2"/>
    <s v="North"/>
    <x v="2"/>
    <x v="0"/>
    <x v="2"/>
    <s v="East"/>
    <x v="0"/>
    <n v="17.8"/>
    <n v="1355"/>
    <n v="4"/>
    <d v="2024-06-06T00:00:00"/>
    <n v="3"/>
    <n v="-1"/>
    <x v="0"/>
    <x v="0"/>
    <n v="76.123595505617971"/>
    <n v="5"/>
    <s v="No"/>
  </r>
  <r>
    <x v="1410"/>
    <x v="43"/>
    <x v="0"/>
    <s v="South"/>
    <x v="5"/>
    <x v="0"/>
    <x v="4"/>
    <s v="North"/>
    <x v="0"/>
    <n v="2.9"/>
    <n v="159"/>
    <n v="4"/>
    <d v="2024-05-01T00:00:00"/>
    <n v="5"/>
    <n v="1"/>
    <x v="1"/>
    <x v="2"/>
    <n v="54.827586206896555"/>
    <n v="3"/>
    <s v="No"/>
  </r>
  <r>
    <x v="1411"/>
    <x v="24"/>
    <x v="4"/>
    <s v="East"/>
    <x v="7"/>
    <x v="2"/>
    <x v="2"/>
    <s v="East"/>
    <x v="1"/>
    <n v="0.7"/>
    <n v="322"/>
    <n v="6"/>
    <d v="2024-04-08T00:00:00"/>
    <n v="5"/>
    <n v="-1"/>
    <x v="0"/>
    <x v="0"/>
    <n v="460.00000000000006"/>
    <n v="5"/>
    <s v="No"/>
  </r>
  <r>
    <x v="1412"/>
    <x v="110"/>
    <x v="2"/>
    <s v="North"/>
    <x v="1"/>
    <x v="0"/>
    <x v="3"/>
    <s v="South"/>
    <x v="0"/>
    <n v="15.3"/>
    <n v="518"/>
    <n v="4"/>
    <d v="2024-01-23T00:00:00"/>
    <n v="3"/>
    <n v="-1"/>
    <x v="0"/>
    <x v="0"/>
    <n v="33.856209150326798"/>
    <n v="2"/>
    <s v="No"/>
  </r>
  <r>
    <x v="1413"/>
    <x v="57"/>
    <x v="4"/>
    <s v="East"/>
    <x v="2"/>
    <x v="2"/>
    <x v="3"/>
    <s v="West"/>
    <x v="0"/>
    <n v="8.9"/>
    <n v="219"/>
    <n v="8"/>
    <d v="2024-07-01T00:00:00"/>
    <n v="8"/>
    <n v="0"/>
    <x v="0"/>
    <x v="0"/>
    <n v="24.606741573033705"/>
    <n v="5"/>
    <s v="Yes"/>
  </r>
  <r>
    <x v="1414"/>
    <x v="65"/>
    <x v="3"/>
    <s v="South"/>
    <x v="5"/>
    <x v="1"/>
    <x v="0"/>
    <s v="East"/>
    <x v="0"/>
    <n v="13.2"/>
    <n v="429"/>
    <n v="6"/>
    <d v="2024-03-25T00:00:00"/>
    <n v="5"/>
    <n v="-1"/>
    <x v="0"/>
    <x v="0"/>
    <n v="32.5"/>
    <n v="5"/>
    <s v="Yes"/>
  </r>
  <r>
    <x v="1415"/>
    <x v="111"/>
    <x v="5"/>
    <s v="West"/>
    <x v="0"/>
    <x v="2"/>
    <x v="6"/>
    <s v="East"/>
    <x v="0"/>
    <n v="12.9"/>
    <n v="207"/>
    <n v="8"/>
    <d v="2024-04-02T00:00:00"/>
    <n v="15"/>
    <n v="7"/>
    <x v="1"/>
    <x v="2"/>
    <n v="16.046511627906977"/>
    <n v="3"/>
    <s v="Yes"/>
  </r>
  <r>
    <x v="1416"/>
    <x v="155"/>
    <x v="5"/>
    <s v="West"/>
    <x v="1"/>
    <x v="0"/>
    <x v="4"/>
    <s v="North"/>
    <x v="0"/>
    <n v="4"/>
    <n v="247"/>
    <n v="4"/>
    <d v="2024-03-11T00:00:00"/>
    <n v="3"/>
    <n v="-1"/>
    <x v="0"/>
    <x v="0"/>
    <n v="61.75"/>
    <n v="4"/>
    <s v="Yes"/>
  </r>
  <r>
    <x v="1417"/>
    <x v="89"/>
    <x v="1"/>
    <s v="West"/>
    <x v="1"/>
    <x v="1"/>
    <x v="2"/>
    <s v="East"/>
    <x v="0"/>
    <n v="6.4"/>
    <n v="280"/>
    <n v="6"/>
    <d v="2024-03-16T00:00:00"/>
    <n v="7"/>
    <n v="1"/>
    <x v="1"/>
    <x v="2"/>
    <n v="43.75"/>
    <n v="3"/>
    <s v="Yes"/>
  </r>
  <r>
    <x v="1418"/>
    <x v="9"/>
    <x v="3"/>
    <s v="South"/>
    <x v="5"/>
    <x v="1"/>
    <x v="1"/>
    <s v="East"/>
    <x v="0"/>
    <n v="5.7"/>
    <n v="282"/>
    <n v="6"/>
    <d v="2024-06-16T00:00:00"/>
    <n v="5"/>
    <n v="-1"/>
    <x v="0"/>
    <x v="0"/>
    <n v="49.473684210526315"/>
    <n v="4"/>
    <s v="Yes"/>
  </r>
  <r>
    <x v="1419"/>
    <x v="7"/>
    <x v="3"/>
    <s v="South"/>
    <x v="1"/>
    <x v="0"/>
    <x v="2"/>
    <s v="West"/>
    <x v="0"/>
    <n v="5.6"/>
    <n v="664"/>
    <n v="4"/>
    <d v="2024-01-29T00:00:00"/>
    <n v="4"/>
    <n v="0"/>
    <x v="0"/>
    <x v="0"/>
    <n v="118.57142857142858"/>
    <n v="5"/>
    <s v="Yes"/>
  </r>
  <r>
    <x v="1420"/>
    <x v="153"/>
    <x v="1"/>
    <s v="West"/>
    <x v="2"/>
    <x v="2"/>
    <x v="1"/>
    <s v="West"/>
    <x v="1"/>
    <n v="9.4"/>
    <n v="173"/>
    <n v="6"/>
    <d v="2024-02-13T00:00:00"/>
    <n v="6"/>
    <n v="0"/>
    <x v="0"/>
    <x v="0"/>
    <n v="18.404255319148934"/>
    <n v="3"/>
    <s v="No"/>
  </r>
  <r>
    <x v="1421"/>
    <x v="115"/>
    <x v="0"/>
    <s v="South"/>
    <x v="0"/>
    <x v="2"/>
    <x v="4"/>
    <s v="West"/>
    <x v="0"/>
    <n v="24.6"/>
    <n v="255"/>
    <n v="8"/>
    <d v="2024-05-19T00:00:00"/>
    <n v="13"/>
    <n v="5"/>
    <x v="1"/>
    <x v="2"/>
    <n v="10.365853658536585"/>
    <n v="2"/>
    <s v="Yes"/>
  </r>
  <r>
    <x v="1422"/>
    <x v="78"/>
    <x v="0"/>
    <s v="South"/>
    <x v="1"/>
    <x v="0"/>
    <x v="5"/>
    <s v="West"/>
    <x v="0"/>
    <n v="51"/>
    <n v="3061"/>
    <n v="4"/>
    <d v="2024-03-31T00:00:00"/>
    <n v="5"/>
    <n v="1"/>
    <x v="1"/>
    <x v="2"/>
    <n v="60.019607843137258"/>
    <n v="5"/>
    <s v="No"/>
  </r>
  <r>
    <x v="1423"/>
    <x v="20"/>
    <x v="4"/>
    <s v="East"/>
    <x v="5"/>
    <x v="0"/>
    <x v="3"/>
    <s v="East"/>
    <x v="1"/>
    <n v="26.7"/>
    <n v="280"/>
    <n v="2"/>
    <d v="2024-01-09T00:00:00"/>
    <n v="2"/>
    <n v="0"/>
    <x v="0"/>
    <x v="0"/>
    <n v="10.486891385767791"/>
    <n v="5"/>
    <s v="No"/>
  </r>
  <r>
    <x v="1424"/>
    <x v="96"/>
    <x v="1"/>
    <s v="West"/>
    <x v="2"/>
    <x v="2"/>
    <x v="5"/>
    <s v="West"/>
    <x v="1"/>
    <n v="0.7"/>
    <n v="495"/>
    <n v="6"/>
    <d v="2024-01-25T00:00:00"/>
    <n v="6"/>
    <n v="0"/>
    <x v="0"/>
    <x v="0"/>
    <n v="707.14285714285722"/>
    <n v="5"/>
    <s v="No"/>
  </r>
  <r>
    <x v="1425"/>
    <x v="93"/>
    <x v="2"/>
    <s v="North"/>
    <x v="2"/>
    <x v="0"/>
    <x v="1"/>
    <s v="South"/>
    <x v="0"/>
    <n v="18.7"/>
    <n v="574"/>
    <n v="4"/>
    <d v="2024-01-29T00:00:00"/>
    <n v="5"/>
    <n v="1"/>
    <x v="1"/>
    <x v="2"/>
    <n v="30.695187165775401"/>
    <n v="4"/>
    <s v="Yes"/>
  </r>
  <r>
    <x v="1426"/>
    <x v="100"/>
    <x v="0"/>
    <s v="South"/>
    <x v="1"/>
    <x v="0"/>
    <x v="5"/>
    <s v="North"/>
    <x v="0"/>
    <n v="7.9"/>
    <n v="3282"/>
    <n v="4"/>
    <d v="2024-03-30T00:00:00"/>
    <n v="3"/>
    <n v="-1"/>
    <x v="0"/>
    <x v="0"/>
    <n v="415.44303797468353"/>
    <n v="4"/>
    <s v="No"/>
  </r>
  <r>
    <x v="1427"/>
    <x v="117"/>
    <x v="4"/>
    <s v="East"/>
    <x v="7"/>
    <x v="0"/>
    <x v="4"/>
    <s v="East"/>
    <x v="1"/>
    <n v="2.1"/>
    <n v="165"/>
    <n v="2"/>
    <d v="2024-05-26T00:00:00"/>
    <n v="2"/>
    <n v="0"/>
    <x v="0"/>
    <x v="0"/>
    <n v="78.571428571428569"/>
    <n v="2"/>
    <s v="No"/>
  </r>
  <r>
    <x v="1428"/>
    <x v="108"/>
    <x v="2"/>
    <s v="North"/>
    <x v="7"/>
    <x v="0"/>
    <x v="4"/>
    <s v="West"/>
    <x v="0"/>
    <n v="10.8"/>
    <n v="350"/>
    <n v="4"/>
    <d v="2024-04-23T00:00:00"/>
    <n v="3"/>
    <n v="-1"/>
    <x v="0"/>
    <x v="0"/>
    <n v="32.407407407407405"/>
    <n v="5"/>
    <s v="No"/>
  </r>
  <r>
    <x v="1429"/>
    <x v="5"/>
    <x v="3"/>
    <s v="South"/>
    <x v="2"/>
    <x v="0"/>
    <x v="1"/>
    <s v="South"/>
    <x v="1"/>
    <n v="3"/>
    <n v="274"/>
    <n v="2"/>
    <d v="2024-03-26T00:00:00"/>
    <n v="2"/>
    <n v="0"/>
    <x v="0"/>
    <x v="0"/>
    <n v="91.333333333333329"/>
    <n v="5"/>
    <s v="No"/>
  </r>
  <r>
    <x v="1430"/>
    <x v="26"/>
    <x v="3"/>
    <s v="South"/>
    <x v="5"/>
    <x v="2"/>
    <x v="0"/>
    <s v="West"/>
    <x v="0"/>
    <n v="1.8"/>
    <n v="148"/>
    <n v="8"/>
    <d v="2024-03-04T00:00:00"/>
    <n v="7"/>
    <n v="-1"/>
    <x v="0"/>
    <x v="0"/>
    <n v="82.222222222222214"/>
    <n v="4"/>
    <s v="No"/>
  </r>
  <r>
    <x v="1431"/>
    <x v="150"/>
    <x v="5"/>
    <s v="West"/>
    <x v="1"/>
    <x v="2"/>
    <x v="3"/>
    <s v="South"/>
    <x v="0"/>
    <n v="5.4"/>
    <n v="228"/>
    <n v="8"/>
    <d v="2024-03-05T00:00:00"/>
    <n v="7"/>
    <n v="-1"/>
    <x v="0"/>
    <x v="0"/>
    <n v="42.222222222222221"/>
    <n v="4"/>
    <s v="No"/>
  </r>
  <r>
    <x v="1432"/>
    <x v="22"/>
    <x v="5"/>
    <s v="West"/>
    <x v="2"/>
    <x v="0"/>
    <x v="4"/>
    <s v="North"/>
    <x v="0"/>
    <n v="4.9000000000000004"/>
    <n v="371"/>
    <n v="4"/>
    <d v="2024-03-24T00:00:00"/>
    <n v="5"/>
    <n v="1"/>
    <x v="1"/>
    <x v="2"/>
    <n v="75.714285714285708"/>
    <n v="1"/>
    <s v="Yes"/>
  </r>
  <r>
    <x v="1433"/>
    <x v="107"/>
    <x v="4"/>
    <s v="East"/>
    <x v="7"/>
    <x v="1"/>
    <x v="1"/>
    <s v="North"/>
    <x v="0"/>
    <n v="11.7"/>
    <n v="373"/>
    <n v="6"/>
    <d v="2024-06-09T00:00:00"/>
    <n v="6"/>
    <n v="0"/>
    <x v="0"/>
    <x v="0"/>
    <n v="31.880341880341881"/>
    <n v="5"/>
    <s v="No"/>
  </r>
  <r>
    <x v="1434"/>
    <x v="43"/>
    <x v="5"/>
    <s v="West"/>
    <x v="2"/>
    <x v="2"/>
    <x v="2"/>
    <s v="East"/>
    <x v="0"/>
    <n v="13.8"/>
    <n v="354"/>
    <n v="8"/>
    <d v="2024-05-03T00:00:00"/>
    <n v="7"/>
    <n v="-1"/>
    <x v="0"/>
    <x v="0"/>
    <n v="25.652173913043477"/>
    <n v="5"/>
    <s v="No"/>
  </r>
  <r>
    <x v="1435"/>
    <x v="116"/>
    <x v="0"/>
    <s v="South"/>
    <x v="2"/>
    <x v="2"/>
    <x v="1"/>
    <s v="South"/>
    <x v="1"/>
    <n v="4.5"/>
    <n v="219"/>
    <n v="6"/>
    <d v="2024-05-09T00:00:00"/>
    <n v="11"/>
    <n v="5"/>
    <x v="1"/>
    <x v="2"/>
    <n v="48.666666666666664"/>
    <n v="3"/>
    <s v="Yes"/>
  </r>
  <r>
    <x v="1436"/>
    <x v="143"/>
    <x v="3"/>
    <s v="South"/>
    <x v="4"/>
    <x v="2"/>
    <x v="2"/>
    <s v="East"/>
    <x v="0"/>
    <n v="1.5"/>
    <n v="506"/>
    <n v="8"/>
    <d v="2024-05-16T00:00:00"/>
    <n v="7"/>
    <n v="-1"/>
    <x v="0"/>
    <x v="0"/>
    <n v="337.33333333333331"/>
    <n v="5"/>
    <s v="No"/>
  </r>
  <r>
    <x v="1437"/>
    <x v="16"/>
    <x v="0"/>
    <s v="South"/>
    <x v="5"/>
    <x v="0"/>
    <x v="5"/>
    <s v="West"/>
    <x v="0"/>
    <n v="64.099999999999994"/>
    <n v="3427"/>
    <n v="4"/>
    <d v="2024-06-09T00:00:00"/>
    <n v="5"/>
    <n v="1"/>
    <x v="1"/>
    <x v="2"/>
    <n v="53.463338533541346"/>
    <n v="1"/>
    <s v="No"/>
  </r>
  <r>
    <x v="1438"/>
    <x v="89"/>
    <x v="1"/>
    <s v="West"/>
    <x v="3"/>
    <x v="0"/>
    <x v="3"/>
    <s v="East"/>
    <x v="0"/>
    <n v="4.9000000000000004"/>
    <n v="285"/>
    <n v="4"/>
    <d v="2024-03-14T00:00:00"/>
    <n v="5"/>
    <n v="1"/>
    <x v="1"/>
    <x v="2"/>
    <n v="58.163265306122447"/>
    <n v="4"/>
    <s v="Yes"/>
  </r>
  <r>
    <x v="1439"/>
    <x v="36"/>
    <x v="5"/>
    <s v="West"/>
    <x v="0"/>
    <x v="2"/>
    <x v="1"/>
    <s v="South"/>
    <x v="0"/>
    <n v="35.5"/>
    <n v="413"/>
    <n v="8"/>
    <d v="2024-05-18T00:00:00"/>
    <n v="8"/>
    <n v="0"/>
    <x v="0"/>
    <x v="0"/>
    <n v="11.633802816901408"/>
    <n v="4"/>
    <s v="Yes"/>
  </r>
  <r>
    <x v="1440"/>
    <x v="98"/>
    <x v="0"/>
    <s v="South"/>
    <x v="0"/>
    <x v="1"/>
    <x v="2"/>
    <s v="North"/>
    <x v="0"/>
    <n v="8.6"/>
    <n v="1003"/>
    <n v="6"/>
    <d v="2024-01-12T00:00:00"/>
    <n v="7"/>
    <n v="1"/>
    <x v="1"/>
    <x v="2"/>
    <n v="116.62790697674419"/>
    <n v="1"/>
    <s v="No"/>
  </r>
  <r>
    <x v="1441"/>
    <x v="16"/>
    <x v="1"/>
    <s v="West"/>
    <x v="5"/>
    <x v="0"/>
    <x v="2"/>
    <s v="East"/>
    <x v="0"/>
    <n v="68.900000000000006"/>
    <n v="495"/>
    <n v="4"/>
    <d v="2024-06-08T00:00:00"/>
    <n v="4"/>
    <n v="0"/>
    <x v="0"/>
    <x v="0"/>
    <n v="7.1843251088534101"/>
    <n v="5"/>
    <s v="No"/>
  </r>
  <r>
    <x v="1442"/>
    <x v="47"/>
    <x v="4"/>
    <s v="East"/>
    <x v="2"/>
    <x v="0"/>
    <x v="4"/>
    <s v="West"/>
    <x v="0"/>
    <n v="3.7"/>
    <n v="344"/>
    <n v="4"/>
    <d v="2024-05-05T00:00:00"/>
    <n v="4"/>
    <n v="0"/>
    <x v="0"/>
    <x v="0"/>
    <n v="92.972972972972968"/>
    <n v="2"/>
    <s v="No"/>
  </r>
  <r>
    <x v="1443"/>
    <x v="148"/>
    <x v="1"/>
    <s v="West"/>
    <x v="2"/>
    <x v="0"/>
    <x v="3"/>
    <s v="West"/>
    <x v="1"/>
    <n v="3.7"/>
    <n v="220"/>
    <n v="2"/>
    <d v="2024-05-09T00:00:00"/>
    <n v="2"/>
    <n v="0"/>
    <x v="0"/>
    <x v="0"/>
    <n v="59.45945945945946"/>
    <n v="5"/>
    <s v="No"/>
  </r>
  <r>
    <x v="1444"/>
    <x v="21"/>
    <x v="4"/>
    <s v="East"/>
    <x v="1"/>
    <x v="2"/>
    <x v="0"/>
    <s v="North"/>
    <x v="0"/>
    <n v="6.1"/>
    <n v="231"/>
    <n v="8"/>
    <d v="2024-02-26T00:00:00"/>
    <n v="7"/>
    <n v="-1"/>
    <x v="0"/>
    <x v="0"/>
    <n v="37.868852459016395"/>
    <n v="4"/>
    <s v="No"/>
  </r>
  <r>
    <x v="1445"/>
    <x v="8"/>
    <x v="4"/>
    <s v="East"/>
    <x v="0"/>
    <x v="1"/>
    <x v="4"/>
    <s v="North"/>
    <x v="0"/>
    <n v="1.4"/>
    <n v="212"/>
    <n v="6"/>
    <d v="2024-02-10T00:00:00"/>
    <n v="5"/>
    <n v="-1"/>
    <x v="0"/>
    <x v="0"/>
    <n v="151.42857142857144"/>
    <n v="4"/>
    <s v="Yes"/>
  </r>
  <r>
    <x v="1446"/>
    <x v="121"/>
    <x v="0"/>
    <s v="South"/>
    <x v="0"/>
    <x v="2"/>
    <x v="0"/>
    <s v="East"/>
    <x v="0"/>
    <n v="6.9"/>
    <n v="332"/>
    <n v="8"/>
    <d v="2024-02-15T00:00:00"/>
    <n v="9"/>
    <n v="1"/>
    <x v="1"/>
    <x v="1"/>
    <n v="48.115942028985508"/>
    <n v="0"/>
    <s v="Yes"/>
  </r>
  <r>
    <x v="1447"/>
    <x v="20"/>
    <x v="5"/>
    <s v="West"/>
    <x v="5"/>
    <x v="0"/>
    <x v="1"/>
    <s v="West"/>
    <x v="1"/>
    <n v="3.6"/>
    <n v="237"/>
    <n v="2"/>
    <d v="2024-01-14T00:00:00"/>
    <n v="7"/>
    <n v="5"/>
    <x v="1"/>
    <x v="2"/>
    <n v="65.833333333333329"/>
    <n v="4"/>
    <s v="Yes"/>
  </r>
  <r>
    <x v="1448"/>
    <x v="67"/>
    <x v="4"/>
    <s v="East"/>
    <x v="2"/>
    <x v="2"/>
    <x v="6"/>
    <s v="West"/>
    <x v="0"/>
    <n v="9.6999999999999993"/>
    <n v="229"/>
    <n v="8"/>
    <d v="2024-03-25T00:00:00"/>
    <n v="9"/>
    <n v="1"/>
    <x v="1"/>
    <x v="2"/>
    <n v="23.608247422680414"/>
    <n v="2"/>
    <s v="No"/>
  </r>
  <r>
    <x v="1449"/>
    <x v="159"/>
    <x v="3"/>
    <s v="South"/>
    <x v="4"/>
    <x v="1"/>
    <x v="2"/>
    <s v="South"/>
    <x v="1"/>
    <n v="11.1"/>
    <n v="279"/>
    <n v="4"/>
    <d v="2024-01-14T00:00:00"/>
    <n v="5"/>
    <n v="1"/>
    <x v="1"/>
    <x v="2"/>
    <n v="25.135135135135137"/>
    <n v="3"/>
    <s v="Yes"/>
  </r>
  <r>
    <x v="1450"/>
    <x v="60"/>
    <x v="4"/>
    <s v="East"/>
    <x v="0"/>
    <x v="2"/>
    <x v="2"/>
    <s v="East"/>
    <x v="1"/>
    <n v="13.7"/>
    <n v="331"/>
    <n v="6"/>
    <d v="2024-03-08T00:00:00"/>
    <n v="7"/>
    <n v="1"/>
    <x v="1"/>
    <x v="2"/>
    <n v="24.160583941605839"/>
    <n v="5"/>
    <s v="No"/>
  </r>
  <r>
    <x v="1451"/>
    <x v="113"/>
    <x v="2"/>
    <s v="North"/>
    <x v="0"/>
    <x v="0"/>
    <x v="1"/>
    <s v="West"/>
    <x v="0"/>
    <n v="24.7"/>
    <n v="301"/>
    <n v="4"/>
    <d v="2024-04-29T00:00:00"/>
    <n v="12"/>
    <n v="8"/>
    <x v="1"/>
    <x v="2"/>
    <n v="12.186234817813766"/>
    <n v="5"/>
    <s v="No"/>
  </r>
  <r>
    <x v="1452"/>
    <x v="34"/>
    <x v="1"/>
    <s v="West"/>
    <x v="1"/>
    <x v="2"/>
    <x v="1"/>
    <s v="East"/>
    <x v="0"/>
    <n v="72.099999999999994"/>
    <n v="226"/>
    <n v="8"/>
    <d v="2024-05-20T00:00:00"/>
    <n v="9"/>
    <n v="1"/>
    <x v="1"/>
    <x v="2"/>
    <n v="3.1345353675450767"/>
    <n v="3"/>
    <s v="No"/>
  </r>
  <r>
    <x v="1453"/>
    <x v="60"/>
    <x v="3"/>
    <s v="South"/>
    <x v="2"/>
    <x v="0"/>
    <x v="4"/>
    <s v="East"/>
    <x v="0"/>
    <n v="2.9"/>
    <n v="310"/>
    <n v="4"/>
    <d v="2024-03-06T00:00:00"/>
    <n v="5"/>
    <n v="1"/>
    <x v="1"/>
    <x v="2"/>
    <n v="106.89655172413794"/>
    <n v="2"/>
    <s v="No"/>
  </r>
  <r>
    <x v="1454"/>
    <x v="146"/>
    <x v="0"/>
    <s v="South"/>
    <x v="4"/>
    <x v="0"/>
    <x v="0"/>
    <s v="North"/>
    <x v="0"/>
    <n v="16"/>
    <n v="523"/>
    <n v="4"/>
    <d v="2024-01-14T00:00:00"/>
    <n v="8"/>
    <n v="4"/>
    <x v="1"/>
    <x v="2"/>
    <n v="32.6875"/>
    <n v="4"/>
    <s v="No"/>
  </r>
  <r>
    <x v="1455"/>
    <x v="44"/>
    <x v="3"/>
    <s v="South"/>
    <x v="0"/>
    <x v="1"/>
    <x v="4"/>
    <s v="South"/>
    <x v="1"/>
    <n v="36.5"/>
    <n v="80"/>
    <n v="4"/>
    <d v="2024-04-16T00:00:00"/>
    <n v="7"/>
    <n v="3"/>
    <x v="1"/>
    <x v="2"/>
    <n v="2.1917808219178081"/>
    <n v="4"/>
    <s v="No"/>
  </r>
  <r>
    <x v="1456"/>
    <x v="139"/>
    <x v="3"/>
    <s v="South"/>
    <x v="0"/>
    <x v="0"/>
    <x v="4"/>
    <s v="West"/>
    <x v="0"/>
    <n v="6.9"/>
    <n v="229"/>
    <n v="4"/>
    <d v="2024-01-28T00:00:00"/>
    <n v="12"/>
    <n v="8"/>
    <x v="1"/>
    <x v="2"/>
    <n v="33.188405797101446"/>
    <n v="2"/>
    <s v="No"/>
  </r>
  <r>
    <x v="1457"/>
    <x v="44"/>
    <x v="5"/>
    <s v="West"/>
    <x v="4"/>
    <x v="1"/>
    <x v="1"/>
    <s v="North"/>
    <x v="0"/>
    <n v="4.9000000000000004"/>
    <n v="461"/>
    <n v="6"/>
    <d v="2024-04-16T00:00:00"/>
    <n v="7"/>
    <n v="1"/>
    <x v="1"/>
    <x v="2"/>
    <n v="94.08163265306122"/>
    <n v="3"/>
    <s v="No"/>
  </r>
  <r>
    <x v="1458"/>
    <x v="18"/>
    <x v="0"/>
    <s v="South"/>
    <x v="0"/>
    <x v="1"/>
    <x v="2"/>
    <s v="North"/>
    <x v="0"/>
    <n v="5.5"/>
    <n v="620"/>
    <n v="6"/>
    <d v="2024-01-26T00:00:00"/>
    <n v="15"/>
    <n v="9"/>
    <x v="1"/>
    <x v="2"/>
    <n v="112.72727272727273"/>
    <n v="2"/>
    <s v="No"/>
  </r>
  <r>
    <x v="1459"/>
    <x v="4"/>
    <x v="0"/>
    <s v="South"/>
    <x v="2"/>
    <x v="1"/>
    <x v="2"/>
    <s v="West"/>
    <x v="0"/>
    <n v="2"/>
    <n v="455"/>
    <n v="6"/>
    <d v="2024-04-27T00:00:00"/>
    <n v="11"/>
    <n v="5"/>
    <x v="1"/>
    <x v="2"/>
    <n v="227.5"/>
    <n v="1"/>
    <s v="Yes"/>
  </r>
  <r>
    <x v="1460"/>
    <x v="50"/>
    <x v="3"/>
    <s v="South"/>
    <x v="2"/>
    <x v="2"/>
    <x v="3"/>
    <s v="South"/>
    <x v="1"/>
    <n v="4"/>
    <n v="80"/>
    <n v="6"/>
    <d v="2024-02-20T00:00:00"/>
    <n v="7"/>
    <n v="1"/>
    <x v="1"/>
    <x v="2"/>
    <n v="20"/>
    <n v="2"/>
    <s v="No"/>
  </r>
  <r>
    <x v="1461"/>
    <x v="150"/>
    <x v="4"/>
    <s v="East"/>
    <x v="2"/>
    <x v="0"/>
    <x v="2"/>
    <s v="North"/>
    <x v="0"/>
    <n v="14.3"/>
    <n v="1369"/>
    <n v="4"/>
    <d v="2024-03-05T00:00:00"/>
    <n v="7"/>
    <n v="3"/>
    <x v="1"/>
    <x v="2"/>
    <n v="95.734265734265733"/>
    <n v="3"/>
    <s v="Yes"/>
  </r>
  <r>
    <x v="1462"/>
    <x v="99"/>
    <x v="4"/>
    <s v="East"/>
    <x v="1"/>
    <x v="1"/>
    <x v="1"/>
    <s v="South"/>
    <x v="0"/>
    <n v="5"/>
    <n v="537"/>
    <n v="6"/>
    <d v="2024-02-02T00:00:00"/>
    <n v="5"/>
    <n v="-1"/>
    <x v="0"/>
    <x v="0"/>
    <n v="107.4"/>
    <n v="5"/>
    <s v="No"/>
  </r>
  <r>
    <x v="1463"/>
    <x v="135"/>
    <x v="3"/>
    <s v="South"/>
    <x v="4"/>
    <x v="2"/>
    <x v="3"/>
    <s v="South"/>
    <x v="1"/>
    <n v="2.9"/>
    <n v="111"/>
    <n v="6"/>
    <d v="2024-03-07T00:00:00"/>
    <n v="12"/>
    <n v="6"/>
    <x v="1"/>
    <x v="2"/>
    <n v="38.275862068965516"/>
    <n v="2"/>
    <s v="Yes"/>
  </r>
  <r>
    <x v="1464"/>
    <x v="16"/>
    <x v="4"/>
    <s v="East"/>
    <x v="1"/>
    <x v="1"/>
    <x v="3"/>
    <s v="West"/>
    <x v="0"/>
    <n v="13"/>
    <n v="168"/>
    <n v="6"/>
    <d v="2024-06-11T00:00:00"/>
    <n v="7"/>
    <n v="1"/>
    <x v="1"/>
    <x v="2"/>
    <n v="12.923076923076923"/>
    <n v="2"/>
    <s v="Yes"/>
  </r>
  <r>
    <x v="1465"/>
    <x v="109"/>
    <x v="4"/>
    <s v="East"/>
    <x v="0"/>
    <x v="1"/>
    <x v="4"/>
    <s v="West"/>
    <x v="0"/>
    <n v="20.9"/>
    <n v="152"/>
    <n v="6"/>
    <d v="2024-06-23T00:00:00"/>
    <n v="5"/>
    <n v="-1"/>
    <x v="0"/>
    <x v="0"/>
    <n v="7.2727272727272734"/>
    <n v="4"/>
    <s v="No"/>
  </r>
  <r>
    <x v="1466"/>
    <x v="152"/>
    <x v="4"/>
    <s v="East"/>
    <x v="1"/>
    <x v="2"/>
    <x v="2"/>
    <s v="North"/>
    <x v="0"/>
    <n v="3"/>
    <n v="513"/>
    <n v="8"/>
    <d v="2024-02-21T00:00:00"/>
    <n v="7"/>
    <n v="-1"/>
    <x v="0"/>
    <x v="0"/>
    <n v="171"/>
    <n v="4"/>
    <s v="No"/>
  </r>
  <r>
    <x v="1467"/>
    <x v="165"/>
    <x v="5"/>
    <s v="West"/>
    <x v="5"/>
    <x v="0"/>
    <x v="2"/>
    <s v="East"/>
    <x v="0"/>
    <n v="3.4"/>
    <n v="1726"/>
    <n v="4"/>
    <d v="2024-02-20T00:00:00"/>
    <n v="4"/>
    <n v="0"/>
    <x v="0"/>
    <x v="0"/>
    <n v="507.64705882352945"/>
    <n v="3"/>
    <s v="Yes"/>
  </r>
  <r>
    <x v="1468"/>
    <x v="39"/>
    <x v="3"/>
    <s v="South"/>
    <x v="2"/>
    <x v="0"/>
    <x v="3"/>
    <s v="East"/>
    <x v="0"/>
    <n v="3.4"/>
    <n v="260"/>
    <n v="4"/>
    <d v="2024-05-25T00:00:00"/>
    <n v="5"/>
    <n v="1"/>
    <x v="1"/>
    <x v="3"/>
    <n v="76.470588235294116"/>
    <n v="0"/>
    <s v="No"/>
  </r>
  <r>
    <x v="1469"/>
    <x v="144"/>
    <x v="2"/>
    <s v="North"/>
    <x v="0"/>
    <x v="1"/>
    <x v="3"/>
    <s v="East"/>
    <x v="0"/>
    <n v="8.9"/>
    <n v="305"/>
    <n v="6"/>
    <d v="2024-05-06T00:00:00"/>
    <n v="11"/>
    <n v="5"/>
    <x v="1"/>
    <x v="2"/>
    <n v="34.269662921348313"/>
    <n v="2"/>
    <s v="No"/>
  </r>
  <r>
    <x v="1470"/>
    <x v="4"/>
    <x v="2"/>
    <s v="North"/>
    <x v="1"/>
    <x v="2"/>
    <x v="3"/>
    <s v="North"/>
    <x v="1"/>
    <n v="0.6"/>
    <n v="80"/>
    <n v="6"/>
    <d v="2024-04-23T00:00:00"/>
    <n v="7"/>
    <n v="1"/>
    <x v="1"/>
    <x v="2"/>
    <n v="133.33333333333334"/>
    <n v="2"/>
    <s v="No"/>
  </r>
  <r>
    <x v="1471"/>
    <x v="136"/>
    <x v="4"/>
    <s v="East"/>
    <x v="5"/>
    <x v="1"/>
    <x v="1"/>
    <s v="West"/>
    <x v="0"/>
    <n v="1.2"/>
    <n v="284"/>
    <n v="6"/>
    <d v="2024-03-25T00:00:00"/>
    <n v="14"/>
    <n v="8"/>
    <x v="1"/>
    <x v="2"/>
    <n v="236.66666666666669"/>
    <n v="1"/>
    <s v="Yes"/>
  </r>
  <r>
    <x v="1472"/>
    <x v="72"/>
    <x v="0"/>
    <s v="South"/>
    <x v="0"/>
    <x v="1"/>
    <x v="4"/>
    <s v="West"/>
    <x v="0"/>
    <n v="13.7"/>
    <n v="191"/>
    <n v="6"/>
    <d v="2024-06-30T00:00:00"/>
    <n v="6"/>
    <n v="0"/>
    <x v="0"/>
    <x v="0"/>
    <n v="13.941605839416059"/>
    <n v="1"/>
    <s v="Yes"/>
  </r>
  <r>
    <x v="1473"/>
    <x v="65"/>
    <x v="4"/>
    <s v="East"/>
    <x v="2"/>
    <x v="0"/>
    <x v="0"/>
    <s v="North"/>
    <x v="0"/>
    <n v="22.3"/>
    <n v="271"/>
    <n v="4"/>
    <d v="2024-03-25T00:00:00"/>
    <n v="5"/>
    <n v="1"/>
    <x v="1"/>
    <x v="2"/>
    <n v="12.152466367713004"/>
    <n v="1"/>
    <s v="No"/>
  </r>
  <r>
    <x v="1474"/>
    <x v="63"/>
    <x v="2"/>
    <s v="North"/>
    <x v="1"/>
    <x v="0"/>
    <x v="3"/>
    <s v="East"/>
    <x v="0"/>
    <n v="14.5"/>
    <n v="261"/>
    <n v="4"/>
    <d v="2024-04-23T00:00:00"/>
    <n v="5"/>
    <n v="1"/>
    <x v="1"/>
    <x v="2"/>
    <n v="18"/>
    <n v="3"/>
    <s v="Yes"/>
  </r>
  <r>
    <x v="1475"/>
    <x v="160"/>
    <x v="3"/>
    <s v="South"/>
    <x v="1"/>
    <x v="1"/>
    <x v="4"/>
    <s v="East"/>
    <x v="0"/>
    <n v="7.5"/>
    <n v="310"/>
    <n v="6"/>
    <d v="2024-01-11T00:00:00"/>
    <n v="7"/>
    <n v="1"/>
    <x v="1"/>
    <x v="2"/>
    <n v="41.333333333333336"/>
    <n v="1"/>
    <s v="Yes"/>
  </r>
  <r>
    <x v="1476"/>
    <x v="115"/>
    <x v="1"/>
    <s v="West"/>
    <x v="5"/>
    <x v="2"/>
    <x v="4"/>
    <s v="East"/>
    <x v="0"/>
    <n v="27.2"/>
    <n v="185"/>
    <n v="8"/>
    <d v="2024-05-14T00:00:00"/>
    <n v="8"/>
    <n v="0"/>
    <x v="0"/>
    <x v="0"/>
    <n v="6.8014705882352944"/>
    <n v="4"/>
    <s v="No"/>
  </r>
  <r>
    <x v="1477"/>
    <x v="78"/>
    <x v="1"/>
    <s v="West"/>
    <x v="0"/>
    <x v="2"/>
    <x v="6"/>
    <s v="East"/>
    <x v="0"/>
    <n v="15.3"/>
    <n v="1105"/>
    <n v="8"/>
    <d v="2024-04-04T00:00:00"/>
    <n v="9"/>
    <n v="1"/>
    <x v="1"/>
    <x v="1"/>
    <n v="72.222222222222214"/>
    <n v="0"/>
    <s v="No"/>
  </r>
  <r>
    <x v="1478"/>
    <x v="141"/>
    <x v="0"/>
    <s v="South"/>
    <x v="5"/>
    <x v="1"/>
    <x v="1"/>
    <s v="East"/>
    <x v="0"/>
    <n v="6.6"/>
    <n v="348"/>
    <n v="6"/>
    <d v="2024-05-22T00:00:00"/>
    <n v="6"/>
    <n v="0"/>
    <x v="0"/>
    <x v="0"/>
    <n v="52.727272727272727"/>
    <n v="3"/>
    <s v="Yes"/>
  </r>
  <r>
    <x v="1479"/>
    <x v="92"/>
    <x v="0"/>
    <s v="South"/>
    <x v="3"/>
    <x v="2"/>
    <x v="3"/>
    <s v="South"/>
    <x v="1"/>
    <n v="1.4"/>
    <n v="90"/>
    <n v="6"/>
    <d v="2024-02-28T00:00:00"/>
    <n v="5"/>
    <n v="-1"/>
    <x v="0"/>
    <x v="0"/>
    <n v="64.285714285714292"/>
    <n v="5"/>
    <s v="No"/>
  </r>
  <r>
    <x v="1480"/>
    <x v="64"/>
    <x v="1"/>
    <s v="West"/>
    <x v="0"/>
    <x v="0"/>
    <x v="4"/>
    <s v="South"/>
    <x v="0"/>
    <n v="0.7"/>
    <n v="368"/>
    <n v="4"/>
    <d v="2024-05-22T00:00:00"/>
    <n v="5"/>
    <n v="1"/>
    <x v="1"/>
    <x v="2"/>
    <n v="525.71428571428578"/>
    <n v="5"/>
    <s v="Yes"/>
  </r>
  <r>
    <x v="1481"/>
    <x v="154"/>
    <x v="1"/>
    <s v="West"/>
    <x v="0"/>
    <x v="1"/>
    <x v="2"/>
    <s v="South"/>
    <x v="0"/>
    <n v="26.5"/>
    <n v="960"/>
    <n v="6"/>
    <d v="2024-01-07T00:00:00"/>
    <n v="6"/>
    <n v="0"/>
    <x v="0"/>
    <x v="0"/>
    <n v="36.226415094339622"/>
    <n v="3"/>
    <s v="No"/>
  </r>
  <r>
    <x v="1482"/>
    <x v="68"/>
    <x v="1"/>
    <s v="West"/>
    <x v="4"/>
    <x v="2"/>
    <x v="0"/>
    <s v="North"/>
    <x v="0"/>
    <n v="34.4"/>
    <n v="373"/>
    <n v="8"/>
    <d v="2024-06-25T00:00:00"/>
    <n v="16"/>
    <n v="8"/>
    <x v="1"/>
    <x v="2"/>
    <n v="10.843023255813954"/>
    <n v="2"/>
    <s v="Yes"/>
  </r>
  <r>
    <x v="1483"/>
    <x v="43"/>
    <x v="0"/>
    <s v="South"/>
    <x v="5"/>
    <x v="0"/>
    <x v="3"/>
    <s v="South"/>
    <x v="1"/>
    <n v="2.7"/>
    <n v="80"/>
    <n v="2"/>
    <d v="2024-05-03T00:00:00"/>
    <n v="7"/>
    <n v="5"/>
    <x v="1"/>
    <x v="2"/>
    <n v="29.629629629629626"/>
    <n v="3"/>
    <s v="No"/>
  </r>
  <r>
    <x v="1484"/>
    <x v="61"/>
    <x v="4"/>
    <s v="East"/>
    <x v="3"/>
    <x v="0"/>
    <x v="0"/>
    <s v="East"/>
    <x v="1"/>
    <n v="7.9"/>
    <n v="131"/>
    <n v="2"/>
    <d v="2024-06-20T00:00:00"/>
    <n v="3"/>
    <n v="1"/>
    <x v="1"/>
    <x v="2"/>
    <n v="16.582278481012658"/>
    <n v="3"/>
    <s v="No"/>
  </r>
  <r>
    <x v="1485"/>
    <x v="16"/>
    <x v="4"/>
    <s v="East"/>
    <x v="5"/>
    <x v="0"/>
    <x v="0"/>
    <s v="East"/>
    <x v="1"/>
    <n v="3.4"/>
    <n v="247"/>
    <n v="2"/>
    <d v="2024-06-08T00:00:00"/>
    <n v="4"/>
    <n v="2"/>
    <x v="1"/>
    <x v="2"/>
    <n v="72.64705882352942"/>
    <n v="4"/>
    <s v="Yes"/>
  </r>
  <r>
    <x v="1486"/>
    <x v="106"/>
    <x v="5"/>
    <s v="West"/>
    <x v="2"/>
    <x v="1"/>
    <x v="0"/>
    <s v="North"/>
    <x v="0"/>
    <n v="4.2"/>
    <n v="197"/>
    <n v="6"/>
    <d v="2024-04-25T00:00:00"/>
    <n v="6"/>
    <n v="0"/>
    <x v="0"/>
    <x v="0"/>
    <n v="46.904761904761905"/>
    <n v="5"/>
    <s v="No"/>
  </r>
  <r>
    <x v="1487"/>
    <x v="46"/>
    <x v="1"/>
    <s v="West"/>
    <x v="0"/>
    <x v="2"/>
    <x v="1"/>
    <s v="East"/>
    <x v="0"/>
    <n v="1.2"/>
    <n v="292"/>
    <n v="8"/>
    <d v="2024-01-12T00:00:00"/>
    <n v="9"/>
    <n v="1"/>
    <x v="1"/>
    <x v="2"/>
    <n v="243.33333333333334"/>
    <n v="4"/>
    <s v="No"/>
  </r>
  <r>
    <x v="1488"/>
    <x v="55"/>
    <x v="0"/>
    <s v="South"/>
    <x v="3"/>
    <x v="2"/>
    <x v="1"/>
    <s v="West"/>
    <x v="0"/>
    <n v="2.1"/>
    <n v="427"/>
    <n v="8"/>
    <d v="2024-05-01T00:00:00"/>
    <n v="8"/>
    <n v="0"/>
    <x v="0"/>
    <x v="0"/>
    <n v="203.33333333333331"/>
    <n v="4"/>
    <s v="Yes"/>
  </r>
  <r>
    <x v="1489"/>
    <x v="91"/>
    <x v="4"/>
    <s v="East"/>
    <x v="2"/>
    <x v="0"/>
    <x v="0"/>
    <s v="West"/>
    <x v="0"/>
    <n v="1.4"/>
    <n v="377"/>
    <n v="4"/>
    <d v="2024-04-15T00:00:00"/>
    <n v="3"/>
    <n v="-1"/>
    <x v="0"/>
    <x v="0"/>
    <n v="269.28571428571428"/>
    <n v="4"/>
    <s v="No"/>
  </r>
  <r>
    <x v="1490"/>
    <x v="159"/>
    <x v="4"/>
    <s v="East"/>
    <x v="0"/>
    <x v="2"/>
    <x v="5"/>
    <s v="North"/>
    <x v="0"/>
    <n v="4.9000000000000004"/>
    <n v="995"/>
    <n v="8"/>
    <d v="2024-01-17T00:00:00"/>
    <n v="8"/>
    <n v="0"/>
    <x v="0"/>
    <x v="0"/>
    <n v="203.0612244897959"/>
    <n v="5"/>
    <s v="No"/>
  </r>
  <r>
    <x v="1491"/>
    <x v="106"/>
    <x v="2"/>
    <s v="North"/>
    <x v="7"/>
    <x v="0"/>
    <x v="4"/>
    <s v="South"/>
    <x v="0"/>
    <n v="3.3"/>
    <n v="266"/>
    <n v="4"/>
    <d v="2024-05-02T00:00:00"/>
    <n v="13"/>
    <n v="9"/>
    <x v="1"/>
    <x v="2"/>
    <n v="80.606060606060609"/>
    <n v="2"/>
    <s v="No"/>
  </r>
  <r>
    <x v="1492"/>
    <x v="105"/>
    <x v="1"/>
    <s v="West"/>
    <x v="1"/>
    <x v="2"/>
    <x v="4"/>
    <s v="South"/>
    <x v="0"/>
    <n v="68"/>
    <n v="220"/>
    <n v="8"/>
    <d v="2024-06-28T00:00:00"/>
    <n v="9"/>
    <n v="1"/>
    <x v="1"/>
    <x v="2"/>
    <n v="3.2352941176470589"/>
    <n v="4"/>
    <s v="No"/>
  </r>
  <r>
    <x v="1493"/>
    <x v="61"/>
    <x v="2"/>
    <s v="North"/>
    <x v="4"/>
    <x v="0"/>
    <x v="4"/>
    <s v="West"/>
    <x v="0"/>
    <n v="29.8"/>
    <n v="225"/>
    <n v="4"/>
    <d v="2024-06-20T00:00:00"/>
    <n v="3"/>
    <n v="-1"/>
    <x v="0"/>
    <x v="0"/>
    <n v="7.5503355704697981"/>
    <n v="4"/>
    <s v="No"/>
  </r>
  <r>
    <x v="1494"/>
    <x v="69"/>
    <x v="4"/>
    <s v="East"/>
    <x v="3"/>
    <x v="1"/>
    <x v="0"/>
    <s v="South"/>
    <x v="0"/>
    <n v="8.1"/>
    <n v="190"/>
    <n v="6"/>
    <d v="2024-05-14T00:00:00"/>
    <n v="6"/>
    <n v="0"/>
    <x v="0"/>
    <x v="3"/>
    <n v="23.456790123456791"/>
    <n v="0"/>
    <s v="Yes"/>
  </r>
  <r>
    <x v="1495"/>
    <x v="124"/>
    <x v="0"/>
    <s v="South"/>
    <x v="0"/>
    <x v="0"/>
    <x v="3"/>
    <s v="East"/>
    <x v="0"/>
    <n v="2.9"/>
    <n v="384"/>
    <n v="4"/>
    <d v="2024-04-01T00:00:00"/>
    <n v="11"/>
    <n v="7"/>
    <x v="1"/>
    <x v="2"/>
    <n v="132.41379310344828"/>
    <n v="1"/>
    <s v="Yes"/>
  </r>
  <r>
    <x v="1496"/>
    <x v="45"/>
    <x v="3"/>
    <s v="South"/>
    <x v="1"/>
    <x v="1"/>
    <x v="2"/>
    <s v="West"/>
    <x v="0"/>
    <n v="4"/>
    <n v="561"/>
    <n v="6"/>
    <d v="2024-04-07T00:00:00"/>
    <n v="6"/>
    <n v="0"/>
    <x v="0"/>
    <x v="0"/>
    <n v="140.25"/>
    <n v="4"/>
    <s v="No"/>
  </r>
  <r>
    <x v="1497"/>
    <x v="17"/>
    <x v="4"/>
    <s v="East"/>
    <x v="2"/>
    <x v="0"/>
    <x v="3"/>
    <s v="South"/>
    <x v="0"/>
    <n v="34.1"/>
    <n v="409"/>
    <n v="4"/>
    <d v="2024-06-08T00:00:00"/>
    <n v="6"/>
    <n v="2"/>
    <x v="1"/>
    <x v="2"/>
    <n v="11.994134897360704"/>
    <n v="4"/>
    <s v="Yes"/>
  </r>
  <r>
    <x v="1498"/>
    <x v="152"/>
    <x v="2"/>
    <s v="North"/>
    <x v="0"/>
    <x v="2"/>
    <x v="4"/>
    <s v="South"/>
    <x v="0"/>
    <n v="13.5"/>
    <n v="269"/>
    <n v="8"/>
    <d v="2024-02-22T00:00:00"/>
    <n v="8"/>
    <n v="0"/>
    <x v="0"/>
    <x v="0"/>
    <n v="19.925925925925927"/>
    <n v="3"/>
    <s v="Yes"/>
  </r>
  <r>
    <x v="1499"/>
    <x v="116"/>
    <x v="2"/>
    <s v="North"/>
    <x v="4"/>
    <x v="1"/>
    <x v="0"/>
    <s v="South"/>
    <x v="0"/>
    <n v="0.9"/>
    <n v="471"/>
    <n v="6"/>
    <d v="2024-05-05T00:00:00"/>
    <n v="7"/>
    <n v="1"/>
    <x v="1"/>
    <x v="2"/>
    <n v="523.33333333333337"/>
    <n v="4"/>
    <s v="No"/>
  </r>
  <r>
    <x v="1500"/>
    <x v="67"/>
    <x v="3"/>
    <s v="South"/>
    <x v="7"/>
    <x v="0"/>
    <x v="5"/>
    <s v="East"/>
    <x v="0"/>
    <n v="2.6"/>
    <n v="933"/>
    <n v="4"/>
    <d v="2024-03-20T00:00:00"/>
    <n v="4"/>
    <n v="0"/>
    <x v="0"/>
    <x v="0"/>
    <n v="358.84615384615381"/>
    <n v="3"/>
    <s v="No"/>
  </r>
  <r>
    <x v="1501"/>
    <x v="0"/>
    <x v="5"/>
    <s v="West"/>
    <x v="1"/>
    <x v="2"/>
    <x v="2"/>
    <s v="East"/>
    <x v="0"/>
    <n v="5.7"/>
    <n v="359"/>
    <n v="8"/>
    <d v="2024-01-31T00:00:00"/>
    <n v="9"/>
    <n v="1"/>
    <x v="1"/>
    <x v="2"/>
    <n v="62.982456140350877"/>
    <n v="5"/>
    <s v="No"/>
  </r>
  <r>
    <x v="1502"/>
    <x v="30"/>
    <x v="3"/>
    <s v="South"/>
    <x v="7"/>
    <x v="2"/>
    <x v="1"/>
    <s v="North"/>
    <x v="0"/>
    <n v="2.5"/>
    <n v="259"/>
    <n v="8"/>
    <d v="2024-04-14T00:00:00"/>
    <n v="8"/>
    <n v="0"/>
    <x v="0"/>
    <x v="0"/>
    <n v="103.6"/>
    <n v="4"/>
    <s v="Yes"/>
  </r>
  <r>
    <x v="1503"/>
    <x v="19"/>
    <x v="3"/>
    <s v="South"/>
    <x v="2"/>
    <x v="1"/>
    <x v="2"/>
    <s v="South"/>
    <x v="1"/>
    <n v="10.7"/>
    <n v="449"/>
    <n v="4"/>
    <d v="2024-05-17T00:00:00"/>
    <n v="4"/>
    <n v="0"/>
    <x v="0"/>
    <x v="0"/>
    <n v="41.962616822429908"/>
    <n v="3"/>
    <s v="No"/>
  </r>
  <r>
    <x v="1504"/>
    <x v="110"/>
    <x v="1"/>
    <s v="West"/>
    <x v="0"/>
    <x v="1"/>
    <x v="0"/>
    <s v="East"/>
    <x v="0"/>
    <n v="16.100000000000001"/>
    <n v="431"/>
    <n v="6"/>
    <d v="2024-02-03T00:00:00"/>
    <n v="14"/>
    <n v="8"/>
    <x v="1"/>
    <x v="2"/>
    <n v="26.770186335403725"/>
    <n v="1"/>
    <s v="No"/>
  </r>
  <r>
    <x v="1505"/>
    <x v="5"/>
    <x v="4"/>
    <s v="East"/>
    <x v="2"/>
    <x v="0"/>
    <x v="5"/>
    <s v="West"/>
    <x v="0"/>
    <n v="4.4000000000000004"/>
    <n v="2761"/>
    <n v="4"/>
    <d v="2024-03-29T00:00:00"/>
    <n v="5"/>
    <n v="1"/>
    <x v="1"/>
    <x v="2"/>
    <n v="627.5"/>
    <n v="3"/>
    <s v="No"/>
  </r>
  <r>
    <x v="1506"/>
    <x v="150"/>
    <x v="1"/>
    <s v="West"/>
    <x v="4"/>
    <x v="1"/>
    <x v="1"/>
    <s v="East"/>
    <x v="0"/>
    <n v="60.1"/>
    <n v="511"/>
    <n v="6"/>
    <d v="2024-03-05T00:00:00"/>
    <n v="7"/>
    <n v="1"/>
    <x v="1"/>
    <x v="2"/>
    <n v="8.5024958402662225"/>
    <n v="2"/>
    <s v="No"/>
  </r>
  <r>
    <x v="1507"/>
    <x v="138"/>
    <x v="5"/>
    <s v="West"/>
    <x v="4"/>
    <x v="0"/>
    <x v="4"/>
    <s v="East"/>
    <x v="0"/>
    <n v="2.9"/>
    <n v="321"/>
    <n v="4"/>
    <d v="2024-05-28T00:00:00"/>
    <n v="3"/>
    <n v="-1"/>
    <x v="0"/>
    <x v="0"/>
    <n v="110.68965517241379"/>
    <n v="4"/>
    <s v="No"/>
  </r>
  <r>
    <x v="1508"/>
    <x v="82"/>
    <x v="1"/>
    <s v="West"/>
    <x v="4"/>
    <x v="0"/>
    <x v="1"/>
    <s v="South"/>
    <x v="0"/>
    <n v="2.6"/>
    <n v="863"/>
    <n v="4"/>
    <d v="2024-05-18T00:00:00"/>
    <n v="4"/>
    <n v="0"/>
    <x v="0"/>
    <x v="0"/>
    <n v="331.92307692307691"/>
    <n v="4"/>
    <s v="No"/>
  </r>
  <r>
    <x v="1509"/>
    <x v="31"/>
    <x v="1"/>
    <s v="West"/>
    <x v="1"/>
    <x v="0"/>
    <x v="1"/>
    <s v="South"/>
    <x v="0"/>
    <n v="2.2999999999999998"/>
    <n v="970"/>
    <n v="4"/>
    <d v="2024-03-13T00:00:00"/>
    <n v="8"/>
    <n v="4"/>
    <x v="1"/>
    <x v="2"/>
    <n v="421.73913043478262"/>
    <n v="3"/>
    <s v="Yes"/>
  </r>
  <r>
    <x v="1510"/>
    <x v="56"/>
    <x v="0"/>
    <s v="South"/>
    <x v="4"/>
    <x v="0"/>
    <x v="3"/>
    <s v="West"/>
    <x v="0"/>
    <n v="1.1000000000000001"/>
    <n v="229"/>
    <n v="4"/>
    <d v="2024-06-06T00:00:00"/>
    <n v="5"/>
    <n v="1"/>
    <x v="1"/>
    <x v="2"/>
    <n v="208.18181818181816"/>
    <n v="4"/>
    <s v="Yes"/>
  </r>
  <r>
    <x v="1511"/>
    <x v="138"/>
    <x v="1"/>
    <s v="West"/>
    <x v="2"/>
    <x v="1"/>
    <x v="4"/>
    <s v="West"/>
    <x v="1"/>
    <n v="3.9"/>
    <n v="80"/>
    <n v="4"/>
    <d v="2024-05-30T00:00:00"/>
    <n v="5"/>
    <n v="1"/>
    <x v="1"/>
    <x v="2"/>
    <n v="20.512820512820515"/>
    <n v="1"/>
    <s v="No"/>
  </r>
  <r>
    <x v="1512"/>
    <x v="138"/>
    <x v="3"/>
    <s v="South"/>
    <x v="0"/>
    <x v="0"/>
    <x v="5"/>
    <s v="East"/>
    <x v="0"/>
    <n v="17"/>
    <n v="3283"/>
    <n v="4"/>
    <d v="2024-05-30T00:00:00"/>
    <n v="5"/>
    <n v="1"/>
    <x v="1"/>
    <x v="2"/>
    <n v="193.11764705882354"/>
    <n v="3"/>
    <s v="No"/>
  </r>
  <r>
    <x v="1513"/>
    <x v="157"/>
    <x v="0"/>
    <s v="South"/>
    <x v="1"/>
    <x v="1"/>
    <x v="5"/>
    <s v="North"/>
    <x v="0"/>
    <n v="5.5"/>
    <n v="1194"/>
    <n v="6"/>
    <d v="2024-03-11T00:00:00"/>
    <n v="7"/>
    <n v="1"/>
    <x v="1"/>
    <x v="2"/>
    <n v="217.09090909090909"/>
    <n v="1"/>
    <s v="No"/>
  </r>
  <r>
    <x v="1514"/>
    <x v="143"/>
    <x v="4"/>
    <s v="East"/>
    <x v="4"/>
    <x v="2"/>
    <x v="3"/>
    <s v="East"/>
    <x v="1"/>
    <n v="4.9000000000000004"/>
    <n v="155"/>
    <n v="6"/>
    <d v="2024-05-16T00:00:00"/>
    <n v="7"/>
    <n v="1"/>
    <x v="1"/>
    <x v="2"/>
    <n v="31.632653061224488"/>
    <n v="4"/>
    <s v="No"/>
  </r>
  <r>
    <x v="1515"/>
    <x v="11"/>
    <x v="2"/>
    <s v="North"/>
    <x v="5"/>
    <x v="1"/>
    <x v="1"/>
    <s v="West"/>
    <x v="0"/>
    <n v="12.9"/>
    <n v="405"/>
    <n v="6"/>
    <d v="2024-02-08T00:00:00"/>
    <n v="5"/>
    <n v="-1"/>
    <x v="0"/>
    <x v="0"/>
    <n v="31.395348837209301"/>
    <n v="4"/>
    <s v="Yes"/>
  </r>
  <r>
    <x v="1516"/>
    <x v="79"/>
    <x v="1"/>
    <s v="West"/>
    <x v="2"/>
    <x v="0"/>
    <x v="4"/>
    <s v="East"/>
    <x v="0"/>
    <n v="16.8"/>
    <n v="330"/>
    <n v="4"/>
    <d v="2024-04-06T00:00:00"/>
    <n v="4"/>
    <n v="0"/>
    <x v="0"/>
    <x v="0"/>
    <n v="19.642857142857142"/>
    <n v="4"/>
    <s v="Yes"/>
  </r>
  <r>
    <x v="1517"/>
    <x v="78"/>
    <x v="5"/>
    <s v="West"/>
    <x v="7"/>
    <x v="2"/>
    <x v="5"/>
    <s v="West"/>
    <x v="1"/>
    <n v="14.8"/>
    <n v="477"/>
    <n v="6"/>
    <d v="2024-03-31T00:00:00"/>
    <n v="5"/>
    <n v="-1"/>
    <x v="0"/>
    <x v="0"/>
    <n v="32.229729729729726"/>
    <n v="4"/>
    <s v="Yes"/>
  </r>
  <r>
    <x v="1518"/>
    <x v="117"/>
    <x v="5"/>
    <s v="West"/>
    <x v="4"/>
    <x v="0"/>
    <x v="0"/>
    <s v="West"/>
    <x v="1"/>
    <n v="8.6"/>
    <n v="708"/>
    <n v="2"/>
    <d v="2024-05-26T00:00:00"/>
    <n v="2"/>
    <n v="0"/>
    <x v="0"/>
    <x v="0"/>
    <n v="82.325581395348834"/>
    <n v="5"/>
    <s v="No"/>
  </r>
  <r>
    <x v="1519"/>
    <x v="93"/>
    <x v="5"/>
    <s v="West"/>
    <x v="4"/>
    <x v="2"/>
    <x v="5"/>
    <s v="South"/>
    <x v="0"/>
    <n v="21.5"/>
    <n v="722"/>
    <n v="8"/>
    <d v="2024-02-02T00:00:00"/>
    <n v="9"/>
    <n v="1"/>
    <x v="1"/>
    <x v="2"/>
    <n v="33.581395348837212"/>
    <n v="2"/>
    <s v="No"/>
  </r>
  <r>
    <x v="1520"/>
    <x v="20"/>
    <x v="3"/>
    <s v="South"/>
    <x v="5"/>
    <x v="0"/>
    <x v="2"/>
    <s v="North"/>
    <x v="0"/>
    <n v="13"/>
    <n v="1186"/>
    <n v="4"/>
    <d v="2024-01-12T00:00:00"/>
    <n v="5"/>
    <n v="1"/>
    <x v="1"/>
    <x v="2"/>
    <n v="91.230769230769226"/>
    <n v="2"/>
    <s v="No"/>
  </r>
  <r>
    <x v="1521"/>
    <x v="150"/>
    <x v="4"/>
    <s v="East"/>
    <x v="0"/>
    <x v="0"/>
    <x v="5"/>
    <s v="South"/>
    <x v="0"/>
    <n v="58.4"/>
    <n v="1281"/>
    <n v="4"/>
    <d v="2024-03-02T00:00:00"/>
    <n v="4"/>
    <n v="0"/>
    <x v="0"/>
    <x v="0"/>
    <n v="21.934931506849317"/>
    <n v="5"/>
    <s v="No"/>
  </r>
  <r>
    <x v="1522"/>
    <x v="59"/>
    <x v="3"/>
    <s v="South"/>
    <x v="4"/>
    <x v="2"/>
    <x v="2"/>
    <s v="East"/>
    <x v="0"/>
    <n v="0.9"/>
    <n v="366"/>
    <n v="8"/>
    <d v="2024-05-26T00:00:00"/>
    <n v="7"/>
    <n v="-1"/>
    <x v="0"/>
    <x v="3"/>
    <n v="406.66666666666663"/>
    <n v="0"/>
    <s v="Yes"/>
  </r>
  <r>
    <x v="1523"/>
    <x v="111"/>
    <x v="3"/>
    <s v="South"/>
    <x v="2"/>
    <x v="1"/>
    <x v="1"/>
    <s v="West"/>
    <x v="0"/>
    <n v="14.8"/>
    <n v="223"/>
    <n v="6"/>
    <d v="2024-03-23T00:00:00"/>
    <n v="5"/>
    <n v="-1"/>
    <x v="0"/>
    <x v="0"/>
    <n v="15.067567567567567"/>
    <n v="4"/>
    <s v="No"/>
  </r>
  <r>
    <x v="1524"/>
    <x v="8"/>
    <x v="0"/>
    <s v="South"/>
    <x v="1"/>
    <x v="0"/>
    <x v="3"/>
    <s v="East"/>
    <x v="0"/>
    <n v="2.8"/>
    <n v="372"/>
    <n v="4"/>
    <d v="2024-02-08T00:00:00"/>
    <n v="3"/>
    <n v="-1"/>
    <x v="0"/>
    <x v="0"/>
    <n v="132.85714285714286"/>
    <n v="5"/>
    <s v="Yes"/>
  </r>
  <r>
    <x v="1525"/>
    <x v="142"/>
    <x v="4"/>
    <s v="East"/>
    <x v="2"/>
    <x v="1"/>
    <x v="4"/>
    <s v="East"/>
    <x v="1"/>
    <n v="14.6"/>
    <n v="80"/>
    <n v="4"/>
    <d v="2024-03-27T00:00:00"/>
    <n v="10"/>
    <n v="6"/>
    <x v="1"/>
    <x v="2"/>
    <n v="5.4794520547945202"/>
    <n v="1"/>
    <s v="Yes"/>
  </r>
  <r>
    <x v="1526"/>
    <x v="98"/>
    <x v="0"/>
    <s v="South"/>
    <x v="2"/>
    <x v="1"/>
    <x v="0"/>
    <s v="South"/>
    <x v="1"/>
    <n v="17.600000000000001"/>
    <n v="112"/>
    <n v="4"/>
    <d v="2024-01-12T00:00:00"/>
    <n v="7"/>
    <n v="3"/>
    <x v="1"/>
    <x v="2"/>
    <n v="6.3636363636363633"/>
    <n v="2"/>
    <s v="Yes"/>
  </r>
  <r>
    <x v="1527"/>
    <x v="148"/>
    <x v="4"/>
    <s v="East"/>
    <x v="5"/>
    <x v="2"/>
    <x v="4"/>
    <s v="West"/>
    <x v="0"/>
    <n v="1.2"/>
    <n v="218"/>
    <n v="8"/>
    <d v="2024-05-16T00:00:00"/>
    <n v="9"/>
    <n v="1"/>
    <x v="1"/>
    <x v="1"/>
    <n v="181.66666666666669"/>
    <n v="0"/>
    <s v="No"/>
  </r>
  <r>
    <x v="1528"/>
    <x v="30"/>
    <x v="5"/>
    <s v="West"/>
    <x v="4"/>
    <x v="0"/>
    <x v="1"/>
    <s v="West"/>
    <x v="1"/>
    <n v="1.4"/>
    <n v="159"/>
    <n v="2"/>
    <d v="2024-04-08T00:00:00"/>
    <n v="2"/>
    <n v="0"/>
    <x v="0"/>
    <x v="0"/>
    <n v="113.57142857142858"/>
    <n v="5"/>
    <s v="No"/>
  </r>
  <r>
    <x v="1529"/>
    <x v="3"/>
    <x v="0"/>
    <s v="South"/>
    <x v="1"/>
    <x v="2"/>
    <x v="4"/>
    <s v="South"/>
    <x v="1"/>
    <n v="69.599999999999994"/>
    <n v="80"/>
    <n v="6"/>
    <d v="2024-01-19T00:00:00"/>
    <n v="6"/>
    <n v="0"/>
    <x v="0"/>
    <x v="0"/>
    <n v="1.149425287356322"/>
    <n v="3"/>
    <s v="Yes"/>
  </r>
  <r>
    <x v="1530"/>
    <x v="2"/>
    <x v="3"/>
    <s v="South"/>
    <x v="3"/>
    <x v="1"/>
    <x v="5"/>
    <s v="West"/>
    <x v="0"/>
    <n v="47.3"/>
    <n v="1626"/>
    <n v="6"/>
    <d v="2024-05-29T00:00:00"/>
    <n v="6"/>
    <n v="0"/>
    <x v="0"/>
    <x v="0"/>
    <n v="34.376321353065542"/>
    <n v="4"/>
    <s v="No"/>
  </r>
  <r>
    <x v="1531"/>
    <x v="140"/>
    <x v="1"/>
    <s v="West"/>
    <x v="0"/>
    <x v="2"/>
    <x v="2"/>
    <s v="West"/>
    <x v="1"/>
    <n v="7.8"/>
    <n v="310"/>
    <n v="6"/>
    <d v="2024-06-20T00:00:00"/>
    <n v="5"/>
    <n v="-1"/>
    <x v="0"/>
    <x v="0"/>
    <n v="39.743589743589745"/>
    <n v="5"/>
    <s v="No"/>
  </r>
  <r>
    <x v="1532"/>
    <x v="74"/>
    <x v="4"/>
    <s v="East"/>
    <x v="0"/>
    <x v="0"/>
    <x v="2"/>
    <s v="East"/>
    <x v="1"/>
    <n v="10.4"/>
    <n v="1785"/>
    <n v="2"/>
    <d v="2024-02-13T00:00:00"/>
    <n v="2"/>
    <n v="0"/>
    <x v="0"/>
    <x v="0"/>
    <n v="171.63461538461539"/>
    <n v="2"/>
    <s v="No"/>
  </r>
  <r>
    <x v="1533"/>
    <x v="72"/>
    <x v="4"/>
    <s v="East"/>
    <x v="1"/>
    <x v="1"/>
    <x v="0"/>
    <s v="East"/>
    <x v="1"/>
    <n v="3.7"/>
    <n v="212"/>
    <n v="4"/>
    <d v="2024-06-28T00:00:00"/>
    <n v="4"/>
    <n v="0"/>
    <x v="0"/>
    <x v="0"/>
    <n v="57.297297297297291"/>
    <n v="5"/>
    <s v="No"/>
  </r>
  <r>
    <x v="1534"/>
    <x v="119"/>
    <x v="0"/>
    <s v="South"/>
    <x v="4"/>
    <x v="1"/>
    <x v="2"/>
    <s v="East"/>
    <x v="0"/>
    <n v="33.6"/>
    <n v="268"/>
    <n v="6"/>
    <d v="2024-07-03T00:00:00"/>
    <n v="7"/>
    <n v="1"/>
    <x v="1"/>
    <x v="2"/>
    <n v="7.9761904761904763"/>
    <n v="3"/>
    <s v="No"/>
  </r>
  <r>
    <x v="1535"/>
    <x v="166"/>
    <x v="0"/>
    <s v="South"/>
    <x v="1"/>
    <x v="1"/>
    <x v="3"/>
    <s v="South"/>
    <x v="1"/>
    <n v="15"/>
    <n v="80"/>
    <n v="4"/>
    <d v="2024-06-15T00:00:00"/>
    <n v="8"/>
    <n v="4"/>
    <x v="1"/>
    <x v="2"/>
    <n v="5.333333333333333"/>
    <n v="3"/>
    <s v="No"/>
  </r>
  <r>
    <x v="1536"/>
    <x v="90"/>
    <x v="0"/>
    <s v="South"/>
    <x v="3"/>
    <x v="2"/>
    <x v="3"/>
    <s v="East"/>
    <x v="0"/>
    <n v="42.2"/>
    <n v="167"/>
    <n v="8"/>
    <d v="2024-06-29T00:00:00"/>
    <n v="7"/>
    <n v="-1"/>
    <x v="0"/>
    <x v="0"/>
    <n v="3.9573459715639809"/>
    <n v="4"/>
    <s v="Yes"/>
  </r>
  <r>
    <x v="1537"/>
    <x v="117"/>
    <x v="0"/>
    <s v="South"/>
    <x v="0"/>
    <x v="0"/>
    <x v="5"/>
    <s v="East"/>
    <x v="0"/>
    <n v="22.3"/>
    <n v="3571"/>
    <n v="4"/>
    <d v="2024-06-04T00:00:00"/>
    <n v="11"/>
    <n v="7"/>
    <x v="1"/>
    <x v="2"/>
    <n v="160.13452914798205"/>
    <n v="1"/>
    <s v="No"/>
  </r>
  <r>
    <x v="1538"/>
    <x v="65"/>
    <x v="3"/>
    <s v="South"/>
    <x v="1"/>
    <x v="1"/>
    <x v="4"/>
    <s v="North"/>
    <x v="0"/>
    <n v="24.3"/>
    <n v="215"/>
    <n v="6"/>
    <d v="2024-03-25T00:00:00"/>
    <n v="5"/>
    <n v="-1"/>
    <x v="0"/>
    <x v="0"/>
    <n v="8.8477366255144023"/>
    <n v="4"/>
    <s v="Yes"/>
  </r>
  <r>
    <x v="1539"/>
    <x v="118"/>
    <x v="1"/>
    <s v="West"/>
    <x v="4"/>
    <x v="2"/>
    <x v="1"/>
    <s v="North"/>
    <x v="0"/>
    <n v="13.6"/>
    <n v="442"/>
    <n v="8"/>
    <d v="2024-06-17T00:00:00"/>
    <n v="9"/>
    <n v="1"/>
    <x v="1"/>
    <x v="2"/>
    <n v="32.5"/>
    <n v="2"/>
    <s v="No"/>
  </r>
  <r>
    <x v="1540"/>
    <x v="131"/>
    <x v="3"/>
    <s v="South"/>
    <x v="3"/>
    <x v="1"/>
    <x v="3"/>
    <s v="North"/>
    <x v="0"/>
    <n v="3.5"/>
    <n v="228"/>
    <n v="6"/>
    <d v="2024-03-29T00:00:00"/>
    <n v="7"/>
    <n v="1"/>
    <x v="1"/>
    <x v="2"/>
    <n v="65.142857142857139"/>
    <n v="3"/>
    <s v="Yes"/>
  </r>
  <r>
    <x v="1541"/>
    <x v="138"/>
    <x v="5"/>
    <s v="West"/>
    <x v="1"/>
    <x v="1"/>
    <x v="3"/>
    <s v="North"/>
    <x v="0"/>
    <n v="5.5"/>
    <n v="271"/>
    <n v="6"/>
    <d v="2024-06-09T00:00:00"/>
    <n v="15"/>
    <n v="9"/>
    <x v="1"/>
    <x v="2"/>
    <n v="49.272727272727273"/>
    <n v="2"/>
    <s v="No"/>
  </r>
  <r>
    <x v="1542"/>
    <x v="141"/>
    <x v="1"/>
    <s v="West"/>
    <x v="1"/>
    <x v="2"/>
    <x v="1"/>
    <s v="East"/>
    <x v="0"/>
    <n v="1.1000000000000001"/>
    <n v="455"/>
    <n v="8"/>
    <d v="2024-05-23T00:00:00"/>
    <n v="7"/>
    <n v="-1"/>
    <x v="0"/>
    <x v="0"/>
    <n v="413.63636363636363"/>
    <n v="4"/>
    <s v="No"/>
  </r>
  <r>
    <x v="1543"/>
    <x v="62"/>
    <x v="5"/>
    <s v="West"/>
    <x v="7"/>
    <x v="2"/>
    <x v="3"/>
    <s v="West"/>
    <x v="1"/>
    <n v="4.0999999999999996"/>
    <n v="80"/>
    <n v="6"/>
    <d v="2024-07-02T00:00:00"/>
    <n v="5"/>
    <n v="-1"/>
    <x v="0"/>
    <x v="0"/>
    <n v="19.512195121951223"/>
    <n v="4"/>
    <s v="Yes"/>
  </r>
  <r>
    <x v="1544"/>
    <x v="2"/>
    <x v="5"/>
    <s v="West"/>
    <x v="7"/>
    <x v="2"/>
    <x v="3"/>
    <s v="West"/>
    <x v="1"/>
    <n v="2.2000000000000002"/>
    <n v="98"/>
    <n v="6"/>
    <d v="2024-05-28T00:00:00"/>
    <n v="5"/>
    <n v="-1"/>
    <x v="0"/>
    <x v="0"/>
    <n v="44.54545454545454"/>
    <n v="5"/>
    <s v="No"/>
  </r>
  <r>
    <x v="1545"/>
    <x v="130"/>
    <x v="4"/>
    <s v="East"/>
    <x v="1"/>
    <x v="2"/>
    <x v="0"/>
    <s v="East"/>
    <x v="1"/>
    <n v="4.0999999999999996"/>
    <n v="159"/>
    <n v="6"/>
    <d v="2024-03-20T00:00:00"/>
    <n v="5"/>
    <n v="-1"/>
    <x v="0"/>
    <x v="0"/>
    <n v="38.780487804878049"/>
    <n v="5"/>
    <s v="No"/>
  </r>
  <r>
    <x v="1546"/>
    <x v="43"/>
    <x v="0"/>
    <s v="South"/>
    <x v="5"/>
    <x v="1"/>
    <x v="4"/>
    <s v="South"/>
    <x v="1"/>
    <n v="0.6"/>
    <n v="80"/>
    <n v="4"/>
    <d v="2024-04-29T00:00:00"/>
    <n v="3"/>
    <n v="-1"/>
    <x v="0"/>
    <x v="0"/>
    <n v="133.33333333333334"/>
    <n v="4"/>
    <s v="No"/>
  </r>
  <r>
    <x v="1547"/>
    <x v="130"/>
    <x v="0"/>
    <s v="South"/>
    <x v="0"/>
    <x v="2"/>
    <x v="1"/>
    <s v="West"/>
    <x v="0"/>
    <n v="64.400000000000006"/>
    <n v="433"/>
    <n v="8"/>
    <d v="2024-03-29T00:00:00"/>
    <n v="14"/>
    <n v="6"/>
    <x v="1"/>
    <x v="2"/>
    <n v="6.7236024844720488"/>
    <n v="1"/>
    <s v="Yes"/>
  </r>
  <r>
    <x v="1548"/>
    <x v="27"/>
    <x v="3"/>
    <s v="South"/>
    <x v="0"/>
    <x v="0"/>
    <x v="4"/>
    <s v="North"/>
    <x v="0"/>
    <n v="20.3"/>
    <n v="258"/>
    <n v="4"/>
    <d v="2024-02-17T00:00:00"/>
    <n v="13"/>
    <n v="9"/>
    <x v="1"/>
    <x v="2"/>
    <n v="12.709359605911329"/>
    <n v="4"/>
    <s v="No"/>
  </r>
  <r>
    <x v="1549"/>
    <x v="28"/>
    <x v="2"/>
    <s v="North"/>
    <x v="1"/>
    <x v="2"/>
    <x v="1"/>
    <s v="North"/>
    <x v="1"/>
    <n v="39.299999999999997"/>
    <n v="188"/>
    <n v="6"/>
    <d v="2024-04-18T00:00:00"/>
    <n v="7"/>
    <n v="1"/>
    <x v="1"/>
    <x v="2"/>
    <n v="4.7837150127226469"/>
    <n v="2"/>
    <s v="No"/>
  </r>
  <r>
    <x v="1550"/>
    <x v="39"/>
    <x v="5"/>
    <s v="West"/>
    <x v="4"/>
    <x v="2"/>
    <x v="5"/>
    <s v="South"/>
    <x v="0"/>
    <n v="8.9"/>
    <n v="1107"/>
    <n v="8"/>
    <d v="2024-06-05T00:00:00"/>
    <n v="16"/>
    <n v="8"/>
    <x v="1"/>
    <x v="2"/>
    <n v="124.3820224719101"/>
    <n v="3"/>
    <s v="Yes"/>
  </r>
  <r>
    <x v="1551"/>
    <x v="126"/>
    <x v="3"/>
    <s v="South"/>
    <x v="0"/>
    <x v="0"/>
    <x v="4"/>
    <s v="East"/>
    <x v="0"/>
    <n v="5.5"/>
    <n v="364"/>
    <n v="4"/>
    <d v="2024-01-19T00:00:00"/>
    <n v="4"/>
    <n v="0"/>
    <x v="0"/>
    <x v="0"/>
    <n v="66.181818181818187"/>
    <n v="4"/>
    <s v="No"/>
  </r>
  <r>
    <x v="1552"/>
    <x v="98"/>
    <x v="0"/>
    <s v="South"/>
    <x v="0"/>
    <x v="1"/>
    <x v="1"/>
    <s v="West"/>
    <x v="0"/>
    <n v="2.6"/>
    <n v="423"/>
    <n v="6"/>
    <d v="2024-01-12T00:00:00"/>
    <n v="7"/>
    <n v="1"/>
    <x v="1"/>
    <x v="2"/>
    <n v="162.69230769230768"/>
    <n v="4"/>
    <s v="Yes"/>
  </r>
  <r>
    <x v="1553"/>
    <x v="64"/>
    <x v="4"/>
    <s v="East"/>
    <x v="2"/>
    <x v="2"/>
    <x v="4"/>
    <s v="East"/>
    <x v="1"/>
    <n v="2.1"/>
    <n v="80"/>
    <n v="6"/>
    <d v="2024-05-23T00:00:00"/>
    <n v="6"/>
    <n v="0"/>
    <x v="0"/>
    <x v="0"/>
    <n v="38.095238095238095"/>
    <n v="4"/>
    <s v="No"/>
  </r>
  <r>
    <x v="1554"/>
    <x v="109"/>
    <x v="0"/>
    <s v="South"/>
    <x v="4"/>
    <x v="2"/>
    <x v="4"/>
    <s v="West"/>
    <x v="0"/>
    <n v="75.3"/>
    <n v="228"/>
    <n v="8"/>
    <d v="2024-06-26T00:00:00"/>
    <n v="8"/>
    <n v="0"/>
    <x v="0"/>
    <x v="0"/>
    <n v="3.0278884462151394"/>
    <n v="5"/>
    <s v="Yes"/>
  </r>
  <r>
    <x v="1555"/>
    <x v="62"/>
    <x v="5"/>
    <s v="West"/>
    <x v="3"/>
    <x v="2"/>
    <x v="3"/>
    <s v="South"/>
    <x v="0"/>
    <n v="4.0999999999999996"/>
    <n v="215"/>
    <n v="8"/>
    <s v=""/>
    <s v=""/>
    <s v=""/>
    <x v="2"/>
    <x v="4"/>
    <n v="52.439024390243908"/>
    <n v="0"/>
    <s v="Yes"/>
  </r>
  <r>
    <x v="1556"/>
    <x v="52"/>
    <x v="2"/>
    <s v="North"/>
    <x v="4"/>
    <x v="0"/>
    <x v="5"/>
    <s v="East"/>
    <x v="0"/>
    <n v="19.3"/>
    <n v="894"/>
    <n v="4"/>
    <d v="2024-06-23T00:00:00"/>
    <n v="11"/>
    <n v="7"/>
    <x v="1"/>
    <x v="2"/>
    <n v="46.321243523316063"/>
    <n v="1"/>
    <s v="No"/>
  </r>
  <r>
    <x v="1557"/>
    <x v="66"/>
    <x v="5"/>
    <s v="West"/>
    <x v="3"/>
    <x v="0"/>
    <x v="5"/>
    <s v="North"/>
    <x v="0"/>
    <n v="4"/>
    <n v="1337"/>
    <n v="4"/>
    <d v="2024-02-18T00:00:00"/>
    <n v="3"/>
    <n v="-1"/>
    <x v="0"/>
    <x v="0"/>
    <n v="334.25"/>
    <n v="3"/>
    <s v="Yes"/>
  </r>
  <r>
    <x v="1558"/>
    <x v="158"/>
    <x v="2"/>
    <s v="North"/>
    <x v="1"/>
    <x v="1"/>
    <x v="5"/>
    <s v="North"/>
    <x v="1"/>
    <n v="4.2"/>
    <n v="1417"/>
    <n v="4"/>
    <d v="2024-05-20T00:00:00"/>
    <n v="5"/>
    <n v="1"/>
    <x v="1"/>
    <x v="2"/>
    <n v="337.38095238095235"/>
    <n v="2"/>
    <s v="No"/>
  </r>
  <r>
    <x v="1559"/>
    <x v="76"/>
    <x v="3"/>
    <s v="South"/>
    <x v="0"/>
    <x v="1"/>
    <x v="4"/>
    <s v="South"/>
    <x v="1"/>
    <n v="18.3"/>
    <n v="81"/>
    <n v="4"/>
    <d v="2024-02-01T00:00:00"/>
    <n v="5"/>
    <n v="1"/>
    <x v="1"/>
    <x v="2"/>
    <n v="4.4262295081967213"/>
    <n v="1"/>
    <s v="Yes"/>
  </r>
  <r>
    <x v="1560"/>
    <x v="77"/>
    <x v="1"/>
    <s v="West"/>
    <x v="2"/>
    <x v="2"/>
    <x v="4"/>
    <s v="East"/>
    <x v="0"/>
    <n v="0.7"/>
    <n v="172"/>
    <n v="8"/>
    <d v="2024-05-27T00:00:00"/>
    <n v="9"/>
    <n v="1"/>
    <x v="1"/>
    <x v="2"/>
    <n v="245.71428571428572"/>
    <n v="1"/>
    <s v="No"/>
  </r>
  <r>
    <x v="1561"/>
    <x v="104"/>
    <x v="0"/>
    <s v="South"/>
    <x v="2"/>
    <x v="2"/>
    <x v="5"/>
    <s v="West"/>
    <x v="0"/>
    <n v="6.7"/>
    <n v="1160"/>
    <n v="8"/>
    <d v="2024-03-14T00:00:00"/>
    <n v="7"/>
    <n v="-1"/>
    <x v="0"/>
    <x v="0"/>
    <n v="173.13432835820896"/>
    <n v="4"/>
    <s v="No"/>
  </r>
  <r>
    <x v="1562"/>
    <x v="125"/>
    <x v="2"/>
    <s v="North"/>
    <x v="7"/>
    <x v="0"/>
    <x v="4"/>
    <s v="South"/>
    <x v="0"/>
    <n v="12.1"/>
    <n v="357"/>
    <n v="4"/>
    <d v="2024-03-16T00:00:00"/>
    <n v="4"/>
    <n v="0"/>
    <x v="0"/>
    <x v="0"/>
    <n v="29.504132231404959"/>
    <n v="3"/>
    <s v="No"/>
  </r>
  <r>
    <x v="1563"/>
    <x v="113"/>
    <x v="5"/>
    <s v="West"/>
    <x v="4"/>
    <x v="1"/>
    <x v="4"/>
    <s v="West"/>
    <x v="1"/>
    <n v="2.1"/>
    <n v="95"/>
    <n v="4"/>
    <d v="2024-04-20T00:00:00"/>
    <n v="3"/>
    <n v="-1"/>
    <x v="0"/>
    <x v="0"/>
    <n v="45.238095238095234"/>
    <n v="4"/>
    <s v="No"/>
  </r>
  <r>
    <x v="1564"/>
    <x v="57"/>
    <x v="0"/>
    <s v="South"/>
    <x v="2"/>
    <x v="2"/>
    <x v="0"/>
    <s v="West"/>
    <x v="0"/>
    <n v="18.600000000000001"/>
    <n v="380"/>
    <n v="8"/>
    <d v="2024-07-03T00:00:00"/>
    <n v="10"/>
    <n v="2"/>
    <x v="1"/>
    <x v="2"/>
    <n v="20.43010752688172"/>
    <n v="1"/>
    <s v="No"/>
  </r>
  <r>
    <x v="1565"/>
    <x v="15"/>
    <x v="1"/>
    <s v="West"/>
    <x v="5"/>
    <x v="1"/>
    <x v="1"/>
    <s v="North"/>
    <x v="0"/>
    <n v="1.7"/>
    <n v="497"/>
    <n v="6"/>
    <d v="2024-05-09T00:00:00"/>
    <n v="7"/>
    <n v="1"/>
    <x v="1"/>
    <x v="2"/>
    <n v="292.35294117647061"/>
    <n v="1"/>
    <s v="No"/>
  </r>
  <r>
    <x v="1566"/>
    <x v="164"/>
    <x v="2"/>
    <s v="North"/>
    <x v="0"/>
    <x v="2"/>
    <x v="1"/>
    <s v="West"/>
    <x v="0"/>
    <n v="9.9"/>
    <n v="237"/>
    <n v="8"/>
    <d v="2024-06-14T00:00:00"/>
    <n v="8"/>
    <n v="0"/>
    <x v="0"/>
    <x v="0"/>
    <n v="23.939393939393938"/>
    <n v="4"/>
    <s v="Yes"/>
  </r>
  <r>
    <x v="1567"/>
    <x v="114"/>
    <x v="3"/>
    <s v="South"/>
    <x v="7"/>
    <x v="1"/>
    <x v="5"/>
    <s v="West"/>
    <x v="0"/>
    <n v="67.099999999999994"/>
    <n v="1001"/>
    <n v="6"/>
    <d v="2024-02-21T00:00:00"/>
    <n v="11"/>
    <n v="5"/>
    <x v="1"/>
    <x v="2"/>
    <n v="14.918032786885247"/>
    <n v="5"/>
    <s v="Yes"/>
  </r>
  <r>
    <x v="1568"/>
    <x v="118"/>
    <x v="4"/>
    <s v="East"/>
    <x v="1"/>
    <x v="0"/>
    <x v="4"/>
    <s v="West"/>
    <x v="0"/>
    <n v="3.7"/>
    <n v="338"/>
    <n v="4"/>
    <d v="2024-06-12T00:00:00"/>
    <n v="4"/>
    <n v="0"/>
    <x v="0"/>
    <x v="0"/>
    <n v="91.35135135135134"/>
    <n v="4"/>
    <s v="No"/>
  </r>
  <r>
    <x v="1569"/>
    <x v="117"/>
    <x v="1"/>
    <s v="West"/>
    <x v="4"/>
    <x v="0"/>
    <x v="2"/>
    <s v="East"/>
    <x v="0"/>
    <n v="13.3"/>
    <n v="564"/>
    <n v="4"/>
    <d v="2024-05-29T00:00:00"/>
    <n v="5"/>
    <n v="1"/>
    <x v="1"/>
    <x v="2"/>
    <n v="42.406015037593981"/>
    <n v="2"/>
    <s v="No"/>
  </r>
  <r>
    <x v="1570"/>
    <x v="50"/>
    <x v="5"/>
    <s v="West"/>
    <x v="4"/>
    <x v="2"/>
    <x v="5"/>
    <s v="South"/>
    <x v="0"/>
    <n v="1"/>
    <n v="1119"/>
    <n v="8"/>
    <d v="2024-02-21T00:00:00"/>
    <n v="8"/>
    <n v="0"/>
    <x v="0"/>
    <x v="1"/>
    <n v="1119"/>
    <n v="0"/>
    <s v="No"/>
  </r>
  <r>
    <x v="1571"/>
    <x v="3"/>
    <x v="1"/>
    <s v="West"/>
    <x v="4"/>
    <x v="0"/>
    <x v="0"/>
    <s v="East"/>
    <x v="0"/>
    <n v="1.7"/>
    <n v="686"/>
    <n v="4"/>
    <d v="2024-01-17T00:00:00"/>
    <n v="4"/>
    <n v="0"/>
    <x v="0"/>
    <x v="0"/>
    <n v="403.52941176470591"/>
    <n v="4"/>
    <s v="No"/>
  </r>
  <r>
    <x v="1572"/>
    <x v="72"/>
    <x v="5"/>
    <s v="West"/>
    <x v="1"/>
    <x v="2"/>
    <x v="1"/>
    <s v="West"/>
    <x v="1"/>
    <n v="5.7"/>
    <n v="175"/>
    <n v="6"/>
    <d v="2024-06-29T00:00:00"/>
    <n v="5"/>
    <n v="-1"/>
    <x v="0"/>
    <x v="0"/>
    <n v="30.701754385964911"/>
    <n v="4"/>
    <s v="Yes"/>
  </r>
  <r>
    <x v="1573"/>
    <x v="90"/>
    <x v="5"/>
    <s v="West"/>
    <x v="1"/>
    <x v="2"/>
    <x v="5"/>
    <s v="North"/>
    <x v="0"/>
    <n v="17"/>
    <n v="1207"/>
    <n v="8"/>
    <d v="2024-06-29T00:00:00"/>
    <n v="7"/>
    <n v="-1"/>
    <x v="0"/>
    <x v="0"/>
    <n v="71"/>
    <n v="3"/>
    <s v="Yes"/>
  </r>
  <r>
    <x v="1574"/>
    <x v="43"/>
    <x v="2"/>
    <s v="North"/>
    <x v="4"/>
    <x v="1"/>
    <x v="1"/>
    <s v="West"/>
    <x v="0"/>
    <n v="26.9"/>
    <n v="240"/>
    <n v="6"/>
    <d v="2024-05-09T00:00:00"/>
    <n v="13"/>
    <n v="7"/>
    <x v="1"/>
    <x v="2"/>
    <n v="8.921933085501859"/>
    <n v="4"/>
    <s v="No"/>
  </r>
  <r>
    <x v="1575"/>
    <x v="74"/>
    <x v="2"/>
    <s v="North"/>
    <x v="2"/>
    <x v="2"/>
    <x v="0"/>
    <s v="East"/>
    <x v="0"/>
    <n v="64.5"/>
    <n v="183"/>
    <n v="8"/>
    <d v="2024-02-27T00:00:00"/>
    <n v="16"/>
    <n v="8"/>
    <x v="1"/>
    <x v="2"/>
    <n v="2.8372093023255816"/>
    <n v="3"/>
    <s v="Yes"/>
  </r>
  <r>
    <x v="1576"/>
    <x v="161"/>
    <x v="3"/>
    <s v="South"/>
    <x v="5"/>
    <x v="0"/>
    <x v="2"/>
    <s v="North"/>
    <x v="0"/>
    <n v="2.2000000000000002"/>
    <n v="637"/>
    <n v="4"/>
    <d v="2024-04-26T00:00:00"/>
    <n v="13"/>
    <n v="9"/>
    <x v="1"/>
    <x v="2"/>
    <n v="289.5454545454545"/>
    <n v="3"/>
    <s v="No"/>
  </r>
  <r>
    <x v="1577"/>
    <x v="96"/>
    <x v="5"/>
    <s v="West"/>
    <x v="0"/>
    <x v="0"/>
    <x v="3"/>
    <s v="South"/>
    <x v="0"/>
    <n v="1.3"/>
    <n v="310"/>
    <n v="4"/>
    <d v="2024-01-25T00:00:00"/>
    <n v="6"/>
    <n v="2"/>
    <x v="1"/>
    <x v="2"/>
    <n v="238.46153846153845"/>
    <n v="4"/>
    <s v="Yes"/>
  </r>
  <r>
    <x v="1578"/>
    <x v="82"/>
    <x v="5"/>
    <s v="West"/>
    <x v="2"/>
    <x v="2"/>
    <x v="3"/>
    <s v="South"/>
    <x v="0"/>
    <n v="72.8"/>
    <n v="208"/>
    <n v="8"/>
    <d v="2024-05-23T00:00:00"/>
    <n v="9"/>
    <n v="1"/>
    <x v="1"/>
    <x v="2"/>
    <n v="2.8571428571428572"/>
    <n v="2"/>
    <s v="No"/>
  </r>
  <r>
    <x v="1579"/>
    <x v="128"/>
    <x v="4"/>
    <s v="East"/>
    <x v="5"/>
    <x v="2"/>
    <x v="0"/>
    <s v="West"/>
    <x v="0"/>
    <n v="35.1"/>
    <n v="286"/>
    <n v="8"/>
    <d v="2024-05-01T00:00:00"/>
    <n v="7"/>
    <n v="-1"/>
    <x v="0"/>
    <x v="0"/>
    <n v="8.148148148148147"/>
    <n v="3"/>
    <s v="No"/>
  </r>
  <r>
    <x v="1580"/>
    <x v="89"/>
    <x v="1"/>
    <s v="West"/>
    <x v="1"/>
    <x v="0"/>
    <x v="0"/>
    <s v="North"/>
    <x v="0"/>
    <n v="4.5"/>
    <n v="589"/>
    <n v="4"/>
    <d v="2024-03-12T00:00:00"/>
    <n v="3"/>
    <n v="-1"/>
    <x v="0"/>
    <x v="0"/>
    <n v="130.88888888888889"/>
    <n v="4"/>
    <s v="Yes"/>
  </r>
  <r>
    <x v="1581"/>
    <x v="77"/>
    <x v="0"/>
    <s v="South"/>
    <x v="2"/>
    <x v="0"/>
    <x v="0"/>
    <s v="East"/>
    <x v="0"/>
    <n v="2.5"/>
    <n v="722"/>
    <n v="4"/>
    <d v="2024-05-23T00:00:00"/>
    <n v="5"/>
    <n v="1"/>
    <x v="1"/>
    <x v="2"/>
    <n v="288.8"/>
    <n v="2"/>
    <s v="No"/>
  </r>
  <r>
    <x v="1582"/>
    <x v="143"/>
    <x v="4"/>
    <s v="East"/>
    <x v="1"/>
    <x v="0"/>
    <x v="4"/>
    <s v="South"/>
    <x v="0"/>
    <n v="13.8"/>
    <n v="222"/>
    <n v="4"/>
    <d v="2024-05-14T00:00:00"/>
    <n v="5"/>
    <n v="1"/>
    <x v="1"/>
    <x v="2"/>
    <n v="16.086956521739129"/>
    <n v="2"/>
    <s v="No"/>
  </r>
  <r>
    <x v="1583"/>
    <x v="45"/>
    <x v="0"/>
    <s v="South"/>
    <x v="5"/>
    <x v="1"/>
    <x v="0"/>
    <s v="North"/>
    <x v="0"/>
    <n v="14"/>
    <n v="391"/>
    <n v="6"/>
    <d v="2024-04-08T00:00:00"/>
    <n v="7"/>
    <n v="1"/>
    <x v="1"/>
    <x v="2"/>
    <n v="27.928571428571427"/>
    <n v="1"/>
    <s v="No"/>
  </r>
  <r>
    <x v="1584"/>
    <x v="19"/>
    <x v="3"/>
    <s v="South"/>
    <x v="5"/>
    <x v="2"/>
    <x v="0"/>
    <s v="North"/>
    <x v="0"/>
    <n v="7.9"/>
    <n v="136"/>
    <n v="8"/>
    <d v="2024-05-22T00:00:00"/>
    <n v="9"/>
    <n v="1"/>
    <x v="1"/>
    <x v="3"/>
    <n v="17.215189873417721"/>
    <n v="0"/>
    <s v="No"/>
  </r>
  <r>
    <x v="1585"/>
    <x v="166"/>
    <x v="4"/>
    <s v="East"/>
    <x v="4"/>
    <x v="0"/>
    <x v="5"/>
    <s v="South"/>
    <x v="0"/>
    <n v="39.700000000000003"/>
    <n v="1099"/>
    <n v="4"/>
    <d v="2024-06-14T00:00:00"/>
    <n v="7"/>
    <n v="3"/>
    <x v="1"/>
    <x v="2"/>
    <n v="27.68261964735516"/>
    <n v="4"/>
    <s v="Yes"/>
  </r>
  <r>
    <x v="1586"/>
    <x v="92"/>
    <x v="3"/>
    <s v="South"/>
    <x v="5"/>
    <x v="0"/>
    <x v="5"/>
    <s v="East"/>
    <x v="0"/>
    <n v="3.9"/>
    <n v="1793"/>
    <n v="4"/>
    <d v="2024-02-28T00:00:00"/>
    <n v="5"/>
    <n v="1"/>
    <x v="1"/>
    <x v="2"/>
    <n v="459.74358974358978"/>
    <n v="2"/>
    <s v="No"/>
  </r>
  <r>
    <x v="1587"/>
    <x v="25"/>
    <x v="4"/>
    <s v="East"/>
    <x v="5"/>
    <x v="2"/>
    <x v="3"/>
    <s v="North"/>
    <x v="0"/>
    <n v="7.9"/>
    <n v="199"/>
    <n v="8"/>
    <d v="2024-02-13T00:00:00"/>
    <n v="12"/>
    <n v="4"/>
    <x v="1"/>
    <x v="2"/>
    <n v="25.189873417721518"/>
    <n v="3"/>
    <s v="Yes"/>
  </r>
  <r>
    <x v="1588"/>
    <x v="2"/>
    <x v="2"/>
    <s v="North"/>
    <x v="2"/>
    <x v="1"/>
    <x v="0"/>
    <s v="North"/>
    <x v="1"/>
    <n v="67.8"/>
    <n v="285"/>
    <n v="4"/>
    <d v="2024-05-29T00:00:00"/>
    <n v="6"/>
    <n v="2"/>
    <x v="1"/>
    <x v="2"/>
    <n v="4.2035398230088497"/>
    <n v="1"/>
    <s v="No"/>
  </r>
  <r>
    <x v="1589"/>
    <x v="24"/>
    <x v="3"/>
    <s v="South"/>
    <x v="3"/>
    <x v="0"/>
    <x v="2"/>
    <s v="East"/>
    <x v="0"/>
    <n v="11.8"/>
    <n v="480"/>
    <n v="4"/>
    <d v="2024-04-08T00:00:00"/>
    <n v="5"/>
    <n v="1"/>
    <x v="1"/>
    <x v="2"/>
    <n v="40.677966101694913"/>
    <n v="4"/>
    <s v="No"/>
  </r>
  <r>
    <x v="1590"/>
    <x v="61"/>
    <x v="3"/>
    <s v="South"/>
    <x v="2"/>
    <x v="0"/>
    <x v="2"/>
    <s v="West"/>
    <x v="0"/>
    <n v="9.1999999999999993"/>
    <n v="1090"/>
    <n v="4"/>
    <d v="2024-06-22T00:00:00"/>
    <n v="5"/>
    <n v="1"/>
    <x v="1"/>
    <x v="2"/>
    <n v="118.47826086956523"/>
    <n v="3"/>
    <s v="No"/>
  </r>
  <r>
    <x v="1591"/>
    <x v="142"/>
    <x v="4"/>
    <s v="East"/>
    <x v="0"/>
    <x v="1"/>
    <x v="5"/>
    <s v="South"/>
    <x v="0"/>
    <n v="77.2"/>
    <n v="1528"/>
    <n v="6"/>
    <d v="2024-03-28T00:00:00"/>
    <n v="11"/>
    <n v="5"/>
    <x v="1"/>
    <x v="2"/>
    <n v="19.792746113989637"/>
    <n v="2"/>
    <s v="No"/>
  </r>
  <r>
    <x v="1592"/>
    <x v="10"/>
    <x v="1"/>
    <s v="West"/>
    <x v="5"/>
    <x v="0"/>
    <x v="1"/>
    <s v="South"/>
    <x v="0"/>
    <n v="2.4"/>
    <n v="720"/>
    <n v="4"/>
    <d v="2024-06-25T00:00:00"/>
    <n v="5"/>
    <n v="1"/>
    <x v="1"/>
    <x v="3"/>
    <n v="300"/>
    <n v="0"/>
    <s v="Yes"/>
  </r>
  <r>
    <x v="1593"/>
    <x v="104"/>
    <x v="1"/>
    <s v="West"/>
    <x v="1"/>
    <x v="1"/>
    <x v="2"/>
    <s v="South"/>
    <x v="0"/>
    <n v="3.9"/>
    <n v="383"/>
    <n v="6"/>
    <d v="2024-03-14T00:00:00"/>
    <n v="7"/>
    <n v="1"/>
    <x v="1"/>
    <x v="2"/>
    <n v="98.205128205128204"/>
    <n v="1"/>
    <s v="No"/>
  </r>
  <r>
    <x v="1594"/>
    <x v="90"/>
    <x v="0"/>
    <s v="South"/>
    <x v="7"/>
    <x v="0"/>
    <x v="3"/>
    <s v="West"/>
    <x v="0"/>
    <n v="10.4"/>
    <n v="529"/>
    <n v="4"/>
    <d v="2024-06-29T00:00:00"/>
    <n v="7"/>
    <n v="3"/>
    <x v="1"/>
    <x v="2"/>
    <n v="50.865384615384613"/>
    <n v="5"/>
    <s v="No"/>
  </r>
  <r>
    <x v="1595"/>
    <x v="29"/>
    <x v="3"/>
    <s v="South"/>
    <x v="2"/>
    <x v="0"/>
    <x v="3"/>
    <s v="South"/>
    <x v="1"/>
    <n v="3.1"/>
    <n v="137"/>
    <n v="2"/>
    <d v="2024-06-18T00:00:00"/>
    <n v="2"/>
    <n v="0"/>
    <x v="0"/>
    <x v="0"/>
    <n v="44.193548387096776"/>
    <n v="5"/>
    <s v="No"/>
  </r>
  <r>
    <x v="1596"/>
    <x v="19"/>
    <x v="3"/>
    <s v="South"/>
    <x v="0"/>
    <x v="0"/>
    <x v="0"/>
    <s v="North"/>
    <x v="0"/>
    <n v="1.2"/>
    <n v="209"/>
    <n v="4"/>
    <d v="2024-05-21T00:00:00"/>
    <n v="8"/>
    <n v="4"/>
    <x v="1"/>
    <x v="2"/>
    <n v="174.16666666666669"/>
    <n v="2"/>
    <s v="Yes"/>
  </r>
  <r>
    <x v="1597"/>
    <x v="76"/>
    <x v="2"/>
    <s v="North"/>
    <x v="0"/>
    <x v="0"/>
    <x v="3"/>
    <s v="South"/>
    <x v="0"/>
    <n v="9.1"/>
    <n v="513"/>
    <n v="4"/>
    <d v="2024-02-09T00:00:00"/>
    <n v="13"/>
    <n v="9"/>
    <x v="1"/>
    <x v="2"/>
    <n v="56.373626373626372"/>
    <n v="3"/>
    <s v="Yes"/>
  </r>
  <r>
    <x v="1598"/>
    <x v="147"/>
    <x v="0"/>
    <s v="South"/>
    <x v="1"/>
    <x v="0"/>
    <x v="4"/>
    <s v="East"/>
    <x v="0"/>
    <n v="10.1"/>
    <n v="302"/>
    <n v="4"/>
    <d v="2024-07-01T00:00:00"/>
    <n v="3"/>
    <n v="-1"/>
    <x v="0"/>
    <x v="0"/>
    <n v="29.900990099009903"/>
    <n v="4"/>
    <s v="No"/>
  </r>
  <r>
    <x v="1599"/>
    <x v="97"/>
    <x v="0"/>
    <s v="South"/>
    <x v="4"/>
    <x v="2"/>
    <x v="0"/>
    <s v="South"/>
    <x v="1"/>
    <n v="12.7"/>
    <n v="139"/>
    <n v="6"/>
    <d v="2024-02-29T00:00:00"/>
    <n v="7"/>
    <n v="1"/>
    <x v="1"/>
    <x v="2"/>
    <n v="10.94488188976378"/>
    <n v="2"/>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80BA14-6C68-4367-8523-ADD75958241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9:E28" firstHeaderRow="1" firstDataRow="2" firstDataCol="1"/>
  <pivotFields count="22">
    <pivotField dataField="1" showAll="0"/>
    <pivotField numFmtId="164" showAll="0">
      <items count="169">
        <item x="154"/>
        <item x="13"/>
        <item x="46"/>
        <item x="160"/>
        <item x="98"/>
        <item x="146"/>
        <item x="20"/>
        <item x="37"/>
        <item x="159"/>
        <item x="86"/>
        <item x="18"/>
        <item x="122"/>
        <item x="3"/>
        <item x="51"/>
        <item x="126"/>
        <item x="139"/>
        <item x="53"/>
        <item x="88"/>
        <item x="96"/>
        <item x="110"/>
        <item x="35"/>
        <item x="0"/>
        <item x="75"/>
        <item x="93"/>
        <item x="7"/>
        <item x="123"/>
        <item x="76"/>
        <item x="99"/>
        <item x="25"/>
        <item x="95"/>
        <item x="11"/>
        <item x="27"/>
        <item x="8"/>
        <item x="121"/>
        <item x="153"/>
        <item x="84"/>
        <item x="54"/>
        <item x="114"/>
        <item x="74"/>
        <item x="83"/>
        <item x="50"/>
        <item x="152"/>
        <item x="66"/>
        <item x="165"/>
        <item x="129"/>
        <item x="151"/>
        <item x="21"/>
        <item x="133"/>
        <item x="14"/>
        <item x="97"/>
        <item x="92"/>
        <item x="135"/>
        <item x="167"/>
        <item x="26"/>
        <item x="150"/>
        <item x="23"/>
        <item x="60"/>
        <item x="112"/>
        <item x="134"/>
        <item x="157"/>
        <item x="31"/>
        <item x="38"/>
        <item x="104"/>
        <item x="155"/>
        <item x="89"/>
        <item x="73"/>
        <item x="136"/>
        <item x="125"/>
        <item x="33"/>
        <item x="6"/>
        <item x="130"/>
        <item x="67"/>
        <item x="142"/>
        <item x="111"/>
        <item x="22"/>
        <item x="65"/>
        <item x="124"/>
        <item x="131"/>
        <item x="87"/>
        <item x="5"/>
        <item x="48"/>
        <item x="78"/>
        <item x="100"/>
        <item x="58"/>
        <item x="45"/>
        <item x="79"/>
        <item x="24"/>
        <item x="162"/>
        <item x="94"/>
        <item x="30"/>
        <item x="102"/>
        <item x="70"/>
        <item x="44"/>
        <item x="103"/>
        <item x="28"/>
        <item x="91"/>
        <item x="161"/>
        <item x="163"/>
        <item x="132"/>
        <item x="4"/>
        <item x="113"/>
        <item x="63"/>
        <item x="106"/>
        <item x="108"/>
        <item x="80"/>
        <item x="137"/>
        <item x="55"/>
        <item x="128"/>
        <item x="144"/>
        <item x="43"/>
        <item x="85"/>
        <item x="116"/>
        <item x="47"/>
        <item x="15"/>
        <item x="101"/>
        <item x="40"/>
        <item x="149"/>
        <item x="115"/>
        <item x="148"/>
        <item x="69"/>
        <item x="143"/>
        <item x="36"/>
        <item x="34"/>
        <item x="156"/>
        <item x="19"/>
        <item x="82"/>
        <item x="158"/>
        <item x="141"/>
        <item x="64"/>
        <item x="77"/>
        <item x="59"/>
        <item x="39"/>
        <item x="32"/>
        <item x="120"/>
        <item x="2"/>
        <item x="117"/>
        <item x="138"/>
        <item x="42"/>
        <item x="81"/>
        <item x="127"/>
        <item x="56"/>
        <item x="17"/>
        <item x="107"/>
        <item x="16"/>
        <item x="12"/>
        <item x="164"/>
        <item x="166"/>
        <item x="118"/>
        <item x="68"/>
        <item x="1"/>
        <item x="9"/>
        <item x="52"/>
        <item x="145"/>
        <item x="71"/>
        <item x="140"/>
        <item x="29"/>
        <item x="61"/>
        <item x="109"/>
        <item x="105"/>
        <item x="10"/>
        <item x="49"/>
        <item x="90"/>
        <item x="57"/>
        <item x="72"/>
        <item x="41"/>
        <item x="119"/>
        <item x="62"/>
        <item x="147"/>
        <item t="default"/>
      </items>
    </pivotField>
    <pivotField axis="axisRow" showAll="0">
      <items count="8">
        <item x="6"/>
        <item x="0"/>
        <item x="3"/>
        <item x="2"/>
        <item x="1"/>
        <item x="4"/>
        <item x="5"/>
        <item t="default"/>
      </items>
    </pivotField>
    <pivotField showAll="0"/>
    <pivotField showAll="0">
      <items count="9">
        <item x="6"/>
        <item x="3"/>
        <item x="1"/>
        <item x="2"/>
        <item x="0"/>
        <item x="4"/>
        <item x="7"/>
        <item x="5"/>
        <item t="default"/>
      </items>
    </pivotField>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axis="axisCol" showAll="0">
      <items count="4">
        <item x="1"/>
        <item x="2"/>
        <item x="0"/>
        <item t="default"/>
      </items>
    </pivotField>
    <pivotField showAll="0">
      <items count="6">
        <item x="1"/>
        <item x="2"/>
        <item x="0"/>
        <item x="4"/>
        <item x="3"/>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8">
    <i>
      <x/>
    </i>
    <i>
      <x v="1"/>
    </i>
    <i>
      <x v="2"/>
    </i>
    <i>
      <x v="3"/>
    </i>
    <i>
      <x v="4"/>
    </i>
    <i>
      <x v="5"/>
    </i>
    <i>
      <x v="6"/>
    </i>
    <i t="grand">
      <x/>
    </i>
  </rowItems>
  <colFields count="1">
    <field x="15"/>
  </colFields>
  <colItems count="4">
    <i>
      <x/>
    </i>
    <i>
      <x v="1"/>
    </i>
    <i>
      <x v="2"/>
    </i>
    <i t="grand">
      <x/>
    </i>
  </colItems>
  <dataFields count="1">
    <dataField name="Count of ShipmentID" fld="0" subtotal="count" showDataAs="percentOfRow" baseField="0" baseItem="0" numFmtId="10"/>
  </dataFields>
  <chartFormats count="18">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0" format="2" series="1">
      <pivotArea type="data" outline="0" fieldPosition="0">
        <references count="2">
          <reference field="4294967294" count="1" selected="0">
            <x v="0"/>
          </reference>
          <reference field="15" count="1" selected="0">
            <x v="2"/>
          </reference>
        </references>
      </pivotArea>
    </chartFormat>
    <chartFormat chart="1" format="0" series="1">
      <pivotArea type="data" outline="0" fieldPosition="0">
        <references count="2">
          <reference field="4294967294" count="1" selected="0">
            <x v="0"/>
          </reference>
          <reference field="15" count="1" selected="0">
            <x v="0"/>
          </reference>
        </references>
      </pivotArea>
    </chartFormat>
    <chartFormat chart="1" format="1" series="1">
      <pivotArea type="data" outline="0" fieldPosition="0">
        <references count="2">
          <reference field="4294967294" count="1" selected="0">
            <x v="0"/>
          </reference>
          <reference field="15" count="1" selected="0">
            <x v="1"/>
          </reference>
        </references>
      </pivotArea>
    </chartFormat>
    <chartFormat chart="1" format="2" series="1">
      <pivotArea type="data" outline="0" fieldPosition="0">
        <references count="2">
          <reference field="4294967294" count="1" selected="0">
            <x v="0"/>
          </reference>
          <reference field="15" count="1" selected="0">
            <x v="2"/>
          </reference>
        </references>
      </pivotArea>
    </chartFormat>
    <chartFormat chart="3" format="6" series="1">
      <pivotArea type="data" outline="0" fieldPosition="0">
        <references count="2">
          <reference field="4294967294" count="1" selected="0">
            <x v="0"/>
          </reference>
          <reference field="15" count="1" selected="0">
            <x v="0"/>
          </reference>
        </references>
      </pivotArea>
    </chartFormat>
    <chartFormat chart="3" format="7" series="1">
      <pivotArea type="data" outline="0" fieldPosition="0">
        <references count="2">
          <reference field="4294967294" count="1" selected="0">
            <x v="0"/>
          </reference>
          <reference field="15" count="1" selected="0">
            <x v="1"/>
          </reference>
        </references>
      </pivotArea>
    </chartFormat>
    <chartFormat chart="3" format="8" series="1">
      <pivotArea type="data" outline="0" fieldPosition="0">
        <references count="2">
          <reference field="4294967294" count="1" selected="0">
            <x v="0"/>
          </reference>
          <reference field="15" count="1" selected="0">
            <x v="2"/>
          </reference>
        </references>
      </pivotArea>
    </chartFormat>
    <chartFormat chart="4" format="3" series="1">
      <pivotArea type="data" outline="0" fieldPosition="0">
        <references count="2">
          <reference field="4294967294" count="1" selected="0">
            <x v="0"/>
          </reference>
          <reference field="15" count="1" selected="0">
            <x v="0"/>
          </reference>
        </references>
      </pivotArea>
    </chartFormat>
    <chartFormat chart="4" format="4" series="1">
      <pivotArea type="data" outline="0" fieldPosition="0">
        <references count="2">
          <reference field="4294967294" count="1" selected="0">
            <x v="0"/>
          </reference>
          <reference field="15" count="1" selected="0">
            <x v="1"/>
          </reference>
        </references>
      </pivotArea>
    </chartFormat>
    <chartFormat chart="4" format="5" series="1">
      <pivotArea type="data" outline="0" fieldPosition="0">
        <references count="2">
          <reference field="4294967294" count="1" selected="0">
            <x v="0"/>
          </reference>
          <reference field="15" count="1" selected="0">
            <x v="2"/>
          </reference>
        </references>
      </pivotArea>
    </chartFormat>
    <chartFormat chart="8" format="6" series="1">
      <pivotArea type="data" outline="0" fieldPosition="0">
        <references count="2">
          <reference field="4294967294" count="1" selected="0">
            <x v="0"/>
          </reference>
          <reference field="15" count="1" selected="0">
            <x v="0"/>
          </reference>
        </references>
      </pivotArea>
    </chartFormat>
    <chartFormat chart="8" format="7" series="1">
      <pivotArea type="data" outline="0" fieldPosition="0">
        <references count="2">
          <reference field="4294967294" count="1" selected="0">
            <x v="0"/>
          </reference>
          <reference field="15" count="1" selected="0">
            <x v="1"/>
          </reference>
        </references>
      </pivotArea>
    </chartFormat>
    <chartFormat chart="8" format="8" series="1">
      <pivotArea type="data" outline="0" fieldPosition="0">
        <references count="2">
          <reference field="4294967294" count="1" selected="0">
            <x v="0"/>
          </reference>
          <reference field="15" count="1" selected="0">
            <x v="2"/>
          </reference>
        </references>
      </pivotArea>
    </chartFormat>
    <chartFormat chart="9" format="9" series="1">
      <pivotArea type="data" outline="0" fieldPosition="0">
        <references count="2">
          <reference field="4294967294" count="1" selected="0">
            <x v="0"/>
          </reference>
          <reference field="15" count="1" selected="0">
            <x v="0"/>
          </reference>
        </references>
      </pivotArea>
    </chartFormat>
    <chartFormat chart="9" format="10" series="1">
      <pivotArea type="data" outline="0" fieldPosition="0">
        <references count="2">
          <reference field="4294967294" count="1" selected="0">
            <x v="0"/>
          </reference>
          <reference field="15" count="1" selected="0">
            <x v="1"/>
          </reference>
        </references>
      </pivotArea>
    </chartFormat>
    <chartFormat chart="9" format="11" series="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FF30A4-D5DE-44B6-8443-7A728889B775}"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23:E131" firstHeaderRow="1" firstDataRow="2" firstDataCol="1"/>
  <pivotFields count="22">
    <pivotField dataField="1" showAll="0"/>
    <pivotField axis="axisRow" numFmtId="164" showAll="0">
      <items count="169">
        <item x="154"/>
        <item x="13"/>
        <item x="46"/>
        <item x="160"/>
        <item x="98"/>
        <item x="146"/>
        <item x="20"/>
        <item x="37"/>
        <item x="159"/>
        <item x="86"/>
        <item x="18"/>
        <item x="122"/>
        <item x="3"/>
        <item x="51"/>
        <item x="126"/>
        <item x="139"/>
        <item x="53"/>
        <item x="88"/>
        <item x="96"/>
        <item x="110"/>
        <item x="35"/>
        <item x="0"/>
        <item x="75"/>
        <item x="93"/>
        <item x="7"/>
        <item x="123"/>
        <item x="76"/>
        <item x="99"/>
        <item x="25"/>
        <item x="95"/>
        <item x="11"/>
        <item x="27"/>
        <item x="8"/>
        <item x="121"/>
        <item x="153"/>
        <item x="84"/>
        <item x="54"/>
        <item x="114"/>
        <item x="74"/>
        <item x="83"/>
        <item x="50"/>
        <item x="152"/>
        <item x="66"/>
        <item x="165"/>
        <item x="129"/>
        <item x="151"/>
        <item x="21"/>
        <item x="133"/>
        <item x="14"/>
        <item x="97"/>
        <item x="92"/>
        <item x="135"/>
        <item x="167"/>
        <item x="26"/>
        <item x="150"/>
        <item x="23"/>
        <item x="60"/>
        <item x="112"/>
        <item x="134"/>
        <item x="157"/>
        <item x="31"/>
        <item x="38"/>
        <item x="104"/>
        <item x="155"/>
        <item x="89"/>
        <item x="73"/>
        <item x="136"/>
        <item x="125"/>
        <item x="33"/>
        <item x="6"/>
        <item x="130"/>
        <item x="67"/>
        <item x="142"/>
        <item x="111"/>
        <item x="22"/>
        <item x="65"/>
        <item x="124"/>
        <item x="131"/>
        <item x="87"/>
        <item x="5"/>
        <item x="48"/>
        <item x="78"/>
        <item x="100"/>
        <item x="58"/>
        <item x="45"/>
        <item x="79"/>
        <item x="24"/>
        <item x="162"/>
        <item x="94"/>
        <item x="30"/>
        <item x="102"/>
        <item x="70"/>
        <item x="44"/>
        <item x="103"/>
        <item x="28"/>
        <item x="91"/>
        <item x="161"/>
        <item x="163"/>
        <item x="132"/>
        <item x="4"/>
        <item x="113"/>
        <item x="63"/>
        <item x="106"/>
        <item x="108"/>
        <item x="80"/>
        <item x="137"/>
        <item x="55"/>
        <item x="128"/>
        <item x="144"/>
        <item x="43"/>
        <item x="85"/>
        <item x="116"/>
        <item x="47"/>
        <item x="15"/>
        <item x="101"/>
        <item x="40"/>
        <item x="149"/>
        <item x="115"/>
        <item x="148"/>
        <item x="69"/>
        <item x="143"/>
        <item x="36"/>
        <item x="34"/>
        <item x="156"/>
        <item x="19"/>
        <item x="82"/>
        <item x="158"/>
        <item x="141"/>
        <item x="64"/>
        <item x="77"/>
        <item x="59"/>
        <item x="39"/>
        <item x="32"/>
        <item x="120"/>
        <item x="2"/>
        <item x="117"/>
        <item x="138"/>
        <item x="42"/>
        <item x="81"/>
        <item x="127"/>
        <item x="56"/>
        <item x="17"/>
        <item x="107"/>
        <item x="16"/>
        <item x="12"/>
        <item x="164"/>
        <item x="166"/>
        <item x="118"/>
        <item x="68"/>
        <item x="1"/>
        <item x="9"/>
        <item x="52"/>
        <item x="145"/>
        <item x="71"/>
        <item x="140"/>
        <item x="29"/>
        <item x="61"/>
        <item x="109"/>
        <item x="105"/>
        <item x="10"/>
        <item x="49"/>
        <item x="90"/>
        <item x="57"/>
        <item x="72"/>
        <item x="41"/>
        <item x="119"/>
        <item x="62"/>
        <item x="147"/>
        <item t="default"/>
      </items>
    </pivotField>
    <pivotField showAll="0">
      <items count="8">
        <item x="6"/>
        <item x="0"/>
        <item x="3"/>
        <item x="2"/>
        <item x="1"/>
        <item x="4"/>
        <item x="5"/>
        <item t="default"/>
      </items>
    </pivotField>
    <pivotField showAll="0"/>
    <pivotField showAll="0">
      <items count="9">
        <item x="6"/>
        <item x="3"/>
        <item x="1"/>
        <item x="2"/>
        <item x="0"/>
        <item x="4"/>
        <item x="7"/>
        <item x="5"/>
        <item t="default"/>
      </items>
    </pivotField>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axis="axisCol" showAll="0">
      <items count="4">
        <item x="1"/>
        <item x="2"/>
        <item x="0"/>
        <item t="default"/>
      </items>
    </pivotField>
    <pivotField showAll="0">
      <items count="6">
        <item x="1"/>
        <item x="2"/>
        <item x="0"/>
        <item x="4"/>
        <item x="3"/>
        <item t="default"/>
      </items>
    </pivotField>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1"/>
    <field x="20"/>
    <field x="1"/>
  </rowFields>
  <rowItems count="7">
    <i>
      <x v="1"/>
    </i>
    <i>
      <x v="2"/>
    </i>
    <i>
      <x v="3"/>
    </i>
    <i>
      <x v="4"/>
    </i>
    <i>
      <x v="5"/>
    </i>
    <i>
      <x v="6"/>
    </i>
    <i t="grand">
      <x/>
    </i>
  </rowItems>
  <colFields count="1">
    <field x="15"/>
  </colFields>
  <colItems count="4">
    <i>
      <x/>
    </i>
    <i>
      <x v="1"/>
    </i>
    <i>
      <x v="2"/>
    </i>
    <i t="grand">
      <x/>
    </i>
  </colItems>
  <dataFields count="1">
    <dataField name="Count of ShipmentID" fld="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DDBE1D-7CC0-4F08-A92A-DD900B749C2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64:B67" firstHeaderRow="1" firstDataRow="1" firstDataCol="1"/>
  <pivotFields count="22">
    <pivotField showAll="0"/>
    <pivotField numFmtId="164" showAll="0">
      <items count="169">
        <item x="154"/>
        <item x="13"/>
        <item x="46"/>
        <item x="160"/>
        <item x="98"/>
        <item x="146"/>
        <item x="20"/>
        <item x="37"/>
        <item x="159"/>
        <item x="86"/>
        <item x="18"/>
        <item x="122"/>
        <item x="3"/>
        <item x="51"/>
        <item x="126"/>
        <item x="139"/>
        <item x="53"/>
        <item x="88"/>
        <item x="96"/>
        <item x="110"/>
        <item x="35"/>
        <item x="0"/>
        <item x="75"/>
        <item x="93"/>
        <item x="7"/>
        <item x="123"/>
        <item x="76"/>
        <item x="99"/>
        <item x="25"/>
        <item x="95"/>
        <item x="11"/>
        <item x="27"/>
        <item x="8"/>
        <item x="121"/>
        <item x="153"/>
        <item x="84"/>
        <item x="54"/>
        <item x="114"/>
        <item x="74"/>
        <item x="83"/>
        <item x="50"/>
        <item x="152"/>
        <item x="66"/>
        <item x="165"/>
        <item x="129"/>
        <item x="151"/>
        <item x="21"/>
        <item x="133"/>
        <item x="14"/>
        <item x="97"/>
        <item x="92"/>
        <item x="135"/>
        <item x="167"/>
        <item x="26"/>
        <item x="150"/>
        <item x="23"/>
        <item x="60"/>
        <item x="112"/>
        <item x="134"/>
        <item x="157"/>
        <item x="31"/>
        <item x="38"/>
        <item x="104"/>
        <item x="155"/>
        <item x="89"/>
        <item x="73"/>
        <item x="136"/>
        <item x="125"/>
        <item x="33"/>
        <item x="6"/>
        <item x="130"/>
        <item x="67"/>
        <item x="142"/>
        <item x="111"/>
        <item x="22"/>
        <item x="65"/>
        <item x="124"/>
        <item x="131"/>
        <item x="87"/>
        <item x="5"/>
        <item x="48"/>
        <item x="78"/>
        <item x="100"/>
        <item x="58"/>
        <item x="45"/>
        <item x="79"/>
        <item x="24"/>
        <item x="162"/>
        <item x="94"/>
        <item x="30"/>
        <item x="102"/>
        <item x="70"/>
        <item x="44"/>
        <item x="103"/>
        <item x="28"/>
        <item x="91"/>
        <item x="161"/>
        <item x="163"/>
        <item x="132"/>
        <item x="4"/>
        <item x="113"/>
        <item x="63"/>
        <item x="106"/>
        <item x="108"/>
        <item x="80"/>
        <item x="137"/>
        <item x="55"/>
        <item x="128"/>
        <item x="144"/>
        <item x="43"/>
        <item x="85"/>
        <item x="116"/>
        <item x="47"/>
        <item x="15"/>
        <item x="101"/>
        <item x="40"/>
        <item x="149"/>
        <item x="115"/>
        <item x="148"/>
        <item x="69"/>
        <item x="143"/>
        <item x="36"/>
        <item x="34"/>
        <item x="156"/>
        <item x="19"/>
        <item x="82"/>
        <item x="158"/>
        <item x="141"/>
        <item x="64"/>
        <item x="77"/>
        <item x="59"/>
        <item x="39"/>
        <item x="32"/>
        <item x="120"/>
        <item x="2"/>
        <item x="117"/>
        <item x="138"/>
        <item x="42"/>
        <item x="81"/>
        <item x="127"/>
        <item x="56"/>
        <item x="17"/>
        <item x="107"/>
        <item x="16"/>
        <item x="12"/>
        <item x="164"/>
        <item x="166"/>
        <item x="118"/>
        <item x="68"/>
        <item x="1"/>
        <item x="9"/>
        <item x="52"/>
        <item x="145"/>
        <item x="71"/>
        <item x="140"/>
        <item x="29"/>
        <item x="61"/>
        <item x="109"/>
        <item x="105"/>
        <item x="10"/>
        <item x="49"/>
        <item x="90"/>
        <item x="57"/>
        <item x="72"/>
        <item x="41"/>
        <item x="119"/>
        <item x="62"/>
        <item x="147"/>
        <item t="default"/>
      </items>
    </pivotField>
    <pivotField showAll="0">
      <items count="8">
        <item x="6"/>
        <item x="0"/>
        <item x="3"/>
        <item x="2"/>
        <item x="1"/>
        <item x="4"/>
        <item x="5"/>
        <item t="default"/>
      </items>
    </pivotField>
    <pivotField showAll="0"/>
    <pivotField showAll="0">
      <items count="9">
        <item x="6"/>
        <item x="3"/>
        <item x="1"/>
        <item x="2"/>
        <item x="0"/>
        <item x="4"/>
        <item x="7"/>
        <item x="5"/>
        <item t="default"/>
      </items>
    </pivotField>
    <pivotField showAll="0">
      <items count="4">
        <item x="0"/>
        <item x="2"/>
        <item x="1"/>
        <item t="default"/>
      </items>
    </pivotField>
    <pivotField showAll="0"/>
    <pivotField showAll="0"/>
    <pivotField axis="axisRow" showAll="0">
      <items count="3">
        <item x="1"/>
        <item x="0"/>
        <item t="default"/>
      </items>
    </pivotField>
    <pivotField showAll="0"/>
    <pivotField showAll="0"/>
    <pivotField showAll="0"/>
    <pivotField showAll="0"/>
    <pivotField showAll="0"/>
    <pivotField dataField="1" showAll="0"/>
    <pivotField showAll="0">
      <items count="4">
        <item x="1"/>
        <item x="2"/>
        <item x="0"/>
        <item t="default"/>
      </items>
    </pivotField>
    <pivotField showAll="0">
      <items count="6">
        <item x="1"/>
        <item x="2"/>
        <item x="0"/>
        <item x="4"/>
        <item x="3"/>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3">
    <i>
      <x/>
    </i>
    <i>
      <x v="1"/>
    </i>
    <i t="grand">
      <x/>
    </i>
  </rowItems>
  <colItems count="1">
    <i/>
  </colItems>
  <dataFields count="1">
    <dataField name="Average of DelayDays" fld="14" subtotal="average" baseField="8" baseItem="0"/>
  </dataFields>
  <chartFormats count="5">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F3C074-AD46-494E-8F43-F4DF222C346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50:B54" firstHeaderRow="1" firstDataRow="1" firstDataCol="1"/>
  <pivotFields count="22">
    <pivotField showAll="0"/>
    <pivotField numFmtId="164" showAll="0">
      <items count="169">
        <item x="154"/>
        <item x="13"/>
        <item x="46"/>
        <item x="160"/>
        <item x="98"/>
        <item x="146"/>
        <item x="20"/>
        <item x="37"/>
        <item x="159"/>
        <item x="86"/>
        <item x="18"/>
        <item x="122"/>
        <item x="3"/>
        <item x="51"/>
        <item x="126"/>
        <item x="139"/>
        <item x="53"/>
        <item x="88"/>
        <item x="96"/>
        <item x="110"/>
        <item x="35"/>
        <item x="0"/>
        <item x="75"/>
        <item x="93"/>
        <item x="7"/>
        <item x="123"/>
        <item x="76"/>
        <item x="99"/>
        <item x="25"/>
        <item x="95"/>
        <item x="11"/>
        <item x="27"/>
        <item x="8"/>
        <item x="121"/>
        <item x="153"/>
        <item x="84"/>
        <item x="54"/>
        <item x="114"/>
        <item x="74"/>
        <item x="83"/>
        <item x="50"/>
        <item x="152"/>
        <item x="66"/>
        <item x="165"/>
        <item x="129"/>
        <item x="151"/>
        <item x="21"/>
        <item x="133"/>
        <item x="14"/>
        <item x="97"/>
        <item x="92"/>
        <item x="135"/>
        <item x="167"/>
        <item x="26"/>
        <item x="150"/>
        <item x="23"/>
        <item x="60"/>
        <item x="112"/>
        <item x="134"/>
        <item x="157"/>
        <item x="31"/>
        <item x="38"/>
        <item x="104"/>
        <item x="155"/>
        <item x="89"/>
        <item x="73"/>
        <item x="136"/>
        <item x="125"/>
        <item x="33"/>
        <item x="6"/>
        <item x="130"/>
        <item x="67"/>
        <item x="142"/>
        <item x="111"/>
        <item x="22"/>
        <item x="65"/>
        <item x="124"/>
        <item x="131"/>
        <item x="87"/>
        <item x="5"/>
        <item x="48"/>
        <item x="78"/>
        <item x="100"/>
        <item x="58"/>
        <item x="45"/>
        <item x="79"/>
        <item x="24"/>
        <item x="162"/>
        <item x="94"/>
        <item x="30"/>
        <item x="102"/>
        <item x="70"/>
        <item x="44"/>
        <item x="103"/>
        <item x="28"/>
        <item x="91"/>
        <item x="161"/>
        <item x="163"/>
        <item x="132"/>
        <item x="4"/>
        <item x="113"/>
        <item x="63"/>
        <item x="106"/>
        <item x="108"/>
        <item x="80"/>
        <item x="137"/>
        <item x="55"/>
        <item x="128"/>
        <item x="144"/>
        <item x="43"/>
        <item x="85"/>
        <item x="116"/>
        <item x="47"/>
        <item x="15"/>
        <item x="101"/>
        <item x="40"/>
        <item x="149"/>
        <item x="115"/>
        <item x="148"/>
        <item x="69"/>
        <item x="143"/>
        <item x="36"/>
        <item x="34"/>
        <item x="156"/>
        <item x="19"/>
        <item x="82"/>
        <item x="158"/>
        <item x="141"/>
        <item x="64"/>
        <item x="77"/>
        <item x="59"/>
        <item x="39"/>
        <item x="32"/>
        <item x="120"/>
        <item x="2"/>
        <item x="117"/>
        <item x="138"/>
        <item x="42"/>
        <item x="81"/>
        <item x="127"/>
        <item x="56"/>
        <item x="17"/>
        <item x="107"/>
        <item x="16"/>
        <item x="12"/>
        <item x="164"/>
        <item x="166"/>
        <item x="118"/>
        <item x="68"/>
        <item x="1"/>
        <item x="9"/>
        <item x="52"/>
        <item x="145"/>
        <item x="71"/>
        <item x="140"/>
        <item x="29"/>
        <item x="61"/>
        <item x="109"/>
        <item x="105"/>
        <item x="10"/>
        <item x="49"/>
        <item x="90"/>
        <item x="57"/>
        <item x="72"/>
        <item x="41"/>
        <item x="119"/>
        <item x="62"/>
        <item x="147"/>
        <item t="default"/>
      </items>
    </pivotField>
    <pivotField showAll="0">
      <items count="8">
        <item x="6"/>
        <item x="0"/>
        <item x="3"/>
        <item x="2"/>
        <item x="1"/>
        <item x="4"/>
        <item x="5"/>
        <item t="default"/>
      </items>
    </pivotField>
    <pivotField showAll="0"/>
    <pivotField showAll="0">
      <items count="9">
        <item x="6"/>
        <item x="3"/>
        <item x="1"/>
        <item x="2"/>
        <item x="0"/>
        <item x="4"/>
        <item x="7"/>
        <item x="5"/>
        <item t="default"/>
      </items>
    </pivotField>
    <pivotField axis="axisRow" showAll="0">
      <items count="4">
        <item x="0"/>
        <item x="2"/>
        <item x="1"/>
        <item t="default"/>
      </items>
    </pivotField>
    <pivotField showAll="0"/>
    <pivotField showAll="0"/>
    <pivotField showAll="0"/>
    <pivotField showAll="0"/>
    <pivotField showAll="0"/>
    <pivotField showAll="0"/>
    <pivotField showAll="0"/>
    <pivotField dataField="1" showAll="0"/>
    <pivotField showAll="0"/>
    <pivotField showAll="0">
      <items count="4">
        <item x="1"/>
        <item x="2"/>
        <item x="0"/>
        <item t="default"/>
      </items>
    </pivotField>
    <pivotField showAll="0">
      <items count="6">
        <item x="1"/>
        <item x="2"/>
        <item x="0"/>
        <item x="4"/>
        <item x="3"/>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4">
    <i>
      <x/>
    </i>
    <i>
      <x v="1"/>
    </i>
    <i>
      <x v="2"/>
    </i>
    <i t="grand">
      <x/>
    </i>
  </rowItems>
  <colItems count="1">
    <i/>
  </colItems>
  <dataFields count="1">
    <dataField name="Average of ActualDeliveryDays" fld="13" subtotal="average" baseField="2" baseItem="0" numFmtId="2"/>
  </dataFields>
  <formats count="2">
    <format dxfId="0">
      <pivotArea outline="0" collapsedLevelsAreSubtotals="1" fieldPosition="0"/>
    </format>
    <format dxfId="1">
      <pivotArea dataOnly="0" labelOnly="1" outline="0" axis="axisValues" fieldPosition="0"/>
    </format>
  </formats>
  <chartFormats count="6">
    <chartFormat chart="2"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1B0013-4945-428D-9469-A7FE55DB6A64}"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08:C117" firstHeaderRow="0" firstDataRow="1" firstDataCol="1"/>
  <pivotFields count="22">
    <pivotField showAll="0"/>
    <pivotField numFmtId="164" showAll="0">
      <items count="169">
        <item x="154"/>
        <item x="13"/>
        <item x="46"/>
        <item x="160"/>
        <item x="98"/>
        <item x="146"/>
        <item x="20"/>
        <item x="37"/>
        <item x="159"/>
        <item x="86"/>
        <item x="18"/>
        <item x="122"/>
        <item x="3"/>
        <item x="51"/>
        <item x="126"/>
        <item x="139"/>
        <item x="53"/>
        <item x="88"/>
        <item x="96"/>
        <item x="110"/>
        <item x="35"/>
        <item x="0"/>
        <item x="75"/>
        <item x="93"/>
        <item x="7"/>
        <item x="123"/>
        <item x="76"/>
        <item x="99"/>
        <item x="25"/>
        <item x="95"/>
        <item x="11"/>
        <item x="27"/>
        <item x="8"/>
        <item x="121"/>
        <item x="153"/>
        <item x="84"/>
        <item x="54"/>
        <item x="114"/>
        <item x="74"/>
        <item x="83"/>
        <item x="50"/>
        <item x="152"/>
        <item x="66"/>
        <item x="165"/>
        <item x="129"/>
        <item x="151"/>
        <item x="21"/>
        <item x="133"/>
        <item x="14"/>
        <item x="97"/>
        <item x="92"/>
        <item x="135"/>
        <item x="167"/>
        <item x="26"/>
        <item x="150"/>
        <item x="23"/>
        <item x="60"/>
        <item x="112"/>
        <item x="134"/>
        <item x="157"/>
        <item x="31"/>
        <item x="38"/>
        <item x="104"/>
        <item x="155"/>
        <item x="89"/>
        <item x="73"/>
        <item x="136"/>
        <item x="125"/>
        <item x="33"/>
        <item x="6"/>
        <item x="130"/>
        <item x="67"/>
        <item x="142"/>
        <item x="111"/>
        <item x="22"/>
        <item x="65"/>
        <item x="124"/>
        <item x="131"/>
        <item x="87"/>
        <item x="5"/>
        <item x="48"/>
        <item x="78"/>
        <item x="100"/>
        <item x="58"/>
        <item x="45"/>
        <item x="79"/>
        <item x="24"/>
        <item x="162"/>
        <item x="94"/>
        <item x="30"/>
        <item x="102"/>
        <item x="70"/>
        <item x="44"/>
        <item x="103"/>
        <item x="28"/>
        <item x="91"/>
        <item x="161"/>
        <item x="163"/>
        <item x="132"/>
        <item x="4"/>
        <item x="113"/>
        <item x="63"/>
        <item x="106"/>
        <item x="108"/>
        <item x="80"/>
        <item x="137"/>
        <item x="55"/>
        <item x="128"/>
        <item x="144"/>
        <item x="43"/>
        <item x="85"/>
        <item x="116"/>
        <item x="47"/>
        <item x="15"/>
        <item x="101"/>
        <item x="40"/>
        <item x="149"/>
        <item x="115"/>
        <item x="148"/>
        <item x="69"/>
        <item x="143"/>
        <item x="36"/>
        <item x="34"/>
        <item x="156"/>
        <item x="19"/>
        <item x="82"/>
        <item x="158"/>
        <item x="141"/>
        <item x="64"/>
        <item x="77"/>
        <item x="59"/>
        <item x="39"/>
        <item x="32"/>
        <item x="120"/>
        <item x="2"/>
        <item x="117"/>
        <item x="138"/>
        <item x="42"/>
        <item x="81"/>
        <item x="127"/>
        <item x="56"/>
        <item x="17"/>
        <item x="107"/>
        <item x="16"/>
        <item x="12"/>
        <item x="164"/>
        <item x="166"/>
        <item x="118"/>
        <item x="68"/>
        <item x="1"/>
        <item x="9"/>
        <item x="52"/>
        <item x="145"/>
        <item x="71"/>
        <item x="140"/>
        <item x="29"/>
        <item x="61"/>
        <item x="109"/>
        <item x="105"/>
        <item x="10"/>
        <item x="49"/>
        <item x="90"/>
        <item x="57"/>
        <item x="72"/>
        <item x="41"/>
        <item x="119"/>
        <item x="62"/>
        <item x="147"/>
        <item t="default"/>
      </items>
    </pivotField>
    <pivotField showAll="0">
      <items count="8">
        <item x="6"/>
        <item x="0"/>
        <item x="3"/>
        <item x="2"/>
        <item x="1"/>
        <item x="4"/>
        <item x="5"/>
        <item t="default"/>
      </items>
    </pivotField>
    <pivotField showAll="0"/>
    <pivotField axis="axisRow" showAll="0">
      <items count="9">
        <item x="6"/>
        <item x="3"/>
        <item x="1"/>
        <item x="2"/>
        <item x="0"/>
        <item x="4"/>
        <item x="7"/>
        <item x="5"/>
        <item t="default"/>
      </items>
    </pivotField>
    <pivotField showAll="0">
      <items count="4">
        <item x="0"/>
        <item x="2"/>
        <item x="1"/>
        <item t="default"/>
      </items>
    </pivotField>
    <pivotField showAll="0"/>
    <pivotField showAll="0"/>
    <pivotField showAll="0"/>
    <pivotField showAll="0"/>
    <pivotField showAll="0"/>
    <pivotField showAll="0"/>
    <pivotField showAll="0"/>
    <pivotField dataField="1" showAll="0"/>
    <pivotField showAll="0"/>
    <pivotField showAll="0">
      <items count="4">
        <item x="1"/>
        <item x="2"/>
        <item x="0"/>
        <item t="default"/>
      </items>
    </pivotField>
    <pivotField showAll="0">
      <items count="6">
        <item x="1"/>
        <item x="2"/>
        <item x="0"/>
        <item x="4"/>
        <item x="3"/>
        <item t="default"/>
      </items>
    </pivotField>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9">
    <i>
      <x/>
    </i>
    <i>
      <x v="1"/>
    </i>
    <i>
      <x v="2"/>
    </i>
    <i>
      <x v="3"/>
    </i>
    <i>
      <x v="4"/>
    </i>
    <i>
      <x v="5"/>
    </i>
    <i>
      <x v="6"/>
    </i>
    <i>
      <x v="7"/>
    </i>
    <i t="grand">
      <x/>
    </i>
  </rowItems>
  <colFields count="1">
    <field x="-2"/>
  </colFields>
  <colItems count="2">
    <i>
      <x/>
    </i>
    <i i="1">
      <x v="1"/>
    </i>
  </colItems>
  <dataFields count="2">
    <dataField name="Average of CostPerKg" fld="17" subtotal="average" baseField="4" baseItem="0"/>
    <dataField name="Average of ActualDeliveryDays" fld="13" subtotal="average" baseField="4" baseItem="0"/>
  </dataFields>
  <formats count="2">
    <format dxfId="2">
      <pivotArea outline="0" collapsedLevelsAreSubtotals="1" fieldPosition="0"/>
    </format>
    <format dxfId="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38F9F5-42C8-4885-A3E6-18EDB07B7F7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E13" firstHeaderRow="1" firstDataRow="2" firstDataCol="1"/>
  <pivotFields count="22">
    <pivotField dataField="1" showAll="0"/>
    <pivotField numFmtId="164" showAll="0">
      <items count="169">
        <item x="154"/>
        <item x="13"/>
        <item x="46"/>
        <item x="160"/>
        <item x="98"/>
        <item x="146"/>
        <item x="20"/>
        <item x="37"/>
        <item x="159"/>
        <item x="86"/>
        <item x="18"/>
        <item x="122"/>
        <item x="3"/>
        <item x="51"/>
        <item x="126"/>
        <item x="139"/>
        <item x="53"/>
        <item x="88"/>
        <item x="96"/>
        <item x="110"/>
        <item x="35"/>
        <item x="0"/>
        <item x="75"/>
        <item x="93"/>
        <item x="7"/>
        <item x="123"/>
        <item x="76"/>
        <item x="99"/>
        <item x="25"/>
        <item x="95"/>
        <item x="11"/>
        <item x="27"/>
        <item x="8"/>
        <item x="121"/>
        <item x="153"/>
        <item x="84"/>
        <item x="54"/>
        <item x="114"/>
        <item x="74"/>
        <item x="83"/>
        <item x="50"/>
        <item x="152"/>
        <item x="66"/>
        <item x="165"/>
        <item x="129"/>
        <item x="151"/>
        <item x="21"/>
        <item x="133"/>
        <item x="14"/>
        <item x="97"/>
        <item x="92"/>
        <item x="135"/>
        <item x="167"/>
        <item x="26"/>
        <item x="150"/>
        <item x="23"/>
        <item x="60"/>
        <item x="112"/>
        <item x="134"/>
        <item x="157"/>
        <item x="31"/>
        <item x="38"/>
        <item x="104"/>
        <item x="155"/>
        <item x="89"/>
        <item x="73"/>
        <item x="136"/>
        <item x="125"/>
        <item x="33"/>
        <item x="6"/>
        <item x="130"/>
        <item x="67"/>
        <item x="142"/>
        <item x="111"/>
        <item x="22"/>
        <item x="65"/>
        <item x="124"/>
        <item x="131"/>
        <item x="87"/>
        <item x="5"/>
        <item x="48"/>
        <item x="78"/>
        <item x="100"/>
        <item x="58"/>
        <item x="45"/>
        <item x="79"/>
        <item x="24"/>
        <item x="162"/>
        <item x="94"/>
        <item x="30"/>
        <item x="102"/>
        <item x="70"/>
        <item x="44"/>
        <item x="103"/>
        <item x="28"/>
        <item x="91"/>
        <item x="161"/>
        <item x="163"/>
        <item x="132"/>
        <item x="4"/>
        <item x="113"/>
        <item x="63"/>
        <item x="106"/>
        <item x="108"/>
        <item x="80"/>
        <item x="137"/>
        <item x="55"/>
        <item x="128"/>
        <item x="144"/>
        <item x="43"/>
        <item x="85"/>
        <item x="116"/>
        <item x="47"/>
        <item x="15"/>
        <item x="101"/>
        <item x="40"/>
        <item x="149"/>
        <item x="115"/>
        <item x="148"/>
        <item x="69"/>
        <item x="143"/>
        <item x="36"/>
        <item x="34"/>
        <item x="156"/>
        <item x="19"/>
        <item x="82"/>
        <item x="158"/>
        <item x="141"/>
        <item x="64"/>
        <item x="77"/>
        <item x="59"/>
        <item x="39"/>
        <item x="32"/>
        <item x="120"/>
        <item x="2"/>
        <item x="117"/>
        <item x="138"/>
        <item x="42"/>
        <item x="81"/>
        <item x="127"/>
        <item x="56"/>
        <item x="17"/>
        <item x="107"/>
        <item x="16"/>
        <item x="12"/>
        <item x="164"/>
        <item x="166"/>
        <item x="118"/>
        <item x="68"/>
        <item x="1"/>
        <item x="9"/>
        <item x="52"/>
        <item x="145"/>
        <item x="71"/>
        <item x="140"/>
        <item x="29"/>
        <item x="61"/>
        <item x="109"/>
        <item x="105"/>
        <item x="10"/>
        <item x="49"/>
        <item x="90"/>
        <item x="57"/>
        <item x="72"/>
        <item x="41"/>
        <item x="119"/>
        <item x="62"/>
        <item x="147"/>
        <item t="default"/>
      </items>
    </pivotField>
    <pivotField showAll="0"/>
    <pivotField showAll="0"/>
    <pivotField axis="axisRow" showAll="0">
      <items count="9">
        <item x="6"/>
        <item x="3"/>
        <item x="1"/>
        <item x="2"/>
        <item x="0"/>
        <item x="4"/>
        <item x="7"/>
        <item x="5"/>
        <item t="default"/>
      </items>
    </pivotField>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axis="axisCol" showAll="0">
      <items count="4">
        <item x="1"/>
        <item x="2"/>
        <item x="0"/>
        <item t="default"/>
      </items>
    </pivotField>
    <pivotField showAll="0">
      <items count="6">
        <item x="1"/>
        <item x="2"/>
        <item x="0"/>
        <item x="4"/>
        <item x="3"/>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9">
    <i>
      <x/>
    </i>
    <i>
      <x v="1"/>
    </i>
    <i>
      <x v="2"/>
    </i>
    <i>
      <x v="3"/>
    </i>
    <i>
      <x v="4"/>
    </i>
    <i>
      <x v="5"/>
    </i>
    <i>
      <x v="6"/>
    </i>
    <i>
      <x v="7"/>
    </i>
    <i t="grand">
      <x/>
    </i>
  </rowItems>
  <colFields count="1">
    <field x="15"/>
  </colFields>
  <colItems count="4">
    <i>
      <x/>
    </i>
    <i>
      <x v="1"/>
    </i>
    <i>
      <x v="2"/>
    </i>
    <i t="grand">
      <x/>
    </i>
  </colItems>
  <dataFields count="1">
    <dataField name="Count of ShipmentID" fld="0" subtotal="count" showDataAs="percentOfRow" baseField="0" baseItem="0" numFmtId="10"/>
  </dataFields>
  <chartFormats count="18">
    <chartFormat chart="0" format="0" series="1">
      <pivotArea type="data" outline="0" fieldPosition="0">
        <references count="2">
          <reference field="4294967294" count="1" selected="0">
            <x v="0"/>
          </reference>
          <reference field="15" count="1" selected="0">
            <x v="0"/>
          </reference>
        </references>
      </pivotArea>
    </chartFormat>
    <chartFormat chart="0" format="1" series="1">
      <pivotArea type="data" outline="0" fieldPosition="0">
        <references count="2">
          <reference field="4294967294" count="1" selected="0">
            <x v="0"/>
          </reference>
          <reference field="15" count="1" selected="0">
            <x v="1"/>
          </reference>
        </references>
      </pivotArea>
    </chartFormat>
    <chartFormat chart="0" format="2" series="1">
      <pivotArea type="data" outline="0" fieldPosition="0">
        <references count="2">
          <reference field="4294967294" count="1" selected="0">
            <x v="0"/>
          </reference>
          <reference field="15" count="1" selected="0">
            <x v="2"/>
          </reference>
        </references>
      </pivotArea>
    </chartFormat>
    <chartFormat chart="3" format="6" series="1">
      <pivotArea type="data" outline="0" fieldPosition="0">
        <references count="2">
          <reference field="4294967294" count="1" selected="0">
            <x v="0"/>
          </reference>
          <reference field="15" count="1" selected="0">
            <x v="0"/>
          </reference>
        </references>
      </pivotArea>
    </chartFormat>
    <chartFormat chart="3" format="7" series="1">
      <pivotArea type="data" outline="0" fieldPosition="0">
        <references count="2">
          <reference field="4294967294" count="1" selected="0">
            <x v="0"/>
          </reference>
          <reference field="15" count="1" selected="0">
            <x v="1"/>
          </reference>
        </references>
      </pivotArea>
    </chartFormat>
    <chartFormat chart="3" format="8" series="1">
      <pivotArea type="data" outline="0" fieldPosition="0">
        <references count="2">
          <reference field="4294967294" count="1" selected="0">
            <x v="0"/>
          </reference>
          <reference field="15" count="1" selected="0">
            <x v="2"/>
          </reference>
        </references>
      </pivotArea>
    </chartFormat>
    <chartFormat chart="4" format="9" series="1">
      <pivotArea type="data" outline="0" fieldPosition="0">
        <references count="2">
          <reference field="4294967294" count="1" selected="0">
            <x v="0"/>
          </reference>
          <reference field="15" count="1" selected="0">
            <x v="0"/>
          </reference>
        </references>
      </pivotArea>
    </chartFormat>
    <chartFormat chart="4" format="10" series="1">
      <pivotArea type="data" outline="0" fieldPosition="0">
        <references count="2">
          <reference field="4294967294" count="1" selected="0">
            <x v="0"/>
          </reference>
          <reference field="15" count="1" selected="0">
            <x v="1"/>
          </reference>
        </references>
      </pivotArea>
    </chartFormat>
    <chartFormat chart="4" format="11" series="1">
      <pivotArea type="data" outline="0" fieldPosition="0">
        <references count="2">
          <reference field="4294967294" count="1" selected="0">
            <x v="0"/>
          </reference>
          <reference field="15" count="1" selected="0">
            <x v="2"/>
          </reference>
        </references>
      </pivotArea>
    </chartFormat>
    <chartFormat chart="5" format="3" series="1">
      <pivotArea type="data" outline="0" fieldPosition="0">
        <references count="2">
          <reference field="4294967294" count="1" selected="0">
            <x v="0"/>
          </reference>
          <reference field="15" count="1" selected="0">
            <x v="0"/>
          </reference>
        </references>
      </pivotArea>
    </chartFormat>
    <chartFormat chart="5" format="4" series="1">
      <pivotArea type="data" outline="0" fieldPosition="0">
        <references count="2">
          <reference field="4294967294" count="1" selected="0">
            <x v="0"/>
          </reference>
          <reference field="15" count="1" selected="0">
            <x v="1"/>
          </reference>
        </references>
      </pivotArea>
    </chartFormat>
    <chartFormat chart="5" format="5" series="1">
      <pivotArea type="data" outline="0" fieldPosition="0">
        <references count="2">
          <reference field="4294967294" count="1" selected="0">
            <x v="0"/>
          </reference>
          <reference field="15" count="1" selected="0">
            <x v="2"/>
          </reference>
        </references>
      </pivotArea>
    </chartFormat>
    <chartFormat chart="9" format="6" series="1">
      <pivotArea type="data" outline="0" fieldPosition="0">
        <references count="2">
          <reference field="4294967294" count="1" selected="0">
            <x v="0"/>
          </reference>
          <reference field="15" count="1" selected="0">
            <x v="0"/>
          </reference>
        </references>
      </pivotArea>
    </chartFormat>
    <chartFormat chart="9" format="7" series="1">
      <pivotArea type="data" outline="0" fieldPosition="0">
        <references count="2">
          <reference field="4294967294" count="1" selected="0">
            <x v="0"/>
          </reference>
          <reference field="15" count="1" selected="0">
            <x v="1"/>
          </reference>
        </references>
      </pivotArea>
    </chartFormat>
    <chartFormat chart="9" format="8" series="1">
      <pivotArea type="data" outline="0" fieldPosition="0">
        <references count="2">
          <reference field="4294967294" count="1" selected="0">
            <x v="0"/>
          </reference>
          <reference field="15" count="1" selected="0">
            <x v="2"/>
          </reference>
        </references>
      </pivotArea>
    </chartFormat>
    <chartFormat chart="10" format="9" series="1">
      <pivotArea type="data" outline="0" fieldPosition="0">
        <references count="2">
          <reference field="4294967294" count="1" selected="0">
            <x v="0"/>
          </reference>
          <reference field="15" count="1" selected="0">
            <x v="0"/>
          </reference>
        </references>
      </pivotArea>
    </chartFormat>
    <chartFormat chart="10" format="10" series="1">
      <pivotArea type="data" outline="0" fieldPosition="0">
        <references count="2">
          <reference field="4294967294" count="1" selected="0">
            <x v="0"/>
          </reference>
          <reference field="15" count="1" selected="0">
            <x v="1"/>
          </reference>
        </references>
      </pivotArea>
    </chartFormat>
    <chartFormat chart="10" format="11" series="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633FB5-3707-4FA2-8B9B-7C268F29461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3:B42" firstHeaderRow="1" firstDataRow="1" firstDataCol="1"/>
  <pivotFields count="22">
    <pivotField showAll="0"/>
    <pivotField numFmtId="164" showAll="0">
      <items count="169">
        <item x="154"/>
        <item x="13"/>
        <item x="46"/>
        <item x="160"/>
        <item x="98"/>
        <item x="146"/>
        <item x="20"/>
        <item x="37"/>
        <item x="159"/>
        <item x="86"/>
        <item x="18"/>
        <item x="122"/>
        <item x="3"/>
        <item x="51"/>
        <item x="126"/>
        <item x="139"/>
        <item x="53"/>
        <item x="88"/>
        <item x="96"/>
        <item x="110"/>
        <item x="35"/>
        <item x="0"/>
        <item x="75"/>
        <item x="93"/>
        <item x="7"/>
        <item x="123"/>
        <item x="76"/>
        <item x="99"/>
        <item x="25"/>
        <item x="95"/>
        <item x="11"/>
        <item x="27"/>
        <item x="8"/>
        <item x="121"/>
        <item x="153"/>
        <item x="84"/>
        <item x="54"/>
        <item x="114"/>
        <item x="74"/>
        <item x="83"/>
        <item x="50"/>
        <item x="152"/>
        <item x="66"/>
        <item x="165"/>
        <item x="129"/>
        <item x="151"/>
        <item x="21"/>
        <item x="133"/>
        <item x="14"/>
        <item x="97"/>
        <item x="92"/>
        <item x="135"/>
        <item x="167"/>
        <item x="26"/>
        <item x="150"/>
        <item x="23"/>
        <item x="60"/>
        <item x="112"/>
        <item x="134"/>
        <item x="157"/>
        <item x="31"/>
        <item x="38"/>
        <item x="104"/>
        <item x="155"/>
        <item x="89"/>
        <item x="73"/>
        <item x="136"/>
        <item x="125"/>
        <item x="33"/>
        <item x="6"/>
        <item x="130"/>
        <item x="67"/>
        <item x="142"/>
        <item x="111"/>
        <item x="22"/>
        <item x="65"/>
        <item x="124"/>
        <item x="131"/>
        <item x="87"/>
        <item x="5"/>
        <item x="48"/>
        <item x="78"/>
        <item x="100"/>
        <item x="58"/>
        <item x="45"/>
        <item x="79"/>
        <item x="24"/>
        <item x="162"/>
        <item x="94"/>
        <item x="30"/>
        <item x="102"/>
        <item x="70"/>
        <item x="44"/>
        <item x="103"/>
        <item x="28"/>
        <item x="91"/>
        <item x="161"/>
        <item x="163"/>
        <item x="132"/>
        <item x="4"/>
        <item x="113"/>
        <item x="63"/>
        <item x="106"/>
        <item x="108"/>
        <item x="80"/>
        <item x="137"/>
        <item x="55"/>
        <item x="128"/>
        <item x="144"/>
        <item x="43"/>
        <item x="85"/>
        <item x="116"/>
        <item x="47"/>
        <item x="15"/>
        <item x="101"/>
        <item x="40"/>
        <item x="149"/>
        <item x="115"/>
        <item x="148"/>
        <item x="69"/>
        <item x="143"/>
        <item x="36"/>
        <item x="34"/>
        <item x="156"/>
        <item x="19"/>
        <item x="82"/>
        <item x="158"/>
        <item x="141"/>
        <item x="64"/>
        <item x="77"/>
        <item x="59"/>
        <item x="39"/>
        <item x="32"/>
        <item x="120"/>
        <item x="2"/>
        <item x="117"/>
        <item x="138"/>
        <item x="42"/>
        <item x="81"/>
        <item x="127"/>
        <item x="56"/>
        <item x="17"/>
        <item x="107"/>
        <item x="16"/>
        <item x="12"/>
        <item x="164"/>
        <item x="166"/>
        <item x="118"/>
        <item x="68"/>
        <item x="1"/>
        <item x="9"/>
        <item x="52"/>
        <item x="145"/>
        <item x="71"/>
        <item x="140"/>
        <item x="29"/>
        <item x="61"/>
        <item x="109"/>
        <item x="105"/>
        <item x="10"/>
        <item x="49"/>
        <item x="90"/>
        <item x="57"/>
        <item x="72"/>
        <item x="41"/>
        <item x="119"/>
        <item x="62"/>
        <item x="147"/>
        <item t="default"/>
      </items>
    </pivotField>
    <pivotField showAll="0">
      <items count="8">
        <item x="6"/>
        <item x="0"/>
        <item x="3"/>
        <item x="2"/>
        <item x="1"/>
        <item x="4"/>
        <item x="5"/>
        <item t="default"/>
      </items>
    </pivotField>
    <pivotField showAll="0"/>
    <pivotField axis="axisRow" showAll="0">
      <items count="9">
        <item x="6"/>
        <item x="3"/>
        <item x="1"/>
        <item x="2"/>
        <item x="0"/>
        <item x="4"/>
        <item x="7"/>
        <item x="5"/>
        <item t="default"/>
      </items>
    </pivotField>
    <pivotField showAll="0">
      <items count="4">
        <item x="0"/>
        <item x="2"/>
        <item x="1"/>
        <item t="default"/>
      </items>
    </pivotField>
    <pivotField showAll="0"/>
    <pivotField showAll="0"/>
    <pivotField showAll="0"/>
    <pivotField showAll="0"/>
    <pivotField showAll="0"/>
    <pivotField showAll="0"/>
    <pivotField showAll="0"/>
    <pivotField dataField="1" showAll="0"/>
    <pivotField showAll="0"/>
    <pivotField showAll="0">
      <items count="4">
        <item x="1"/>
        <item x="2"/>
        <item x="0"/>
        <item t="default"/>
      </items>
    </pivotField>
    <pivotField showAll="0">
      <items count="6">
        <item x="1"/>
        <item x="2"/>
        <item x="0"/>
        <item x="4"/>
        <item x="3"/>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9">
    <i>
      <x/>
    </i>
    <i>
      <x v="1"/>
    </i>
    <i>
      <x v="2"/>
    </i>
    <i>
      <x v="3"/>
    </i>
    <i>
      <x v="4"/>
    </i>
    <i>
      <x v="5"/>
    </i>
    <i>
      <x v="6"/>
    </i>
    <i>
      <x v="7"/>
    </i>
    <i t="grand">
      <x/>
    </i>
  </rowItems>
  <colItems count="1">
    <i/>
  </colItems>
  <dataFields count="1">
    <dataField name="Average of ActualDeliveryDays" fld="13" subtotal="average" baseField="2" baseItem="0" numFmtId="2"/>
  </dataFields>
  <formats count="2">
    <format dxfId="4">
      <pivotArea outline="0" collapsedLevelsAreSubtotals="1" fieldPosition="0"/>
    </format>
    <format dxfId="5">
      <pivotArea dataOnly="0" labelOnly="1" outline="0" axis="axisValues" fieldPosition="0"/>
    </format>
  </formats>
  <chartFormats count="5">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28E868F-2889-4EE5-8C36-D01E5AC8795B}"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35:J159" firstHeaderRow="1" firstDataRow="2" firstDataCol="1"/>
  <pivotFields count="22">
    <pivotField dataField="1" showAll="0"/>
    <pivotField numFmtId="164" showAll="0">
      <items count="169">
        <item x="154"/>
        <item x="13"/>
        <item x="46"/>
        <item x="160"/>
        <item x="98"/>
        <item x="146"/>
        <item x="20"/>
        <item x="37"/>
        <item x="159"/>
        <item x="86"/>
        <item x="18"/>
        <item x="122"/>
        <item x="3"/>
        <item x="51"/>
        <item x="126"/>
        <item x="139"/>
        <item x="53"/>
        <item x="88"/>
        <item x="96"/>
        <item x="110"/>
        <item x="35"/>
        <item x="0"/>
        <item x="75"/>
        <item x="93"/>
        <item x="7"/>
        <item x="123"/>
        <item x="76"/>
        <item x="99"/>
        <item x="25"/>
        <item x="95"/>
        <item x="11"/>
        <item x="27"/>
        <item x="8"/>
        <item x="121"/>
        <item x="153"/>
        <item x="84"/>
        <item x="54"/>
        <item x="114"/>
        <item x="74"/>
        <item x="83"/>
        <item x="50"/>
        <item x="152"/>
        <item x="66"/>
        <item x="165"/>
        <item x="129"/>
        <item x="151"/>
        <item x="21"/>
        <item x="133"/>
        <item x="14"/>
        <item x="97"/>
        <item x="92"/>
        <item x="135"/>
        <item x="167"/>
        <item x="26"/>
        <item x="150"/>
        <item x="23"/>
        <item x="60"/>
        <item x="112"/>
        <item x="134"/>
        <item x="157"/>
        <item x="31"/>
        <item x="38"/>
        <item x="104"/>
        <item x="155"/>
        <item x="89"/>
        <item x="73"/>
        <item x="136"/>
        <item x="125"/>
        <item x="33"/>
        <item x="6"/>
        <item x="130"/>
        <item x="67"/>
        <item x="142"/>
        <item x="111"/>
        <item x="22"/>
        <item x="65"/>
        <item x="124"/>
        <item x="131"/>
        <item x="87"/>
        <item x="5"/>
        <item x="48"/>
        <item x="78"/>
        <item x="100"/>
        <item x="58"/>
        <item x="45"/>
        <item x="79"/>
        <item x="24"/>
        <item x="162"/>
        <item x="94"/>
        <item x="30"/>
        <item x="102"/>
        <item x="70"/>
        <item x="44"/>
        <item x="103"/>
        <item x="28"/>
        <item x="91"/>
        <item x="161"/>
        <item x="163"/>
        <item x="132"/>
        <item x="4"/>
        <item x="113"/>
        <item x="63"/>
        <item x="106"/>
        <item x="108"/>
        <item x="80"/>
        <item x="137"/>
        <item x="55"/>
        <item x="128"/>
        <item x="144"/>
        <item x="43"/>
        <item x="85"/>
        <item x="116"/>
        <item x="47"/>
        <item x="15"/>
        <item x="101"/>
        <item x="40"/>
        <item x="149"/>
        <item x="115"/>
        <item x="148"/>
        <item x="69"/>
        <item x="143"/>
        <item x="36"/>
        <item x="34"/>
        <item x="156"/>
        <item x="19"/>
        <item x="82"/>
        <item x="158"/>
        <item x="141"/>
        <item x="64"/>
        <item x="77"/>
        <item x="59"/>
        <item x="39"/>
        <item x="32"/>
        <item x="120"/>
        <item x="2"/>
        <item x="117"/>
        <item x="138"/>
        <item x="42"/>
        <item x="81"/>
        <item x="127"/>
        <item x="56"/>
        <item x="17"/>
        <item x="107"/>
        <item x="16"/>
        <item x="12"/>
        <item x="164"/>
        <item x="166"/>
        <item x="118"/>
        <item x="68"/>
        <item x="1"/>
        <item x="9"/>
        <item x="52"/>
        <item x="145"/>
        <item x="71"/>
        <item x="140"/>
        <item x="29"/>
        <item x="61"/>
        <item x="109"/>
        <item x="105"/>
        <item x="10"/>
        <item x="49"/>
        <item x="90"/>
        <item x="57"/>
        <item x="72"/>
        <item x="41"/>
        <item x="119"/>
        <item x="62"/>
        <item x="147"/>
        <item t="default"/>
      </items>
    </pivotField>
    <pivotField axis="axisRow" showAll="0">
      <items count="8">
        <item x="6"/>
        <item x="0"/>
        <item x="3"/>
        <item x="2"/>
        <item x="1"/>
        <item x="4"/>
        <item x="5"/>
        <item t="default"/>
      </items>
    </pivotField>
    <pivotField showAll="0"/>
    <pivotField axis="axisCol" showAll="0">
      <items count="9">
        <item x="6"/>
        <item x="3"/>
        <item x="1"/>
        <item x="2"/>
        <item x="0"/>
        <item x="4"/>
        <item x="7"/>
        <item x="5"/>
        <item t="default"/>
      </items>
    </pivotField>
    <pivotField showAll="0">
      <items count="4">
        <item x="0"/>
        <item x="2"/>
        <item x="1"/>
        <item t="default"/>
      </items>
    </pivotField>
    <pivotField showAll="0">
      <items count="8">
        <item x="6"/>
        <item x="3"/>
        <item x="2"/>
        <item x="0"/>
        <item x="5"/>
        <item x="1"/>
        <item x="4"/>
        <item t="default"/>
      </items>
    </pivotField>
    <pivotField showAll="0"/>
    <pivotField showAll="0"/>
    <pivotField showAll="0"/>
    <pivotField showAll="0"/>
    <pivotField showAll="0"/>
    <pivotField showAll="0"/>
    <pivotField showAll="0"/>
    <pivotField showAll="0"/>
    <pivotField axis="axisRow" showAll="0" includeNewItemsInFilter="1">
      <items count="4">
        <item x="1"/>
        <item x="2"/>
        <item x="0"/>
        <item t="default"/>
      </items>
    </pivotField>
    <pivotField showAll="0">
      <items count="6">
        <item x="1"/>
        <item x="2"/>
        <item x="0"/>
        <item x="4"/>
        <item x="3"/>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2">
    <field x="15"/>
    <field x="2"/>
  </rowFields>
  <rowItems count="23">
    <i>
      <x/>
    </i>
    <i r="1">
      <x/>
    </i>
    <i r="1">
      <x v="1"/>
    </i>
    <i r="1">
      <x v="2"/>
    </i>
    <i r="1">
      <x v="3"/>
    </i>
    <i r="1">
      <x v="4"/>
    </i>
    <i r="1">
      <x v="5"/>
    </i>
    <i r="1">
      <x v="6"/>
    </i>
    <i>
      <x v="1"/>
    </i>
    <i r="1">
      <x v="1"/>
    </i>
    <i r="1">
      <x v="2"/>
    </i>
    <i r="1">
      <x v="3"/>
    </i>
    <i r="1">
      <x v="5"/>
    </i>
    <i r="1">
      <x v="6"/>
    </i>
    <i>
      <x v="2"/>
    </i>
    <i r="1">
      <x/>
    </i>
    <i r="1">
      <x v="1"/>
    </i>
    <i r="1">
      <x v="2"/>
    </i>
    <i r="1">
      <x v="3"/>
    </i>
    <i r="1">
      <x v="4"/>
    </i>
    <i r="1">
      <x v="5"/>
    </i>
    <i r="1">
      <x v="6"/>
    </i>
    <i t="grand">
      <x/>
    </i>
  </rowItems>
  <colFields count="1">
    <field x="4"/>
  </colFields>
  <colItems count="9">
    <i>
      <x/>
    </i>
    <i>
      <x v="1"/>
    </i>
    <i>
      <x v="2"/>
    </i>
    <i>
      <x v="3"/>
    </i>
    <i>
      <x v="4"/>
    </i>
    <i>
      <x v="5"/>
    </i>
    <i>
      <x v="6"/>
    </i>
    <i>
      <x v="7"/>
    </i>
    <i t="grand">
      <x/>
    </i>
  </colItems>
  <dataFields count="1">
    <dataField name="Count of Shipment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BD28F83-F881-443C-AEAA-072994D78A7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88:B194" firstHeaderRow="1" firstDataRow="1" firstDataCol="1"/>
  <pivotFields count="22">
    <pivotField dataField="1" showAll="0">
      <items count="1601">
        <item x="1540"/>
        <item x="1248"/>
        <item x="597"/>
        <item x="280"/>
        <item x="1205"/>
        <item x="1145"/>
        <item x="255"/>
        <item x="1544"/>
        <item x="845"/>
        <item x="1197"/>
        <item x="600"/>
        <item x="511"/>
        <item x="1330"/>
        <item x="472"/>
        <item x="737"/>
        <item x="78"/>
        <item x="324"/>
        <item x="1467"/>
        <item x="1347"/>
        <item x="450"/>
        <item x="378"/>
        <item x="61"/>
        <item x="1375"/>
        <item x="110"/>
        <item x="107"/>
        <item x="165"/>
        <item x="720"/>
        <item x="567"/>
        <item x="406"/>
        <item x="123"/>
        <item x="506"/>
        <item x="1512"/>
        <item x="311"/>
        <item x="1242"/>
        <item x="1140"/>
        <item x="1494"/>
        <item x="732"/>
        <item x="1437"/>
        <item x="1167"/>
        <item x="16"/>
        <item x="590"/>
        <item x="10"/>
        <item x="685"/>
        <item x="1493"/>
        <item x="344"/>
        <item x="108"/>
        <item x="1523"/>
        <item x="1096"/>
        <item x="1405"/>
        <item x="397"/>
        <item x="573"/>
        <item x="239"/>
        <item x="268"/>
        <item x="154"/>
        <item x="796"/>
        <item x="510"/>
        <item x="326"/>
        <item x="373"/>
        <item x="684"/>
        <item x="889"/>
        <item x="1303"/>
        <item x="1183"/>
        <item x="640"/>
        <item x="1008"/>
        <item x="507"/>
        <item x="1186"/>
        <item x="1340"/>
        <item x="883"/>
        <item x="1092"/>
        <item x="562"/>
        <item x="987"/>
        <item x="339"/>
        <item x="232"/>
        <item x="1366"/>
        <item x="1071"/>
        <item x="201"/>
        <item x="1351"/>
        <item x="1106"/>
        <item x="968"/>
        <item x="794"/>
        <item x="1189"/>
        <item x="1318"/>
        <item x="1548"/>
        <item x="809"/>
        <item x="802"/>
        <item x="934"/>
        <item x="260"/>
        <item x="1440"/>
        <item x="677"/>
        <item x="1448"/>
        <item x="1370"/>
        <item x="112"/>
        <item x="1109"/>
        <item x="33"/>
        <item x="1271"/>
        <item x="1352"/>
        <item x="609"/>
        <item x="327"/>
        <item x="1113"/>
        <item x="1300"/>
        <item x="864"/>
        <item x="266"/>
        <item x="1331"/>
        <item x="503"/>
        <item x="334"/>
        <item x="1496"/>
        <item x="207"/>
        <item x="495"/>
        <item x="1107"/>
        <item x="267"/>
        <item x="313"/>
        <item x="84"/>
        <item x="479"/>
        <item x="346"/>
        <item x="867"/>
        <item x="876"/>
        <item x="1353"/>
        <item x="1346"/>
        <item x="2"/>
        <item x="1274"/>
        <item x="741"/>
        <item x="579"/>
        <item x="1527"/>
        <item x="935"/>
        <item x="322"/>
        <item x="101"/>
        <item x="467"/>
        <item x="235"/>
        <item x="825"/>
        <item x="525"/>
        <item x="1039"/>
        <item x="1083"/>
        <item x="53"/>
        <item x="539"/>
        <item x="704"/>
        <item x="1023"/>
        <item x="819"/>
        <item x="909"/>
        <item x="407"/>
        <item x="1055"/>
        <item x="1515"/>
        <item x="980"/>
        <item x="1451"/>
        <item x="419"/>
        <item x="229"/>
        <item x="230"/>
        <item x="252"/>
        <item x="242"/>
        <item x="1046"/>
        <item x="405"/>
        <item x="1103"/>
        <item x="812"/>
        <item x="342"/>
        <item x="1319"/>
        <item x="1251"/>
        <item x="636"/>
        <item x="410"/>
        <item x="411"/>
        <item x="642"/>
        <item x="459"/>
        <item x="1278"/>
        <item x="989"/>
        <item x="734"/>
        <item x="824"/>
        <item x="857"/>
        <item x="760"/>
        <item x="1111"/>
        <item x="219"/>
        <item x="1038"/>
        <item x="758"/>
        <item x="702"/>
        <item x="844"/>
        <item x="1380"/>
        <item x="1376"/>
        <item x="1482"/>
        <item x="205"/>
        <item x="898"/>
        <item x="132"/>
        <item x="1571"/>
        <item x="1054"/>
        <item x="791"/>
        <item x="1214"/>
        <item x="862"/>
        <item x="1297"/>
        <item x="457"/>
        <item x="755"/>
        <item x="801"/>
        <item x="481"/>
        <item x="776"/>
        <item x="930"/>
        <item x="422"/>
        <item x="954"/>
        <item x="246"/>
        <item x="474"/>
        <item x="487"/>
        <item x="804"/>
        <item x="1513"/>
        <item x="1429"/>
        <item x="301"/>
        <item x="1596"/>
        <item x="1304"/>
        <item x="87"/>
        <item x="775"/>
        <item x="922"/>
        <item x="1514"/>
        <item x="1593"/>
        <item x="534"/>
        <item x="1563"/>
        <item x="1180"/>
        <item x="970"/>
        <item x="1076"/>
        <item x="423"/>
        <item x="1447"/>
        <item x="1194"/>
        <item x="20"/>
        <item x="1163"/>
        <item x="1002"/>
        <item x="38"/>
        <item x="1193"/>
        <item x="1147"/>
        <item x="415"/>
        <item x="1154"/>
        <item x="57"/>
        <item x="1592"/>
        <item x="206"/>
        <item x="943"/>
        <item x="77"/>
        <item x="1198"/>
        <item x="1162"/>
        <item x="209"/>
        <item x="668"/>
        <item x="754"/>
        <item x="116"/>
        <item x="389"/>
        <item x="228"/>
        <item x="179"/>
        <item x="1575"/>
        <item x="1320"/>
        <item x="436"/>
        <item x="97"/>
        <item x="404"/>
        <item x="904"/>
        <item x="1190"/>
        <item x="951"/>
        <item x="1241"/>
        <item x="149"/>
        <item x="497"/>
        <item x="769"/>
        <item x="0"/>
        <item x="1504"/>
        <item x="1538"/>
        <item x="1508"/>
        <item x="376"/>
        <item x="1255"/>
        <item x="1185"/>
        <item x="1006"/>
        <item x="1034"/>
        <item x="1359"/>
        <item x="432"/>
        <item x="621"/>
        <item x="143"/>
        <item x="1524"/>
        <item x="172"/>
        <item x="478"/>
        <item x="1122"/>
        <item x="65"/>
        <item x="1438"/>
        <item x="31"/>
        <item x="1410"/>
        <item x="1118"/>
        <item x="114"/>
        <item x="580"/>
        <item x="956"/>
        <item x="279"/>
        <item x="269"/>
        <item x="1173"/>
        <item x="158"/>
        <item x="846"/>
        <item x="822"/>
        <item x="1143"/>
        <item x="1264"/>
        <item x="1069"/>
        <item x="658"/>
        <item x="30"/>
        <item x="902"/>
        <item x="402"/>
        <item x="1580"/>
        <item x="1509"/>
        <item x="1327"/>
        <item x="1550"/>
        <item x="1257"/>
        <item x="1077"/>
        <item x="302"/>
        <item x="215"/>
        <item x="952"/>
        <item x="96"/>
        <item x="546"/>
        <item x="891"/>
        <item x="100"/>
        <item x="575"/>
        <item x="1157"/>
        <item x="1236"/>
        <item x="831"/>
        <item x="400"/>
        <item x="868"/>
        <item x="499"/>
        <item x="428"/>
        <item x="795"/>
        <item x="1589"/>
        <item x="972"/>
        <item x="1159"/>
        <item x="516"/>
        <item x="549"/>
        <item x="1478"/>
        <item x="118"/>
        <item x="1280"/>
        <item x="630"/>
        <item x="874"/>
        <item x="1009"/>
        <item x="54"/>
        <item x="1450"/>
        <item x="651"/>
        <item x="380"/>
        <item x="294"/>
        <item x="1120"/>
        <item x="383"/>
        <item x="853"/>
        <item x="1591"/>
        <item x="673"/>
        <item x="102"/>
        <item x="1176"/>
        <item x="1461"/>
        <item x="1323"/>
        <item x="914"/>
        <item x="832"/>
        <item x="1282"/>
        <item x="274"/>
        <item x="1305"/>
        <item x="271"/>
        <item x="480"/>
        <item x="471"/>
        <item x="1259"/>
        <item x="1256"/>
        <item x="494"/>
        <item x="577"/>
        <item x="524"/>
        <item x="932"/>
        <item x="1287"/>
        <item x="1321"/>
        <item x="1134"/>
        <item x="667"/>
        <item x="253"/>
        <item x="1213"/>
        <item x="870"/>
        <item x="1059"/>
        <item x="42"/>
        <item x="1215"/>
        <item x="1434"/>
        <item x="388"/>
        <item x="1349"/>
        <item x="290"/>
        <item x="1416"/>
        <item x="1446"/>
        <item x="227"/>
        <item x="1490"/>
        <item x="1401"/>
        <item x="1202"/>
        <item x="863"/>
        <item x="787"/>
        <item x="777"/>
        <item x="696"/>
        <item x="105"/>
        <item x="1072"/>
        <item x="489"/>
        <item x="1389"/>
        <item x="747"/>
        <item x="438"/>
        <item x="441"/>
        <item x="742"/>
        <item x="1239"/>
        <item x="1004"/>
        <item x="818"/>
        <item x="1460"/>
        <item x="917"/>
        <item x="1420"/>
        <item x="1557"/>
        <item x="83"/>
        <item x="695"/>
        <item x="928"/>
        <item x="823"/>
        <item x="240"/>
        <item x="1290"/>
        <item x="281"/>
        <item x="1500"/>
        <item x="446"/>
        <item x="690"/>
        <item x="1279"/>
        <item x="498"/>
        <item x="1423"/>
        <item x="829"/>
        <item x="24"/>
        <item x="45"/>
        <item x="792"/>
        <item x="263"/>
        <item x="8"/>
        <item x="1040"/>
        <item x="257"/>
        <item x="395"/>
        <item x="1060"/>
        <item x="1095"/>
        <item x="851"/>
        <item x="1249"/>
        <item x="834"/>
        <item x="854"/>
        <item x="1230"/>
        <item x="1507"/>
        <item x="1049"/>
        <item x="1449"/>
        <item x="161"/>
        <item x="1184"/>
        <item x="1555"/>
        <item x="1116"/>
        <item x="1574"/>
        <item x="1424"/>
        <item x="965"/>
        <item x="751"/>
        <item x="434"/>
        <item x="166"/>
        <item x="303"/>
        <item x="983"/>
        <item x="1439"/>
        <item x="1595"/>
        <item x="1306"/>
        <item x="1045"/>
        <item x="817"/>
        <item x="56"/>
        <item x="325"/>
        <item x="225"/>
        <item x="1432"/>
        <item x="939"/>
        <item x="1050"/>
        <item x="393"/>
        <item x="1371"/>
        <item x="1087"/>
        <item x="1457"/>
        <item x="409"/>
        <item x="1110"/>
        <item x="1361"/>
        <item x="664"/>
        <item x="648"/>
        <item x="962"/>
        <item x="21"/>
        <item x="1029"/>
        <item x="152"/>
        <item x="1164"/>
        <item x="884"/>
        <item x="783"/>
        <item x="1569"/>
        <item x="1584"/>
        <item x="236"/>
        <item x="1091"/>
        <item x="50"/>
        <item x="1119"/>
        <item x="231"/>
        <item x="1312"/>
        <item x="241"/>
        <item x="583"/>
        <item x="36"/>
        <item x="592"/>
        <item x="390"/>
        <item x="1178"/>
        <item x="312"/>
        <item x="1452"/>
        <item x="797"/>
        <item x="1235"/>
        <item x="180"/>
        <item x="553"/>
        <item x="1127"/>
        <item x="1244"/>
        <item x="571"/>
        <item x="22"/>
        <item x="217"/>
        <item x="1226"/>
        <item x="1391"/>
        <item x="501"/>
        <item x="379"/>
        <item x="1253"/>
        <item x="1385"/>
        <item x="838"/>
        <item x="913"/>
        <item x="184"/>
        <item x="558"/>
        <item x="873"/>
        <item x="646"/>
        <item x="1334"/>
        <item x="693"/>
        <item x="1552"/>
        <item x="920"/>
        <item x="1383"/>
        <item x="1209"/>
        <item x="852"/>
        <item x="542"/>
        <item x="151"/>
        <item x="966"/>
        <item x="1035"/>
        <item x="1068"/>
        <item x="784"/>
        <item x="1286"/>
        <item x="727"/>
        <item x="296"/>
        <item x="992"/>
        <item x="237"/>
        <item x="1233"/>
        <item x="1316"/>
        <item x="645"/>
        <item x="849"/>
        <item x="1364"/>
        <item x="618"/>
        <item x="192"/>
        <item x="425"/>
        <item x="603"/>
        <item x="1408"/>
        <item x="672"/>
        <item x="543"/>
        <item x="780"/>
        <item x="655"/>
        <item x="1342"/>
        <item x="1562"/>
        <item x="1392"/>
        <item x="282"/>
        <item x="452"/>
        <item x="82"/>
        <item x="1362"/>
        <item x="1307"/>
        <item x="341"/>
        <item x="127"/>
        <item x="1442"/>
        <item x="533"/>
        <item x="850"/>
        <item x="1165"/>
        <item x="417"/>
        <item x="1519"/>
        <item x="1132"/>
        <item x="491"/>
        <item x="1207"/>
        <item x="1223"/>
        <item x="1067"/>
        <item x="716"/>
        <item x="1139"/>
        <item x="1221"/>
        <item x="372"/>
        <item x="663"/>
        <item x="157"/>
        <item x="676"/>
        <item x="401"/>
        <item x="220"/>
        <item x="51"/>
        <item x="828"/>
        <item x="1581"/>
        <item x="386"/>
        <item x="953"/>
        <item x="1339"/>
        <item x="865"/>
        <item x="368"/>
        <item x="155"/>
        <item x="306"/>
        <item x="1056"/>
        <item x="622"/>
        <item x="788"/>
        <item x="707"/>
        <item x="453"/>
        <item x="816"/>
        <item x="1566"/>
        <item x="635"/>
        <item x="66"/>
        <item x="1252"/>
        <item x="1296"/>
        <item x="701"/>
        <item x="1458"/>
        <item x="1152"/>
        <item x="700"/>
        <item x="1272"/>
        <item x="810"/>
        <item x="740"/>
        <item x="557"/>
        <item x="752"/>
        <item x="73"/>
        <item x="1246"/>
        <item x="957"/>
        <item x="1559"/>
        <item x="1599"/>
        <item x="991"/>
        <item x="377"/>
        <item x="653"/>
        <item x="1115"/>
        <item x="878"/>
        <item x="133"/>
        <item x="836"/>
        <item x="248"/>
        <item x="674"/>
        <item x="714"/>
        <item x="1533"/>
        <item x="299"/>
        <item x="984"/>
        <item x="1445"/>
        <item x="1428"/>
        <item x="1367"/>
        <item x="505"/>
        <item x="443"/>
        <item x="1497"/>
        <item x="1078"/>
        <item x="475"/>
        <item x="153"/>
        <item x="1409"/>
        <item x="189"/>
        <item x="847"/>
        <item x="185"/>
        <item x="270"/>
        <item x="961"/>
        <item x="1369"/>
        <item x="620"/>
        <item x="1372"/>
        <item x="375"/>
        <item x="1301"/>
        <item x="93"/>
        <item x="858"/>
        <item x="1225"/>
        <item x="103"/>
        <item x="1382"/>
        <item x="1341"/>
        <item x="605"/>
        <item x="420"/>
        <item x="766"/>
        <item x="1468"/>
        <item x="1436"/>
        <item x="1480"/>
        <item x="364"/>
        <item x="126"/>
        <item x="799"/>
        <item x="694"/>
        <item x="1590"/>
        <item x="585"/>
        <item x="756"/>
        <item x="1022"/>
        <item x="691"/>
        <item x="879"/>
        <item x="89"/>
        <item x="1211"/>
        <item x="181"/>
        <item x="1525"/>
        <item x="531"/>
        <item x="576"/>
        <item x="835"/>
        <item x="1169"/>
        <item x="995"/>
        <item x="451"/>
        <item x="1079"/>
        <item x="323"/>
        <item x="48"/>
        <item x="1332"/>
        <item x="1130"/>
        <item x="1374"/>
        <item x="715"/>
        <item x="394"/>
        <item x="782"/>
        <item x="1539"/>
        <item x="111"/>
        <item x="117"/>
        <item x="1010"/>
        <item x="1454"/>
        <item x="1510"/>
        <item x="948"/>
        <item x="556"/>
        <item x="1597"/>
        <item x="1007"/>
        <item x="128"/>
        <item x="435"/>
        <item x="610"/>
        <item x="778"/>
        <item x="918"/>
        <item x="115"/>
        <item x="1175"/>
        <item x="1417"/>
        <item x="1261"/>
        <item x="929"/>
        <item x="959"/>
        <item x="581"/>
        <item x="1206"/>
        <item x="757"/>
        <item x="1403"/>
        <item x="289"/>
        <item x="413"/>
        <item x="1534"/>
        <item x="1418"/>
        <item x="726"/>
        <item x="1171"/>
        <item x="1133"/>
        <item x="424"/>
        <item x="291"/>
        <item x="612"/>
        <item x="421"/>
        <item x="1201"/>
        <item x="1123"/>
        <item x="3"/>
        <item x="416"/>
        <item x="335"/>
        <item x="387"/>
        <item x="1484"/>
        <item x="254"/>
        <item x="545"/>
        <item x="624"/>
        <item x="356"/>
        <item x="931"/>
        <item x="798"/>
        <item x="1094"/>
        <item x="607"/>
        <item x="391"/>
        <item x="264"/>
        <item x="13"/>
        <item x="1192"/>
        <item x="202"/>
        <item x="1150"/>
        <item x="882"/>
        <item x="1044"/>
        <item x="1227"/>
        <item x="973"/>
        <item x="526"/>
        <item x="167"/>
        <item x="946"/>
        <item x="830"/>
        <item x="484"/>
        <item x="1016"/>
        <item x="1294"/>
        <item x="1217"/>
        <item x="513"/>
        <item x="936"/>
        <item x="106"/>
        <item x="488"/>
        <item x="1108"/>
        <item x="1479"/>
        <item x="1344"/>
        <item x="350"/>
        <item x="662"/>
        <item x="588"/>
        <item x="159"/>
        <item x="554"/>
        <item x="699"/>
        <item x="295"/>
        <item x="910"/>
        <item x="370"/>
        <item x="214"/>
        <item x="69"/>
        <item x="359"/>
        <item x="749"/>
        <item x="944"/>
        <item x="221"/>
        <item x="113"/>
        <item x="9"/>
        <item x="570"/>
        <item x="647"/>
        <item x="650"/>
        <item x="426"/>
        <item x="212"/>
        <item x="901"/>
        <item x="366"/>
        <item x="1260"/>
        <item x="1381"/>
        <item x="278"/>
        <item x="520"/>
        <item x="223"/>
        <item x="1051"/>
        <item x="1174"/>
        <item x="710"/>
        <item x="654"/>
        <item x="482"/>
        <item x="398"/>
        <item x="1390"/>
        <item x="203"/>
        <item x="1384"/>
        <item x="1247"/>
        <item x="717"/>
        <item x="178"/>
        <item x="1322"/>
        <item x="1553"/>
        <item x="1315"/>
        <item x="527"/>
        <item x="276"/>
        <item x="259"/>
        <item x="1121"/>
        <item x="628"/>
        <item x="1355"/>
        <item x="1012"/>
        <item x="1097"/>
        <item x="837"/>
        <item x="960"/>
        <item x="905"/>
        <item x="98"/>
        <item x="145"/>
        <item x="888"/>
        <item x="1547"/>
        <item x="728"/>
        <item x="623"/>
        <item x="1229"/>
        <item x="477"/>
        <item x="997"/>
        <item x="1142"/>
        <item x="7"/>
        <item x="332"/>
        <item x="733"/>
        <item x="319"/>
        <item x="1179"/>
        <item x="1368"/>
        <item x="1522"/>
        <item x="739"/>
        <item x="1298"/>
        <item x="1528"/>
        <item x="156"/>
        <item x="1470"/>
        <item x="148"/>
        <item x="998"/>
        <item x="1218"/>
        <item x="485"/>
        <item x="688"/>
        <item x="1542"/>
        <item x="163"/>
        <item x="1170"/>
        <item x="589"/>
        <item x="483"/>
        <item x="552"/>
        <item x="974"/>
        <item x="1080"/>
        <item x="1309"/>
        <item x="1463"/>
        <item x="1545"/>
        <item x="23"/>
        <item x="1379"/>
        <item x="632"/>
        <item x="43"/>
        <item x="1295"/>
        <item x="1412"/>
        <item x="1310"/>
        <item x="1388"/>
        <item x="1582"/>
        <item x="1041"/>
        <item x="656"/>
        <item x="1365"/>
        <item x="969"/>
        <item x="996"/>
        <item x="1005"/>
        <item x="827"/>
        <item x="711"/>
        <item x="437"/>
        <item x="731"/>
        <item x="1564"/>
        <item x="1291"/>
        <item x="1398"/>
        <item x="1378"/>
        <item x="765"/>
        <item x="705"/>
        <item x="981"/>
        <item x="1212"/>
        <item x="164"/>
        <item x="764"/>
        <item x="993"/>
        <item x="730"/>
        <item x="908"/>
        <item x="1414"/>
        <item x="131"/>
        <item x="877"/>
        <item x="1200"/>
        <item x="460"/>
        <item x="826"/>
        <item x="444"/>
        <item x="595"/>
        <item x="275"/>
        <item x="92"/>
        <item x="104"/>
        <item x="724"/>
        <item x="1313"/>
        <item x="1013"/>
        <item x="1465"/>
        <item x="1161"/>
        <item x="774"/>
        <item x="565"/>
        <item x="619"/>
        <item x="1356"/>
        <item x="538"/>
        <item x="88"/>
        <item x="1530"/>
        <item x="1358"/>
        <item x="365"/>
        <item x="1343"/>
        <item x="454"/>
        <item x="1028"/>
        <item x="860"/>
        <item x="399"/>
        <item x="182"/>
        <item x="1156"/>
        <item x="431"/>
        <item x="1243"/>
        <item x="990"/>
        <item x="875"/>
        <item x="574"/>
        <item x="427"/>
        <item x="1518"/>
        <item x="430"/>
        <item x="856"/>
        <item x="1521"/>
        <item x="362"/>
        <item x="119"/>
        <item x="1240"/>
        <item x="1419"/>
        <item x="251"/>
        <item x="859"/>
        <item x="1015"/>
        <item x="1250"/>
        <item x="1505"/>
        <item x="1573"/>
        <item x="1400"/>
        <item x="1263"/>
        <item x="722"/>
        <item x="679"/>
        <item x="1191"/>
        <item x="1357"/>
        <item x="771"/>
        <item x="1541"/>
        <item x="369"/>
        <item x="1543"/>
        <item x="982"/>
        <item x="125"/>
        <item x="1036"/>
        <item x="1302"/>
        <item x="310"/>
        <item x="1025"/>
        <item x="541"/>
        <item x="1466"/>
        <item x="1338"/>
        <item x="814"/>
        <item x="897"/>
        <item x="1195"/>
        <item x="1031"/>
        <item x="1499"/>
        <item x="469"/>
        <item x="894"/>
        <item x="173"/>
        <item x="187"/>
        <item x="887"/>
        <item x="617"/>
        <item x="79"/>
        <item x="1063"/>
        <item x="1520"/>
        <item x="627"/>
        <item x="37"/>
        <item x="926"/>
        <item x="1288"/>
        <item x="188"/>
        <item x="1073"/>
        <item x="1453"/>
        <item x="892"/>
        <item x="1560"/>
        <item x="500"/>
        <item x="550"/>
        <item x="262"/>
        <item x="866"/>
        <item x="967"/>
        <item x="697"/>
        <item x="515"/>
        <item x="602"/>
        <item x="170"/>
        <item x="611"/>
        <item x="1537"/>
        <item x="1395"/>
        <item x="85"/>
        <item x="142"/>
        <item x="599"/>
        <item x="606"/>
        <item x="1027"/>
        <item x="1018"/>
        <item x="1387"/>
        <item x="652"/>
        <item x="1042"/>
        <item x="1495"/>
        <item x="1182"/>
        <item x="473"/>
        <item x="445"/>
        <item x="855"/>
        <item x="1570"/>
        <item x="418"/>
        <item x="582"/>
        <item x="682"/>
        <item x="68"/>
        <item x="171"/>
        <item x="1549"/>
        <item x="476"/>
        <item x="1204"/>
        <item x="29"/>
        <item x="461"/>
        <item x="925"/>
        <item x="297"/>
        <item x="91"/>
        <item x="1415"/>
        <item x="1469"/>
        <item x="1594"/>
        <item x="1404"/>
        <item x="466"/>
        <item x="626"/>
        <item x="357"/>
        <item x="753"/>
        <item x="613"/>
        <item x="194"/>
        <item x="911"/>
        <item x="1587"/>
        <item x="414"/>
        <item x="41"/>
        <item x="535"/>
        <item x="1363"/>
        <item x="1238"/>
        <item x="1491"/>
        <item x="336"/>
        <item x="384"/>
        <item x="361"/>
        <item x="318"/>
        <item x="840"/>
        <item x="518"/>
        <item x="44"/>
        <item x="90"/>
        <item x="744"/>
        <item x="109"/>
        <item x="833"/>
        <item x="708"/>
        <item x="555"/>
        <item x="330"/>
        <item x="916"/>
        <item x="1014"/>
        <item x="1222"/>
        <item x="137"/>
        <item x="999"/>
        <item x="631"/>
        <item x="1048"/>
        <item x="1516"/>
        <item x="1187"/>
        <item x="781"/>
        <item x="1058"/>
        <item x="1266"/>
        <item x="872"/>
        <item x="204"/>
        <item x="1021"/>
        <item x="493"/>
        <item x="72"/>
        <item x="723"/>
        <item x="761"/>
        <item x="1526"/>
        <item x="213"/>
        <item x="1"/>
        <item x="900"/>
        <item x="39"/>
        <item x="721"/>
        <item x="1089"/>
        <item x="641"/>
        <item x="1070"/>
        <item x="18"/>
        <item x="793"/>
        <item x="1062"/>
        <item x="532"/>
        <item x="60"/>
        <item x="975"/>
        <item x="354"/>
        <item x="338"/>
        <item x="1402"/>
        <item x="947"/>
        <item x="1498"/>
        <item x="273"/>
        <item x="285"/>
        <item x="1199"/>
        <item x="736"/>
        <item x="1345"/>
        <item x="1066"/>
        <item x="1275"/>
        <item x="821"/>
        <item x="912"/>
        <item x="76"/>
        <item x="337"/>
        <item x="942"/>
        <item x="669"/>
        <item x="331"/>
        <item x="842"/>
        <item x="1567"/>
        <item x="1474"/>
        <item x="1471"/>
        <item x="1155"/>
        <item x="258"/>
        <item x="1001"/>
        <item x="343"/>
        <item x="1431"/>
        <item x="608"/>
        <item x="563"/>
        <item x="1299"/>
        <item x="593"/>
        <item x="265"/>
        <item x="703"/>
        <item x="811"/>
        <item x="689"/>
        <item x="1585"/>
        <item x="224"/>
        <item x="367"/>
        <item x="408"/>
        <item x="1281"/>
        <item x="1425"/>
        <item x="1317"/>
        <item x="1335"/>
        <item x="455"/>
        <item x="199"/>
        <item x="985"/>
        <item x="183"/>
        <item x="176"/>
        <item x="284"/>
        <item x="1501"/>
        <item x="712"/>
        <item x="1216"/>
        <item x="509"/>
        <item x="134"/>
        <item x="738"/>
        <item x="1160"/>
        <item x="1393"/>
        <item x="162"/>
        <item x="839"/>
        <item x="614"/>
        <item x="1237"/>
        <item x="1443"/>
        <item x="130"/>
        <item x="371"/>
        <item x="508"/>
        <item x="1473"/>
        <item x="374"/>
        <item x="1112"/>
        <item x="4"/>
        <item x="1017"/>
        <item x="1088"/>
        <item x="1117"/>
        <item x="649"/>
        <item x="763"/>
        <item x="355"/>
        <item x="523"/>
        <item x="1427"/>
        <item x="616"/>
        <item x="1231"/>
        <item x="547"/>
        <item x="1188"/>
        <item x="186"/>
        <item x="1019"/>
        <item x="772"/>
        <item x="490"/>
        <item x="1337"/>
        <item x="871"/>
        <item x="1086"/>
        <item x="95"/>
        <item x="292"/>
        <item x="1554"/>
        <item x="140"/>
        <item x="196"/>
        <item x="924"/>
        <item x="1270"/>
        <item x="256"/>
        <item x="564"/>
        <item x="46"/>
        <item x="233"/>
        <item x="1284"/>
        <item x="994"/>
        <item x="1430"/>
        <item x="537"/>
        <item x="1003"/>
        <item x="222"/>
        <item x="174"/>
        <item x="971"/>
        <item x="385"/>
        <item x="813"/>
        <item x="1151"/>
        <item x="1267"/>
        <item x="49"/>
        <item x="1328"/>
        <item x="1333"/>
        <item x="869"/>
        <item x="548"/>
        <item x="1220"/>
        <item x="1057"/>
        <item x="1421"/>
        <item x="5"/>
        <item x="988"/>
        <item x="329"/>
        <item x="160"/>
        <item x="1406"/>
        <item x="122"/>
        <item x="1126"/>
        <item x="919"/>
        <item x="1285"/>
        <item x="67"/>
        <item x="938"/>
        <item x="349"/>
        <item x="519"/>
        <item x="6"/>
        <item x="1102"/>
        <item x="596"/>
        <item x="629"/>
        <item x="320"/>
        <item x="1394"/>
        <item x="175"/>
        <item x="86"/>
        <item x="976"/>
        <item x="915"/>
        <item x="675"/>
        <item x="1168"/>
        <item x="316"/>
        <item x="1413"/>
        <item x="637"/>
        <item x="198"/>
        <item x="381"/>
        <item x="141"/>
        <item x="1141"/>
        <item x="625"/>
        <item x="560"/>
        <item x="35"/>
        <item x="1325"/>
        <item x="1551"/>
        <item x="191"/>
        <item x="1532"/>
        <item x="1000"/>
        <item x="1172"/>
        <item x="1433"/>
        <item x="512"/>
        <item x="604"/>
        <item x="32"/>
        <item x="566"/>
        <item x="1314"/>
        <item x="937"/>
        <item x="340"/>
        <item x="502"/>
        <item x="1426"/>
        <item x="1289"/>
        <item x="449"/>
        <item x="1149"/>
        <item x="1037"/>
        <item x="124"/>
        <item x="62"/>
        <item x="1486"/>
        <item x="807"/>
        <item x="1455"/>
        <item x="1579"/>
        <item x="1475"/>
        <item x="896"/>
        <item x="1269"/>
        <item x="1144"/>
        <item x="1085"/>
        <item x="666"/>
        <item x="1407"/>
        <item x="300"/>
        <item x="1511"/>
        <item x="790"/>
        <item x="1572"/>
        <item x="293"/>
        <item x="1588"/>
        <item x="1422"/>
        <item x="568"/>
        <item x="147"/>
        <item x="244"/>
        <item x="15"/>
        <item x="190"/>
        <item x="272"/>
        <item x="770"/>
        <item x="309"/>
        <item x="1293"/>
        <item x="978"/>
        <item x="633"/>
        <item x="759"/>
        <item x="670"/>
        <item x="74"/>
        <item x="1462"/>
        <item x="328"/>
        <item x="950"/>
        <item x="1203"/>
        <item x="559"/>
        <item x="1052"/>
        <item x="634"/>
        <item x="1065"/>
        <item x="927"/>
        <item x="304"/>
        <item x="1082"/>
        <item x="80"/>
        <item x="1228"/>
        <item x="906"/>
        <item x="298"/>
        <item x="1026"/>
        <item x="396"/>
        <item x="1098"/>
        <item x="1131"/>
        <item x="55"/>
        <item x="899"/>
        <item x="907"/>
        <item x="333"/>
        <item x="70"/>
        <item x="168"/>
        <item x="848"/>
        <item x="1101"/>
        <item x="348"/>
        <item x="767"/>
        <item x="1210"/>
        <item x="1485"/>
        <item x="1517"/>
        <item x="40"/>
        <item x="578"/>
        <item x="719"/>
        <item x="1276"/>
        <item x="447"/>
        <item x="458"/>
        <item x="1273"/>
        <item x="1583"/>
        <item x="504"/>
        <item x="439"/>
        <item x="584"/>
        <item x="468"/>
        <item x="94"/>
        <item x="412"/>
        <item x="841"/>
        <item x="1326"/>
        <item x="243"/>
        <item x="933"/>
        <item x="351"/>
        <item x="1033"/>
        <item x="601"/>
        <item x="216"/>
        <item x="644"/>
        <item x="448"/>
        <item x="1561"/>
        <item x="1354"/>
        <item x="195"/>
        <item x="713"/>
        <item x="363"/>
        <item x="429"/>
        <item x="808"/>
        <item x="144"/>
        <item x="1598"/>
        <item x="1576"/>
        <item x="136"/>
        <item x="1245"/>
        <item x="1444"/>
        <item x="661"/>
        <item x="1411"/>
        <item x="1099"/>
        <item x="1531"/>
        <item x="135"/>
        <item x="226"/>
        <item x="1129"/>
        <item x="234"/>
        <item x="785"/>
        <item x="1208"/>
        <item x="1104"/>
        <item x="681"/>
        <item x="569"/>
        <item x="773"/>
        <item x="347"/>
        <item x="895"/>
        <item x="1324"/>
        <item x="250"/>
        <item x="1075"/>
        <item x="746"/>
        <item x="218"/>
        <item x="890"/>
        <item x="17"/>
        <item x="686"/>
        <item x="881"/>
        <item x="820"/>
        <item x="1488"/>
        <item x="456"/>
        <item x="561"/>
        <item x="1125"/>
        <item x="27"/>
        <item x="1093"/>
        <item x="750"/>
        <item x="806"/>
        <item x="551"/>
        <item x="949"/>
        <item x="529"/>
        <item x="1181"/>
        <item x="540"/>
        <item x="462"/>
        <item x="99"/>
        <item x="671"/>
        <item x="1277"/>
        <item x="286"/>
        <item x="941"/>
        <item x="979"/>
        <item x="496"/>
        <item x="594"/>
        <item x="208"/>
        <item x="803"/>
        <item x="940"/>
        <item x="120"/>
        <item x="1502"/>
        <item x="683"/>
        <item x="75"/>
        <item x="893"/>
        <item x="63"/>
        <item x="768"/>
        <item x="321"/>
        <item x="1053"/>
        <item x="382"/>
        <item x="1535"/>
        <item x="1124"/>
        <item x="1090"/>
        <item x="986"/>
        <item x="687"/>
        <item x="1386"/>
        <item x="725"/>
        <item x="1196"/>
        <item x="47"/>
        <item x="138"/>
        <item x="440"/>
        <item x="709"/>
        <item x="71"/>
        <item x="639"/>
        <item x="886"/>
        <item x="1100"/>
        <item x="698"/>
        <item x="308"/>
        <item x="146"/>
        <item x="544"/>
        <item x="19"/>
        <item x="1459"/>
        <item x="598"/>
        <item x="247"/>
        <item x="1529"/>
        <item x="58"/>
        <item x="665"/>
        <item x="729"/>
        <item x="1128"/>
        <item x="277"/>
        <item x="955"/>
        <item x="638"/>
        <item x="660"/>
        <item x="1283"/>
        <item x="536"/>
        <item x="586"/>
        <item x="1492"/>
        <item x="800"/>
        <item x="1483"/>
        <item x="403"/>
        <item x="1506"/>
        <item x="1311"/>
        <item x="345"/>
        <item x="522"/>
        <item x="1074"/>
        <item x="743"/>
        <item x="1336"/>
        <item x="591"/>
        <item x="211"/>
        <item x="442"/>
        <item x="1556"/>
        <item x="1137"/>
        <item x="1558"/>
        <item x="150"/>
        <item x="12"/>
        <item x="1292"/>
        <item x="659"/>
        <item x="1456"/>
        <item x="1503"/>
        <item x="1487"/>
        <item x="1568"/>
        <item x="34"/>
        <item x="963"/>
        <item x="317"/>
        <item x="680"/>
        <item x="762"/>
        <item x="200"/>
        <item x="1254"/>
        <item x="81"/>
        <item x="977"/>
        <item x="1114"/>
        <item x="718"/>
        <item x="528"/>
        <item x="121"/>
        <item x="392"/>
        <item x="210"/>
        <item x="360"/>
        <item x="1360"/>
        <item x="1146"/>
        <item x="177"/>
        <item x="587"/>
        <item x="288"/>
        <item x="307"/>
        <item x="433"/>
        <item x="1350"/>
        <item x="64"/>
        <item x="1061"/>
        <item x="1536"/>
        <item x="1577"/>
        <item x="492"/>
        <item x="28"/>
        <item x="1158"/>
        <item x="352"/>
        <item x="139"/>
        <item x="305"/>
        <item x="358"/>
        <item x="261"/>
        <item x="1441"/>
        <item x="59"/>
        <item x="465"/>
        <item x="1043"/>
        <item x="470"/>
        <item x="517"/>
        <item x="1546"/>
        <item x="923"/>
        <item x="1105"/>
        <item x="1308"/>
        <item x="1489"/>
        <item x="315"/>
        <item x="193"/>
        <item x="238"/>
        <item x="1262"/>
        <item x="1578"/>
        <item x="615"/>
        <item x="464"/>
        <item x="843"/>
        <item x="486"/>
        <item x="249"/>
        <item x="1148"/>
        <item x="921"/>
        <item x="521"/>
        <item x="1232"/>
        <item x="903"/>
        <item x="197"/>
        <item x="1011"/>
        <item x="779"/>
        <item x="572"/>
        <item x="745"/>
        <item x="530"/>
        <item x="1348"/>
        <item x="463"/>
        <item x="1219"/>
        <item x="805"/>
        <item x="283"/>
        <item x="1081"/>
        <item x="678"/>
        <item x="643"/>
        <item x="14"/>
        <item x="1135"/>
        <item x="1268"/>
        <item x="880"/>
        <item x="1481"/>
        <item x="789"/>
        <item x="1030"/>
        <item x="1084"/>
        <item x="1153"/>
        <item x="1472"/>
        <item x="25"/>
        <item x="815"/>
        <item x="314"/>
        <item x="514"/>
        <item x="964"/>
        <item x="1224"/>
        <item x="1024"/>
        <item x="945"/>
        <item x="1373"/>
        <item x="287"/>
        <item x="1477"/>
        <item x="706"/>
        <item x="1377"/>
        <item x="129"/>
        <item x="1435"/>
        <item x="1064"/>
        <item x="1399"/>
        <item x="1032"/>
        <item x="1138"/>
        <item x="1476"/>
        <item x="169"/>
        <item x="1265"/>
        <item x="1020"/>
        <item x="735"/>
        <item x="692"/>
        <item x="861"/>
        <item x="1565"/>
        <item x="1329"/>
        <item x="958"/>
        <item x="885"/>
        <item x="786"/>
        <item x="748"/>
        <item x="1396"/>
        <item x="1166"/>
        <item x="52"/>
        <item x="1397"/>
        <item x="1234"/>
        <item x="657"/>
        <item x="353"/>
        <item x="1586"/>
        <item x="1177"/>
        <item x="1136"/>
        <item x="1464"/>
        <item x="11"/>
        <item x="26"/>
        <item x="1258"/>
        <item x="1047"/>
        <item x="245"/>
        <item t="default"/>
      </items>
    </pivotField>
    <pivotField numFmtId="164" showAll="0">
      <items count="169">
        <item x="154"/>
        <item x="13"/>
        <item x="46"/>
        <item x="160"/>
        <item x="98"/>
        <item x="146"/>
        <item x="20"/>
        <item x="37"/>
        <item x="159"/>
        <item x="86"/>
        <item x="18"/>
        <item x="122"/>
        <item x="3"/>
        <item x="51"/>
        <item x="126"/>
        <item x="139"/>
        <item x="53"/>
        <item x="88"/>
        <item x="96"/>
        <item x="110"/>
        <item x="35"/>
        <item x="0"/>
        <item x="75"/>
        <item x="93"/>
        <item x="7"/>
        <item x="123"/>
        <item x="76"/>
        <item x="99"/>
        <item x="25"/>
        <item x="95"/>
        <item x="11"/>
        <item x="27"/>
        <item x="8"/>
        <item x="121"/>
        <item x="153"/>
        <item x="84"/>
        <item x="54"/>
        <item x="114"/>
        <item x="74"/>
        <item x="83"/>
        <item x="50"/>
        <item x="152"/>
        <item x="66"/>
        <item x="165"/>
        <item x="129"/>
        <item x="151"/>
        <item x="21"/>
        <item x="133"/>
        <item x="14"/>
        <item x="97"/>
        <item x="92"/>
        <item x="135"/>
        <item x="167"/>
        <item x="26"/>
        <item x="150"/>
        <item x="23"/>
        <item x="60"/>
        <item x="112"/>
        <item x="134"/>
        <item x="157"/>
        <item x="31"/>
        <item x="38"/>
        <item x="104"/>
        <item x="155"/>
        <item x="89"/>
        <item x="73"/>
        <item x="136"/>
        <item x="125"/>
        <item x="33"/>
        <item x="6"/>
        <item x="130"/>
        <item x="67"/>
        <item x="142"/>
        <item x="111"/>
        <item x="22"/>
        <item x="65"/>
        <item x="124"/>
        <item x="131"/>
        <item x="87"/>
        <item x="5"/>
        <item x="48"/>
        <item x="78"/>
        <item x="100"/>
        <item x="58"/>
        <item x="45"/>
        <item x="79"/>
        <item x="24"/>
        <item x="162"/>
        <item x="94"/>
        <item x="30"/>
        <item x="102"/>
        <item x="70"/>
        <item x="44"/>
        <item x="103"/>
        <item x="28"/>
        <item x="91"/>
        <item x="161"/>
        <item x="163"/>
        <item x="132"/>
        <item x="4"/>
        <item x="113"/>
        <item x="63"/>
        <item x="106"/>
        <item x="108"/>
        <item x="80"/>
        <item x="137"/>
        <item x="55"/>
        <item x="128"/>
        <item x="144"/>
        <item x="43"/>
        <item x="85"/>
        <item x="116"/>
        <item x="47"/>
        <item x="15"/>
        <item x="101"/>
        <item x="40"/>
        <item x="149"/>
        <item x="115"/>
        <item x="148"/>
        <item x="69"/>
        <item x="143"/>
        <item x="36"/>
        <item x="34"/>
        <item x="156"/>
        <item x="19"/>
        <item x="82"/>
        <item x="158"/>
        <item x="141"/>
        <item x="64"/>
        <item x="77"/>
        <item x="59"/>
        <item x="39"/>
        <item x="32"/>
        <item x="120"/>
        <item x="2"/>
        <item x="117"/>
        <item x="138"/>
        <item x="42"/>
        <item x="81"/>
        <item x="127"/>
        <item x="56"/>
        <item x="17"/>
        <item x="107"/>
        <item x="16"/>
        <item x="12"/>
        <item x="164"/>
        <item x="166"/>
        <item x="118"/>
        <item x="68"/>
        <item x="1"/>
        <item x="9"/>
        <item x="52"/>
        <item x="145"/>
        <item x="71"/>
        <item x="140"/>
        <item x="29"/>
        <item x="61"/>
        <item x="109"/>
        <item x="105"/>
        <item x="10"/>
        <item x="49"/>
        <item x="90"/>
        <item x="57"/>
        <item x="72"/>
        <item x="41"/>
        <item x="119"/>
        <item x="62"/>
        <item x="147"/>
        <item t="default"/>
      </items>
    </pivotField>
    <pivotField showAll="0">
      <items count="8">
        <item x="6"/>
        <item x="0"/>
        <item x="3"/>
        <item x="2"/>
        <item x="1"/>
        <item x="4"/>
        <item x="5"/>
        <item t="default"/>
      </items>
    </pivotField>
    <pivotField showAll="0"/>
    <pivotField showAll="0">
      <items count="9">
        <item x="6"/>
        <item x="3"/>
        <item x="1"/>
        <item x="2"/>
        <item x="0"/>
        <item x="4"/>
        <item x="7"/>
        <item x="5"/>
        <item t="default"/>
      </items>
    </pivotField>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axis="axisRow" multipleItemSelectionAllowed="1" showAll="0">
      <items count="6">
        <item x="1"/>
        <item x="2"/>
        <item x="0"/>
        <item x="4"/>
        <item x="3"/>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6"/>
  </rowFields>
  <rowItems count="6">
    <i>
      <x/>
    </i>
    <i>
      <x v="1"/>
    </i>
    <i>
      <x v="2"/>
    </i>
    <i>
      <x v="3"/>
    </i>
    <i>
      <x v="4"/>
    </i>
    <i t="grand">
      <x/>
    </i>
  </rowItems>
  <colItems count="1">
    <i/>
  </colItems>
  <dataFields count="1">
    <dataField name="Count of ShipmentID" fld="0" subtotal="count" baseField="0" baseItem="0"/>
  </dataFields>
  <formats count="2">
    <format dxfId="6">
      <pivotArea outline="0" collapsedLevelsAreSubtotals="1" fieldPosition="0"/>
    </format>
    <format dxfId="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D90C579-C731-4A42-B3F9-870DBEB9905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188" firstHeaderRow="0" firstDataRow="0" firstDataCol="0" rowPageCount="1" colPageCount="1"/>
  <pivotFields count="22">
    <pivotField showAll="0">
      <items count="1601">
        <item x="1540"/>
        <item x="1248"/>
        <item x="597"/>
        <item x="280"/>
        <item x="1205"/>
        <item x="1145"/>
        <item x="255"/>
        <item x="1544"/>
        <item x="845"/>
        <item x="1197"/>
        <item x="600"/>
        <item x="511"/>
        <item x="1330"/>
        <item x="472"/>
        <item x="737"/>
        <item x="78"/>
        <item x="324"/>
        <item x="1467"/>
        <item x="1347"/>
        <item x="450"/>
        <item x="378"/>
        <item x="61"/>
        <item x="1375"/>
        <item x="110"/>
        <item x="107"/>
        <item x="165"/>
        <item x="720"/>
        <item x="567"/>
        <item x="406"/>
        <item x="123"/>
        <item x="506"/>
        <item x="1512"/>
        <item x="311"/>
        <item x="1242"/>
        <item x="1140"/>
        <item x="1494"/>
        <item x="732"/>
        <item x="1437"/>
        <item x="1167"/>
        <item x="16"/>
        <item x="590"/>
        <item x="10"/>
        <item x="685"/>
        <item x="1493"/>
        <item x="344"/>
        <item x="108"/>
        <item x="1523"/>
        <item x="1096"/>
        <item x="1405"/>
        <item x="397"/>
        <item x="573"/>
        <item x="239"/>
        <item x="268"/>
        <item x="154"/>
        <item x="796"/>
        <item x="510"/>
        <item x="326"/>
        <item x="373"/>
        <item x="684"/>
        <item x="889"/>
        <item x="1303"/>
        <item x="1183"/>
        <item x="640"/>
        <item x="1008"/>
        <item x="507"/>
        <item x="1186"/>
        <item x="1340"/>
        <item x="883"/>
        <item x="1092"/>
        <item x="562"/>
        <item x="987"/>
        <item x="339"/>
        <item x="232"/>
        <item x="1366"/>
        <item x="1071"/>
        <item x="201"/>
        <item x="1351"/>
        <item x="1106"/>
        <item x="968"/>
        <item x="794"/>
        <item x="1189"/>
        <item x="1318"/>
        <item x="1548"/>
        <item x="809"/>
        <item x="802"/>
        <item x="934"/>
        <item x="260"/>
        <item x="1440"/>
        <item x="677"/>
        <item x="1448"/>
        <item x="1370"/>
        <item x="112"/>
        <item x="1109"/>
        <item x="33"/>
        <item x="1271"/>
        <item x="1352"/>
        <item x="609"/>
        <item x="327"/>
        <item x="1113"/>
        <item x="1300"/>
        <item x="864"/>
        <item x="266"/>
        <item x="1331"/>
        <item x="503"/>
        <item x="334"/>
        <item x="1496"/>
        <item x="207"/>
        <item x="495"/>
        <item x="1107"/>
        <item x="267"/>
        <item x="313"/>
        <item x="84"/>
        <item x="479"/>
        <item x="346"/>
        <item x="867"/>
        <item x="876"/>
        <item x="1353"/>
        <item x="1346"/>
        <item x="2"/>
        <item x="1274"/>
        <item x="741"/>
        <item x="579"/>
        <item x="1527"/>
        <item x="935"/>
        <item x="322"/>
        <item x="101"/>
        <item x="467"/>
        <item x="235"/>
        <item x="825"/>
        <item x="525"/>
        <item x="1039"/>
        <item x="1083"/>
        <item x="53"/>
        <item x="539"/>
        <item x="704"/>
        <item x="1023"/>
        <item x="819"/>
        <item x="909"/>
        <item x="407"/>
        <item x="1055"/>
        <item x="1515"/>
        <item x="980"/>
        <item x="1451"/>
        <item x="419"/>
        <item x="229"/>
        <item x="230"/>
        <item x="252"/>
        <item x="242"/>
        <item x="1046"/>
        <item x="405"/>
        <item x="1103"/>
        <item x="812"/>
        <item x="342"/>
        <item x="1319"/>
        <item x="1251"/>
        <item x="636"/>
        <item x="410"/>
        <item x="411"/>
        <item x="642"/>
        <item x="459"/>
        <item x="1278"/>
        <item x="989"/>
        <item x="734"/>
        <item x="824"/>
        <item x="857"/>
        <item x="760"/>
        <item x="1111"/>
        <item x="219"/>
        <item x="1038"/>
        <item x="758"/>
        <item x="702"/>
        <item x="844"/>
        <item x="1380"/>
        <item x="1376"/>
        <item x="1482"/>
        <item x="205"/>
        <item x="898"/>
        <item x="132"/>
        <item x="1571"/>
        <item x="1054"/>
        <item x="791"/>
        <item x="1214"/>
        <item x="862"/>
        <item x="1297"/>
        <item x="457"/>
        <item x="755"/>
        <item x="801"/>
        <item x="481"/>
        <item x="776"/>
        <item x="930"/>
        <item x="422"/>
        <item x="954"/>
        <item x="246"/>
        <item x="474"/>
        <item x="487"/>
        <item x="804"/>
        <item x="1513"/>
        <item x="1429"/>
        <item x="301"/>
        <item x="1596"/>
        <item x="1304"/>
        <item x="87"/>
        <item x="775"/>
        <item x="922"/>
        <item x="1514"/>
        <item x="1593"/>
        <item x="534"/>
        <item x="1563"/>
        <item x="1180"/>
        <item x="970"/>
        <item x="1076"/>
        <item x="423"/>
        <item x="1447"/>
        <item x="1194"/>
        <item x="20"/>
        <item x="1163"/>
        <item x="1002"/>
        <item x="38"/>
        <item x="1193"/>
        <item x="1147"/>
        <item x="415"/>
        <item x="1154"/>
        <item x="57"/>
        <item x="1592"/>
        <item x="206"/>
        <item x="943"/>
        <item x="77"/>
        <item x="1198"/>
        <item x="1162"/>
        <item x="209"/>
        <item x="668"/>
        <item x="754"/>
        <item x="116"/>
        <item x="389"/>
        <item x="228"/>
        <item x="179"/>
        <item x="1575"/>
        <item x="1320"/>
        <item x="436"/>
        <item x="97"/>
        <item x="404"/>
        <item x="904"/>
        <item x="1190"/>
        <item x="951"/>
        <item x="1241"/>
        <item x="149"/>
        <item x="497"/>
        <item x="769"/>
        <item x="0"/>
        <item x="1504"/>
        <item x="1538"/>
        <item x="1508"/>
        <item x="376"/>
        <item x="1255"/>
        <item x="1185"/>
        <item x="1006"/>
        <item x="1034"/>
        <item x="1359"/>
        <item x="432"/>
        <item x="621"/>
        <item x="143"/>
        <item x="1524"/>
        <item x="172"/>
        <item x="478"/>
        <item x="1122"/>
        <item x="65"/>
        <item x="1438"/>
        <item x="31"/>
        <item x="1410"/>
        <item x="1118"/>
        <item x="114"/>
        <item x="580"/>
        <item x="956"/>
        <item x="279"/>
        <item x="269"/>
        <item x="1173"/>
        <item x="158"/>
        <item x="846"/>
        <item x="822"/>
        <item x="1143"/>
        <item x="1264"/>
        <item x="1069"/>
        <item x="658"/>
        <item x="30"/>
        <item x="902"/>
        <item x="402"/>
        <item x="1580"/>
        <item x="1509"/>
        <item x="1327"/>
        <item x="1550"/>
        <item x="1257"/>
        <item x="1077"/>
        <item x="302"/>
        <item x="215"/>
        <item x="952"/>
        <item x="96"/>
        <item x="546"/>
        <item x="891"/>
        <item x="100"/>
        <item x="575"/>
        <item x="1157"/>
        <item x="1236"/>
        <item x="831"/>
        <item x="400"/>
        <item x="868"/>
        <item x="499"/>
        <item x="428"/>
        <item x="795"/>
        <item x="1589"/>
        <item x="972"/>
        <item x="1159"/>
        <item x="516"/>
        <item x="549"/>
        <item x="1478"/>
        <item x="118"/>
        <item x="1280"/>
        <item x="630"/>
        <item x="874"/>
        <item x="1009"/>
        <item x="54"/>
        <item x="1450"/>
        <item x="651"/>
        <item x="380"/>
        <item x="294"/>
        <item x="1120"/>
        <item x="383"/>
        <item x="853"/>
        <item x="1591"/>
        <item x="673"/>
        <item x="102"/>
        <item x="1176"/>
        <item x="1461"/>
        <item x="1323"/>
        <item x="914"/>
        <item x="832"/>
        <item x="1282"/>
        <item x="274"/>
        <item x="1305"/>
        <item x="271"/>
        <item x="480"/>
        <item x="471"/>
        <item x="1259"/>
        <item x="1256"/>
        <item x="494"/>
        <item x="577"/>
        <item x="524"/>
        <item x="932"/>
        <item x="1287"/>
        <item x="1321"/>
        <item x="1134"/>
        <item x="667"/>
        <item x="253"/>
        <item x="1213"/>
        <item x="870"/>
        <item x="1059"/>
        <item x="42"/>
        <item x="1215"/>
        <item x="1434"/>
        <item x="388"/>
        <item x="1349"/>
        <item x="290"/>
        <item x="1416"/>
        <item x="1446"/>
        <item x="227"/>
        <item x="1490"/>
        <item x="1401"/>
        <item x="1202"/>
        <item x="863"/>
        <item x="787"/>
        <item x="777"/>
        <item x="696"/>
        <item x="105"/>
        <item x="1072"/>
        <item x="489"/>
        <item x="1389"/>
        <item x="747"/>
        <item x="438"/>
        <item x="441"/>
        <item x="742"/>
        <item x="1239"/>
        <item x="1004"/>
        <item x="818"/>
        <item x="1460"/>
        <item x="917"/>
        <item x="1420"/>
        <item x="1557"/>
        <item x="83"/>
        <item x="695"/>
        <item x="928"/>
        <item x="823"/>
        <item x="240"/>
        <item x="1290"/>
        <item x="281"/>
        <item x="1500"/>
        <item x="446"/>
        <item x="690"/>
        <item x="1279"/>
        <item x="498"/>
        <item x="1423"/>
        <item x="829"/>
        <item x="24"/>
        <item x="45"/>
        <item x="792"/>
        <item x="263"/>
        <item x="8"/>
        <item x="1040"/>
        <item x="257"/>
        <item x="395"/>
        <item x="1060"/>
        <item x="1095"/>
        <item x="851"/>
        <item x="1249"/>
        <item x="834"/>
        <item x="854"/>
        <item x="1230"/>
        <item x="1507"/>
        <item x="1049"/>
        <item x="1449"/>
        <item x="161"/>
        <item x="1184"/>
        <item x="1555"/>
        <item x="1116"/>
        <item x="1574"/>
        <item x="1424"/>
        <item x="965"/>
        <item x="751"/>
        <item x="434"/>
        <item x="166"/>
        <item x="303"/>
        <item x="983"/>
        <item x="1439"/>
        <item x="1595"/>
        <item x="1306"/>
        <item x="1045"/>
        <item x="817"/>
        <item x="56"/>
        <item x="325"/>
        <item x="225"/>
        <item x="1432"/>
        <item x="939"/>
        <item x="1050"/>
        <item x="393"/>
        <item x="1371"/>
        <item x="1087"/>
        <item x="1457"/>
        <item x="409"/>
        <item x="1110"/>
        <item x="1361"/>
        <item x="664"/>
        <item x="648"/>
        <item x="962"/>
        <item x="21"/>
        <item x="1029"/>
        <item x="152"/>
        <item x="1164"/>
        <item x="884"/>
        <item x="783"/>
        <item x="1569"/>
        <item x="1584"/>
        <item x="236"/>
        <item x="1091"/>
        <item x="50"/>
        <item x="1119"/>
        <item x="231"/>
        <item x="1312"/>
        <item x="241"/>
        <item x="583"/>
        <item x="36"/>
        <item x="592"/>
        <item x="390"/>
        <item x="1178"/>
        <item x="312"/>
        <item x="1452"/>
        <item x="797"/>
        <item x="1235"/>
        <item x="180"/>
        <item x="553"/>
        <item x="1127"/>
        <item x="1244"/>
        <item x="571"/>
        <item x="22"/>
        <item x="217"/>
        <item x="1226"/>
        <item x="1391"/>
        <item x="501"/>
        <item x="379"/>
        <item x="1253"/>
        <item x="1385"/>
        <item x="838"/>
        <item x="913"/>
        <item x="184"/>
        <item x="558"/>
        <item x="873"/>
        <item x="646"/>
        <item x="1334"/>
        <item x="693"/>
        <item x="1552"/>
        <item x="920"/>
        <item x="1383"/>
        <item x="1209"/>
        <item x="852"/>
        <item x="542"/>
        <item x="151"/>
        <item x="966"/>
        <item x="1035"/>
        <item x="1068"/>
        <item x="784"/>
        <item x="1286"/>
        <item x="727"/>
        <item x="296"/>
        <item x="992"/>
        <item x="237"/>
        <item x="1233"/>
        <item x="1316"/>
        <item x="645"/>
        <item x="849"/>
        <item x="1364"/>
        <item x="618"/>
        <item x="192"/>
        <item x="425"/>
        <item x="603"/>
        <item x="1408"/>
        <item x="672"/>
        <item x="543"/>
        <item x="780"/>
        <item x="655"/>
        <item x="1342"/>
        <item x="1562"/>
        <item x="1392"/>
        <item x="282"/>
        <item x="452"/>
        <item x="82"/>
        <item x="1362"/>
        <item x="1307"/>
        <item x="341"/>
        <item x="127"/>
        <item x="1442"/>
        <item x="533"/>
        <item x="850"/>
        <item x="1165"/>
        <item x="417"/>
        <item x="1519"/>
        <item x="1132"/>
        <item x="491"/>
        <item x="1207"/>
        <item x="1223"/>
        <item x="1067"/>
        <item x="716"/>
        <item x="1139"/>
        <item x="1221"/>
        <item x="372"/>
        <item x="663"/>
        <item x="157"/>
        <item x="676"/>
        <item x="401"/>
        <item x="220"/>
        <item x="51"/>
        <item x="828"/>
        <item x="1581"/>
        <item x="386"/>
        <item x="953"/>
        <item x="1339"/>
        <item x="865"/>
        <item x="368"/>
        <item x="155"/>
        <item x="306"/>
        <item x="1056"/>
        <item x="622"/>
        <item x="788"/>
        <item x="707"/>
        <item x="453"/>
        <item x="816"/>
        <item x="1566"/>
        <item x="635"/>
        <item x="66"/>
        <item x="1252"/>
        <item x="1296"/>
        <item x="701"/>
        <item x="1458"/>
        <item x="1152"/>
        <item x="700"/>
        <item x="1272"/>
        <item x="810"/>
        <item x="740"/>
        <item x="557"/>
        <item x="752"/>
        <item x="73"/>
        <item x="1246"/>
        <item x="957"/>
        <item x="1559"/>
        <item x="1599"/>
        <item x="991"/>
        <item x="377"/>
        <item x="653"/>
        <item x="1115"/>
        <item x="878"/>
        <item x="133"/>
        <item x="836"/>
        <item x="248"/>
        <item x="674"/>
        <item x="714"/>
        <item x="1533"/>
        <item x="299"/>
        <item x="984"/>
        <item x="1445"/>
        <item x="1428"/>
        <item x="1367"/>
        <item x="505"/>
        <item x="443"/>
        <item x="1497"/>
        <item x="1078"/>
        <item x="475"/>
        <item x="153"/>
        <item x="1409"/>
        <item x="189"/>
        <item x="847"/>
        <item x="185"/>
        <item x="270"/>
        <item x="961"/>
        <item x="1369"/>
        <item x="620"/>
        <item x="1372"/>
        <item x="375"/>
        <item x="1301"/>
        <item x="93"/>
        <item x="858"/>
        <item x="1225"/>
        <item x="103"/>
        <item x="1382"/>
        <item x="1341"/>
        <item x="605"/>
        <item x="420"/>
        <item x="766"/>
        <item x="1468"/>
        <item x="1436"/>
        <item x="1480"/>
        <item x="364"/>
        <item x="126"/>
        <item x="799"/>
        <item x="694"/>
        <item x="1590"/>
        <item x="585"/>
        <item x="756"/>
        <item x="1022"/>
        <item x="691"/>
        <item x="879"/>
        <item x="89"/>
        <item x="1211"/>
        <item x="181"/>
        <item x="1525"/>
        <item x="531"/>
        <item x="576"/>
        <item x="835"/>
        <item x="1169"/>
        <item x="995"/>
        <item x="451"/>
        <item x="1079"/>
        <item x="323"/>
        <item x="48"/>
        <item x="1332"/>
        <item x="1130"/>
        <item x="1374"/>
        <item x="715"/>
        <item x="394"/>
        <item x="782"/>
        <item x="1539"/>
        <item x="111"/>
        <item x="117"/>
        <item x="1010"/>
        <item x="1454"/>
        <item x="1510"/>
        <item x="948"/>
        <item x="556"/>
        <item x="1597"/>
        <item x="1007"/>
        <item x="128"/>
        <item x="435"/>
        <item x="610"/>
        <item x="778"/>
        <item x="918"/>
        <item x="115"/>
        <item x="1175"/>
        <item x="1417"/>
        <item x="1261"/>
        <item x="929"/>
        <item x="959"/>
        <item x="581"/>
        <item x="1206"/>
        <item x="757"/>
        <item x="1403"/>
        <item x="289"/>
        <item x="413"/>
        <item x="1534"/>
        <item x="1418"/>
        <item x="726"/>
        <item x="1171"/>
        <item x="1133"/>
        <item x="424"/>
        <item x="291"/>
        <item x="612"/>
        <item x="421"/>
        <item x="1201"/>
        <item x="1123"/>
        <item x="3"/>
        <item x="416"/>
        <item x="335"/>
        <item x="387"/>
        <item x="1484"/>
        <item x="254"/>
        <item x="545"/>
        <item x="624"/>
        <item x="356"/>
        <item x="931"/>
        <item x="798"/>
        <item x="1094"/>
        <item x="607"/>
        <item x="391"/>
        <item x="264"/>
        <item x="13"/>
        <item x="1192"/>
        <item x="202"/>
        <item x="1150"/>
        <item x="882"/>
        <item x="1044"/>
        <item x="1227"/>
        <item x="973"/>
        <item x="526"/>
        <item x="167"/>
        <item x="946"/>
        <item x="830"/>
        <item x="484"/>
        <item x="1016"/>
        <item x="1294"/>
        <item x="1217"/>
        <item x="513"/>
        <item x="936"/>
        <item x="106"/>
        <item x="488"/>
        <item x="1108"/>
        <item x="1479"/>
        <item x="1344"/>
        <item x="350"/>
        <item x="662"/>
        <item x="588"/>
        <item x="159"/>
        <item x="554"/>
        <item x="699"/>
        <item x="295"/>
        <item x="910"/>
        <item x="370"/>
        <item x="214"/>
        <item x="69"/>
        <item x="359"/>
        <item x="749"/>
        <item x="944"/>
        <item x="221"/>
        <item x="113"/>
        <item x="9"/>
        <item x="570"/>
        <item x="647"/>
        <item x="650"/>
        <item x="426"/>
        <item x="212"/>
        <item x="901"/>
        <item x="366"/>
        <item x="1260"/>
        <item x="1381"/>
        <item x="278"/>
        <item x="520"/>
        <item x="223"/>
        <item x="1051"/>
        <item x="1174"/>
        <item x="710"/>
        <item x="654"/>
        <item x="482"/>
        <item x="398"/>
        <item x="1390"/>
        <item x="203"/>
        <item x="1384"/>
        <item x="1247"/>
        <item x="717"/>
        <item x="178"/>
        <item x="1322"/>
        <item x="1553"/>
        <item x="1315"/>
        <item x="527"/>
        <item x="276"/>
        <item x="259"/>
        <item x="1121"/>
        <item x="628"/>
        <item x="1355"/>
        <item x="1012"/>
        <item x="1097"/>
        <item x="837"/>
        <item x="960"/>
        <item x="905"/>
        <item x="98"/>
        <item x="145"/>
        <item x="888"/>
        <item x="1547"/>
        <item x="728"/>
        <item x="623"/>
        <item x="1229"/>
        <item x="477"/>
        <item x="997"/>
        <item x="1142"/>
        <item x="7"/>
        <item x="332"/>
        <item x="733"/>
        <item x="319"/>
        <item x="1179"/>
        <item x="1368"/>
        <item x="1522"/>
        <item x="739"/>
        <item x="1298"/>
        <item x="1528"/>
        <item x="156"/>
        <item x="1470"/>
        <item x="148"/>
        <item x="998"/>
        <item x="1218"/>
        <item x="485"/>
        <item x="688"/>
        <item x="1542"/>
        <item x="163"/>
        <item x="1170"/>
        <item x="589"/>
        <item x="483"/>
        <item x="552"/>
        <item x="974"/>
        <item x="1080"/>
        <item x="1309"/>
        <item x="1463"/>
        <item x="1545"/>
        <item x="23"/>
        <item x="1379"/>
        <item x="632"/>
        <item x="43"/>
        <item x="1295"/>
        <item x="1412"/>
        <item x="1310"/>
        <item x="1388"/>
        <item x="1582"/>
        <item x="1041"/>
        <item x="656"/>
        <item x="1365"/>
        <item x="969"/>
        <item x="996"/>
        <item x="1005"/>
        <item x="827"/>
        <item x="711"/>
        <item x="437"/>
        <item x="731"/>
        <item x="1564"/>
        <item x="1291"/>
        <item x="1398"/>
        <item x="1378"/>
        <item x="765"/>
        <item x="705"/>
        <item x="981"/>
        <item x="1212"/>
        <item x="164"/>
        <item x="764"/>
        <item x="993"/>
        <item x="730"/>
        <item x="908"/>
        <item x="1414"/>
        <item x="131"/>
        <item x="877"/>
        <item x="1200"/>
        <item x="460"/>
        <item x="826"/>
        <item x="444"/>
        <item x="595"/>
        <item x="275"/>
        <item x="92"/>
        <item x="104"/>
        <item x="724"/>
        <item x="1313"/>
        <item x="1013"/>
        <item x="1465"/>
        <item x="1161"/>
        <item x="774"/>
        <item x="565"/>
        <item x="619"/>
        <item x="1356"/>
        <item x="538"/>
        <item x="88"/>
        <item x="1530"/>
        <item x="1358"/>
        <item x="365"/>
        <item x="1343"/>
        <item x="454"/>
        <item x="1028"/>
        <item x="860"/>
        <item x="399"/>
        <item x="182"/>
        <item x="1156"/>
        <item x="431"/>
        <item x="1243"/>
        <item x="990"/>
        <item x="875"/>
        <item x="574"/>
        <item x="427"/>
        <item x="1518"/>
        <item x="430"/>
        <item x="856"/>
        <item x="1521"/>
        <item x="362"/>
        <item x="119"/>
        <item x="1240"/>
        <item x="1419"/>
        <item x="251"/>
        <item x="859"/>
        <item x="1015"/>
        <item x="1250"/>
        <item x="1505"/>
        <item x="1573"/>
        <item x="1400"/>
        <item x="1263"/>
        <item x="722"/>
        <item x="679"/>
        <item x="1191"/>
        <item x="1357"/>
        <item x="771"/>
        <item x="1541"/>
        <item x="369"/>
        <item x="1543"/>
        <item x="982"/>
        <item x="125"/>
        <item x="1036"/>
        <item x="1302"/>
        <item x="310"/>
        <item x="1025"/>
        <item x="541"/>
        <item x="1466"/>
        <item x="1338"/>
        <item x="814"/>
        <item x="897"/>
        <item x="1195"/>
        <item x="1031"/>
        <item x="1499"/>
        <item x="469"/>
        <item x="894"/>
        <item x="173"/>
        <item x="187"/>
        <item x="887"/>
        <item x="617"/>
        <item x="79"/>
        <item x="1063"/>
        <item x="1520"/>
        <item x="627"/>
        <item x="37"/>
        <item x="926"/>
        <item x="1288"/>
        <item x="188"/>
        <item x="1073"/>
        <item x="1453"/>
        <item x="892"/>
        <item x="1560"/>
        <item x="500"/>
        <item x="550"/>
        <item x="262"/>
        <item x="866"/>
        <item x="967"/>
        <item x="697"/>
        <item x="515"/>
        <item x="602"/>
        <item x="170"/>
        <item x="611"/>
        <item x="1537"/>
        <item x="1395"/>
        <item x="85"/>
        <item x="142"/>
        <item x="599"/>
        <item x="606"/>
        <item x="1027"/>
        <item x="1018"/>
        <item x="1387"/>
        <item x="652"/>
        <item x="1042"/>
        <item x="1495"/>
        <item x="1182"/>
        <item x="473"/>
        <item x="445"/>
        <item x="855"/>
        <item x="1570"/>
        <item x="418"/>
        <item x="582"/>
        <item x="682"/>
        <item x="68"/>
        <item x="171"/>
        <item x="1549"/>
        <item x="476"/>
        <item x="1204"/>
        <item x="29"/>
        <item x="461"/>
        <item x="925"/>
        <item x="297"/>
        <item x="91"/>
        <item x="1415"/>
        <item x="1469"/>
        <item x="1594"/>
        <item x="1404"/>
        <item x="466"/>
        <item x="626"/>
        <item x="357"/>
        <item x="753"/>
        <item x="613"/>
        <item x="194"/>
        <item x="911"/>
        <item x="1587"/>
        <item x="414"/>
        <item x="41"/>
        <item x="535"/>
        <item x="1363"/>
        <item x="1238"/>
        <item x="1491"/>
        <item x="336"/>
        <item x="384"/>
        <item x="361"/>
        <item x="318"/>
        <item x="840"/>
        <item x="518"/>
        <item x="44"/>
        <item x="90"/>
        <item x="744"/>
        <item x="109"/>
        <item x="833"/>
        <item x="708"/>
        <item x="555"/>
        <item x="330"/>
        <item x="916"/>
        <item x="1014"/>
        <item x="1222"/>
        <item x="137"/>
        <item x="999"/>
        <item x="631"/>
        <item x="1048"/>
        <item x="1516"/>
        <item x="1187"/>
        <item x="781"/>
        <item x="1058"/>
        <item x="1266"/>
        <item x="872"/>
        <item x="204"/>
        <item x="1021"/>
        <item x="493"/>
        <item x="72"/>
        <item x="723"/>
        <item x="761"/>
        <item x="1526"/>
        <item x="213"/>
        <item x="1"/>
        <item x="900"/>
        <item x="39"/>
        <item x="721"/>
        <item x="1089"/>
        <item x="641"/>
        <item x="1070"/>
        <item x="18"/>
        <item x="793"/>
        <item x="1062"/>
        <item x="532"/>
        <item x="60"/>
        <item x="975"/>
        <item x="354"/>
        <item x="338"/>
        <item x="1402"/>
        <item x="947"/>
        <item x="1498"/>
        <item x="273"/>
        <item x="285"/>
        <item x="1199"/>
        <item x="736"/>
        <item x="1345"/>
        <item x="1066"/>
        <item x="1275"/>
        <item x="821"/>
        <item x="912"/>
        <item x="76"/>
        <item x="337"/>
        <item x="942"/>
        <item x="669"/>
        <item x="331"/>
        <item x="842"/>
        <item x="1567"/>
        <item x="1474"/>
        <item x="1471"/>
        <item x="1155"/>
        <item x="258"/>
        <item x="1001"/>
        <item x="343"/>
        <item x="1431"/>
        <item x="608"/>
        <item x="563"/>
        <item x="1299"/>
        <item x="593"/>
        <item x="265"/>
        <item x="703"/>
        <item x="811"/>
        <item x="689"/>
        <item x="1585"/>
        <item x="224"/>
        <item x="367"/>
        <item x="408"/>
        <item x="1281"/>
        <item x="1425"/>
        <item x="1317"/>
        <item x="1335"/>
        <item x="455"/>
        <item x="199"/>
        <item x="985"/>
        <item x="183"/>
        <item x="176"/>
        <item x="284"/>
        <item x="1501"/>
        <item x="712"/>
        <item x="1216"/>
        <item x="509"/>
        <item x="134"/>
        <item x="738"/>
        <item x="1160"/>
        <item x="1393"/>
        <item x="162"/>
        <item x="839"/>
        <item x="614"/>
        <item x="1237"/>
        <item x="1443"/>
        <item x="130"/>
        <item x="371"/>
        <item x="508"/>
        <item x="1473"/>
        <item x="374"/>
        <item x="1112"/>
        <item x="4"/>
        <item x="1017"/>
        <item x="1088"/>
        <item x="1117"/>
        <item x="649"/>
        <item x="763"/>
        <item x="355"/>
        <item x="523"/>
        <item x="1427"/>
        <item x="616"/>
        <item x="1231"/>
        <item x="547"/>
        <item x="1188"/>
        <item x="186"/>
        <item x="1019"/>
        <item x="772"/>
        <item x="490"/>
        <item x="1337"/>
        <item x="871"/>
        <item x="1086"/>
        <item x="95"/>
        <item x="292"/>
        <item x="1554"/>
        <item x="140"/>
        <item x="196"/>
        <item x="924"/>
        <item x="1270"/>
        <item x="256"/>
        <item x="564"/>
        <item x="46"/>
        <item x="233"/>
        <item x="1284"/>
        <item x="994"/>
        <item x="1430"/>
        <item x="537"/>
        <item x="1003"/>
        <item x="222"/>
        <item x="174"/>
        <item x="971"/>
        <item x="385"/>
        <item x="813"/>
        <item x="1151"/>
        <item x="1267"/>
        <item x="49"/>
        <item x="1328"/>
        <item x="1333"/>
        <item x="869"/>
        <item x="548"/>
        <item x="1220"/>
        <item x="1057"/>
        <item x="1421"/>
        <item x="5"/>
        <item x="988"/>
        <item x="329"/>
        <item x="160"/>
        <item x="1406"/>
        <item x="122"/>
        <item x="1126"/>
        <item x="919"/>
        <item x="1285"/>
        <item x="67"/>
        <item x="938"/>
        <item x="349"/>
        <item x="519"/>
        <item x="6"/>
        <item x="1102"/>
        <item x="596"/>
        <item x="629"/>
        <item x="320"/>
        <item x="1394"/>
        <item x="175"/>
        <item x="86"/>
        <item x="976"/>
        <item x="915"/>
        <item x="675"/>
        <item x="1168"/>
        <item x="316"/>
        <item x="1413"/>
        <item x="637"/>
        <item x="198"/>
        <item x="381"/>
        <item x="141"/>
        <item x="1141"/>
        <item x="625"/>
        <item x="560"/>
        <item x="35"/>
        <item x="1325"/>
        <item x="1551"/>
        <item x="191"/>
        <item x="1532"/>
        <item x="1000"/>
        <item x="1172"/>
        <item x="1433"/>
        <item x="512"/>
        <item x="604"/>
        <item x="32"/>
        <item x="566"/>
        <item x="1314"/>
        <item x="937"/>
        <item x="340"/>
        <item x="502"/>
        <item x="1426"/>
        <item x="1289"/>
        <item x="449"/>
        <item x="1149"/>
        <item x="1037"/>
        <item x="124"/>
        <item x="62"/>
        <item x="1486"/>
        <item x="807"/>
        <item x="1455"/>
        <item x="1579"/>
        <item x="1475"/>
        <item x="896"/>
        <item x="1269"/>
        <item x="1144"/>
        <item x="1085"/>
        <item x="666"/>
        <item x="1407"/>
        <item x="300"/>
        <item x="1511"/>
        <item x="790"/>
        <item x="1572"/>
        <item x="293"/>
        <item x="1588"/>
        <item x="1422"/>
        <item x="568"/>
        <item x="147"/>
        <item x="244"/>
        <item x="15"/>
        <item x="190"/>
        <item x="272"/>
        <item x="770"/>
        <item x="309"/>
        <item x="1293"/>
        <item x="978"/>
        <item x="633"/>
        <item x="759"/>
        <item x="670"/>
        <item x="74"/>
        <item x="1462"/>
        <item x="328"/>
        <item x="950"/>
        <item x="1203"/>
        <item x="559"/>
        <item x="1052"/>
        <item x="634"/>
        <item x="1065"/>
        <item x="927"/>
        <item x="304"/>
        <item x="1082"/>
        <item x="80"/>
        <item x="1228"/>
        <item x="906"/>
        <item x="298"/>
        <item x="1026"/>
        <item x="396"/>
        <item x="1098"/>
        <item x="1131"/>
        <item x="55"/>
        <item x="899"/>
        <item x="907"/>
        <item x="333"/>
        <item x="70"/>
        <item x="168"/>
        <item x="848"/>
        <item x="1101"/>
        <item x="348"/>
        <item x="767"/>
        <item x="1210"/>
        <item x="1485"/>
        <item x="1517"/>
        <item x="40"/>
        <item x="578"/>
        <item x="719"/>
        <item x="1276"/>
        <item x="447"/>
        <item x="458"/>
        <item x="1273"/>
        <item x="1583"/>
        <item x="504"/>
        <item x="439"/>
        <item x="584"/>
        <item x="468"/>
        <item x="94"/>
        <item x="412"/>
        <item x="841"/>
        <item x="1326"/>
        <item x="243"/>
        <item x="933"/>
        <item x="351"/>
        <item x="1033"/>
        <item x="601"/>
        <item x="216"/>
        <item x="644"/>
        <item x="448"/>
        <item x="1561"/>
        <item x="1354"/>
        <item x="195"/>
        <item x="713"/>
        <item x="363"/>
        <item x="429"/>
        <item x="808"/>
        <item x="144"/>
        <item x="1598"/>
        <item x="1576"/>
        <item x="136"/>
        <item x="1245"/>
        <item x="1444"/>
        <item x="661"/>
        <item x="1411"/>
        <item x="1099"/>
        <item x="1531"/>
        <item x="135"/>
        <item x="226"/>
        <item x="1129"/>
        <item x="234"/>
        <item x="785"/>
        <item x="1208"/>
        <item x="1104"/>
        <item x="681"/>
        <item x="569"/>
        <item x="773"/>
        <item x="347"/>
        <item x="895"/>
        <item x="1324"/>
        <item x="250"/>
        <item x="1075"/>
        <item x="746"/>
        <item x="218"/>
        <item x="890"/>
        <item x="17"/>
        <item x="686"/>
        <item x="881"/>
        <item x="820"/>
        <item x="1488"/>
        <item x="456"/>
        <item x="561"/>
        <item x="1125"/>
        <item x="27"/>
        <item x="1093"/>
        <item x="750"/>
        <item x="806"/>
        <item x="551"/>
        <item x="949"/>
        <item x="529"/>
        <item x="1181"/>
        <item x="540"/>
        <item x="462"/>
        <item x="99"/>
        <item x="671"/>
        <item x="1277"/>
        <item x="286"/>
        <item x="941"/>
        <item x="979"/>
        <item x="496"/>
        <item x="594"/>
        <item x="208"/>
        <item x="803"/>
        <item x="940"/>
        <item x="120"/>
        <item x="1502"/>
        <item x="683"/>
        <item x="75"/>
        <item x="893"/>
        <item x="63"/>
        <item x="768"/>
        <item x="321"/>
        <item x="1053"/>
        <item x="382"/>
        <item x="1535"/>
        <item x="1124"/>
        <item x="1090"/>
        <item x="986"/>
        <item x="687"/>
        <item x="1386"/>
        <item x="725"/>
        <item x="1196"/>
        <item x="47"/>
        <item x="138"/>
        <item x="440"/>
        <item x="709"/>
        <item x="71"/>
        <item x="639"/>
        <item x="886"/>
        <item x="1100"/>
        <item x="698"/>
        <item x="308"/>
        <item x="146"/>
        <item x="544"/>
        <item x="19"/>
        <item x="1459"/>
        <item x="598"/>
        <item x="247"/>
        <item x="1529"/>
        <item x="58"/>
        <item x="665"/>
        <item x="729"/>
        <item x="1128"/>
        <item x="277"/>
        <item x="955"/>
        <item x="638"/>
        <item x="660"/>
        <item x="1283"/>
        <item x="536"/>
        <item x="586"/>
        <item x="1492"/>
        <item x="800"/>
        <item x="1483"/>
        <item x="403"/>
        <item x="1506"/>
        <item x="1311"/>
        <item x="345"/>
        <item x="522"/>
        <item x="1074"/>
        <item x="743"/>
        <item x="1336"/>
        <item x="591"/>
        <item x="211"/>
        <item x="442"/>
        <item x="1556"/>
        <item x="1137"/>
        <item x="1558"/>
        <item x="150"/>
        <item x="12"/>
        <item x="1292"/>
        <item x="659"/>
        <item x="1456"/>
        <item x="1503"/>
        <item x="1487"/>
        <item x="1568"/>
        <item x="34"/>
        <item x="963"/>
        <item x="317"/>
        <item x="680"/>
        <item x="762"/>
        <item x="200"/>
        <item x="1254"/>
        <item x="81"/>
        <item x="977"/>
        <item x="1114"/>
        <item x="718"/>
        <item x="528"/>
        <item x="121"/>
        <item x="392"/>
        <item x="210"/>
        <item x="360"/>
        <item x="1360"/>
        <item x="1146"/>
        <item x="177"/>
        <item x="587"/>
        <item x="288"/>
        <item x="307"/>
        <item x="433"/>
        <item x="1350"/>
        <item x="64"/>
        <item x="1061"/>
        <item x="1536"/>
        <item x="1577"/>
        <item x="492"/>
        <item x="28"/>
        <item x="1158"/>
        <item x="352"/>
        <item x="139"/>
        <item x="305"/>
        <item x="358"/>
        <item x="261"/>
        <item x="1441"/>
        <item x="59"/>
        <item x="465"/>
        <item x="1043"/>
        <item x="470"/>
        <item x="517"/>
        <item x="1546"/>
        <item x="923"/>
        <item x="1105"/>
        <item x="1308"/>
        <item x="1489"/>
        <item x="315"/>
        <item x="193"/>
        <item x="238"/>
        <item x="1262"/>
        <item x="1578"/>
        <item x="615"/>
        <item x="464"/>
        <item x="843"/>
        <item x="486"/>
        <item x="249"/>
        <item x="1148"/>
        <item x="921"/>
        <item x="521"/>
        <item x="1232"/>
        <item x="903"/>
        <item x="197"/>
        <item x="1011"/>
        <item x="779"/>
        <item x="572"/>
        <item x="745"/>
        <item x="530"/>
        <item x="1348"/>
        <item x="463"/>
        <item x="1219"/>
        <item x="805"/>
        <item x="283"/>
        <item x="1081"/>
        <item x="678"/>
        <item x="643"/>
        <item x="14"/>
        <item x="1135"/>
        <item x="1268"/>
        <item x="880"/>
        <item x="1481"/>
        <item x="789"/>
        <item x="1030"/>
        <item x="1084"/>
        <item x="1153"/>
        <item x="1472"/>
        <item x="25"/>
        <item x="815"/>
        <item x="314"/>
        <item x="514"/>
        <item x="964"/>
        <item x="1224"/>
        <item x="1024"/>
        <item x="945"/>
        <item x="1373"/>
        <item x="287"/>
        <item x="1477"/>
        <item x="706"/>
        <item x="1377"/>
        <item x="129"/>
        <item x="1435"/>
        <item x="1064"/>
        <item x="1399"/>
        <item x="1032"/>
        <item x="1138"/>
        <item x="1476"/>
        <item x="169"/>
        <item x="1265"/>
        <item x="1020"/>
        <item x="735"/>
        <item x="692"/>
        <item x="861"/>
        <item x="1565"/>
        <item x="1329"/>
        <item x="958"/>
        <item x="885"/>
        <item x="786"/>
        <item x="748"/>
        <item x="1396"/>
        <item x="1166"/>
        <item x="52"/>
        <item x="1397"/>
        <item x="1234"/>
        <item x="657"/>
        <item x="353"/>
        <item x="1586"/>
        <item x="1177"/>
        <item x="1136"/>
        <item x="1464"/>
        <item x="11"/>
        <item x="26"/>
        <item x="1258"/>
        <item x="1047"/>
        <item x="245"/>
        <item t="default"/>
      </items>
    </pivotField>
    <pivotField numFmtId="164" showAll="0">
      <items count="169">
        <item x="154"/>
        <item x="13"/>
        <item x="46"/>
        <item x="160"/>
        <item x="98"/>
        <item x="146"/>
        <item x="20"/>
        <item x="37"/>
        <item x="159"/>
        <item x="86"/>
        <item x="18"/>
        <item x="122"/>
        <item x="3"/>
        <item x="51"/>
        <item x="126"/>
        <item x="139"/>
        <item x="53"/>
        <item x="88"/>
        <item x="96"/>
        <item x="110"/>
        <item x="35"/>
        <item x="0"/>
        <item x="75"/>
        <item x="93"/>
        <item x="7"/>
        <item x="123"/>
        <item x="76"/>
        <item x="99"/>
        <item x="25"/>
        <item x="95"/>
        <item x="11"/>
        <item x="27"/>
        <item x="8"/>
        <item x="121"/>
        <item x="153"/>
        <item x="84"/>
        <item x="54"/>
        <item x="114"/>
        <item x="74"/>
        <item x="83"/>
        <item x="50"/>
        <item x="152"/>
        <item x="66"/>
        <item x="165"/>
        <item x="129"/>
        <item x="151"/>
        <item x="21"/>
        <item x="133"/>
        <item x="14"/>
        <item x="97"/>
        <item x="92"/>
        <item x="135"/>
        <item x="167"/>
        <item x="26"/>
        <item x="150"/>
        <item x="23"/>
        <item x="60"/>
        <item x="112"/>
        <item x="134"/>
        <item x="157"/>
        <item x="31"/>
        <item x="38"/>
        <item x="104"/>
        <item x="155"/>
        <item x="89"/>
        <item x="73"/>
        <item x="136"/>
        <item x="125"/>
        <item x="33"/>
        <item x="6"/>
        <item x="130"/>
        <item x="67"/>
        <item x="142"/>
        <item x="111"/>
        <item x="22"/>
        <item x="65"/>
        <item x="124"/>
        <item x="131"/>
        <item x="87"/>
        <item x="5"/>
        <item x="48"/>
        <item x="78"/>
        <item x="100"/>
        <item x="58"/>
        <item x="45"/>
        <item x="79"/>
        <item x="24"/>
        <item x="162"/>
        <item x="94"/>
        <item x="30"/>
        <item x="102"/>
        <item x="70"/>
        <item x="44"/>
        <item x="103"/>
        <item x="28"/>
        <item x="91"/>
        <item x="161"/>
        <item x="163"/>
        <item x="132"/>
        <item x="4"/>
        <item x="113"/>
        <item x="63"/>
        <item x="106"/>
        <item x="108"/>
        <item x="80"/>
        <item x="137"/>
        <item x="55"/>
        <item x="128"/>
        <item x="144"/>
        <item x="43"/>
        <item x="85"/>
        <item x="116"/>
        <item x="47"/>
        <item x="15"/>
        <item x="101"/>
        <item x="40"/>
        <item x="149"/>
        <item x="115"/>
        <item x="148"/>
        <item x="69"/>
        <item x="143"/>
        <item x="36"/>
        <item x="34"/>
        <item x="156"/>
        <item x="19"/>
        <item x="82"/>
        <item x="158"/>
        <item x="141"/>
        <item x="64"/>
        <item x="77"/>
        <item x="59"/>
        <item x="39"/>
        <item x="32"/>
        <item x="120"/>
        <item x="2"/>
        <item x="117"/>
        <item x="138"/>
        <item x="42"/>
        <item x="81"/>
        <item x="127"/>
        <item x="56"/>
        <item x="17"/>
        <item x="107"/>
        <item x="16"/>
        <item x="12"/>
        <item x="164"/>
        <item x="166"/>
        <item x="118"/>
        <item x="68"/>
        <item x="1"/>
        <item x="9"/>
        <item x="52"/>
        <item x="145"/>
        <item x="71"/>
        <item x="140"/>
        <item x="29"/>
        <item x="61"/>
        <item x="109"/>
        <item x="105"/>
        <item x="10"/>
        <item x="49"/>
        <item x="90"/>
        <item x="57"/>
        <item x="72"/>
        <item x="41"/>
        <item x="119"/>
        <item x="62"/>
        <item x="147"/>
        <item t="default"/>
      </items>
    </pivotField>
    <pivotField showAll="0">
      <items count="8">
        <item x="6"/>
        <item x="0"/>
        <item x="3"/>
        <item x="2"/>
        <item x="1"/>
        <item x="4"/>
        <item x="5"/>
        <item t="default"/>
      </items>
    </pivotField>
    <pivotField showAll="0"/>
    <pivotField showAll="0">
      <items count="9">
        <item x="6"/>
        <item x="3"/>
        <item x="1"/>
        <item x="2"/>
        <item x="0"/>
        <item x="4"/>
        <item x="7"/>
        <item x="5"/>
        <item t="default"/>
      </items>
    </pivotField>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items count="4">
        <item x="1"/>
        <item x="2"/>
        <item x="0"/>
        <item t="default"/>
      </items>
    </pivotField>
    <pivotField axis="axisPage" multipleItemSelectionAllowed="1" showAll="0">
      <items count="6">
        <item x="1"/>
        <item x="2"/>
        <item x="0"/>
        <item x="4"/>
        <item x="3"/>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pageFields count="1">
    <pageField fld="16" hier="-1"/>
  </pageFields>
  <formats count="2">
    <format dxfId="8">
      <pivotArea outline="0" collapsedLevelsAreSubtotals="1" fieldPosition="0"/>
    </format>
    <format dxfId="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1CD8896-577C-48A5-9C05-3E1226F990AB}"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62:D163" firstHeaderRow="1" firstDataRow="2" firstDataCol="0"/>
  <pivotFields count="22">
    <pivotField showAll="0"/>
    <pivotField numFmtId="164" showAll="0">
      <items count="169">
        <item x="154"/>
        <item x="13"/>
        <item x="46"/>
        <item x="160"/>
        <item x="98"/>
        <item x="146"/>
        <item x="20"/>
        <item x="37"/>
        <item x="159"/>
        <item x="86"/>
        <item x="18"/>
        <item x="122"/>
        <item x="3"/>
        <item x="51"/>
        <item x="126"/>
        <item x="139"/>
        <item x="53"/>
        <item x="88"/>
        <item x="96"/>
        <item x="110"/>
        <item x="35"/>
        <item x="0"/>
        <item x="75"/>
        <item x="93"/>
        <item x="7"/>
        <item x="123"/>
        <item x="76"/>
        <item x="99"/>
        <item x="25"/>
        <item x="95"/>
        <item x="11"/>
        <item x="27"/>
        <item x="8"/>
        <item x="121"/>
        <item x="153"/>
        <item x="84"/>
        <item x="54"/>
        <item x="114"/>
        <item x="74"/>
        <item x="83"/>
        <item x="50"/>
        <item x="152"/>
        <item x="66"/>
        <item x="165"/>
        <item x="129"/>
        <item x="151"/>
        <item x="21"/>
        <item x="133"/>
        <item x="14"/>
        <item x="97"/>
        <item x="92"/>
        <item x="135"/>
        <item x="167"/>
        <item x="26"/>
        <item x="150"/>
        <item x="23"/>
        <item x="60"/>
        <item x="112"/>
        <item x="134"/>
        <item x="157"/>
        <item x="31"/>
        <item x="38"/>
        <item x="104"/>
        <item x="155"/>
        <item x="89"/>
        <item x="73"/>
        <item x="136"/>
        <item x="125"/>
        <item x="33"/>
        <item x="6"/>
        <item x="130"/>
        <item x="67"/>
        <item x="142"/>
        <item x="111"/>
        <item x="22"/>
        <item x="65"/>
        <item x="124"/>
        <item x="131"/>
        <item x="87"/>
        <item x="5"/>
        <item x="48"/>
        <item x="78"/>
        <item x="100"/>
        <item x="58"/>
        <item x="45"/>
        <item x="79"/>
        <item x="24"/>
        <item x="162"/>
        <item x="94"/>
        <item x="30"/>
        <item x="102"/>
        <item x="70"/>
        <item x="44"/>
        <item x="103"/>
        <item x="28"/>
        <item x="91"/>
        <item x="161"/>
        <item x="163"/>
        <item x="132"/>
        <item x="4"/>
        <item x="113"/>
        <item x="63"/>
        <item x="106"/>
        <item x="108"/>
        <item x="80"/>
        <item x="137"/>
        <item x="55"/>
        <item x="128"/>
        <item x="144"/>
        <item x="43"/>
        <item x="85"/>
        <item x="116"/>
        <item x="47"/>
        <item x="15"/>
        <item x="101"/>
        <item x="40"/>
        <item x="149"/>
        <item x="115"/>
        <item x="148"/>
        <item x="69"/>
        <item x="143"/>
        <item x="36"/>
        <item x="34"/>
        <item x="156"/>
        <item x="19"/>
        <item x="82"/>
        <item x="158"/>
        <item x="141"/>
        <item x="64"/>
        <item x="77"/>
        <item x="59"/>
        <item x="39"/>
        <item x="32"/>
        <item x="120"/>
        <item x="2"/>
        <item x="117"/>
        <item x="138"/>
        <item x="42"/>
        <item x="81"/>
        <item x="127"/>
        <item x="56"/>
        <item x="17"/>
        <item x="107"/>
        <item x="16"/>
        <item x="12"/>
        <item x="164"/>
        <item x="166"/>
        <item x="118"/>
        <item x="68"/>
        <item x="1"/>
        <item x="9"/>
        <item x="52"/>
        <item x="145"/>
        <item x="71"/>
        <item x="140"/>
        <item x="29"/>
        <item x="61"/>
        <item x="109"/>
        <item x="105"/>
        <item x="10"/>
        <item x="49"/>
        <item x="90"/>
        <item x="57"/>
        <item x="72"/>
        <item x="41"/>
        <item x="119"/>
        <item x="62"/>
        <item x="147"/>
        <item t="default"/>
      </items>
    </pivotField>
    <pivotField showAll="0">
      <items count="8">
        <item x="6"/>
        <item x="0"/>
        <item x="3"/>
        <item x="2"/>
        <item x="1"/>
        <item x="4"/>
        <item x="5"/>
        <item t="default"/>
      </items>
    </pivotField>
    <pivotField showAll="0"/>
    <pivotField showAll="0">
      <items count="9">
        <item x="6"/>
        <item x="3"/>
        <item x="1"/>
        <item x="2"/>
        <item x="0"/>
        <item x="4"/>
        <item x="7"/>
        <item x="5"/>
        <item t="default"/>
      </items>
    </pivotField>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axis="axisCol" showAll="0">
      <items count="4">
        <item x="1"/>
        <item x="2"/>
        <item x="0"/>
        <item t="default"/>
      </items>
    </pivotField>
    <pivotField showAll="0">
      <items count="6">
        <item x="1"/>
        <item x="2"/>
        <item x="0"/>
        <item x="4"/>
        <item x="3"/>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15"/>
  </colFields>
  <colItems count="4">
    <i>
      <x/>
    </i>
    <i>
      <x v="1"/>
    </i>
    <i>
      <x v="2"/>
    </i>
    <i t="grand">
      <x/>
    </i>
  </colItems>
  <formats count="2">
    <format dxfId="10">
      <pivotArea outline="0" collapsedLevelsAreSubtotals="1" fieldPosition="0"/>
    </format>
    <format dxfId="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7B64FAB-5241-47A1-AB9D-3F2BB5E7B42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80:G89" firstHeaderRow="1" firstDataRow="2" firstDataCol="1"/>
  <pivotFields count="22">
    <pivotField dataField="1" showAll="0"/>
    <pivotField numFmtId="164" showAll="0">
      <items count="169">
        <item x="154"/>
        <item x="13"/>
        <item x="46"/>
        <item x="160"/>
        <item x="98"/>
        <item x="146"/>
        <item x="20"/>
        <item x="37"/>
        <item x="159"/>
        <item x="86"/>
        <item x="18"/>
        <item x="122"/>
        <item x="3"/>
        <item x="51"/>
        <item x="126"/>
        <item x="139"/>
        <item x="53"/>
        <item x="88"/>
        <item x="96"/>
        <item x="110"/>
        <item x="35"/>
        <item x="0"/>
        <item x="75"/>
        <item x="93"/>
        <item x="7"/>
        <item x="123"/>
        <item x="76"/>
        <item x="99"/>
        <item x="25"/>
        <item x="95"/>
        <item x="11"/>
        <item x="27"/>
        <item x="8"/>
        <item x="121"/>
        <item x="153"/>
        <item x="84"/>
        <item x="54"/>
        <item x="114"/>
        <item x="74"/>
        <item x="83"/>
        <item x="50"/>
        <item x="152"/>
        <item x="66"/>
        <item x="165"/>
        <item x="129"/>
        <item x="151"/>
        <item x="21"/>
        <item x="133"/>
        <item x="14"/>
        <item x="97"/>
        <item x="92"/>
        <item x="135"/>
        <item x="167"/>
        <item x="26"/>
        <item x="150"/>
        <item x="23"/>
        <item x="60"/>
        <item x="112"/>
        <item x="134"/>
        <item x="157"/>
        <item x="31"/>
        <item x="38"/>
        <item x="104"/>
        <item x="155"/>
        <item x="89"/>
        <item x="73"/>
        <item x="136"/>
        <item x="125"/>
        <item x="33"/>
        <item x="6"/>
        <item x="130"/>
        <item x="67"/>
        <item x="142"/>
        <item x="111"/>
        <item x="22"/>
        <item x="65"/>
        <item x="124"/>
        <item x="131"/>
        <item x="87"/>
        <item x="5"/>
        <item x="48"/>
        <item x="78"/>
        <item x="100"/>
        <item x="58"/>
        <item x="45"/>
        <item x="79"/>
        <item x="24"/>
        <item x="162"/>
        <item x="94"/>
        <item x="30"/>
        <item x="102"/>
        <item x="70"/>
        <item x="44"/>
        <item x="103"/>
        <item x="28"/>
        <item x="91"/>
        <item x="161"/>
        <item x="163"/>
        <item x="132"/>
        <item x="4"/>
        <item x="113"/>
        <item x="63"/>
        <item x="106"/>
        <item x="108"/>
        <item x="80"/>
        <item x="137"/>
        <item x="55"/>
        <item x="128"/>
        <item x="144"/>
        <item x="43"/>
        <item x="85"/>
        <item x="116"/>
        <item x="47"/>
        <item x="15"/>
        <item x="101"/>
        <item x="40"/>
        <item x="149"/>
        <item x="115"/>
        <item x="148"/>
        <item x="69"/>
        <item x="143"/>
        <item x="36"/>
        <item x="34"/>
        <item x="156"/>
        <item x="19"/>
        <item x="82"/>
        <item x="158"/>
        <item x="141"/>
        <item x="64"/>
        <item x="77"/>
        <item x="59"/>
        <item x="39"/>
        <item x="32"/>
        <item x="120"/>
        <item x="2"/>
        <item x="117"/>
        <item x="138"/>
        <item x="42"/>
        <item x="81"/>
        <item x="127"/>
        <item x="56"/>
        <item x="17"/>
        <item x="107"/>
        <item x="16"/>
        <item x="12"/>
        <item x="164"/>
        <item x="166"/>
        <item x="118"/>
        <item x="68"/>
        <item x="1"/>
        <item x="9"/>
        <item x="52"/>
        <item x="145"/>
        <item x="71"/>
        <item x="140"/>
        <item x="29"/>
        <item x="61"/>
        <item x="109"/>
        <item x="105"/>
        <item x="10"/>
        <item x="49"/>
        <item x="90"/>
        <item x="57"/>
        <item x="72"/>
        <item x="41"/>
        <item x="119"/>
        <item x="62"/>
        <item x="147"/>
        <item t="default"/>
      </items>
    </pivotField>
    <pivotField showAll="0">
      <items count="8">
        <item x="6"/>
        <item x="0"/>
        <item x="3"/>
        <item x="2"/>
        <item x="1"/>
        <item x="4"/>
        <item x="5"/>
        <item t="default"/>
      </items>
    </pivotField>
    <pivotField showAll="0"/>
    <pivotField showAll="0">
      <items count="9">
        <item x="6"/>
        <item x="3"/>
        <item x="1"/>
        <item x="2"/>
        <item x="0"/>
        <item x="4"/>
        <item x="7"/>
        <item x="5"/>
        <item t="default"/>
      </items>
    </pivotField>
    <pivotField showAll="0">
      <items count="4">
        <item x="0"/>
        <item x="2"/>
        <item x="1"/>
        <item t="default"/>
      </items>
    </pivotField>
    <pivotField axis="axisRow" showAll="0">
      <items count="8">
        <item x="6"/>
        <item x="3"/>
        <item x="2"/>
        <item x="0"/>
        <item x="5"/>
        <item x="1"/>
        <item x="4"/>
        <item t="default"/>
      </items>
    </pivotField>
    <pivotField showAll="0"/>
    <pivotField showAll="0"/>
    <pivotField showAll="0"/>
    <pivotField showAll="0"/>
    <pivotField showAll="0"/>
    <pivotField showAll="0"/>
    <pivotField showAll="0"/>
    <pivotField showAll="0"/>
    <pivotField showAll="0">
      <items count="4">
        <item x="1"/>
        <item x="2"/>
        <item x="0"/>
        <item t="default"/>
      </items>
    </pivotField>
    <pivotField axis="axisCol" showAll="0">
      <items count="6">
        <item x="1"/>
        <item x="2"/>
        <item x="0"/>
        <item x="4"/>
        <item x="3"/>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8">
    <i>
      <x/>
    </i>
    <i>
      <x v="1"/>
    </i>
    <i>
      <x v="2"/>
    </i>
    <i>
      <x v="3"/>
    </i>
    <i>
      <x v="4"/>
    </i>
    <i>
      <x v="5"/>
    </i>
    <i>
      <x v="6"/>
    </i>
    <i t="grand">
      <x/>
    </i>
  </rowItems>
  <colFields count="1">
    <field x="16"/>
  </colFields>
  <colItems count="6">
    <i>
      <x/>
    </i>
    <i>
      <x v="1"/>
    </i>
    <i>
      <x v="2"/>
    </i>
    <i>
      <x v="3"/>
    </i>
    <i>
      <x v="4"/>
    </i>
    <i t="grand">
      <x/>
    </i>
  </colItems>
  <dataFields count="1">
    <dataField name="Count of Shipment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rier1" xr10:uid="{57FD7364-AD01-43FD-879C-BBA309B1B4DF}" sourceName="Carrier">
  <pivotTables>
    <pivotTable tabId="2" name="PivotTable22"/>
    <pivotTable tabId="2" name="PivotTable1"/>
    <pivotTable tabId="2" name="PivotTable13"/>
    <pivotTable tabId="2" name="PivotTable18"/>
    <pivotTable tabId="2" name="PivotTable2"/>
    <pivotTable tabId="2" name="PivotTable23"/>
    <pivotTable tabId="2" name="PivotTable4"/>
    <pivotTable tabId="2" name="PivotTable6"/>
    <pivotTable tabId="2" name="PivotTable7"/>
    <pivotTable tabId="2" name="PivotTable9"/>
    <pivotTable tabId="2" name="PivotTable3"/>
    <pivotTable tabId="2" name="PivotTable5"/>
  </pivotTables>
  <data>
    <tabular pivotCacheId="593730723">
      <items count="8">
        <i x="6" s="1"/>
        <i x="3" s="1"/>
        <i x="1" s="1"/>
        <i x="2" s="1"/>
        <i x="0" s="1"/>
        <i x="4" s="1"/>
        <i x="7"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mentMode1" xr10:uid="{D36C7266-F58A-4792-B6A7-8E2B7785FDF0}" sourceName="ShipmentMode">
  <pivotTables>
    <pivotTable tabId="2" name="PivotTable22"/>
    <pivotTable tabId="2" name="PivotTable1"/>
    <pivotTable tabId="2" name="PivotTable13"/>
    <pivotTable tabId="2" name="PivotTable18"/>
    <pivotTable tabId="2" name="PivotTable2"/>
    <pivotTable tabId="2" name="PivotTable23"/>
    <pivotTable tabId="2" name="PivotTable4"/>
    <pivotTable tabId="2" name="PivotTable6"/>
    <pivotTable tabId="2" name="PivotTable7"/>
    <pivotTable tabId="2" name="PivotTable9"/>
    <pivotTable tabId="2" name="PivotTable3"/>
    <pivotTable tabId="2" name="PivotTable5"/>
  </pivotTables>
  <data>
    <tabular pivotCacheId="593730723">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Status1" xr10:uid="{D97B616B-392D-44E4-B69D-1B7CE2E48C68}" sourceName="DeliveryStatus">
  <pivotTables>
    <pivotTable tabId="2" name="PivotTable22"/>
    <pivotTable tabId="2" name="PivotTable1"/>
    <pivotTable tabId="2" name="PivotTable13"/>
    <pivotTable tabId="2" name="PivotTable18"/>
    <pivotTable tabId="2" name="PivotTable2"/>
    <pivotTable tabId="2" name="PivotTable23"/>
    <pivotTable tabId="2" name="PivotTable6"/>
    <pivotTable tabId="2" name="PivotTable7"/>
    <pivotTable tabId="2" name="PivotTable9"/>
    <pivotTable tabId="2" name="PivotTable4"/>
    <pivotTable tabId="2" name="PivotTable3"/>
    <pivotTable tabId="2" name="PivotTable5"/>
  </pivotTables>
  <data>
    <tabular pivotCacheId="593730723">
      <items count="5">
        <i x="1" s="1"/>
        <i x="2" s="1"/>
        <i x="0" s="1"/>
        <i x="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Status" xr10:uid="{F91F6561-4284-4107-A404-963DA1994765}" sourceName="DeliveryStatus">
  <data>
    <tabular pivotCacheId="593730723">
      <items count="5">
        <i x="1" s="1"/>
        <i x="2" s="1"/>
        <i x="0" s="1"/>
        <i x="4"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rier" xr10:uid="{62C7417F-B4A5-4ADF-AA3F-66117FD49601}" sourceName="Carrier">
  <data>
    <tabular pivotCacheId="593730723">
      <items count="8">
        <i x="6" s="1"/>
        <i x="3" s="1"/>
        <i x="1" s="1"/>
        <i x="2" s="1"/>
        <i x="0" s="1"/>
        <i x="4" s="1"/>
        <i x="7" s="1"/>
        <i x="5"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mentMode" xr10:uid="{E30495F3-4AFC-4EF5-BEDF-88DB07B71E1B}" sourceName="ShipmentMode">
  <data>
    <tabular pivotCacheId="59373072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rrier 2" xr10:uid="{BE1214EE-D291-4883-8DCE-21258E9EFA46}" cache="Slicer_Carrier1" caption="Carrier" rowHeight="241300"/>
  <slicer name="ShipmentMode 2" xr10:uid="{547E0CB1-03F8-4E8A-B473-C988BC5F0962}" cache="Slicer_ShipmentMode1" caption="ShipmentMode" rowHeight="241300"/>
  <slicer name="DeliveryStatus 2" xr10:uid="{4BF7B01C-78E9-4D44-9A50-ADC7D91DA171}" cache="Slicer_DeliveryStatus1" caption="DeliveryStatus" startItem="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liveryStatus 3" xr10:uid="{B78DB0A3-30CC-4E9A-A9EA-FA13B1283856}" cache="Slicer_DeliveryStatus" caption="DeliveryStatus" rowHeight="241300"/>
  <slicer name="Carrier 3" xr10:uid="{3BD5F8B3-BB52-45BF-A923-41510484E63D}" cache="Slicer_Carrier" caption="Carrier" rowHeight="241300"/>
  <slicer name="ShipmentMode 3" xr10:uid="{8F8CD76D-DC77-477D-BAA1-32F14B887DDE}" cache="Slicer_ShipmentMode" caption="ShipmentMode" startItem="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8A7AA-7798-4394-9F8E-E1848BCA8050}">
  <dimension ref="A1:T1601"/>
  <sheetViews>
    <sheetView showGridLines="0" tabSelected="1" zoomScaleNormal="100" workbookViewId="0">
      <pane ySplit="1" topLeftCell="A2" activePane="bottomLeft" state="frozen"/>
      <selection pane="bottomLeft" activeCell="V10" sqref="V10"/>
    </sheetView>
  </sheetViews>
  <sheetFormatPr defaultColWidth="8.7109375" defaultRowHeight="15" x14ac:dyDescent="0.25"/>
  <cols>
    <col min="1" max="1" width="11" customWidth="1"/>
    <col min="2" max="2" width="13" customWidth="1"/>
    <col min="3" max="4" width="11" customWidth="1"/>
    <col min="5" max="5" width="13" customWidth="1"/>
    <col min="6" max="6" width="12" customWidth="1"/>
    <col min="7" max="7" width="15" customWidth="1"/>
    <col min="8" max="8" width="13" customWidth="1"/>
    <col min="9" max="9" width="11" customWidth="1"/>
    <col min="10" max="10" width="10" customWidth="1"/>
    <col min="11" max="12" width="12" customWidth="1"/>
    <col min="13" max="13" width="13" customWidth="1"/>
    <col min="14" max="14" width="14" customWidth="1"/>
    <col min="15" max="15" width="10.140625" customWidth="1"/>
    <col min="16" max="16" width="11" customWidth="1"/>
    <col min="17" max="17" width="13" customWidth="1"/>
    <col min="18" max="18" width="10" customWidth="1"/>
    <col min="19" max="19" width="12" customWidth="1"/>
    <col min="20" max="20" width="9" customWidth="1"/>
  </cols>
  <sheetData>
    <row r="1" spans="1:20" ht="30"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5">
      <c r="A2" s="2" t="str">
        <f>[1]RawShipmentData!A2</f>
        <v>SHP-100249</v>
      </c>
      <c r="B2" s="3">
        <f>IF(ISNUMBER(SEARCH("/",TRIM([1]RawShipmentData!B2))),DATE(VALUE(RIGHT(TRIM([1]RawShipmentData!B2),4)),VALUE(MID(TRIM([1]RawShipmentData!B2),FIND("/",TRIM([1]RawShipmentData!B2))+1,2)),VALUE(LEFT(TRIM([1]RawShipmentData!B2),FIND("/",TRIM([1]RawShipmentData!B2))-1))),DATEVALUE(TRIM([1]RawShipmentData!B2)))</f>
        <v>45313</v>
      </c>
      <c r="C2" s="2" t="str">
        <f>PROPER(TRIM([1]RawShipmentData!C2))</f>
        <v>Bengaluru</v>
      </c>
      <c r="D2" s="2" t="str">
        <f>IFERROR(INDEX([1]HubMaster!$B$2:$B$7,MATCH(C2,[1]HubMaster!$A$2:$A$7,0)),"Unknown")</f>
        <v>South</v>
      </c>
      <c r="E2" s="2" t="str">
        <f>PROPER(TRIM(SUBSTITUTE([1]RawShipmentData!D2,"  "," ")))</f>
        <v>Dtdc</v>
      </c>
      <c r="F2" s="2" t="str">
        <f>PROPER(TRIM([1]RawShipmentData!E2))</f>
        <v>Air</v>
      </c>
      <c r="G2" s="2" t="str">
        <f>PROPER(TRIM(SUBSTITUTE([1]RawShipmentData!F2,"  "," ")))</f>
        <v>Electronics</v>
      </c>
      <c r="H2" s="2" t="str">
        <f>PROPER(TRIM([1]RawShipmentData!G2))</f>
        <v>West</v>
      </c>
      <c r="I2" s="2" t="str">
        <f t="shared" ref="I2:I65" si="0">IF(D2=H2,"No","Yes")</f>
        <v>Yes</v>
      </c>
      <c r="J2" s="2">
        <f>IFERROR(VALUE(TRIM(SUBSTITUTE(UPPER([1]RawShipmentData!I2),"KG",""))),"")</f>
        <v>7.4</v>
      </c>
      <c r="K2" s="2">
        <f>VALUE(SUBSTITUTE(SUBSTITUTE(SUBSTITUTE(TRIM([1]RawShipmentData!J2),"₹",""),"Rs",""),",",""))</f>
        <v>495</v>
      </c>
      <c r="L2" s="2">
        <f>[1]RawShipmentData!K2</f>
        <v>4</v>
      </c>
      <c r="M2" s="3">
        <f>IF(TRIM([1]RawShipmentData!L2)="","",IF(ISNUMBER(SEARCH("/",TRIM([1]RawShipmentData!L2))),DATE(VALUE(RIGHT(TRIM([1]RawShipmentData!L2),4)),VALUE(MID(TRIM([1]RawShipmentData!L2),FIND("/",TRIM([1]RawShipmentData!L2))+1,2)),VALUE(LEFT(TRIM([1]RawShipmentData!L2),FIND("/",TRIM([1]RawShipmentData!L2))-1))),DATEVALUE(TRIM([1]RawShipmentData!L2))))</f>
        <v>45316</v>
      </c>
      <c r="N2" s="2">
        <f t="shared" ref="N2:N65" si="1">IF(M2="","",M2-B2)</f>
        <v>3</v>
      </c>
      <c r="O2" s="2">
        <f t="shared" ref="O2:O65" si="2">IF(N2="","",N2-L2)</f>
        <v>-1</v>
      </c>
      <c r="P2" s="2" t="str">
        <f t="shared" ref="P2:P65" si="3">IF(N2="","N/A",IF(N2&lt;=L2,"On Time","Late"))</f>
        <v>On Time</v>
      </c>
      <c r="Q2" s="2" t="str">
        <f>PROPER(SUBSTITUTE(TRIM([1]RawShipmentData!M2)," ","-"))</f>
        <v>Delivered</v>
      </c>
      <c r="R2" s="4">
        <f>IFERROR(K2/J2,"")</f>
        <v>66.891891891891888</v>
      </c>
      <c r="S2" s="2">
        <f>[1]RawShipmentData!N2</f>
        <v>4</v>
      </c>
      <c r="T2" s="2" t="str">
        <f>IF(OR(UPPER(TRIM([1]RawShipmentData!O2))="YES",UPPER(TRIM([1]RawShipmentData!O2))="Y"),"Yes","No")</f>
        <v>Yes</v>
      </c>
    </row>
    <row r="3" spans="1:20" ht="15" customHeight="1" x14ac:dyDescent="0.25">
      <c r="A3" s="2" t="str">
        <f>[1]RawShipmentData!A3</f>
        <v>SHP-101054</v>
      </c>
      <c r="B3" s="3">
        <f>IF(ISNUMBER(SEARCH("/",TRIM([1]RawShipmentData!B3))),DATE(VALUE(RIGHT(TRIM([1]RawShipmentData!B3),4)),VALUE(MID(TRIM([1]RawShipmentData!B3),FIND("/",TRIM([1]RawShipmentData!B3))+1,2)),VALUE(LEFT(TRIM([1]RawShipmentData!B3),FIND("/",TRIM([1]RawShipmentData!B3))-1))),DATEVALUE(TRIM([1]RawShipmentData!B3)))</f>
        <v>45453</v>
      </c>
      <c r="C3" s="2" t="str">
        <f>PROPER(TRIM([1]RawShipmentData!C3))</f>
        <v>Hyderabad</v>
      </c>
      <c r="D3" s="2" t="str">
        <f>IFERROR(INDEX([1]HubMaster!$B$2:$B$7,MATCH(C3,[1]HubMaster!$A$2:$A$7,0)),"Unknown")</f>
        <v>West</v>
      </c>
      <c r="E3" s="2" t="str">
        <f>PROPER(TRIM(SUBSTITUTE([1]RawShipmentData!D3,"  "," ")))</f>
        <v>Bluedart</v>
      </c>
      <c r="F3" s="2" t="str">
        <f>PROPER(TRIM([1]RawShipmentData!E3))</f>
        <v>Surface</v>
      </c>
      <c r="G3" s="2" t="str">
        <f>PROPER(TRIM(SUBSTITUTE([1]RawShipmentData!F3,"  "," ")))</f>
        <v>Grocery &amp; Fmcg</v>
      </c>
      <c r="H3" s="2" t="str">
        <f>PROPER(TRIM([1]RawShipmentData!G3))</f>
        <v>North</v>
      </c>
      <c r="I3" s="2" t="str">
        <f t="shared" si="0"/>
        <v>Yes</v>
      </c>
      <c r="J3" s="2">
        <f>IFERROR(VALUE(TRIM(SUBSTITUTE(UPPER([1]RawShipmentData!I3),"KG",""))),"")</f>
        <v>2.2000000000000002</v>
      </c>
      <c r="K3" s="2">
        <f>VALUE(SUBSTITUTE(SUBSTITUTE(SUBSTITUTE(TRIM([1]RawShipmentData!J3),"₹",""),"Rs",""),",",""))</f>
        <v>200</v>
      </c>
      <c r="L3" s="2">
        <f>[1]RawShipmentData!K3</f>
        <v>6</v>
      </c>
      <c r="M3" s="3">
        <f>IF(TRIM([1]RawShipmentData!L3)="","",IF(ISNUMBER(SEARCH("/",TRIM([1]RawShipmentData!L3))),DATE(VALUE(RIGHT(TRIM([1]RawShipmentData!L3),4)),VALUE(MID(TRIM([1]RawShipmentData!L3),FIND("/",TRIM([1]RawShipmentData!L3))+1,2)),VALUE(LEFT(TRIM([1]RawShipmentData!L3),FIND("/",TRIM([1]RawShipmentData!L3))-1))),DATEVALUE(TRIM([1]RawShipmentData!L3))))</f>
        <v>45459</v>
      </c>
      <c r="N3" s="2">
        <f t="shared" si="1"/>
        <v>6</v>
      </c>
      <c r="O3" s="2">
        <f t="shared" si="2"/>
        <v>0</v>
      </c>
      <c r="P3" s="2" t="str">
        <f t="shared" si="3"/>
        <v>On Time</v>
      </c>
      <c r="Q3" s="2" t="str">
        <f>PROPER(SUBSTITUTE(TRIM([1]RawShipmentData!M3)," ","-"))</f>
        <v>Delivered</v>
      </c>
      <c r="R3" s="4">
        <f t="shared" ref="R3:R66" si="4">IFERROR(K3/J3,"")</f>
        <v>90.909090909090907</v>
      </c>
      <c r="S3" s="2">
        <f>[1]RawShipmentData!N3</f>
        <v>5</v>
      </c>
      <c r="T3" s="2" t="str">
        <f>IF(OR(UPPER(TRIM([1]RawShipmentData!O3))="YES",UPPER(TRIM([1]RawShipmentData!O3))="Y"),"Yes","No")</f>
        <v>No</v>
      </c>
    </row>
    <row r="4" spans="1:20" x14ac:dyDescent="0.25">
      <c r="A4" s="2" t="str">
        <f>[1]RawShipmentData!A4</f>
        <v>SHP-100119</v>
      </c>
      <c r="B4" s="3">
        <f>IF(ISNUMBER(SEARCH("/",TRIM([1]RawShipmentData!B4))),DATE(VALUE(RIGHT(TRIM([1]RawShipmentData!B4),4)),VALUE(MID(TRIM([1]RawShipmentData!B4),FIND("/",TRIM([1]RawShipmentData!B4))+1,2)),VALUE(LEFT(TRIM([1]RawShipmentData!B4),FIND("/",TRIM([1]RawShipmentData!B4))-1))),DATEVALUE(TRIM([1]RawShipmentData!B4)))</f>
        <v>45435</v>
      </c>
      <c r="C4" s="2" t="str">
        <f>PROPER(TRIM([1]RawShipmentData!C4))</f>
        <v>Delhi</v>
      </c>
      <c r="D4" s="2" t="str">
        <f>IFERROR(INDEX([1]HubMaster!$B$2:$B$7,MATCH(C4,[1]HubMaster!$A$2:$A$7,0)),"Unknown")</f>
        <v>North</v>
      </c>
      <c r="E4" s="2" t="str">
        <f>PROPER(TRIM(SUBSTITUTE([1]RawShipmentData!D4,"  "," ")))</f>
        <v>Delhivery</v>
      </c>
      <c r="F4" s="2" t="str">
        <f>PROPER(TRIM([1]RawShipmentData!E4))</f>
        <v>Air</v>
      </c>
      <c r="G4" s="2" t="str">
        <f>PROPER(TRIM(SUBSTITUTE([1]RawShipmentData!F4,"  "," ")))</f>
        <v>Automotive Parts</v>
      </c>
      <c r="H4" s="2" t="str">
        <f>PROPER(TRIM([1]RawShipmentData!G4))</f>
        <v>East</v>
      </c>
      <c r="I4" s="2" t="str">
        <f t="shared" si="0"/>
        <v>Yes</v>
      </c>
      <c r="J4" s="2">
        <f>IFERROR(VALUE(TRIM(SUBSTITUTE(UPPER([1]RawShipmentData!I4),"KG",""))),"")</f>
        <v>5.7</v>
      </c>
      <c r="K4" s="2">
        <f>VALUE(SUBSTITUTE(SUBSTITUTE(SUBSTITUTE(TRIM([1]RawShipmentData!J4),"₹",""),"Rs",""),",",""))</f>
        <v>444</v>
      </c>
      <c r="L4" s="2">
        <f>[1]RawShipmentData!K4</f>
        <v>4</v>
      </c>
      <c r="M4" s="3">
        <f>IF(TRIM([1]RawShipmentData!L4)="","",IF(ISNUMBER(SEARCH("/",TRIM([1]RawShipmentData!L4))),DATE(VALUE(RIGHT(TRIM([1]RawShipmentData!L4),4)),VALUE(MID(TRIM([1]RawShipmentData!L4),FIND("/",TRIM([1]RawShipmentData!L4))+1,2)),VALUE(LEFT(TRIM([1]RawShipmentData!L4),FIND("/",TRIM([1]RawShipmentData!L4))-1))),DATEVALUE(TRIM([1]RawShipmentData!L4))))</f>
        <v>45448</v>
      </c>
      <c r="N4" s="2">
        <f t="shared" si="1"/>
        <v>13</v>
      </c>
      <c r="O4" s="2">
        <f t="shared" si="2"/>
        <v>9</v>
      </c>
      <c r="P4" s="2" t="str">
        <f t="shared" si="3"/>
        <v>Late</v>
      </c>
      <c r="Q4" s="2" t="str">
        <f>PROPER(SUBSTITUTE(TRIM([1]RawShipmentData!M4)," ","-"))</f>
        <v>Damaged</v>
      </c>
      <c r="R4" s="4">
        <f t="shared" si="4"/>
        <v>77.89473684210526</v>
      </c>
      <c r="S4" s="2">
        <f>[1]RawShipmentData!N4</f>
        <v>0</v>
      </c>
      <c r="T4" s="2" t="str">
        <f>IF(OR(UPPER(TRIM([1]RawShipmentData!O4))="YES",UPPER(TRIM([1]RawShipmentData!O4))="Y"),"Yes","No")</f>
        <v>No</v>
      </c>
    </row>
    <row r="5" spans="1:20" x14ac:dyDescent="0.25">
      <c r="A5" s="2" t="str">
        <f>[1]RawShipmentData!A5</f>
        <v>SHP-100704</v>
      </c>
      <c r="B5" s="3">
        <f>IF(ISNUMBER(SEARCH("/",TRIM([1]RawShipmentData!B5))),DATE(VALUE(RIGHT(TRIM([1]RawShipmentData!B5),4)),VALUE(MID(TRIM([1]RawShipmentData!B5),FIND("/",TRIM([1]RawShipmentData!B5))+1,2)),VALUE(LEFT(TRIM([1]RawShipmentData!B5),FIND("/",TRIM([1]RawShipmentData!B5))-1))),DATEVALUE(TRIM([1]RawShipmentData!B5)))</f>
        <v>45304</v>
      </c>
      <c r="C5" s="2" t="str">
        <f>PROPER(TRIM([1]RawShipmentData!C5))</f>
        <v>Hyderabad</v>
      </c>
      <c r="D5" s="2" t="str">
        <f>IFERROR(INDEX([1]HubMaster!$B$2:$B$7,MATCH(C5,[1]HubMaster!$A$2:$A$7,0)),"Unknown")</f>
        <v>West</v>
      </c>
      <c r="E5" s="2" t="str">
        <f>PROPER(TRIM(SUBSTITUTE([1]RawShipmentData!D5,"  "," ")))</f>
        <v>Blue Dart</v>
      </c>
      <c r="F5" s="2" t="str">
        <f>PROPER(TRIM([1]RawShipmentData!E5))</f>
        <v>Road</v>
      </c>
      <c r="G5" s="2" t="str">
        <f>PROPER(TRIM(SUBSTITUTE([1]RawShipmentData!F5,"  "," ")))</f>
        <v>Apparel</v>
      </c>
      <c r="H5" s="2" t="str">
        <f>PROPER(TRIM([1]RawShipmentData!G5))</f>
        <v>North</v>
      </c>
      <c r="I5" s="2" t="str">
        <f t="shared" si="0"/>
        <v>Yes</v>
      </c>
      <c r="J5" s="2">
        <f>IFERROR(VALUE(TRIM(SUBSTITUTE(UPPER([1]RawShipmentData!I5),"KG",""))),"")</f>
        <v>0.6</v>
      </c>
      <c r="K5" s="2">
        <f>VALUE(SUBSTITUTE(SUBSTITUTE(SUBSTITUTE(TRIM([1]RawShipmentData!J5),"₹",""),"Rs",""),",",""))</f>
        <v>165</v>
      </c>
      <c r="L5" s="2">
        <f>[1]RawShipmentData!K5</f>
        <v>8</v>
      </c>
      <c r="M5" s="3">
        <f>IF(TRIM([1]RawShipmentData!L5)="","",IF(ISNUMBER(SEARCH("/",TRIM([1]RawShipmentData!L5))),DATE(VALUE(RIGHT(TRIM([1]RawShipmentData!L5),4)),VALUE(MID(TRIM([1]RawShipmentData!L5),FIND("/",TRIM([1]RawShipmentData!L5))+1,2)),VALUE(LEFT(TRIM([1]RawShipmentData!L5),FIND("/",TRIM([1]RawShipmentData!L5))-1))),DATEVALUE(TRIM([1]RawShipmentData!L5))))</f>
        <v>45313</v>
      </c>
      <c r="N5" s="2">
        <f t="shared" si="1"/>
        <v>9</v>
      </c>
      <c r="O5" s="2">
        <f t="shared" si="2"/>
        <v>1</v>
      </c>
      <c r="P5" s="2" t="str">
        <f t="shared" si="3"/>
        <v>Late</v>
      </c>
      <c r="Q5" s="2" t="str">
        <f>PROPER(SUBSTITUTE(TRIM([1]RawShipmentData!M5)," ","-"))</f>
        <v>Delayed</v>
      </c>
      <c r="R5" s="4">
        <f t="shared" si="4"/>
        <v>275</v>
      </c>
      <c r="S5" s="2">
        <f>[1]RawShipmentData!N5</f>
        <v>3</v>
      </c>
      <c r="T5" s="2" t="str">
        <f>IF(OR(UPPER(TRIM([1]RawShipmentData!O5))="YES",UPPER(TRIM([1]RawShipmentData!O5))="Y"),"Yes","No")</f>
        <v>No</v>
      </c>
    </row>
    <row r="6" spans="1:20" x14ac:dyDescent="0.25">
      <c r="A6" s="2" t="str">
        <f>[1]RawShipmentData!A6</f>
        <v>SHP-101136</v>
      </c>
      <c r="B6" s="3">
        <f>IF(ISNUMBER(SEARCH("/",TRIM([1]RawShipmentData!B6))),DATE(VALUE(RIGHT(TRIM([1]RawShipmentData!B6),4)),VALUE(MID(TRIM([1]RawShipmentData!B6),FIND("/",TRIM([1]RawShipmentData!B6))+1,2)),VALUE(LEFT(TRIM([1]RawShipmentData!B6),FIND("/",TRIM([1]RawShipmentData!B6))-1))),DATEVALUE(TRIM([1]RawShipmentData!B6)))</f>
        <v>45398</v>
      </c>
      <c r="C6" s="2" t="str">
        <f>PROPER(TRIM([1]RawShipmentData!C6))</f>
        <v>Hyderabad</v>
      </c>
      <c r="D6" s="2" t="str">
        <f>IFERROR(INDEX([1]HubMaster!$B$2:$B$7,MATCH(C6,[1]HubMaster!$A$2:$A$7,0)),"Unknown")</f>
        <v>West</v>
      </c>
      <c r="E6" s="2" t="str">
        <f>PROPER(TRIM(SUBSTITUTE([1]RawShipmentData!D6,"  "," ")))</f>
        <v>Ecom Express</v>
      </c>
      <c r="F6" s="2" t="str">
        <f>PROPER(TRIM([1]RawShipmentData!E6))</f>
        <v>Road</v>
      </c>
      <c r="G6" s="2" t="str">
        <f>PROPER(TRIM(SUBSTITUTE([1]RawShipmentData!F6,"  "," ")))</f>
        <v>Electronics</v>
      </c>
      <c r="H6" s="2" t="str">
        <f>PROPER(TRIM([1]RawShipmentData!G6))</f>
        <v>North</v>
      </c>
      <c r="I6" s="2" t="str">
        <f t="shared" si="0"/>
        <v>Yes</v>
      </c>
      <c r="J6" s="2">
        <f>IFERROR(VALUE(TRIM(SUBSTITUTE(UPPER([1]RawShipmentData!I6),"KG",""))),"")</f>
        <v>8.1999999999999993</v>
      </c>
      <c r="K6" s="2">
        <f>VALUE(SUBSTITUTE(SUBSTITUTE(SUBSTITUTE(TRIM([1]RawShipmentData!J6),"₹",""),"Rs",""),",",""))</f>
        <v>282</v>
      </c>
      <c r="L6" s="2">
        <f>[1]RawShipmentData!K6</f>
        <v>8</v>
      </c>
      <c r="M6" s="3">
        <f>IF(TRIM([1]RawShipmentData!L6)="","",IF(ISNUMBER(SEARCH("/",TRIM([1]RawShipmentData!L6))),DATE(VALUE(RIGHT(TRIM([1]RawShipmentData!L6),4)),VALUE(MID(TRIM([1]RawShipmentData!L6),FIND("/",TRIM([1]RawShipmentData!L6))+1,2)),VALUE(LEFT(TRIM([1]RawShipmentData!L6),FIND("/",TRIM([1]RawShipmentData!L6))-1))),DATEVALUE(TRIM([1]RawShipmentData!L6))))</f>
        <v>45407</v>
      </c>
      <c r="N6" s="2">
        <f t="shared" si="1"/>
        <v>9</v>
      </c>
      <c r="O6" s="2">
        <f t="shared" si="2"/>
        <v>1</v>
      </c>
      <c r="P6" s="2" t="str">
        <f t="shared" si="3"/>
        <v>Late</v>
      </c>
      <c r="Q6" s="2" t="str">
        <f>PROPER(SUBSTITUTE(TRIM([1]RawShipmentData!M6)," ","-"))</f>
        <v>Delayed</v>
      </c>
      <c r="R6" s="4">
        <f t="shared" si="4"/>
        <v>34.390243902439025</v>
      </c>
      <c r="S6" s="2">
        <f>[1]RawShipmentData!N6</f>
        <v>1</v>
      </c>
      <c r="T6" s="2" t="str">
        <f>IF(OR(UPPER(TRIM([1]RawShipmentData!O6))="YES",UPPER(TRIM([1]RawShipmentData!O6))="Y"),"Yes","No")</f>
        <v>No</v>
      </c>
    </row>
    <row r="7" spans="1:20" x14ac:dyDescent="0.25">
      <c r="A7" s="2" t="str">
        <f>[1]RawShipmentData!A7</f>
        <v>SHP-101187</v>
      </c>
      <c r="B7" s="3">
        <f>IF(ISNUMBER(SEARCH("/",TRIM([1]RawShipmentData!B7))),DATE(VALUE(RIGHT(TRIM([1]RawShipmentData!B7),4)),VALUE(MID(TRIM([1]RawShipmentData!B7),FIND("/",TRIM([1]RawShipmentData!B7))+1,2)),VALUE(LEFT(TRIM([1]RawShipmentData!B7),FIND("/",TRIM([1]RawShipmentData!B7))-1))),DATEVALUE(TRIM([1]RawShipmentData!B7)))</f>
        <v>45375</v>
      </c>
      <c r="C7" s="2" t="str">
        <f>PROPER(TRIM([1]RawShipmentData!C7))</f>
        <v>Chennai</v>
      </c>
      <c r="D7" s="2" t="str">
        <f>IFERROR(INDEX([1]HubMaster!$B$2:$B$7,MATCH(C7,[1]HubMaster!$A$2:$A$7,0)),"Unknown")</f>
        <v>South</v>
      </c>
      <c r="E7" s="2" t="str">
        <f>PROPER(TRIM(SUBSTITUTE([1]RawShipmentData!D7,"  "," ")))</f>
        <v>Xpressbees</v>
      </c>
      <c r="F7" s="2" t="str">
        <f>PROPER(TRIM([1]RawShipmentData!E7))</f>
        <v>Surface</v>
      </c>
      <c r="G7" s="2" t="str">
        <f>PROPER(TRIM(SUBSTITUTE([1]RawShipmentData!F7,"  "," ")))</f>
        <v>Pharma</v>
      </c>
      <c r="H7" s="2" t="str">
        <f>PROPER(TRIM([1]RawShipmentData!G7))</f>
        <v>South</v>
      </c>
      <c r="I7" s="2" t="str">
        <f>IF(D7=H7,"No","Yes")</f>
        <v>No</v>
      </c>
      <c r="J7" s="2">
        <f>IFERROR(VALUE(TRIM(SUBSTITUTE(UPPER([1]RawShipmentData!I7),"KG",""))),"")</f>
        <v>1.4</v>
      </c>
      <c r="K7" s="2">
        <f>VALUE(SUBSTITUTE(SUBSTITUTE(SUBSTITUTE(TRIM([1]RawShipmentData!J7),"₹",""),"Rs",""),",",""))</f>
        <v>80</v>
      </c>
      <c r="L7" s="2">
        <f>[1]RawShipmentData!K7</f>
        <v>4</v>
      </c>
      <c r="M7" s="3">
        <f>IF(TRIM([1]RawShipmentData!L7)="","",IF(ISNUMBER(SEARCH("/",TRIM([1]RawShipmentData!L7))),DATE(VALUE(RIGHT(TRIM([1]RawShipmentData!L7),4)),VALUE(MID(TRIM([1]RawShipmentData!L7),FIND("/",TRIM([1]RawShipmentData!L7))+1,2)),VALUE(LEFT(TRIM([1]RawShipmentData!L7),FIND("/",TRIM([1]RawShipmentData!L7))-1))),DATEVALUE(TRIM([1]RawShipmentData!L7))))</f>
        <v>45379</v>
      </c>
      <c r="N7" s="2">
        <f t="shared" si="1"/>
        <v>4</v>
      </c>
      <c r="O7" s="2">
        <f t="shared" si="2"/>
        <v>0</v>
      </c>
      <c r="P7" s="2" t="str">
        <f t="shared" si="3"/>
        <v>On Time</v>
      </c>
      <c r="Q7" s="2" t="str">
        <f>PROPER(SUBSTITUTE(TRIM([1]RawShipmentData!M7)," ","-"))</f>
        <v>Delivered</v>
      </c>
      <c r="R7" s="4">
        <f t="shared" si="4"/>
        <v>57.142857142857146</v>
      </c>
      <c r="S7" s="2">
        <f>[1]RawShipmentData!N7</f>
        <v>5</v>
      </c>
      <c r="T7" s="2" t="str">
        <f>IF(OR(UPPER(TRIM([1]RawShipmentData!O7))="YES",UPPER(TRIM([1]RawShipmentData!O7))="Y"),"Yes","No")</f>
        <v>Yes</v>
      </c>
    </row>
    <row r="8" spans="1:20" x14ac:dyDescent="0.25">
      <c r="A8" s="2" t="str">
        <f>[1]RawShipmentData!A8</f>
        <v>SHP-101200</v>
      </c>
      <c r="B8" s="3">
        <f>IF(ISNUMBER(SEARCH("/",TRIM([1]RawShipmentData!B8))),DATE(VALUE(RIGHT(TRIM([1]RawShipmentData!B8),4)),VALUE(MID(TRIM([1]RawShipmentData!B8),FIND("/",TRIM([1]RawShipmentData!B8))+1,2)),VALUE(LEFT(TRIM([1]RawShipmentData!B8),FIND("/",TRIM([1]RawShipmentData!B8))-1))),DATEVALUE(TRIM([1]RawShipmentData!B8)))</f>
        <v>45365</v>
      </c>
      <c r="C8" s="2" t="str">
        <f>PROPER(TRIM([1]RawShipmentData!C8))</f>
        <v>Kolkata</v>
      </c>
      <c r="D8" s="2" t="str">
        <f>IFERROR(INDEX([1]HubMaster!$B$2:$B$7,MATCH(C8,[1]HubMaster!$A$2:$A$7,0)),"Unknown")</f>
        <v>East</v>
      </c>
      <c r="E8" s="2" t="str">
        <f>PROPER(TRIM(SUBSTITUTE([1]RawShipmentData!D8,"  "," ")))</f>
        <v>Delhivery</v>
      </c>
      <c r="F8" s="2" t="str">
        <f>PROPER(TRIM([1]RawShipmentData!E8))</f>
        <v>Road</v>
      </c>
      <c r="G8" s="2" t="str">
        <f>PROPER(TRIM(SUBSTITUTE([1]RawShipmentData!F8,"  "," ")))</f>
        <v>Pharma</v>
      </c>
      <c r="H8" s="2" t="str">
        <f>PROPER(TRIM([1]RawShipmentData!G8))</f>
        <v>West</v>
      </c>
      <c r="I8" s="2" t="str">
        <f t="shared" si="0"/>
        <v>Yes</v>
      </c>
      <c r="J8" s="2">
        <f>IFERROR(VALUE(TRIM(SUBSTITUTE(UPPER([1]RawShipmentData!I8),"KG",""))),"")</f>
        <v>0.8</v>
      </c>
      <c r="K8" s="2">
        <f>VALUE(SUBSTITUTE(SUBSTITUTE(SUBSTITUTE(TRIM([1]RawShipmentData!J8),"₹",""),"Rs",""),",",""))</f>
        <v>216</v>
      </c>
      <c r="L8" s="2">
        <f>[1]RawShipmentData!K8</f>
        <v>8</v>
      </c>
      <c r="M8" s="3">
        <f>IF(TRIM([1]RawShipmentData!L8)="","",IF(ISNUMBER(SEARCH("/",TRIM([1]RawShipmentData!L8))),DATE(VALUE(RIGHT(TRIM([1]RawShipmentData!L8),4)),VALUE(MID(TRIM([1]RawShipmentData!L8),FIND("/",TRIM([1]RawShipmentData!L8))+1,2)),VALUE(LEFT(TRIM([1]RawShipmentData!L8),FIND("/",TRIM([1]RawShipmentData!L8))-1))),DATEVALUE(TRIM([1]RawShipmentData!L8))))</f>
        <v>45374</v>
      </c>
      <c r="N8" s="2">
        <f t="shared" si="1"/>
        <v>9</v>
      </c>
      <c r="O8" s="2">
        <f t="shared" si="2"/>
        <v>1</v>
      </c>
      <c r="P8" s="2" t="str">
        <f t="shared" si="3"/>
        <v>Late</v>
      </c>
      <c r="Q8" s="2" t="str">
        <f>PROPER(SUBSTITUTE(TRIM([1]RawShipmentData!M8)," ","-"))</f>
        <v>Delayed</v>
      </c>
      <c r="R8" s="4">
        <f t="shared" si="4"/>
        <v>270</v>
      </c>
      <c r="S8" s="2">
        <f>[1]RawShipmentData!N8</f>
        <v>3</v>
      </c>
      <c r="T8" s="2" t="str">
        <f>IF(OR(UPPER(TRIM([1]RawShipmentData!O8))="YES",UPPER(TRIM([1]RawShipmentData!O8))="Y"),"Yes","No")</f>
        <v>No</v>
      </c>
    </row>
    <row r="9" spans="1:20" x14ac:dyDescent="0.25">
      <c r="A9" s="2" t="str">
        <f>[1]RawShipmentData!A9</f>
        <v>SHP-100807</v>
      </c>
      <c r="B9" s="3">
        <f>IF(ISNUMBER(SEARCH("/",TRIM([1]RawShipmentData!B9))),DATE(VALUE(RIGHT(TRIM([1]RawShipmentData!B9),4)),VALUE(MID(TRIM([1]RawShipmentData!B9),FIND("/",TRIM([1]RawShipmentData!B9))+1,2)),VALUE(LEFT(TRIM([1]RawShipmentData!B9),FIND("/",TRIM([1]RawShipmentData!B9))-1))),DATEVALUE(TRIM([1]RawShipmentData!B9)))</f>
        <v>45316</v>
      </c>
      <c r="C9" s="2" t="str">
        <f>PROPER(TRIM([1]RawShipmentData!C9))</f>
        <v>Hyderabad</v>
      </c>
      <c r="D9" s="2" t="str">
        <f>IFERROR(INDEX([1]HubMaster!$B$2:$B$7,MATCH(C9,[1]HubMaster!$A$2:$A$7,0)),"Unknown")</f>
        <v>West</v>
      </c>
      <c r="E9" s="2" t="str">
        <f>PROPER(TRIM(SUBSTITUTE([1]RawShipmentData!D9,"  "," ")))</f>
        <v>Ecom Express</v>
      </c>
      <c r="F9" s="2" t="str">
        <f>PROPER(TRIM([1]RawShipmentData!E9))</f>
        <v>Road</v>
      </c>
      <c r="G9" s="2" t="str">
        <f>PROPER(TRIM(SUBSTITUTE([1]RawShipmentData!F9,"  "," ")))</f>
        <v>Pharma</v>
      </c>
      <c r="H9" s="2" t="str">
        <f>PROPER(TRIM([1]RawShipmentData!G9))</f>
        <v>North</v>
      </c>
      <c r="I9" s="2" t="str">
        <f t="shared" si="0"/>
        <v>Yes</v>
      </c>
      <c r="J9" s="2">
        <f>IFERROR(VALUE(TRIM(SUBSTITUTE(UPPER([1]RawShipmentData!I9),"KG",""))),"")</f>
        <v>3.6</v>
      </c>
      <c r="K9" s="2">
        <f>VALUE(SUBSTITUTE(SUBSTITUTE(SUBSTITUTE(TRIM([1]RawShipmentData!J9),"₹",""),"Rs",""),",",""))</f>
        <v>181</v>
      </c>
      <c r="L9" s="2">
        <f>[1]RawShipmentData!K9</f>
        <v>8</v>
      </c>
      <c r="M9" s="3">
        <f>IF(TRIM([1]RawShipmentData!L9)="","",IF(ISNUMBER(SEARCH("/",TRIM([1]RawShipmentData!L9))),DATE(VALUE(RIGHT(TRIM([1]RawShipmentData!L9),4)),VALUE(MID(TRIM([1]RawShipmentData!L9),FIND("/",TRIM([1]RawShipmentData!L9))+1,2)),VALUE(LEFT(TRIM([1]RawShipmentData!L9),FIND("/",TRIM([1]RawShipmentData!L9))-1))),DATEVALUE(TRIM([1]RawShipmentData!L9))))</f>
        <v>45324</v>
      </c>
      <c r="N9" s="2">
        <f t="shared" si="1"/>
        <v>8</v>
      </c>
      <c r="O9" s="2">
        <f t="shared" si="2"/>
        <v>0</v>
      </c>
      <c r="P9" s="2" t="str">
        <f t="shared" si="3"/>
        <v>On Time</v>
      </c>
      <c r="Q9" s="2" t="str">
        <f>PROPER(SUBSTITUTE(TRIM([1]RawShipmentData!M9)," ","-"))</f>
        <v>Delivered</v>
      </c>
      <c r="R9" s="4">
        <f t="shared" si="4"/>
        <v>50.277777777777779</v>
      </c>
      <c r="S9" s="2">
        <f>[1]RawShipmentData!N9</f>
        <v>5</v>
      </c>
      <c r="T9" s="2" t="str">
        <f>IF(OR(UPPER(TRIM([1]RawShipmentData!O9))="YES",UPPER(TRIM([1]RawShipmentData!O9))="Y"),"Yes","No")</f>
        <v>Yes</v>
      </c>
    </row>
    <row r="10" spans="1:20" x14ac:dyDescent="0.25">
      <c r="A10" s="2" t="str">
        <f>[1]RawShipmentData!A10</f>
        <v>SHP-100405</v>
      </c>
      <c r="B10" s="3">
        <f>IF(ISNUMBER(SEARCH("/",TRIM([1]RawShipmentData!B10))),DATE(VALUE(RIGHT(TRIM([1]RawShipmentData!B10),4)),VALUE(MID(TRIM([1]RawShipmentData!B10),FIND("/",TRIM([1]RawShipmentData!B10))+1,2)),VALUE(LEFT(TRIM([1]RawShipmentData!B10),FIND("/",TRIM([1]RawShipmentData!B10))-1))),DATEVALUE(TRIM([1]RawShipmentData!B10)))</f>
        <v>45327</v>
      </c>
      <c r="C10" s="2" t="str">
        <f>PROPER(TRIM([1]RawShipmentData!C10))</f>
        <v>Hyderabad</v>
      </c>
      <c r="D10" s="2" t="str">
        <f>IFERROR(INDEX([1]HubMaster!$B$2:$B$7,MATCH(C10,[1]HubMaster!$A$2:$A$7,0)),"Unknown")</f>
        <v>West</v>
      </c>
      <c r="E10" s="2" t="str">
        <f>PROPER(TRIM(SUBSTITUTE([1]RawShipmentData!D10,"  "," ")))</f>
        <v>Ecom Express</v>
      </c>
      <c r="F10" s="2" t="str">
        <f>PROPER(TRIM([1]RawShipmentData!E10))</f>
        <v>Surface</v>
      </c>
      <c r="G10" s="2" t="str">
        <f>PROPER(TRIM(SUBSTITUTE([1]RawShipmentData!F10,"  "," ")))</f>
        <v>Automotive Parts</v>
      </c>
      <c r="H10" s="2" t="str">
        <f>PROPER(TRIM([1]RawShipmentData!G10))</f>
        <v>West</v>
      </c>
      <c r="I10" s="2" t="str">
        <f t="shared" si="0"/>
        <v>No</v>
      </c>
      <c r="J10" s="2">
        <f>IFERROR(VALUE(TRIM(SUBSTITUTE(UPPER([1]RawShipmentData!I10),"KG",""))),"")</f>
        <v>20</v>
      </c>
      <c r="K10" s="2">
        <f>VALUE(SUBSTITUTE(SUBSTITUTE(SUBSTITUTE(TRIM([1]RawShipmentData!J10),"₹",""),"Rs",""),",",""))</f>
        <v>477</v>
      </c>
      <c r="L10" s="2">
        <f>[1]RawShipmentData!K10</f>
        <v>4</v>
      </c>
      <c r="M10" s="3">
        <f>IF(TRIM([1]RawShipmentData!L10)="","",IF(ISNUMBER(SEARCH("/",TRIM([1]RawShipmentData!L10))),DATE(VALUE(RIGHT(TRIM([1]RawShipmentData!L10),4)),VALUE(MID(TRIM([1]RawShipmentData!L10),FIND("/",TRIM([1]RawShipmentData!L10))+1,2)),VALUE(LEFT(TRIM([1]RawShipmentData!L10),FIND("/",TRIM([1]RawShipmentData!L10))-1))),DATEVALUE(TRIM([1]RawShipmentData!L10))))</f>
        <v>45336</v>
      </c>
      <c r="N10" s="2">
        <f t="shared" si="1"/>
        <v>9</v>
      </c>
      <c r="O10" s="2">
        <f t="shared" si="2"/>
        <v>5</v>
      </c>
      <c r="P10" s="2" t="str">
        <f t="shared" si="3"/>
        <v>Late</v>
      </c>
      <c r="Q10" s="2" t="str">
        <f>PROPER(SUBSTITUTE(TRIM([1]RawShipmentData!M10)," ","-"))</f>
        <v>Delayed</v>
      </c>
      <c r="R10" s="4">
        <f t="shared" si="4"/>
        <v>23.85</v>
      </c>
      <c r="S10" s="2">
        <f>[1]RawShipmentData!N10</f>
        <v>5</v>
      </c>
      <c r="T10" s="2" t="str">
        <f>IF(OR(UPPER(TRIM([1]RawShipmentData!O10))="YES",UPPER(TRIM([1]RawShipmentData!O10))="Y"),"Yes","No")</f>
        <v>No</v>
      </c>
    </row>
    <row r="11" spans="1:20" x14ac:dyDescent="0.25">
      <c r="A11" s="2" t="str">
        <f>[1]RawShipmentData!A11</f>
        <v>SHP-100758</v>
      </c>
      <c r="B11" s="3">
        <f>IF(ISNUMBER(SEARCH("/",TRIM([1]RawShipmentData!B11))),DATE(VALUE(RIGHT(TRIM([1]RawShipmentData!B11),4)),VALUE(MID(TRIM([1]RawShipmentData!B11),FIND("/",TRIM([1]RawShipmentData!B11))+1,2)),VALUE(LEFT(TRIM([1]RawShipmentData!B11),FIND("/",TRIM([1]RawShipmentData!B11))-1))),DATEVALUE(TRIM([1]RawShipmentData!B11)))</f>
        <v>45454</v>
      </c>
      <c r="C11" s="2" t="str">
        <f>PROPER(TRIM([1]RawShipmentData!C11))</f>
        <v>Bengaluru</v>
      </c>
      <c r="D11" s="2" t="str">
        <f>IFERROR(INDEX([1]HubMaster!$B$2:$B$7,MATCH(C11,[1]HubMaster!$A$2:$A$7,0)),"Unknown")</f>
        <v>South</v>
      </c>
      <c r="E11" s="2" t="str">
        <f>PROPER(TRIM(SUBSTITUTE([1]RawShipmentData!D11,"  "," ")))</f>
        <v>Xpressbees</v>
      </c>
      <c r="F11" s="2" t="str">
        <f>PROPER(TRIM([1]RawShipmentData!E11))</f>
        <v>Road</v>
      </c>
      <c r="G11" s="2" t="str">
        <f>PROPER(TRIM(SUBSTITUTE([1]RawShipmentData!F11,"  "," ")))</f>
        <v>Apparel</v>
      </c>
      <c r="H11" s="2" t="str">
        <f>PROPER(TRIM([1]RawShipmentData!G11))</f>
        <v>South</v>
      </c>
      <c r="I11" s="2" t="str">
        <f t="shared" si="0"/>
        <v>No</v>
      </c>
      <c r="J11" s="2">
        <f>IFERROR(VALUE(TRIM(SUBSTITUTE(UPPER([1]RawShipmentData!I11),"KG",""))),"")</f>
        <v>2.8</v>
      </c>
      <c r="K11" s="2">
        <f>VALUE(SUBSTITUTE(SUBSTITUTE(SUBSTITUTE(TRIM([1]RawShipmentData!J11),"₹",""),"Rs",""),",",""))</f>
        <v>80</v>
      </c>
      <c r="L11" s="2">
        <f>[1]RawShipmentData!K11</f>
        <v>6</v>
      </c>
      <c r="M11" s="3">
        <f>IF(TRIM([1]RawShipmentData!L11)="","",IF(ISNUMBER(SEARCH("/",TRIM([1]RawShipmentData!L11))),DATE(VALUE(RIGHT(TRIM([1]RawShipmentData!L11),4)),VALUE(MID(TRIM([1]RawShipmentData!L11),FIND("/",TRIM([1]RawShipmentData!L11))+1,2)),VALUE(LEFT(TRIM([1]RawShipmentData!L11),FIND("/",TRIM([1]RawShipmentData!L11))-1))),DATEVALUE(TRIM([1]RawShipmentData!L11))))</f>
        <v>45465</v>
      </c>
      <c r="N11" s="2">
        <f t="shared" si="1"/>
        <v>11</v>
      </c>
      <c r="O11" s="2">
        <f t="shared" si="2"/>
        <v>5</v>
      </c>
      <c r="P11" s="2" t="str">
        <f t="shared" si="3"/>
        <v>Late</v>
      </c>
      <c r="Q11" s="2" t="str">
        <f>PROPER(SUBSTITUTE(TRIM([1]RawShipmentData!M11)," ","-"))</f>
        <v>Delayed</v>
      </c>
      <c r="R11" s="4">
        <f t="shared" si="4"/>
        <v>28.571428571428573</v>
      </c>
      <c r="S11" s="2">
        <f>[1]RawShipmentData!N11</f>
        <v>3</v>
      </c>
      <c r="T11" s="2" t="str">
        <f>IF(OR(UPPER(TRIM([1]RawShipmentData!O11))="YES",UPPER(TRIM([1]RawShipmentData!O11))="Y"),"Yes","No")</f>
        <v>No</v>
      </c>
    </row>
    <row r="12" spans="1:20" x14ac:dyDescent="0.25">
      <c r="A12" s="2" t="str">
        <f>[1]RawShipmentData!A12</f>
        <v>SHP-100042</v>
      </c>
      <c r="B12" s="3">
        <f>IF(ISNUMBER(SEARCH("/",TRIM([1]RawShipmentData!B12))),DATE(VALUE(RIGHT(TRIM([1]RawShipmentData!B12),4)),VALUE(MID(TRIM([1]RawShipmentData!B12),FIND("/",TRIM([1]RawShipmentData!B12))+1,2)),VALUE(LEFT(TRIM([1]RawShipmentData!B12),FIND("/",TRIM([1]RawShipmentData!B12))-1))),DATEVALUE(TRIM([1]RawShipmentData!B12)))</f>
        <v>45463</v>
      </c>
      <c r="C12" s="2" t="str">
        <f>PROPER(TRIM([1]RawShipmentData!C12))</f>
        <v>Mumbai</v>
      </c>
      <c r="D12" s="2" t="str">
        <f>IFERROR(INDEX([1]HubMaster!$B$2:$B$7,MATCH(C12,[1]HubMaster!$A$2:$A$7,0)),"Unknown")</f>
        <v>West</v>
      </c>
      <c r="E12" s="2" t="str">
        <f>PROPER(TRIM(SUBSTITUTE([1]RawShipmentData!D12,"  "," ")))</f>
        <v>Delhivery</v>
      </c>
      <c r="F12" s="2" t="str">
        <f>PROPER(TRIM([1]RawShipmentData!E12))</f>
        <v>Surface</v>
      </c>
      <c r="G12" s="2" t="str">
        <f>PROPER(TRIM(SUBSTITUTE([1]RawShipmentData!F12,"  "," ")))</f>
        <v>Furniture</v>
      </c>
      <c r="H12" s="2" t="str">
        <f>PROPER(TRIM([1]RawShipmentData!G12))</f>
        <v>West</v>
      </c>
      <c r="I12" s="2" t="str">
        <f t="shared" si="0"/>
        <v>No</v>
      </c>
      <c r="J12" s="2">
        <f>IFERROR(VALUE(TRIM(SUBSTITUTE(UPPER([1]RawShipmentData!I12),"KG",""))),"")</f>
        <v>24.5</v>
      </c>
      <c r="K12" s="2">
        <f>VALUE(SUBSTITUTE(SUBSTITUTE(SUBSTITUTE(TRIM([1]RawShipmentData!J12),"₹",""),"Rs",""),",",""))</f>
        <v>512</v>
      </c>
      <c r="L12" s="2">
        <f>[1]RawShipmentData!K12</f>
        <v>4</v>
      </c>
      <c r="M12" s="3">
        <f>IF(TRIM([1]RawShipmentData!L12)="","",IF(ISNUMBER(SEARCH("/",TRIM([1]RawShipmentData!L12))),DATE(VALUE(RIGHT(TRIM([1]RawShipmentData!L12),4)),VALUE(MID(TRIM([1]RawShipmentData!L12),FIND("/",TRIM([1]RawShipmentData!L12))+1,2)),VALUE(LEFT(TRIM([1]RawShipmentData!L12),FIND("/",TRIM([1]RawShipmentData!L12))-1))),DATEVALUE(TRIM([1]RawShipmentData!L12))))</f>
        <v>45475</v>
      </c>
      <c r="N12" s="2">
        <f t="shared" si="1"/>
        <v>12</v>
      </c>
      <c r="O12" s="2">
        <f t="shared" si="2"/>
        <v>8</v>
      </c>
      <c r="P12" s="2" t="str">
        <f t="shared" si="3"/>
        <v>Late</v>
      </c>
      <c r="Q12" s="2" t="str">
        <f>PROPER(SUBSTITUTE(TRIM([1]RawShipmentData!M12)," ","-"))</f>
        <v>Delayed</v>
      </c>
      <c r="R12" s="4">
        <f t="shared" si="4"/>
        <v>20.897959183673468</v>
      </c>
      <c r="S12" s="2">
        <f>[1]RawShipmentData!N12</f>
        <v>3</v>
      </c>
      <c r="T12" s="2" t="str">
        <f>IF(OR(UPPER(TRIM([1]RawShipmentData!O12))="YES",UPPER(TRIM([1]RawShipmentData!O12))="Y"),"Yes","No")</f>
        <v>Yes</v>
      </c>
    </row>
    <row r="13" spans="1:20" x14ac:dyDescent="0.25">
      <c r="A13" s="2" t="str">
        <f>[1]RawShipmentData!A13</f>
        <v>SHP-101596</v>
      </c>
      <c r="B13" s="3">
        <f>IF(ISNUMBER(SEARCH("/",TRIM([1]RawShipmentData!B13))),DATE(VALUE(RIGHT(TRIM([1]RawShipmentData!B13),4)),VALUE(MID(TRIM([1]RawShipmentData!B13),FIND("/",TRIM([1]RawShipmentData!B13))+1,2)),VALUE(LEFT(TRIM([1]RawShipmentData!B13),FIND("/",TRIM([1]RawShipmentData!B13))-1))),DATEVALUE(TRIM([1]RawShipmentData!B13)))</f>
        <v>45327</v>
      </c>
      <c r="C13" s="2" t="str">
        <f>PROPER(TRIM([1]RawShipmentData!C13))</f>
        <v>Mumbai</v>
      </c>
      <c r="D13" s="2" t="str">
        <f>IFERROR(INDEX([1]HubMaster!$B$2:$B$7,MATCH(C13,[1]HubMaster!$A$2:$A$7,0)),"Unknown")</f>
        <v>West</v>
      </c>
      <c r="E13" s="2" t="str">
        <f>PROPER(TRIM(SUBSTITUTE([1]RawShipmentData!D13,"  "," ")))</f>
        <v>Dtdc</v>
      </c>
      <c r="F13" s="2" t="str">
        <f>PROPER(TRIM([1]RawShipmentData!E13))</f>
        <v>Road</v>
      </c>
      <c r="G13" s="2" t="str">
        <f>PROPER(TRIM(SUBSTITUTE([1]RawShipmentData!F13,"  "," ")))</f>
        <v>Grocery &amp; Fmcg</v>
      </c>
      <c r="H13" s="2" t="str">
        <f>PROPER(TRIM([1]RawShipmentData!G13))</f>
        <v>North</v>
      </c>
      <c r="I13" s="2" t="str">
        <f t="shared" si="0"/>
        <v>Yes</v>
      </c>
      <c r="J13" s="2">
        <f>IFERROR(VALUE(TRIM(SUBSTITUTE(UPPER([1]RawShipmentData!I13),"KG",""))),"")</f>
        <v>8.1999999999999993</v>
      </c>
      <c r="K13" s="2">
        <f>VALUE(SUBSTITUTE(SUBSTITUTE(SUBSTITUTE(TRIM([1]RawShipmentData!J13),"₹",""),"Rs",""),",",""))</f>
        <v>301</v>
      </c>
      <c r="L13" s="2">
        <f>[1]RawShipmentData!K13</f>
        <v>8</v>
      </c>
      <c r="M13" s="3">
        <f>IF(TRIM([1]RawShipmentData!L13)="","",IF(ISNUMBER(SEARCH("/",TRIM([1]RawShipmentData!L13))),DATE(VALUE(RIGHT(TRIM([1]RawShipmentData!L13),4)),VALUE(MID(TRIM([1]RawShipmentData!L13),FIND("/",TRIM([1]RawShipmentData!L13))+1,2)),VALUE(LEFT(TRIM([1]RawShipmentData!L13),FIND("/",TRIM([1]RawShipmentData!L13))-1))),DATEVALUE(TRIM([1]RawShipmentData!L13))))</f>
        <v>45335</v>
      </c>
      <c r="N13" s="2">
        <f t="shared" si="1"/>
        <v>8</v>
      </c>
      <c r="O13" s="2">
        <f t="shared" si="2"/>
        <v>0</v>
      </c>
      <c r="P13" s="2" t="str">
        <f t="shared" si="3"/>
        <v>On Time</v>
      </c>
      <c r="Q13" s="2" t="str">
        <f>PROPER(SUBSTITUTE(TRIM([1]RawShipmentData!M13)," ","-"))</f>
        <v>Delivered</v>
      </c>
      <c r="R13" s="4">
        <f t="shared" si="4"/>
        <v>36.707317073170735</v>
      </c>
      <c r="S13" s="2">
        <f>[1]RawShipmentData!N13</f>
        <v>5</v>
      </c>
      <c r="T13" s="2" t="str">
        <f>IF(OR(UPPER(TRIM([1]RawShipmentData!O13))="YES",UPPER(TRIM([1]RawShipmentData!O13))="Y"),"Yes","No")</f>
        <v>Yes</v>
      </c>
    </row>
    <row r="14" spans="1:20" x14ac:dyDescent="0.25">
      <c r="A14" s="2" t="str">
        <f>[1]RawShipmentData!A14</f>
        <v>SHP-101460</v>
      </c>
      <c r="B14" s="3">
        <f>IF(ISNUMBER(SEARCH("/",TRIM([1]RawShipmentData!B14))),DATE(VALUE(RIGHT(TRIM([1]RawShipmentData!B14),4)),VALUE(MID(TRIM([1]RawShipmentData!B14),FIND("/",TRIM([1]RawShipmentData!B14))+1,2)),VALUE(LEFT(TRIM([1]RawShipmentData!B14),FIND("/",TRIM([1]RawShipmentData!B14))-1))),DATEVALUE(TRIM([1]RawShipmentData!B14)))</f>
        <v>45325</v>
      </c>
      <c r="C14" s="2" t="str">
        <f>PROPER(TRIM([1]RawShipmentData!C14))</f>
        <v>Mumbai</v>
      </c>
      <c r="D14" s="2" t="str">
        <f>IFERROR(INDEX([1]HubMaster!$B$2:$B$7,MATCH(C14,[1]HubMaster!$A$2:$A$7,0)),"Unknown")</f>
        <v>West</v>
      </c>
      <c r="E14" s="2" t="str">
        <f>PROPER(TRIM(SUBSTITUTE([1]RawShipmentData!D14,"  "," ")))</f>
        <v>Xpressbees</v>
      </c>
      <c r="F14" s="2" t="str">
        <f>PROPER(TRIM([1]RawShipmentData!E14))</f>
        <v>Air</v>
      </c>
      <c r="G14" s="2" t="str">
        <f>PROPER(TRIM(SUBSTITUTE([1]RawShipmentData!F14,"  "," ")))</f>
        <v>Pharma</v>
      </c>
      <c r="H14" s="2" t="str">
        <f>PROPER(TRIM([1]RawShipmentData!G14))</f>
        <v>North</v>
      </c>
      <c r="I14" s="2" t="str">
        <f t="shared" si="0"/>
        <v>Yes</v>
      </c>
      <c r="J14" s="2">
        <f>IFERROR(VALUE(TRIM(SUBSTITUTE(UPPER([1]RawShipmentData!I14),"KG",""))),"")</f>
        <v>4</v>
      </c>
      <c r="K14" s="2">
        <f>VALUE(SUBSTITUTE(SUBSTITUTE(SUBSTITUTE(TRIM([1]RawShipmentData!J14),"₹",""),"Rs",""),",",""))</f>
        <v>387</v>
      </c>
      <c r="L14" s="2">
        <f>[1]RawShipmentData!K14</f>
        <v>4</v>
      </c>
      <c r="M14" s="3">
        <f>IF(TRIM([1]RawShipmentData!L14)="","",IF(ISNUMBER(SEARCH("/",TRIM([1]RawShipmentData!L14))),DATE(VALUE(RIGHT(TRIM([1]RawShipmentData!L14),4)),VALUE(MID(TRIM([1]RawShipmentData!L14),FIND("/",TRIM([1]RawShipmentData!L14))+1,2)),VALUE(LEFT(TRIM([1]RawShipmentData!L14),FIND("/",TRIM([1]RawShipmentData!L14))-1))),DATEVALUE(TRIM([1]RawShipmentData!L14))))</f>
        <v>45328</v>
      </c>
      <c r="N14" s="2">
        <f t="shared" si="1"/>
        <v>3</v>
      </c>
      <c r="O14" s="2">
        <f t="shared" si="2"/>
        <v>-1</v>
      </c>
      <c r="P14" s="2" t="str">
        <f t="shared" si="3"/>
        <v>On Time</v>
      </c>
      <c r="Q14" s="2" t="str">
        <f>PROPER(SUBSTITUTE(TRIM([1]RawShipmentData!M14)," ","-"))</f>
        <v>Delivered</v>
      </c>
      <c r="R14" s="4">
        <f t="shared" si="4"/>
        <v>96.75</v>
      </c>
      <c r="S14" s="2">
        <f>[1]RawShipmentData!N14</f>
        <v>5</v>
      </c>
      <c r="T14" s="2" t="str">
        <f>IF(OR(UPPER(TRIM([1]RawShipmentData!O14))="YES",UPPER(TRIM([1]RawShipmentData!O14))="Y"),"Yes","No")</f>
        <v>Yes</v>
      </c>
    </row>
    <row r="15" spans="1:20" x14ac:dyDescent="0.25">
      <c r="A15" s="2" t="str">
        <f>[1]RawShipmentData!A15</f>
        <v>SHP-100719</v>
      </c>
      <c r="B15" s="3">
        <f>IF(ISNUMBER(SEARCH("/",TRIM([1]RawShipmentData!B15))),DATE(VALUE(RIGHT(TRIM([1]RawShipmentData!B15),4)),VALUE(MID(TRIM([1]RawShipmentData!B15),FIND("/",TRIM([1]RawShipmentData!B15))+1,2)),VALUE(LEFT(TRIM([1]RawShipmentData!B15),FIND("/",TRIM([1]RawShipmentData!B15))-1))),DATEVALUE(TRIM([1]RawShipmentData!B15)))</f>
        <v>45448</v>
      </c>
      <c r="C15" s="2" t="str">
        <f>PROPER(TRIM([1]RawShipmentData!C15))</f>
        <v>Hyderabad</v>
      </c>
      <c r="D15" s="2" t="str">
        <f>IFERROR(INDEX([1]HubMaster!$B$2:$B$7,MATCH(C15,[1]HubMaster!$A$2:$A$7,0)),"Unknown")</f>
        <v>West</v>
      </c>
      <c r="E15" s="2" t="str">
        <f>PROPER(TRIM(SUBSTITUTE([1]RawShipmentData!D15,"  "," ")))</f>
        <v>Dtdc</v>
      </c>
      <c r="F15" s="2" t="str">
        <f>PROPER(TRIM([1]RawShipmentData!E15))</f>
        <v>Road</v>
      </c>
      <c r="G15" s="2" t="str">
        <f>PROPER(TRIM(SUBSTITUTE([1]RawShipmentData!F15,"  "," ")))</f>
        <v>Furniture</v>
      </c>
      <c r="H15" s="2" t="str">
        <f>PROPER(TRIM([1]RawShipmentData!G15))</f>
        <v>South</v>
      </c>
      <c r="I15" s="2" t="str">
        <f t="shared" si="0"/>
        <v>Yes</v>
      </c>
      <c r="J15" s="2">
        <f>IFERROR(VALUE(TRIM(SUBSTITUTE(UPPER([1]RawShipmentData!I15),"KG",""))),"")</f>
        <v>23.9</v>
      </c>
      <c r="K15" s="2">
        <f>VALUE(SUBSTITUTE(SUBSTITUTE(SUBSTITUTE(TRIM([1]RawShipmentData!J15),"₹",""),"Rs",""),",",""))</f>
        <v>538</v>
      </c>
      <c r="L15" s="2">
        <f>[1]RawShipmentData!K15</f>
        <v>8</v>
      </c>
      <c r="M15" s="3">
        <f>IF(TRIM([1]RawShipmentData!L15)="","",IF(ISNUMBER(SEARCH("/",TRIM([1]RawShipmentData!L15))),DATE(VALUE(RIGHT(TRIM([1]RawShipmentData!L15),4)),VALUE(MID(TRIM([1]RawShipmentData!L15),FIND("/",TRIM([1]RawShipmentData!L15))+1,2)),VALUE(LEFT(TRIM([1]RawShipmentData!L15),FIND("/",TRIM([1]RawShipmentData!L15))-1))),DATEVALUE(TRIM([1]RawShipmentData!L15))))</f>
        <v>45461</v>
      </c>
      <c r="N15" s="2">
        <f t="shared" si="1"/>
        <v>13</v>
      </c>
      <c r="O15" s="2">
        <f t="shared" si="2"/>
        <v>5</v>
      </c>
      <c r="P15" s="2" t="str">
        <f t="shared" si="3"/>
        <v>Late</v>
      </c>
      <c r="Q15" s="2" t="str">
        <f>PROPER(SUBSTITUTE(TRIM([1]RawShipmentData!M15)," ","-"))</f>
        <v>Delayed</v>
      </c>
      <c r="R15" s="4">
        <f t="shared" si="4"/>
        <v>22.510460251046027</v>
      </c>
      <c r="S15" s="2">
        <f>[1]RawShipmentData!N15</f>
        <v>1</v>
      </c>
      <c r="T15" s="2" t="str">
        <f>IF(OR(UPPER(TRIM([1]RawShipmentData!O15))="YES",UPPER(TRIM([1]RawShipmentData!O15))="Y"),"Yes","No")</f>
        <v>No</v>
      </c>
    </row>
    <row r="16" spans="1:20" x14ac:dyDescent="0.25">
      <c r="A16" s="2" t="str">
        <f>[1]RawShipmentData!A16</f>
        <v>SHP-101543</v>
      </c>
      <c r="B16" s="3">
        <f>IF(ISNUMBER(SEARCH("/",TRIM([1]RawShipmentData!B16))),DATE(VALUE(RIGHT(TRIM([1]RawShipmentData!B16),4)),VALUE(MID(TRIM([1]RawShipmentData!B16),FIND("/",TRIM([1]RawShipmentData!B16))+1,2)),VALUE(LEFT(TRIM([1]RawShipmentData!B16),FIND("/",TRIM([1]RawShipmentData!B16))-1))),DATEVALUE(TRIM([1]RawShipmentData!B16)))</f>
        <v>45293</v>
      </c>
      <c r="C16" s="2" t="str">
        <f>PROPER(TRIM([1]RawShipmentData!C16))</f>
        <v>Chennai</v>
      </c>
      <c r="D16" s="2" t="str">
        <f>IFERROR(INDEX([1]HubMaster!$B$2:$B$7,MATCH(C16,[1]HubMaster!$A$2:$A$7,0)),"Unknown")</f>
        <v>South</v>
      </c>
      <c r="E16" s="2" t="str">
        <f>PROPER(TRIM(SUBSTITUTE([1]RawShipmentData!D16,"  "," ")))</f>
        <v>Xpressbees</v>
      </c>
      <c r="F16" s="2" t="str">
        <f>PROPER(TRIM([1]RawShipmentData!E16))</f>
        <v>Surface</v>
      </c>
      <c r="G16" s="2" t="str">
        <f>PROPER(TRIM(SUBSTITUTE([1]RawShipmentData!F16,"  "," ")))</f>
        <v>Automotive Parts</v>
      </c>
      <c r="H16" s="2" t="str">
        <f>PROPER(TRIM([1]RawShipmentData!G16))</f>
        <v>West</v>
      </c>
      <c r="I16" s="2" t="str">
        <f t="shared" si="0"/>
        <v>Yes</v>
      </c>
      <c r="J16" s="2">
        <f>IFERROR(VALUE(TRIM(SUBSTITUTE(UPPER([1]RawShipmentData!I16),"KG",""))),"")</f>
        <v>8.9</v>
      </c>
      <c r="K16" s="2">
        <f>VALUE(SUBSTITUTE(SUBSTITUTE(SUBSTITUTE(TRIM([1]RawShipmentData!J16),"₹",""),"Rs",""),",",""))</f>
        <v>335</v>
      </c>
      <c r="L16" s="2">
        <f>[1]RawShipmentData!K16</f>
        <v>6</v>
      </c>
      <c r="M16" s="3">
        <f>IF(TRIM([1]RawShipmentData!L16)="","",IF(ISNUMBER(SEARCH("/",TRIM([1]RawShipmentData!L16))),DATE(VALUE(RIGHT(TRIM([1]RawShipmentData!L16),4)),VALUE(MID(TRIM([1]RawShipmentData!L16),FIND("/",TRIM([1]RawShipmentData!L16))+1,2)),VALUE(LEFT(TRIM([1]RawShipmentData!L16),FIND("/",TRIM([1]RawShipmentData!L16))-1))),DATEVALUE(TRIM([1]RawShipmentData!L16))))</f>
        <v>45298</v>
      </c>
      <c r="N16" s="2">
        <f t="shared" si="1"/>
        <v>5</v>
      </c>
      <c r="O16" s="2">
        <f t="shared" si="2"/>
        <v>-1</v>
      </c>
      <c r="P16" s="2" t="str">
        <f t="shared" si="3"/>
        <v>On Time</v>
      </c>
      <c r="Q16" s="2" t="str">
        <f>PROPER(SUBSTITUTE(TRIM([1]RawShipmentData!M16)," ","-"))</f>
        <v>Delivered</v>
      </c>
      <c r="R16" s="4">
        <f t="shared" si="4"/>
        <v>37.640449438202246</v>
      </c>
      <c r="S16" s="2">
        <f>[1]RawShipmentData!N16</f>
        <v>4</v>
      </c>
      <c r="T16" s="2" t="str">
        <f>IF(OR(UPPER(TRIM([1]RawShipmentData!O16))="YES",UPPER(TRIM([1]RawShipmentData!O16))="Y"),"Yes","No")</f>
        <v>Yes</v>
      </c>
    </row>
    <row r="17" spans="1:20" x14ac:dyDescent="0.25">
      <c r="A17" s="2" t="str">
        <f>[1]RawShipmentData!A17</f>
        <v>SHP-101265</v>
      </c>
      <c r="B17" s="3">
        <f>IF(ISNUMBER(SEARCH("/",TRIM([1]RawShipmentData!B17))),DATE(VALUE(RIGHT(TRIM([1]RawShipmentData!B17),4)),VALUE(MID(TRIM([1]RawShipmentData!B17),FIND("/",TRIM([1]RawShipmentData!B17))+1,2)),VALUE(LEFT(TRIM([1]RawShipmentData!B17),FIND("/",TRIM([1]RawShipmentData!B17))-1))),DATEVALUE(TRIM([1]RawShipmentData!B17)))</f>
        <v>45343</v>
      </c>
      <c r="C17" s="2" t="str">
        <f>PROPER(TRIM([1]RawShipmentData!C17))</f>
        <v>Bengaluru</v>
      </c>
      <c r="D17" s="2" t="str">
        <f>IFERROR(INDEX([1]HubMaster!$B$2:$B$7,MATCH(C17,[1]HubMaster!$A$2:$A$7,0)),"Unknown")</f>
        <v>South</v>
      </c>
      <c r="E17" s="2" t="str">
        <f>PROPER(TRIM(SUBSTITUTE([1]RawShipmentData!D17,"  "," ")))</f>
        <v>Dtdc</v>
      </c>
      <c r="F17" s="2" t="str">
        <f>PROPER(TRIM([1]RawShipmentData!E17))</f>
        <v>Air</v>
      </c>
      <c r="G17" s="2" t="str">
        <f>PROPER(TRIM(SUBSTITUTE([1]RawShipmentData!F17,"  "," ")))</f>
        <v>Electronics</v>
      </c>
      <c r="H17" s="2" t="str">
        <f>PROPER(TRIM([1]RawShipmentData!G17))</f>
        <v>North</v>
      </c>
      <c r="I17" s="2" t="str">
        <f t="shared" si="0"/>
        <v>Yes</v>
      </c>
      <c r="J17" s="2">
        <f>IFERROR(VALUE(TRIM(SUBSTITUTE(UPPER([1]RawShipmentData!I17),"KG",""))),"")</f>
        <v>8.1</v>
      </c>
      <c r="K17" s="2">
        <f>VALUE(SUBSTITUTE(SUBSTITUTE(SUBSTITUTE(TRIM([1]RawShipmentData!J17),"₹",""),"Rs",""),",",""))</f>
        <v>524</v>
      </c>
      <c r="L17" s="2">
        <f>[1]RawShipmentData!K17</f>
        <v>4</v>
      </c>
      <c r="M17" s="3">
        <f>IF(TRIM([1]RawShipmentData!L17)="","",IF(ISNUMBER(SEARCH("/",TRIM([1]RawShipmentData!L17))),DATE(VALUE(RIGHT(TRIM([1]RawShipmentData!L17),4)),VALUE(MID(TRIM([1]RawShipmentData!L17),FIND("/",TRIM([1]RawShipmentData!L17))+1,2)),VALUE(LEFT(TRIM([1]RawShipmentData!L17),FIND("/",TRIM([1]RawShipmentData!L17))-1))),DATEVALUE(TRIM([1]RawShipmentData!L17))))</f>
        <v>45347</v>
      </c>
      <c r="N17" s="2">
        <f t="shared" si="1"/>
        <v>4</v>
      </c>
      <c r="O17" s="2">
        <f t="shared" si="2"/>
        <v>0</v>
      </c>
      <c r="P17" s="2" t="str">
        <f t="shared" si="3"/>
        <v>On Time</v>
      </c>
      <c r="Q17" s="2" t="str">
        <f>PROPER(SUBSTITUTE(TRIM([1]RawShipmentData!M17)," ","-"))</f>
        <v>Delivered</v>
      </c>
      <c r="R17" s="4">
        <f t="shared" si="4"/>
        <v>64.691358024691354</v>
      </c>
      <c r="S17" s="2">
        <f>[1]RawShipmentData!N17</f>
        <v>5</v>
      </c>
      <c r="T17" s="2" t="str">
        <f>IF(OR(UPPER(TRIM([1]RawShipmentData!O17))="YES",UPPER(TRIM([1]RawShipmentData!O17))="Y"),"Yes","No")</f>
        <v>Yes</v>
      </c>
    </row>
    <row r="18" spans="1:20" x14ac:dyDescent="0.25">
      <c r="A18" s="2" t="str">
        <f>[1]RawShipmentData!A18</f>
        <v>SHP-100040</v>
      </c>
      <c r="B18" s="3">
        <f>IF(ISNUMBER(SEARCH("/",TRIM([1]RawShipmentData!B18))),DATE(VALUE(RIGHT(TRIM([1]RawShipmentData!B18),4)),VALUE(MID(TRIM([1]RawShipmentData!B18),FIND("/",TRIM([1]RawShipmentData!B18))+1,2)),VALUE(LEFT(TRIM([1]RawShipmentData!B18),FIND("/",TRIM([1]RawShipmentData!B18))-1))),DATEVALUE(TRIM([1]RawShipmentData!B18)))</f>
        <v>45414</v>
      </c>
      <c r="C18" s="2" t="str">
        <f>PROPER(TRIM([1]RawShipmentData!C18))</f>
        <v>Delhi</v>
      </c>
      <c r="D18" s="2" t="str">
        <f>IFERROR(INDEX([1]HubMaster!$B$2:$B$7,MATCH(C18,[1]HubMaster!$A$2:$A$7,0)),"Unknown")</f>
        <v>North</v>
      </c>
      <c r="E18" s="2" t="str">
        <f>PROPER(TRIM(SUBSTITUTE([1]RawShipmentData!D18,"  "," ")))</f>
        <v>Blue Dart</v>
      </c>
      <c r="F18" s="2" t="str">
        <f>PROPER(TRIM([1]RawShipmentData!E18))</f>
        <v>Road</v>
      </c>
      <c r="G18" s="2" t="str">
        <f>PROPER(TRIM(SUBSTITUTE([1]RawShipmentData!F18,"  "," ")))</f>
        <v>Pharma</v>
      </c>
      <c r="H18" s="2" t="str">
        <f>PROPER(TRIM([1]RawShipmentData!G18))</f>
        <v>West</v>
      </c>
      <c r="I18" s="2" t="str">
        <f t="shared" si="0"/>
        <v>Yes</v>
      </c>
      <c r="J18" s="2">
        <f>IFERROR(VALUE(TRIM(SUBSTITUTE(UPPER([1]RawShipmentData!I18),"KG",""))),"")</f>
        <v>3.8</v>
      </c>
      <c r="K18" s="2">
        <f>VALUE(SUBSTITUTE(SUBSTITUTE(SUBSTITUTE(TRIM([1]RawShipmentData!J18),"₹",""),"Rs",""),",",""))</f>
        <v>225</v>
      </c>
      <c r="L18" s="2">
        <f>[1]RawShipmentData!K18</f>
        <v>8</v>
      </c>
      <c r="M18" s="3">
        <f>IF(TRIM([1]RawShipmentData!L18)="","",IF(ISNUMBER(SEARCH("/",TRIM([1]RawShipmentData!L18))),DATE(VALUE(RIGHT(TRIM([1]RawShipmentData!L18),4)),VALUE(MID(TRIM([1]RawShipmentData!L18),FIND("/",TRIM([1]RawShipmentData!L18))+1,2)),VALUE(LEFT(TRIM([1]RawShipmentData!L18),FIND("/",TRIM([1]RawShipmentData!L18))-1))),DATEVALUE(TRIM([1]RawShipmentData!L18))))</f>
        <v>45421</v>
      </c>
      <c r="N18" s="2">
        <f t="shared" si="1"/>
        <v>7</v>
      </c>
      <c r="O18" s="2">
        <f t="shared" si="2"/>
        <v>-1</v>
      </c>
      <c r="P18" s="2" t="str">
        <f t="shared" si="3"/>
        <v>On Time</v>
      </c>
      <c r="Q18" s="2" t="str">
        <f>PROPER(SUBSTITUTE(TRIM([1]RawShipmentData!M18)," ","-"))</f>
        <v>Delivered</v>
      </c>
      <c r="R18" s="4">
        <f t="shared" si="4"/>
        <v>59.21052631578948</v>
      </c>
      <c r="S18" s="2">
        <f>[1]RawShipmentData!N18</f>
        <v>4</v>
      </c>
      <c r="T18" s="2" t="str">
        <f>IF(OR(UPPER(TRIM([1]RawShipmentData!O18))="YES",UPPER(TRIM([1]RawShipmentData!O18))="Y"),"Yes","No")</f>
        <v>No</v>
      </c>
    </row>
    <row r="19" spans="1:20" x14ac:dyDescent="0.25">
      <c r="A19" s="2" t="str">
        <f>[1]RawShipmentData!A19</f>
        <v>SHP-101367</v>
      </c>
      <c r="B19" s="3">
        <f>IF(ISNUMBER(SEARCH("/",TRIM([1]RawShipmentData!B19))),DATE(VALUE(RIGHT(TRIM([1]RawShipmentData!B19),4)),VALUE(MID(TRIM([1]RawShipmentData!B19),FIND("/",TRIM([1]RawShipmentData!B19))+1,2)),VALUE(LEFT(TRIM([1]RawShipmentData!B19),FIND("/",TRIM([1]RawShipmentData!B19))-1))),DATEVALUE(TRIM([1]RawShipmentData!B19)))</f>
        <v>45447</v>
      </c>
      <c r="C19" s="2" t="str">
        <f>PROPER(TRIM([1]RawShipmentData!C19))</f>
        <v>Hyderabad</v>
      </c>
      <c r="D19" s="2" t="str">
        <f>IFERROR(INDEX([1]HubMaster!$B$2:$B$7,MATCH(C19,[1]HubMaster!$A$2:$A$7,0)),"Unknown")</f>
        <v>West</v>
      </c>
      <c r="E19" s="2" t="str">
        <f>PROPER(TRIM(SUBSTITUTE([1]RawShipmentData!D19,"  "," ")))</f>
        <v>Ecom Express</v>
      </c>
      <c r="F19" s="2" t="str">
        <f>PROPER(TRIM([1]RawShipmentData!E19))</f>
        <v>Air</v>
      </c>
      <c r="G19" s="2" t="str">
        <f>PROPER(TRIM(SUBSTITUTE([1]RawShipmentData!F19,"  "," ")))</f>
        <v>Apparel</v>
      </c>
      <c r="H19" s="2" t="str">
        <f>PROPER(TRIM([1]RawShipmentData!G19))</f>
        <v>West</v>
      </c>
      <c r="I19" s="2" t="str">
        <f t="shared" si="0"/>
        <v>No</v>
      </c>
      <c r="J19" s="2">
        <f>IFERROR(VALUE(TRIM(SUBSTITUTE(UPPER([1]RawShipmentData!I19),"KG",""))),"")</f>
        <v>4.5999999999999996</v>
      </c>
      <c r="K19" s="2">
        <f>VALUE(SUBSTITUTE(SUBSTITUTE(SUBSTITUTE(TRIM([1]RawShipmentData!J19),"₹",""),"Rs",""),",",""))</f>
        <v>237</v>
      </c>
      <c r="L19" s="2">
        <f>[1]RawShipmentData!K19</f>
        <v>2</v>
      </c>
      <c r="M19" s="3">
        <f>IF(TRIM([1]RawShipmentData!L19)="","",IF(ISNUMBER(SEARCH("/",TRIM([1]RawShipmentData!L19))),DATE(VALUE(RIGHT(TRIM([1]RawShipmentData!L19),4)),VALUE(MID(TRIM([1]RawShipmentData!L19),FIND("/",TRIM([1]RawShipmentData!L19))+1,2)),VALUE(LEFT(TRIM([1]RawShipmentData!L19),FIND("/",TRIM([1]RawShipmentData!L19))-1))),DATEVALUE(TRIM([1]RawShipmentData!L19))))</f>
        <v>45449</v>
      </c>
      <c r="N19" s="2">
        <f t="shared" si="1"/>
        <v>2</v>
      </c>
      <c r="O19" s="2">
        <f t="shared" si="2"/>
        <v>0</v>
      </c>
      <c r="P19" s="2" t="str">
        <f t="shared" si="3"/>
        <v>On Time</v>
      </c>
      <c r="Q19" s="2" t="str">
        <f>PROPER(SUBSTITUTE(TRIM([1]RawShipmentData!M19)," ","-"))</f>
        <v>Delivered</v>
      </c>
      <c r="R19" s="4">
        <f t="shared" si="4"/>
        <v>51.521739130434788</v>
      </c>
      <c r="S19" s="2">
        <f>[1]RawShipmentData!N19</f>
        <v>5</v>
      </c>
      <c r="T19" s="2" t="str">
        <f>IF(OR(UPPER(TRIM([1]RawShipmentData!O19))="YES",UPPER(TRIM([1]RawShipmentData!O19))="Y"),"Yes","No")</f>
        <v>Yes</v>
      </c>
    </row>
    <row r="20" spans="1:20" x14ac:dyDescent="0.25">
      <c r="A20" s="2" t="str">
        <f>[1]RawShipmentData!A20</f>
        <v>SHP-101061</v>
      </c>
      <c r="B20" s="3">
        <f>IF(ISNUMBER(SEARCH("/",TRIM([1]RawShipmentData!B20))),DATE(VALUE(RIGHT(TRIM([1]RawShipmentData!B20),4)),VALUE(MID(TRIM([1]RawShipmentData!B20),FIND("/",TRIM([1]RawShipmentData!B20))+1,2)),VALUE(LEFT(TRIM([1]RawShipmentData!B20),FIND("/",TRIM([1]RawShipmentData!B20))-1))),DATEVALUE(TRIM([1]RawShipmentData!B20)))</f>
        <v>45445</v>
      </c>
      <c r="C20" s="2" t="str">
        <f>PROPER(TRIM([1]RawShipmentData!C20))</f>
        <v>Delhi</v>
      </c>
      <c r="D20" s="2" t="str">
        <f>IFERROR(INDEX([1]HubMaster!$B$2:$B$7,MATCH(C20,[1]HubMaster!$A$2:$A$7,0)),"Unknown")</f>
        <v>North</v>
      </c>
      <c r="E20" s="2" t="str">
        <f>PROPER(TRIM(SUBSTITUTE([1]RawShipmentData!D20,"  "," ")))</f>
        <v>Xpressbees</v>
      </c>
      <c r="F20" s="2" t="str">
        <f>PROPER(TRIM([1]RawShipmentData!E20))</f>
        <v>Road</v>
      </c>
      <c r="G20" s="2" t="str">
        <f>PROPER(TRIM(SUBSTITUTE([1]RawShipmentData!F20,"  "," ")))</f>
        <v>Apparel</v>
      </c>
      <c r="H20" s="2" t="str">
        <f>PROPER(TRIM([1]RawShipmentData!G20))</f>
        <v>West</v>
      </c>
      <c r="I20" s="2" t="str">
        <f t="shared" si="0"/>
        <v>Yes</v>
      </c>
      <c r="J20" s="2">
        <f>IFERROR(VALUE(TRIM(SUBSTITUTE(UPPER([1]RawShipmentData!I20),"KG",""))),"")</f>
        <v>3.7</v>
      </c>
      <c r="K20" s="2">
        <f>VALUE(SUBSTITUTE(SUBSTITUTE(SUBSTITUTE(TRIM([1]RawShipmentData!J20),"₹",""),"Rs",""),",",""))</f>
        <v>203</v>
      </c>
      <c r="L20" s="2">
        <f>[1]RawShipmentData!K20</f>
        <v>8</v>
      </c>
      <c r="M20" s="3">
        <f>IF(TRIM([1]RawShipmentData!L20)="","",IF(ISNUMBER(SEARCH("/",TRIM([1]RawShipmentData!L20))),DATE(VALUE(RIGHT(TRIM([1]RawShipmentData!L20),4)),VALUE(MID(TRIM([1]RawShipmentData!L20),FIND("/",TRIM([1]RawShipmentData!L20))+1,2)),VALUE(LEFT(TRIM([1]RawShipmentData!L20),FIND("/",TRIM([1]RawShipmentData!L20))-1))),DATEVALUE(TRIM([1]RawShipmentData!L20))))</f>
        <v>45453</v>
      </c>
      <c r="N20" s="2">
        <f t="shared" si="1"/>
        <v>8</v>
      </c>
      <c r="O20" s="2">
        <f t="shared" si="2"/>
        <v>0</v>
      </c>
      <c r="P20" s="2" t="str">
        <f t="shared" si="3"/>
        <v>On Time</v>
      </c>
      <c r="Q20" s="2" t="str">
        <f>PROPER(SUBSTITUTE(TRIM([1]RawShipmentData!M20)," ","-"))</f>
        <v>Delivered</v>
      </c>
      <c r="R20" s="4">
        <f t="shared" si="4"/>
        <v>54.864864864864863</v>
      </c>
      <c r="S20" s="2">
        <f>[1]RawShipmentData!N20</f>
        <v>5</v>
      </c>
      <c r="T20" s="2" t="str">
        <f>IF(OR(UPPER(TRIM([1]RawShipmentData!O20))="YES",UPPER(TRIM([1]RawShipmentData!O20))="Y"),"Yes","No")</f>
        <v>No</v>
      </c>
    </row>
    <row r="21" spans="1:20" x14ac:dyDescent="0.25">
      <c r="A21" s="2" t="str">
        <f>[1]RawShipmentData!A21</f>
        <v>SHP-101426</v>
      </c>
      <c r="B21" s="3">
        <f>IF(ISNUMBER(SEARCH("/",TRIM([1]RawShipmentData!B21))),DATE(VALUE(RIGHT(TRIM([1]RawShipmentData!B21),4)),VALUE(MID(TRIM([1]RawShipmentData!B21),FIND("/",TRIM([1]RawShipmentData!B21))+1,2)),VALUE(LEFT(TRIM([1]RawShipmentData!B21),FIND("/",TRIM([1]RawShipmentData!B21))-1))),DATEVALUE(TRIM([1]RawShipmentData!B21)))</f>
        <v>45302</v>
      </c>
      <c r="C21" s="2" t="str">
        <f>PROPER(TRIM([1]RawShipmentData!C21))</f>
        <v>Chennai</v>
      </c>
      <c r="D21" s="2" t="str">
        <f>IFERROR(INDEX([1]HubMaster!$B$2:$B$7,MATCH(C21,[1]HubMaster!$A$2:$A$7,0)),"Unknown")</f>
        <v>South</v>
      </c>
      <c r="E21" s="2" t="str">
        <f>PROPER(TRIM(SUBSTITUTE([1]RawShipmentData!D21,"  "," ")))</f>
        <v>Ecom Express</v>
      </c>
      <c r="F21" s="2" t="str">
        <f>PROPER(TRIM([1]RawShipmentData!E21))</f>
        <v>Surface</v>
      </c>
      <c r="G21" s="2" t="str">
        <f>PROPER(TRIM(SUBSTITUTE([1]RawShipmentData!F21,"  "," ")))</f>
        <v>Electronics</v>
      </c>
      <c r="H21" s="2" t="str">
        <f>PROPER(TRIM([1]RawShipmentData!G21))</f>
        <v>West</v>
      </c>
      <c r="I21" s="2" t="str">
        <f t="shared" si="0"/>
        <v>Yes</v>
      </c>
      <c r="J21" s="2">
        <f>IFERROR(VALUE(TRIM(SUBSTITUTE(UPPER([1]RawShipmentData!I21),"KG",""))),"")</f>
        <v>11</v>
      </c>
      <c r="K21" s="2">
        <f>VALUE(SUBSTITUTE(SUBSTITUTE(SUBSTITUTE(TRIM([1]RawShipmentData!J21),"₹",""),"Rs",""),",",""))</f>
        <v>375</v>
      </c>
      <c r="L21" s="2">
        <f>[1]RawShipmentData!K21</f>
        <v>6</v>
      </c>
      <c r="M21" s="3">
        <f>IF(TRIM([1]RawShipmentData!L21)="","",IF(ISNUMBER(SEARCH("/",TRIM([1]RawShipmentData!L21))),DATE(VALUE(RIGHT(TRIM([1]RawShipmentData!L21),4)),VALUE(MID(TRIM([1]RawShipmentData!L21),FIND("/",TRIM([1]RawShipmentData!L21))+1,2)),VALUE(LEFT(TRIM([1]RawShipmentData!L21),FIND("/",TRIM([1]RawShipmentData!L21))-1))),DATEVALUE(TRIM([1]RawShipmentData!L21))))</f>
        <v>45309</v>
      </c>
      <c r="N21" s="2">
        <f t="shared" si="1"/>
        <v>7</v>
      </c>
      <c r="O21" s="2">
        <f t="shared" si="2"/>
        <v>1</v>
      </c>
      <c r="P21" s="2" t="str">
        <f t="shared" si="3"/>
        <v>Late</v>
      </c>
      <c r="Q21" s="2" t="str">
        <f>PROPER(SUBSTITUTE(TRIM([1]RawShipmentData!M21)," ","-"))</f>
        <v>Delayed</v>
      </c>
      <c r="R21" s="4">
        <f t="shared" si="4"/>
        <v>34.090909090909093</v>
      </c>
      <c r="S21" s="2">
        <f>[1]RawShipmentData!N21</f>
        <v>3</v>
      </c>
      <c r="T21" s="2" t="str">
        <f>IF(OR(UPPER(TRIM([1]RawShipmentData!O21))="YES",UPPER(TRIM([1]RawShipmentData!O21))="Y"),"Yes","No")</f>
        <v>No</v>
      </c>
    </row>
    <row r="22" spans="1:20" x14ac:dyDescent="0.25">
      <c r="A22" s="2" t="str">
        <f>[1]RawShipmentData!A22</f>
        <v>SHP-100215</v>
      </c>
      <c r="B22" s="3">
        <f>IF(ISNUMBER(SEARCH("/",TRIM([1]RawShipmentData!B22))),DATE(VALUE(RIGHT(TRIM([1]RawShipmentData!B22),4)),VALUE(MID(TRIM([1]RawShipmentData!B22),FIND("/",TRIM([1]RawShipmentData!B22))+1,2)),VALUE(LEFT(TRIM([1]RawShipmentData!B22),FIND("/",TRIM([1]RawShipmentData!B22))-1))),DATEVALUE(TRIM([1]RawShipmentData!B22)))</f>
        <v>45425</v>
      </c>
      <c r="C22" s="2" t="str">
        <f>PROPER(TRIM([1]RawShipmentData!C22))</f>
        <v>Hyderabad</v>
      </c>
      <c r="D22" s="2" t="str">
        <f>IFERROR(INDEX([1]HubMaster!$B$2:$B$7,MATCH(C22,[1]HubMaster!$A$2:$A$7,0)),"Unknown")</f>
        <v>West</v>
      </c>
      <c r="E22" s="2" t="str">
        <f>PROPER(TRIM(SUBSTITUTE([1]RawShipmentData!D22,"  "," ")))</f>
        <v>Xpressbees</v>
      </c>
      <c r="F22" s="2" t="str">
        <f>PROPER(TRIM([1]RawShipmentData!E22))</f>
        <v>Air</v>
      </c>
      <c r="G22" s="2" t="str">
        <f>PROPER(TRIM(SUBSTITUTE([1]RawShipmentData!F22,"  "," ")))</f>
        <v>Apparel</v>
      </c>
      <c r="H22" s="2" t="str">
        <f>PROPER(TRIM([1]RawShipmentData!G22))</f>
        <v>West</v>
      </c>
      <c r="I22" s="2" t="str">
        <f t="shared" si="0"/>
        <v>No</v>
      </c>
      <c r="J22" s="2">
        <f>IFERROR(VALUE(TRIM(SUBSTITUTE(UPPER([1]RawShipmentData!I22),"KG",""))),"")</f>
        <v>1.8</v>
      </c>
      <c r="K22" s="2">
        <f>VALUE(SUBSTITUTE(SUBSTITUTE(SUBSTITUTE(TRIM([1]RawShipmentData!J22),"₹",""),"Rs",""),",",""))</f>
        <v>80</v>
      </c>
      <c r="L22" s="2">
        <f>[1]RawShipmentData!K22</f>
        <v>2</v>
      </c>
      <c r="M22" s="3">
        <f>IF(TRIM([1]RawShipmentData!L22)="","",IF(ISNUMBER(SEARCH("/",TRIM([1]RawShipmentData!L22))),DATE(VALUE(RIGHT(TRIM([1]RawShipmentData!L22),4)),VALUE(MID(TRIM([1]RawShipmentData!L22),FIND("/",TRIM([1]RawShipmentData!L22))+1,2)),VALUE(LEFT(TRIM([1]RawShipmentData!L22),FIND("/",TRIM([1]RawShipmentData!L22))-1))),DATEVALUE(TRIM([1]RawShipmentData!L22))))</f>
        <v>45427</v>
      </c>
      <c r="N22" s="2">
        <f t="shared" si="1"/>
        <v>2</v>
      </c>
      <c r="O22" s="2">
        <f t="shared" si="2"/>
        <v>0</v>
      </c>
      <c r="P22" s="2" t="str">
        <f t="shared" si="3"/>
        <v>On Time</v>
      </c>
      <c r="Q22" s="2" t="str">
        <f>PROPER(SUBSTITUTE(TRIM([1]RawShipmentData!M22)," ","-"))</f>
        <v>Delivered</v>
      </c>
      <c r="R22" s="4">
        <f t="shared" si="4"/>
        <v>44.444444444444443</v>
      </c>
      <c r="S22" s="2">
        <f>[1]RawShipmentData!N22</f>
        <v>4</v>
      </c>
      <c r="T22" s="2" t="str">
        <f>IF(OR(UPPER(TRIM([1]RawShipmentData!O22))="YES",UPPER(TRIM([1]RawShipmentData!O22))="Y"),"Yes","No")</f>
        <v>No</v>
      </c>
    </row>
    <row r="23" spans="1:20" x14ac:dyDescent="0.25">
      <c r="A23" s="2" t="str">
        <f>[1]RawShipmentData!A23</f>
        <v>SHP-100452</v>
      </c>
      <c r="B23" s="3">
        <f>IF(ISNUMBER(SEARCH("/",TRIM([1]RawShipmentData!B23))),DATE(VALUE(RIGHT(TRIM([1]RawShipmentData!B23),4)),VALUE(MID(TRIM([1]RawShipmentData!B23),FIND("/",TRIM([1]RawShipmentData!B23))+1,2)),VALUE(LEFT(TRIM([1]RawShipmentData!B23),FIND("/",TRIM([1]RawShipmentData!B23))-1))),DATEVALUE(TRIM([1]RawShipmentData!B23)))</f>
        <v>45313</v>
      </c>
      <c r="C23" s="2" t="str">
        <f>PROPER(TRIM([1]RawShipmentData!C23))</f>
        <v>Mumbai</v>
      </c>
      <c r="D23" s="2" t="str">
        <f>IFERROR(INDEX([1]HubMaster!$B$2:$B$7,MATCH(C23,[1]HubMaster!$A$2:$A$7,0)),"Unknown")</f>
        <v>West</v>
      </c>
      <c r="E23" s="2" t="str">
        <f>PROPER(TRIM(SUBSTITUTE([1]RawShipmentData!D23,"  "," ")))</f>
        <v>Delhivery</v>
      </c>
      <c r="F23" s="2" t="str">
        <f>PROPER(TRIM([1]RawShipmentData!E23))</f>
        <v>Surface</v>
      </c>
      <c r="G23" s="2" t="str">
        <f>PROPER(TRIM(SUBSTITUTE([1]RawShipmentData!F23,"  "," ")))</f>
        <v>Pharma</v>
      </c>
      <c r="H23" s="2" t="str">
        <f>PROPER(TRIM([1]RawShipmentData!G23))</f>
        <v>West</v>
      </c>
      <c r="I23" s="2" t="str">
        <f t="shared" si="0"/>
        <v>No</v>
      </c>
      <c r="J23" s="2">
        <f>IFERROR(VALUE(TRIM(SUBSTITUTE(UPPER([1]RawShipmentData!I23),"KG",""))),"")</f>
        <v>1.1000000000000001</v>
      </c>
      <c r="K23" s="2">
        <f>VALUE(SUBSTITUTE(SUBSTITUTE(SUBSTITUTE(TRIM([1]RawShipmentData!J23),"₹",""),"Rs",""),",",""))</f>
        <v>80</v>
      </c>
      <c r="L23" s="2">
        <f>[1]RawShipmentData!K23</f>
        <v>4</v>
      </c>
      <c r="M23" s="3">
        <f>IF(TRIM([1]RawShipmentData!L23)="","",IF(ISNUMBER(SEARCH("/",TRIM([1]RawShipmentData!L23))),DATE(VALUE(RIGHT(TRIM([1]RawShipmentData!L23),4)),VALUE(MID(TRIM([1]RawShipmentData!L23),FIND("/",TRIM([1]RawShipmentData!L23))+1,2)),VALUE(LEFT(TRIM([1]RawShipmentData!L23),FIND("/",TRIM([1]RawShipmentData!L23))-1))),DATEVALUE(TRIM([1]RawShipmentData!L23))))</f>
        <v>45318</v>
      </c>
      <c r="N23" s="2">
        <f>IF(M23="","",M23-B23)</f>
        <v>5</v>
      </c>
      <c r="O23" s="2">
        <f t="shared" si="2"/>
        <v>1</v>
      </c>
      <c r="P23" s="2" t="str">
        <f t="shared" si="3"/>
        <v>Late</v>
      </c>
      <c r="Q23" s="2" t="str">
        <f>PROPER(SUBSTITUTE(TRIM([1]RawShipmentData!M23)," ","-"))</f>
        <v>Delayed</v>
      </c>
      <c r="R23" s="4">
        <f t="shared" si="4"/>
        <v>72.72727272727272</v>
      </c>
      <c r="S23" s="2">
        <f>[1]RawShipmentData!N23</f>
        <v>3</v>
      </c>
      <c r="T23" s="2" t="str">
        <f>IF(OR(UPPER(TRIM([1]RawShipmentData!O23))="YES",UPPER(TRIM([1]RawShipmentData!O23))="Y"),"Yes","No")</f>
        <v>Yes</v>
      </c>
    </row>
    <row r="24" spans="1:20" x14ac:dyDescent="0.25">
      <c r="A24" s="2" t="str">
        <f>[1]RawShipmentData!A24</f>
        <v>SHP-100481</v>
      </c>
      <c r="B24" s="3">
        <f>IF(ISNUMBER(SEARCH("/",TRIM([1]RawShipmentData!B24))),DATE(VALUE(RIGHT(TRIM([1]RawShipmentData!B24),4)),VALUE(MID(TRIM([1]RawShipmentData!B24),FIND("/",TRIM([1]RawShipmentData!B24))+1,2)),VALUE(LEFT(TRIM([1]RawShipmentData!B24),FIND("/",TRIM([1]RawShipmentData!B24))-1))),DATEVALUE(TRIM([1]RawShipmentData!B24)))</f>
        <v>45298</v>
      </c>
      <c r="C24" s="2" t="str">
        <f>PROPER(TRIM([1]RawShipmentData!C24))</f>
        <v/>
      </c>
      <c r="D24" s="2" t="str">
        <f>IFERROR(INDEX([1]HubMaster!$B$2:$B$7,MATCH(C24,[1]HubMaster!$A$2:$A$7,0)),"Unknown")</f>
        <v>Unknown</v>
      </c>
      <c r="E24" s="2" t="str">
        <f>PROPER(TRIM(SUBSTITUTE([1]RawShipmentData!D24,"  "," ")))</f>
        <v>Ecom Express</v>
      </c>
      <c r="F24" s="2" t="str">
        <f>PROPER(TRIM([1]RawShipmentData!E24))</f>
        <v>Surface</v>
      </c>
      <c r="G24" s="2" t="str">
        <f>PROPER(TRIM(SUBSTITUTE([1]RawShipmentData!F24,"  "," ")))</f>
        <v>Apparel</v>
      </c>
      <c r="H24" s="2" t="str">
        <f>PROPER(TRIM([1]RawShipmentData!G24))</f>
        <v>West</v>
      </c>
      <c r="I24" s="2" t="str">
        <f t="shared" si="0"/>
        <v>Yes</v>
      </c>
      <c r="J24" s="2">
        <f>IFERROR(VALUE(TRIM(SUBSTITUTE(UPPER([1]RawShipmentData!I24),"KG",""))),"")</f>
        <v>4.8</v>
      </c>
      <c r="K24" s="2">
        <f>VALUE(SUBSTITUTE(SUBSTITUTE(SUBSTITUTE(TRIM([1]RawShipmentData!J24),"₹",""),"Rs",""),",",""))</f>
        <v>149</v>
      </c>
      <c r="L24" s="2">
        <f>[1]RawShipmentData!K24</f>
        <v>4</v>
      </c>
      <c r="M24" s="3">
        <f>IF(TRIM([1]RawShipmentData!L24)="","",IF(ISNUMBER(SEARCH("/",TRIM([1]RawShipmentData!L24))),DATE(VALUE(RIGHT(TRIM([1]RawShipmentData!L24),4)),VALUE(MID(TRIM([1]RawShipmentData!L24),FIND("/",TRIM([1]RawShipmentData!L24))+1,2)),VALUE(LEFT(TRIM([1]RawShipmentData!L24),FIND("/",TRIM([1]RawShipmentData!L24))-1))),DATEVALUE(TRIM([1]RawShipmentData!L24))))</f>
        <v>45302</v>
      </c>
      <c r="N24" s="2">
        <f t="shared" si="1"/>
        <v>4</v>
      </c>
      <c r="O24" s="2">
        <f t="shared" si="2"/>
        <v>0</v>
      </c>
      <c r="P24" s="2" t="str">
        <f t="shared" si="3"/>
        <v>On Time</v>
      </c>
      <c r="Q24" s="2" t="str">
        <f>PROPER(SUBSTITUTE(TRIM([1]RawShipmentData!M24)," ","-"))</f>
        <v>Delivered</v>
      </c>
      <c r="R24" s="4">
        <f t="shared" si="4"/>
        <v>31.041666666666668</v>
      </c>
      <c r="S24" s="2">
        <f>[1]RawShipmentData!N24</f>
        <v>5</v>
      </c>
      <c r="T24" s="2" t="str">
        <f>IF(OR(UPPER(TRIM([1]RawShipmentData!O24))="YES",UPPER(TRIM([1]RawShipmentData!O24))="Y"),"Yes","No")</f>
        <v>Yes</v>
      </c>
    </row>
    <row r="25" spans="1:20" x14ac:dyDescent="0.25">
      <c r="A25" s="2" t="str">
        <f>[1]RawShipmentData!A25</f>
        <v>SHP-100835</v>
      </c>
      <c r="B25" s="3">
        <f>IF(ISNUMBER(SEARCH("/",TRIM([1]RawShipmentData!B25))),DATE(VALUE(RIGHT(TRIM([1]RawShipmentData!B25),4)),VALUE(MID(TRIM([1]RawShipmentData!B25),FIND("/",TRIM([1]RawShipmentData!B25))+1,2)),VALUE(LEFT(TRIM([1]RawShipmentData!B25),FIND("/",TRIM([1]RawShipmentData!B25))-1))),DATEVALUE(TRIM([1]RawShipmentData!B25)))</f>
        <v>45341</v>
      </c>
      <c r="C25" s="2" t="str">
        <f>PROPER(TRIM([1]RawShipmentData!C25))</f>
        <v>Bengaluru</v>
      </c>
      <c r="D25" s="2" t="str">
        <f>IFERROR(INDEX([1]HubMaster!$B$2:$B$7,MATCH(C25,[1]HubMaster!$A$2:$A$7,0)),"Unknown")</f>
        <v>South</v>
      </c>
      <c r="E25" s="2" t="str">
        <f>PROPER(TRIM(SUBSTITUTE([1]RawShipmentData!D25,"  "," ")))</f>
        <v>Delhivery</v>
      </c>
      <c r="F25" s="2" t="str">
        <f>PROPER(TRIM([1]RawShipmentData!E25))</f>
        <v>Air</v>
      </c>
      <c r="G25" s="2" t="str">
        <f>PROPER(TRIM(SUBSTITUTE([1]RawShipmentData!F25,"  "," ")))</f>
        <v/>
      </c>
      <c r="H25" s="2" t="str">
        <f>PROPER(TRIM([1]RawShipmentData!G25))</f>
        <v>East</v>
      </c>
      <c r="I25" s="2" t="str">
        <f t="shared" si="0"/>
        <v>Yes</v>
      </c>
      <c r="J25" s="2">
        <f>IFERROR(VALUE(TRIM(SUBSTITUTE(UPPER([1]RawShipmentData!I25),"KG",""))),"")</f>
        <v>8.3000000000000007</v>
      </c>
      <c r="K25" s="2">
        <f>VALUE(SUBSTITUTE(SUBSTITUTE(SUBSTITUTE(TRIM([1]RawShipmentData!J25),"₹",""),"Rs",""),",",""))</f>
        <v>552</v>
      </c>
      <c r="L25" s="2">
        <f>[1]RawShipmentData!K25</f>
        <v>4</v>
      </c>
      <c r="M25" s="3">
        <f>IF(TRIM([1]RawShipmentData!L25)="","",IF(ISNUMBER(SEARCH("/",TRIM([1]RawShipmentData!L25))),DATE(VALUE(RIGHT(TRIM([1]RawShipmentData!L25),4)),VALUE(MID(TRIM([1]RawShipmentData!L25),FIND("/",TRIM([1]RawShipmentData!L25))+1,2)),VALUE(LEFT(TRIM([1]RawShipmentData!L25),FIND("/",TRIM([1]RawShipmentData!L25))-1))),DATEVALUE(TRIM([1]RawShipmentData!L25))))</f>
        <v>45351</v>
      </c>
      <c r="N25" s="2">
        <f t="shared" si="1"/>
        <v>10</v>
      </c>
      <c r="O25" s="2">
        <f t="shared" si="2"/>
        <v>6</v>
      </c>
      <c r="P25" s="2" t="str">
        <f t="shared" si="3"/>
        <v>Late</v>
      </c>
      <c r="Q25" s="2" t="str">
        <f>PROPER(SUBSTITUTE(TRIM([1]RawShipmentData!M25)," ","-"))</f>
        <v>Delayed</v>
      </c>
      <c r="R25" s="4">
        <f t="shared" si="4"/>
        <v>66.506024096385531</v>
      </c>
      <c r="S25" s="2">
        <f>[1]RawShipmentData!N25</f>
        <v>3</v>
      </c>
      <c r="T25" s="2" t="str">
        <f>IF(OR(UPPER(TRIM([1]RawShipmentData!O25))="YES",UPPER(TRIM([1]RawShipmentData!O25))="Y"),"Yes","No")</f>
        <v>Yes</v>
      </c>
    </row>
    <row r="26" spans="1:20" x14ac:dyDescent="0.25">
      <c r="A26" s="2" t="str">
        <f>[1]RawShipmentData!A26</f>
        <v>SHP-100401</v>
      </c>
      <c r="B26" s="3">
        <f>IF(ISNUMBER(SEARCH("/",TRIM([1]RawShipmentData!B26))),DATE(VALUE(RIGHT(TRIM([1]RawShipmentData!B26),4)),VALUE(MID(TRIM([1]RawShipmentData!B26),FIND("/",TRIM([1]RawShipmentData!B26))+1,2)),VALUE(LEFT(TRIM([1]RawShipmentData!B26),FIND("/",TRIM([1]RawShipmentData!B26))-1))),DATEVALUE(TRIM([1]RawShipmentData!B26)))</f>
        <v>45370</v>
      </c>
      <c r="C26" s="2" t="str">
        <f>PROPER(TRIM([1]RawShipmentData!C26))</f>
        <v>Chennai</v>
      </c>
      <c r="D26" s="2" t="str">
        <f>IFERROR(INDEX([1]HubMaster!$B$2:$B$7,MATCH(C26,[1]HubMaster!$A$2:$A$7,0)),"Unknown")</f>
        <v>South</v>
      </c>
      <c r="E26" s="2" t="str">
        <f>PROPER(TRIM(SUBSTITUTE([1]RawShipmentData!D26,"  "," ")))</f>
        <v>Ecom Express</v>
      </c>
      <c r="F26" s="2" t="str">
        <f>PROPER(TRIM([1]RawShipmentData!E26))</f>
        <v>Road</v>
      </c>
      <c r="G26" s="2" t="str">
        <f>PROPER(TRIM(SUBSTITUTE([1]RawShipmentData!F26,"  "," ")))</f>
        <v>Furniture</v>
      </c>
      <c r="H26" s="2" t="str">
        <f>PROPER(TRIM([1]RawShipmentData!G26))</f>
        <v>East</v>
      </c>
      <c r="I26" s="2" t="str">
        <f t="shared" si="0"/>
        <v>Yes</v>
      </c>
      <c r="J26" s="2">
        <f>IFERROR(VALUE(TRIM(SUBSTITUTE(UPPER([1]RawShipmentData!I26),"KG",""))),"")</f>
        <v>15.3</v>
      </c>
      <c r="K26" s="2">
        <f>VALUE(SUBSTITUTE(SUBSTITUTE(SUBSTITUTE(TRIM([1]RawShipmentData!J26),"₹",""),"Rs",""),",",""))</f>
        <v>379</v>
      </c>
      <c r="L26" s="2">
        <f>[1]RawShipmentData!K26</f>
        <v>8</v>
      </c>
      <c r="M26" s="3">
        <f>IF(TRIM([1]RawShipmentData!L26)="","",IF(ISNUMBER(SEARCH("/",TRIM([1]RawShipmentData!L26))),DATE(VALUE(RIGHT(TRIM([1]RawShipmentData!L26),4)),VALUE(MID(TRIM([1]RawShipmentData!L26),FIND("/",TRIM([1]RawShipmentData!L26))+1,2)),VALUE(LEFT(TRIM([1]RawShipmentData!L26),FIND("/",TRIM([1]RawShipmentData!L26))-1))),DATEVALUE(TRIM([1]RawShipmentData!L26))))</f>
        <v>45379</v>
      </c>
      <c r="N26" s="2">
        <f t="shared" si="1"/>
        <v>9</v>
      </c>
      <c r="O26" s="2">
        <f t="shared" si="2"/>
        <v>1</v>
      </c>
      <c r="P26" s="2" t="str">
        <f t="shared" si="3"/>
        <v>Late</v>
      </c>
      <c r="Q26" s="2" t="str">
        <f>PROPER(SUBSTITUTE(TRIM([1]RawShipmentData!M26)," ","-"))</f>
        <v>Delayed</v>
      </c>
      <c r="R26" s="4">
        <f t="shared" si="4"/>
        <v>24.771241830065357</v>
      </c>
      <c r="S26" s="2">
        <f>[1]RawShipmentData!N26</f>
        <v>2</v>
      </c>
      <c r="T26" s="2" t="str">
        <f>IF(OR(UPPER(TRIM([1]RawShipmentData!O26))="YES",UPPER(TRIM([1]RawShipmentData!O26))="Y"),"Yes","No")</f>
        <v>No</v>
      </c>
    </row>
    <row r="27" spans="1:20" x14ac:dyDescent="0.25">
      <c r="A27" s="2" t="str">
        <f>[1]RawShipmentData!A27</f>
        <v>SHP-101553</v>
      </c>
      <c r="B27" s="3">
        <f>IF(ISNUMBER(SEARCH("/",TRIM([1]RawShipmentData!B27))),DATE(VALUE(RIGHT(TRIM([1]RawShipmentData!B27),4)),VALUE(MID(TRIM([1]RawShipmentData!B27),FIND("/",TRIM([1]RawShipmentData!B27))+1,2)),VALUE(LEFT(TRIM([1]RawShipmentData!B27),FIND("/",TRIM([1]RawShipmentData!B27))-1))),DATEVALUE(TRIM([1]RawShipmentData!B27)))</f>
        <v>45350</v>
      </c>
      <c r="C27" s="2" t="str">
        <f>PROPER(TRIM([1]RawShipmentData!C27))</f>
        <v>Hyderabad</v>
      </c>
      <c r="D27" s="2" t="str">
        <f>IFERROR(INDEX([1]HubMaster!$B$2:$B$7,MATCH(C27,[1]HubMaster!$A$2:$A$7,0)),"Unknown")</f>
        <v>West</v>
      </c>
      <c r="E27" s="2" t="str">
        <f>PROPER(TRIM(SUBSTITUTE([1]RawShipmentData!D27,"  "," ")))</f>
        <v>Dtdc</v>
      </c>
      <c r="F27" s="2" t="str">
        <f>PROPER(TRIM([1]RawShipmentData!E27))</f>
        <v>Road</v>
      </c>
      <c r="G27" s="2" t="str">
        <f>PROPER(TRIM(SUBSTITUTE([1]RawShipmentData!F27,"  "," ")))</f>
        <v>Pharma</v>
      </c>
      <c r="H27" s="2" t="str">
        <f>PROPER(TRIM([1]RawShipmentData!G27))</f>
        <v>East</v>
      </c>
      <c r="I27" s="2" t="str">
        <f t="shared" si="0"/>
        <v>Yes</v>
      </c>
      <c r="J27" s="2">
        <f>IFERROR(VALUE(TRIM(SUBSTITUTE(UPPER([1]RawShipmentData!I27),"KG",""))),"")</f>
        <v>4.8</v>
      </c>
      <c r="K27" s="2">
        <f>VALUE(SUBSTITUTE(SUBSTITUTE(SUBSTITUTE(TRIM([1]RawShipmentData!J27),"₹",""),"Rs",""),",",""))</f>
        <v>203</v>
      </c>
      <c r="L27" s="2">
        <f>[1]RawShipmentData!K27</f>
        <v>8</v>
      </c>
      <c r="M27" s="3">
        <f>IF(TRIM([1]RawShipmentData!L27)="","",IF(ISNUMBER(SEARCH("/",TRIM([1]RawShipmentData!L27))),DATE(VALUE(RIGHT(TRIM([1]RawShipmentData!L27),4)),VALUE(MID(TRIM([1]RawShipmentData!L27),FIND("/",TRIM([1]RawShipmentData!L27))+1,2)),VALUE(LEFT(TRIM([1]RawShipmentData!L27),FIND("/",TRIM([1]RawShipmentData!L27))-1))),DATEVALUE(TRIM([1]RawShipmentData!L27))))</f>
        <v>45359</v>
      </c>
      <c r="N27" s="2">
        <f t="shared" si="1"/>
        <v>9</v>
      </c>
      <c r="O27" s="2">
        <f t="shared" si="2"/>
        <v>1</v>
      </c>
      <c r="P27" s="2" t="str">
        <f t="shared" si="3"/>
        <v>Late</v>
      </c>
      <c r="Q27" s="2" t="str">
        <f>PROPER(SUBSTITUTE(TRIM([1]RawShipmentData!M27)," ","-"))</f>
        <v>Delayed</v>
      </c>
      <c r="R27" s="4">
        <f t="shared" si="4"/>
        <v>42.291666666666671</v>
      </c>
      <c r="S27" s="2">
        <f>[1]RawShipmentData!N27</f>
        <v>2</v>
      </c>
      <c r="T27" s="2" t="str">
        <f>IF(OR(UPPER(TRIM([1]RawShipmentData!O27))="YES",UPPER(TRIM([1]RawShipmentData!O27))="Y"),"Yes","No")</f>
        <v>Yes</v>
      </c>
    </row>
    <row r="28" spans="1:20" x14ac:dyDescent="0.25">
      <c r="A28" s="2" t="str">
        <f>[1]RawShipmentData!A28</f>
        <v>SHP-101597</v>
      </c>
      <c r="B28" s="3">
        <f>IF(ISNUMBER(SEARCH("/",TRIM([1]RawShipmentData!B28))),DATE(VALUE(RIGHT(TRIM([1]RawShipmentData!B28),4)),VALUE(MID(TRIM([1]RawShipmentData!B28),FIND("/",TRIM([1]RawShipmentData!B28))+1,2)),VALUE(LEFT(TRIM([1]RawShipmentData!B28),FIND("/",TRIM([1]RawShipmentData!B28))-1))),DATEVALUE(TRIM([1]RawShipmentData!B28)))</f>
        <v>45385</v>
      </c>
      <c r="C28" s="2" t="str">
        <f>PROPER(TRIM([1]RawShipmentData!C28))</f>
        <v>Hyderabad</v>
      </c>
      <c r="D28" s="2" t="str">
        <f>IFERROR(INDEX([1]HubMaster!$B$2:$B$7,MATCH(C28,[1]HubMaster!$A$2:$A$7,0)),"Unknown")</f>
        <v>West</v>
      </c>
      <c r="E28" s="2" t="str">
        <f>PROPER(TRIM(SUBSTITUTE([1]RawShipmentData!D28,"  "," ")))</f>
        <v>Bluedart</v>
      </c>
      <c r="F28" s="2" t="str">
        <f>PROPER(TRIM([1]RawShipmentData!E28))</f>
        <v>Road</v>
      </c>
      <c r="G28" s="2" t="str">
        <f>PROPER(TRIM(SUBSTITUTE([1]RawShipmentData!F28,"  "," ")))</f>
        <v>Automotive Parts</v>
      </c>
      <c r="H28" s="2" t="str">
        <f>PROPER(TRIM([1]RawShipmentData!G28))</f>
        <v>North</v>
      </c>
      <c r="I28" s="2" t="str">
        <f t="shared" si="0"/>
        <v>Yes</v>
      </c>
      <c r="J28" s="2">
        <f>IFERROR(VALUE(TRIM(SUBSTITUTE(UPPER([1]RawShipmentData!I28),"KG",""))),"")</f>
        <v>17.100000000000001</v>
      </c>
      <c r="K28" s="2">
        <f>VALUE(SUBSTITUTE(SUBSTITUTE(SUBSTITUTE(TRIM([1]RawShipmentData!J28),"₹",""),"Rs",""),",",""))</f>
        <v>372</v>
      </c>
      <c r="L28" s="2">
        <f>[1]RawShipmentData!K28</f>
        <v>8</v>
      </c>
      <c r="M28" s="3">
        <f>IF(TRIM([1]RawShipmentData!L28)="","",IF(ISNUMBER(SEARCH("/",TRIM([1]RawShipmentData!L28))),DATE(VALUE(RIGHT(TRIM([1]RawShipmentData!L28),4)),VALUE(MID(TRIM([1]RawShipmentData!L28),FIND("/",TRIM([1]RawShipmentData!L28))+1,2)),VALUE(LEFT(TRIM([1]RawShipmentData!L28),FIND("/",TRIM([1]RawShipmentData!L28))-1))),DATEVALUE(TRIM([1]RawShipmentData!L28))))</f>
        <v>45392</v>
      </c>
      <c r="N28" s="2">
        <f t="shared" si="1"/>
        <v>7</v>
      </c>
      <c r="O28" s="2">
        <f t="shared" si="2"/>
        <v>-1</v>
      </c>
      <c r="P28" s="2" t="str">
        <f t="shared" si="3"/>
        <v>On Time</v>
      </c>
      <c r="Q28" s="2" t="str">
        <f>PROPER(SUBSTITUTE(TRIM([1]RawShipmentData!M28)," ","-"))</f>
        <v>Delivered</v>
      </c>
      <c r="R28" s="4">
        <f t="shared" si="4"/>
        <v>21.754385964912277</v>
      </c>
      <c r="S28" s="2">
        <f>[1]RawShipmentData!N28</f>
        <v>4</v>
      </c>
      <c r="T28" s="2" t="str">
        <f>IF(OR(UPPER(TRIM([1]RawShipmentData!O28))="YES",UPPER(TRIM([1]RawShipmentData!O28))="Y"),"Yes","No")</f>
        <v>No</v>
      </c>
    </row>
    <row r="29" spans="1:20" x14ac:dyDescent="0.25">
      <c r="A29" s="2" t="str">
        <f>[1]RawShipmentData!A29</f>
        <v>SHP-101375</v>
      </c>
      <c r="B29" s="3">
        <f>IF(ISNUMBER(SEARCH("/",TRIM([1]RawShipmentData!B29))),DATE(VALUE(RIGHT(TRIM([1]RawShipmentData!B29),4)),VALUE(MID(TRIM([1]RawShipmentData!B29),FIND("/",TRIM([1]RawShipmentData!B29))+1,2)),VALUE(LEFT(TRIM([1]RawShipmentData!B29),FIND("/",TRIM([1]RawShipmentData!B29))-1))),DATEVALUE(TRIM([1]RawShipmentData!B29)))</f>
        <v>45323</v>
      </c>
      <c r="C29" s="2" t="str">
        <f>PROPER(TRIM([1]RawShipmentData!C29))</f>
        <v>Kolkata</v>
      </c>
      <c r="D29" s="2" t="str">
        <f>IFERROR(INDEX([1]HubMaster!$B$2:$B$7,MATCH(C29,[1]HubMaster!$A$2:$A$7,0)),"Unknown")</f>
        <v>East</v>
      </c>
      <c r="E29" s="2" t="str">
        <f>PROPER(TRIM(SUBSTITUTE([1]RawShipmentData!D29,"  "," ")))</f>
        <v>Dtdc</v>
      </c>
      <c r="F29" s="2" t="str">
        <f>PROPER(TRIM([1]RawShipmentData!E29))</f>
        <v>Road</v>
      </c>
      <c r="G29" s="2" t="str">
        <f>PROPER(TRIM(SUBSTITUTE([1]RawShipmentData!F29,"  "," ")))</f>
        <v>Electronics</v>
      </c>
      <c r="H29" s="2" t="str">
        <f>PROPER(TRIM([1]RawShipmentData!G29))</f>
        <v>East</v>
      </c>
      <c r="I29" s="2" t="str">
        <f t="shared" si="0"/>
        <v>No</v>
      </c>
      <c r="J29" s="2">
        <f>IFERROR(VALUE(TRIM(SUBSTITUTE(UPPER([1]RawShipmentData!I29),"KG",""))),"")</f>
        <v>11.9</v>
      </c>
      <c r="K29" s="2">
        <f>VALUE(SUBSTITUTE(SUBSTITUTE(SUBSTITUTE(TRIM([1]RawShipmentData!J29),"₹",""),"Rs",""),",",""))</f>
        <v>211</v>
      </c>
      <c r="L29" s="2">
        <f>[1]RawShipmentData!K29</f>
        <v>6</v>
      </c>
      <c r="M29" s="3">
        <f>IF(TRIM([1]RawShipmentData!L29)="","",IF(ISNUMBER(SEARCH("/",TRIM([1]RawShipmentData!L29))),DATE(VALUE(RIGHT(TRIM([1]RawShipmentData!L29),4)),VALUE(MID(TRIM([1]RawShipmentData!L29),FIND("/",TRIM([1]RawShipmentData!L29))+1,2)),VALUE(LEFT(TRIM([1]RawShipmentData!L29),FIND("/",TRIM([1]RawShipmentData!L29))-1))),DATEVALUE(TRIM([1]RawShipmentData!L29))))</f>
        <v>45329</v>
      </c>
      <c r="N29" s="2">
        <f t="shared" si="1"/>
        <v>6</v>
      </c>
      <c r="O29" s="2">
        <f t="shared" si="2"/>
        <v>0</v>
      </c>
      <c r="P29" s="2" t="str">
        <f t="shared" si="3"/>
        <v>On Time</v>
      </c>
      <c r="Q29" s="2" t="str">
        <f>PROPER(SUBSTITUTE(TRIM([1]RawShipmentData!M29)," ","-"))</f>
        <v>Delivered</v>
      </c>
      <c r="R29" s="4">
        <f t="shared" si="4"/>
        <v>17.731092436974791</v>
      </c>
      <c r="S29" s="2">
        <f>[1]RawShipmentData!N29</f>
        <v>2</v>
      </c>
      <c r="T29" s="2" t="str">
        <f>IF(OR(UPPER(TRIM([1]RawShipmentData!O29))="YES",UPPER(TRIM([1]RawShipmentData!O29))="Y"),"Yes","No")</f>
        <v>No</v>
      </c>
    </row>
    <row r="30" spans="1:20" x14ac:dyDescent="0.25">
      <c r="A30" s="2" t="str">
        <f>[1]RawShipmentData!A30</f>
        <v>SHP-101496</v>
      </c>
      <c r="B30" s="3">
        <f>IF(ISNUMBER(SEARCH("/",TRIM([1]RawShipmentData!B30))),DATE(VALUE(RIGHT(TRIM([1]RawShipmentData!B30),4)),VALUE(MID(TRIM([1]RawShipmentData!B30),FIND("/",TRIM([1]RawShipmentData!B30))+1,2)),VALUE(LEFT(TRIM([1]RawShipmentData!B30),FIND("/",TRIM([1]RawShipmentData!B30))-1))),DATEVALUE(TRIM([1]RawShipmentData!B30)))</f>
        <v>45348</v>
      </c>
      <c r="C30" s="2" t="str">
        <f>PROPER(TRIM([1]RawShipmentData!C30))</f>
        <v>Kolkata</v>
      </c>
      <c r="D30" s="2" t="str">
        <f>IFERROR(INDEX([1]HubMaster!$B$2:$B$7,MATCH(C30,[1]HubMaster!$A$2:$A$7,0)),"Unknown")</f>
        <v>East</v>
      </c>
      <c r="E30" s="2" t="str">
        <f>PROPER(TRIM(SUBSTITUTE([1]RawShipmentData!D30,"  "," ")))</f>
        <v>Ecom Express</v>
      </c>
      <c r="F30" s="2" t="str">
        <f>PROPER(TRIM([1]RawShipmentData!E30))</f>
        <v>Air</v>
      </c>
      <c r="G30" s="2" t="str">
        <f>PROPER(TRIM(SUBSTITUTE([1]RawShipmentData!F30,"  "," ")))</f>
        <v>Apparel</v>
      </c>
      <c r="H30" s="2" t="str">
        <f>PROPER(TRIM([1]RawShipmentData!G30))</f>
        <v>South</v>
      </c>
      <c r="I30" s="2" t="str">
        <f t="shared" si="0"/>
        <v>Yes</v>
      </c>
      <c r="J30" s="2">
        <f>IFERROR(VALUE(TRIM(SUBSTITUTE(UPPER([1]RawShipmentData!I30),"KG",""))),"")</f>
        <v>5.6</v>
      </c>
      <c r="K30" s="2">
        <f>VALUE(SUBSTITUTE(SUBSTITUTE(SUBSTITUTE(TRIM([1]RawShipmentData!J30),"₹",""),"Rs",""),",",""))</f>
        <v>433</v>
      </c>
      <c r="L30" s="2">
        <f>[1]RawShipmentData!K30</f>
        <v>4</v>
      </c>
      <c r="M30" s="3">
        <f>IF(TRIM([1]RawShipmentData!L30)="","",IF(ISNUMBER(SEARCH("/",TRIM([1]RawShipmentData!L30))),DATE(VALUE(RIGHT(TRIM([1]RawShipmentData!L30),4)),VALUE(MID(TRIM([1]RawShipmentData!L30),FIND("/",TRIM([1]RawShipmentData!L30))+1,2)),VALUE(LEFT(TRIM([1]RawShipmentData!L30),FIND("/",TRIM([1]RawShipmentData!L30))-1))),DATEVALUE(TRIM([1]RawShipmentData!L30))))</f>
        <v>45352</v>
      </c>
      <c r="N30" s="2">
        <f t="shared" si="1"/>
        <v>4</v>
      </c>
      <c r="O30" s="2">
        <f t="shared" si="2"/>
        <v>0</v>
      </c>
      <c r="P30" s="2" t="str">
        <f t="shared" si="3"/>
        <v>On Time</v>
      </c>
      <c r="Q30" s="2" t="str">
        <f>PROPER(SUBSTITUTE(TRIM([1]RawShipmentData!M30)," ","-"))</f>
        <v>Delivered</v>
      </c>
      <c r="R30" s="4">
        <f t="shared" si="4"/>
        <v>77.321428571428569</v>
      </c>
      <c r="S30" s="2">
        <f>[1]RawShipmentData!N30</f>
        <v>5</v>
      </c>
      <c r="T30" s="2" t="str">
        <f>IF(OR(UPPER(TRIM([1]RawShipmentData!O30))="YES",UPPER(TRIM([1]RawShipmentData!O30))="Y"),"Yes","No")</f>
        <v>Yes</v>
      </c>
    </row>
    <row r="31" spans="1:20" x14ac:dyDescent="0.25">
      <c r="A31" s="2" t="str">
        <f>[1]RawShipmentData!A31</f>
        <v>SHP-100996</v>
      </c>
      <c r="B31" s="3">
        <f>IF(ISNUMBER(SEARCH("/",TRIM([1]RawShipmentData!B31))),DATE(VALUE(RIGHT(TRIM([1]RawShipmentData!B31),4)),VALUE(MID(TRIM([1]RawShipmentData!B31),FIND("/",TRIM([1]RawShipmentData!B31))+1,2)),VALUE(LEFT(TRIM([1]RawShipmentData!B31),FIND("/",TRIM([1]RawShipmentData!B31))-1))),DATEVALUE(TRIM([1]RawShipmentData!B31)))</f>
        <v>45326</v>
      </c>
      <c r="C31" s="2" t="str">
        <f>PROPER(TRIM([1]RawShipmentData!C31))</f>
        <v>Mumbai</v>
      </c>
      <c r="D31" s="2" t="str">
        <f>IFERROR(INDEX([1]HubMaster!$B$2:$B$7,MATCH(C31,[1]HubMaster!$A$2:$A$7,0)),"Unknown")</f>
        <v>West</v>
      </c>
      <c r="E31" s="2" t="str">
        <f>PROPER(TRIM(SUBSTITUTE([1]RawShipmentData!D31,"  "," ")))</f>
        <v>Delhivery</v>
      </c>
      <c r="F31" s="2" t="str">
        <f>PROPER(TRIM([1]RawShipmentData!E31))</f>
        <v>Air</v>
      </c>
      <c r="G31" s="2" t="str">
        <f>PROPER(TRIM(SUBSTITUTE([1]RawShipmentData!F31,"  "," ")))</f>
        <v>Apparel</v>
      </c>
      <c r="H31" s="2" t="str">
        <f>PROPER(TRIM([1]RawShipmentData!G31))</f>
        <v>North</v>
      </c>
      <c r="I31" s="2" t="str">
        <f t="shared" si="0"/>
        <v>Yes</v>
      </c>
      <c r="J31" s="2">
        <f>IFERROR(VALUE(TRIM(SUBSTITUTE(UPPER([1]RawShipmentData!I31),"KG",""))),"")</f>
        <v>1.4</v>
      </c>
      <c r="K31" s="2">
        <f>VALUE(SUBSTITUTE(SUBSTITUTE(SUBSTITUTE(TRIM([1]RawShipmentData!J31),"₹",""),"Rs",""),",",""))</f>
        <v>230</v>
      </c>
      <c r="L31" s="2">
        <f>[1]RawShipmentData!K31</f>
        <v>4</v>
      </c>
      <c r="M31" s="3">
        <f>IF(TRIM([1]RawShipmentData!L31)="","",IF(ISNUMBER(SEARCH("/",TRIM([1]RawShipmentData!L31))),DATE(VALUE(RIGHT(TRIM([1]RawShipmentData!L31),4)),VALUE(MID(TRIM([1]RawShipmentData!L31),FIND("/",TRIM([1]RawShipmentData!L31))+1,2)),VALUE(LEFT(TRIM([1]RawShipmentData!L31),FIND("/",TRIM([1]RawShipmentData!L31))-1))),DATEVALUE(TRIM([1]RawShipmentData!L31))))</f>
        <v>45331</v>
      </c>
      <c r="N31" s="2">
        <f t="shared" si="1"/>
        <v>5</v>
      </c>
      <c r="O31" s="2">
        <f t="shared" si="2"/>
        <v>1</v>
      </c>
      <c r="P31" s="2" t="str">
        <f t="shared" si="3"/>
        <v>Late</v>
      </c>
      <c r="Q31" s="2" t="str">
        <f>PROPER(SUBSTITUTE(TRIM([1]RawShipmentData!M31)," ","-"))</f>
        <v>Damaged</v>
      </c>
      <c r="R31" s="4">
        <f t="shared" si="4"/>
        <v>164.28571428571431</v>
      </c>
      <c r="S31" s="2">
        <f>[1]RawShipmentData!N31</f>
        <v>0</v>
      </c>
      <c r="T31" s="2" t="str">
        <f>IF(OR(UPPER(TRIM([1]RawShipmentData!O31))="YES",UPPER(TRIM([1]RawShipmentData!O31))="Y"),"Yes","No")</f>
        <v>Yes</v>
      </c>
    </row>
    <row r="32" spans="1:20" x14ac:dyDescent="0.25">
      <c r="A32" s="2" t="str">
        <f>[1]RawShipmentData!A32</f>
        <v>SHP-100284</v>
      </c>
      <c r="B32" s="3">
        <f>IF(ISNUMBER(SEARCH("/",TRIM([1]RawShipmentData!B32))),DATE(VALUE(RIGHT(TRIM([1]RawShipmentData!B32),4)),VALUE(MID(TRIM([1]RawShipmentData!B32),FIND("/",TRIM([1]RawShipmentData!B32))+1,2)),VALUE(LEFT(TRIM([1]RawShipmentData!B32),FIND("/",TRIM([1]RawShipmentData!B32))-1))),DATEVALUE(TRIM([1]RawShipmentData!B32)))</f>
        <v>45393</v>
      </c>
      <c r="C32" s="2" t="str">
        <f>PROPER(TRIM([1]RawShipmentData!C32))</f>
        <v>Delhi</v>
      </c>
      <c r="D32" s="2" t="str">
        <f>IFERROR(INDEX([1]HubMaster!$B$2:$B$7,MATCH(C32,[1]HubMaster!$A$2:$A$7,0)),"Unknown")</f>
        <v>North</v>
      </c>
      <c r="E32" s="2" t="str">
        <f>PROPER(TRIM(SUBSTITUTE([1]RawShipmentData!D32,"  "," ")))</f>
        <v>Dtdc</v>
      </c>
      <c r="F32" s="2" t="str">
        <f>PROPER(TRIM([1]RawShipmentData!E32))</f>
        <v>Surface</v>
      </c>
      <c r="G32" s="2" t="str">
        <f>PROPER(TRIM(SUBSTITUTE([1]RawShipmentData!F32,"  "," ")))</f>
        <v>Electronics</v>
      </c>
      <c r="H32" s="2" t="str">
        <f>PROPER(TRIM([1]RawShipmentData!G32))</f>
        <v>West</v>
      </c>
      <c r="I32" s="2" t="str">
        <f t="shared" si="0"/>
        <v>Yes</v>
      </c>
      <c r="J32" s="2">
        <f>IFERROR(VALUE(TRIM(SUBSTITUTE(UPPER([1]RawShipmentData!I32),"KG",""))),"")</f>
        <v>12.3</v>
      </c>
      <c r="K32" s="2">
        <f>VALUE(SUBSTITUTE(SUBSTITUTE(SUBSTITUTE(TRIM([1]RawShipmentData!J32),"₹",""),"Rs",""),",",""))</f>
        <v>436</v>
      </c>
      <c r="L32" s="2">
        <f>[1]RawShipmentData!K32</f>
        <v>6</v>
      </c>
      <c r="M32" s="3">
        <f>IF(TRIM([1]RawShipmentData!L32)="","",IF(ISNUMBER(SEARCH("/",TRIM([1]RawShipmentData!L32))),DATE(VALUE(RIGHT(TRIM([1]RawShipmentData!L32),4)),VALUE(MID(TRIM([1]RawShipmentData!L32),FIND("/",TRIM([1]RawShipmentData!L32))+1,2)),VALUE(LEFT(TRIM([1]RawShipmentData!L32),FIND("/",TRIM([1]RawShipmentData!L32))-1))),DATEVALUE(TRIM([1]RawShipmentData!L32))))</f>
        <v>45403</v>
      </c>
      <c r="N32" s="2">
        <f t="shared" si="1"/>
        <v>10</v>
      </c>
      <c r="O32" s="2">
        <f t="shared" si="2"/>
        <v>4</v>
      </c>
      <c r="P32" s="2" t="str">
        <f t="shared" si="3"/>
        <v>Late</v>
      </c>
      <c r="Q32" s="2" t="str">
        <f>PROPER(SUBSTITUTE(TRIM([1]RawShipmentData!M32)," ","-"))</f>
        <v>Delayed</v>
      </c>
      <c r="R32" s="4">
        <f t="shared" si="4"/>
        <v>35.447154471544714</v>
      </c>
      <c r="S32" s="2">
        <f>[1]RawShipmentData!N32</f>
        <v>4</v>
      </c>
      <c r="T32" s="2" t="str">
        <f>IF(OR(UPPER(TRIM([1]RawShipmentData!O32))="YES",UPPER(TRIM([1]RawShipmentData!O32))="Y"),"Yes","No")</f>
        <v>No</v>
      </c>
    </row>
    <row r="33" spans="1:20" x14ac:dyDescent="0.25">
      <c r="A33" s="2" t="str">
        <f>[1]RawShipmentData!A33</f>
        <v>SHP-100268</v>
      </c>
      <c r="B33" s="3">
        <f>IF(ISNUMBER(SEARCH("/",TRIM([1]RawShipmentData!B33))),DATE(VALUE(RIGHT(TRIM([1]RawShipmentData!B33),4)),VALUE(MID(TRIM([1]RawShipmentData!B33),FIND("/",TRIM([1]RawShipmentData!B33))+1,2)),VALUE(LEFT(TRIM([1]RawShipmentData!B33),FIND("/",TRIM([1]RawShipmentData!B33))-1))),DATEVALUE(TRIM([1]RawShipmentData!B33)))</f>
        <v>45459</v>
      </c>
      <c r="C33" s="2" t="str">
        <f>PROPER(TRIM([1]RawShipmentData!C33))</f>
        <v>Hyderabad</v>
      </c>
      <c r="D33" s="2" t="str">
        <f>IFERROR(INDEX([1]HubMaster!$B$2:$B$7,MATCH(C33,[1]HubMaster!$A$2:$A$7,0)),"Unknown")</f>
        <v>West</v>
      </c>
      <c r="E33" s="2" t="str">
        <f>PROPER(TRIM(SUBSTITUTE([1]RawShipmentData!D33,"  "," ")))</f>
        <v>Dtdc</v>
      </c>
      <c r="F33" s="2" t="str">
        <f>PROPER(TRIM([1]RawShipmentData!E33))</f>
        <v>Surface</v>
      </c>
      <c r="G33" s="2" t="str">
        <f>PROPER(TRIM(SUBSTITUTE([1]RawShipmentData!F33,"  "," ")))</f>
        <v>Automotive Parts</v>
      </c>
      <c r="H33" s="2" t="str">
        <f>PROPER(TRIM([1]RawShipmentData!G33))</f>
        <v>North</v>
      </c>
      <c r="I33" s="2" t="str">
        <f t="shared" si="0"/>
        <v>Yes</v>
      </c>
      <c r="J33" s="2">
        <f>IFERROR(VALUE(TRIM(SUBSTITUTE(UPPER([1]RawShipmentData!I33),"KG",""))),"")</f>
        <v>29.9</v>
      </c>
      <c r="K33" s="2">
        <f>VALUE(SUBSTITUTE(SUBSTITUTE(SUBSTITUTE(TRIM([1]RawShipmentData!J33),"₹",""),"Rs",""),",",""))</f>
        <v>783</v>
      </c>
      <c r="L33" s="2">
        <f>[1]RawShipmentData!K33</f>
        <v>6</v>
      </c>
      <c r="M33" s="3">
        <f>IF(TRIM([1]RawShipmentData!L33)="","",IF(ISNUMBER(SEARCH("/",TRIM([1]RawShipmentData!L33))),DATE(VALUE(RIGHT(TRIM([1]RawShipmentData!L33),4)),VALUE(MID(TRIM([1]RawShipmentData!L33),FIND("/",TRIM([1]RawShipmentData!L33))+1,2)),VALUE(LEFT(TRIM([1]RawShipmentData!L33),FIND("/",TRIM([1]RawShipmentData!L33))-1))),DATEVALUE(TRIM([1]RawShipmentData!L33))))</f>
        <v>45465</v>
      </c>
      <c r="N33" s="2">
        <f t="shared" si="1"/>
        <v>6</v>
      </c>
      <c r="O33" s="2">
        <f t="shared" si="2"/>
        <v>0</v>
      </c>
      <c r="P33" s="2" t="str">
        <f t="shared" si="3"/>
        <v>On Time</v>
      </c>
      <c r="Q33" s="2" t="str">
        <f>PROPER(SUBSTITUTE(TRIM([1]RawShipmentData!M33)," ","-"))</f>
        <v>Delivered</v>
      </c>
      <c r="R33" s="4">
        <f t="shared" si="4"/>
        <v>26.187290969899667</v>
      </c>
      <c r="S33" s="2">
        <f>[1]RawShipmentData!N33</f>
        <v>4</v>
      </c>
      <c r="T33" s="2" t="str">
        <f>IF(OR(UPPER(TRIM([1]RawShipmentData!O33))="YES",UPPER(TRIM([1]RawShipmentData!O33))="Y"),"Yes","No")</f>
        <v>Yes</v>
      </c>
    </row>
    <row r="34" spans="1:20" x14ac:dyDescent="0.25">
      <c r="A34" s="2" t="str">
        <f>[1]RawShipmentData!A34</f>
        <v>SHP-101231</v>
      </c>
      <c r="B34" s="3">
        <f>IF(ISNUMBER(SEARCH("/",TRIM([1]RawShipmentData!B34))),DATE(VALUE(RIGHT(TRIM([1]RawShipmentData!B34),4)),VALUE(MID(TRIM([1]RawShipmentData!B34),FIND("/",TRIM([1]RawShipmentData!B34))+1,2)),VALUE(LEFT(TRIM([1]RawShipmentData!B34),FIND("/",TRIM([1]RawShipmentData!B34))-1))),DATEVALUE(TRIM([1]RawShipmentData!B34)))</f>
        <v>45388</v>
      </c>
      <c r="C34" s="2" t="str">
        <f>PROPER(TRIM([1]RawShipmentData!C34))</f>
        <v>Hyderabad</v>
      </c>
      <c r="D34" s="2" t="str">
        <f>IFERROR(INDEX([1]HubMaster!$B$2:$B$7,MATCH(C34,[1]HubMaster!$A$2:$A$7,0)),"Unknown")</f>
        <v>West</v>
      </c>
      <c r="E34" s="2" t="str">
        <f>PROPER(TRIM(SUBSTITUTE([1]RawShipmentData!D34,"  "," ")))</f>
        <v>Delhivery</v>
      </c>
      <c r="F34" s="2" t="str">
        <f>PROPER(TRIM([1]RawShipmentData!E34))</f>
        <v>Road</v>
      </c>
      <c r="G34" s="2" t="str">
        <f>PROPER(TRIM(SUBSTITUTE([1]RawShipmentData!F34,"  "," ")))</f>
        <v>Automotive Parts</v>
      </c>
      <c r="H34" s="2" t="str">
        <f>PROPER(TRIM([1]RawShipmentData!G34))</f>
        <v>North</v>
      </c>
      <c r="I34" s="2" t="str">
        <f t="shared" si="0"/>
        <v>Yes</v>
      </c>
      <c r="J34" s="2">
        <f>IFERROR(VALUE(TRIM(SUBSTITUTE(UPPER([1]RawShipmentData!I34),"KG",""))),"")</f>
        <v>35.799999999999997</v>
      </c>
      <c r="K34" s="2">
        <f>VALUE(SUBSTITUTE(SUBSTITUTE(SUBSTITUTE(TRIM([1]RawShipmentData!J34),"₹",""),"Rs",""),",",""))</f>
        <v>695</v>
      </c>
      <c r="L34" s="2">
        <f>[1]RawShipmentData!K34</f>
        <v>8</v>
      </c>
      <c r="M34" s="3">
        <f>IF(TRIM([1]RawShipmentData!L34)="","",IF(ISNUMBER(SEARCH("/",TRIM([1]RawShipmentData!L34))),DATE(VALUE(RIGHT(TRIM([1]RawShipmentData!L34),4)),VALUE(MID(TRIM([1]RawShipmentData!L34),FIND("/",TRIM([1]RawShipmentData!L34))+1,2)),VALUE(LEFT(TRIM([1]RawShipmentData!L34),FIND("/",TRIM([1]RawShipmentData!L34))-1))),DATEVALUE(TRIM([1]RawShipmentData!L34))))</f>
        <v>45395</v>
      </c>
      <c r="N34" s="2">
        <f t="shared" si="1"/>
        <v>7</v>
      </c>
      <c r="O34" s="2">
        <f t="shared" si="2"/>
        <v>-1</v>
      </c>
      <c r="P34" s="2" t="str">
        <f t="shared" si="3"/>
        <v>On Time</v>
      </c>
      <c r="Q34" s="2" t="str">
        <f>PROPER(SUBSTITUTE(TRIM([1]RawShipmentData!M34)," ","-"))</f>
        <v>Delivered</v>
      </c>
      <c r="R34" s="4">
        <f t="shared" si="4"/>
        <v>19.41340782122905</v>
      </c>
      <c r="S34" s="2">
        <f>[1]RawShipmentData!N34</f>
        <v>4</v>
      </c>
      <c r="T34" s="2" t="str">
        <f>IF(OR(UPPER(TRIM([1]RawShipmentData!O34))="YES",UPPER(TRIM([1]RawShipmentData!O34))="Y"),"Yes","No")</f>
        <v>No</v>
      </c>
    </row>
    <row r="35" spans="1:20" x14ac:dyDescent="0.25">
      <c r="A35" s="2" t="str">
        <f>[1]RawShipmentData!A35</f>
        <v>SHP-100094</v>
      </c>
      <c r="B35" s="3">
        <f>IF(ISNUMBER(SEARCH("/",TRIM([1]RawShipmentData!B35))),DATE(VALUE(RIGHT(TRIM([1]RawShipmentData!B35),4)),VALUE(MID(TRIM([1]RawShipmentData!B35),FIND("/",TRIM([1]RawShipmentData!B35))+1,2)),VALUE(LEFT(TRIM([1]RawShipmentData!B35),FIND("/",TRIM([1]RawShipmentData!B35))-1))),DATEVALUE(TRIM([1]RawShipmentData!B35)))</f>
        <v>45356</v>
      </c>
      <c r="C35" s="2" t="str">
        <f>PROPER(TRIM([1]RawShipmentData!C35))</f>
        <v>Delhi</v>
      </c>
      <c r="D35" s="2" t="str">
        <f>IFERROR(INDEX([1]HubMaster!$B$2:$B$7,MATCH(C35,[1]HubMaster!$A$2:$A$7,0)),"Unknown")</f>
        <v>North</v>
      </c>
      <c r="E35" s="2" t="str">
        <f>PROPER(TRIM(SUBSTITUTE([1]RawShipmentData!D35,"  "," ")))</f>
        <v>Delhivery</v>
      </c>
      <c r="F35" s="2" t="str">
        <f>PROPER(TRIM([1]RawShipmentData!E35))</f>
        <v>Air</v>
      </c>
      <c r="G35" s="2" t="str">
        <f>PROPER(TRIM(SUBSTITUTE([1]RawShipmentData!F35,"  "," ")))</f>
        <v>Furniture</v>
      </c>
      <c r="H35" s="2" t="str">
        <f>PROPER(TRIM([1]RawShipmentData!G35))</f>
        <v>North</v>
      </c>
      <c r="I35" s="2" t="str">
        <f t="shared" si="0"/>
        <v>No</v>
      </c>
      <c r="J35" s="2">
        <f>IFERROR(VALUE(TRIM(SUBSTITUTE(UPPER([1]RawShipmentData!I35),"KG",""))),"")</f>
        <v>50.9</v>
      </c>
      <c r="K35" s="2">
        <f>VALUE(SUBSTITUTE(SUBSTITUTE(SUBSTITUTE(TRIM([1]RawShipmentData!J35),"₹",""),"Rs",""),",",""))</f>
        <v>2274</v>
      </c>
      <c r="L35" s="2">
        <f>[1]RawShipmentData!K35</f>
        <v>2</v>
      </c>
      <c r="M35" s="3">
        <f>IF(TRIM([1]RawShipmentData!L35)="","",IF(ISNUMBER(SEARCH("/",TRIM([1]RawShipmentData!L35))),DATE(VALUE(RIGHT(TRIM([1]RawShipmentData!L35),4)),VALUE(MID(TRIM([1]RawShipmentData!L35),FIND("/",TRIM([1]RawShipmentData!L35))+1,2)),VALUE(LEFT(TRIM([1]RawShipmentData!L35),FIND("/",TRIM([1]RawShipmentData!L35))-1))),DATEVALUE(TRIM([1]RawShipmentData!L35))))</f>
        <v>45358</v>
      </c>
      <c r="N35" s="2">
        <f t="shared" si="1"/>
        <v>2</v>
      </c>
      <c r="O35" s="2">
        <f t="shared" si="2"/>
        <v>0</v>
      </c>
      <c r="P35" s="2" t="str">
        <f t="shared" si="3"/>
        <v>On Time</v>
      </c>
      <c r="Q35" s="2" t="str">
        <f>PROPER(SUBSTITUTE(TRIM([1]RawShipmentData!M35)," ","-"))</f>
        <v>Delivered</v>
      </c>
      <c r="R35" s="4">
        <f t="shared" si="4"/>
        <v>44.675834970530452</v>
      </c>
      <c r="S35" s="2">
        <f>[1]RawShipmentData!N35</f>
        <v>5</v>
      </c>
      <c r="T35" s="2" t="str">
        <f>IF(OR(UPPER(TRIM([1]RawShipmentData!O35))="YES",UPPER(TRIM([1]RawShipmentData!O35))="Y"),"Yes","No")</f>
        <v>Yes</v>
      </c>
    </row>
    <row r="36" spans="1:20" x14ac:dyDescent="0.25">
      <c r="A36" s="2" t="str">
        <f>[1]RawShipmentData!A36</f>
        <v>SHP-101467</v>
      </c>
      <c r="B36" s="3">
        <f>IF(ISNUMBER(SEARCH("/",TRIM([1]RawShipmentData!B36))),DATE(VALUE(RIGHT(TRIM([1]RawShipmentData!B36),4)),VALUE(MID(TRIM([1]RawShipmentData!B36),FIND("/",TRIM([1]RawShipmentData!B36))+1,2)),VALUE(LEFT(TRIM([1]RawShipmentData!B36),FIND("/",TRIM([1]RawShipmentData!B36))-1))),DATEVALUE(TRIM([1]RawShipmentData!B36)))</f>
        <v>45388</v>
      </c>
      <c r="C36" s="2" t="str">
        <f>PROPER(TRIM([1]RawShipmentData!C36))</f>
        <v>Kolkata</v>
      </c>
      <c r="D36" s="2" t="str">
        <f>IFERROR(INDEX([1]HubMaster!$B$2:$B$7,MATCH(C36,[1]HubMaster!$A$2:$A$7,0)),"Unknown")</f>
        <v>East</v>
      </c>
      <c r="E36" s="2" t="str">
        <f>PROPER(TRIM(SUBSTITUTE([1]RawShipmentData!D36,"  "," ")))</f>
        <v>Dtdc</v>
      </c>
      <c r="F36" s="2" t="str">
        <f>PROPER(TRIM([1]RawShipmentData!E36))</f>
        <v>Road</v>
      </c>
      <c r="G36" s="2" t="str">
        <f>PROPER(TRIM(SUBSTITUTE([1]RawShipmentData!F36,"  "," ")))</f>
        <v>Furniture</v>
      </c>
      <c r="H36" s="2" t="str">
        <f>PROPER(TRIM([1]RawShipmentData!G36))</f>
        <v>West</v>
      </c>
      <c r="I36" s="2" t="str">
        <f t="shared" si="0"/>
        <v>Yes</v>
      </c>
      <c r="J36" s="2">
        <f>IFERROR(VALUE(TRIM(SUBSTITUTE(UPPER([1]RawShipmentData!I36),"KG",""))),"")</f>
        <v>22.5</v>
      </c>
      <c r="K36" s="2">
        <f>VALUE(SUBSTITUTE(SUBSTITUTE(SUBSTITUTE(TRIM([1]RawShipmentData!J36),"₹",""),"Rs",""),",",""))</f>
        <v>439</v>
      </c>
      <c r="L36" s="2">
        <f>[1]RawShipmentData!K36</f>
        <v>8</v>
      </c>
      <c r="M36" s="3">
        <f>IF(TRIM([1]RawShipmentData!L36)="","",IF(ISNUMBER(SEARCH("/",TRIM([1]RawShipmentData!L36))),DATE(VALUE(RIGHT(TRIM([1]RawShipmentData!L36),4)),VALUE(MID(TRIM([1]RawShipmentData!L36),FIND("/",TRIM([1]RawShipmentData!L36))+1,2)),VALUE(LEFT(TRIM([1]RawShipmentData!L36),FIND("/",TRIM([1]RawShipmentData!L36))-1))),DATEVALUE(TRIM([1]RawShipmentData!L36))))</f>
        <v>45396</v>
      </c>
      <c r="N36" s="2">
        <f t="shared" si="1"/>
        <v>8</v>
      </c>
      <c r="O36" s="2">
        <f t="shared" si="2"/>
        <v>0</v>
      </c>
      <c r="P36" s="2" t="str">
        <f t="shared" si="3"/>
        <v>On Time</v>
      </c>
      <c r="Q36" s="2" t="str">
        <f>PROPER(SUBSTITUTE(TRIM([1]RawShipmentData!M36)," ","-"))</f>
        <v>Delivered</v>
      </c>
      <c r="R36" s="4">
        <f t="shared" si="4"/>
        <v>19.511111111111113</v>
      </c>
      <c r="S36" s="2">
        <f>[1]RawShipmentData!N36</f>
        <v>3</v>
      </c>
      <c r="T36" s="2" t="str">
        <f>IF(OR(UPPER(TRIM([1]RawShipmentData!O36))="YES",UPPER(TRIM([1]RawShipmentData!O36))="Y"),"Yes","No")</f>
        <v>Yes</v>
      </c>
    </row>
    <row r="37" spans="1:20" x14ac:dyDescent="0.25">
      <c r="A37" s="2" t="str">
        <f>[1]RawShipmentData!A37</f>
        <v>SHP-101221</v>
      </c>
      <c r="B37" s="3">
        <f>IF(ISNUMBER(SEARCH("/",TRIM([1]RawShipmentData!B37))),DATE(VALUE(RIGHT(TRIM([1]RawShipmentData!B37),4)),VALUE(MID(TRIM([1]RawShipmentData!B37),FIND("/",TRIM([1]RawShipmentData!B37))+1,2)),VALUE(LEFT(TRIM([1]RawShipmentData!B37),FIND("/",TRIM([1]RawShipmentData!B37))-1))),DATEVALUE(TRIM([1]RawShipmentData!B37)))</f>
        <v>45350</v>
      </c>
      <c r="C37" s="2" t="str">
        <f>PROPER(TRIM([1]RawShipmentData!C37))</f>
        <v>Chennai</v>
      </c>
      <c r="D37" s="2" t="str">
        <f>IFERROR(INDEX([1]HubMaster!$B$2:$B$7,MATCH(C37,[1]HubMaster!$A$2:$A$7,0)),"Unknown")</f>
        <v>South</v>
      </c>
      <c r="E37" s="2" t="str">
        <f>PROPER(TRIM(SUBSTITUTE([1]RawShipmentData!D37,"  "," ")))</f>
        <v>Bluedart</v>
      </c>
      <c r="F37" s="2" t="str">
        <f>PROPER(TRIM([1]RawShipmentData!E37))</f>
        <v>Road</v>
      </c>
      <c r="G37" s="2" t="str">
        <f>PROPER(TRIM(SUBSTITUTE([1]RawShipmentData!F37,"  "," ")))</f>
        <v>Furniture</v>
      </c>
      <c r="H37" s="2" t="str">
        <f>PROPER(TRIM([1]RawShipmentData!G37))</f>
        <v>South</v>
      </c>
      <c r="I37" s="2" t="str">
        <f t="shared" si="0"/>
        <v>No</v>
      </c>
      <c r="J37" s="2">
        <f>IFERROR(VALUE(TRIM(SUBSTITUTE(UPPER([1]RawShipmentData!I37),"KG",""))),"")</f>
        <v>58.7</v>
      </c>
      <c r="K37" s="2">
        <f>VALUE(SUBSTITUTE(SUBSTITUTE(SUBSTITUTE(TRIM([1]RawShipmentData!J37),"₹",""),"Rs",""),",",""))</f>
        <v>860</v>
      </c>
      <c r="L37" s="2">
        <f>[1]RawShipmentData!K37</f>
        <v>6</v>
      </c>
      <c r="M37" s="3">
        <f>IF(TRIM([1]RawShipmentData!L37)="","",IF(ISNUMBER(SEARCH("/",TRIM([1]RawShipmentData!L37))),DATE(VALUE(RIGHT(TRIM([1]RawShipmentData!L37),4)),VALUE(MID(TRIM([1]RawShipmentData!L37),FIND("/",TRIM([1]RawShipmentData!L37))+1,2)),VALUE(LEFT(TRIM([1]RawShipmentData!L37),FIND("/",TRIM([1]RawShipmentData!L37))-1))),DATEVALUE(TRIM([1]RawShipmentData!L37))))</f>
        <v>45355</v>
      </c>
      <c r="N37" s="2">
        <f t="shared" si="1"/>
        <v>5</v>
      </c>
      <c r="O37" s="2">
        <f t="shared" si="2"/>
        <v>-1</v>
      </c>
      <c r="P37" s="2" t="str">
        <f t="shared" si="3"/>
        <v>On Time</v>
      </c>
      <c r="Q37" s="2" t="str">
        <f>PROPER(SUBSTITUTE(TRIM([1]RawShipmentData!M37)," ","-"))</f>
        <v>Delivered</v>
      </c>
      <c r="R37" s="4">
        <f t="shared" si="4"/>
        <v>14.650766609880749</v>
      </c>
      <c r="S37" s="2">
        <f>[1]RawShipmentData!N37</f>
        <v>4</v>
      </c>
      <c r="T37" s="2" t="str">
        <f>IF(OR(UPPER(TRIM([1]RawShipmentData!O37))="YES",UPPER(TRIM([1]RawShipmentData!O37))="Y"),"Yes","No")</f>
        <v>No</v>
      </c>
    </row>
    <row r="38" spans="1:20" x14ac:dyDescent="0.25">
      <c r="A38" s="2" t="str">
        <f>[1]RawShipmentData!A38</f>
        <v>SHP-100468</v>
      </c>
      <c r="B38" s="3">
        <f>IF(ISNUMBER(SEARCH("/",TRIM([1]RawShipmentData!B38))),DATE(VALUE(RIGHT(TRIM([1]RawShipmentData!B38),4)),VALUE(MID(TRIM([1]RawShipmentData!B38),FIND("/",TRIM([1]RawShipmentData!B38))+1,2)),VALUE(LEFT(TRIM([1]RawShipmentData!B38),FIND("/",TRIM([1]RawShipmentData!B38))-1))),DATEVALUE(TRIM([1]RawShipmentData!B38)))</f>
        <v>45433</v>
      </c>
      <c r="C38" s="2" t="str">
        <f>PROPER(TRIM([1]RawShipmentData!C38))</f>
        <v>Mumbai</v>
      </c>
      <c r="D38" s="2" t="str">
        <f>IFERROR(INDEX([1]HubMaster!$B$2:$B$7,MATCH(C38,[1]HubMaster!$A$2:$A$7,0)),"Unknown")</f>
        <v>West</v>
      </c>
      <c r="E38" s="2" t="str">
        <f>PROPER(TRIM(SUBSTITUTE([1]RawShipmentData!D38,"  "," ")))</f>
        <v>Delhivery</v>
      </c>
      <c r="F38" s="2" t="str">
        <f>PROPER(TRIM([1]RawShipmentData!E38))</f>
        <v>Air</v>
      </c>
      <c r="G38" s="2" t="str">
        <f>PROPER(TRIM(SUBSTITUTE([1]RawShipmentData!F38,"  "," ")))</f>
        <v>Furniture</v>
      </c>
      <c r="H38" s="2" t="str">
        <f>PROPER(TRIM([1]RawShipmentData!G38))</f>
        <v>East</v>
      </c>
      <c r="I38" s="2" t="str">
        <f t="shared" si="0"/>
        <v>Yes</v>
      </c>
      <c r="J38" s="2">
        <f>IFERROR(VALUE(TRIM(SUBSTITUTE(UPPER([1]RawShipmentData!I38),"KG",""))),"")</f>
        <v>36.1</v>
      </c>
      <c r="K38" s="2">
        <f>VALUE(SUBSTITUTE(SUBSTITUTE(SUBSTITUTE(TRIM([1]RawShipmentData!J38),"₹",""),"Rs",""),",",""))</f>
        <v>1815</v>
      </c>
      <c r="L38" s="2">
        <f>[1]RawShipmentData!K38</f>
        <v>4</v>
      </c>
      <c r="M38" s="3">
        <f>IF(TRIM([1]RawShipmentData!L38)="","",IF(ISNUMBER(SEARCH("/",TRIM([1]RawShipmentData!L38))),DATE(VALUE(RIGHT(TRIM([1]RawShipmentData!L38),4)),VALUE(MID(TRIM([1]RawShipmentData!L38),FIND("/",TRIM([1]RawShipmentData!L38))+1,2)),VALUE(LEFT(TRIM([1]RawShipmentData!L38),FIND("/",TRIM([1]RawShipmentData!L38))-1))),DATEVALUE(TRIM([1]RawShipmentData!L38))))</f>
        <v>45436</v>
      </c>
      <c r="N38" s="2">
        <f t="shared" si="1"/>
        <v>3</v>
      </c>
      <c r="O38" s="2">
        <f t="shared" si="2"/>
        <v>-1</v>
      </c>
      <c r="P38" s="2" t="str">
        <f t="shared" si="3"/>
        <v>On Time</v>
      </c>
      <c r="Q38" s="2" t="str">
        <f>PROPER(SUBSTITUTE(TRIM([1]RawShipmentData!M38)," ","-"))</f>
        <v>Delivered</v>
      </c>
      <c r="R38" s="4">
        <f t="shared" si="4"/>
        <v>50.277008310249307</v>
      </c>
      <c r="S38" s="2">
        <f>[1]RawShipmentData!N38</f>
        <v>4</v>
      </c>
      <c r="T38" s="2" t="str">
        <f>IF(OR(UPPER(TRIM([1]RawShipmentData!O38))="YES",UPPER(TRIM([1]RawShipmentData!O38))="Y"),"Yes","No")</f>
        <v>Yes</v>
      </c>
    </row>
    <row r="39" spans="1:20" x14ac:dyDescent="0.25">
      <c r="A39" s="2" t="str">
        <f>[1]RawShipmentData!A39</f>
        <v>SHP-100953</v>
      </c>
      <c r="B39" s="3">
        <f>IF(ISNUMBER(SEARCH("/",TRIM([1]RawShipmentData!B39))),DATE(VALUE(RIGHT(TRIM([1]RawShipmentData!B39),4)),VALUE(MID(TRIM([1]RawShipmentData!B39),FIND("/",TRIM([1]RawShipmentData!B39))+1,2)),VALUE(LEFT(TRIM([1]RawShipmentData!B39),FIND("/",TRIM([1]RawShipmentData!B39))-1))),DATEVALUE(TRIM([1]RawShipmentData!B39)))</f>
        <v>45425</v>
      </c>
      <c r="C39" s="2" t="str">
        <f>PROPER(TRIM([1]RawShipmentData!C39))</f>
        <v>Delhi</v>
      </c>
      <c r="D39" s="2" t="str">
        <f>IFERROR(INDEX([1]HubMaster!$B$2:$B$7,MATCH(C39,[1]HubMaster!$A$2:$A$7,0)),"Unknown")</f>
        <v>North</v>
      </c>
      <c r="E39" s="2" t="str">
        <f>PROPER(TRIM(SUBSTITUTE([1]RawShipmentData!D39,"  "," ")))</f>
        <v>Delhivery</v>
      </c>
      <c r="F39" s="2" t="str">
        <f>PROPER(TRIM([1]RawShipmentData!E39))</f>
        <v>Road</v>
      </c>
      <c r="G39" s="2" t="str">
        <f>PROPER(TRIM(SUBSTITUTE([1]RawShipmentData!F39,"  "," ")))</f>
        <v>Furniture</v>
      </c>
      <c r="H39" s="2" t="str">
        <f>PROPER(TRIM([1]RawShipmentData!G39))</f>
        <v>East</v>
      </c>
      <c r="I39" s="2" t="str">
        <f t="shared" si="0"/>
        <v>Yes</v>
      </c>
      <c r="J39" s="2">
        <f>IFERROR(VALUE(TRIM(SUBSTITUTE(UPPER([1]RawShipmentData!I39),"KG",""))),"")</f>
        <v>50.6</v>
      </c>
      <c r="K39" s="2">
        <f>VALUE(SUBSTITUTE(SUBSTITUTE(SUBSTITUTE(TRIM([1]RawShipmentData!J39),"₹",""),"Rs",""),",",""))</f>
        <v>848</v>
      </c>
      <c r="L39" s="2">
        <f>[1]RawShipmentData!K39</f>
        <v>8</v>
      </c>
      <c r="M39" s="3">
        <f>IF(TRIM([1]RawShipmentData!L39)="","",IF(ISNUMBER(SEARCH("/",TRIM([1]RawShipmentData!L39))),DATE(VALUE(RIGHT(TRIM([1]RawShipmentData!L39),4)),VALUE(MID(TRIM([1]RawShipmentData!L39),FIND("/",TRIM([1]RawShipmentData!L39))+1,2)),VALUE(LEFT(TRIM([1]RawShipmentData!L39),FIND("/",TRIM([1]RawShipmentData!L39))-1))),DATEVALUE(TRIM([1]RawShipmentData!L39))))</f>
        <v>45433</v>
      </c>
      <c r="N39" s="2">
        <f t="shared" si="1"/>
        <v>8</v>
      </c>
      <c r="O39" s="2">
        <f t="shared" si="2"/>
        <v>0</v>
      </c>
      <c r="P39" s="2" t="str">
        <f t="shared" si="3"/>
        <v>On Time</v>
      </c>
      <c r="Q39" s="2" t="str">
        <f>PROPER(SUBSTITUTE(TRIM([1]RawShipmentData!M39)," ","-"))</f>
        <v>Delivered</v>
      </c>
      <c r="R39" s="4">
        <f t="shared" si="4"/>
        <v>16.75889328063241</v>
      </c>
      <c r="S39" s="2">
        <f>[1]RawShipmentData!N39</f>
        <v>5</v>
      </c>
      <c r="T39" s="2" t="str">
        <f>IF(OR(UPPER(TRIM([1]RawShipmentData!O39))="YES",UPPER(TRIM([1]RawShipmentData!O39))="Y"),"Yes","No")</f>
        <v>Yes</v>
      </c>
    </row>
    <row r="40" spans="1:20" x14ac:dyDescent="0.25">
      <c r="A40" s="2" t="str">
        <f>[1]RawShipmentData!A40</f>
        <v>SHP-100218</v>
      </c>
      <c r="B40" s="3">
        <f>IF(ISNUMBER(SEARCH("/",TRIM([1]RawShipmentData!B40))),DATE(VALUE(RIGHT(TRIM([1]RawShipmentData!B40),4)),VALUE(MID(TRIM([1]RawShipmentData!B40),FIND("/",TRIM([1]RawShipmentData!B40))+1,2)),VALUE(LEFT(TRIM([1]RawShipmentData!B40),FIND("/",TRIM([1]RawShipmentData!B40))-1))),DATEVALUE(TRIM([1]RawShipmentData!B40)))</f>
        <v>45364</v>
      </c>
      <c r="C40" s="2" t="str">
        <f>PROPER(TRIM([1]RawShipmentData!C40))</f>
        <v>Bengaluru</v>
      </c>
      <c r="D40" s="2" t="str">
        <f>IFERROR(INDEX([1]HubMaster!$B$2:$B$7,MATCH(C40,[1]HubMaster!$A$2:$A$7,0)),"Unknown")</f>
        <v>South</v>
      </c>
      <c r="E40" s="2" t="str">
        <f>PROPER(TRIM(SUBSTITUTE([1]RawShipmentData!D40,"  "," ")))</f>
        <v>Blue Dart</v>
      </c>
      <c r="F40" s="2" t="str">
        <f>PROPER(TRIM([1]RawShipmentData!E40))</f>
        <v>Air</v>
      </c>
      <c r="G40" s="2" t="str">
        <f>PROPER(TRIM(SUBSTITUTE([1]RawShipmentData!F40,"  "," ")))</f>
        <v>Automotive Parts</v>
      </c>
      <c r="H40" s="2" t="str">
        <f>PROPER(TRIM([1]RawShipmentData!G40))</f>
        <v>North</v>
      </c>
      <c r="I40" s="2" t="str">
        <f t="shared" si="0"/>
        <v>Yes</v>
      </c>
      <c r="J40" s="2">
        <f>IFERROR(VALUE(TRIM(SUBSTITUTE(UPPER([1]RawShipmentData!I40),"KG",""))),"")</f>
        <v>38.299999999999997</v>
      </c>
      <c r="K40" s="2">
        <f>VALUE(SUBSTITUTE(SUBSTITUTE(SUBSTITUTE(TRIM([1]RawShipmentData!J40),"₹",""),"Rs",""),",",""))</f>
        <v>1918</v>
      </c>
      <c r="L40" s="2">
        <f>[1]RawShipmentData!K40</f>
        <v>4</v>
      </c>
      <c r="M40" s="3">
        <f>IF(TRIM([1]RawShipmentData!L40)="","",IF(ISNUMBER(SEARCH("/",TRIM([1]RawShipmentData!L40))),DATE(VALUE(RIGHT(TRIM([1]RawShipmentData!L40),4)),VALUE(MID(TRIM([1]RawShipmentData!L40),FIND("/",TRIM([1]RawShipmentData!L40))+1,2)),VALUE(LEFT(TRIM([1]RawShipmentData!L40),FIND("/",TRIM([1]RawShipmentData!L40))-1))),DATEVALUE(TRIM([1]RawShipmentData!L40))))</f>
        <v>45369</v>
      </c>
      <c r="N40" s="2">
        <f t="shared" si="1"/>
        <v>5</v>
      </c>
      <c r="O40" s="2">
        <f t="shared" si="2"/>
        <v>1</v>
      </c>
      <c r="P40" s="2" t="str">
        <f t="shared" si="3"/>
        <v>Late</v>
      </c>
      <c r="Q40" s="2" t="str">
        <f>PROPER(SUBSTITUTE(TRIM([1]RawShipmentData!M40)," ","-"))</f>
        <v>Delayed</v>
      </c>
      <c r="R40" s="4">
        <f t="shared" si="4"/>
        <v>50.078328981723239</v>
      </c>
      <c r="S40" s="2">
        <f>[1]RawShipmentData!N40</f>
        <v>4</v>
      </c>
      <c r="T40" s="2" t="str">
        <f>IF(OR(UPPER(TRIM([1]RawShipmentData!O40))="YES",UPPER(TRIM([1]RawShipmentData!O40))="Y"),"Yes","No")</f>
        <v>No</v>
      </c>
    </row>
    <row r="41" spans="1:20" x14ac:dyDescent="0.25">
      <c r="A41" s="2" t="str">
        <f>[1]RawShipmentData!A41</f>
        <v>SHP-101056</v>
      </c>
      <c r="B41" s="3">
        <f>IF(ISNUMBER(SEARCH("/",TRIM([1]RawShipmentData!B41))),DATE(VALUE(RIGHT(TRIM([1]RawShipmentData!B41),4)),VALUE(MID(TRIM([1]RawShipmentData!B41),FIND("/",TRIM([1]RawShipmentData!B41))+1,2)),VALUE(LEFT(TRIM([1]RawShipmentData!B41),FIND("/",TRIM([1]RawShipmentData!B41))-1))),DATEVALUE(TRIM([1]RawShipmentData!B41)))</f>
        <v>45423</v>
      </c>
      <c r="C41" s="2" t="str">
        <f>PROPER(TRIM([1]RawShipmentData!C41))</f>
        <v>Hyderabad</v>
      </c>
      <c r="D41" s="2" t="str">
        <f>IFERROR(INDEX([1]HubMaster!$B$2:$B$7,MATCH(C41,[1]HubMaster!$A$2:$A$7,0)),"Unknown")</f>
        <v>West</v>
      </c>
      <c r="E41" s="2" t="str">
        <f>PROPER(TRIM(SUBSTITUTE([1]RawShipmentData!D41,"  "," ")))</f>
        <v>Xpressbees</v>
      </c>
      <c r="F41" s="2" t="str">
        <f>PROPER(TRIM([1]RawShipmentData!E41))</f>
        <v>Air</v>
      </c>
      <c r="G41" s="2" t="str">
        <f>PROPER(TRIM(SUBSTITUTE([1]RawShipmentData!F41,"  "," ")))</f>
        <v>Electronics</v>
      </c>
      <c r="H41" s="2" t="str">
        <f>PROPER(TRIM([1]RawShipmentData!G41))</f>
        <v>East</v>
      </c>
      <c r="I41" s="2" t="str">
        <f t="shared" si="0"/>
        <v>Yes</v>
      </c>
      <c r="J41" s="2">
        <f>IFERROR(VALUE(TRIM(SUBSTITUTE(UPPER([1]RawShipmentData!I41),"KG",""))),"")</f>
        <v>11</v>
      </c>
      <c r="K41" s="2">
        <f>VALUE(SUBSTITUTE(SUBSTITUTE(SUBSTITUTE(TRIM([1]RawShipmentData!J41),"₹",""),"Rs",""),",",""))</f>
        <v>634</v>
      </c>
      <c r="L41" s="2">
        <f>[1]RawShipmentData!K41</f>
        <v>4</v>
      </c>
      <c r="M41" s="3">
        <f>IF(TRIM([1]RawShipmentData!L41)="","",IF(ISNUMBER(SEARCH("/",TRIM([1]RawShipmentData!L41))),DATE(VALUE(RIGHT(TRIM([1]RawShipmentData!L41),4)),VALUE(MID(TRIM([1]RawShipmentData!L41),FIND("/",TRIM([1]RawShipmentData!L41))+1,2)),VALUE(LEFT(TRIM([1]RawShipmentData!L41),FIND("/",TRIM([1]RawShipmentData!L41))-1))),DATEVALUE(TRIM([1]RawShipmentData!L41))))</f>
        <v>45426</v>
      </c>
      <c r="N41" s="2">
        <f t="shared" si="1"/>
        <v>3</v>
      </c>
      <c r="O41" s="2">
        <f t="shared" si="2"/>
        <v>-1</v>
      </c>
      <c r="P41" s="2" t="str">
        <f t="shared" si="3"/>
        <v>On Time</v>
      </c>
      <c r="Q41" s="2" t="str">
        <f>PROPER(SUBSTITUTE(TRIM([1]RawShipmentData!M41)," ","-"))</f>
        <v>Delivered</v>
      </c>
      <c r="R41" s="4">
        <f t="shared" si="4"/>
        <v>57.636363636363633</v>
      </c>
      <c r="S41" s="2">
        <f>[1]RawShipmentData!N41</f>
        <v>4</v>
      </c>
      <c r="T41" s="2" t="str">
        <f>IF(OR(UPPER(TRIM([1]RawShipmentData!O41))="YES",UPPER(TRIM([1]RawShipmentData!O41))="Y"),"Yes","No")</f>
        <v>No</v>
      </c>
    </row>
    <row r="42" spans="1:20" x14ac:dyDescent="0.25">
      <c r="A42" s="2" t="str">
        <f>[1]RawShipmentData!A42</f>
        <v>SHP-101308</v>
      </c>
      <c r="B42" s="3">
        <f>IF(ISNUMBER(SEARCH("/",TRIM([1]RawShipmentData!B42))),DATE(VALUE(RIGHT(TRIM([1]RawShipmentData!B42),4)),VALUE(MID(TRIM([1]RawShipmentData!B42),FIND("/",TRIM([1]RawShipmentData!B42))+1,2)),VALUE(LEFT(TRIM([1]RawShipmentData!B42),FIND("/",TRIM([1]RawShipmentData!B42))-1))),DATEVALUE(TRIM([1]RawShipmentData!B42)))</f>
        <v>45312</v>
      </c>
      <c r="C42" s="2" t="str">
        <f>PROPER(TRIM([1]RawShipmentData!C42))</f>
        <v>Delhi</v>
      </c>
      <c r="D42" s="2" t="str">
        <f>IFERROR(INDEX([1]HubMaster!$B$2:$B$7,MATCH(C42,[1]HubMaster!$A$2:$A$7,0)),"Unknown")</f>
        <v>North</v>
      </c>
      <c r="E42" s="2" t="str">
        <f>PROPER(TRIM(SUBSTITUTE([1]RawShipmentData!D42,"  "," ")))</f>
        <v>Bluedart</v>
      </c>
      <c r="F42" s="2" t="str">
        <f>PROPER(TRIM([1]RawShipmentData!E42))</f>
        <v>Road</v>
      </c>
      <c r="G42" s="2" t="str">
        <f>PROPER(TRIM(SUBSTITUTE([1]RawShipmentData!F42,"  "," ")))</f>
        <v>Electronics</v>
      </c>
      <c r="H42" s="2" t="str">
        <f>PROPER(TRIM([1]RawShipmentData!G42))</f>
        <v>South</v>
      </c>
      <c r="I42" s="2" t="str">
        <f t="shared" si="0"/>
        <v>Yes</v>
      </c>
      <c r="J42" s="2">
        <f>IFERROR(VALUE(TRIM(SUBSTITUTE(UPPER([1]RawShipmentData!I42),"KG",""))),"")</f>
        <v>14.1</v>
      </c>
      <c r="K42" s="2">
        <f>VALUE(SUBSTITUTE(SUBSTITUTE(SUBSTITUTE(TRIM([1]RawShipmentData!J42),"₹",""),"Rs",""),",",""))</f>
        <v>360</v>
      </c>
      <c r="L42" s="2">
        <f>[1]RawShipmentData!K42</f>
        <v>8</v>
      </c>
      <c r="M42" s="3">
        <f>IF(TRIM([1]RawShipmentData!L42)="","",IF(ISNUMBER(SEARCH("/",TRIM([1]RawShipmentData!L42))),DATE(VALUE(RIGHT(TRIM([1]RawShipmentData!L42),4)),VALUE(MID(TRIM([1]RawShipmentData!L42),FIND("/",TRIM([1]RawShipmentData!L42))+1,2)),VALUE(LEFT(TRIM([1]RawShipmentData!L42),FIND("/",TRIM([1]RawShipmentData!L42))-1))),DATEVALUE(TRIM([1]RawShipmentData!L42))))</f>
        <v>45321</v>
      </c>
      <c r="N42" s="2">
        <f t="shared" si="1"/>
        <v>9</v>
      </c>
      <c r="O42" s="2">
        <f t="shared" si="2"/>
        <v>1</v>
      </c>
      <c r="P42" s="2" t="str">
        <f t="shared" si="3"/>
        <v>Late</v>
      </c>
      <c r="Q42" s="2" t="str">
        <f>PROPER(SUBSTITUTE(TRIM([1]RawShipmentData!M42)," ","-"))</f>
        <v>Delayed</v>
      </c>
      <c r="R42" s="4">
        <f t="shared" si="4"/>
        <v>25.531914893617021</v>
      </c>
      <c r="S42" s="2">
        <f>[1]RawShipmentData!N42</f>
        <v>2</v>
      </c>
      <c r="T42" s="2" t="str">
        <f>IF(OR(UPPER(TRIM([1]RawShipmentData!O42))="YES",UPPER(TRIM([1]RawShipmentData!O42))="Y"),"Yes","No")</f>
        <v>No</v>
      </c>
    </row>
    <row r="43" spans="1:20" x14ac:dyDescent="0.25">
      <c r="A43" s="2" t="str">
        <f>[1]RawShipmentData!A43</f>
        <v>SHP-101014</v>
      </c>
      <c r="B43" s="3">
        <f>IF(ISNUMBER(SEARCH("/",TRIM([1]RawShipmentData!B43))),DATE(VALUE(RIGHT(TRIM([1]RawShipmentData!B43),4)),VALUE(MID(TRIM([1]RawShipmentData!B43),FIND("/",TRIM([1]RawShipmentData!B43))+1,2)),VALUE(LEFT(TRIM([1]RawShipmentData!B43),FIND("/",TRIM([1]RawShipmentData!B43))-1))),DATEVALUE(TRIM([1]RawShipmentData!B43)))</f>
        <v>45422</v>
      </c>
      <c r="C43" s="2" t="str">
        <f>PROPER(TRIM([1]RawShipmentData!C43))</f>
        <v>Kolkata</v>
      </c>
      <c r="D43" s="2" t="str">
        <f>IFERROR(INDEX([1]HubMaster!$B$2:$B$7,MATCH(C43,[1]HubMaster!$A$2:$A$7,0)),"Unknown")</f>
        <v>East</v>
      </c>
      <c r="E43" s="2" t="str">
        <f>PROPER(TRIM(SUBSTITUTE([1]RawShipmentData!D43,"  "," ")))</f>
        <v>Delhivery</v>
      </c>
      <c r="F43" s="2" t="str">
        <f>PROPER(TRIM([1]RawShipmentData!E43))</f>
        <v>Air</v>
      </c>
      <c r="G43" s="2" t="str">
        <f>PROPER(TRIM(SUBSTITUTE([1]RawShipmentData!F43,"  "," ")))</f>
        <v>Furniture</v>
      </c>
      <c r="H43" s="2" t="str">
        <f>PROPER(TRIM([1]RawShipmentData!G43))</f>
        <v>East</v>
      </c>
      <c r="I43" s="2" t="str">
        <f t="shared" si="0"/>
        <v>No</v>
      </c>
      <c r="J43" s="2">
        <f>IFERROR(VALUE(TRIM(SUBSTITUTE(UPPER([1]RawShipmentData!I43),"KG",""))),"")</f>
        <v>40.9</v>
      </c>
      <c r="K43" s="2">
        <f>VALUE(SUBSTITUTE(SUBSTITUTE(SUBSTITUTE(TRIM([1]RawShipmentData!J43),"₹",""),"Rs",""),",",""))</f>
        <v>1837</v>
      </c>
      <c r="L43" s="2">
        <f>[1]RawShipmentData!K43</f>
        <v>2</v>
      </c>
      <c r="M43" s="3">
        <f>IF(TRIM([1]RawShipmentData!L43)="","",IF(ISNUMBER(SEARCH("/",TRIM([1]RawShipmentData!L43))),DATE(VALUE(RIGHT(TRIM([1]RawShipmentData!L43),4)),VALUE(MID(TRIM([1]RawShipmentData!L43),FIND("/",TRIM([1]RawShipmentData!L43))+1,2)),VALUE(LEFT(TRIM([1]RawShipmentData!L43),FIND("/",TRIM([1]RawShipmentData!L43))-1))),DATEVALUE(TRIM([1]RawShipmentData!L43))))</f>
        <v>45424</v>
      </c>
      <c r="N43" s="2">
        <f t="shared" si="1"/>
        <v>2</v>
      </c>
      <c r="O43" s="2">
        <f t="shared" si="2"/>
        <v>0</v>
      </c>
      <c r="P43" s="2" t="str">
        <f t="shared" si="3"/>
        <v>On Time</v>
      </c>
      <c r="Q43" s="2" t="str">
        <f>PROPER(SUBSTITUTE(TRIM([1]RawShipmentData!M43)," ","-"))</f>
        <v>Delivered</v>
      </c>
      <c r="R43" s="4">
        <f t="shared" si="4"/>
        <v>44.914425427872864</v>
      </c>
      <c r="S43" s="2">
        <f>[1]RawShipmentData!N43</f>
        <v>4</v>
      </c>
      <c r="T43" s="2" t="str">
        <f>IF(OR(UPPER(TRIM([1]RawShipmentData!O43))="YES",UPPER(TRIM([1]RawShipmentData!O43))="Y"),"Yes","No")</f>
        <v>No</v>
      </c>
    </row>
    <row r="44" spans="1:20" x14ac:dyDescent="0.25">
      <c r="A44" s="2" t="str">
        <f>[1]RawShipmentData!A44</f>
        <v>SHP-100356</v>
      </c>
      <c r="B44" s="3">
        <f>IF(ISNUMBER(SEARCH("/",TRIM([1]RawShipmentData!B44))),DATE(VALUE(RIGHT(TRIM([1]RawShipmentData!B44),4)),VALUE(MID(TRIM([1]RawShipmentData!B44),FIND("/",TRIM([1]RawShipmentData!B44))+1,2)),VALUE(LEFT(TRIM([1]RawShipmentData!B44),FIND("/",TRIM([1]RawShipmentData!B44))-1))),DATEVALUE(TRIM([1]RawShipmentData!B44)))</f>
        <v>45299</v>
      </c>
      <c r="C44" s="2" t="str">
        <f>PROPER(TRIM([1]RawShipmentData!C44))</f>
        <v>Kolkata</v>
      </c>
      <c r="D44" s="2" t="str">
        <f>IFERROR(INDEX([1]HubMaster!$B$2:$B$7,MATCH(C44,[1]HubMaster!$A$2:$A$7,0)),"Unknown")</f>
        <v>East</v>
      </c>
      <c r="E44" s="2" t="str">
        <f>PROPER(TRIM(SUBSTITUTE([1]RawShipmentData!D44,"  "," ")))</f>
        <v>Delhivery</v>
      </c>
      <c r="F44" s="2" t="str">
        <f>PROPER(TRIM([1]RawShipmentData!E44))</f>
        <v>Road</v>
      </c>
      <c r="G44" s="2" t="str">
        <f>PROPER(TRIM(SUBSTITUTE([1]RawShipmentData!F44,"  "," ")))</f>
        <v>Pharma</v>
      </c>
      <c r="H44" s="2" t="str">
        <f>PROPER(TRIM([1]RawShipmentData!G44))</f>
        <v>South</v>
      </c>
      <c r="I44" s="2" t="str">
        <f t="shared" si="0"/>
        <v>Yes</v>
      </c>
      <c r="J44" s="2">
        <f>IFERROR(VALUE(TRIM(SUBSTITUTE(UPPER([1]RawShipmentData!I44),"KG",""))),"")</f>
        <v>2.1</v>
      </c>
      <c r="K44" s="2">
        <f>VALUE(SUBSTITUTE(SUBSTITUTE(SUBSTITUTE(TRIM([1]RawShipmentData!J44),"₹",""),"Rs",""),",",""))</f>
        <v>160</v>
      </c>
      <c r="L44" s="2">
        <f>[1]RawShipmentData!K44</f>
        <v>8</v>
      </c>
      <c r="M44" s="3">
        <f>IF(TRIM([1]RawShipmentData!L44)="","",IF(ISNUMBER(SEARCH("/",TRIM([1]RawShipmentData!L44))),DATE(VALUE(RIGHT(TRIM([1]RawShipmentData!L44),4)),VALUE(MID(TRIM([1]RawShipmentData!L44),FIND("/",TRIM([1]RawShipmentData!L44))+1,2)),VALUE(LEFT(TRIM([1]RawShipmentData!L44),FIND("/",TRIM([1]RawShipmentData!L44))-1))),DATEVALUE(TRIM([1]RawShipmentData!L44))))</f>
        <v>45306</v>
      </c>
      <c r="N44" s="2">
        <f t="shared" si="1"/>
        <v>7</v>
      </c>
      <c r="O44" s="2">
        <f t="shared" si="2"/>
        <v>-1</v>
      </c>
      <c r="P44" s="2" t="str">
        <f t="shared" si="3"/>
        <v>On Time</v>
      </c>
      <c r="Q44" s="2" t="str">
        <f>PROPER(SUBSTITUTE(TRIM([1]RawShipmentData!M44)," ","-"))</f>
        <v>Delivered</v>
      </c>
      <c r="R44" s="4">
        <f t="shared" si="4"/>
        <v>76.19047619047619</v>
      </c>
      <c r="S44" s="2">
        <f>[1]RawShipmentData!N44</f>
        <v>5</v>
      </c>
      <c r="T44" s="2" t="str">
        <f>IF(OR(UPPER(TRIM([1]RawShipmentData!O44))="YES",UPPER(TRIM([1]RawShipmentData!O44))="Y"),"Yes","No")</f>
        <v>Yes</v>
      </c>
    </row>
    <row r="45" spans="1:20" x14ac:dyDescent="0.25">
      <c r="A45" s="2" t="str">
        <f>[1]RawShipmentData!A45</f>
        <v>SHP-100838</v>
      </c>
      <c r="B45" s="3">
        <f>IF(ISNUMBER(SEARCH("/",TRIM([1]RawShipmentData!B45))),DATE(VALUE(RIGHT(TRIM([1]RawShipmentData!B45),4)),VALUE(MID(TRIM([1]RawShipmentData!B45),FIND("/",TRIM([1]RawShipmentData!B45))+1,2)),VALUE(LEFT(TRIM([1]RawShipmentData!B45),FIND("/",TRIM([1]RawShipmentData!B45))-1))),DATEVALUE(TRIM([1]RawShipmentData!B45)))</f>
        <v>45357</v>
      </c>
      <c r="C45" s="2" t="str">
        <f>PROPER(TRIM([1]RawShipmentData!C45))</f>
        <v>Hyderabad</v>
      </c>
      <c r="D45" s="2" t="str">
        <f>IFERROR(INDEX([1]HubMaster!$B$2:$B$7,MATCH(C45,[1]HubMaster!$A$2:$A$7,0)),"Unknown")</f>
        <v>West</v>
      </c>
      <c r="E45" s="2" t="str">
        <f>PROPER(TRIM(SUBSTITUTE([1]RawShipmentData!D45,"  "," ")))</f>
        <v>Xpressbees</v>
      </c>
      <c r="F45" s="2" t="str">
        <f>PROPER(TRIM([1]RawShipmentData!E45))</f>
        <v>Air</v>
      </c>
      <c r="G45" s="2" t="str">
        <f>PROPER(TRIM(SUBSTITUTE([1]RawShipmentData!F45,"  "," ")))</f>
        <v>Electronics</v>
      </c>
      <c r="H45" s="2" t="str">
        <f>PROPER(TRIM([1]RawShipmentData!G45))</f>
        <v>South</v>
      </c>
      <c r="I45" s="2" t="str">
        <f t="shared" si="0"/>
        <v>Yes</v>
      </c>
      <c r="J45" s="2">
        <f>IFERROR(VALUE(TRIM(SUBSTITUTE(UPPER([1]RawShipmentData!I45),"KG",""))),"")</f>
        <v>11.1</v>
      </c>
      <c r="K45" s="2">
        <f>VALUE(SUBSTITUTE(SUBSTITUTE(SUBSTITUTE(TRIM([1]RawShipmentData!J45),"₹",""),"Rs",""),",",""))</f>
        <v>678</v>
      </c>
      <c r="L45" s="2">
        <f>[1]RawShipmentData!K45</f>
        <v>4</v>
      </c>
      <c r="M45" s="3">
        <f>IF(TRIM([1]RawShipmentData!L45)="","",IF(ISNUMBER(SEARCH("/",TRIM([1]RawShipmentData!L45))),DATE(VALUE(RIGHT(TRIM([1]RawShipmentData!L45),4)),VALUE(MID(TRIM([1]RawShipmentData!L45),FIND("/",TRIM([1]RawShipmentData!L45))+1,2)),VALUE(LEFT(TRIM([1]RawShipmentData!L45),FIND("/",TRIM([1]RawShipmentData!L45))-1))),DATEVALUE(TRIM([1]RawShipmentData!L45))))</f>
        <v>45366</v>
      </c>
      <c r="N45" s="2">
        <f t="shared" si="1"/>
        <v>9</v>
      </c>
      <c r="O45" s="2">
        <f t="shared" si="2"/>
        <v>5</v>
      </c>
      <c r="P45" s="2" t="str">
        <f t="shared" si="3"/>
        <v>Late</v>
      </c>
      <c r="Q45" s="2" t="str">
        <f>PROPER(SUBSTITUTE(TRIM([1]RawShipmentData!M45)," ","-"))</f>
        <v>Delayed</v>
      </c>
      <c r="R45" s="4">
        <f t="shared" si="4"/>
        <v>61.081081081081081</v>
      </c>
      <c r="S45" s="2">
        <f>[1]RawShipmentData!N45</f>
        <v>2</v>
      </c>
      <c r="T45" s="2" t="str">
        <f>IF(OR(UPPER(TRIM([1]RawShipmentData!O45))="YES",UPPER(TRIM([1]RawShipmentData!O45))="Y"),"Yes","No")</f>
        <v>Yes</v>
      </c>
    </row>
    <row r="46" spans="1:20" x14ac:dyDescent="0.25">
      <c r="A46" s="2" t="str">
        <f>[1]RawShipmentData!A46</f>
        <v>SHP-101025</v>
      </c>
      <c r="B46" s="3">
        <f>IF(ISNUMBER(SEARCH("/",TRIM([1]RawShipmentData!B46))),DATE(VALUE(RIGHT(TRIM([1]RawShipmentData!B46),4)),VALUE(MID(TRIM([1]RawShipmentData!B46),FIND("/",TRIM([1]RawShipmentData!B46))+1,2)),VALUE(LEFT(TRIM([1]RawShipmentData!B46),FIND("/",TRIM([1]RawShipmentData!B46))-1))),DATEVALUE(TRIM([1]RawShipmentData!B46)))</f>
        <v>45432</v>
      </c>
      <c r="C46" s="2" t="str">
        <f>PROPER(TRIM([1]RawShipmentData!C46))</f>
        <v>Chennai</v>
      </c>
      <c r="D46" s="2" t="str">
        <f>IFERROR(INDEX([1]HubMaster!$B$2:$B$7,MATCH(C46,[1]HubMaster!$A$2:$A$7,0)),"Unknown")</f>
        <v>South</v>
      </c>
      <c r="E46" s="2" t="str">
        <f>PROPER(TRIM(SUBSTITUTE([1]RawShipmentData!D46,"  "," ")))</f>
        <v>Xpressbees</v>
      </c>
      <c r="F46" s="2" t="str">
        <f>PROPER(TRIM([1]RawShipmentData!E46))</f>
        <v>Air</v>
      </c>
      <c r="G46" s="2" t="str">
        <f>PROPER(TRIM(SUBSTITUTE([1]RawShipmentData!F46,"  "," ")))</f>
        <v>Automotive Parts</v>
      </c>
      <c r="H46" s="2" t="str">
        <f>PROPER(TRIM([1]RawShipmentData!G46))</f>
        <v>East</v>
      </c>
      <c r="I46" s="2" t="str">
        <f t="shared" si="0"/>
        <v>Yes</v>
      </c>
      <c r="J46" s="2">
        <f>IFERROR(VALUE(TRIM(SUBSTITUTE(UPPER([1]RawShipmentData!I46),"KG",""))),"")</f>
        <v>30.1</v>
      </c>
      <c r="K46" s="2">
        <f>VALUE(SUBSTITUTE(SUBSTITUTE(SUBSTITUTE(TRIM([1]RawShipmentData!J46),"₹",""),"Rs",""),",",""))</f>
        <v>1545</v>
      </c>
      <c r="L46" s="2">
        <f>[1]RawShipmentData!K46</f>
        <v>4</v>
      </c>
      <c r="M46" s="3">
        <f>IF(TRIM([1]RawShipmentData!L46)="","",IF(ISNUMBER(SEARCH("/",TRIM([1]RawShipmentData!L46))),DATE(VALUE(RIGHT(TRIM([1]RawShipmentData!L46),4)),VALUE(MID(TRIM([1]RawShipmentData!L46),FIND("/",TRIM([1]RawShipmentData!L46))+1,2)),VALUE(LEFT(TRIM([1]RawShipmentData!L46),FIND("/",TRIM([1]RawShipmentData!L46))-1))),DATEVALUE(TRIM([1]RawShipmentData!L46))))</f>
        <v>45435</v>
      </c>
      <c r="N46" s="2">
        <f t="shared" si="1"/>
        <v>3</v>
      </c>
      <c r="O46" s="2">
        <f t="shared" si="2"/>
        <v>-1</v>
      </c>
      <c r="P46" s="2" t="str">
        <f t="shared" si="3"/>
        <v>On Time</v>
      </c>
      <c r="Q46" s="2" t="str">
        <f>PROPER(SUBSTITUTE(TRIM([1]RawShipmentData!M46)," ","-"))</f>
        <v>Delivered</v>
      </c>
      <c r="R46" s="4">
        <f t="shared" si="4"/>
        <v>51.328903654485046</v>
      </c>
      <c r="S46" s="2">
        <f>[1]RawShipmentData!N46</f>
        <v>5</v>
      </c>
      <c r="T46" s="2" t="str">
        <f>IF(OR(UPPER(TRIM([1]RawShipmentData!O46))="YES",UPPER(TRIM([1]RawShipmentData!O46))="Y"),"Yes","No")</f>
        <v>No</v>
      </c>
    </row>
    <row r="47" spans="1:20" x14ac:dyDescent="0.25">
      <c r="A47" s="2" t="str">
        <f>[1]RawShipmentData!A47</f>
        <v>SHP-100402</v>
      </c>
      <c r="B47" s="3">
        <f>IF(ISNUMBER(SEARCH("/",TRIM([1]RawShipmentData!B47))),DATE(VALUE(RIGHT(TRIM([1]RawShipmentData!B47),4)),VALUE(MID(TRIM([1]RawShipmentData!B47),FIND("/",TRIM([1]RawShipmentData!B47))+1,2)),VALUE(LEFT(TRIM([1]RawShipmentData!B47),FIND("/",TRIM([1]RawShipmentData!B47))-1))),DATEVALUE(TRIM([1]RawShipmentData!B47)))</f>
        <v>45453</v>
      </c>
      <c r="C47" s="2" t="str">
        <f>PROPER(TRIM([1]RawShipmentData!C47))</f>
        <v>Delhi</v>
      </c>
      <c r="D47" s="2" t="str">
        <f>IFERROR(INDEX([1]HubMaster!$B$2:$B$7,MATCH(C47,[1]HubMaster!$A$2:$A$7,0)),"Unknown")</f>
        <v>North</v>
      </c>
      <c r="E47" s="2" t="str">
        <f>PROPER(TRIM(SUBSTITUTE([1]RawShipmentData!D47,"  "," ")))</f>
        <v>Delhivery</v>
      </c>
      <c r="F47" s="2" t="str">
        <f>PROPER(TRIM([1]RawShipmentData!E47))</f>
        <v>Road</v>
      </c>
      <c r="G47" s="2" t="str">
        <f>PROPER(TRIM(SUBSTITUTE([1]RawShipmentData!F47,"  "," ")))</f>
        <v>Pharma</v>
      </c>
      <c r="H47" s="2" t="str">
        <f>PROPER(TRIM([1]RawShipmentData!G47))</f>
        <v>North</v>
      </c>
      <c r="I47" s="2" t="str">
        <f t="shared" si="0"/>
        <v>No</v>
      </c>
      <c r="J47" s="2">
        <f>IFERROR(VALUE(TRIM(SUBSTITUTE(UPPER([1]RawShipmentData!I47),"KG",""))),"")</f>
        <v>1</v>
      </c>
      <c r="K47" s="2">
        <f>VALUE(SUBSTITUTE(SUBSTITUTE(SUBSTITUTE(TRIM([1]RawShipmentData!J47),"₹",""),"Rs",""),",",""))</f>
        <v>80</v>
      </c>
      <c r="L47" s="2">
        <f>[1]RawShipmentData!K47</f>
        <v>6</v>
      </c>
      <c r="M47" s="3">
        <f>IF(TRIM([1]RawShipmentData!L47)="","",IF(ISNUMBER(SEARCH("/",TRIM([1]RawShipmentData!L47))),DATE(VALUE(RIGHT(TRIM([1]RawShipmentData!L47),4)),VALUE(MID(TRIM([1]RawShipmentData!L47),FIND("/",TRIM([1]RawShipmentData!L47))+1,2)),VALUE(LEFT(TRIM([1]RawShipmentData!L47),FIND("/",TRIM([1]RawShipmentData!L47))-1))),DATEVALUE(TRIM([1]RawShipmentData!L47))))</f>
        <v>45458</v>
      </c>
      <c r="N47" s="2">
        <f t="shared" si="1"/>
        <v>5</v>
      </c>
      <c r="O47" s="2">
        <f t="shared" si="2"/>
        <v>-1</v>
      </c>
      <c r="P47" s="2" t="str">
        <f t="shared" si="3"/>
        <v>On Time</v>
      </c>
      <c r="Q47" s="2" t="str">
        <f>PROPER(SUBSTITUTE(TRIM([1]RawShipmentData!M47)," ","-"))</f>
        <v>Delivered</v>
      </c>
      <c r="R47" s="4">
        <f t="shared" si="4"/>
        <v>80</v>
      </c>
      <c r="S47" s="2">
        <f>[1]RawShipmentData!N47</f>
        <v>5</v>
      </c>
      <c r="T47" s="2" t="str">
        <f>IF(OR(UPPER(TRIM([1]RawShipmentData!O47))="YES",UPPER(TRIM([1]RawShipmentData!O47))="Y"),"Yes","No")</f>
        <v>No</v>
      </c>
    </row>
    <row r="48" spans="1:20" x14ac:dyDescent="0.25">
      <c r="A48" s="2" t="str">
        <f>[1]RawShipmentData!A48</f>
        <v>SHP-101165</v>
      </c>
      <c r="B48" s="3">
        <f>IF(ISNUMBER(SEARCH("/",TRIM([1]RawShipmentData!B48))),DATE(VALUE(RIGHT(TRIM([1]RawShipmentData!B48),4)),VALUE(MID(TRIM([1]RawShipmentData!B48),FIND("/",TRIM([1]RawShipmentData!B48))+1,2)),VALUE(LEFT(TRIM([1]RawShipmentData!B48),FIND("/",TRIM([1]RawShipmentData!B48))-1))),DATEVALUE(TRIM([1]RawShipmentData!B48)))</f>
        <v>45416</v>
      </c>
      <c r="C48" s="2" t="str">
        <f>PROPER(TRIM([1]RawShipmentData!C48))</f>
        <v>Mumbai</v>
      </c>
      <c r="D48" s="2" t="str">
        <f>IFERROR(INDEX([1]HubMaster!$B$2:$B$7,MATCH(C48,[1]HubMaster!$A$2:$A$7,0)),"Unknown")</f>
        <v>West</v>
      </c>
      <c r="E48" s="2" t="str">
        <f>PROPER(TRIM(SUBSTITUTE([1]RawShipmentData!D48,"  "," ")))</f>
        <v>Dtdc</v>
      </c>
      <c r="F48" s="2" t="str">
        <f>PROPER(TRIM([1]RawShipmentData!E48))</f>
        <v>Surface</v>
      </c>
      <c r="G48" s="2" t="str">
        <f>PROPER(TRIM(SUBSTITUTE([1]RawShipmentData!F48,"  "," ")))</f>
        <v>Pharma</v>
      </c>
      <c r="H48" s="2" t="str">
        <f>PROPER(TRIM([1]RawShipmentData!G48))</f>
        <v>North</v>
      </c>
      <c r="I48" s="2" t="str">
        <f t="shared" si="0"/>
        <v>Yes</v>
      </c>
      <c r="J48" s="2">
        <f>IFERROR(VALUE(TRIM(SUBSTITUTE(UPPER([1]RawShipmentData!I48),"KG",""))),"")</f>
        <v>3</v>
      </c>
      <c r="K48" s="2">
        <f>VALUE(SUBSTITUTE(SUBSTITUTE(SUBSTITUTE(TRIM([1]RawShipmentData!J48),"₹",""),"Rs",""),",",""))</f>
        <v>247</v>
      </c>
      <c r="L48" s="2">
        <f>[1]RawShipmentData!K48</f>
        <v>6</v>
      </c>
      <c r="M48" s="3">
        <f>IF(TRIM([1]RawShipmentData!L48)="","",IF(ISNUMBER(SEARCH("/",TRIM([1]RawShipmentData!L48))),DATE(VALUE(RIGHT(TRIM([1]RawShipmentData!L48),4)),VALUE(MID(TRIM([1]RawShipmentData!L48),FIND("/",TRIM([1]RawShipmentData!L48))+1,2)),VALUE(LEFT(TRIM([1]RawShipmentData!L48),FIND("/",TRIM([1]RawShipmentData!L48))-1))),DATEVALUE(TRIM([1]RawShipmentData!L48))))</f>
        <v>45421</v>
      </c>
      <c r="N48" s="2">
        <f t="shared" si="1"/>
        <v>5</v>
      </c>
      <c r="O48" s="2">
        <f t="shared" si="2"/>
        <v>-1</v>
      </c>
      <c r="P48" s="2" t="str">
        <f t="shared" si="3"/>
        <v>On Time</v>
      </c>
      <c r="Q48" s="2" t="str">
        <f>PROPER(SUBSTITUTE(TRIM([1]RawShipmentData!M48)," ","-"))</f>
        <v>Delivered</v>
      </c>
      <c r="R48" s="4">
        <f t="shared" si="4"/>
        <v>82.333333333333329</v>
      </c>
      <c r="S48" s="2">
        <f>[1]RawShipmentData!N48</f>
        <v>4</v>
      </c>
      <c r="T48" s="2" t="str">
        <f>IF(OR(UPPER(TRIM([1]RawShipmentData!O48))="YES",UPPER(TRIM([1]RawShipmentData!O48))="Y"),"Yes","No")</f>
        <v>Yes</v>
      </c>
    </row>
    <row r="49" spans="1:20" x14ac:dyDescent="0.25">
      <c r="A49" s="2" t="str">
        <f>[1]RawShipmentData!A49</f>
        <v>SHP-101414</v>
      </c>
      <c r="B49" s="3">
        <f>IF(ISNUMBER(SEARCH("/",TRIM([1]RawShipmentData!B49))),DATE(VALUE(RIGHT(TRIM([1]RawShipmentData!B49),4)),VALUE(MID(TRIM([1]RawShipmentData!B49),FIND("/",TRIM([1]RawShipmentData!B49))+1,2)),VALUE(LEFT(TRIM([1]RawShipmentData!B49),FIND("/",TRIM([1]RawShipmentData!B49))-1))),DATEVALUE(TRIM([1]RawShipmentData!B49)))</f>
        <v>45293</v>
      </c>
      <c r="C49" s="2" t="str">
        <f>PROPER(TRIM([1]RawShipmentData!C49))</f>
        <v>Bengaluru</v>
      </c>
      <c r="D49" s="2" t="str">
        <f>IFERROR(INDEX([1]HubMaster!$B$2:$B$7,MATCH(C49,[1]HubMaster!$A$2:$A$7,0)),"Unknown")</f>
        <v>South</v>
      </c>
      <c r="E49" s="2" t="str">
        <f>PROPER(TRIM(SUBSTITUTE([1]RawShipmentData!D49,"  "," ")))</f>
        <v/>
      </c>
      <c r="F49" s="2" t="str">
        <f>PROPER(TRIM([1]RawShipmentData!E49))</f>
        <v>Road</v>
      </c>
      <c r="G49" s="2" t="str">
        <f>PROPER(TRIM(SUBSTITUTE([1]RawShipmentData!F49,"  "," ")))</f>
        <v>Electronics</v>
      </c>
      <c r="H49" s="2" t="str">
        <f>PROPER(TRIM([1]RawShipmentData!G49))</f>
        <v>West</v>
      </c>
      <c r="I49" s="2" t="str">
        <f t="shared" si="0"/>
        <v>Yes</v>
      </c>
      <c r="J49" s="2">
        <f>IFERROR(VALUE(TRIM(SUBSTITUTE(UPPER([1]RawShipmentData!I49),"KG",""))),"")</f>
        <v>10.199999999999999</v>
      </c>
      <c r="K49" s="2">
        <f>VALUE(SUBSTITUTE(SUBSTITUTE(SUBSTITUTE(TRIM([1]RawShipmentData!J49),"₹",""),"Rs",""),",",""))</f>
        <v>292</v>
      </c>
      <c r="L49" s="2">
        <f>[1]RawShipmentData!K49</f>
        <v>8</v>
      </c>
      <c r="M49" s="3">
        <f>IF(TRIM([1]RawShipmentData!L49)="","",IF(ISNUMBER(SEARCH("/",TRIM([1]RawShipmentData!L49))),DATE(VALUE(RIGHT(TRIM([1]RawShipmentData!L49),4)),VALUE(MID(TRIM([1]RawShipmentData!L49),FIND("/",TRIM([1]RawShipmentData!L49))+1,2)),VALUE(LEFT(TRIM([1]RawShipmentData!L49),FIND("/",TRIM([1]RawShipmentData!L49))-1))),DATEVALUE(TRIM([1]RawShipmentData!L49))))</f>
        <v>45302</v>
      </c>
      <c r="N49" s="2">
        <f t="shared" si="1"/>
        <v>9</v>
      </c>
      <c r="O49" s="2">
        <f t="shared" si="2"/>
        <v>1</v>
      </c>
      <c r="P49" s="2" t="str">
        <f t="shared" si="3"/>
        <v>Late</v>
      </c>
      <c r="Q49" s="2" t="str">
        <f>PROPER(SUBSTITUTE(TRIM([1]RawShipmentData!M49)," ","-"))</f>
        <v>Delayed</v>
      </c>
      <c r="R49" s="4">
        <f t="shared" si="4"/>
        <v>28.627450980392158</v>
      </c>
      <c r="S49" s="2">
        <f>[1]RawShipmentData!N49</f>
        <v>3</v>
      </c>
      <c r="T49" s="2" t="str">
        <f>IF(OR(UPPER(TRIM([1]RawShipmentData!O49))="YES",UPPER(TRIM([1]RawShipmentData!O49))="Y"),"Yes","No")</f>
        <v>No</v>
      </c>
    </row>
    <row r="50" spans="1:20" x14ac:dyDescent="0.25">
      <c r="A50" s="2" t="str">
        <f>[1]RawShipmentData!A50</f>
        <v>SHP-100659</v>
      </c>
      <c r="B50" s="3">
        <f>IF(ISNUMBER(SEARCH("/",TRIM([1]RawShipmentData!B50))),DATE(VALUE(RIGHT(TRIM([1]RawShipmentData!B50),4)),VALUE(MID(TRIM([1]RawShipmentData!B50),FIND("/",TRIM([1]RawShipmentData!B50))+1,2)),VALUE(LEFT(TRIM([1]RawShipmentData!B50),FIND("/",TRIM([1]RawShipmentData!B50))-1))),DATEVALUE(TRIM([1]RawShipmentData!B50)))</f>
        <v>45468</v>
      </c>
      <c r="C50" s="2" t="str">
        <f>PROPER(TRIM([1]RawShipmentData!C50))</f>
        <v>Hyderabad</v>
      </c>
      <c r="D50" s="2" t="str">
        <f>IFERROR(INDEX([1]HubMaster!$B$2:$B$7,MATCH(C50,[1]HubMaster!$A$2:$A$7,0)),"Unknown")</f>
        <v>West</v>
      </c>
      <c r="E50" s="2" t="str">
        <f>PROPER(TRIM(SUBSTITUTE([1]RawShipmentData!D50,"  "," ")))</f>
        <v>Bluedart</v>
      </c>
      <c r="F50" s="2" t="str">
        <f>PROPER(TRIM([1]RawShipmentData!E50))</f>
        <v>Air</v>
      </c>
      <c r="G50" s="2" t="str">
        <f>PROPER(TRIM(SUBSTITUTE([1]RawShipmentData!F50,"  "," ")))</f>
        <v>Apparel</v>
      </c>
      <c r="H50" s="2" t="str">
        <f>PROPER(TRIM([1]RawShipmentData!G50))</f>
        <v>South</v>
      </c>
      <c r="I50" s="2" t="str">
        <f t="shared" si="0"/>
        <v>Yes</v>
      </c>
      <c r="J50" s="2">
        <f>IFERROR(VALUE(TRIM(SUBSTITUTE(UPPER([1]RawShipmentData!I50),"KG",""))),"")</f>
        <v>1.5</v>
      </c>
      <c r="K50" s="2">
        <f>VALUE(SUBSTITUTE(SUBSTITUTE(SUBSTITUTE(TRIM([1]RawShipmentData!J50),"₹",""),"Rs",""),",",""))</f>
        <v>234</v>
      </c>
      <c r="L50" s="2">
        <f>[1]RawShipmentData!K50</f>
        <v>4</v>
      </c>
      <c r="M50" s="3">
        <f>IF(TRIM([1]RawShipmentData!L50)="","",IF(ISNUMBER(SEARCH("/",TRIM([1]RawShipmentData!L50))),DATE(VALUE(RIGHT(TRIM([1]RawShipmentData!L50),4)),VALUE(MID(TRIM([1]RawShipmentData!L50),FIND("/",TRIM([1]RawShipmentData!L50))+1,2)),VALUE(LEFT(TRIM([1]RawShipmentData!L50),FIND("/",TRIM([1]RawShipmentData!L50))-1))),DATEVALUE(TRIM([1]RawShipmentData!L50))))</f>
        <v>45476</v>
      </c>
      <c r="N50" s="2">
        <f t="shared" si="1"/>
        <v>8</v>
      </c>
      <c r="O50" s="2">
        <f t="shared" si="2"/>
        <v>4</v>
      </c>
      <c r="P50" s="2" t="str">
        <f t="shared" si="3"/>
        <v>Late</v>
      </c>
      <c r="Q50" s="2" t="str">
        <f>PROPER(SUBSTITUTE(TRIM([1]RawShipmentData!M50)," ","-"))</f>
        <v>Delayed</v>
      </c>
      <c r="R50" s="4">
        <f t="shared" si="4"/>
        <v>156</v>
      </c>
      <c r="S50" s="2">
        <f>[1]RawShipmentData!N50</f>
        <v>1</v>
      </c>
      <c r="T50" s="2" t="str">
        <f>IF(OR(UPPER(TRIM([1]RawShipmentData!O50))="YES",UPPER(TRIM([1]RawShipmentData!O50))="Y"),"Yes","No")</f>
        <v>Yes</v>
      </c>
    </row>
    <row r="51" spans="1:20" x14ac:dyDescent="0.25">
      <c r="A51" s="2" t="str">
        <f>[1]RawShipmentData!A51</f>
        <v>SHP-101179</v>
      </c>
      <c r="B51" s="3">
        <f>IF(ISNUMBER(SEARCH("/",TRIM([1]RawShipmentData!B51))),DATE(VALUE(RIGHT(TRIM([1]RawShipmentData!B51),4)),VALUE(MID(TRIM([1]RawShipmentData!B51),FIND("/",TRIM([1]RawShipmentData!B51))+1,2)),VALUE(LEFT(TRIM([1]RawShipmentData!B51),FIND("/",TRIM([1]RawShipmentData!B51))-1))),DATEVALUE(TRIM([1]RawShipmentData!B51)))</f>
        <v>45438</v>
      </c>
      <c r="C51" s="2" t="str">
        <f>PROPER(TRIM([1]RawShipmentData!C51))</f>
        <v>Delhi</v>
      </c>
      <c r="D51" s="2" t="str">
        <f>IFERROR(INDEX([1]HubMaster!$B$2:$B$7,MATCH(C51,[1]HubMaster!$A$2:$A$7,0)),"Unknown")</f>
        <v>North</v>
      </c>
      <c r="E51" s="2" t="str">
        <f>PROPER(TRIM(SUBSTITUTE([1]RawShipmentData!D51,"  "," ")))</f>
        <v>Delhivery</v>
      </c>
      <c r="F51" s="2" t="str">
        <f>PROPER(TRIM([1]RawShipmentData!E51))</f>
        <v>Air</v>
      </c>
      <c r="G51" s="2" t="str">
        <f>PROPER(TRIM(SUBSTITUTE([1]RawShipmentData!F51,"  "," ")))</f>
        <v>Apparel</v>
      </c>
      <c r="H51" s="2" t="str">
        <f>PROPER(TRIM([1]RawShipmentData!G51))</f>
        <v>South</v>
      </c>
      <c r="I51" s="2" t="str">
        <f t="shared" si="0"/>
        <v>Yes</v>
      </c>
      <c r="J51" s="2">
        <f>IFERROR(VALUE(TRIM(SUBSTITUTE(UPPER([1]RawShipmentData!I51),"KG",""))),"")</f>
        <v>5.4</v>
      </c>
      <c r="K51" s="2">
        <f>VALUE(SUBSTITUTE(SUBSTITUTE(SUBSTITUTE(TRIM([1]RawShipmentData!J51),"₹",""),"Rs",""),",",""))</f>
        <v>398</v>
      </c>
      <c r="L51" s="2">
        <f>[1]RawShipmentData!K51</f>
        <v>4</v>
      </c>
      <c r="M51" s="3">
        <f>IF(TRIM([1]RawShipmentData!L51)="","",IF(ISNUMBER(SEARCH("/",TRIM([1]RawShipmentData!L51))),DATE(VALUE(RIGHT(TRIM([1]RawShipmentData!L51),4)),VALUE(MID(TRIM([1]RawShipmentData!L51),FIND("/",TRIM([1]RawShipmentData!L51))+1,2)),VALUE(LEFT(TRIM([1]RawShipmentData!L51),FIND("/",TRIM([1]RawShipmentData!L51))-1))),DATEVALUE(TRIM([1]RawShipmentData!L51))))</f>
        <v>45443</v>
      </c>
      <c r="N51" s="2">
        <f t="shared" si="1"/>
        <v>5</v>
      </c>
      <c r="O51" s="2">
        <f t="shared" si="2"/>
        <v>1</v>
      </c>
      <c r="P51" s="2" t="str">
        <f t="shared" si="3"/>
        <v>Late</v>
      </c>
      <c r="Q51" s="2" t="str">
        <f>PROPER(SUBSTITUTE(TRIM([1]RawShipmentData!M51)," ","-"))</f>
        <v>Delayed</v>
      </c>
      <c r="R51" s="4">
        <f t="shared" si="4"/>
        <v>73.703703703703695</v>
      </c>
      <c r="S51" s="2">
        <f>[1]RawShipmentData!N51</f>
        <v>2</v>
      </c>
      <c r="T51" s="2" t="str">
        <f>IF(OR(UPPER(TRIM([1]RawShipmentData!O51))="YES",UPPER(TRIM([1]RawShipmentData!O51))="Y"),"Yes","No")</f>
        <v>No</v>
      </c>
    </row>
    <row r="52" spans="1:20" x14ac:dyDescent="0.25">
      <c r="A52" s="2" t="str">
        <f>[1]RawShipmentData!A52</f>
        <v>SHP-100462</v>
      </c>
      <c r="B52" s="3">
        <f>IF(ISNUMBER(SEARCH("/",TRIM([1]RawShipmentData!B52))),DATE(VALUE(RIGHT(TRIM([1]RawShipmentData!B52),4)),VALUE(MID(TRIM([1]RawShipmentData!B52),FIND("/",TRIM([1]RawShipmentData!B52))+1,2)),VALUE(LEFT(TRIM([1]RawShipmentData!B52),FIND("/",TRIM([1]RawShipmentData!B52))-1))),DATEVALUE(TRIM([1]RawShipmentData!B52)))</f>
        <v>45408</v>
      </c>
      <c r="C52" s="2" t="str">
        <f>PROPER(TRIM([1]RawShipmentData!C52))</f>
        <v>Kolkata</v>
      </c>
      <c r="D52" s="2" t="str">
        <f>IFERROR(INDEX([1]HubMaster!$B$2:$B$7,MATCH(C52,[1]HubMaster!$A$2:$A$7,0)),"Unknown")</f>
        <v>East</v>
      </c>
      <c r="E52" s="2" t="str">
        <f>PROPER(TRIM(SUBSTITUTE([1]RawShipmentData!D52,"  "," ")))</f>
        <v>Delhivery</v>
      </c>
      <c r="F52" s="2" t="str">
        <f>PROPER(TRIM([1]RawShipmentData!E52))</f>
        <v>Air</v>
      </c>
      <c r="G52" s="2" t="str">
        <f>PROPER(TRIM(SUBSTITUTE([1]RawShipmentData!F52,"  "," ")))</f>
        <v>Electronics</v>
      </c>
      <c r="H52" s="2" t="str">
        <f>PROPER(TRIM([1]RawShipmentData!G52))</f>
        <v>North</v>
      </c>
      <c r="I52" s="2" t="str">
        <f t="shared" si="0"/>
        <v>Yes</v>
      </c>
      <c r="J52" s="2">
        <f>IFERROR(VALUE(TRIM(SUBSTITUTE(UPPER([1]RawShipmentData!I52),"KG",""))),"")</f>
        <v>9.3000000000000007</v>
      </c>
      <c r="K52" s="2">
        <f>VALUE(SUBSTITUTE(SUBSTITUTE(SUBSTITUTE(TRIM([1]RawShipmentData!J52),"₹",""),"Rs",""),",",""))</f>
        <v>606</v>
      </c>
      <c r="L52" s="2">
        <f>[1]RawShipmentData!K52</f>
        <v>4</v>
      </c>
      <c r="M52" s="3">
        <f>IF(TRIM([1]RawShipmentData!L52)="","",IF(ISNUMBER(SEARCH("/",TRIM([1]RawShipmentData!L52))),DATE(VALUE(RIGHT(TRIM([1]RawShipmentData!L52),4)),VALUE(MID(TRIM([1]RawShipmentData!L52),FIND("/",TRIM([1]RawShipmentData!L52))+1,2)),VALUE(LEFT(TRIM([1]RawShipmentData!L52),FIND("/",TRIM([1]RawShipmentData!L52))-1))),DATEVALUE(TRIM([1]RawShipmentData!L52))))</f>
        <v>45412</v>
      </c>
      <c r="N52" s="2">
        <f t="shared" si="1"/>
        <v>4</v>
      </c>
      <c r="O52" s="2">
        <f t="shared" si="2"/>
        <v>0</v>
      </c>
      <c r="P52" s="2" t="str">
        <f t="shared" si="3"/>
        <v>On Time</v>
      </c>
      <c r="Q52" s="2" t="str">
        <f>PROPER(SUBSTITUTE(TRIM([1]RawShipmentData!M52)," ","-"))</f>
        <v>Delivered</v>
      </c>
      <c r="R52" s="4">
        <f t="shared" si="4"/>
        <v>65.161290322580641</v>
      </c>
      <c r="S52" s="2">
        <f>[1]RawShipmentData!N52</f>
        <v>3</v>
      </c>
      <c r="T52" s="2" t="str">
        <f>IF(OR(UPPER(TRIM([1]RawShipmentData!O52))="YES",UPPER(TRIM([1]RawShipmentData!O52))="Y"),"Yes","No")</f>
        <v>No</v>
      </c>
    </row>
    <row r="53" spans="1:20" x14ac:dyDescent="0.25">
      <c r="A53" s="2" t="str">
        <f>[1]RawShipmentData!A53</f>
        <v>SHP-100557</v>
      </c>
      <c r="B53" s="3">
        <f>IF(ISNUMBER(SEARCH("/",TRIM([1]RawShipmentData!B53))),DATE(VALUE(RIGHT(TRIM([1]RawShipmentData!B53),4)),VALUE(MID(TRIM([1]RawShipmentData!B53),FIND("/",TRIM([1]RawShipmentData!B53))+1,2)),VALUE(LEFT(TRIM([1]RawShipmentData!B53),FIND("/",TRIM([1]RawShipmentData!B53))-1))),DATEVALUE(TRIM([1]RawShipmentData!B53)))</f>
        <v>45391</v>
      </c>
      <c r="C53" s="2" t="str">
        <f>PROPER(TRIM([1]RawShipmentData!C53))</f>
        <v>Chennai</v>
      </c>
      <c r="D53" s="2" t="str">
        <f>IFERROR(INDEX([1]HubMaster!$B$2:$B$7,MATCH(C53,[1]HubMaster!$A$2:$A$7,0)),"Unknown")</f>
        <v>South</v>
      </c>
      <c r="E53" s="2" t="str">
        <f>PROPER(TRIM(SUBSTITUTE([1]RawShipmentData!D53,"  "," ")))</f>
        <v>Blue Dart</v>
      </c>
      <c r="F53" s="2" t="str">
        <f>PROPER(TRIM([1]RawShipmentData!E53))</f>
        <v>Surface</v>
      </c>
      <c r="G53" s="2" t="str">
        <f>PROPER(TRIM(SUBSTITUTE([1]RawShipmentData!F53,"  "," ")))</f>
        <v>Automotive Parts</v>
      </c>
      <c r="H53" s="2" t="str">
        <f>PROPER(TRIM([1]RawShipmentData!G53))</f>
        <v>North</v>
      </c>
      <c r="I53" s="2" t="str">
        <f t="shared" si="0"/>
        <v>Yes</v>
      </c>
      <c r="J53" s="2">
        <f>IFERROR(VALUE(TRIM(SUBSTITUTE(UPPER([1]RawShipmentData!I53),"KG",""))),"")</f>
        <v>39.5</v>
      </c>
      <c r="K53" s="2">
        <f>VALUE(SUBSTITUTE(SUBSTITUTE(SUBSTITUTE(TRIM([1]RawShipmentData!J53),"₹",""),"Rs",""),",",""))</f>
        <v>1042</v>
      </c>
      <c r="L53" s="2">
        <f>[1]RawShipmentData!K53</f>
        <v>6</v>
      </c>
      <c r="M53" s="3">
        <f>IF(TRIM([1]RawShipmentData!L53)="","",IF(ISNUMBER(SEARCH("/",TRIM([1]RawShipmentData!L53))),DATE(VALUE(RIGHT(TRIM([1]RawShipmentData!L53),4)),VALUE(MID(TRIM([1]RawShipmentData!L53),FIND("/",TRIM([1]RawShipmentData!L53))+1,2)),VALUE(LEFT(TRIM([1]RawShipmentData!L53),FIND("/",TRIM([1]RawShipmentData!L53))-1))),DATEVALUE(TRIM([1]RawShipmentData!L53))))</f>
        <v>45398</v>
      </c>
      <c r="N53" s="2">
        <f t="shared" si="1"/>
        <v>7</v>
      </c>
      <c r="O53" s="2">
        <f t="shared" si="2"/>
        <v>1</v>
      </c>
      <c r="P53" s="2" t="str">
        <f t="shared" si="3"/>
        <v>Late</v>
      </c>
      <c r="Q53" s="2" t="str">
        <f>PROPER(SUBSTITUTE(TRIM([1]RawShipmentData!M53)," ","-"))</f>
        <v>Delayed</v>
      </c>
      <c r="R53" s="4">
        <f t="shared" si="4"/>
        <v>26.379746835443036</v>
      </c>
      <c r="S53" s="2">
        <f>[1]RawShipmentData!N53</f>
        <v>3</v>
      </c>
      <c r="T53" s="2" t="str">
        <f>IF(OR(UPPER(TRIM([1]RawShipmentData!O53))="YES",UPPER(TRIM([1]RawShipmentData!O53))="Y"),"Yes","No")</f>
        <v>No</v>
      </c>
    </row>
    <row r="54" spans="1:20" x14ac:dyDescent="0.25">
      <c r="A54" s="2" t="str">
        <f>[1]RawShipmentData!A54</f>
        <v>SHP-101587</v>
      </c>
      <c r="B54" s="3">
        <f>IF(ISNUMBER(SEARCH("/",TRIM([1]RawShipmentData!B54))),DATE(VALUE(RIGHT(TRIM([1]RawShipmentData!B54),4)),VALUE(MID(TRIM([1]RawShipmentData!B54),FIND("/",TRIM([1]RawShipmentData!B54))+1,2)),VALUE(LEFT(TRIM([1]RawShipmentData!B54),FIND("/",TRIM([1]RawShipmentData!B54))-1))),DATEVALUE(TRIM([1]RawShipmentData!B54)))</f>
        <v>45383</v>
      </c>
      <c r="C54" s="2" t="str">
        <f>PROPER(TRIM([1]RawShipmentData!C54))</f>
        <v>Kolkata</v>
      </c>
      <c r="D54" s="2" t="str">
        <f>IFERROR(INDEX([1]HubMaster!$B$2:$B$7,MATCH(C54,[1]HubMaster!$A$2:$A$7,0)),"Unknown")</f>
        <v>East</v>
      </c>
      <c r="E54" s="2" t="str">
        <f>PROPER(TRIM(SUBSTITUTE([1]RawShipmentData!D54,"  "," ")))</f>
        <v>Xpressbees</v>
      </c>
      <c r="F54" s="2" t="str">
        <f>PROPER(TRIM([1]RawShipmentData!E54))</f>
        <v>Air</v>
      </c>
      <c r="G54" s="2" t="str">
        <f>PROPER(TRIM(SUBSTITUTE([1]RawShipmentData!F54,"  "," ")))</f>
        <v/>
      </c>
      <c r="H54" s="2" t="str">
        <f>PROPER(TRIM([1]RawShipmentData!G54))</f>
        <v>East</v>
      </c>
      <c r="I54" s="2" t="str">
        <f t="shared" si="0"/>
        <v>No</v>
      </c>
      <c r="J54" s="2">
        <f>IFERROR(VALUE(TRIM(SUBSTITUTE(UPPER([1]RawShipmentData!I54),"KG",""))),"")</f>
        <v>5.9</v>
      </c>
      <c r="K54" s="2">
        <f>VALUE(SUBSTITUTE(SUBSTITUTE(SUBSTITUTE(TRIM([1]RawShipmentData!J54),"₹",""),"Rs",""),",",""))</f>
        <v>296</v>
      </c>
      <c r="L54" s="2">
        <f>[1]RawShipmentData!K54</f>
        <v>2</v>
      </c>
      <c r="M54" s="3">
        <f>IF(TRIM([1]RawShipmentData!L54)="","",IF(ISNUMBER(SEARCH("/",TRIM([1]RawShipmentData!L54))),DATE(VALUE(RIGHT(TRIM([1]RawShipmentData!L54),4)),VALUE(MID(TRIM([1]RawShipmentData!L54),FIND("/",TRIM([1]RawShipmentData!L54))+1,2)),VALUE(LEFT(TRIM([1]RawShipmentData!L54),FIND("/",TRIM([1]RawShipmentData!L54))-1))),DATEVALUE(TRIM([1]RawShipmentData!L54))))</f>
        <v>45391</v>
      </c>
      <c r="N54" s="2">
        <f t="shared" si="1"/>
        <v>8</v>
      </c>
      <c r="O54" s="2">
        <f t="shared" si="2"/>
        <v>6</v>
      </c>
      <c r="P54" s="2" t="str">
        <f t="shared" si="3"/>
        <v>Late</v>
      </c>
      <c r="Q54" s="2" t="str">
        <f>PROPER(SUBSTITUTE(TRIM([1]RawShipmentData!M54)," ","-"))</f>
        <v>Delayed</v>
      </c>
      <c r="R54" s="4">
        <f t="shared" si="4"/>
        <v>50.169491525423723</v>
      </c>
      <c r="S54" s="2">
        <f>[1]RawShipmentData!N54</f>
        <v>2</v>
      </c>
      <c r="T54" s="2" t="str">
        <f>IF(OR(UPPER(TRIM([1]RawShipmentData!O54))="YES",UPPER(TRIM([1]RawShipmentData!O54))="Y"),"Yes","No")</f>
        <v>Yes</v>
      </c>
    </row>
    <row r="55" spans="1:20" x14ac:dyDescent="0.25">
      <c r="A55" s="2" t="str">
        <f>[1]RawShipmentData!A55</f>
        <v>SHP-100133</v>
      </c>
      <c r="B55" s="3">
        <f>IF(ISNUMBER(SEARCH("/",TRIM([1]RawShipmentData!B55))),DATE(VALUE(RIGHT(TRIM([1]RawShipmentData!B55),4)),VALUE(MID(TRIM([1]RawShipmentData!B55),FIND("/",TRIM([1]RawShipmentData!B55))+1,2)),VALUE(LEFT(TRIM([1]RawShipmentData!B55),FIND("/",TRIM([1]RawShipmentData!B55))-1))),DATEVALUE(TRIM([1]RawShipmentData!B55)))</f>
        <v>45294</v>
      </c>
      <c r="C55" s="2" t="str">
        <f>PROPER(TRIM([1]RawShipmentData!C55))</f>
        <v>Delhi</v>
      </c>
      <c r="D55" s="2" t="str">
        <f>IFERROR(INDEX([1]HubMaster!$B$2:$B$7,MATCH(C55,[1]HubMaster!$A$2:$A$7,0)),"Unknown")</f>
        <v>North</v>
      </c>
      <c r="E55" s="2" t="str">
        <f>PROPER(TRIM(SUBSTITUTE([1]RawShipmentData!D55,"  "," ")))</f>
        <v>Bluedart</v>
      </c>
      <c r="F55" s="2" t="str">
        <f>PROPER(TRIM([1]RawShipmentData!E55))</f>
        <v>Air</v>
      </c>
      <c r="G55" s="2" t="str">
        <f>PROPER(TRIM(SUBSTITUTE([1]RawShipmentData!F55,"  "," ")))</f>
        <v>Automotive Parts</v>
      </c>
      <c r="H55" s="2" t="str">
        <f>PROPER(TRIM([1]RawShipmentData!G55))</f>
        <v>South</v>
      </c>
      <c r="I55" s="2" t="str">
        <f t="shared" si="0"/>
        <v>Yes</v>
      </c>
      <c r="J55" s="2">
        <f>IFERROR(VALUE(TRIM(SUBSTITUTE(UPPER([1]RawShipmentData!I55),"KG",""))),"")</f>
        <v>8.3000000000000007</v>
      </c>
      <c r="K55" s="2">
        <f>VALUE(SUBSTITUTE(SUBSTITUTE(SUBSTITUTE(TRIM([1]RawShipmentData!J55),"₹",""),"Rs",""),",",""))</f>
        <v>525</v>
      </c>
      <c r="L55" s="2">
        <f>[1]RawShipmentData!K55</f>
        <v>4</v>
      </c>
      <c r="M55" s="3">
        <f>IF(TRIM([1]RawShipmentData!L55)="","",IF(ISNUMBER(SEARCH("/",TRIM([1]RawShipmentData!L55))),DATE(VALUE(RIGHT(TRIM([1]RawShipmentData!L55),4)),VALUE(MID(TRIM([1]RawShipmentData!L55),FIND("/",TRIM([1]RawShipmentData!L55))+1,2)),VALUE(LEFT(TRIM([1]RawShipmentData!L55),FIND("/",TRIM([1]RawShipmentData!L55))-1))),DATEVALUE(TRIM([1]RawShipmentData!L55))))</f>
        <v>45298</v>
      </c>
      <c r="N55" s="2">
        <f t="shared" si="1"/>
        <v>4</v>
      </c>
      <c r="O55" s="2">
        <f t="shared" si="2"/>
        <v>0</v>
      </c>
      <c r="P55" s="2" t="str">
        <f t="shared" si="3"/>
        <v>On Time</v>
      </c>
      <c r="Q55" s="2" t="str">
        <f>PROPER(SUBSTITUTE(TRIM([1]RawShipmentData!M55)," ","-"))</f>
        <v>Delivered</v>
      </c>
      <c r="R55" s="4">
        <f t="shared" si="4"/>
        <v>63.253012048192765</v>
      </c>
      <c r="S55" s="2">
        <f>[1]RawShipmentData!N55</f>
        <v>4</v>
      </c>
      <c r="T55" s="2" t="str">
        <f>IF(OR(UPPER(TRIM([1]RawShipmentData!O55))="YES",UPPER(TRIM([1]RawShipmentData!O55))="Y"),"Yes","No")</f>
        <v>No</v>
      </c>
    </row>
    <row r="56" spans="1:20" x14ac:dyDescent="0.25">
      <c r="A56" s="2" t="str">
        <f>[1]RawShipmentData!A56</f>
        <v>SHP-100320</v>
      </c>
      <c r="B56" s="3">
        <f>IF(ISNUMBER(SEARCH("/",TRIM([1]RawShipmentData!B56))),DATE(VALUE(RIGHT(TRIM([1]RawShipmentData!B56),4)),VALUE(MID(TRIM([1]RawShipmentData!B56),FIND("/",TRIM([1]RawShipmentData!B56))+1,2)),VALUE(LEFT(TRIM([1]RawShipmentData!B56),FIND("/",TRIM([1]RawShipmentData!B56))-1))),DATEVALUE(TRIM([1]RawShipmentData!B56)))</f>
        <v>45413</v>
      </c>
      <c r="C56" s="2" t="str">
        <f>PROPER(TRIM([1]RawShipmentData!C56))</f>
        <v>Kolkata</v>
      </c>
      <c r="D56" s="2" t="str">
        <f>IFERROR(INDEX([1]HubMaster!$B$2:$B$7,MATCH(C56,[1]HubMaster!$A$2:$A$7,0)),"Unknown")</f>
        <v>East</v>
      </c>
      <c r="E56" s="2" t="str">
        <f>PROPER(TRIM(SUBSTITUTE([1]RawShipmentData!D56,"  "," ")))</f>
        <v>Ecom Express</v>
      </c>
      <c r="F56" s="2" t="str">
        <f>PROPER(TRIM([1]RawShipmentData!E56))</f>
        <v>Surface</v>
      </c>
      <c r="G56" s="2" t="str">
        <f>PROPER(TRIM(SUBSTITUTE([1]RawShipmentData!F56,"  "," ")))</f>
        <v>Pharma</v>
      </c>
      <c r="H56" s="2" t="str">
        <f>PROPER(TRIM([1]RawShipmentData!G56))</f>
        <v>West</v>
      </c>
      <c r="I56" s="2" t="str">
        <f t="shared" si="0"/>
        <v>Yes</v>
      </c>
      <c r="J56" s="2">
        <f>IFERROR(VALUE(TRIM(SUBSTITUTE(UPPER([1]RawShipmentData!I56),"KG",""))),"")</f>
        <v>3.9</v>
      </c>
      <c r="K56" s="2">
        <f>VALUE(SUBSTITUTE(SUBSTITUTE(SUBSTITUTE(TRIM([1]RawShipmentData!J56),"₹",""),"Rs",""),",",""))</f>
        <v>248</v>
      </c>
      <c r="L56" s="2">
        <f>[1]RawShipmentData!K56</f>
        <v>6</v>
      </c>
      <c r="M56" s="3">
        <f>IF(TRIM([1]RawShipmentData!L56)="","",IF(ISNUMBER(SEARCH("/",TRIM([1]RawShipmentData!L56))),DATE(VALUE(RIGHT(TRIM([1]RawShipmentData!L56),4)),VALUE(MID(TRIM([1]RawShipmentData!L56),FIND("/",TRIM([1]RawShipmentData!L56))+1,2)),VALUE(LEFT(TRIM([1]RawShipmentData!L56),FIND("/",TRIM([1]RawShipmentData!L56))-1))),DATEVALUE(TRIM([1]RawShipmentData!L56))))</f>
        <v>45420</v>
      </c>
      <c r="N56" s="2">
        <f t="shared" si="1"/>
        <v>7</v>
      </c>
      <c r="O56" s="2">
        <f t="shared" si="2"/>
        <v>1</v>
      </c>
      <c r="P56" s="2" t="str">
        <f t="shared" si="3"/>
        <v>Late</v>
      </c>
      <c r="Q56" s="2" t="str">
        <f>PROPER(SUBSTITUTE(TRIM([1]RawShipmentData!M56)," ","-"))</f>
        <v>Delayed</v>
      </c>
      <c r="R56" s="4">
        <f t="shared" si="4"/>
        <v>63.589743589743591</v>
      </c>
      <c r="S56" s="2">
        <f>[1]RawShipmentData!N56</f>
        <v>2</v>
      </c>
      <c r="T56" s="2" t="str">
        <f>IF(OR(UPPER(TRIM([1]RawShipmentData!O56))="YES",UPPER(TRIM([1]RawShipmentData!O56))="Y"),"Yes","No")</f>
        <v>No</v>
      </c>
    </row>
    <row r="57" spans="1:20" x14ac:dyDescent="0.25">
      <c r="A57" s="2" t="str">
        <f>[1]RawShipmentData!A57</f>
        <v>SHP-101295</v>
      </c>
      <c r="B57" s="3">
        <f>IF(ISNUMBER(SEARCH("/",TRIM([1]RawShipmentData!B57))),DATE(VALUE(RIGHT(TRIM([1]RawShipmentData!B57),4)),VALUE(MID(TRIM([1]RawShipmentData!B57),FIND("/",TRIM([1]RawShipmentData!B57))+1,2)),VALUE(LEFT(TRIM([1]RawShipmentData!B57),FIND("/",TRIM([1]RawShipmentData!B57))-1))),DATEVALUE(TRIM([1]RawShipmentData!B57)))</f>
        <v>45376</v>
      </c>
      <c r="C57" s="2" t="str">
        <f>PROPER(TRIM([1]RawShipmentData!C57))</f>
        <v>Hyderabad</v>
      </c>
      <c r="D57" s="2" t="str">
        <f>IFERROR(INDEX([1]HubMaster!$B$2:$B$7,MATCH(C57,[1]HubMaster!$A$2:$A$7,0)),"Unknown")</f>
        <v>West</v>
      </c>
      <c r="E57" s="2" t="str">
        <f>PROPER(TRIM(SUBSTITUTE([1]RawShipmentData!D57,"  "," ")))</f>
        <v>Delhivery</v>
      </c>
      <c r="F57" s="2" t="str">
        <f>PROPER(TRIM([1]RawShipmentData!E57))</f>
        <v>Road</v>
      </c>
      <c r="G57" s="2" t="str">
        <f>PROPER(TRIM(SUBSTITUTE([1]RawShipmentData!F57,"  "," ")))</f>
        <v>Apparel</v>
      </c>
      <c r="H57" s="2" t="str">
        <f>PROPER(TRIM([1]RawShipmentData!G57))</f>
        <v>West</v>
      </c>
      <c r="I57" s="2" t="str">
        <f t="shared" si="0"/>
        <v>No</v>
      </c>
      <c r="J57" s="2">
        <f>IFERROR(VALUE(TRIM(SUBSTITUTE(UPPER([1]RawShipmentData!I57),"KG",""))),"")</f>
        <v>5.7</v>
      </c>
      <c r="K57" s="2">
        <f>VALUE(SUBSTITUTE(SUBSTITUTE(SUBSTITUTE(TRIM([1]RawShipmentData!J57),"₹",""),"Rs",""),",",""))</f>
        <v>80</v>
      </c>
      <c r="L57" s="2">
        <f>[1]RawShipmentData!K57</f>
        <v>6</v>
      </c>
      <c r="M57" s="3">
        <f>IF(TRIM([1]RawShipmentData!L57)="","",IF(ISNUMBER(SEARCH("/",TRIM([1]RawShipmentData!L57))),DATE(VALUE(RIGHT(TRIM([1]RawShipmentData!L57),4)),VALUE(MID(TRIM([1]RawShipmentData!L57),FIND("/",TRIM([1]RawShipmentData!L57))+1,2)),VALUE(LEFT(TRIM([1]RawShipmentData!L57),FIND("/",TRIM([1]RawShipmentData!L57))-1))),DATEVALUE(TRIM([1]RawShipmentData!L57))))</f>
        <v>45383</v>
      </c>
      <c r="N57" s="2">
        <f t="shared" si="1"/>
        <v>7</v>
      </c>
      <c r="O57" s="2">
        <f t="shared" si="2"/>
        <v>1</v>
      </c>
      <c r="P57" s="2" t="str">
        <f t="shared" si="3"/>
        <v>Late</v>
      </c>
      <c r="Q57" s="2" t="str">
        <f>PROPER(SUBSTITUTE(TRIM([1]RawShipmentData!M57)," ","-"))</f>
        <v>Delayed</v>
      </c>
      <c r="R57" s="4">
        <f t="shared" si="4"/>
        <v>14.035087719298245</v>
      </c>
      <c r="S57" s="2">
        <f>[1]RawShipmentData!N57</f>
        <v>2</v>
      </c>
      <c r="T57" s="2" t="str">
        <f>IF(OR(UPPER(TRIM([1]RawShipmentData!O57))="YES",UPPER(TRIM([1]RawShipmentData!O57))="Y"),"Yes","No")</f>
        <v>No</v>
      </c>
    </row>
    <row r="58" spans="1:20" x14ac:dyDescent="0.25">
      <c r="A58" s="2" t="str">
        <f>[1]RawShipmentData!A58</f>
        <v>SHP-100436</v>
      </c>
      <c r="B58" s="3">
        <f>IF(ISNUMBER(SEARCH("/",TRIM([1]RawShipmentData!B58))),DATE(VALUE(RIGHT(TRIM([1]RawShipmentData!B58),4)),VALUE(MID(TRIM([1]RawShipmentData!B58),FIND("/",TRIM([1]RawShipmentData!B58))+1,2)),VALUE(LEFT(TRIM([1]RawShipmentData!B58),FIND("/",TRIM([1]RawShipmentData!B58))-1))),DATEVALUE(TRIM([1]RawShipmentData!B58)))</f>
        <v>45464</v>
      </c>
      <c r="C58" s="2" t="str">
        <f>PROPER(TRIM([1]RawShipmentData!C58))</f>
        <v>Hyderabad</v>
      </c>
      <c r="D58" s="2" t="str">
        <f>IFERROR(INDEX([1]HubMaster!$B$2:$B$7,MATCH(C58,[1]HubMaster!$A$2:$A$7,0)),"Unknown")</f>
        <v>West</v>
      </c>
      <c r="E58" s="2" t="str">
        <f>PROPER(TRIM(SUBSTITUTE([1]RawShipmentData!D58,"  "," ")))</f>
        <v>Xpressbees</v>
      </c>
      <c r="F58" s="2" t="str">
        <f>PROPER(TRIM([1]RawShipmentData!E58))</f>
        <v>Road</v>
      </c>
      <c r="G58" s="2" t="str">
        <f>PROPER(TRIM(SUBSTITUTE([1]RawShipmentData!F58,"  "," ")))</f>
        <v>Furniture</v>
      </c>
      <c r="H58" s="2" t="str">
        <f>PROPER(TRIM([1]RawShipmentData!G58))</f>
        <v>South</v>
      </c>
      <c r="I58" s="2" t="str">
        <f t="shared" si="0"/>
        <v>Yes</v>
      </c>
      <c r="J58" s="2">
        <f>IFERROR(VALUE(TRIM(SUBSTITUTE(UPPER([1]RawShipmentData!I58),"KG",""))),"")</f>
        <v>39.5</v>
      </c>
      <c r="K58" s="2">
        <f>VALUE(SUBSTITUTE(SUBSTITUTE(SUBSTITUTE(TRIM([1]RawShipmentData!J58),"₹",""),"Rs",""),",",""))</f>
        <v>718</v>
      </c>
      <c r="L58" s="2">
        <f>[1]RawShipmentData!K58</f>
        <v>8</v>
      </c>
      <c r="M58" s="3">
        <f>IF(TRIM([1]RawShipmentData!L58)="","",IF(ISNUMBER(SEARCH("/",TRIM([1]RawShipmentData!L58))),DATE(VALUE(RIGHT(TRIM([1]RawShipmentData!L58),4)),VALUE(MID(TRIM([1]RawShipmentData!L58),FIND("/",TRIM([1]RawShipmentData!L58))+1,2)),VALUE(LEFT(TRIM([1]RawShipmentData!L58),FIND("/",TRIM([1]RawShipmentData!L58))-1))),DATEVALUE(TRIM([1]RawShipmentData!L58))))</f>
        <v>45472</v>
      </c>
      <c r="N58" s="2">
        <f t="shared" si="1"/>
        <v>8</v>
      </c>
      <c r="O58" s="2">
        <f t="shared" si="2"/>
        <v>0</v>
      </c>
      <c r="P58" s="2" t="str">
        <f t="shared" si="3"/>
        <v>On Time</v>
      </c>
      <c r="Q58" s="2" t="str">
        <f>PROPER(SUBSTITUTE(TRIM([1]RawShipmentData!M58)," ","-"))</f>
        <v>Delivered</v>
      </c>
      <c r="R58" s="4">
        <f t="shared" si="4"/>
        <v>18.177215189873419</v>
      </c>
      <c r="S58" s="2">
        <f>[1]RawShipmentData!N58</f>
        <v>4</v>
      </c>
      <c r="T58" s="2" t="str">
        <f>IF(OR(UPPER(TRIM([1]RawShipmentData!O58))="YES",UPPER(TRIM([1]RawShipmentData!O58))="Y"),"Yes","No")</f>
        <v>Yes</v>
      </c>
    </row>
    <row r="59" spans="1:20" x14ac:dyDescent="0.25">
      <c r="A59" s="2" t="str">
        <f>[1]RawShipmentData!A59</f>
        <v>SHP-100223</v>
      </c>
      <c r="B59" s="3">
        <f>IF(ISNUMBER(SEARCH("/",TRIM([1]RawShipmentData!B59))),DATE(VALUE(RIGHT(TRIM([1]RawShipmentData!B59),4)),VALUE(MID(TRIM([1]RawShipmentData!B59),FIND("/",TRIM([1]RawShipmentData!B59))+1,2)),VALUE(LEFT(TRIM([1]RawShipmentData!B59),FIND("/",TRIM([1]RawShipmentData!B59))-1))),DATEVALUE(TRIM([1]RawShipmentData!B59)))</f>
        <v>45335</v>
      </c>
      <c r="C59" s="2" t="str">
        <f>PROPER(TRIM([1]RawShipmentData!C59))</f>
        <v>Mumbai</v>
      </c>
      <c r="D59" s="2" t="str">
        <f>IFERROR(INDEX([1]HubMaster!$B$2:$B$7,MATCH(C59,[1]HubMaster!$A$2:$A$7,0)),"Unknown")</f>
        <v>West</v>
      </c>
      <c r="E59" s="2" t="str">
        <f>PROPER(TRIM(SUBSTITUTE([1]RawShipmentData!D59,"  "," ")))</f>
        <v>Dtdc</v>
      </c>
      <c r="F59" s="2" t="str">
        <f>PROPER(TRIM([1]RawShipmentData!E59))</f>
        <v>Surface</v>
      </c>
      <c r="G59" s="2" t="str">
        <f>PROPER(TRIM(SUBSTITUTE([1]RawShipmentData!F59,"  "," ")))</f>
        <v>Pharma</v>
      </c>
      <c r="H59" s="2" t="str">
        <f>PROPER(TRIM([1]RawShipmentData!G59))</f>
        <v>South</v>
      </c>
      <c r="I59" s="2" t="str">
        <f t="shared" si="0"/>
        <v>Yes</v>
      </c>
      <c r="J59" s="2">
        <f>IFERROR(VALUE(TRIM(SUBSTITUTE(UPPER([1]RawShipmentData!I59),"KG",""))),"")</f>
        <v>5</v>
      </c>
      <c r="K59" s="2">
        <f>VALUE(SUBSTITUTE(SUBSTITUTE(SUBSTITUTE(TRIM([1]RawShipmentData!J59),"₹",""),"Rs",""),",",""))</f>
        <v>245</v>
      </c>
      <c r="L59" s="2">
        <f>[1]RawShipmentData!K59</f>
        <v>6</v>
      </c>
      <c r="M59" s="3">
        <f>IF(TRIM([1]RawShipmentData!L59)="","",IF(ISNUMBER(SEARCH("/",TRIM([1]RawShipmentData!L59))),DATE(VALUE(RIGHT(TRIM([1]RawShipmentData!L59),4)),VALUE(MID(TRIM([1]RawShipmentData!L59),FIND("/",TRIM([1]RawShipmentData!L59))+1,2)),VALUE(LEFT(TRIM([1]RawShipmentData!L59),FIND("/",TRIM([1]RawShipmentData!L59))-1))),DATEVALUE(TRIM([1]RawShipmentData!L59))))</f>
        <v>45342</v>
      </c>
      <c r="N59" s="2">
        <f t="shared" si="1"/>
        <v>7</v>
      </c>
      <c r="O59" s="2">
        <f t="shared" si="2"/>
        <v>1</v>
      </c>
      <c r="P59" s="2" t="str">
        <f t="shared" si="3"/>
        <v>Late</v>
      </c>
      <c r="Q59" s="2" t="str">
        <f>PROPER(SUBSTITUTE(TRIM([1]RawShipmentData!M59)," ","-"))</f>
        <v>Delayed</v>
      </c>
      <c r="R59" s="4">
        <f t="shared" si="4"/>
        <v>49</v>
      </c>
      <c r="S59" s="2">
        <f>[1]RawShipmentData!N59</f>
        <v>3</v>
      </c>
      <c r="T59" s="2" t="str">
        <f>IF(OR(UPPER(TRIM([1]RawShipmentData!O59))="YES",UPPER(TRIM([1]RawShipmentData!O59))="Y"),"Yes","No")</f>
        <v>Yes</v>
      </c>
    </row>
    <row r="60" spans="1:20" x14ac:dyDescent="0.25">
      <c r="A60" s="2" t="str">
        <f>[1]RawShipmentData!A60</f>
        <v>SHP-101431</v>
      </c>
      <c r="B60" s="3">
        <f>IF(ISNUMBER(SEARCH("/",TRIM([1]RawShipmentData!B60))),DATE(VALUE(RIGHT(TRIM([1]RawShipmentData!B60),4)),VALUE(MID(TRIM([1]RawShipmentData!B60),FIND("/",TRIM([1]RawShipmentData!B60))+1,2)),VALUE(LEFT(TRIM([1]RawShipmentData!B60),FIND("/",TRIM([1]RawShipmentData!B60))-1))),DATEVALUE(TRIM([1]RawShipmentData!B60)))</f>
        <v>45348</v>
      </c>
      <c r="C60" s="2" t="str">
        <f>PROPER(TRIM([1]RawShipmentData!C60))</f>
        <v>Hyderabad</v>
      </c>
      <c r="D60" s="2" t="str">
        <f>IFERROR(INDEX([1]HubMaster!$B$2:$B$7,MATCH(C60,[1]HubMaster!$A$2:$A$7,0)),"Unknown")</f>
        <v>West</v>
      </c>
      <c r="E60" s="2" t="str">
        <f>PROPER(TRIM(SUBSTITUTE([1]RawShipmentData!D60,"  "," ")))</f>
        <v>Dtdc</v>
      </c>
      <c r="F60" s="2" t="str">
        <f>PROPER(TRIM([1]RawShipmentData!E60))</f>
        <v>Road</v>
      </c>
      <c r="G60" s="2" t="str">
        <f>PROPER(TRIM(SUBSTITUTE([1]RawShipmentData!F60,"  "," ")))</f>
        <v>Apparel</v>
      </c>
      <c r="H60" s="2" t="str">
        <f>PROPER(TRIM([1]RawShipmentData!G60))</f>
        <v>South</v>
      </c>
      <c r="I60" s="2" t="str">
        <f t="shared" si="0"/>
        <v>Yes</v>
      </c>
      <c r="J60" s="2">
        <f>IFERROR(VALUE(TRIM(SUBSTITUTE(UPPER([1]RawShipmentData!I60),"KG",""))),"")</f>
        <v>5.9</v>
      </c>
      <c r="K60" s="2">
        <f>VALUE(SUBSTITUTE(SUBSTITUTE(SUBSTITUTE(TRIM([1]RawShipmentData!J60),"₹",""),"Rs",""),",",""))</f>
        <v>244</v>
      </c>
      <c r="L60" s="2">
        <f>[1]RawShipmentData!K60</f>
        <v>8</v>
      </c>
      <c r="M60" s="3">
        <f>IF(TRIM([1]RawShipmentData!L60)="","",IF(ISNUMBER(SEARCH("/",TRIM([1]RawShipmentData!L60))),DATE(VALUE(RIGHT(TRIM([1]RawShipmentData!L60),4)),VALUE(MID(TRIM([1]RawShipmentData!L60),FIND("/",TRIM([1]RawShipmentData!L60))+1,2)),VALUE(LEFT(TRIM([1]RawShipmentData!L60),FIND("/",TRIM([1]RawShipmentData!L60))-1))),DATEVALUE(TRIM([1]RawShipmentData!L60))))</f>
        <v>45357</v>
      </c>
      <c r="N60" s="2">
        <f t="shared" si="1"/>
        <v>9</v>
      </c>
      <c r="O60" s="2">
        <f t="shared" si="2"/>
        <v>1</v>
      </c>
      <c r="P60" s="2" t="str">
        <f t="shared" si="3"/>
        <v>Late</v>
      </c>
      <c r="Q60" s="2" t="str">
        <f>PROPER(SUBSTITUTE(TRIM([1]RawShipmentData!M60)," ","-"))</f>
        <v>Delayed</v>
      </c>
      <c r="R60" s="4">
        <f t="shared" si="4"/>
        <v>41.355932203389827</v>
      </c>
      <c r="S60" s="2">
        <f>[1]RawShipmentData!N60</f>
        <v>5</v>
      </c>
      <c r="T60" s="2" t="str">
        <f>IF(OR(UPPER(TRIM([1]RawShipmentData!O60))="YES",UPPER(TRIM([1]RawShipmentData!O60))="Y"),"Yes","No")</f>
        <v>Yes</v>
      </c>
    </row>
    <row r="61" spans="1:20" x14ac:dyDescent="0.25">
      <c r="A61" s="2" t="str">
        <f>[1]RawShipmentData!A61</f>
        <v>SHP-101504</v>
      </c>
      <c r="B61" s="3">
        <f>IF(ISNUMBER(SEARCH("/",TRIM([1]RawShipmentData!B61))),DATE(VALUE(RIGHT(TRIM([1]RawShipmentData!B61),4)),VALUE(MID(TRIM([1]RawShipmentData!B61),FIND("/",TRIM([1]RawShipmentData!B61))+1,2)),VALUE(LEFT(TRIM([1]RawShipmentData!B61),FIND("/",TRIM([1]RawShipmentData!B61))-1))),DATEVALUE(TRIM([1]RawShipmentData!B61)))</f>
        <v>45305</v>
      </c>
      <c r="C61" s="2" t="str">
        <f>PROPER(TRIM([1]RawShipmentData!C61))</f>
        <v>Hyderabad</v>
      </c>
      <c r="D61" s="2" t="str">
        <f>IFERROR(INDEX([1]HubMaster!$B$2:$B$7,MATCH(C61,[1]HubMaster!$A$2:$A$7,0)),"Unknown")</f>
        <v>West</v>
      </c>
      <c r="E61" s="2" t="str">
        <f>PROPER(TRIM(SUBSTITUTE([1]RawShipmentData!D61,"  "," ")))</f>
        <v>Ecom Express</v>
      </c>
      <c r="F61" s="2" t="str">
        <f>PROPER(TRIM([1]RawShipmentData!E61))</f>
        <v>Surface</v>
      </c>
      <c r="G61" s="2" t="str">
        <f>PROPER(TRIM(SUBSTITUTE([1]RawShipmentData!F61,"  "," ")))</f>
        <v>Furniture</v>
      </c>
      <c r="H61" s="2" t="str">
        <f>PROPER(TRIM([1]RawShipmentData!G61))</f>
        <v>South</v>
      </c>
      <c r="I61" s="2" t="str">
        <f t="shared" si="0"/>
        <v>Yes</v>
      </c>
      <c r="J61" s="2">
        <f>IFERROR(VALUE(TRIM(SUBSTITUTE(UPPER([1]RawShipmentData!I61),"KG",""))),"")</f>
        <v>44.8</v>
      </c>
      <c r="K61" s="2">
        <f>VALUE(SUBSTITUTE(SUBSTITUTE(SUBSTITUTE(TRIM([1]RawShipmentData!J61),"₹",""),"Rs",""),",",""))</f>
        <v>1171</v>
      </c>
      <c r="L61" s="2">
        <f>[1]RawShipmentData!K61</f>
        <v>6</v>
      </c>
      <c r="M61" s="3">
        <f>IF(TRIM([1]RawShipmentData!L61)="","",IF(ISNUMBER(SEARCH("/",TRIM([1]RawShipmentData!L61))),DATE(VALUE(RIGHT(TRIM([1]RawShipmentData!L61),4)),VALUE(MID(TRIM([1]RawShipmentData!L61),FIND("/",TRIM([1]RawShipmentData!L61))+1,2)),VALUE(LEFT(TRIM([1]RawShipmentData!L61),FIND("/",TRIM([1]RawShipmentData!L61))-1))),DATEVALUE(TRIM([1]RawShipmentData!L61))))</f>
        <v>45310</v>
      </c>
      <c r="N61" s="2">
        <f t="shared" si="1"/>
        <v>5</v>
      </c>
      <c r="O61" s="2">
        <f t="shared" si="2"/>
        <v>-1</v>
      </c>
      <c r="P61" s="2" t="str">
        <f t="shared" si="3"/>
        <v>On Time</v>
      </c>
      <c r="Q61" s="2" t="str">
        <f>PROPER(SUBSTITUTE(TRIM([1]RawShipmentData!M61)," ","-"))</f>
        <v>Delivered</v>
      </c>
      <c r="R61" s="4">
        <f t="shared" si="4"/>
        <v>26.138392857142858</v>
      </c>
      <c r="S61" s="2">
        <f>[1]RawShipmentData!N61</f>
        <v>3</v>
      </c>
      <c r="T61" s="2" t="str">
        <f>IF(OR(UPPER(TRIM([1]RawShipmentData!O61))="YES",UPPER(TRIM([1]RawShipmentData!O61))="Y"),"Yes","No")</f>
        <v>No</v>
      </c>
    </row>
    <row r="62" spans="1:20" x14ac:dyDescent="0.25">
      <c r="A62" s="2" t="str">
        <f>[1]RawShipmentData!A62</f>
        <v>SHP-101065</v>
      </c>
      <c r="B62" s="3">
        <f>IF(ISNUMBER(SEARCH("/",TRIM([1]RawShipmentData!B62))),DATE(VALUE(RIGHT(TRIM([1]RawShipmentData!B62),4)),VALUE(MID(TRIM([1]RawShipmentData!B62),FIND("/",TRIM([1]RawShipmentData!B62))+1,2)),VALUE(LEFT(TRIM([1]RawShipmentData!B62),FIND("/",TRIM([1]RawShipmentData!B62))-1))),DATEVALUE(TRIM([1]RawShipmentData!B62)))</f>
        <v>45455</v>
      </c>
      <c r="C62" s="2" t="str">
        <f>PROPER(TRIM([1]RawShipmentData!C62))</f>
        <v>Chennai</v>
      </c>
      <c r="D62" s="2" t="str">
        <f>IFERROR(INDEX([1]HubMaster!$B$2:$B$7,MATCH(C62,[1]HubMaster!$A$2:$A$7,0)),"Unknown")</f>
        <v>South</v>
      </c>
      <c r="E62" s="2" t="str">
        <f>PROPER(TRIM(SUBSTITUTE([1]RawShipmentData!D62,"  "," ")))</f>
        <v>Bluedart</v>
      </c>
      <c r="F62" s="2" t="str">
        <f>PROPER(TRIM([1]RawShipmentData!E62))</f>
        <v>Surface</v>
      </c>
      <c r="G62" s="2" t="str">
        <f>PROPER(TRIM(SUBSTITUTE([1]RawShipmentData!F62,"  "," ")))</f>
        <v>Pharma</v>
      </c>
      <c r="H62" s="2" t="str">
        <f>PROPER(TRIM([1]RawShipmentData!G62))</f>
        <v>East</v>
      </c>
      <c r="I62" s="2" t="str">
        <f t="shared" si="0"/>
        <v>Yes</v>
      </c>
      <c r="J62" s="2">
        <f>IFERROR(VALUE(TRIM(SUBSTITUTE(UPPER([1]RawShipmentData!I62),"KG",""))),"")</f>
        <v>2.1</v>
      </c>
      <c r="K62" s="2">
        <f>VALUE(SUBSTITUTE(SUBSTITUTE(SUBSTITUTE(TRIM([1]RawShipmentData!J62),"₹",""),"Rs",""),",",""))</f>
        <v>197</v>
      </c>
      <c r="L62" s="2">
        <f>[1]RawShipmentData!K62</f>
        <v>6</v>
      </c>
      <c r="M62" s="3">
        <f>IF(TRIM([1]RawShipmentData!L62)="","",IF(ISNUMBER(SEARCH("/",TRIM([1]RawShipmentData!L62))),DATE(VALUE(RIGHT(TRIM([1]RawShipmentData!L62),4)),VALUE(MID(TRIM([1]RawShipmentData!L62),FIND("/",TRIM([1]RawShipmentData!L62))+1,2)),VALUE(LEFT(TRIM([1]RawShipmentData!L62),FIND("/",TRIM([1]RawShipmentData!L62))-1))),DATEVALUE(TRIM([1]RawShipmentData!L62))))</f>
        <v>45462</v>
      </c>
      <c r="N62" s="2">
        <f t="shared" si="1"/>
        <v>7</v>
      </c>
      <c r="O62" s="2">
        <f t="shared" si="2"/>
        <v>1</v>
      </c>
      <c r="P62" s="2" t="str">
        <f t="shared" si="3"/>
        <v>Late</v>
      </c>
      <c r="Q62" s="2" t="str">
        <f>PROPER(SUBSTITUTE(TRIM([1]RawShipmentData!M62)," ","-"))</f>
        <v>Delayed</v>
      </c>
      <c r="R62" s="4">
        <f t="shared" si="4"/>
        <v>93.80952380952381</v>
      </c>
      <c r="S62" s="2">
        <f>[1]RawShipmentData!N62</f>
        <v>3</v>
      </c>
      <c r="T62" s="2" t="str">
        <f>IF(OR(UPPER(TRIM([1]RawShipmentData!O62))="YES",UPPER(TRIM([1]RawShipmentData!O62))="Y"),"Yes","No")</f>
        <v>Yes</v>
      </c>
    </row>
    <row r="63" spans="1:20" x14ac:dyDescent="0.25">
      <c r="A63" s="2" t="str">
        <f>[1]RawShipmentData!A63</f>
        <v>SHP-100022</v>
      </c>
      <c r="B63" s="3">
        <f>IF(ISNUMBER(SEARCH("/",TRIM([1]RawShipmentData!B63))),DATE(VALUE(RIGHT(TRIM([1]RawShipmentData!B63),4)),VALUE(MID(TRIM([1]RawShipmentData!B63),FIND("/",TRIM([1]RawShipmentData!B63))+1,2)),VALUE(LEFT(TRIM([1]RawShipmentData!B63),FIND("/",TRIM([1]RawShipmentData!B63))-1))),DATEVALUE(TRIM([1]RawShipmentData!B63)))</f>
        <v>45308</v>
      </c>
      <c r="C63" s="2" t="str">
        <f>PROPER(TRIM([1]RawShipmentData!C63))</f>
        <v>Hyderabad</v>
      </c>
      <c r="D63" s="2" t="str">
        <f>IFERROR(INDEX([1]HubMaster!$B$2:$B$7,MATCH(C63,[1]HubMaster!$A$2:$A$7,0)),"Unknown")</f>
        <v>West</v>
      </c>
      <c r="E63" s="2" t="str">
        <f>PROPER(TRIM(SUBSTITUTE([1]RawShipmentData!D63,"  "," ")))</f>
        <v>Dtdc</v>
      </c>
      <c r="F63" s="2" t="str">
        <f>PROPER(TRIM([1]RawShipmentData!E63))</f>
        <v>Surface</v>
      </c>
      <c r="G63" s="2" t="str">
        <f>PROPER(TRIM(SUBSTITUTE([1]RawShipmentData!F63,"  "," ")))</f>
        <v>Furniture</v>
      </c>
      <c r="H63" s="2" t="str">
        <f>PROPER(TRIM([1]RawShipmentData!G63))</f>
        <v>South</v>
      </c>
      <c r="I63" s="2" t="str">
        <f t="shared" si="0"/>
        <v>Yes</v>
      </c>
      <c r="J63" s="2">
        <f>IFERROR(VALUE(TRIM(SUBSTITUTE(UPPER([1]RawShipmentData!I63),"KG",""))),"")</f>
        <v>41.7</v>
      </c>
      <c r="K63" s="2">
        <f>VALUE(SUBSTITUTE(SUBSTITUTE(SUBSTITUTE(TRIM([1]RawShipmentData!J63),"₹",""),"Rs",""),",",""))</f>
        <v>1061</v>
      </c>
      <c r="L63" s="2">
        <f>[1]RawShipmentData!K63</f>
        <v>6</v>
      </c>
      <c r="M63" s="3">
        <f>IF(TRIM([1]RawShipmentData!L63)="","",IF(ISNUMBER(SEARCH("/",TRIM([1]RawShipmentData!L63))),DATE(VALUE(RIGHT(TRIM([1]RawShipmentData!L63),4)),VALUE(MID(TRIM([1]RawShipmentData!L63),FIND("/",TRIM([1]RawShipmentData!L63))+1,2)),VALUE(LEFT(TRIM([1]RawShipmentData!L63),FIND("/",TRIM([1]RawShipmentData!L63))-1))),DATEVALUE(TRIM([1]RawShipmentData!L63))))</f>
        <v>45322</v>
      </c>
      <c r="N63" s="2">
        <f t="shared" si="1"/>
        <v>14</v>
      </c>
      <c r="O63" s="2">
        <f t="shared" si="2"/>
        <v>8</v>
      </c>
      <c r="P63" s="2" t="str">
        <f t="shared" si="3"/>
        <v>Late</v>
      </c>
      <c r="Q63" s="2" t="str">
        <f>PROPER(SUBSTITUTE(TRIM([1]RawShipmentData!M63)," ","-"))</f>
        <v>Delayed</v>
      </c>
      <c r="R63" s="4">
        <f t="shared" si="4"/>
        <v>25.443645083932854</v>
      </c>
      <c r="S63" s="2">
        <f>[1]RawShipmentData!N63</f>
        <v>2</v>
      </c>
      <c r="T63" s="2" t="str">
        <f>IF(OR(UPPER(TRIM([1]RawShipmentData!O63))="YES",UPPER(TRIM([1]RawShipmentData!O63))="Y"),"Yes","No")</f>
        <v>No</v>
      </c>
    </row>
    <row r="64" spans="1:20" x14ac:dyDescent="0.25">
      <c r="A64" s="2" t="str">
        <f>[1]RawShipmentData!A64</f>
        <v>SHP-101243</v>
      </c>
      <c r="B64" s="3">
        <f>IF(ISNUMBER(SEARCH("/",TRIM([1]RawShipmentData!B64))),DATE(VALUE(RIGHT(TRIM([1]RawShipmentData!B64),4)),VALUE(MID(TRIM([1]RawShipmentData!B64),FIND("/",TRIM([1]RawShipmentData!B64))+1,2)),VALUE(LEFT(TRIM([1]RawShipmentData!B64),FIND("/",TRIM([1]RawShipmentData!B64))-1))),DATEVALUE(TRIM([1]RawShipmentData!B64)))</f>
        <v>45331</v>
      </c>
      <c r="C64" s="2" t="str">
        <f>PROPER(TRIM([1]RawShipmentData!C64))</f>
        <v>Kolkata</v>
      </c>
      <c r="D64" s="2" t="str">
        <f>IFERROR(INDEX([1]HubMaster!$B$2:$B$7,MATCH(C64,[1]HubMaster!$A$2:$A$7,0)),"Unknown")</f>
        <v>East</v>
      </c>
      <c r="E64" s="2" t="str">
        <f>PROPER(TRIM(SUBSTITUTE([1]RawShipmentData!D64,"  "," ")))</f>
        <v>Xpressbees</v>
      </c>
      <c r="F64" s="2" t="str">
        <f>PROPER(TRIM([1]RawShipmentData!E64))</f>
        <v>Road</v>
      </c>
      <c r="G64" s="2" t="str">
        <f>PROPER(TRIM(SUBSTITUTE([1]RawShipmentData!F64,"  "," ")))</f>
        <v>Apparel</v>
      </c>
      <c r="H64" s="2" t="str">
        <f>PROPER(TRIM([1]RawShipmentData!G64))</f>
        <v>West</v>
      </c>
      <c r="I64" s="2" t="str">
        <f t="shared" si="0"/>
        <v>Yes</v>
      </c>
      <c r="J64" s="2">
        <f>IFERROR(VALUE(TRIM(SUBSTITUTE(UPPER([1]RawShipmentData!I64),"KG",""))),"")</f>
        <v>3.2</v>
      </c>
      <c r="K64" s="2">
        <f>VALUE(SUBSTITUTE(SUBSTITUTE(SUBSTITUTE(TRIM([1]RawShipmentData!J64),"₹",""),"Rs",""),",",""))</f>
        <v>234</v>
      </c>
      <c r="L64" s="2">
        <f>[1]RawShipmentData!K64</f>
        <v>8</v>
      </c>
      <c r="M64" s="3">
        <f>IF(TRIM([1]RawShipmentData!L64)="","",IF(ISNUMBER(SEARCH("/",TRIM([1]RawShipmentData!L64))),DATE(VALUE(RIGHT(TRIM([1]RawShipmentData!L64),4)),VALUE(MID(TRIM([1]RawShipmentData!L64),FIND("/",TRIM([1]RawShipmentData!L64))+1,2)),VALUE(LEFT(TRIM([1]RawShipmentData!L64),FIND("/",TRIM([1]RawShipmentData!L64))-1))),DATEVALUE(TRIM([1]RawShipmentData!L64))))</f>
        <v>45338</v>
      </c>
      <c r="N64" s="2">
        <f t="shared" si="1"/>
        <v>7</v>
      </c>
      <c r="O64" s="2">
        <f t="shared" si="2"/>
        <v>-1</v>
      </c>
      <c r="P64" s="2" t="str">
        <f t="shared" si="3"/>
        <v>On Time</v>
      </c>
      <c r="Q64" s="2" t="str">
        <f>PROPER(SUBSTITUTE(TRIM([1]RawShipmentData!M64)," ","-"))</f>
        <v>Delivered</v>
      </c>
      <c r="R64" s="4">
        <f t="shared" si="4"/>
        <v>73.125</v>
      </c>
      <c r="S64" s="2">
        <f>[1]RawShipmentData!N64</f>
        <v>4</v>
      </c>
      <c r="T64" s="2" t="str">
        <f>IF(OR(UPPER(TRIM([1]RawShipmentData!O64))="YES",UPPER(TRIM([1]RawShipmentData!O64))="Y"),"Yes","No")</f>
        <v>No</v>
      </c>
    </row>
    <row r="65" spans="1:20" x14ac:dyDescent="0.25">
      <c r="A65" s="2" t="str">
        <f>[1]RawShipmentData!A65</f>
        <v>SHP-101401</v>
      </c>
      <c r="B65" s="3">
        <f>IF(ISNUMBER(SEARCH("/",TRIM([1]RawShipmentData!B65))),DATE(VALUE(RIGHT(TRIM([1]RawShipmentData!B65),4)),VALUE(MID(TRIM([1]RawShipmentData!B65),FIND("/",TRIM([1]RawShipmentData!B65))+1,2)),VALUE(LEFT(TRIM([1]RawShipmentData!B65),FIND("/",TRIM([1]RawShipmentData!B65))-1))),DATEVALUE(TRIM([1]RawShipmentData!B65)))</f>
        <v>45405</v>
      </c>
      <c r="C65" s="2" t="str">
        <f>PROPER(TRIM([1]RawShipmentData!C65))</f>
        <v>Chennai</v>
      </c>
      <c r="D65" s="2" t="str">
        <f>IFERROR(INDEX([1]HubMaster!$B$2:$B$7,MATCH(C65,[1]HubMaster!$A$2:$A$7,0)),"Unknown")</f>
        <v>South</v>
      </c>
      <c r="E65" s="2" t="str">
        <f>PROPER(TRIM(SUBSTITUTE([1]RawShipmentData!D65,"  "," ")))</f>
        <v>Dtdc</v>
      </c>
      <c r="F65" s="2" t="str">
        <f>PROPER(TRIM([1]RawShipmentData!E65))</f>
        <v>Air</v>
      </c>
      <c r="G65" s="2" t="str">
        <f>PROPER(TRIM(SUBSTITUTE([1]RawShipmentData!F65,"  "," ")))</f>
        <v>Furniture</v>
      </c>
      <c r="H65" s="2" t="str">
        <f>PROPER(TRIM([1]RawShipmentData!G65))</f>
        <v>West</v>
      </c>
      <c r="I65" s="2" t="str">
        <f t="shared" si="0"/>
        <v>Yes</v>
      </c>
      <c r="J65" s="2">
        <f>IFERROR(VALUE(TRIM(SUBSTITUTE(UPPER([1]RawShipmentData!I65),"KG",""))),"")</f>
        <v>34</v>
      </c>
      <c r="K65" s="2">
        <f>VALUE(SUBSTITUTE(SUBSTITUTE(SUBSTITUTE(TRIM([1]RawShipmentData!J65),"₹",""),"Rs",""),",",""))</f>
        <v>1694</v>
      </c>
      <c r="L65" s="2">
        <f>[1]RawShipmentData!K65</f>
        <v>4</v>
      </c>
      <c r="M65" s="3">
        <f>IF(TRIM([1]RawShipmentData!L65)="","",IF(ISNUMBER(SEARCH("/",TRIM([1]RawShipmentData!L65))),DATE(VALUE(RIGHT(TRIM([1]RawShipmentData!L65),4)),VALUE(MID(TRIM([1]RawShipmentData!L65),FIND("/",TRIM([1]RawShipmentData!L65))+1,2)),VALUE(LEFT(TRIM([1]RawShipmentData!L65),FIND("/",TRIM([1]RawShipmentData!L65))-1))),DATEVALUE(TRIM([1]RawShipmentData!L65))))</f>
        <v>45411</v>
      </c>
      <c r="N65" s="2">
        <f t="shared" si="1"/>
        <v>6</v>
      </c>
      <c r="O65" s="2">
        <f t="shared" si="2"/>
        <v>2</v>
      </c>
      <c r="P65" s="2" t="str">
        <f t="shared" si="3"/>
        <v>Late</v>
      </c>
      <c r="Q65" s="2" t="str">
        <f>PROPER(SUBSTITUTE(TRIM([1]RawShipmentData!M65)," ","-"))</f>
        <v>Delayed</v>
      </c>
      <c r="R65" s="4">
        <f t="shared" si="4"/>
        <v>49.823529411764703</v>
      </c>
      <c r="S65" s="2">
        <f>[1]RawShipmentData!N65</f>
        <v>5</v>
      </c>
      <c r="T65" s="2" t="str">
        <f>IF(OR(UPPER(TRIM([1]RawShipmentData!O65))="YES",UPPER(TRIM([1]RawShipmentData!O65))="Y"),"Yes","No")</f>
        <v>No</v>
      </c>
    </row>
    <row r="66" spans="1:20" x14ac:dyDescent="0.25">
      <c r="A66" s="2" t="str">
        <f>[1]RawShipmentData!A66</f>
        <v>SHP-101491</v>
      </c>
      <c r="B66" s="3">
        <f>IF(ISNUMBER(SEARCH("/",TRIM([1]RawShipmentData!B66))),DATE(VALUE(RIGHT(TRIM([1]RawShipmentData!B66),4)),VALUE(MID(TRIM([1]RawShipmentData!B66),FIND("/",TRIM([1]RawShipmentData!B66))+1,2)),VALUE(LEFT(TRIM([1]RawShipmentData!B66),FIND("/",TRIM([1]RawShipmentData!B66))-1))),DATEVALUE(TRIM([1]RawShipmentData!B66)))</f>
        <v>45444</v>
      </c>
      <c r="C66" s="2" t="str">
        <f>PROPER(TRIM([1]RawShipmentData!C66))</f>
        <v>Mumbai</v>
      </c>
      <c r="D66" s="2" t="str">
        <f>IFERROR(INDEX([1]HubMaster!$B$2:$B$7,MATCH(C66,[1]HubMaster!$A$2:$A$7,0)),"Unknown")</f>
        <v>West</v>
      </c>
      <c r="E66" s="2" t="str">
        <f>PROPER(TRIM(SUBSTITUTE([1]RawShipmentData!D66,"  "," ")))</f>
        <v>Bluedart</v>
      </c>
      <c r="F66" s="2" t="str">
        <f>PROPER(TRIM([1]RawShipmentData!E66))</f>
        <v>Air</v>
      </c>
      <c r="G66" s="2" t="str">
        <f>PROPER(TRIM(SUBSTITUTE([1]RawShipmentData!F66,"  "," ")))</f>
        <v>Apparel</v>
      </c>
      <c r="H66" s="2" t="str">
        <f>PROPER(TRIM([1]RawShipmentData!G66))</f>
        <v>West</v>
      </c>
      <c r="I66" s="2" t="str">
        <f t="shared" ref="I66:I129" si="5">IF(D66=H66,"No","Yes")</f>
        <v>No</v>
      </c>
      <c r="J66" s="2">
        <f>IFERROR(VALUE(TRIM(SUBSTITUTE(UPPER([1]RawShipmentData!I66),"KG",""))),"")</f>
        <v>1.6</v>
      </c>
      <c r="K66" s="2">
        <f>VALUE(SUBSTITUTE(SUBSTITUTE(SUBSTITUTE(TRIM([1]RawShipmentData!J66),"₹",""),"Rs",""),",",""))</f>
        <v>80</v>
      </c>
      <c r="L66" s="2">
        <f>[1]RawShipmentData!K66</f>
        <v>2</v>
      </c>
      <c r="M66" s="3">
        <f>IF(TRIM([1]RawShipmentData!L66)="","",IF(ISNUMBER(SEARCH("/",TRIM([1]RawShipmentData!L66))),DATE(VALUE(RIGHT(TRIM([1]RawShipmentData!L66),4)),VALUE(MID(TRIM([1]RawShipmentData!L66),FIND("/",TRIM([1]RawShipmentData!L66))+1,2)),VALUE(LEFT(TRIM([1]RawShipmentData!L66),FIND("/",TRIM([1]RawShipmentData!L66))-1))),DATEVALUE(TRIM([1]RawShipmentData!L66))))</f>
        <v>45445</v>
      </c>
      <c r="N66" s="2">
        <f t="shared" ref="N66:N129" si="6">IF(M66="","",M66-B66)</f>
        <v>1</v>
      </c>
      <c r="O66" s="2">
        <f t="shared" ref="O66:O129" si="7">IF(N66="","",N66-L66)</f>
        <v>-1</v>
      </c>
      <c r="P66" s="2" t="str">
        <f t="shared" ref="P66:P129" si="8">IF(N66="","N/A",IF(N66&lt;=L66,"On Time","Late"))</f>
        <v>On Time</v>
      </c>
      <c r="Q66" s="2" t="str">
        <f>PROPER(SUBSTITUTE(TRIM([1]RawShipmentData!M66)," ","-"))</f>
        <v>Delivered</v>
      </c>
      <c r="R66" s="4">
        <f t="shared" si="4"/>
        <v>50</v>
      </c>
      <c r="S66" s="2">
        <f>[1]RawShipmentData!N66</f>
        <v>4</v>
      </c>
      <c r="T66" s="2" t="str">
        <f>IF(OR(UPPER(TRIM([1]RawShipmentData!O66))="YES",UPPER(TRIM([1]RawShipmentData!O66))="Y"),"Yes","No")</f>
        <v>No</v>
      </c>
    </row>
    <row r="67" spans="1:20" x14ac:dyDescent="0.25">
      <c r="A67" s="2" t="str">
        <f>[1]RawShipmentData!A67</f>
        <v>SHP-100266</v>
      </c>
      <c r="B67" s="3">
        <f>IF(ISNUMBER(SEARCH("/",TRIM([1]RawShipmentData!B67))),DATE(VALUE(RIGHT(TRIM([1]RawShipmentData!B67),4)),VALUE(MID(TRIM([1]RawShipmentData!B67),FIND("/",TRIM([1]RawShipmentData!B67))+1,2)),VALUE(LEFT(TRIM([1]RawShipmentData!B67),FIND("/",TRIM([1]RawShipmentData!B67))-1))),DATEVALUE(TRIM([1]RawShipmentData!B67)))</f>
        <v>45453</v>
      </c>
      <c r="C67" s="2" t="str">
        <f>PROPER(TRIM([1]RawShipmentData!C67))</f>
        <v>Mumbai</v>
      </c>
      <c r="D67" s="2" t="str">
        <f>IFERROR(INDEX([1]HubMaster!$B$2:$B$7,MATCH(C67,[1]HubMaster!$A$2:$A$7,0)),"Unknown")</f>
        <v>West</v>
      </c>
      <c r="E67" s="2" t="str">
        <f>PROPER(TRIM(SUBSTITUTE([1]RawShipmentData!D67,"  "," ")))</f>
        <v>Delhivery</v>
      </c>
      <c r="F67" s="2" t="str">
        <f>PROPER(TRIM([1]RawShipmentData!E67))</f>
        <v>Air</v>
      </c>
      <c r="G67" s="2" t="str">
        <f>PROPER(TRIM(SUBSTITUTE([1]RawShipmentData!F67,"  "," ")))</f>
        <v>Pharma</v>
      </c>
      <c r="H67" s="2" t="str">
        <f>PROPER(TRIM([1]RawShipmentData!G67))</f>
        <v>North</v>
      </c>
      <c r="I67" s="2" t="str">
        <f t="shared" si="5"/>
        <v>Yes</v>
      </c>
      <c r="J67" s="2">
        <f>IFERROR(VALUE(TRIM(SUBSTITUTE(UPPER([1]RawShipmentData!I67),"KG",""))),"")</f>
        <v>3.9</v>
      </c>
      <c r="K67" s="2">
        <f>VALUE(SUBSTITUTE(SUBSTITUTE(SUBSTITUTE(TRIM([1]RawShipmentData!J67),"₹",""),"Rs",""),",",""))</f>
        <v>342</v>
      </c>
      <c r="L67" s="2">
        <f>[1]RawShipmentData!K67</f>
        <v>4</v>
      </c>
      <c r="M67" s="3">
        <f>IF(TRIM([1]RawShipmentData!L67)="","",IF(ISNUMBER(SEARCH("/",TRIM([1]RawShipmentData!L67))),DATE(VALUE(RIGHT(TRIM([1]RawShipmentData!L67),4)),VALUE(MID(TRIM([1]RawShipmentData!L67),FIND("/",TRIM([1]RawShipmentData!L67))+1,2)),VALUE(LEFT(TRIM([1]RawShipmentData!L67),FIND("/",TRIM([1]RawShipmentData!L67))-1))),DATEVALUE(TRIM([1]RawShipmentData!L67))))</f>
        <v>45456</v>
      </c>
      <c r="N67" s="2">
        <f t="shared" si="6"/>
        <v>3</v>
      </c>
      <c r="O67" s="2">
        <f t="shared" si="7"/>
        <v>-1</v>
      </c>
      <c r="P67" s="2" t="str">
        <f t="shared" si="8"/>
        <v>On Time</v>
      </c>
      <c r="Q67" s="2" t="str">
        <f>PROPER(SUBSTITUTE(TRIM([1]RawShipmentData!M67)," ","-"))</f>
        <v>Delivered</v>
      </c>
      <c r="R67" s="4">
        <f t="shared" ref="R67:R130" si="9">IFERROR(K67/J67,"")</f>
        <v>87.692307692307693</v>
      </c>
      <c r="S67" s="2">
        <f>[1]RawShipmentData!N67</f>
        <v>4</v>
      </c>
      <c r="T67" s="2" t="str">
        <f>IF(OR(UPPER(TRIM([1]RawShipmentData!O67))="YES",UPPER(TRIM([1]RawShipmentData!O67))="Y"),"Yes","No")</f>
        <v>No</v>
      </c>
    </row>
    <row r="68" spans="1:20" x14ac:dyDescent="0.25">
      <c r="A68" s="2" t="str">
        <f>[1]RawShipmentData!A68</f>
        <v>SHP-100575</v>
      </c>
      <c r="B68" s="3">
        <f>IF(ISNUMBER(SEARCH("/",TRIM([1]RawShipmentData!B68))),DATE(VALUE(RIGHT(TRIM([1]RawShipmentData!B68),4)),VALUE(MID(TRIM([1]RawShipmentData!B68),FIND("/",TRIM([1]RawShipmentData!B68))+1,2)),VALUE(LEFT(TRIM([1]RawShipmentData!B68),FIND("/",TRIM([1]RawShipmentData!B68))-1))),DATEVALUE(TRIM([1]RawShipmentData!B68)))</f>
        <v>45466</v>
      </c>
      <c r="C68" s="2" t="str">
        <f>PROPER(TRIM([1]RawShipmentData!C68))</f>
        <v>Bengaluru</v>
      </c>
      <c r="D68" s="2" t="str">
        <f>IFERROR(INDEX([1]HubMaster!$B$2:$B$7,MATCH(C68,[1]HubMaster!$A$2:$A$7,0)),"Unknown")</f>
        <v>South</v>
      </c>
      <c r="E68" s="2" t="str">
        <f>PROPER(TRIM(SUBSTITUTE([1]RawShipmentData!D68,"  "," ")))</f>
        <v>Delhivery</v>
      </c>
      <c r="F68" s="2" t="str">
        <f>PROPER(TRIM([1]RawShipmentData!E68))</f>
        <v>Road</v>
      </c>
      <c r="G68" s="2" t="str">
        <f>PROPER(TRIM(SUBSTITUTE([1]RawShipmentData!F68,"  "," ")))</f>
        <v>Pharma</v>
      </c>
      <c r="H68" s="2" t="str">
        <f>PROPER(TRIM([1]RawShipmentData!G68))</f>
        <v>South</v>
      </c>
      <c r="I68" s="2" t="str">
        <f t="shared" si="5"/>
        <v>No</v>
      </c>
      <c r="J68" s="2">
        <f>IFERROR(VALUE(TRIM(SUBSTITUTE(UPPER([1]RawShipmentData!I68),"KG",""))),"")</f>
        <v>3.5</v>
      </c>
      <c r="K68" s="2">
        <f>VALUE(SUBSTITUTE(SUBSTITUTE(SUBSTITUTE(TRIM([1]RawShipmentData!J68),"₹",""),"Rs",""),",",""))</f>
        <v>108</v>
      </c>
      <c r="L68" s="2">
        <f>[1]RawShipmentData!K68</f>
        <v>6</v>
      </c>
      <c r="M68" s="3">
        <f>IF(TRIM([1]RawShipmentData!L68)="","",IF(ISNUMBER(SEARCH("/",TRIM([1]RawShipmentData!L68))),DATE(VALUE(RIGHT(TRIM([1]RawShipmentData!L68),4)),VALUE(MID(TRIM([1]RawShipmentData!L68),FIND("/",TRIM([1]RawShipmentData!L68))+1,2)),VALUE(LEFT(TRIM([1]RawShipmentData!L68),FIND("/",TRIM([1]RawShipmentData!L68))-1))),DATEVALUE(TRIM([1]RawShipmentData!L68))))</f>
        <v>45472</v>
      </c>
      <c r="N68" s="2">
        <f t="shared" si="6"/>
        <v>6</v>
      </c>
      <c r="O68" s="2">
        <f t="shared" si="7"/>
        <v>0</v>
      </c>
      <c r="P68" s="2" t="str">
        <f t="shared" si="8"/>
        <v>On Time</v>
      </c>
      <c r="Q68" s="2" t="str">
        <f>PROPER(SUBSTITUTE(TRIM([1]RawShipmentData!M68)," ","-"))</f>
        <v>Delivered</v>
      </c>
      <c r="R68" s="4">
        <f t="shared" si="9"/>
        <v>30.857142857142858</v>
      </c>
      <c r="S68" s="2">
        <f>[1]RawShipmentData!N68</f>
        <v>4</v>
      </c>
      <c r="T68" s="2" t="str">
        <f>IF(OR(UPPER(TRIM([1]RawShipmentData!O68))="YES",UPPER(TRIM([1]RawShipmentData!O68))="Y"),"Yes","No")</f>
        <v>No</v>
      </c>
    </row>
    <row r="69" spans="1:20" x14ac:dyDescent="0.25">
      <c r="A69" s="2" t="str">
        <f>[1]RawShipmentData!A69</f>
        <v>SHP-101196</v>
      </c>
      <c r="B69" s="3">
        <f>IF(ISNUMBER(SEARCH("/",TRIM([1]RawShipmentData!B69))),DATE(VALUE(RIGHT(TRIM([1]RawShipmentData!B69),4)),VALUE(MID(TRIM([1]RawShipmentData!B69),FIND("/",TRIM([1]RawShipmentData!B69))+1,2)),VALUE(LEFT(TRIM([1]RawShipmentData!B69),FIND("/",TRIM([1]RawShipmentData!B69))-1))),DATEVALUE(TRIM([1]RawShipmentData!B69)))</f>
        <v>45379</v>
      </c>
      <c r="C69" s="2" t="str">
        <f>PROPER(TRIM([1]RawShipmentData!C69))</f>
        <v>Delhi</v>
      </c>
      <c r="D69" s="2" t="str">
        <f>IFERROR(INDEX([1]HubMaster!$B$2:$B$7,MATCH(C69,[1]HubMaster!$A$2:$A$7,0)),"Unknown")</f>
        <v>North</v>
      </c>
      <c r="E69" s="2" t="str">
        <f>PROPER(TRIM(SUBSTITUTE([1]RawShipmentData!D69,"  "," ")))</f>
        <v>Bluedart</v>
      </c>
      <c r="F69" s="2" t="str">
        <f>PROPER(TRIM([1]RawShipmentData!E69))</f>
        <v>Air</v>
      </c>
      <c r="G69" s="2" t="str">
        <f>PROPER(TRIM(SUBSTITUTE([1]RawShipmentData!F69,"  "," ")))</f>
        <v>Electronics</v>
      </c>
      <c r="H69" s="2" t="str">
        <f>PROPER(TRIM([1]RawShipmentData!G69))</f>
        <v>West</v>
      </c>
      <c r="I69" s="2" t="str">
        <f t="shared" si="5"/>
        <v>Yes</v>
      </c>
      <c r="J69" s="2">
        <f>IFERROR(VALUE(TRIM(SUBSTITUTE(UPPER([1]RawShipmentData!I69),"KG",""))),"")</f>
        <v>11.4</v>
      </c>
      <c r="K69" s="2">
        <f>VALUE(SUBSTITUTE(SUBSTITUTE(SUBSTITUTE(TRIM([1]RawShipmentData!J69),"₹",""),"Rs",""),",",""))</f>
        <v>700</v>
      </c>
      <c r="L69" s="2">
        <f>[1]RawShipmentData!K69</f>
        <v>4</v>
      </c>
      <c r="M69" s="3">
        <f>IF(TRIM([1]RawShipmentData!L69)="","",IF(ISNUMBER(SEARCH("/",TRIM([1]RawShipmentData!L69))),DATE(VALUE(RIGHT(TRIM([1]RawShipmentData!L69),4)),VALUE(MID(TRIM([1]RawShipmentData!L69),FIND("/",TRIM([1]RawShipmentData!L69))+1,2)),VALUE(LEFT(TRIM([1]RawShipmentData!L69),FIND("/",TRIM([1]RawShipmentData!L69))-1))),DATEVALUE(TRIM([1]RawShipmentData!L69))))</f>
        <v>45392</v>
      </c>
      <c r="N69" s="2">
        <f t="shared" si="6"/>
        <v>13</v>
      </c>
      <c r="O69" s="2">
        <f t="shared" si="7"/>
        <v>9</v>
      </c>
      <c r="P69" s="2" t="str">
        <f t="shared" si="8"/>
        <v>Late</v>
      </c>
      <c r="Q69" s="2" t="str">
        <f>PROPER(SUBSTITUTE(TRIM([1]RawShipmentData!M69)," ","-"))</f>
        <v>Delayed</v>
      </c>
      <c r="R69" s="4">
        <f t="shared" si="9"/>
        <v>61.403508771929822</v>
      </c>
      <c r="S69" s="2">
        <f>[1]RawShipmentData!N69</f>
        <v>2</v>
      </c>
      <c r="T69" s="2" t="str">
        <f>IF(OR(UPPER(TRIM([1]RawShipmentData!O69))="YES",UPPER(TRIM([1]RawShipmentData!O69))="Y"),"Yes","No")</f>
        <v>No</v>
      </c>
    </row>
    <row r="70" spans="1:20" x14ac:dyDescent="0.25">
      <c r="A70" s="2" t="str">
        <f>[1]RawShipmentData!A70</f>
        <v>SHP-100991</v>
      </c>
      <c r="B70" s="3">
        <f>IF(ISNUMBER(SEARCH("/",TRIM([1]RawShipmentData!B70))),DATE(VALUE(RIGHT(TRIM([1]RawShipmentData!B70),4)),VALUE(MID(TRIM([1]RawShipmentData!B70),FIND("/",TRIM([1]RawShipmentData!B70))+1,2)),VALUE(LEFT(TRIM([1]RawShipmentData!B70),FIND("/",TRIM([1]RawShipmentData!B70))-1))),DATEVALUE(TRIM([1]RawShipmentData!B70)))</f>
        <v>45431</v>
      </c>
      <c r="C70" s="2" t="str">
        <f>PROPER(TRIM([1]RawShipmentData!C70))</f>
        <v>Delhi</v>
      </c>
      <c r="D70" s="2" t="str">
        <f>IFERROR(INDEX([1]HubMaster!$B$2:$B$7,MATCH(C70,[1]HubMaster!$A$2:$A$7,0)),"Unknown")</f>
        <v>North</v>
      </c>
      <c r="E70" s="2" t="str">
        <f>PROPER(TRIM(SUBSTITUTE([1]RawShipmentData!D70,"  "," ")))</f>
        <v>Bluedart</v>
      </c>
      <c r="F70" s="2" t="str">
        <f>PROPER(TRIM([1]RawShipmentData!E70))</f>
        <v>Surface</v>
      </c>
      <c r="G70" s="2" t="str">
        <f>PROPER(TRIM(SUBSTITUTE([1]RawShipmentData!F70,"  "," ")))</f>
        <v>Automotive Parts</v>
      </c>
      <c r="H70" s="2" t="str">
        <f>PROPER(TRIM([1]RawShipmentData!G70))</f>
        <v>North</v>
      </c>
      <c r="I70" s="2" t="str">
        <f t="shared" si="5"/>
        <v>No</v>
      </c>
      <c r="J70" s="2">
        <f>IFERROR(VALUE(TRIM(SUBSTITUTE(UPPER([1]RawShipmentData!I70),"KG",""))),"")</f>
        <v>18.2</v>
      </c>
      <c r="K70" s="2">
        <f>VALUE(SUBSTITUTE(SUBSTITUTE(SUBSTITUTE(TRIM([1]RawShipmentData!J70),"₹",""),"Rs",""),",",""))</f>
        <v>420</v>
      </c>
      <c r="L70" s="2">
        <f>[1]RawShipmentData!K70</f>
        <v>4</v>
      </c>
      <c r="M70" s="3">
        <f>IF(TRIM([1]RawShipmentData!L70)="","",IF(ISNUMBER(SEARCH("/",TRIM([1]RawShipmentData!L70))),DATE(VALUE(RIGHT(TRIM([1]RawShipmentData!L70),4)),VALUE(MID(TRIM([1]RawShipmentData!L70),FIND("/",TRIM([1]RawShipmentData!L70))+1,2)),VALUE(LEFT(TRIM([1]RawShipmentData!L70),FIND("/",TRIM([1]RawShipmentData!L70))-1))),DATEVALUE(TRIM([1]RawShipmentData!L70))))</f>
        <v>45435</v>
      </c>
      <c r="N70" s="2">
        <f t="shared" si="6"/>
        <v>4</v>
      </c>
      <c r="O70" s="2">
        <f t="shared" si="7"/>
        <v>0</v>
      </c>
      <c r="P70" s="2" t="str">
        <f t="shared" si="8"/>
        <v>On Time</v>
      </c>
      <c r="Q70" s="2" t="str">
        <f>PROPER(SUBSTITUTE(TRIM([1]RawShipmentData!M70)," ","-"))</f>
        <v>Delivered</v>
      </c>
      <c r="R70" s="4">
        <f t="shared" si="9"/>
        <v>23.076923076923077</v>
      </c>
      <c r="S70" s="2">
        <f>[1]RawShipmentData!N70</f>
        <v>5</v>
      </c>
      <c r="T70" s="2" t="str">
        <f>IF(OR(UPPER(TRIM([1]RawShipmentData!O70))="YES",UPPER(TRIM([1]RawShipmentData!O70))="Y"),"Yes","No")</f>
        <v>Yes</v>
      </c>
    </row>
    <row r="71" spans="1:20" x14ac:dyDescent="0.25">
      <c r="A71" s="2" t="str">
        <f>[1]RawShipmentData!A71</f>
        <v>SHP-100752</v>
      </c>
      <c r="B71" s="3">
        <f>IF(ISNUMBER(SEARCH("/",TRIM([1]RawShipmentData!B71))),DATE(VALUE(RIGHT(TRIM([1]RawShipmentData!B71),4)),VALUE(MID(TRIM([1]RawShipmentData!B71),FIND("/",TRIM([1]RawShipmentData!B71))+1,2)),VALUE(LEFT(TRIM([1]RawShipmentData!B71),FIND("/",TRIM([1]RawShipmentData!B71))-1))),DATEVALUE(TRIM([1]RawShipmentData!B71)))</f>
        <v>45302</v>
      </c>
      <c r="C71" s="2" t="str">
        <f>PROPER(TRIM([1]RawShipmentData!C71))</f>
        <v>Chennai</v>
      </c>
      <c r="D71" s="2" t="str">
        <f>IFERROR(INDEX([1]HubMaster!$B$2:$B$7,MATCH(C71,[1]HubMaster!$A$2:$A$7,0)),"Unknown")</f>
        <v>South</v>
      </c>
      <c r="E71" s="2" t="str">
        <f>PROPER(TRIM(SUBSTITUTE([1]RawShipmentData!D71,"  "," ")))</f>
        <v>Xpressbees</v>
      </c>
      <c r="F71" s="2" t="str">
        <f>PROPER(TRIM([1]RawShipmentData!E71))</f>
        <v>Air</v>
      </c>
      <c r="G71" s="2" t="str">
        <f>PROPER(TRIM(SUBSTITUTE([1]RawShipmentData!F71,"  "," ")))</f>
        <v>Furniture</v>
      </c>
      <c r="H71" s="2" t="str">
        <f>PROPER(TRIM([1]RawShipmentData!G71))</f>
        <v>East</v>
      </c>
      <c r="I71" s="2" t="str">
        <f t="shared" si="5"/>
        <v>Yes</v>
      </c>
      <c r="J71" s="2">
        <f>IFERROR(VALUE(TRIM(SUBSTITUTE(UPPER([1]RawShipmentData!I71),"KG",""))),"")</f>
        <v>20.6</v>
      </c>
      <c r="K71" s="2">
        <f>VALUE(SUBSTITUTE(SUBSTITUTE(SUBSTITUTE(TRIM([1]RawShipmentData!J71),"₹",""),"Rs",""),",",""))</f>
        <v>1099</v>
      </c>
      <c r="L71" s="2">
        <f>[1]RawShipmentData!K71</f>
        <v>4</v>
      </c>
      <c r="M71" s="3">
        <f>IF(TRIM([1]RawShipmentData!L71)="","",IF(ISNUMBER(SEARCH("/",TRIM([1]RawShipmentData!L71))),DATE(VALUE(RIGHT(TRIM([1]RawShipmentData!L71),4)),VALUE(MID(TRIM([1]RawShipmentData!L71),FIND("/",TRIM([1]RawShipmentData!L71))+1,2)),VALUE(LEFT(TRIM([1]RawShipmentData!L71),FIND("/",TRIM([1]RawShipmentData!L71))-1))),DATEVALUE(TRIM([1]RawShipmentData!L71))))</f>
        <v>45311</v>
      </c>
      <c r="N71" s="2">
        <f t="shared" si="6"/>
        <v>9</v>
      </c>
      <c r="O71" s="2">
        <f t="shared" si="7"/>
        <v>5</v>
      </c>
      <c r="P71" s="2" t="str">
        <f t="shared" si="8"/>
        <v>Late</v>
      </c>
      <c r="Q71" s="2" t="str">
        <f>PROPER(SUBSTITUTE(TRIM([1]RawShipmentData!M71)," ","-"))</f>
        <v>Delayed</v>
      </c>
      <c r="R71" s="4">
        <f t="shared" si="9"/>
        <v>53.349514563106794</v>
      </c>
      <c r="S71" s="2">
        <f>[1]RawShipmentData!N71</f>
        <v>3</v>
      </c>
      <c r="T71" s="2" t="str">
        <f>IF(OR(UPPER(TRIM([1]RawShipmentData!O71))="YES",UPPER(TRIM([1]RawShipmentData!O71))="Y"),"Yes","No")</f>
        <v>No</v>
      </c>
    </row>
    <row r="72" spans="1:20" x14ac:dyDescent="0.25">
      <c r="A72" s="2" t="str">
        <f>[1]RawShipmentData!A72</f>
        <v>SHP-101299</v>
      </c>
      <c r="B72" s="3">
        <f>IF(ISNUMBER(SEARCH("/",TRIM([1]RawShipmentData!B72))),DATE(VALUE(RIGHT(TRIM([1]RawShipmentData!B72),4)),VALUE(MID(TRIM([1]RawShipmentData!B72),FIND("/",TRIM([1]RawShipmentData!B72))+1,2)),VALUE(LEFT(TRIM([1]RawShipmentData!B72),FIND("/",TRIM([1]RawShipmentData!B72))-1))),DATEVALUE(TRIM([1]RawShipmentData!B72)))</f>
        <v>45348</v>
      </c>
      <c r="C72" s="2" t="str">
        <f>PROPER(TRIM([1]RawShipmentData!C72))</f>
        <v>Mumbai</v>
      </c>
      <c r="D72" s="2" t="str">
        <f>IFERROR(INDEX([1]HubMaster!$B$2:$B$7,MATCH(C72,[1]HubMaster!$A$2:$A$7,0)),"Unknown")</f>
        <v>West</v>
      </c>
      <c r="E72" s="2" t="str">
        <f>PROPER(TRIM(SUBSTITUTE([1]RawShipmentData!D72,"  "," ")))</f>
        <v>Ecom Express</v>
      </c>
      <c r="F72" s="2" t="str">
        <f>PROPER(TRIM([1]RawShipmentData!E72))</f>
        <v>Road</v>
      </c>
      <c r="G72" s="2" t="str">
        <f>PROPER(TRIM(SUBSTITUTE([1]RawShipmentData!F72,"  "," ")))</f>
        <v>Pharma</v>
      </c>
      <c r="H72" s="2" t="str">
        <f>PROPER(TRIM([1]RawShipmentData!G72))</f>
        <v>East</v>
      </c>
      <c r="I72" s="2" t="str">
        <f t="shared" si="5"/>
        <v>Yes</v>
      </c>
      <c r="J72" s="2">
        <f>IFERROR(VALUE(TRIM(SUBSTITUTE(UPPER([1]RawShipmentData!I72),"KG",""))),"")</f>
        <v>0.9</v>
      </c>
      <c r="K72" s="2">
        <f>VALUE(SUBSTITUTE(SUBSTITUTE(SUBSTITUTE(TRIM([1]RawShipmentData!J72),"₹",""),"Rs",""),",",""))</f>
        <v>222</v>
      </c>
      <c r="L72" s="2">
        <f>[1]RawShipmentData!K72</f>
        <v>8</v>
      </c>
      <c r="M72" s="3">
        <f>IF(TRIM([1]RawShipmentData!L72)="","",IF(ISNUMBER(SEARCH("/",TRIM([1]RawShipmentData!L72))),DATE(VALUE(RIGHT(TRIM([1]RawShipmentData!L72),4)),VALUE(MID(TRIM([1]RawShipmentData!L72),FIND("/",TRIM([1]RawShipmentData!L72))+1,2)),VALUE(LEFT(TRIM([1]RawShipmentData!L72),FIND("/",TRIM([1]RawShipmentData!L72))-1))),DATEVALUE(TRIM([1]RawShipmentData!L72))))</f>
        <v>45356</v>
      </c>
      <c r="N72" s="2">
        <f t="shared" si="6"/>
        <v>8</v>
      </c>
      <c r="O72" s="2">
        <f t="shared" si="7"/>
        <v>0</v>
      </c>
      <c r="P72" s="2" t="str">
        <f t="shared" si="8"/>
        <v>On Time</v>
      </c>
      <c r="Q72" s="2" t="str">
        <f>PROPER(SUBSTITUTE(TRIM([1]RawShipmentData!M72)," ","-"))</f>
        <v>Delivered</v>
      </c>
      <c r="R72" s="4">
        <f t="shared" si="9"/>
        <v>246.66666666666666</v>
      </c>
      <c r="S72" s="2">
        <f>[1]RawShipmentData!N72</f>
        <v>1</v>
      </c>
      <c r="T72" s="2" t="str">
        <f>IF(OR(UPPER(TRIM([1]RawShipmentData!O72))="YES",UPPER(TRIM([1]RawShipmentData!O72))="Y"),"Yes","No")</f>
        <v>Yes</v>
      </c>
    </row>
    <row r="73" spans="1:20" x14ac:dyDescent="0.25">
      <c r="A73" s="2" t="str">
        <f>[1]RawShipmentData!A73</f>
        <v>SHP-101418</v>
      </c>
      <c r="B73" s="3">
        <f>IF(ISNUMBER(SEARCH("/",TRIM([1]RawShipmentData!B73))),DATE(VALUE(RIGHT(TRIM([1]RawShipmentData!B73),4)),VALUE(MID(TRIM([1]RawShipmentData!B73),FIND("/",TRIM([1]RawShipmentData!B73))+1,2)),VALUE(LEFT(TRIM([1]RawShipmentData!B73),FIND("/",TRIM([1]RawShipmentData!B73))-1))),DATEVALUE(TRIM([1]RawShipmentData!B73)))</f>
        <v>45352</v>
      </c>
      <c r="C73" s="2" t="str">
        <f>PROPER(TRIM([1]RawShipmentData!C73))</f>
        <v>Delhi</v>
      </c>
      <c r="D73" s="2" t="str">
        <f>IFERROR(INDEX([1]HubMaster!$B$2:$B$7,MATCH(C73,[1]HubMaster!$A$2:$A$7,0)),"Unknown")</f>
        <v>North</v>
      </c>
      <c r="E73" s="2" t="str">
        <f>PROPER(TRIM(SUBSTITUTE([1]RawShipmentData!D73,"  "," ")))</f>
        <v/>
      </c>
      <c r="F73" s="2" t="str">
        <f>PROPER(TRIM([1]RawShipmentData!E73))</f>
        <v>Surface</v>
      </c>
      <c r="G73" s="2" t="str">
        <f>PROPER(TRIM(SUBSTITUTE([1]RawShipmentData!F73,"  "," ")))</f>
        <v>Electronics</v>
      </c>
      <c r="H73" s="2" t="str">
        <f>PROPER(TRIM([1]RawShipmentData!G73))</f>
        <v>North</v>
      </c>
      <c r="I73" s="2" t="str">
        <f t="shared" si="5"/>
        <v>No</v>
      </c>
      <c r="J73" s="2">
        <f>IFERROR(VALUE(TRIM(SUBSTITUTE(UPPER([1]RawShipmentData!I73),"KG",""))),"")</f>
        <v>3</v>
      </c>
      <c r="K73" s="2">
        <f>VALUE(SUBSTITUTE(SUBSTITUTE(SUBSTITUTE(TRIM([1]RawShipmentData!J73),"₹",""),"Rs",""),",",""))</f>
        <v>84</v>
      </c>
      <c r="L73" s="2">
        <f>[1]RawShipmentData!K73</f>
        <v>4</v>
      </c>
      <c r="M73" s="3">
        <f>IF(TRIM([1]RawShipmentData!L73)="","",IF(ISNUMBER(SEARCH("/",TRIM([1]RawShipmentData!L73))),DATE(VALUE(RIGHT(TRIM([1]RawShipmentData!L73),4)),VALUE(MID(TRIM([1]RawShipmentData!L73),FIND("/",TRIM([1]RawShipmentData!L73))+1,2)),VALUE(LEFT(TRIM([1]RawShipmentData!L73),FIND("/",TRIM([1]RawShipmentData!L73))-1))),DATEVALUE(TRIM([1]RawShipmentData!L73))))</f>
        <v>45356</v>
      </c>
      <c r="N73" s="2">
        <f t="shared" si="6"/>
        <v>4</v>
      </c>
      <c r="O73" s="2">
        <f t="shared" si="7"/>
        <v>0</v>
      </c>
      <c r="P73" s="2" t="str">
        <f t="shared" si="8"/>
        <v>On Time</v>
      </c>
      <c r="Q73" s="2" t="str">
        <f>PROPER(SUBSTITUTE(TRIM([1]RawShipmentData!M73)," ","-"))</f>
        <v>Delivered</v>
      </c>
      <c r="R73" s="4">
        <f t="shared" si="9"/>
        <v>28</v>
      </c>
      <c r="S73" s="2">
        <f>[1]RawShipmentData!N73</f>
        <v>4</v>
      </c>
      <c r="T73" s="2" t="str">
        <f>IF(OR(UPPER(TRIM([1]RawShipmentData!O73))="YES",UPPER(TRIM([1]RawShipmentData!O73))="Y"),"Yes","No")</f>
        <v>Yes</v>
      </c>
    </row>
    <row r="74" spans="1:20" x14ac:dyDescent="0.25">
      <c r="A74" s="2" t="str">
        <f>[1]RawShipmentData!A74</f>
        <v>SHP-101049</v>
      </c>
      <c r="B74" s="3">
        <f>IF(ISNUMBER(SEARCH("/",TRIM([1]RawShipmentData!B74))),DATE(VALUE(RIGHT(TRIM([1]RawShipmentData!B74),4)),VALUE(MID(TRIM([1]RawShipmentData!B74),FIND("/",TRIM([1]RawShipmentData!B74))+1,2)),VALUE(LEFT(TRIM([1]RawShipmentData!B74),FIND("/",TRIM([1]RawShipmentData!B74))-1))),DATEVALUE(TRIM([1]RawShipmentData!B74)))</f>
        <v>45323</v>
      </c>
      <c r="C74" s="2" t="str">
        <f>PROPER(TRIM([1]RawShipmentData!C74))</f>
        <v>Bengaluru</v>
      </c>
      <c r="D74" s="2" t="str">
        <f>IFERROR(INDEX([1]HubMaster!$B$2:$B$7,MATCH(C74,[1]HubMaster!$A$2:$A$7,0)),"Unknown")</f>
        <v>South</v>
      </c>
      <c r="E74" s="2" t="str">
        <f>PROPER(TRIM(SUBSTITUTE([1]RawShipmentData!D74,"  "," ")))</f>
        <v>Ecom Express</v>
      </c>
      <c r="F74" s="2" t="str">
        <f>PROPER(TRIM([1]RawShipmentData!E74))</f>
        <v>Air</v>
      </c>
      <c r="G74" s="2" t="str">
        <f>PROPER(TRIM(SUBSTITUTE([1]RawShipmentData!F74,"  "," ")))</f>
        <v>Apparel</v>
      </c>
      <c r="H74" s="2" t="str">
        <f>PROPER(TRIM([1]RawShipmentData!G74))</f>
        <v>East</v>
      </c>
      <c r="I74" s="2" t="str">
        <f t="shared" si="5"/>
        <v>Yes</v>
      </c>
      <c r="J74" s="2">
        <f>IFERROR(VALUE(TRIM(SUBSTITUTE(UPPER([1]RawShipmentData!I74),"KG",""))),"")</f>
        <v>6.9</v>
      </c>
      <c r="K74" s="2">
        <f>VALUE(SUBSTITUTE(SUBSTITUTE(SUBSTITUTE(TRIM([1]RawShipmentData!J74),"₹",""),"Rs",""),",",""))</f>
        <v>506</v>
      </c>
      <c r="L74" s="2">
        <f>[1]RawShipmentData!K74</f>
        <v>4</v>
      </c>
      <c r="M74" s="3">
        <f>IF(TRIM([1]RawShipmentData!L74)="","",IF(ISNUMBER(SEARCH("/",TRIM([1]RawShipmentData!L74))),DATE(VALUE(RIGHT(TRIM([1]RawShipmentData!L74),4)),VALUE(MID(TRIM([1]RawShipmentData!L74),FIND("/",TRIM([1]RawShipmentData!L74))+1,2)),VALUE(LEFT(TRIM([1]RawShipmentData!L74),FIND("/",TRIM([1]RawShipmentData!L74))-1))),DATEVALUE(TRIM([1]RawShipmentData!L74))))</f>
        <v>45328</v>
      </c>
      <c r="N74" s="2">
        <f t="shared" si="6"/>
        <v>5</v>
      </c>
      <c r="O74" s="2">
        <f t="shared" si="7"/>
        <v>1</v>
      </c>
      <c r="P74" s="2" t="str">
        <f t="shared" si="8"/>
        <v>Late</v>
      </c>
      <c r="Q74" s="2" t="str">
        <f>PROPER(SUBSTITUTE(TRIM([1]RawShipmentData!M74)," ","-"))</f>
        <v>Delayed</v>
      </c>
      <c r="R74" s="4">
        <f t="shared" si="9"/>
        <v>73.333333333333329</v>
      </c>
      <c r="S74" s="2">
        <f>[1]RawShipmentData!N74</f>
        <v>4</v>
      </c>
      <c r="T74" s="2" t="str">
        <f>IF(OR(UPPER(TRIM([1]RawShipmentData!O74))="YES",UPPER(TRIM([1]RawShipmentData!O74))="Y"),"Yes","No")</f>
        <v>No</v>
      </c>
    </row>
    <row r="75" spans="1:20" x14ac:dyDescent="0.25">
      <c r="A75" s="2" t="str">
        <f>[1]RawShipmentData!A75</f>
        <v>SHP-100587</v>
      </c>
      <c r="B75" s="3">
        <f>IF(ISNUMBER(SEARCH("/",TRIM([1]RawShipmentData!B75))),DATE(VALUE(RIGHT(TRIM([1]RawShipmentData!B75),4)),VALUE(MID(TRIM([1]RawShipmentData!B75),FIND("/",TRIM([1]RawShipmentData!B75))+1,2)),VALUE(LEFT(TRIM([1]RawShipmentData!B75),FIND("/",TRIM([1]RawShipmentData!B75))-1))),DATEVALUE(TRIM([1]RawShipmentData!B75)))</f>
        <v>45460</v>
      </c>
      <c r="C75" s="2" t="str">
        <f>PROPER(TRIM([1]RawShipmentData!C75))</f>
        <v>Kolkata</v>
      </c>
      <c r="D75" s="2" t="str">
        <f>IFERROR(INDEX([1]HubMaster!$B$2:$B$7,MATCH(C75,[1]HubMaster!$A$2:$A$7,0)),"Unknown")</f>
        <v>East</v>
      </c>
      <c r="E75" s="2" t="str">
        <f>PROPER(TRIM(SUBSTITUTE([1]RawShipmentData!D75,"  "," ")))</f>
        <v>Bluedart</v>
      </c>
      <c r="F75" s="2" t="str">
        <f>PROPER(TRIM([1]RawShipmentData!E75))</f>
        <v>Road</v>
      </c>
      <c r="G75" s="2" t="str">
        <f>PROPER(TRIM(SUBSTITUTE([1]RawShipmentData!F75,"  "," ")))</f>
        <v>Electronics</v>
      </c>
      <c r="H75" s="2" t="str">
        <f>PROPER(TRIM([1]RawShipmentData!G75))</f>
        <v>West</v>
      </c>
      <c r="I75" s="2" t="str">
        <f t="shared" si="5"/>
        <v>Yes</v>
      </c>
      <c r="J75" s="2">
        <f>IFERROR(VALUE(TRIM(SUBSTITUTE(UPPER([1]RawShipmentData!I75),"KG",""))),"")</f>
        <v>5.5</v>
      </c>
      <c r="K75" s="2">
        <f>VALUE(SUBSTITUTE(SUBSTITUTE(SUBSTITUTE(TRIM([1]RawShipmentData!J75),"₹",""),"Rs",""),",",""))</f>
        <v>257</v>
      </c>
      <c r="L75" s="2">
        <f>[1]RawShipmentData!K75</f>
        <v>8</v>
      </c>
      <c r="M75" s="3">
        <f>IF(TRIM([1]RawShipmentData!L75)="","",IF(ISNUMBER(SEARCH("/",TRIM([1]RawShipmentData!L75))),DATE(VALUE(RIGHT(TRIM([1]RawShipmentData!L75),4)),VALUE(MID(TRIM([1]RawShipmentData!L75),FIND("/",TRIM([1]RawShipmentData!L75))+1,2)),VALUE(LEFT(TRIM([1]RawShipmentData!L75),FIND("/",TRIM([1]RawShipmentData!L75))-1))),DATEVALUE(TRIM([1]RawShipmentData!L75))))</f>
        <v>45469</v>
      </c>
      <c r="N75" s="2">
        <f t="shared" si="6"/>
        <v>9</v>
      </c>
      <c r="O75" s="2">
        <f t="shared" si="7"/>
        <v>1</v>
      </c>
      <c r="P75" s="2" t="str">
        <f t="shared" si="8"/>
        <v>Late</v>
      </c>
      <c r="Q75" s="2" t="str">
        <f>PROPER(SUBSTITUTE(TRIM([1]RawShipmentData!M75)," ","-"))</f>
        <v>Delayed</v>
      </c>
      <c r="R75" s="4">
        <f t="shared" si="9"/>
        <v>46.727272727272727</v>
      </c>
      <c r="S75" s="2">
        <f>[1]RawShipmentData!N75</f>
        <v>4</v>
      </c>
      <c r="T75" s="2" t="str">
        <f>IF(OR(UPPER(TRIM([1]RawShipmentData!O75))="YES",UPPER(TRIM([1]RawShipmentData!O75))="Y"),"Yes","No")</f>
        <v>Yes</v>
      </c>
    </row>
    <row r="76" spans="1:20" x14ac:dyDescent="0.25">
      <c r="A76" s="2" t="str">
        <f>[1]RawShipmentData!A76</f>
        <v>SHP-101275</v>
      </c>
      <c r="B76" s="3">
        <f>IF(ISNUMBER(SEARCH("/",TRIM([1]RawShipmentData!B76))),DATE(VALUE(RIGHT(TRIM([1]RawShipmentData!B76),4)),VALUE(MID(TRIM([1]RawShipmentData!B76),FIND("/",TRIM([1]RawShipmentData!B76))+1,2)),VALUE(LEFT(TRIM([1]RawShipmentData!B76),FIND("/",TRIM([1]RawShipmentData!B76))-1))),DATEVALUE(TRIM([1]RawShipmentData!B76)))</f>
        <v>45293</v>
      </c>
      <c r="C76" s="2" t="str">
        <f>PROPER(TRIM([1]RawShipmentData!C76))</f>
        <v>Bengaluru</v>
      </c>
      <c r="D76" s="2" t="str">
        <f>IFERROR(INDEX([1]HubMaster!$B$2:$B$7,MATCH(C76,[1]HubMaster!$A$2:$A$7,0)),"Unknown")</f>
        <v>South</v>
      </c>
      <c r="E76" s="2" t="str">
        <f>PROPER(TRIM(SUBSTITUTE([1]RawShipmentData!D76,"  "," ")))</f>
        <v>Dtdc</v>
      </c>
      <c r="F76" s="2" t="str">
        <f>PROPER(TRIM([1]RawShipmentData!E76))</f>
        <v>Road</v>
      </c>
      <c r="G76" s="2" t="str">
        <f>PROPER(TRIM(SUBSTITUTE([1]RawShipmentData!F76,"  "," ")))</f>
        <v>Apparel</v>
      </c>
      <c r="H76" s="2" t="str">
        <f>PROPER(TRIM([1]RawShipmentData!G76))</f>
        <v>East</v>
      </c>
      <c r="I76" s="2" t="str">
        <f t="shared" si="5"/>
        <v>Yes</v>
      </c>
      <c r="J76" s="2">
        <f>IFERROR(VALUE(TRIM(SUBSTITUTE(UPPER([1]RawShipmentData!I76),"KG",""))),"")</f>
        <v>2</v>
      </c>
      <c r="K76" s="2">
        <f>VALUE(SUBSTITUTE(SUBSTITUTE(SUBSTITUTE(TRIM([1]RawShipmentData!J76),"₹",""),"Rs",""),",",""))</f>
        <v>236</v>
      </c>
      <c r="L76" s="2">
        <f>[1]RawShipmentData!K76</f>
        <v>8</v>
      </c>
      <c r="M76" s="3">
        <f>IF(TRIM([1]RawShipmentData!L76)="","",IF(ISNUMBER(SEARCH("/",TRIM([1]RawShipmentData!L76))),DATE(VALUE(RIGHT(TRIM([1]RawShipmentData!L76),4)),VALUE(MID(TRIM([1]RawShipmentData!L76),FIND("/",TRIM([1]RawShipmentData!L76))+1,2)),VALUE(LEFT(TRIM([1]RawShipmentData!L76),FIND("/",TRIM([1]RawShipmentData!L76))-1))),DATEVALUE(TRIM([1]RawShipmentData!L76))))</f>
        <v>45304</v>
      </c>
      <c r="N76" s="2">
        <f t="shared" si="6"/>
        <v>11</v>
      </c>
      <c r="O76" s="2">
        <f t="shared" si="7"/>
        <v>3</v>
      </c>
      <c r="P76" s="2" t="str">
        <f t="shared" si="8"/>
        <v>Late</v>
      </c>
      <c r="Q76" s="2" t="str">
        <f>PROPER(SUBSTITUTE(TRIM([1]RawShipmentData!M76)," ","-"))</f>
        <v>Delayed</v>
      </c>
      <c r="R76" s="4">
        <f t="shared" si="9"/>
        <v>118</v>
      </c>
      <c r="S76" s="2">
        <f>[1]RawShipmentData!N76</f>
        <v>4</v>
      </c>
      <c r="T76" s="2" t="str">
        <f>IF(OR(UPPER(TRIM([1]RawShipmentData!O76))="YES",UPPER(TRIM([1]RawShipmentData!O76))="Y"),"Yes","No")</f>
        <v>No</v>
      </c>
    </row>
    <row r="77" spans="1:20" x14ac:dyDescent="0.25">
      <c r="A77" s="2" t="str">
        <f>[1]RawShipmentData!A77</f>
        <v>SHP-101399</v>
      </c>
      <c r="B77" s="3">
        <f>IF(ISNUMBER(SEARCH("/",TRIM([1]RawShipmentData!B77))),DATE(VALUE(RIGHT(TRIM([1]RawShipmentData!B77),4)),VALUE(MID(TRIM([1]RawShipmentData!B77),FIND("/",TRIM([1]RawShipmentData!B77))+1,2)),VALUE(LEFT(TRIM([1]RawShipmentData!B77),FIND("/",TRIM([1]RawShipmentData!B77))-1))),DATEVALUE(TRIM([1]RawShipmentData!B77)))</f>
        <v>45470</v>
      </c>
      <c r="C77" s="2" t="str">
        <f>PROPER(TRIM([1]RawShipmentData!C77))</f>
        <v>Delhi</v>
      </c>
      <c r="D77" s="2" t="str">
        <f>IFERROR(INDEX([1]HubMaster!$B$2:$B$7,MATCH(C77,[1]HubMaster!$A$2:$A$7,0)),"Unknown")</f>
        <v>North</v>
      </c>
      <c r="E77" s="2" t="str">
        <f>PROPER(TRIM(SUBSTITUTE([1]RawShipmentData!D77,"  "," ")))</f>
        <v>Ecom Express</v>
      </c>
      <c r="F77" s="2" t="str">
        <f>PROPER(TRIM([1]RawShipmentData!E77))</f>
        <v>Surface</v>
      </c>
      <c r="G77" s="2" t="str">
        <f>PROPER(TRIM(SUBSTITUTE([1]RawShipmentData!F77,"  "," ")))</f>
        <v>Grocery &amp; Fmcg</v>
      </c>
      <c r="H77" s="2" t="str">
        <f>PROPER(TRIM([1]RawShipmentData!G77))</f>
        <v>North</v>
      </c>
      <c r="I77" s="2" t="str">
        <f t="shared" si="5"/>
        <v>No</v>
      </c>
      <c r="J77" s="2">
        <f>IFERROR(VALUE(TRIM(SUBSTITUTE(UPPER([1]RawShipmentData!I77),"KG",""))),"")</f>
        <v>6.8</v>
      </c>
      <c r="K77" s="2">
        <f>VALUE(SUBSTITUTE(SUBSTITUTE(SUBSTITUTE(TRIM([1]RawShipmentData!J77),"₹",""),"Rs",""),",",""))</f>
        <v>162</v>
      </c>
      <c r="L77" s="2">
        <f>[1]RawShipmentData!K77</f>
        <v>4</v>
      </c>
      <c r="M77" s="3">
        <f>IF(TRIM([1]RawShipmentData!L77)="","",IF(ISNUMBER(SEARCH("/",TRIM([1]RawShipmentData!L77))),DATE(VALUE(RIGHT(TRIM([1]RawShipmentData!L77),4)),VALUE(MID(TRIM([1]RawShipmentData!L77),FIND("/",TRIM([1]RawShipmentData!L77))+1,2)),VALUE(LEFT(TRIM([1]RawShipmentData!L77),FIND("/",TRIM([1]RawShipmentData!L77))-1))),DATEVALUE(TRIM([1]RawShipmentData!L77))))</f>
        <v>45473</v>
      </c>
      <c r="N77" s="2">
        <f t="shared" si="6"/>
        <v>3</v>
      </c>
      <c r="O77" s="2">
        <f t="shared" si="7"/>
        <v>-1</v>
      </c>
      <c r="P77" s="2" t="str">
        <f t="shared" si="8"/>
        <v>On Time</v>
      </c>
      <c r="Q77" s="2" t="str">
        <f>PROPER(SUBSTITUTE(TRIM([1]RawShipmentData!M77)," ","-"))</f>
        <v>Delivered</v>
      </c>
      <c r="R77" s="4">
        <f t="shared" si="9"/>
        <v>23.823529411764707</v>
      </c>
      <c r="S77" s="2">
        <f>[1]RawShipmentData!N77</f>
        <v>3</v>
      </c>
      <c r="T77" s="2" t="str">
        <f>IF(OR(UPPER(TRIM([1]RawShipmentData!O77))="YES",UPPER(TRIM([1]RawShipmentData!O77))="Y"),"Yes","No")</f>
        <v>No</v>
      </c>
    </row>
    <row r="78" spans="1:20" x14ac:dyDescent="0.25">
      <c r="A78" s="2" t="str">
        <f>[1]RawShipmentData!A78</f>
        <v>SHP-101081</v>
      </c>
      <c r="B78" s="3">
        <f>IF(ISNUMBER(SEARCH("/",TRIM([1]RawShipmentData!B78))),DATE(VALUE(RIGHT(TRIM([1]RawShipmentData!B78),4)),VALUE(MID(TRIM([1]RawShipmentData!B78),FIND("/",TRIM([1]RawShipmentData!B78))+1,2)),VALUE(LEFT(TRIM([1]RawShipmentData!B78),FIND("/",TRIM([1]RawShipmentData!B78))-1))),DATEVALUE(TRIM([1]RawShipmentData!B78)))</f>
        <v>45400</v>
      </c>
      <c r="C78" s="2" t="str">
        <f>PROPER(TRIM([1]RawShipmentData!C78))</f>
        <v>Hyderabad</v>
      </c>
      <c r="D78" s="2" t="str">
        <f>IFERROR(INDEX([1]HubMaster!$B$2:$B$7,MATCH(C78,[1]HubMaster!$A$2:$A$7,0)),"Unknown")</f>
        <v>West</v>
      </c>
      <c r="E78" s="2" t="str">
        <f>PROPER(TRIM(SUBSTITUTE([1]RawShipmentData!D78,"  "," ")))</f>
        <v>Blue Dart</v>
      </c>
      <c r="F78" s="2" t="str">
        <f>PROPER(TRIM([1]RawShipmentData!E78))</f>
        <v>Air</v>
      </c>
      <c r="G78" s="2" t="str">
        <f>PROPER(TRIM(SUBSTITUTE([1]RawShipmentData!F78,"  "," ")))</f>
        <v>Pharma</v>
      </c>
      <c r="H78" s="2" t="str">
        <f>PROPER(TRIM([1]RawShipmentData!G78))</f>
        <v>East</v>
      </c>
      <c r="I78" s="2" t="str">
        <f t="shared" si="5"/>
        <v>Yes</v>
      </c>
      <c r="J78" s="2">
        <f>IFERROR(VALUE(TRIM(SUBSTITUTE(UPPER([1]RawShipmentData!I78),"KG",""))),"")</f>
        <v>3</v>
      </c>
      <c r="K78" s="2">
        <f>VALUE(SUBSTITUTE(SUBSTITUTE(SUBSTITUTE(TRIM([1]RawShipmentData!J78),"₹",""),"Rs",""),",",""))</f>
        <v>270</v>
      </c>
      <c r="L78" s="2">
        <f>[1]RawShipmentData!K78</f>
        <v>4</v>
      </c>
      <c r="M78" s="3">
        <f>IF(TRIM([1]RawShipmentData!L78)="","",IF(ISNUMBER(SEARCH("/",TRIM([1]RawShipmentData!L78))),DATE(VALUE(RIGHT(TRIM([1]RawShipmentData!L78),4)),VALUE(MID(TRIM([1]RawShipmentData!L78),FIND("/",TRIM([1]RawShipmentData!L78))+1,2)),VALUE(LEFT(TRIM([1]RawShipmentData!L78),FIND("/",TRIM([1]RawShipmentData!L78))-1))),DATEVALUE(TRIM([1]RawShipmentData!L78))))</f>
        <v>45404</v>
      </c>
      <c r="N78" s="2">
        <f t="shared" si="6"/>
        <v>4</v>
      </c>
      <c r="O78" s="2">
        <f t="shared" si="7"/>
        <v>0</v>
      </c>
      <c r="P78" s="2" t="str">
        <f t="shared" si="8"/>
        <v>On Time</v>
      </c>
      <c r="Q78" s="2" t="str">
        <f>PROPER(SUBSTITUTE(TRIM([1]RawShipmentData!M78)," ","-"))</f>
        <v>Delivered</v>
      </c>
      <c r="R78" s="4">
        <f t="shared" si="9"/>
        <v>90</v>
      </c>
      <c r="S78" s="2">
        <f>[1]RawShipmentData!N78</f>
        <v>4</v>
      </c>
      <c r="T78" s="2" t="str">
        <f>IF(OR(UPPER(TRIM([1]RawShipmentData!O78))="YES",UPPER(TRIM([1]RawShipmentData!O78))="Y"),"Yes","No")</f>
        <v>No</v>
      </c>
    </row>
    <row r="79" spans="1:20" x14ac:dyDescent="0.25">
      <c r="A79" s="2" t="str">
        <f>[1]RawShipmentData!A79</f>
        <v>SHP-100227</v>
      </c>
      <c r="B79" s="3">
        <f>IF(ISNUMBER(SEARCH("/",TRIM([1]RawShipmentData!B79))),DATE(VALUE(RIGHT(TRIM([1]RawShipmentData!B79),4)),VALUE(MID(TRIM([1]RawShipmentData!B79),FIND("/",TRIM([1]RawShipmentData!B79))+1,2)),VALUE(LEFT(TRIM([1]RawShipmentData!B79),FIND("/",TRIM([1]RawShipmentData!B79))-1))),DATEVALUE(TRIM([1]RawShipmentData!B79)))</f>
        <v>45429</v>
      </c>
      <c r="C79" s="2" t="str">
        <f>PROPER(TRIM([1]RawShipmentData!C79))</f>
        <v>Chennai</v>
      </c>
      <c r="D79" s="2" t="str">
        <f>IFERROR(INDEX([1]HubMaster!$B$2:$B$7,MATCH(C79,[1]HubMaster!$A$2:$A$7,0)),"Unknown")</f>
        <v>South</v>
      </c>
      <c r="E79" s="2" t="str">
        <f>PROPER(TRIM(SUBSTITUTE([1]RawShipmentData!D79,"  "," ")))</f>
        <v>Delhivery</v>
      </c>
      <c r="F79" s="2" t="str">
        <f>PROPER(TRIM([1]RawShipmentData!E79))</f>
        <v>Road</v>
      </c>
      <c r="G79" s="2" t="str">
        <f>PROPER(TRIM(SUBSTITUTE([1]RawShipmentData!F79,"  "," ")))</f>
        <v>Grocery &amp; Fmcg</v>
      </c>
      <c r="H79" s="2" t="str">
        <f>PROPER(TRIM([1]RawShipmentData!G79))</f>
        <v>South</v>
      </c>
      <c r="I79" s="2" t="str">
        <f t="shared" si="5"/>
        <v>No</v>
      </c>
      <c r="J79" s="2">
        <f>IFERROR(VALUE(TRIM(SUBSTITUTE(UPPER([1]RawShipmentData!I79),"KG",""))),"")</f>
        <v>19.899999999999999</v>
      </c>
      <c r="K79" s="2">
        <f>VALUE(SUBSTITUTE(SUBSTITUTE(SUBSTITUTE(TRIM([1]RawShipmentData!J79),"₹",""),"Rs",""),",",""))</f>
        <v>313</v>
      </c>
      <c r="L79" s="2">
        <f>[1]RawShipmentData!K79</f>
        <v>6</v>
      </c>
      <c r="M79" s="3">
        <f>IF(TRIM([1]RawShipmentData!L79)="","",IF(ISNUMBER(SEARCH("/",TRIM([1]RawShipmentData!L79))),DATE(VALUE(RIGHT(TRIM([1]RawShipmentData!L79),4)),VALUE(MID(TRIM([1]RawShipmentData!L79),FIND("/",TRIM([1]RawShipmentData!L79))+1,2)),VALUE(LEFT(TRIM([1]RawShipmentData!L79),FIND("/",TRIM([1]RawShipmentData!L79))-1))),DATEVALUE(TRIM([1]RawShipmentData!L79))))</f>
        <v>45434</v>
      </c>
      <c r="N79" s="2">
        <f t="shared" si="6"/>
        <v>5</v>
      </c>
      <c r="O79" s="2">
        <f t="shared" si="7"/>
        <v>-1</v>
      </c>
      <c r="P79" s="2" t="str">
        <f t="shared" si="8"/>
        <v>On Time</v>
      </c>
      <c r="Q79" s="2" t="str">
        <f>PROPER(SUBSTITUTE(TRIM([1]RawShipmentData!M79)," ","-"))</f>
        <v>Delivered</v>
      </c>
      <c r="R79" s="4">
        <f t="shared" si="9"/>
        <v>15.728643216080403</v>
      </c>
      <c r="S79" s="2">
        <f>[1]RawShipmentData!N79</f>
        <v>3</v>
      </c>
      <c r="T79" s="2" t="str">
        <f>IF(OR(UPPER(TRIM([1]RawShipmentData!O79))="YES",UPPER(TRIM([1]RawShipmentData!O79))="Y"),"Yes","No")</f>
        <v>No</v>
      </c>
    </row>
    <row r="80" spans="1:20" x14ac:dyDescent="0.25">
      <c r="A80" s="2" t="str">
        <f>[1]RawShipmentData!A80</f>
        <v>SHP-100016</v>
      </c>
      <c r="B80" s="3">
        <f>IF(ISNUMBER(SEARCH("/",TRIM([1]RawShipmentData!B80))),DATE(VALUE(RIGHT(TRIM([1]RawShipmentData!B80),4)),VALUE(MID(TRIM([1]RawShipmentData!B80),FIND("/",TRIM([1]RawShipmentData!B80))+1,2)),VALUE(LEFT(TRIM([1]RawShipmentData!B80),FIND("/",TRIM([1]RawShipmentData!B80))-1))),DATEVALUE(TRIM([1]RawShipmentData!B80)))</f>
        <v>45371</v>
      </c>
      <c r="C80" s="2" t="str">
        <f>PROPER(TRIM([1]RawShipmentData!C80))</f>
        <v>Chennai</v>
      </c>
      <c r="D80" s="2" t="str">
        <f>IFERROR(INDEX([1]HubMaster!$B$2:$B$7,MATCH(C80,[1]HubMaster!$A$2:$A$7,0)),"Unknown")</f>
        <v>South</v>
      </c>
      <c r="E80" s="2" t="str">
        <f>PROPER(TRIM(SUBSTITUTE([1]RawShipmentData!D80,"  "," ")))</f>
        <v>Blue Dart</v>
      </c>
      <c r="F80" s="2" t="str">
        <f>PROPER(TRIM([1]RawShipmentData!E80))</f>
        <v>Surface</v>
      </c>
      <c r="G80" s="2" t="str">
        <f>PROPER(TRIM(SUBSTITUTE([1]RawShipmentData!F80,"  "," ")))</f>
        <v>Electronics</v>
      </c>
      <c r="H80" s="2" t="str">
        <f>PROPER(TRIM([1]RawShipmentData!G80))</f>
        <v>East</v>
      </c>
      <c r="I80" s="2" t="str">
        <f t="shared" si="5"/>
        <v>Yes</v>
      </c>
      <c r="J80" s="2">
        <f>IFERROR(VALUE(TRIM(SUBSTITUTE(UPPER([1]RawShipmentData!I80),"KG",""))),"")</f>
        <v>7.8</v>
      </c>
      <c r="K80" s="2">
        <f>VALUE(SUBSTITUTE(SUBSTITUTE(SUBSTITUTE(TRIM([1]RawShipmentData!J80),"₹",""),"Rs",""),",",""))</f>
        <v>341</v>
      </c>
      <c r="L80" s="2">
        <f>[1]RawShipmentData!K80</f>
        <v>6</v>
      </c>
      <c r="M80" s="3">
        <f>IF(TRIM([1]RawShipmentData!L80)="","",IF(ISNUMBER(SEARCH("/",TRIM([1]RawShipmentData!L80))),DATE(VALUE(RIGHT(TRIM([1]RawShipmentData!L80),4)),VALUE(MID(TRIM([1]RawShipmentData!L80),FIND("/",TRIM([1]RawShipmentData!L80))+1,2)),VALUE(LEFT(TRIM([1]RawShipmentData!L80),FIND("/",TRIM([1]RawShipmentData!L80))-1))),DATEVALUE(TRIM([1]RawShipmentData!L80))))</f>
        <v>45383</v>
      </c>
      <c r="N80" s="2">
        <f t="shared" si="6"/>
        <v>12</v>
      </c>
      <c r="O80" s="2">
        <f t="shared" si="7"/>
        <v>6</v>
      </c>
      <c r="P80" s="2" t="str">
        <f t="shared" si="8"/>
        <v>Late</v>
      </c>
      <c r="Q80" s="2" t="str">
        <f>PROPER(SUBSTITUTE(TRIM([1]RawShipmentData!M80)," ","-"))</f>
        <v>Delayed</v>
      </c>
      <c r="R80" s="4">
        <f t="shared" si="9"/>
        <v>43.717948717948715</v>
      </c>
      <c r="S80" s="2">
        <f>[1]RawShipmentData!N80</f>
        <v>5</v>
      </c>
      <c r="T80" s="2" t="str">
        <f>IF(OR(UPPER(TRIM([1]RawShipmentData!O80))="YES",UPPER(TRIM([1]RawShipmentData!O80))="Y"),"Yes","No")</f>
        <v>No</v>
      </c>
    </row>
    <row r="81" spans="1:20" x14ac:dyDescent="0.25">
      <c r="A81" s="2" t="str">
        <f>[1]RawShipmentData!A81</f>
        <v>SHP-100949</v>
      </c>
      <c r="B81" s="3">
        <f>IF(ISNUMBER(SEARCH("/",TRIM([1]RawShipmentData!B81))),DATE(VALUE(RIGHT(TRIM([1]RawShipmentData!B81),4)),VALUE(MID(TRIM([1]RawShipmentData!B81),FIND("/",TRIM([1]RawShipmentData!B81))+1,2)),VALUE(LEFT(TRIM([1]RawShipmentData!B81),FIND("/",TRIM([1]RawShipmentData!B81))-1))),DATEVALUE(TRIM([1]RawShipmentData!B81)))</f>
        <v>45337</v>
      </c>
      <c r="C81" s="2" t="str">
        <f>PROPER(TRIM([1]RawShipmentData!C81))</f>
        <v>Bengaluru</v>
      </c>
      <c r="D81" s="2" t="str">
        <f>IFERROR(INDEX([1]HubMaster!$B$2:$B$7,MATCH(C81,[1]HubMaster!$A$2:$A$7,0)),"Unknown")</f>
        <v>South</v>
      </c>
      <c r="E81" s="2" t="str">
        <f>PROPER(TRIM(SUBSTITUTE([1]RawShipmentData!D81,"  "," ")))</f>
        <v>Bluedart</v>
      </c>
      <c r="F81" s="2" t="str">
        <f>PROPER(TRIM([1]RawShipmentData!E81))</f>
        <v>Air</v>
      </c>
      <c r="G81" s="2" t="str">
        <f>PROPER(TRIM(SUBSTITUTE([1]RawShipmentData!F81,"  "," ")))</f>
        <v>Electronics</v>
      </c>
      <c r="H81" s="2" t="str">
        <f>PROPER(TRIM([1]RawShipmentData!G81))</f>
        <v>North</v>
      </c>
      <c r="I81" s="2" t="str">
        <f t="shared" si="5"/>
        <v>Yes</v>
      </c>
      <c r="J81" s="2">
        <f>IFERROR(VALUE(TRIM(SUBSTITUTE(UPPER([1]RawShipmentData!I81),"KG",""))),"")</f>
        <v>14.1</v>
      </c>
      <c r="K81" s="2">
        <f>VALUE(SUBSTITUTE(SUBSTITUTE(SUBSTITUTE(TRIM([1]RawShipmentData!J81),"₹",""),"Rs",""),",",""))</f>
        <v>773</v>
      </c>
      <c r="L81" s="2">
        <f>[1]RawShipmentData!K81</f>
        <v>4</v>
      </c>
      <c r="M81" s="3">
        <f>IF(TRIM([1]RawShipmentData!L81)="","",IF(ISNUMBER(SEARCH("/",TRIM([1]RawShipmentData!L81))),DATE(VALUE(RIGHT(TRIM([1]RawShipmentData!L81),4)),VALUE(MID(TRIM([1]RawShipmentData!L81),FIND("/",TRIM([1]RawShipmentData!L81))+1,2)),VALUE(LEFT(TRIM([1]RawShipmentData!L81),FIND("/",TRIM([1]RawShipmentData!L81))-1))),DATEVALUE(TRIM([1]RawShipmentData!L81))))</f>
        <v>45341</v>
      </c>
      <c r="N81" s="2">
        <f t="shared" si="6"/>
        <v>4</v>
      </c>
      <c r="O81" s="2">
        <f t="shared" si="7"/>
        <v>0</v>
      </c>
      <c r="P81" s="2" t="str">
        <f t="shared" si="8"/>
        <v>On Time</v>
      </c>
      <c r="Q81" s="2" t="str">
        <f>PROPER(SUBSTITUTE(TRIM([1]RawShipmentData!M81)," ","-"))</f>
        <v>Delivered</v>
      </c>
      <c r="R81" s="4">
        <f t="shared" si="9"/>
        <v>54.822695035460995</v>
      </c>
      <c r="S81" s="2">
        <f>[1]RawShipmentData!N81</f>
        <v>4</v>
      </c>
      <c r="T81" s="2" t="str">
        <f>IF(OR(UPPER(TRIM([1]RawShipmentData!O81))="YES",UPPER(TRIM([1]RawShipmentData!O81))="Y"),"Yes","No")</f>
        <v>Yes</v>
      </c>
    </row>
    <row r="82" spans="1:20" x14ac:dyDescent="0.25">
      <c r="A82" s="2" t="str">
        <f>[1]RawShipmentData!A82</f>
        <v>SHP-101287</v>
      </c>
      <c r="B82" s="3">
        <f>IF(ISNUMBER(SEARCH("/",TRIM([1]RawShipmentData!B82))),DATE(VALUE(RIGHT(TRIM([1]RawShipmentData!B82),4)),VALUE(MID(TRIM([1]RawShipmentData!B82),FIND("/",TRIM([1]RawShipmentData!B82))+1,2)),VALUE(LEFT(TRIM([1]RawShipmentData!B82),FIND("/",TRIM([1]RawShipmentData!B82))-1))),DATEVALUE(TRIM([1]RawShipmentData!B82)))</f>
        <v>45367</v>
      </c>
      <c r="C82" s="2" t="str">
        <f>PROPER(TRIM([1]RawShipmentData!C82))</f>
        <v>Kolkata</v>
      </c>
      <c r="D82" s="2" t="str">
        <f>IFERROR(INDEX([1]HubMaster!$B$2:$B$7,MATCH(C82,[1]HubMaster!$A$2:$A$7,0)),"Unknown")</f>
        <v>East</v>
      </c>
      <c r="E82" s="2" t="str">
        <f>PROPER(TRIM(SUBSTITUTE([1]RawShipmentData!D82,"  "," ")))</f>
        <v>Delhivery</v>
      </c>
      <c r="F82" s="2" t="str">
        <f>PROPER(TRIM([1]RawShipmentData!E82))</f>
        <v>Road</v>
      </c>
      <c r="G82" s="2" t="str">
        <f>PROPER(TRIM(SUBSTITUTE([1]RawShipmentData!F82,"  "," ")))</f>
        <v>Pharma</v>
      </c>
      <c r="H82" s="2" t="str">
        <f>PROPER(TRIM([1]RawShipmentData!G82))</f>
        <v>West</v>
      </c>
      <c r="I82" s="2" t="str">
        <f t="shared" si="5"/>
        <v>Yes</v>
      </c>
      <c r="J82" s="2">
        <f>IFERROR(VALUE(TRIM(SUBSTITUTE(UPPER([1]RawShipmentData!I82),"KG",""))),"")</f>
        <v>2.2999999999999998</v>
      </c>
      <c r="K82" s="2">
        <f>VALUE(SUBSTITUTE(SUBSTITUTE(SUBSTITUTE(TRIM([1]RawShipmentData!J82),"₹",""),"Rs",""),",",""))</f>
        <v>202</v>
      </c>
      <c r="L82" s="2">
        <f>[1]RawShipmentData!K82</f>
        <v>8</v>
      </c>
      <c r="M82" s="3">
        <f>IF(TRIM([1]RawShipmentData!L82)="","",IF(ISNUMBER(SEARCH("/",TRIM([1]RawShipmentData!L82))),DATE(VALUE(RIGHT(TRIM([1]RawShipmentData!L82),4)),VALUE(MID(TRIM([1]RawShipmentData!L82),FIND("/",TRIM([1]RawShipmentData!L82))+1,2)),VALUE(LEFT(TRIM([1]RawShipmentData!L82),FIND("/",TRIM([1]RawShipmentData!L82))-1))),DATEVALUE(TRIM([1]RawShipmentData!L82))))</f>
        <v>45377</v>
      </c>
      <c r="N82" s="2">
        <f t="shared" si="6"/>
        <v>10</v>
      </c>
      <c r="O82" s="2">
        <f t="shared" si="7"/>
        <v>2</v>
      </c>
      <c r="P82" s="2" t="str">
        <f t="shared" si="8"/>
        <v>Late</v>
      </c>
      <c r="Q82" s="2" t="str">
        <f>PROPER(SUBSTITUTE(TRIM([1]RawShipmentData!M82)," ","-"))</f>
        <v>Delayed</v>
      </c>
      <c r="R82" s="4">
        <f t="shared" si="9"/>
        <v>87.826086956521749</v>
      </c>
      <c r="S82" s="2">
        <f>[1]RawShipmentData!N82</f>
        <v>1</v>
      </c>
      <c r="T82" s="2" t="str">
        <f>IF(OR(UPPER(TRIM([1]RawShipmentData!O82))="YES",UPPER(TRIM([1]RawShipmentData!O82))="Y"),"Yes","No")</f>
        <v>Yes</v>
      </c>
    </row>
    <row r="83" spans="1:20" x14ac:dyDescent="0.25">
      <c r="A83" s="2" t="str">
        <f>[1]RawShipmentData!A83</f>
        <v>SHP-101474</v>
      </c>
      <c r="B83" s="3">
        <f>IF(ISNUMBER(SEARCH("/",TRIM([1]RawShipmentData!B83))),DATE(VALUE(RIGHT(TRIM([1]RawShipmentData!B83),4)),VALUE(MID(TRIM([1]RawShipmentData!B83),FIND("/",TRIM([1]RawShipmentData!B83))+1,2)),VALUE(LEFT(TRIM([1]RawShipmentData!B83),FIND("/",TRIM([1]RawShipmentData!B83))-1))),DATEVALUE(TRIM([1]RawShipmentData!B83)))</f>
        <v>45455</v>
      </c>
      <c r="C83" s="2" t="str">
        <f>PROPER(TRIM([1]RawShipmentData!C83))</f>
        <v>Delhi</v>
      </c>
      <c r="D83" s="2" t="str">
        <f>IFERROR(INDEX([1]HubMaster!$B$2:$B$7,MATCH(C83,[1]HubMaster!$A$2:$A$7,0)),"Unknown")</f>
        <v>North</v>
      </c>
      <c r="E83" s="2" t="str">
        <f>PROPER(TRIM(SUBSTITUTE([1]RawShipmentData!D83,"  "," ")))</f>
        <v>Dtdc</v>
      </c>
      <c r="F83" s="2" t="str">
        <f>PROPER(TRIM([1]RawShipmentData!E83))</f>
        <v>Air</v>
      </c>
      <c r="G83" s="2" t="str">
        <f>PROPER(TRIM(SUBSTITUTE([1]RawShipmentData!F83,"  "," ")))</f>
        <v>Grocery &amp; Fmcg</v>
      </c>
      <c r="H83" s="2" t="str">
        <f>PROPER(TRIM([1]RawShipmentData!G83))</f>
        <v>North</v>
      </c>
      <c r="I83" s="2" t="str">
        <f t="shared" si="5"/>
        <v>No</v>
      </c>
      <c r="J83" s="2">
        <f>IFERROR(VALUE(TRIM(SUBSTITUTE(UPPER([1]RawShipmentData!I83),"KG",""))),"")</f>
        <v>3.3</v>
      </c>
      <c r="K83" s="2">
        <f>VALUE(SUBSTITUTE(SUBSTITUTE(SUBSTITUTE(TRIM([1]RawShipmentData!J83),"₹",""),"Rs",""),",",""))</f>
        <v>166</v>
      </c>
      <c r="L83" s="2">
        <f>[1]RawShipmentData!K83</f>
        <v>2</v>
      </c>
      <c r="M83" s="3">
        <f>IF(TRIM([1]RawShipmentData!L83)="","",IF(ISNUMBER(SEARCH("/",TRIM([1]RawShipmentData!L83))),DATE(VALUE(RIGHT(TRIM([1]RawShipmentData!L83),4)),VALUE(MID(TRIM([1]RawShipmentData!L83),FIND("/",TRIM([1]RawShipmentData!L83))+1,2)),VALUE(LEFT(TRIM([1]RawShipmentData!L83),FIND("/",TRIM([1]RawShipmentData!L83))-1))),DATEVALUE(TRIM([1]RawShipmentData!L83))))</f>
        <v>45457</v>
      </c>
      <c r="N83" s="2">
        <f t="shared" si="6"/>
        <v>2</v>
      </c>
      <c r="O83" s="2">
        <f t="shared" si="7"/>
        <v>0</v>
      </c>
      <c r="P83" s="2" t="str">
        <f t="shared" si="8"/>
        <v>On Time</v>
      </c>
      <c r="Q83" s="2" t="str">
        <f>PROPER(SUBSTITUTE(TRIM([1]RawShipmentData!M83)," ","-"))</f>
        <v>Delivered</v>
      </c>
      <c r="R83" s="4">
        <f t="shared" si="9"/>
        <v>50.303030303030305</v>
      </c>
      <c r="S83" s="2">
        <f>[1]RawShipmentData!N83</f>
        <v>4</v>
      </c>
      <c r="T83" s="2" t="str">
        <f>IF(OR(UPPER(TRIM([1]RawShipmentData!O83))="YES",UPPER(TRIM([1]RawShipmentData!O83))="Y"),"Yes","No")</f>
        <v>Yes</v>
      </c>
    </row>
    <row r="84" spans="1:20" x14ac:dyDescent="0.25">
      <c r="A84" s="2" t="str">
        <f>[1]RawShipmentData!A84</f>
        <v>SHP-100532</v>
      </c>
      <c r="B84" s="3">
        <f>IF(ISNUMBER(SEARCH("/",TRIM([1]RawShipmentData!B84))),DATE(VALUE(RIGHT(TRIM([1]RawShipmentData!B84),4)),VALUE(MID(TRIM([1]RawShipmentData!B84),FIND("/",TRIM([1]RawShipmentData!B84))+1,2)),VALUE(LEFT(TRIM([1]RawShipmentData!B84),FIND("/",TRIM([1]RawShipmentData!B84))-1))),DATEVALUE(TRIM([1]RawShipmentData!B84)))</f>
        <v>45422</v>
      </c>
      <c r="C84" s="2" t="str">
        <f>PROPER(TRIM([1]RawShipmentData!C84))</f>
        <v>Hyderabad</v>
      </c>
      <c r="D84" s="2" t="str">
        <f>IFERROR(INDEX([1]HubMaster!$B$2:$B$7,MATCH(C84,[1]HubMaster!$A$2:$A$7,0)),"Unknown")</f>
        <v>West</v>
      </c>
      <c r="E84" s="2" t="str">
        <f>PROPER(TRIM(SUBSTITUTE([1]RawShipmentData!D84,"  "," ")))</f>
        <v>Dtdc</v>
      </c>
      <c r="F84" s="2" t="str">
        <f>PROPER(TRIM([1]RawShipmentData!E84))</f>
        <v>Air</v>
      </c>
      <c r="G84" s="2" t="str">
        <f>PROPER(TRIM(SUBSTITUTE([1]RawShipmentData!F84,"  "," ")))</f>
        <v>Furniture</v>
      </c>
      <c r="H84" s="2" t="str">
        <f>PROPER(TRIM([1]RawShipmentData!G84))</f>
        <v>West</v>
      </c>
      <c r="I84" s="2" t="str">
        <f t="shared" si="5"/>
        <v>No</v>
      </c>
      <c r="J84" s="2">
        <f>IFERROR(VALUE(TRIM(SUBSTITUTE(UPPER([1]RawShipmentData!I84),"KG",""))),"")</f>
        <v>51.1</v>
      </c>
      <c r="K84" s="2">
        <f>VALUE(SUBSTITUTE(SUBSTITUTE(SUBSTITUTE(TRIM([1]RawShipmentData!J84),"₹",""),"Rs",""),",",""))</f>
        <v>2322</v>
      </c>
      <c r="L84" s="2">
        <f>[1]RawShipmentData!K84</f>
        <v>2</v>
      </c>
      <c r="M84" s="3">
        <f>IF(TRIM([1]RawShipmentData!L84)="","",IF(ISNUMBER(SEARCH("/",TRIM([1]RawShipmentData!L84))),DATE(VALUE(RIGHT(TRIM([1]RawShipmentData!L84),4)),VALUE(MID(TRIM([1]RawShipmentData!L84),FIND("/",TRIM([1]RawShipmentData!L84))+1,2)),VALUE(LEFT(TRIM([1]RawShipmentData!L84),FIND("/",TRIM([1]RawShipmentData!L84))-1))),DATEVALUE(TRIM([1]RawShipmentData!L84))))</f>
        <v>45423</v>
      </c>
      <c r="N84" s="2">
        <f t="shared" si="6"/>
        <v>1</v>
      </c>
      <c r="O84" s="2">
        <f t="shared" si="7"/>
        <v>-1</v>
      </c>
      <c r="P84" s="2" t="str">
        <f t="shared" si="8"/>
        <v>On Time</v>
      </c>
      <c r="Q84" s="2" t="str">
        <f>PROPER(SUBSTITUTE(TRIM([1]RawShipmentData!M84)," ","-"))</f>
        <v>Delivered</v>
      </c>
      <c r="R84" s="4">
        <f t="shared" si="9"/>
        <v>45.44031311154599</v>
      </c>
      <c r="S84" s="2">
        <f>[1]RawShipmentData!N84</f>
        <v>3</v>
      </c>
      <c r="T84" s="2" t="str">
        <f>IF(OR(UPPER(TRIM([1]RawShipmentData!O84))="YES",UPPER(TRIM([1]RawShipmentData!O84))="Y"),"Yes","No")</f>
        <v>Yes</v>
      </c>
    </row>
    <row r="85" spans="1:20" x14ac:dyDescent="0.25">
      <c r="A85" s="2" t="str">
        <f>[1]RawShipmentData!A85</f>
        <v>SHP-100387</v>
      </c>
      <c r="B85" s="3">
        <f>IF(ISNUMBER(SEARCH("/",TRIM([1]RawShipmentData!B85))),DATE(VALUE(RIGHT(TRIM([1]RawShipmentData!B85),4)),VALUE(MID(TRIM([1]RawShipmentData!B85),FIND("/",TRIM([1]RawShipmentData!B85))+1,2)),VALUE(LEFT(TRIM([1]RawShipmentData!B85),FIND("/",TRIM([1]RawShipmentData!B85))-1))),DATEVALUE(TRIM([1]RawShipmentData!B85)))</f>
        <v>45388</v>
      </c>
      <c r="C85" s="2" t="str">
        <f>PROPER(TRIM([1]RawShipmentData!C85))</f>
        <v>Kolkata</v>
      </c>
      <c r="D85" s="2" t="str">
        <f>IFERROR(INDEX([1]HubMaster!$B$2:$B$7,MATCH(C85,[1]HubMaster!$A$2:$A$7,0)),"Unknown")</f>
        <v>East</v>
      </c>
      <c r="E85" s="2" t="str">
        <f>PROPER(TRIM(SUBSTITUTE([1]RawShipmentData!D85,"  "," ")))</f>
        <v>Ecom Express</v>
      </c>
      <c r="F85" s="2" t="str">
        <f>PROPER(TRIM([1]RawShipmentData!E85))</f>
        <v>Road</v>
      </c>
      <c r="G85" s="2" t="str">
        <f>PROPER(TRIM(SUBSTITUTE([1]RawShipmentData!F85,"  "," ")))</f>
        <v>Automotive Parts</v>
      </c>
      <c r="H85" s="2" t="str">
        <f>PROPER(TRIM([1]RawShipmentData!G85))</f>
        <v>North</v>
      </c>
      <c r="I85" s="2" t="str">
        <f t="shared" si="5"/>
        <v>Yes</v>
      </c>
      <c r="J85" s="2">
        <f>IFERROR(VALUE(TRIM(SUBSTITUTE(UPPER([1]RawShipmentData!I85),"KG",""))),"")</f>
        <v>19.8</v>
      </c>
      <c r="K85" s="2">
        <f>VALUE(SUBSTITUTE(SUBSTITUTE(SUBSTITUTE(TRIM([1]RawShipmentData!J85),"₹",""),"Rs",""),",",""))</f>
        <v>397</v>
      </c>
      <c r="L85" s="2">
        <f>[1]RawShipmentData!K85</f>
        <v>8</v>
      </c>
      <c r="M85" s="3">
        <f>IF(TRIM([1]RawShipmentData!L85)="","",IF(ISNUMBER(SEARCH("/",TRIM([1]RawShipmentData!L85))),DATE(VALUE(RIGHT(TRIM([1]RawShipmentData!L85),4)),VALUE(MID(TRIM([1]RawShipmentData!L85),FIND("/",TRIM([1]RawShipmentData!L85))+1,2)),VALUE(LEFT(TRIM([1]RawShipmentData!L85),FIND("/",TRIM([1]RawShipmentData!L85))-1))),DATEVALUE(TRIM([1]RawShipmentData!L85))))</f>
        <v>45395</v>
      </c>
      <c r="N85" s="2">
        <f t="shared" si="6"/>
        <v>7</v>
      </c>
      <c r="O85" s="2">
        <f t="shared" si="7"/>
        <v>-1</v>
      </c>
      <c r="P85" s="2" t="str">
        <f t="shared" si="8"/>
        <v>On Time</v>
      </c>
      <c r="Q85" s="2" t="str">
        <f>PROPER(SUBSTITUTE(TRIM([1]RawShipmentData!M85)," ","-"))</f>
        <v>Returned</v>
      </c>
      <c r="R85" s="4">
        <f t="shared" si="9"/>
        <v>20.050505050505048</v>
      </c>
      <c r="S85" s="2">
        <f>[1]RawShipmentData!N85</f>
        <v>0</v>
      </c>
      <c r="T85" s="2" t="str">
        <f>IF(OR(UPPER(TRIM([1]RawShipmentData!O85))="YES",UPPER(TRIM([1]RawShipmentData!O85))="Y"),"Yes","No")</f>
        <v>No</v>
      </c>
    </row>
    <row r="86" spans="1:20" x14ac:dyDescent="0.25">
      <c r="A86" s="2" t="str">
        <f>[1]RawShipmentData!A86</f>
        <v>SHP-100112</v>
      </c>
      <c r="B86" s="3">
        <f>IF(ISNUMBER(SEARCH("/",TRIM([1]RawShipmentData!B86))),DATE(VALUE(RIGHT(TRIM([1]RawShipmentData!B86),4)),VALUE(MID(TRIM([1]RawShipmentData!B86),FIND("/",TRIM([1]RawShipmentData!B86))+1,2)),VALUE(LEFT(TRIM([1]RawShipmentData!B86),FIND("/",TRIM([1]RawShipmentData!B86))-1))),DATEVALUE(TRIM([1]RawShipmentData!B86)))</f>
        <v>45464</v>
      </c>
      <c r="C86" s="2" t="str">
        <f>PROPER(TRIM([1]RawShipmentData!C86))</f>
        <v>Chennai</v>
      </c>
      <c r="D86" s="2" t="str">
        <f>IFERROR(INDEX([1]HubMaster!$B$2:$B$7,MATCH(C86,[1]HubMaster!$A$2:$A$7,0)),"Unknown")</f>
        <v>South</v>
      </c>
      <c r="E86" s="2" t="str">
        <f>PROPER(TRIM(SUBSTITUTE([1]RawShipmentData!D86,"  "," ")))</f>
        <v>Bluedart</v>
      </c>
      <c r="F86" s="2" t="str">
        <f>PROPER(TRIM([1]RawShipmentData!E86))</f>
        <v>Surface</v>
      </c>
      <c r="G86" s="2" t="str">
        <f>PROPER(TRIM(SUBSTITUTE([1]RawShipmentData!F86,"  "," ")))</f>
        <v>Apparel</v>
      </c>
      <c r="H86" s="2" t="str">
        <f>PROPER(TRIM([1]RawShipmentData!G86))</f>
        <v>East</v>
      </c>
      <c r="I86" s="2" t="str">
        <f t="shared" si="5"/>
        <v>Yes</v>
      </c>
      <c r="J86" s="2">
        <f>IFERROR(VALUE(TRIM(SUBSTITUTE(UPPER([1]RawShipmentData!I86),"KG",""))),"")</f>
        <v>6.4</v>
      </c>
      <c r="K86" s="2">
        <f>VALUE(SUBSTITUTE(SUBSTITUTE(SUBSTITUTE(TRIM([1]RawShipmentData!J86),"₹",""),"Rs",""),",",""))</f>
        <v>279</v>
      </c>
      <c r="L86" s="2">
        <f>[1]RawShipmentData!K86</f>
        <v>6</v>
      </c>
      <c r="M86" s="3">
        <f>IF(TRIM([1]RawShipmentData!L86)="","",IF(ISNUMBER(SEARCH("/",TRIM([1]RawShipmentData!L86))),DATE(VALUE(RIGHT(TRIM([1]RawShipmentData!L86),4)),VALUE(MID(TRIM([1]RawShipmentData!L86),FIND("/",TRIM([1]RawShipmentData!L86))+1,2)),VALUE(LEFT(TRIM([1]RawShipmentData!L86),FIND("/",TRIM([1]RawShipmentData!L86))-1))),DATEVALUE(TRIM([1]RawShipmentData!L86))))</f>
        <v>45476</v>
      </c>
      <c r="N86" s="2">
        <f t="shared" si="6"/>
        <v>12</v>
      </c>
      <c r="O86" s="2">
        <f t="shared" si="7"/>
        <v>6</v>
      </c>
      <c r="P86" s="2" t="str">
        <f t="shared" si="8"/>
        <v>Late</v>
      </c>
      <c r="Q86" s="2" t="str">
        <f>PROPER(SUBSTITUTE(TRIM([1]RawShipmentData!M86)," ","-"))</f>
        <v>Delayed</v>
      </c>
      <c r="R86" s="4">
        <f t="shared" si="9"/>
        <v>43.59375</v>
      </c>
      <c r="S86" s="2">
        <f>[1]RawShipmentData!N86</f>
        <v>3</v>
      </c>
      <c r="T86" s="2" t="str">
        <f>IF(OR(UPPER(TRIM([1]RawShipmentData!O86))="YES",UPPER(TRIM([1]RawShipmentData!O86))="Y"),"Yes","No")</f>
        <v>Yes</v>
      </c>
    </row>
    <row r="87" spans="1:20" x14ac:dyDescent="0.25">
      <c r="A87" s="2" t="str">
        <f>[1]RawShipmentData!A87</f>
        <v>SHP-100973</v>
      </c>
      <c r="B87" s="3">
        <f>IF(ISNUMBER(SEARCH("/",TRIM([1]RawShipmentData!B87))),DATE(VALUE(RIGHT(TRIM([1]RawShipmentData!B87),4)),VALUE(MID(TRIM([1]RawShipmentData!B87),FIND("/",TRIM([1]RawShipmentData!B87))+1,2)),VALUE(LEFT(TRIM([1]RawShipmentData!B87),FIND("/",TRIM([1]RawShipmentData!B87))-1))),DATEVALUE(TRIM([1]RawShipmentData!B87)))</f>
        <v>45452</v>
      </c>
      <c r="C87" s="2" t="str">
        <f>PROPER(TRIM([1]RawShipmentData!C87))</f>
        <v>Bengaluru</v>
      </c>
      <c r="D87" s="2" t="str">
        <f>IFERROR(INDEX([1]HubMaster!$B$2:$B$7,MATCH(C87,[1]HubMaster!$A$2:$A$7,0)),"Unknown")</f>
        <v>South</v>
      </c>
      <c r="E87" s="2" t="str">
        <f>PROPER(TRIM(SUBSTITUTE([1]RawShipmentData!D87,"  "," ")))</f>
        <v>Dtdc</v>
      </c>
      <c r="F87" s="2" t="str">
        <f>PROPER(TRIM([1]RawShipmentData!E87))</f>
        <v>Air</v>
      </c>
      <c r="G87" s="2" t="str">
        <f>PROPER(TRIM(SUBSTITUTE([1]RawShipmentData!F87,"  "," ")))</f>
        <v>Pharma</v>
      </c>
      <c r="H87" s="2" t="str">
        <f>PROPER(TRIM([1]RawShipmentData!G87))</f>
        <v>North</v>
      </c>
      <c r="I87" s="2" t="str">
        <f t="shared" si="5"/>
        <v>Yes</v>
      </c>
      <c r="J87" s="2">
        <f>IFERROR(VALUE(TRIM(SUBSTITUTE(UPPER([1]RawShipmentData!I87),"KG",""))),"")</f>
        <v>1.7</v>
      </c>
      <c r="K87" s="2">
        <f>VALUE(SUBSTITUTE(SUBSTITUTE(SUBSTITUTE(TRIM([1]RawShipmentData!J87),"₹",""),"Rs",""),",",""))</f>
        <v>243</v>
      </c>
      <c r="L87" s="2">
        <f>[1]RawShipmentData!K87</f>
        <v>4</v>
      </c>
      <c r="M87" s="3">
        <f>IF(TRIM([1]RawShipmentData!L87)="","",IF(ISNUMBER(SEARCH("/",TRIM([1]RawShipmentData!L87))),DATE(VALUE(RIGHT(TRIM([1]RawShipmentData!L87),4)),VALUE(MID(TRIM([1]RawShipmentData!L87),FIND("/",TRIM([1]RawShipmentData!L87))+1,2)),VALUE(LEFT(TRIM([1]RawShipmentData!L87),FIND("/",TRIM([1]RawShipmentData!L87))-1))),DATEVALUE(TRIM([1]RawShipmentData!L87))))</f>
        <v>45457</v>
      </c>
      <c r="N87" s="2">
        <f t="shared" si="6"/>
        <v>5</v>
      </c>
      <c r="O87" s="2">
        <f t="shared" si="7"/>
        <v>1</v>
      </c>
      <c r="P87" s="2" t="str">
        <f t="shared" si="8"/>
        <v>Late</v>
      </c>
      <c r="Q87" s="2" t="str">
        <f>PROPER(SUBSTITUTE(TRIM([1]RawShipmentData!M87)," ","-"))</f>
        <v>Delayed</v>
      </c>
      <c r="R87" s="4">
        <f t="shared" si="9"/>
        <v>142.94117647058823</v>
      </c>
      <c r="S87" s="2">
        <f>[1]RawShipmentData!N87</f>
        <v>3</v>
      </c>
      <c r="T87" s="2" t="str">
        <f>IF(OR(UPPER(TRIM([1]RawShipmentData!O87))="YES",UPPER(TRIM([1]RawShipmentData!O87))="Y"),"Yes","No")</f>
        <v>Yes</v>
      </c>
    </row>
    <row r="88" spans="1:20" x14ac:dyDescent="0.25">
      <c r="A88" s="2" t="str">
        <f>[1]RawShipmentData!A88</f>
        <v>SHP-101207</v>
      </c>
      <c r="B88" s="3">
        <f>IF(ISNUMBER(SEARCH("/",TRIM([1]RawShipmentData!B88))),DATE(VALUE(RIGHT(TRIM([1]RawShipmentData!B88),4)),VALUE(MID(TRIM([1]RawShipmentData!B88),FIND("/",TRIM([1]RawShipmentData!B88))+1,2)),VALUE(LEFT(TRIM([1]RawShipmentData!B88),FIND("/",TRIM([1]RawShipmentData!B88))-1))),DATEVALUE(TRIM([1]RawShipmentData!B88)))</f>
        <v>45420</v>
      </c>
      <c r="C88" s="2" t="str">
        <f>PROPER(TRIM([1]RawShipmentData!C88))</f>
        <v>Hyderabad</v>
      </c>
      <c r="D88" s="2" t="str">
        <f>IFERROR(INDEX([1]HubMaster!$B$2:$B$7,MATCH(C88,[1]HubMaster!$A$2:$A$7,0)),"Unknown")</f>
        <v>West</v>
      </c>
      <c r="E88" s="2" t="str">
        <f>PROPER(TRIM(SUBSTITUTE([1]RawShipmentData!D88,"  "," ")))</f>
        <v>Ecom Express</v>
      </c>
      <c r="F88" s="2" t="str">
        <f>PROPER(TRIM([1]RawShipmentData!E88))</f>
        <v>Road</v>
      </c>
      <c r="G88" s="2" t="str">
        <f>PROPER(TRIM(SUBSTITUTE([1]RawShipmentData!F88,"  "," ")))</f>
        <v>Apparel</v>
      </c>
      <c r="H88" s="2" t="str">
        <f>PROPER(TRIM([1]RawShipmentData!G88))</f>
        <v>South</v>
      </c>
      <c r="I88" s="2" t="str">
        <f t="shared" si="5"/>
        <v>Yes</v>
      </c>
      <c r="J88" s="2">
        <f>IFERROR(VALUE(TRIM(SUBSTITUTE(UPPER([1]RawShipmentData!I88),"KG",""))),"")</f>
        <v>3.9</v>
      </c>
      <c r="K88" s="2">
        <f>VALUE(SUBSTITUTE(SUBSTITUTE(SUBSTITUTE(TRIM([1]RawShipmentData!J88),"₹",""),"Rs",""),",",""))</f>
        <v>190</v>
      </c>
      <c r="L88" s="2">
        <f>[1]RawShipmentData!K88</f>
        <v>8</v>
      </c>
      <c r="M88" s="3">
        <f>IF(TRIM([1]RawShipmentData!L88)="","",IF(ISNUMBER(SEARCH("/",TRIM([1]RawShipmentData!L88))),DATE(VALUE(RIGHT(TRIM([1]RawShipmentData!L88),4)),VALUE(MID(TRIM([1]RawShipmentData!L88),FIND("/",TRIM([1]RawShipmentData!L88))+1,2)),VALUE(LEFT(TRIM([1]RawShipmentData!L88),FIND("/",TRIM([1]RawShipmentData!L88))-1))),DATEVALUE(TRIM([1]RawShipmentData!L88))))</f>
        <v>45429</v>
      </c>
      <c r="N88" s="2">
        <f t="shared" si="6"/>
        <v>9</v>
      </c>
      <c r="O88" s="2">
        <f t="shared" si="7"/>
        <v>1</v>
      </c>
      <c r="P88" s="2" t="str">
        <f t="shared" si="8"/>
        <v>Late</v>
      </c>
      <c r="Q88" s="2" t="str">
        <f>PROPER(SUBSTITUTE(TRIM([1]RawShipmentData!M88)," ","-"))</f>
        <v>Delayed</v>
      </c>
      <c r="R88" s="4">
        <f t="shared" si="9"/>
        <v>48.717948717948723</v>
      </c>
      <c r="S88" s="2">
        <f>[1]RawShipmentData!N88</f>
        <v>2</v>
      </c>
      <c r="T88" s="2" t="str">
        <f>IF(OR(UPPER(TRIM([1]RawShipmentData!O88))="YES",UPPER(TRIM([1]RawShipmentData!O88))="Y"),"Yes","No")</f>
        <v>Yes</v>
      </c>
    </row>
    <row r="89" spans="1:20" x14ac:dyDescent="0.25">
      <c r="A89" s="2" t="str">
        <f>[1]RawShipmentData!A89</f>
        <v>SHP-100202</v>
      </c>
      <c r="B89" s="3">
        <f>IF(ISNUMBER(SEARCH("/",TRIM([1]RawShipmentData!B89))),DATE(VALUE(RIGHT(TRIM([1]RawShipmentData!B89),4)),VALUE(MID(TRIM([1]RawShipmentData!B89),FIND("/",TRIM([1]RawShipmentData!B89))+1,2)),VALUE(LEFT(TRIM([1]RawShipmentData!B89),FIND("/",TRIM([1]RawShipmentData!B89))-1))),DATEVALUE(TRIM([1]RawShipmentData!B89)))</f>
        <v>45390</v>
      </c>
      <c r="C89" s="2" t="str">
        <f>PROPER(TRIM([1]RawShipmentData!C89))</f>
        <v>Delhi</v>
      </c>
      <c r="D89" s="2" t="str">
        <f>IFERROR(INDEX([1]HubMaster!$B$2:$B$7,MATCH(C89,[1]HubMaster!$A$2:$A$7,0)),"Unknown")</f>
        <v>North</v>
      </c>
      <c r="E89" s="2" t="str">
        <f>PROPER(TRIM(SUBSTITUTE([1]RawShipmentData!D89,"  "," ")))</f>
        <v>Ecom Express</v>
      </c>
      <c r="F89" s="2" t="str">
        <f>PROPER(TRIM([1]RawShipmentData!E89))</f>
        <v>Surface</v>
      </c>
      <c r="G89" s="2" t="str">
        <f>PROPER(TRIM(SUBSTITUTE([1]RawShipmentData!F89,"  "," ")))</f>
        <v>Grocery &amp; Fmcg</v>
      </c>
      <c r="H89" s="2" t="str">
        <f>PROPER(TRIM([1]RawShipmentData!G89))</f>
        <v>West</v>
      </c>
      <c r="I89" s="2" t="str">
        <f t="shared" si="5"/>
        <v>Yes</v>
      </c>
      <c r="J89" s="2">
        <f>IFERROR(VALUE(TRIM(SUBSTITUTE(UPPER([1]RawShipmentData!I89),"KG",""))),"")</f>
        <v>18.5</v>
      </c>
      <c r="K89" s="2">
        <f>VALUE(SUBSTITUTE(SUBSTITUTE(SUBSTITUTE(TRIM([1]RawShipmentData!J89),"₹",""),"Rs",""),",",""))</f>
        <v>564</v>
      </c>
      <c r="L89" s="2">
        <f>[1]RawShipmentData!K89</f>
        <v>6</v>
      </c>
      <c r="M89" s="3">
        <f>IF(TRIM([1]RawShipmentData!L89)="","",IF(ISNUMBER(SEARCH("/",TRIM([1]RawShipmentData!L89))),DATE(VALUE(RIGHT(TRIM([1]RawShipmentData!L89),4)),VALUE(MID(TRIM([1]RawShipmentData!L89),FIND("/",TRIM([1]RawShipmentData!L89))+1,2)),VALUE(LEFT(TRIM([1]RawShipmentData!L89),FIND("/",TRIM([1]RawShipmentData!L89))-1))),DATEVALUE(TRIM([1]RawShipmentData!L89))))</f>
        <v>45395</v>
      </c>
      <c r="N89" s="2">
        <f t="shared" si="6"/>
        <v>5</v>
      </c>
      <c r="O89" s="2">
        <f t="shared" si="7"/>
        <v>-1</v>
      </c>
      <c r="P89" s="2" t="str">
        <f t="shared" si="8"/>
        <v>On Time</v>
      </c>
      <c r="Q89" s="2" t="str">
        <f>PROPER(SUBSTITUTE(TRIM([1]RawShipmentData!M89)," ","-"))</f>
        <v>Delivered</v>
      </c>
      <c r="R89" s="4">
        <f t="shared" si="9"/>
        <v>30.486486486486488</v>
      </c>
      <c r="S89" s="2">
        <f>[1]RawShipmentData!N89</f>
        <v>3</v>
      </c>
      <c r="T89" s="2" t="str">
        <f>IF(OR(UPPER(TRIM([1]RawShipmentData!O89))="YES",UPPER(TRIM([1]RawShipmentData!O89))="Y"),"Yes","No")</f>
        <v>No</v>
      </c>
    </row>
    <row r="90" spans="1:20" x14ac:dyDescent="0.25">
      <c r="A90" s="2" t="str">
        <f>[1]RawShipmentData!A90</f>
        <v>SHP-100888</v>
      </c>
      <c r="B90" s="3">
        <f>IF(ISNUMBER(SEARCH("/",TRIM([1]RawShipmentData!B90))),DATE(VALUE(RIGHT(TRIM([1]RawShipmentData!B90),4)),VALUE(MID(TRIM([1]RawShipmentData!B90),FIND("/",TRIM([1]RawShipmentData!B90))+1,2)),VALUE(LEFT(TRIM([1]RawShipmentData!B90),FIND("/",TRIM([1]RawShipmentData!B90))-1))),DATEVALUE(TRIM([1]RawShipmentData!B90)))</f>
        <v>45457</v>
      </c>
      <c r="C90" s="2" t="str">
        <f>PROPER(TRIM([1]RawShipmentData!C90))</f>
        <v>Mumbai</v>
      </c>
      <c r="D90" s="2" t="str">
        <f>IFERROR(INDEX([1]HubMaster!$B$2:$B$7,MATCH(C90,[1]HubMaster!$A$2:$A$7,0)),"Unknown")</f>
        <v>West</v>
      </c>
      <c r="E90" s="2" t="str">
        <f>PROPER(TRIM(SUBSTITUTE([1]RawShipmentData!D90,"  "," ")))</f>
        <v>Xpressbees</v>
      </c>
      <c r="F90" s="2" t="str">
        <f>PROPER(TRIM([1]RawShipmentData!E90))</f>
        <v>Surface</v>
      </c>
      <c r="G90" s="2" t="str">
        <f>PROPER(TRIM(SUBSTITUTE([1]RawShipmentData!F90,"  "," ")))</f>
        <v>Furniture</v>
      </c>
      <c r="H90" s="2" t="str">
        <f>PROPER(TRIM([1]RawShipmentData!G90))</f>
        <v>West</v>
      </c>
      <c r="I90" s="2" t="str">
        <f t="shared" si="5"/>
        <v>No</v>
      </c>
      <c r="J90" s="2">
        <f>IFERROR(VALUE(TRIM(SUBSTITUTE(UPPER([1]RawShipmentData!I90),"KG",""))),"")</f>
        <v>19.3</v>
      </c>
      <c r="K90" s="2">
        <f>VALUE(SUBSTITUTE(SUBSTITUTE(SUBSTITUTE(TRIM([1]RawShipmentData!J90),"₹",""),"Rs",""),",",""))</f>
        <v>410</v>
      </c>
      <c r="L90" s="2">
        <f>[1]RawShipmentData!K90</f>
        <v>4</v>
      </c>
      <c r="M90" s="3">
        <f>IF(TRIM([1]RawShipmentData!L90)="","",IF(ISNUMBER(SEARCH("/",TRIM([1]RawShipmentData!L90))),DATE(VALUE(RIGHT(TRIM([1]RawShipmentData!L90),4)),VALUE(MID(TRIM([1]RawShipmentData!L90),FIND("/",TRIM([1]RawShipmentData!L90))+1,2)),VALUE(LEFT(TRIM([1]RawShipmentData!L90),FIND("/",TRIM([1]RawShipmentData!L90))-1))),DATEVALUE(TRIM([1]RawShipmentData!L90))))</f>
        <v>45462</v>
      </c>
      <c r="N90" s="2">
        <f t="shared" si="6"/>
        <v>5</v>
      </c>
      <c r="O90" s="2">
        <f t="shared" si="7"/>
        <v>1</v>
      </c>
      <c r="P90" s="2" t="str">
        <f t="shared" si="8"/>
        <v>Late</v>
      </c>
      <c r="Q90" s="2" t="str">
        <f>PROPER(SUBSTITUTE(TRIM([1]RawShipmentData!M90)," ","-"))</f>
        <v>Delayed</v>
      </c>
      <c r="R90" s="4">
        <f t="shared" si="9"/>
        <v>21.243523316062177</v>
      </c>
      <c r="S90" s="2">
        <f>[1]RawShipmentData!N90</f>
        <v>3</v>
      </c>
      <c r="T90" s="2" t="str">
        <f>IF(OR(UPPER(TRIM([1]RawShipmentData!O90))="YES",UPPER(TRIM([1]RawShipmentData!O90))="Y"),"Yes","No")</f>
        <v>No</v>
      </c>
    </row>
    <row r="91" spans="1:20" x14ac:dyDescent="0.25">
      <c r="A91" s="2" t="str">
        <f>[1]RawShipmentData!A91</f>
        <v>SHP-100647</v>
      </c>
      <c r="B91" s="3">
        <f>IF(ISNUMBER(SEARCH("/",TRIM([1]RawShipmentData!B91))),DATE(VALUE(RIGHT(TRIM([1]RawShipmentData!B91),4)),VALUE(MID(TRIM([1]RawShipmentData!B91),FIND("/",TRIM([1]RawShipmentData!B91))+1,2)),VALUE(LEFT(TRIM([1]RawShipmentData!B91),FIND("/",TRIM([1]RawShipmentData!B91))-1))),DATEVALUE(TRIM([1]RawShipmentData!B91)))</f>
        <v>45299</v>
      </c>
      <c r="C91" s="2" t="str">
        <f>PROPER(TRIM([1]RawShipmentData!C91))</f>
        <v>Kolkata</v>
      </c>
      <c r="D91" s="2" t="str">
        <f>IFERROR(INDEX([1]HubMaster!$B$2:$B$7,MATCH(C91,[1]HubMaster!$A$2:$A$7,0)),"Unknown")</f>
        <v>East</v>
      </c>
      <c r="E91" s="2" t="str">
        <f>PROPER(TRIM(SUBSTITUTE([1]RawShipmentData!D91,"  "," ")))</f>
        <v>Ecom Express</v>
      </c>
      <c r="F91" s="2" t="str">
        <f>PROPER(TRIM([1]RawShipmentData!E91))</f>
        <v>Road</v>
      </c>
      <c r="G91" s="2" t="str">
        <f>PROPER(TRIM(SUBSTITUTE([1]RawShipmentData!F91,"  "," ")))</f>
        <v>Apparel</v>
      </c>
      <c r="H91" s="2" t="str">
        <f>PROPER(TRIM([1]RawShipmentData!G91))</f>
        <v>East</v>
      </c>
      <c r="I91" s="2" t="str">
        <f t="shared" si="5"/>
        <v>No</v>
      </c>
      <c r="J91" s="2">
        <f>IFERROR(VALUE(TRIM(SUBSTITUTE(UPPER([1]RawShipmentData!I91),"KG",""))),"")</f>
        <v>2.2000000000000002</v>
      </c>
      <c r="K91" s="2">
        <f>VALUE(SUBSTITUTE(SUBSTITUTE(SUBSTITUTE(TRIM([1]RawShipmentData!J91),"₹",""),"Rs",""),",",""))</f>
        <v>80</v>
      </c>
      <c r="L91" s="2">
        <f>[1]RawShipmentData!K91</f>
        <v>6</v>
      </c>
      <c r="M91" s="3">
        <f>IF(TRIM([1]RawShipmentData!L91)="","",IF(ISNUMBER(SEARCH("/",TRIM([1]RawShipmentData!L91))),DATE(VALUE(RIGHT(TRIM([1]RawShipmentData!L91),4)),VALUE(MID(TRIM([1]RawShipmentData!L91),FIND("/",TRIM([1]RawShipmentData!L91))+1,2)),VALUE(LEFT(TRIM([1]RawShipmentData!L91),FIND("/",TRIM([1]RawShipmentData!L91))-1))),DATEVALUE(TRIM([1]RawShipmentData!L91))))</f>
        <v>45305</v>
      </c>
      <c r="N91" s="2">
        <f t="shared" si="6"/>
        <v>6</v>
      </c>
      <c r="O91" s="2">
        <f t="shared" si="7"/>
        <v>0</v>
      </c>
      <c r="P91" s="2" t="str">
        <f t="shared" si="8"/>
        <v>On Time</v>
      </c>
      <c r="Q91" s="2" t="str">
        <f>PROPER(SUBSTITUTE(TRIM([1]RawShipmentData!M91)," ","-"))</f>
        <v>Delivered</v>
      </c>
      <c r="R91" s="4">
        <f t="shared" si="9"/>
        <v>36.36363636363636</v>
      </c>
      <c r="S91" s="2">
        <f>[1]RawShipmentData!N91</f>
        <v>5</v>
      </c>
      <c r="T91" s="2" t="str">
        <f>IF(OR(UPPER(TRIM([1]RawShipmentData!O91))="YES",UPPER(TRIM([1]RawShipmentData!O91))="Y"),"Yes","No")</f>
        <v>No</v>
      </c>
    </row>
    <row r="92" spans="1:20" x14ac:dyDescent="0.25">
      <c r="A92" s="2" t="str">
        <f>[1]RawShipmentData!A92</f>
        <v>SHP-101026</v>
      </c>
      <c r="B92" s="3">
        <f>IF(ISNUMBER(SEARCH("/",TRIM([1]RawShipmentData!B92))),DATE(VALUE(RIGHT(TRIM([1]RawShipmentData!B92),4)),VALUE(MID(TRIM([1]RawShipmentData!B92),FIND("/",TRIM([1]RawShipmentData!B92))+1,2)),VALUE(LEFT(TRIM([1]RawShipmentData!B92),FIND("/",TRIM([1]RawShipmentData!B92))-1))),DATEVALUE(TRIM([1]RawShipmentData!B92)))</f>
        <v>45467</v>
      </c>
      <c r="C92" s="2" t="str">
        <f>PROPER(TRIM([1]RawShipmentData!C92))</f>
        <v>Kolkata</v>
      </c>
      <c r="D92" s="2" t="str">
        <f>IFERROR(INDEX([1]HubMaster!$B$2:$B$7,MATCH(C92,[1]HubMaster!$A$2:$A$7,0)),"Unknown")</f>
        <v>East</v>
      </c>
      <c r="E92" s="2" t="str">
        <f>PROPER(TRIM(SUBSTITUTE([1]RawShipmentData!D92,"  "," ")))</f>
        <v>Bluedart</v>
      </c>
      <c r="F92" s="2" t="str">
        <f>PROPER(TRIM([1]RawShipmentData!E92))</f>
        <v>Surface</v>
      </c>
      <c r="G92" s="2" t="str">
        <f>PROPER(TRIM(SUBSTITUTE([1]RawShipmentData!F92,"  "," ")))</f>
        <v>Apparel</v>
      </c>
      <c r="H92" s="2" t="str">
        <f>PROPER(TRIM([1]RawShipmentData!G92))</f>
        <v>East</v>
      </c>
      <c r="I92" s="2" t="str">
        <f t="shared" si="5"/>
        <v>No</v>
      </c>
      <c r="J92" s="2">
        <f>IFERROR(VALUE(TRIM(SUBSTITUTE(UPPER([1]RawShipmentData!I92),"KG",""))),"")</f>
        <v>4.5999999999999996</v>
      </c>
      <c r="K92" s="2">
        <f>VALUE(SUBSTITUTE(SUBSTITUTE(SUBSTITUTE(TRIM([1]RawShipmentData!J92),"₹",""),"Rs",""),",",""))</f>
        <v>84</v>
      </c>
      <c r="L92" s="2">
        <f>[1]RawShipmentData!K92</f>
        <v>4</v>
      </c>
      <c r="M92" s="3">
        <f>IF(TRIM([1]RawShipmentData!L92)="","",IF(ISNUMBER(SEARCH("/",TRIM([1]RawShipmentData!L92))),DATE(VALUE(RIGHT(TRIM([1]RawShipmentData!L92),4)),VALUE(MID(TRIM([1]RawShipmentData!L92),FIND("/",TRIM([1]RawShipmentData!L92))+1,2)),VALUE(LEFT(TRIM([1]RawShipmentData!L92),FIND("/",TRIM([1]RawShipmentData!L92))-1))),DATEVALUE(TRIM([1]RawShipmentData!L92))))</f>
        <v>45471</v>
      </c>
      <c r="N92" s="2">
        <f t="shared" si="6"/>
        <v>4</v>
      </c>
      <c r="O92" s="2">
        <f t="shared" si="7"/>
        <v>0</v>
      </c>
      <c r="P92" s="2" t="str">
        <f t="shared" si="8"/>
        <v>On Time</v>
      </c>
      <c r="Q92" s="2" t="str">
        <f>PROPER(SUBSTITUTE(TRIM([1]RawShipmentData!M92)," ","-"))</f>
        <v>Delivered</v>
      </c>
      <c r="R92" s="4">
        <f t="shared" si="9"/>
        <v>18.260869565217394</v>
      </c>
      <c r="S92" s="2">
        <f>[1]RawShipmentData!N92</f>
        <v>3</v>
      </c>
      <c r="T92" s="2" t="str">
        <f>IF(OR(UPPER(TRIM([1]RawShipmentData!O92))="YES",UPPER(TRIM([1]RawShipmentData!O92))="Y"),"Yes","No")</f>
        <v>Yes</v>
      </c>
    </row>
    <row r="93" spans="1:20" x14ac:dyDescent="0.25">
      <c r="A93" s="2" t="str">
        <f>[1]RawShipmentData!A93</f>
        <v>SHP-101000</v>
      </c>
      <c r="B93" s="3">
        <f>IF(ISNUMBER(SEARCH("/",TRIM([1]RawShipmentData!B93))),DATE(VALUE(RIGHT(TRIM([1]RawShipmentData!B93),4)),VALUE(MID(TRIM([1]RawShipmentData!B93),FIND("/",TRIM([1]RawShipmentData!B93))+1,2)),VALUE(LEFT(TRIM([1]RawShipmentData!B93),FIND("/",TRIM([1]RawShipmentData!B93))-1))),DATEVALUE(TRIM([1]RawShipmentData!B93)))</f>
        <v>45364</v>
      </c>
      <c r="C93" s="2" t="str">
        <f>PROPER(TRIM([1]RawShipmentData!C93))</f>
        <v>Hyderabad</v>
      </c>
      <c r="D93" s="2" t="str">
        <f>IFERROR(INDEX([1]HubMaster!$B$2:$B$7,MATCH(C93,[1]HubMaster!$A$2:$A$7,0)),"Unknown")</f>
        <v>West</v>
      </c>
      <c r="E93" s="2" t="str">
        <f>PROPER(TRIM(SUBSTITUTE([1]RawShipmentData!D93,"  "," ")))</f>
        <v>Delhivery</v>
      </c>
      <c r="F93" s="2" t="str">
        <f>PROPER(TRIM([1]RawShipmentData!E93))</f>
        <v>Road</v>
      </c>
      <c r="G93" s="2" t="str">
        <f>PROPER(TRIM(SUBSTITUTE([1]RawShipmentData!F93,"  "," ")))</f>
        <v>Furniture</v>
      </c>
      <c r="H93" s="2" t="str">
        <f>PROPER(TRIM([1]RawShipmentData!G93))</f>
        <v>North</v>
      </c>
      <c r="I93" s="2" t="str">
        <f t="shared" si="5"/>
        <v>Yes</v>
      </c>
      <c r="J93" s="2">
        <f>IFERROR(VALUE(TRIM(SUBSTITUTE(UPPER([1]RawShipmentData!I93),"KG",""))),"")</f>
        <v>42.3</v>
      </c>
      <c r="K93" s="2">
        <f>VALUE(SUBSTITUTE(SUBSTITUTE(SUBSTITUTE(TRIM([1]RawShipmentData!J93),"₹",""),"Rs",""),",",""))</f>
        <v>780</v>
      </c>
      <c r="L93" s="2">
        <f>[1]RawShipmentData!K93</f>
        <v>8</v>
      </c>
      <c r="M93" s="3">
        <f>IF(TRIM([1]RawShipmentData!L93)="","",IF(ISNUMBER(SEARCH("/",TRIM([1]RawShipmentData!L93))),DATE(VALUE(RIGHT(TRIM([1]RawShipmentData!L93),4)),VALUE(MID(TRIM([1]RawShipmentData!L93),FIND("/",TRIM([1]RawShipmentData!L93))+1,2)),VALUE(LEFT(TRIM([1]RawShipmentData!L93),FIND("/",TRIM([1]RawShipmentData!L93))-1))),DATEVALUE(TRIM([1]RawShipmentData!L93))))</f>
        <v>45372</v>
      </c>
      <c r="N93" s="2">
        <f t="shared" si="6"/>
        <v>8</v>
      </c>
      <c r="O93" s="2">
        <f t="shared" si="7"/>
        <v>0</v>
      </c>
      <c r="P93" s="2" t="str">
        <f t="shared" si="8"/>
        <v>On Time</v>
      </c>
      <c r="Q93" s="2" t="str">
        <f>PROPER(SUBSTITUTE(TRIM([1]RawShipmentData!M93)," ","-"))</f>
        <v>Delivered</v>
      </c>
      <c r="R93" s="4">
        <f t="shared" si="9"/>
        <v>18.439716312056738</v>
      </c>
      <c r="S93" s="2">
        <f>[1]RawShipmentData!N93</f>
        <v>5</v>
      </c>
      <c r="T93" s="2" t="str">
        <f>IF(OR(UPPER(TRIM([1]RawShipmentData!O93))="YES",UPPER(TRIM([1]RawShipmentData!O93))="Y"),"Yes","No")</f>
        <v>Yes</v>
      </c>
    </row>
    <row r="94" spans="1:20" x14ac:dyDescent="0.25">
      <c r="A94" s="2" t="str">
        <f>[1]RawShipmentData!A94</f>
        <v>SHP-100876</v>
      </c>
      <c r="B94" s="3">
        <f>IF(ISNUMBER(SEARCH("/",TRIM([1]RawShipmentData!B94))),DATE(VALUE(RIGHT(TRIM([1]RawShipmentData!B94),4)),VALUE(MID(TRIM([1]RawShipmentData!B94),FIND("/",TRIM([1]RawShipmentData!B94))+1,2)),VALUE(LEFT(TRIM([1]RawShipmentData!B94),FIND("/",TRIM([1]RawShipmentData!B94))-1))),DATEVALUE(TRIM([1]RawShipmentData!B94)))</f>
        <v>45361</v>
      </c>
      <c r="C94" s="2" t="str">
        <f>PROPER(TRIM([1]RawShipmentData!C94))</f>
        <v>Kolkata</v>
      </c>
      <c r="D94" s="2" t="str">
        <f>IFERROR(INDEX([1]HubMaster!$B$2:$B$7,MATCH(C94,[1]HubMaster!$A$2:$A$7,0)),"Unknown")</f>
        <v>East</v>
      </c>
      <c r="E94" s="2" t="str">
        <f>PROPER(TRIM(SUBSTITUTE([1]RawShipmentData!D94,"  "," ")))</f>
        <v>Ecom Express</v>
      </c>
      <c r="F94" s="2" t="str">
        <f>PROPER(TRIM([1]RawShipmentData!E94))</f>
        <v>Surface</v>
      </c>
      <c r="G94" s="2" t="str">
        <f>PROPER(TRIM(SUBSTITUTE([1]RawShipmentData!F94,"  "," ")))</f>
        <v>Grocery &amp; Fmcg</v>
      </c>
      <c r="H94" s="2" t="str">
        <f>PROPER(TRIM([1]RawShipmentData!G94))</f>
        <v>East</v>
      </c>
      <c r="I94" s="2" t="str">
        <f t="shared" si="5"/>
        <v>No</v>
      </c>
      <c r="J94" s="2">
        <f>IFERROR(VALUE(TRIM(SUBSTITUTE(UPPER([1]RawShipmentData!I94),"KG",""))),"")</f>
        <v>10.3</v>
      </c>
      <c r="K94" s="2">
        <f>VALUE(SUBSTITUTE(SUBSTITUTE(SUBSTITUTE(TRIM([1]RawShipmentData!J94),"₹",""),"Rs",""),",",""))</f>
        <v>218</v>
      </c>
      <c r="L94" s="2">
        <f>[1]RawShipmentData!K94</f>
        <v>4</v>
      </c>
      <c r="M94" s="3">
        <f>IF(TRIM([1]RawShipmentData!L94)="","",IF(ISNUMBER(SEARCH("/",TRIM([1]RawShipmentData!L94))),DATE(VALUE(RIGHT(TRIM([1]RawShipmentData!L94),4)),VALUE(MID(TRIM([1]RawShipmentData!L94),FIND("/",TRIM([1]RawShipmentData!L94))+1,2)),VALUE(LEFT(TRIM([1]RawShipmentData!L94),FIND("/",TRIM([1]RawShipmentData!L94))-1))),DATEVALUE(TRIM([1]RawShipmentData!L94))))</f>
        <v>45365</v>
      </c>
      <c r="N94" s="2">
        <f t="shared" si="6"/>
        <v>4</v>
      </c>
      <c r="O94" s="2">
        <f t="shared" si="7"/>
        <v>0</v>
      </c>
      <c r="P94" s="2" t="str">
        <f t="shared" si="8"/>
        <v>On Time</v>
      </c>
      <c r="Q94" s="2" t="str">
        <f>PROPER(SUBSTITUTE(TRIM([1]RawShipmentData!M94)," ","-"))</f>
        <v>Delivered</v>
      </c>
      <c r="R94" s="4">
        <f t="shared" si="9"/>
        <v>21.16504854368932</v>
      </c>
      <c r="S94" s="2">
        <f>[1]RawShipmentData!N94</f>
        <v>5</v>
      </c>
      <c r="T94" s="2" t="str">
        <f>IF(OR(UPPER(TRIM([1]RawShipmentData!O94))="YES",UPPER(TRIM([1]RawShipmentData!O94))="Y"),"Yes","No")</f>
        <v>Yes</v>
      </c>
    </row>
    <row r="95" spans="1:20" x14ac:dyDescent="0.25">
      <c r="A95" s="2" t="str">
        <f>[1]RawShipmentData!A95</f>
        <v>SHP-100625</v>
      </c>
      <c r="B95" s="3">
        <f>IF(ISNUMBER(SEARCH("/",TRIM([1]RawShipmentData!B95))),DATE(VALUE(RIGHT(TRIM([1]RawShipmentData!B95),4)),VALUE(MID(TRIM([1]RawShipmentData!B95),FIND("/",TRIM([1]RawShipmentData!B95))+1,2)),VALUE(LEFT(TRIM([1]RawShipmentData!B95),FIND("/",TRIM([1]RawShipmentData!B95))-1))),DATEVALUE(TRIM([1]RawShipmentData!B95)))</f>
        <v>45422</v>
      </c>
      <c r="C95" s="2" t="str">
        <f>PROPER(TRIM([1]RawShipmentData!C95))</f>
        <v>Mumbai</v>
      </c>
      <c r="D95" s="2" t="str">
        <f>IFERROR(INDEX([1]HubMaster!$B$2:$B$7,MATCH(C95,[1]HubMaster!$A$2:$A$7,0)),"Unknown")</f>
        <v>West</v>
      </c>
      <c r="E95" s="2" t="str">
        <f>PROPER(TRIM(SUBSTITUTE([1]RawShipmentData!D95,"  "," ")))</f>
        <v>Dtdc</v>
      </c>
      <c r="F95" s="2" t="str">
        <f>PROPER(TRIM([1]RawShipmentData!E95))</f>
        <v>Road</v>
      </c>
      <c r="G95" s="2" t="str">
        <f>PROPER(TRIM(SUBSTITUTE([1]RawShipmentData!F95,"  "," ")))</f>
        <v>Pharma</v>
      </c>
      <c r="H95" s="2" t="str">
        <f>PROPER(TRIM([1]RawShipmentData!G95))</f>
        <v>East</v>
      </c>
      <c r="I95" s="2" t="str">
        <f t="shared" si="5"/>
        <v>Yes</v>
      </c>
      <c r="J95" s="2">
        <f>IFERROR(VALUE(TRIM(SUBSTITUTE(UPPER([1]RawShipmentData!I95),"KG",""))),"")</f>
        <v>4.5</v>
      </c>
      <c r="K95" s="2">
        <f>VALUE(SUBSTITUTE(SUBSTITUTE(SUBSTITUTE(TRIM([1]RawShipmentData!J95),"₹",""),"Rs",""),",",""))</f>
        <v>266</v>
      </c>
      <c r="L95" s="2">
        <f>[1]RawShipmentData!K95</f>
        <v>8</v>
      </c>
      <c r="M95" s="3">
        <f>IF(TRIM([1]RawShipmentData!L95)="","",IF(ISNUMBER(SEARCH("/",TRIM([1]RawShipmentData!L95))),DATE(VALUE(RIGHT(TRIM([1]RawShipmentData!L95),4)),VALUE(MID(TRIM([1]RawShipmentData!L95),FIND("/",TRIM([1]RawShipmentData!L95))+1,2)),VALUE(LEFT(TRIM([1]RawShipmentData!L95),FIND("/",TRIM([1]RawShipmentData!L95))-1))),DATEVALUE(TRIM([1]RawShipmentData!L95))))</f>
        <v>45431</v>
      </c>
      <c r="N95" s="2">
        <f t="shared" si="6"/>
        <v>9</v>
      </c>
      <c r="O95" s="2">
        <f t="shared" si="7"/>
        <v>1</v>
      </c>
      <c r="P95" s="2" t="str">
        <f t="shared" si="8"/>
        <v>Late</v>
      </c>
      <c r="Q95" s="2" t="str">
        <f>PROPER(SUBSTITUTE(TRIM([1]RawShipmentData!M95)," ","-"))</f>
        <v>Delayed</v>
      </c>
      <c r="R95" s="4">
        <f t="shared" si="9"/>
        <v>59.111111111111114</v>
      </c>
      <c r="S95" s="2">
        <f>[1]RawShipmentData!N95</f>
        <v>1</v>
      </c>
      <c r="T95" s="2" t="str">
        <f>IF(OR(UPPER(TRIM([1]RawShipmentData!O95))="YES",UPPER(TRIM([1]RawShipmentData!O95))="Y"),"Yes","No")</f>
        <v>No</v>
      </c>
    </row>
    <row r="96" spans="1:20" x14ac:dyDescent="0.25">
      <c r="A96" s="2" t="str">
        <f>[1]RawShipmentData!A96</f>
        <v>SHP-101320</v>
      </c>
      <c r="B96" s="3">
        <f>IF(ISNUMBER(SEARCH("/",TRIM([1]RawShipmentData!B96))),DATE(VALUE(RIGHT(TRIM([1]RawShipmentData!B96),4)),VALUE(MID(TRIM([1]RawShipmentData!B96),FIND("/",TRIM([1]RawShipmentData!B96))+1,2)),VALUE(LEFT(TRIM([1]RawShipmentData!B96),FIND("/",TRIM([1]RawShipmentData!B96))-1))),DATEVALUE(TRIM([1]RawShipmentData!B96)))</f>
        <v>45333</v>
      </c>
      <c r="C96" s="2" t="str">
        <f>PROPER(TRIM([1]RawShipmentData!C96))</f>
        <v>Hyderabad</v>
      </c>
      <c r="D96" s="2" t="str">
        <f>IFERROR(INDEX([1]HubMaster!$B$2:$B$7,MATCH(C96,[1]HubMaster!$A$2:$A$7,0)),"Unknown")</f>
        <v>West</v>
      </c>
      <c r="E96" s="2" t="str">
        <f>PROPER(TRIM(SUBSTITUTE([1]RawShipmentData!D96,"  "," ")))</f>
        <v>Blue Dart</v>
      </c>
      <c r="F96" s="2" t="str">
        <f>PROPER(TRIM([1]RawShipmentData!E96))</f>
        <v>Road</v>
      </c>
      <c r="G96" s="2" t="str">
        <f>PROPER(TRIM(SUBSTITUTE([1]RawShipmentData!F96,"  "," ")))</f>
        <v>Automotive Parts</v>
      </c>
      <c r="H96" s="2" t="str">
        <f>PROPER(TRIM([1]RawShipmentData!G96))</f>
        <v>East</v>
      </c>
      <c r="I96" s="2" t="str">
        <f t="shared" si="5"/>
        <v>Yes</v>
      </c>
      <c r="J96" s="2">
        <f>IFERROR(VALUE(TRIM(SUBSTITUTE(UPPER([1]RawShipmentData!I96),"KG",""))),"")</f>
        <v>33.1</v>
      </c>
      <c r="K96" s="2">
        <f>VALUE(SUBSTITUTE(SUBSTITUTE(SUBSTITUTE(TRIM([1]RawShipmentData!J96),"₹",""),"Rs",""),",",""))</f>
        <v>598</v>
      </c>
      <c r="L96" s="2">
        <f>[1]RawShipmentData!K96</f>
        <v>8</v>
      </c>
      <c r="M96" s="3">
        <f>IF(TRIM([1]RawShipmentData!L96)="","",IF(ISNUMBER(SEARCH("/",TRIM([1]RawShipmentData!L96))),DATE(VALUE(RIGHT(TRIM([1]RawShipmentData!L96),4)),VALUE(MID(TRIM([1]RawShipmentData!L96),FIND("/",TRIM([1]RawShipmentData!L96))+1,2)),VALUE(LEFT(TRIM([1]RawShipmentData!L96),FIND("/",TRIM([1]RawShipmentData!L96))-1))),DATEVALUE(TRIM([1]RawShipmentData!L96))))</f>
        <v>45341</v>
      </c>
      <c r="N96" s="2">
        <f t="shared" si="6"/>
        <v>8</v>
      </c>
      <c r="O96" s="2">
        <f t="shared" si="7"/>
        <v>0</v>
      </c>
      <c r="P96" s="2" t="str">
        <f t="shared" si="8"/>
        <v>On Time</v>
      </c>
      <c r="Q96" s="2" t="str">
        <f>PROPER(SUBSTITUTE(TRIM([1]RawShipmentData!M96)," ","-"))</f>
        <v>Delivered</v>
      </c>
      <c r="R96" s="4">
        <f t="shared" si="9"/>
        <v>18.066465256797581</v>
      </c>
      <c r="S96" s="2">
        <f>[1]RawShipmentData!N96</f>
        <v>5</v>
      </c>
      <c r="T96" s="2" t="str">
        <f>IF(OR(UPPER(TRIM([1]RawShipmentData!O96))="YES",UPPER(TRIM([1]RawShipmentData!O96))="Y"),"Yes","No")</f>
        <v>No</v>
      </c>
    </row>
    <row r="97" spans="1:20" x14ac:dyDescent="0.25">
      <c r="A97" s="2" t="str">
        <f>[1]RawShipmentData!A97</f>
        <v>SHP-101156</v>
      </c>
      <c r="B97" s="3">
        <f>IF(ISNUMBER(SEARCH("/",TRIM([1]RawShipmentData!B97))),DATE(VALUE(RIGHT(TRIM([1]RawShipmentData!B97),4)),VALUE(MID(TRIM([1]RawShipmentData!B97),FIND("/",TRIM([1]RawShipmentData!B97))+1,2)),VALUE(LEFT(TRIM([1]RawShipmentData!B97),FIND("/",TRIM([1]RawShipmentData!B97))-1))),DATEVALUE(TRIM([1]RawShipmentData!B97)))</f>
        <v>45314</v>
      </c>
      <c r="C97" s="2" t="str">
        <f>PROPER(TRIM([1]RawShipmentData!C97))</f>
        <v>Delhi</v>
      </c>
      <c r="D97" s="2" t="str">
        <f>IFERROR(INDEX([1]HubMaster!$B$2:$B$7,MATCH(C97,[1]HubMaster!$A$2:$A$7,0)),"Unknown")</f>
        <v>North</v>
      </c>
      <c r="E97" s="2" t="str">
        <f>PROPER(TRIM(SUBSTITUTE([1]RawShipmentData!D97,"  "," ")))</f>
        <v>Dtdc</v>
      </c>
      <c r="F97" s="2" t="str">
        <f>PROPER(TRIM([1]RawShipmentData!E97))</f>
        <v>Surface</v>
      </c>
      <c r="G97" s="2" t="str">
        <f>PROPER(TRIM(SUBSTITUTE([1]RawShipmentData!F97,"  "," ")))</f>
        <v>Furniture</v>
      </c>
      <c r="H97" s="2" t="str">
        <f>PROPER(TRIM([1]RawShipmentData!G97))</f>
        <v>East</v>
      </c>
      <c r="I97" s="2" t="str">
        <f t="shared" si="5"/>
        <v>Yes</v>
      </c>
      <c r="J97" s="2">
        <f>IFERROR(VALUE(TRIM(SUBSTITUTE(UPPER([1]RawShipmentData!I97),"KG",""))),"")</f>
        <v>76.599999999999994</v>
      </c>
      <c r="K97" s="2">
        <f>VALUE(SUBSTITUTE(SUBSTITUTE(SUBSTITUTE(TRIM([1]RawShipmentData!J97),"₹",""),"Rs",""),",",""))</f>
        <v>1820</v>
      </c>
      <c r="L97" s="2">
        <f>[1]RawShipmentData!K97</f>
        <v>6</v>
      </c>
      <c r="M97" s="3">
        <f>IF(TRIM([1]RawShipmentData!L97)="","",IF(ISNUMBER(SEARCH("/",TRIM([1]RawShipmentData!L97))),DATE(VALUE(RIGHT(TRIM([1]RawShipmentData!L97),4)),VALUE(MID(TRIM([1]RawShipmentData!L97),FIND("/",TRIM([1]RawShipmentData!L97))+1,2)),VALUE(LEFT(TRIM([1]RawShipmentData!L97),FIND("/",TRIM([1]RawShipmentData!L97))-1))),DATEVALUE(TRIM([1]RawShipmentData!L97))))</f>
        <v>45320</v>
      </c>
      <c r="N97" s="2">
        <f t="shared" si="6"/>
        <v>6</v>
      </c>
      <c r="O97" s="2">
        <f t="shared" si="7"/>
        <v>0</v>
      </c>
      <c r="P97" s="2" t="str">
        <f t="shared" si="8"/>
        <v>On Time</v>
      </c>
      <c r="Q97" s="2" t="str">
        <f>PROPER(SUBSTITUTE(TRIM([1]RawShipmentData!M97)," ","-"))</f>
        <v>Delivered</v>
      </c>
      <c r="R97" s="4">
        <f t="shared" si="9"/>
        <v>23.759791122715406</v>
      </c>
      <c r="S97" s="2">
        <f>[1]RawShipmentData!N97</f>
        <v>3</v>
      </c>
      <c r="T97" s="2" t="str">
        <f>IF(OR(UPPER(TRIM([1]RawShipmentData!O97))="YES",UPPER(TRIM([1]RawShipmentData!O97))="Y"),"Yes","No")</f>
        <v>Yes</v>
      </c>
    </row>
    <row r="98" spans="1:20" x14ac:dyDescent="0.25">
      <c r="A98" s="2" t="str">
        <f>[1]RawShipmentData!A98</f>
        <v>SHP-100296</v>
      </c>
      <c r="B98" s="3">
        <f>IF(ISNUMBER(SEARCH("/",TRIM([1]RawShipmentData!B98))),DATE(VALUE(RIGHT(TRIM([1]RawShipmentData!B98),4)),VALUE(MID(TRIM([1]RawShipmentData!B98),FIND("/",TRIM([1]RawShipmentData!B98))+1,2)),VALUE(LEFT(TRIM([1]RawShipmentData!B98),FIND("/",TRIM([1]RawShipmentData!B98))-1))),DATEVALUE(TRIM([1]RawShipmentData!B98)))</f>
        <v>45376</v>
      </c>
      <c r="C98" s="2" t="str">
        <f>PROPER(TRIM([1]RawShipmentData!C98))</f>
        <v>Mumbai</v>
      </c>
      <c r="D98" s="2" t="str">
        <f>IFERROR(INDEX([1]HubMaster!$B$2:$B$7,MATCH(C98,[1]HubMaster!$A$2:$A$7,0)),"Unknown")</f>
        <v>West</v>
      </c>
      <c r="E98" s="2" t="str">
        <f>PROPER(TRIM(SUBSTITUTE([1]RawShipmentData!D98,"  "," ")))</f>
        <v>Bluedart</v>
      </c>
      <c r="F98" s="2" t="str">
        <f>PROPER(TRIM([1]RawShipmentData!E98))</f>
        <v>Road</v>
      </c>
      <c r="G98" s="2" t="str">
        <f>PROPER(TRIM(SUBSTITUTE([1]RawShipmentData!F98,"  "," ")))</f>
        <v>Apparel</v>
      </c>
      <c r="H98" s="2" t="str">
        <f>PROPER(TRIM([1]RawShipmentData!G98))</f>
        <v>North</v>
      </c>
      <c r="I98" s="2" t="str">
        <f t="shared" si="5"/>
        <v>Yes</v>
      </c>
      <c r="J98" s="2">
        <f>IFERROR(VALUE(TRIM(SUBSTITUTE(UPPER([1]RawShipmentData!I98),"KG",""))),"")</f>
        <v>1.8</v>
      </c>
      <c r="K98" s="2">
        <f>VALUE(SUBSTITUTE(SUBSTITUTE(SUBSTITUTE(TRIM([1]RawShipmentData!J98),"₹",""),"Rs",""),",",""))</f>
        <v>177</v>
      </c>
      <c r="L98" s="2">
        <f>[1]RawShipmentData!K98</f>
        <v>8</v>
      </c>
      <c r="M98" s="3">
        <f>IF(TRIM([1]RawShipmentData!L98)="","",IF(ISNUMBER(SEARCH("/",TRIM([1]RawShipmentData!L98))),DATE(VALUE(RIGHT(TRIM([1]RawShipmentData!L98),4)),VALUE(MID(TRIM([1]RawShipmentData!L98),FIND("/",TRIM([1]RawShipmentData!L98))+1,2)),VALUE(LEFT(TRIM([1]RawShipmentData!L98),FIND("/",TRIM([1]RawShipmentData!L98))-1))),DATEVALUE(TRIM([1]RawShipmentData!L98))))</f>
        <v>45383</v>
      </c>
      <c r="N98" s="2">
        <f t="shared" si="6"/>
        <v>7</v>
      </c>
      <c r="O98" s="2">
        <f t="shared" si="7"/>
        <v>-1</v>
      </c>
      <c r="P98" s="2" t="str">
        <f t="shared" si="8"/>
        <v>On Time</v>
      </c>
      <c r="Q98" s="2" t="str">
        <f>PROPER(SUBSTITUTE(TRIM([1]RawShipmentData!M98)," ","-"))</f>
        <v>Delivered</v>
      </c>
      <c r="R98" s="4">
        <f t="shared" si="9"/>
        <v>98.333333333333329</v>
      </c>
      <c r="S98" s="2">
        <f>[1]RawShipmentData!N98</f>
        <v>5</v>
      </c>
      <c r="T98" s="2" t="str">
        <f>IF(OR(UPPER(TRIM([1]RawShipmentData!O98))="YES",UPPER(TRIM([1]RawShipmentData!O98))="Y"),"Yes","No")</f>
        <v>No</v>
      </c>
    </row>
    <row r="99" spans="1:20" x14ac:dyDescent="0.25">
      <c r="A99" s="2" t="str">
        <f>[1]RawShipmentData!A99</f>
        <v>SHP-100240</v>
      </c>
      <c r="B99" s="3">
        <f>IF(ISNUMBER(SEARCH("/",TRIM([1]RawShipmentData!B99))),DATE(VALUE(RIGHT(TRIM([1]RawShipmentData!B99),4)),VALUE(MID(TRIM([1]RawShipmentData!B99),FIND("/",TRIM([1]RawShipmentData!B99))+1,2)),VALUE(LEFT(TRIM([1]RawShipmentData!B99),FIND("/",TRIM([1]RawShipmentData!B99))-1))),DATEVALUE(TRIM([1]RawShipmentData!B99)))</f>
        <v>45318</v>
      </c>
      <c r="C99" s="2" t="str">
        <f>PROPER(TRIM([1]RawShipmentData!C99))</f>
        <v>Kolkata</v>
      </c>
      <c r="D99" s="2" t="str">
        <f>IFERROR(INDEX([1]HubMaster!$B$2:$B$7,MATCH(C99,[1]HubMaster!$A$2:$A$7,0)),"Unknown")</f>
        <v>East</v>
      </c>
      <c r="E99" s="2" t="str">
        <f>PROPER(TRIM(SUBSTITUTE([1]RawShipmentData!D99,"  "," ")))</f>
        <v>Xpressbees</v>
      </c>
      <c r="F99" s="2" t="str">
        <f>PROPER(TRIM([1]RawShipmentData!E99))</f>
        <v>Road</v>
      </c>
      <c r="G99" s="2" t="str">
        <f>PROPER(TRIM(SUBSTITUTE([1]RawShipmentData!F99,"  "," ")))</f>
        <v>Electronics</v>
      </c>
      <c r="H99" s="2" t="str">
        <f>PROPER(TRIM([1]RawShipmentData!G99))</f>
        <v>North</v>
      </c>
      <c r="I99" s="2" t="str">
        <f t="shared" si="5"/>
        <v>Yes</v>
      </c>
      <c r="J99" s="2">
        <f>IFERROR(VALUE(TRIM(SUBSTITUTE(UPPER([1]RawShipmentData!I99),"KG",""))),"")</f>
        <v>7</v>
      </c>
      <c r="K99" s="2">
        <f>VALUE(SUBSTITUTE(SUBSTITUTE(SUBSTITUTE(TRIM([1]RawShipmentData!J99),"₹",""),"Rs",""),",",""))</f>
        <v>246</v>
      </c>
      <c r="L99" s="2">
        <f>[1]RawShipmentData!K99</f>
        <v>8</v>
      </c>
      <c r="M99" s="3">
        <f>IF(TRIM([1]RawShipmentData!L99)="","",IF(ISNUMBER(SEARCH("/",TRIM([1]RawShipmentData!L99))),DATE(VALUE(RIGHT(TRIM([1]RawShipmentData!L99),4)),VALUE(MID(TRIM([1]RawShipmentData!L99),FIND("/",TRIM([1]RawShipmentData!L99))+1,2)),VALUE(LEFT(TRIM([1]RawShipmentData!L99),FIND("/",TRIM([1]RawShipmentData!L99))-1))),DATEVALUE(TRIM([1]RawShipmentData!L99))))</f>
        <v>45326</v>
      </c>
      <c r="N99" s="2">
        <f t="shared" si="6"/>
        <v>8</v>
      </c>
      <c r="O99" s="2">
        <f t="shared" si="7"/>
        <v>0</v>
      </c>
      <c r="P99" s="2" t="str">
        <f t="shared" si="8"/>
        <v>On Time</v>
      </c>
      <c r="Q99" s="2" t="str">
        <f>PROPER(SUBSTITUTE(TRIM([1]RawShipmentData!M99)," ","-"))</f>
        <v>Delivered</v>
      </c>
      <c r="R99" s="4">
        <f t="shared" si="9"/>
        <v>35.142857142857146</v>
      </c>
      <c r="S99" s="2">
        <f>[1]RawShipmentData!N99</f>
        <v>4</v>
      </c>
      <c r="T99" s="2" t="str">
        <f>IF(OR(UPPER(TRIM([1]RawShipmentData!O99))="YES",UPPER(TRIM([1]RawShipmentData!O99))="Y"),"Yes","No")</f>
        <v>Yes</v>
      </c>
    </row>
    <row r="100" spans="1:20" x14ac:dyDescent="0.25">
      <c r="A100" s="2" t="str">
        <f>[1]RawShipmentData!A100</f>
        <v>SHP-100797</v>
      </c>
      <c r="B100" s="3">
        <f>IF(ISNUMBER(SEARCH("/",TRIM([1]RawShipmentData!B100))),DATE(VALUE(RIGHT(TRIM([1]RawShipmentData!B100),4)),VALUE(MID(TRIM([1]RawShipmentData!B100),FIND("/",TRIM([1]RawShipmentData!B100))+1,2)),VALUE(LEFT(TRIM([1]RawShipmentData!B100),FIND("/",TRIM([1]RawShipmentData!B100))-1))),DATEVALUE(TRIM([1]RawShipmentData!B100)))</f>
        <v>45430</v>
      </c>
      <c r="C100" s="2" t="str">
        <f>PROPER(TRIM([1]RawShipmentData!C100))</f>
        <v>Kolkata</v>
      </c>
      <c r="D100" s="2" t="str">
        <f>IFERROR(INDEX([1]HubMaster!$B$2:$B$7,MATCH(C100,[1]HubMaster!$A$2:$A$7,0)),"Unknown")</f>
        <v>East</v>
      </c>
      <c r="E100" s="2" t="str">
        <f>PROPER(TRIM(SUBSTITUTE([1]RawShipmentData!D100,"  "," ")))</f>
        <v>Bluedart</v>
      </c>
      <c r="F100" s="2" t="str">
        <f>PROPER(TRIM([1]RawShipmentData!E100))</f>
        <v>Surface</v>
      </c>
      <c r="G100" s="2" t="str">
        <f>PROPER(TRIM(SUBSTITUTE([1]RawShipmentData!F100,"  "," ")))</f>
        <v>Pharma</v>
      </c>
      <c r="H100" s="2" t="str">
        <f>PROPER(TRIM([1]RawShipmentData!G100))</f>
        <v>East</v>
      </c>
      <c r="I100" s="2" t="str">
        <f t="shared" si="5"/>
        <v>No</v>
      </c>
      <c r="J100" s="2">
        <f>IFERROR(VALUE(TRIM(SUBSTITUTE(UPPER([1]RawShipmentData!I100),"KG",""))),"")</f>
        <v>1.8</v>
      </c>
      <c r="K100" s="2">
        <f>VALUE(SUBSTITUTE(SUBSTITUTE(SUBSTITUTE(TRIM([1]RawShipmentData!J100),"₹",""),"Rs",""),",",""))</f>
        <v>86</v>
      </c>
      <c r="L100" s="2">
        <f>[1]RawShipmentData!K100</f>
        <v>4</v>
      </c>
      <c r="M100" s="3">
        <f>IF(TRIM([1]RawShipmentData!L100)="","",IF(ISNUMBER(SEARCH("/",TRIM([1]RawShipmentData!L100))),DATE(VALUE(RIGHT(TRIM([1]RawShipmentData!L100),4)),VALUE(MID(TRIM([1]RawShipmentData!L100),FIND("/",TRIM([1]RawShipmentData!L100))+1,2)),VALUE(LEFT(TRIM([1]RawShipmentData!L100),FIND("/",TRIM([1]RawShipmentData!L100))-1))),DATEVALUE(TRIM([1]RawShipmentData!L100))))</f>
        <v>45435</v>
      </c>
      <c r="N100" s="2">
        <f t="shared" si="6"/>
        <v>5</v>
      </c>
      <c r="O100" s="2">
        <f t="shared" si="7"/>
        <v>1</v>
      </c>
      <c r="P100" s="2" t="str">
        <f t="shared" si="8"/>
        <v>Late</v>
      </c>
      <c r="Q100" s="2" t="str">
        <f>PROPER(SUBSTITUTE(TRIM([1]RawShipmentData!M100)," ","-"))</f>
        <v>Delayed</v>
      </c>
      <c r="R100" s="4">
        <f t="shared" si="9"/>
        <v>47.777777777777779</v>
      </c>
      <c r="S100" s="2">
        <f>[1]RawShipmentData!N100</f>
        <v>2</v>
      </c>
      <c r="T100" s="2" t="str">
        <f>IF(OR(UPPER(TRIM([1]RawShipmentData!O100))="YES",UPPER(TRIM([1]RawShipmentData!O100))="Y"),"Yes","No")</f>
        <v>Yes</v>
      </c>
    </row>
    <row r="101" spans="1:20" x14ac:dyDescent="0.25">
      <c r="A101" s="2" t="str">
        <f>[1]RawShipmentData!A101</f>
        <v>SHP-101385</v>
      </c>
      <c r="B101" s="3">
        <f>IF(ISNUMBER(SEARCH("/",TRIM([1]RawShipmentData!B101))),DATE(VALUE(RIGHT(TRIM([1]RawShipmentData!B101),4)),VALUE(MID(TRIM([1]RawShipmentData!B101),FIND("/",TRIM([1]RawShipmentData!B101))+1,2)),VALUE(LEFT(TRIM([1]RawShipmentData!B101),FIND("/",TRIM([1]RawShipmentData!B101))-1))),DATEVALUE(TRIM([1]RawShipmentData!B101)))</f>
        <v>45377</v>
      </c>
      <c r="C101" s="2" t="str">
        <f>PROPER(TRIM([1]RawShipmentData!C101))</f>
        <v>Kolkata</v>
      </c>
      <c r="D101" s="2" t="str">
        <f>IFERROR(INDEX([1]HubMaster!$B$2:$B$7,MATCH(C101,[1]HubMaster!$A$2:$A$7,0)),"Unknown")</f>
        <v>East</v>
      </c>
      <c r="E101" s="2" t="str">
        <f>PROPER(TRIM(SUBSTITUTE([1]RawShipmentData!D101,"  "," ")))</f>
        <v>Dtdc</v>
      </c>
      <c r="F101" s="2" t="str">
        <f>PROPER(TRIM([1]RawShipmentData!E101))</f>
        <v>Air</v>
      </c>
      <c r="G101" s="2" t="str">
        <f>PROPER(TRIM(SUBSTITUTE([1]RawShipmentData!F101,"  "," ")))</f>
        <v>Pharma</v>
      </c>
      <c r="H101" s="2" t="str">
        <f>PROPER(TRIM([1]RawShipmentData!G101))</f>
        <v>East</v>
      </c>
      <c r="I101" s="2" t="str">
        <f t="shared" si="5"/>
        <v>No</v>
      </c>
      <c r="J101" s="2">
        <f>IFERROR(VALUE(TRIM(SUBSTITUTE(UPPER([1]RawShipmentData!I101),"KG",""))),"")</f>
        <v>5</v>
      </c>
      <c r="K101" s="2">
        <f>VALUE(SUBSTITUTE(SUBSTITUTE(SUBSTITUTE(TRIM([1]RawShipmentData!J101),"₹",""),"Rs",""),",",""))</f>
        <v>254</v>
      </c>
      <c r="L101" s="2">
        <f>[1]RawShipmentData!K101</f>
        <v>2</v>
      </c>
      <c r="M101" s="3">
        <f>IF(TRIM([1]RawShipmentData!L101)="","",IF(ISNUMBER(SEARCH("/",TRIM([1]RawShipmentData!L101))),DATE(VALUE(RIGHT(TRIM([1]RawShipmentData!L101),4)),VALUE(MID(TRIM([1]RawShipmentData!L101),FIND("/",TRIM([1]RawShipmentData!L101))+1,2)),VALUE(LEFT(TRIM([1]RawShipmentData!L101),FIND("/",TRIM([1]RawShipmentData!L101))-1))),DATEVALUE(TRIM([1]RawShipmentData!L101))))</f>
        <v>45379</v>
      </c>
      <c r="N101" s="2">
        <f t="shared" si="6"/>
        <v>2</v>
      </c>
      <c r="O101" s="2">
        <f t="shared" si="7"/>
        <v>0</v>
      </c>
      <c r="P101" s="2" t="str">
        <f t="shared" si="8"/>
        <v>On Time</v>
      </c>
      <c r="Q101" s="2" t="str">
        <f>PROPER(SUBSTITUTE(TRIM([1]RawShipmentData!M101)," ","-"))</f>
        <v>Delivered</v>
      </c>
      <c r="R101" s="4">
        <f t="shared" si="9"/>
        <v>50.8</v>
      </c>
      <c r="S101" s="2">
        <f>[1]RawShipmentData!N101</f>
        <v>5</v>
      </c>
      <c r="T101" s="2" t="str">
        <f>IF(OR(UPPER(TRIM([1]RawShipmentData!O101))="YES",UPPER(TRIM([1]RawShipmentData!O101))="Y"),"Yes","No")</f>
        <v>No</v>
      </c>
    </row>
    <row r="102" spans="1:20" x14ac:dyDescent="0.25">
      <c r="A102" s="2" t="str">
        <f>[1]RawShipmentData!A102</f>
        <v>SHP-100299</v>
      </c>
      <c r="B102" s="3">
        <f>IF(ISNUMBER(SEARCH("/",TRIM([1]RawShipmentData!B102))),DATE(VALUE(RIGHT(TRIM([1]RawShipmentData!B102),4)),VALUE(MID(TRIM([1]RawShipmentData!B102),FIND("/",TRIM([1]RawShipmentData!B102))+1,2)),VALUE(LEFT(TRIM([1]RawShipmentData!B102),FIND("/",TRIM([1]RawShipmentData!B102))-1))),DATEVALUE(TRIM([1]RawShipmentData!B102)))</f>
        <v>45384</v>
      </c>
      <c r="C102" s="2" t="str">
        <f>PROPER(TRIM([1]RawShipmentData!C102))</f>
        <v>Hyderabad</v>
      </c>
      <c r="D102" s="2" t="str">
        <f>IFERROR(INDEX([1]HubMaster!$B$2:$B$7,MATCH(C102,[1]HubMaster!$A$2:$A$7,0)),"Unknown")</f>
        <v>West</v>
      </c>
      <c r="E102" s="2" t="str">
        <f>PROPER(TRIM(SUBSTITUTE([1]RawShipmentData!D102,"  "," ")))</f>
        <v>Ecom Express</v>
      </c>
      <c r="F102" s="2" t="str">
        <f>PROPER(TRIM([1]RawShipmentData!E102))</f>
        <v>Road</v>
      </c>
      <c r="G102" s="2" t="str">
        <f>PROPER(TRIM(SUBSTITUTE([1]RawShipmentData!F102,"  "," ")))</f>
        <v>Pharma</v>
      </c>
      <c r="H102" s="2" t="str">
        <f>PROPER(TRIM([1]RawShipmentData!G102))</f>
        <v>East</v>
      </c>
      <c r="I102" s="2" t="str">
        <f t="shared" si="5"/>
        <v>Yes</v>
      </c>
      <c r="J102" s="2">
        <f>IFERROR(VALUE(TRIM(SUBSTITUTE(UPPER([1]RawShipmentData!I102),"KG",""))),"")</f>
        <v>0.7</v>
      </c>
      <c r="K102" s="2">
        <f>VALUE(SUBSTITUTE(SUBSTITUTE(SUBSTITUTE(TRIM([1]RawShipmentData!J102),"₹",""),"Rs",""),",",""))</f>
        <v>210</v>
      </c>
      <c r="L102" s="2">
        <f>[1]RawShipmentData!K102</f>
        <v>8</v>
      </c>
      <c r="M102" s="3">
        <f>IF(TRIM([1]RawShipmentData!L102)="","",IF(ISNUMBER(SEARCH("/",TRIM([1]RawShipmentData!L102))),DATE(VALUE(RIGHT(TRIM([1]RawShipmentData!L102),4)),VALUE(MID(TRIM([1]RawShipmentData!L102),FIND("/",TRIM([1]RawShipmentData!L102))+1,2)),VALUE(LEFT(TRIM([1]RawShipmentData!L102),FIND("/",TRIM([1]RawShipmentData!L102))-1))),DATEVALUE(TRIM([1]RawShipmentData!L102))))</f>
        <v>45391</v>
      </c>
      <c r="N102" s="2">
        <f t="shared" si="6"/>
        <v>7</v>
      </c>
      <c r="O102" s="2">
        <f t="shared" si="7"/>
        <v>-1</v>
      </c>
      <c r="P102" s="2" t="str">
        <f t="shared" si="8"/>
        <v>On Time</v>
      </c>
      <c r="Q102" s="2" t="str">
        <f>PROPER(SUBSTITUTE(TRIM([1]RawShipmentData!M102)," ","-"))</f>
        <v>Delivered</v>
      </c>
      <c r="R102" s="4">
        <f t="shared" si="9"/>
        <v>300</v>
      </c>
      <c r="S102" s="2">
        <f>[1]RawShipmentData!N102</f>
        <v>5</v>
      </c>
      <c r="T102" s="2" t="str">
        <f>IF(OR(UPPER(TRIM([1]RawShipmentData!O102))="YES",UPPER(TRIM([1]RawShipmentData!O102))="Y"),"Yes","No")</f>
        <v>No</v>
      </c>
    </row>
    <row r="103" spans="1:20" x14ac:dyDescent="0.25">
      <c r="A103" s="2" t="str">
        <f>[1]RawShipmentData!A103</f>
        <v>SHP-100126</v>
      </c>
      <c r="B103" s="3">
        <f>IF(ISNUMBER(SEARCH("/",TRIM([1]RawShipmentData!B103))),DATE(VALUE(RIGHT(TRIM([1]RawShipmentData!B103),4)),VALUE(MID(TRIM([1]RawShipmentData!B103),FIND("/",TRIM([1]RawShipmentData!B103))+1,2)),VALUE(LEFT(TRIM([1]RawShipmentData!B103),FIND("/",TRIM([1]RawShipmentData!B103))-1))),DATEVALUE(TRIM([1]RawShipmentData!B103)))</f>
        <v>45444</v>
      </c>
      <c r="C103" s="2" t="str">
        <f>PROPER(TRIM([1]RawShipmentData!C103))</f>
        <v>Kolkata</v>
      </c>
      <c r="D103" s="2" t="str">
        <f>IFERROR(INDEX([1]HubMaster!$B$2:$B$7,MATCH(C103,[1]HubMaster!$A$2:$A$7,0)),"Unknown")</f>
        <v>East</v>
      </c>
      <c r="E103" s="2" t="str">
        <f>PROPER(TRIM(SUBSTITUTE([1]RawShipmentData!D103,"  "," ")))</f>
        <v>Dtdc</v>
      </c>
      <c r="F103" s="2" t="str">
        <f>PROPER(TRIM([1]RawShipmentData!E103))</f>
        <v>Road</v>
      </c>
      <c r="G103" s="2" t="str">
        <f>PROPER(TRIM(SUBSTITUTE([1]RawShipmentData!F103,"  "," ")))</f>
        <v>Automotive Parts</v>
      </c>
      <c r="H103" s="2" t="str">
        <f>PROPER(TRIM([1]RawShipmentData!G103))</f>
        <v>South</v>
      </c>
      <c r="I103" s="2" t="str">
        <f t="shared" si="5"/>
        <v>Yes</v>
      </c>
      <c r="J103" s="2">
        <f>IFERROR(VALUE(TRIM(SUBSTITUTE(UPPER([1]RawShipmentData!I103),"KG",""))),"")</f>
        <v>19.5</v>
      </c>
      <c r="K103" s="2">
        <f>VALUE(SUBSTITUTE(SUBSTITUTE(SUBSTITUTE(TRIM([1]RawShipmentData!J103),"₹",""),"Rs",""),",",""))</f>
        <v>472</v>
      </c>
      <c r="L103" s="2">
        <f>[1]RawShipmentData!K103</f>
        <v>8</v>
      </c>
      <c r="M103" s="3">
        <f>IF(TRIM([1]RawShipmentData!L103)="","",IF(ISNUMBER(SEARCH("/",TRIM([1]RawShipmentData!L103))),DATE(VALUE(RIGHT(TRIM([1]RawShipmentData!L103),4)),VALUE(MID(TRIM([1]RawShipmentData!L103),FIND("/",TRIM([1]RawShipmentData!L103))+1,2)),VALUE(LEFT(TRIM([1]RawShipmentData!L103),FIND("/",TRIM([1]RawShipmentData!L103))-1))),DATEVALUE(TRIM([1]RawShipmentData!L103))))</f>
        <v>45453</v>
      </c>
      <c r="N103" s="2">
        <f t="shared" si="6"/>
        <v>9</v>
      </c>
      <c r="O103" s="2">
        <f t="shared" si="7"/>
        <v>1</v>
      </c>
      <c r="P103" s="2" t="str">
        <f t="shared" si="8"/>
        <v>Late</v>
      </c>
      <c r="Q103" s="2" t="str">
        <f>PROPER(SUBSTITUTE(TRIM([1]RawShipmentData!M103)," ","-"))</f>
        <v>Delayed</v>
      </c>
      <c r="R103" s="4">
        <f t="shared" si="9"/>
        <v>24.205128205128204</v>
      </c>
      <c r="S103" s="2">
        <f>[1]RawShipmentData!N103</f>
        <v>2</v>
      </c>
      <c r="T103" s="2" t="str">
        <f>IF(OR(UPPER(TRIM([1]RawShipmentData!O103))="YES",UPPER(TRIM([1]RawShipmentData!O103))="Y"),"Yes","No")</f>
        <v>Yes</v>
      </c>
    </row>
    <row r="104" spans="1:20" x14ac:dyDescent="0.25">
      <c r="A104" s="2" t="str">
        <f>[1]RawShipmentData!A104</f>
        <v>SHP-100330</v>
      </c>
      <c r="B104" s="3">
        <f>IF(ISNUMBER(SEARCH("/",TRIM([1]RawShipmentData!B104))),DATE(VALUE(RIGHT(TRIM([1]RawShipmentData!B104),4)),VALUE(MID(TRIM([1]RawShipmentData!B104),FIND("/",TRIM([1]RawShipmentData!B104))+1,2)),VALUE(LEFT(TRIM([1]RawShipmentData!B104),FIND("/",TRIM([1]RawShipmentData!B104))-1))),DATEVALUE(TRIM([1]RawShipmentData!B104)))</f>
        <v>45403</v>
      </c>
      <c r="C104" s="2" t="str">
        <f>PROPER(TRIM([1]RawShipmentData!C104))</f>
        <v>Delhi</v>
      </c>
      <c r="D104" s="2" t="str">
        <f>IFERROR(INDEX([1]HubMaster!$B$2:$B$7,MATCH(C104,[1]HubMaster!$A$2:$A$7,0)),"Unknown")</f>
        <v>North</v>
      </c>
      <c r="E104" s="2" t="str">
        <f>PROPER(TRIM(SUBSTITUTE([1]RawShipmentData!D104,"  "," ")))</f>
        <v>Ecom Express</v>
      </c>
      <c r="F104" s="2" t="str">
        <f>PROPER(TRIM([1]RawShipmentData!E104))</f>
        <v>Surface</v>
      </c>
      <c r="G104" s="2" t="str">
        <f>PROPER(TRIM(SUBSTITUTE([1]RawShipmentData!F104,"  "," ")))</f>
        <v>Electronics</v>
      </c>
      <c r="H104" s="2" t="str">
        <f>PROPER(TRIM([1]RawShipmentData!G104))</f>
        <v>North</v>
      </c>
      <c r="I104" s="2" t="str">
        <f t="shared" si="5"/>
        <v>No</v>
      </c>
      <c r="J104" s="2">
        <f>IFERROR(VALUE(TRIM(SUBSTITUTE(UPPER([1]RawShipmentData!I104),"KG",""))),"")</f>
        <v>5.0999999999999996</v>
      </c>
      <c r="K104" s="2">
        <f>VALUE(SUBSTITUTE(SUBSTITUTE(SUBSTITUTE(TRIM([1]RawShipmentData!J104),"₹",""),"Rs",""),",",""))</f>
        <v>139</v>
      </c>
      <c r="L104" s="2">
        <f>[1]RawShipmentData!K104</f>
        <v>4</v>
      </c>
      <c r="M104" s="3">
        <f>IF(TRIM([1]RawShipmentData!L104)="","",IF(ISNUMBER(SEARCH("/",TRIM([1]RawShipmentData!L104))),DATE(VALUE(RIGHT(TRIM([1]RawShipmentData!L104),4)),VALUE(MID(TRIM([1]RawShipmentData!L104),FIND("/",TRIM([1]RawShipmentData!L104))+1,2)),VALUE(LEFT(TRIM([1]RawShipmentData!L104),FIND("/",TRIM([1]RawShipmentData!L104))-1))),DATEVALUE(TRIM([1]RawShipmentData!L104))))</f>
        <v>45408</v>
      </c>
      <c r="N104" s="2">
        <f t="shared" si="6"/>
        <v>5</v>
      </c>
      <c r="O104" s="2">
        <f t="shared" si="7"/>
        <v>1</v>
      </c>
      <c r="P104" s="2" t="str">
        <f t="shared" si="8"/>
        <v>Late</v>
      </c>
      <c r="Q104" s="2" t="str">
        <f>PROPER(SUBSTITUTE(TRIM([1]RawShipmentData!M104)," ","-"))</f>
        <v>Delayed</v>
      </c>
      <c r="R104" s="4">
        <f t="shared" si="9"/>
        <v>27.254901960784316</v>
      </c>
      <c r="S104" s="2">
        <f>[1]RawShipmentData!N104</f>
        <v>2</v>
      </c>
      <c r="T104" s="2" t="str">
        <f>IF(OR(UPPER(TRIM([1]RawShipmentData!O104))="YES",UPPER(TRIM([1]RawShipmentData!O104))="Y"),"Yes","No")</f>
        <v>Yes</v>
      </c>
    </row>
    <row r="105" spans="1:20" x14ac:dyDescent="0.25">
      <c r="A105" s="2" t="str">
        <f>[1]RawShipmentData!A105</f>
        <v>SHP-100628</v>
      </c>
      <c r="B105" s="3">
        <f>IF(ISNUMBER(SEARCH("/",TRIM([1]RawShipmentData!B105))),DATE(VALUE(RIGHT(TRIM([1]RawShipmentData!B105),4)),VALUE(MID(TRIM([1]RawShipmentData!B105),FIND("/",TRIM([1]RawShipmentData!B105))+1,2)),VALUE(LEFT(TRIM([1]RawShipmentData!B105),FIND("/",TRIM([1]RawShipmentData!B105))-1))),DATEVALUE(TRIM([1]RawShipmentData!B105)))</f>
        <v>45439</v>
      </c>
      <c r="C105" s="2" t="str">
        <f>PROPER(TRIM([1]RawShipmentData!C105))</f>
        <v>Mumbai</v>
      </c>
      <c r="D105" s="2" t="str">
        <f>IFERROR(INDEX([1]HubMaster!$B$2:$B$7,MATCH(C105,[1]HubMaster!$A$2:$A$7,0)),"Unknown")</f>
        <v>West</v>
      </c>
      <c r="E105" s="2" t="str">
        <f>PROPER(TRIM(SUBSTITUTE([1]RawShipmentData!D105,"  "," ")))</f>
        <v>Bluedart</v>
      </c>
      <c r="F105" s="2" t="str">
        <f>PROPER(TRIM([1]RawShipmentData!E105))</f>
        <v>Surface</v>
      </c>
      <c r="G105" s="2" t="str">
        <f>PROPER(TRIM(SUBSTITUTE([1]RawShipmentData!F105,"  "," ")))</f>
        <v>Pharma</v>
      </c>
      <c r="H105" s="2" t="str">
        <f>PROPER(TRIM([1]RawShipmentData!G105))</f>
        <v>North</v>
      </c>
      <c r="I105" s="2" t="str">
        <f t="shared" si="5"/>
        <v>Yes</v>
      </c>
      <c r="J105" s="2">
        <f>IFERROR(VALUE(TRIM(SUBSTITUTE(UPPER([1]RawShipmentData!I105),"KG",""))),"")</f>
        <v>1.1000000000000001</v>
      </c>
      <c r="K105" s="2">
        <f>VALUE(SUBSTITUTE(SUBSTITUTE(SUBSTITUTE(TRIM([1]RawShipmentData!J105),"₹",""),"Rs",""),",",""))</f>
        <v>211</v>
      </c>
      <c r="L105" s="2">
        <f>[1]RawShipmentData!K105</f>
        <v>6</v>
      </c>
      <c r="M105" s="3">
        <f>IF(TRIM([1]RawShipmentData!L105)="","",IF(ISNUMBER(SEARCH("/",TRIM([1]RawShipmentData!L105))),DATE(VALUE(RIGHT(TRIM([1]RawShipmentData!L105),4)),VALUE(MID(TRIM([1]RawShipmentData!L105),FIND("/",TRIM([1]RawShipmentData!L105))+1,2)),VALUE(LEFT(TRIM([1]RawShipmentData!L105),FIND("/",TRIM([1]RawShipmentData!L105))-1))),DATEVALUE(TRIM([1]RawShipmentData!L105))))</f>
        <v>45444</v>
      </c>
      <c r="N105" s="2">
        <f t="shared" si="6"/>
        <v>5</v>
      </c>
      <c r="O105" s="2">
        <f t="shared" si="7"/>
        <v>-1</v>
      </c>
      <c r="P105" s="2" t="str">
        <f t="shared" si="8"/>
        <v>On Time</v>
      </c>
      <c r="Q105" s="2" t="str">
        <f>PROPER(SUBSTITUTE(TRIM([1]RawShipmentData!M105)," ","-"))</f>
        <v>Delivered</v>
      </c>
      <c r="R105" s="4">
        <f t="shared" si="9"/>
        <v>191.81818181818181</v>
      </c>
      <c r="S105" s="2">
        <f>[1]RawShipmentData!N105</f>
        <v>2</v>
      </c>
      <c r="T105" s="2" t="str">
        <f>IF(OR(UPPER(TRIM([1]RawShipmentData!O105))="YES",UPPER(TRIM([1]RawShipmentData!O105))="Y"),"Yes","No")</f>
        <v>Yes</v>
      </c>
    </row>
    <row r="106" spans="1:20" x14ac:dyDescent="0.25">
      <c r="A106" s="2" t="str">
        <f>[1]RawShipmentData!A106</f>
        <v>SHP-100877</v>
      </c>
      <c r="B106" s="3">
        <f>IF(ISNUMBER(SEARCH("/",TRIM([1]RawShipmentData!B106))),DATE(VALUE(RIGHT(TRIM([1]RawShipmentData!B106),4)),VALUE(MID(TRIM([1]RawShipmentData!B106),FIND("/",TRIM([1]RawShipmentData!B106))+1,2)),VALUE(LEFT(TRIM([1]RawShipmentData!B106),FIND("/",TRIM([1]RawShipmentData!B106))-1))),DATEVALUE(TRIM([1]RawShipmentData!B106)))</f>
        <v>45426</v>
      </c>
      <c r="C106" s="2" t="str">
        <f>PROPER(TRIM([1]RawShipmentData!C106))</f>
        <v>Delhi</v>
      </c>
      <c r="D106" s="2" t="str">
        <f>IFERROR(INDEX([1]HubMaster!$B$2:$B$7,MATCH(C106,[1]HubMaster!$A$2:$A$7,0)),"Unknown")</f>
        <v>North</v>
      </c>
      <c r="E106" s="2" t="str">
        <f>PROPER(TRIM(SUBSTITUTE([1]RawShipmentData!D106,"  "," ")))</f>
        <v>Xpressbees</v>
      </c>
      <c r="F106" s="2" t="str">
        <f>PROPER(TRIM([1]RawShipmentData!E106))</f>
        <v>Road</v>
      </c>
      <c r="G106" s="2" t="str">
        <f>PROPER(TRIM(SUBSTITUTE([1]RawShipmentData!F106,"  "," ")))</f>
        <v>Grocery &amp; Fmcg</v>
      </c>
      <c r="H106" s="2" t="str">
        <f>PROPER(TRIM([1]RawShipmentData!G106))</f>
        <v>South</v>
      </c>
      <c r="I106" s="2" t="str">
        <f t="shared" si="5"/>
        <v>Yes</v>
      </c>
      <c r="J106" s="2">
        <f>IFERROR(VALUE(TRIM(SUBSTITUTE(UPPER([1]RawShipmentData!I106),"KG",""))),"")</f>
        <v>18.7</v>
      </c>
      <c r="K106" s="2">
        <f>VALUE(SUBSTITUTE(SUBSTITUTE(SUBSTITUTE(TRIM([1]RawShipmentData!J106),"₹",""),"Rs",""),",",""))</f>
        <v>395</v>
      </c>
      <c r="L106" s="2">
        <f>[1]RawShipmentData!K106</f>
        <v>8</v>
      </c>
      <c r="M106" s="3">
        <f>IF(TRIM([1]RawShipmentData!L106)="","",IF(ISNUMBER(SEARCH("/",TRIM([1]RawShipmentData!L106))),DATE(VALUE(RIGHT(TRIM([1]RawShipmentData!L106),4)),VALUE(MID(TRIM([1]RawShipmentData!L106),FIND("/",TRIM([1]RawShipmentData!L106))+1,2)),VALUE(LEFT(TRIM([1]RawShipmentData!L106),FIND("/",TRIM([1]RawShipmentData!L106))-1))),DATEVALUE(TRIM([1]RawShipmentData!L106))))</f>
        <v>45433</v>
      </c>
      <c r="N106" s="2">
        <f t="shared" si="6"/>
        <v>7</v>
      </c>
      <c r="O106" s="2">
        <f t="shared" si="7"/>
        <v>-1</v>
      </c>
      <c r="P106" s="2" t="str">
        <f t="shared" si="8"/>
        <v>On Time</v>
      </c>
      <c r="Q106" s="2" t="str">
        <f>PROPER(SUBSTITUTE(TRIM([1]RawShipmentData!M106)," ","-"))</f>
        <v>Delivered</v>
      </c>
      <c r="R106" s="4">
        <f t="shared" si="9"/>
        <v>21.122994652406419</v>
      </c>
      <c r="S106" s="2">
        <f>[1]RawShipmentData!N106</f>
        <v>4</v>
      </c>
      <c r="T106" s="2" t="str">
        <f>IF(OR(UPPER(TRIM([1]RawShipmentData!O106))="YES",UPPER(TRIM([1]RawShipmentData!O106))="Y"),"Yes","No")</f>
        <v>No</v>
      </c>
    </row>
    <row r="107" spans="1:20" x14ac:dyDescent="0.25">
      <c r="A107" s="2" t="str">
        <f>[1]RawShipmentData!A107</f>
        <v>SHP-100372</v>
      </c>
      <c r="B107" s="3">
        <f>IF(ISNUMBER(SEARCH("/",TRIM([1]RawShipmentData!B107))),DATE(VALUE(RIGHT(TRIM([1]RawShipmentData!B107),4)),VALUE(MID(TRIM([1]RawShipmentData!B107),FIND("/",TRIM([1]RawShipmentData!B107))+1,2)),VALUE(LEFT(TRIM([1]RawShipmentData!B107),FIND("/",TRIM([1]RawShipmentData!B107))-1))),DATEVALUE(TRIM([1]RawShipmentData!B107)))</f>
        <v>45334</v>
      </c>
      <c r="C107" s="2" t="str">
        <f>PROPER(TRIM([1]RawShipmentData!C107))</f>
        <v>Chennai</v>
      </c>
      <c r="D107" s="2" t="str">
        <f>IFERROR(INDEX([1]HubMaster!$B$2:$B$7,MATCH(C107,[1]HubMaster!$A$2:$A$7,0)),"Unknown")</f>
        <v>South</v>
      </c>
      <c r="E107" s="2" t="str">
        <f>PROPER(TRIM(SUBSTITUTE([1]RawShipmentData!D107,"  "," ")))</f>
        <v>Delhivery</v>
      </c>
      <c r="F107" s="2" t="str">
        <f>PROPER(TRIM([1]RawShipmentData!E107))</f>
        <v>Road</v>
      </c>
      <c r="G107" s="2" t="str">
        <f>PROPER(TRIM(SUBSTITUTE([1]RawShipmentData!F107,"  "," ")))</f>
        <v>Pharma</v>
      </c>
      <c r="H107" s="2" t="str">
        <f>PROPER(TRIM([1]RawShipmentData!G107))</f>
        <v>West</v>
      </c>
      <c r="I107" s="2" t="str">
        <f t="shared" si="5"/>
        <v>Yes</v>
      </c>
      <c r="J107" s="2">
        <f>IFERROR(VALUE(TRIM(SUBSTITUTE(UPPER([1]RawShipmentData!I107),"KG",""))),"")</f>
        <v>2.4</v>
      </c>
      <c r="K107" s="2">
        <f>VALUE(SUBSTITUTE(SUBSTITUTE(SUBSTITUTE(TRIM([1]RawShipmentData!J107),"₹",""),"Rs",""),",",""))</f>
        <v>225</v>
      </c>
      <c r="L107" s="2">
        <f>[1]RawShipmentData!K107</f>
        <v>8</v>
      </c>
      <c r="M107" s="3">
        <f>IF(TRIM([1]RawShipmentData!L107)="","",IF(ISNUMBER(SEARCH("/",TRIM([1]RawShipmentData!L107))),DATE(VALUE(RIGHT(TRIM([1]RawShipmentData!L107),4)),VALUE(MID(TRIM([1]RawShipmentData!L107),FIND("/",TRIM([1]RawShipmentData!L107))+1,2)),VALUE(LEFT(TRIM([1]RawShipmentData!L107),FIND("/",TRIM([1]RawShipmentData!L107))-1))),DATEVALUE(TRIM([1]RawShipmentData!L107))))</f>
        <v>45342</v>
      </c>
      <c r="N107" s="2">
        <f t="shared" si="6"/>
        <v>8</v>
      </c>
      <c r="O107" s="2">
        <f t="shared" si="7"/>
        <v>0</v>
      </c>
      <c r="P107" s="2" t="str">
        <f t="shared" si="8"/>
        <v>On Time</v>
      </c>
      <c r="Q107" s="2" t="str">
        <f>PROPER(SUBSTITUTE(TRIM([1]RawShipmentData!M107)," ","-"))</f>
        <v>Delivered</v>
      </c>
      <c r="R107" s="4">
        <f t="shared" si="9"/>
        <v>93.75</v>
      </c>
      <c r="S107" s="2">
        <f>[1]RawShipmentData!N107</f>
        <v>4</v>
      </c>
      <c r="T107" s="2" t="str">
        <f>IF(OR(UPPER(TRIM([1]RawShipmentData!O107))="YES",UPPER(TRIM([1]RawShipmentData!O107))="Y"),"Yes","No")</f>
        <v>Yes</v>
      </c>
    </row>
    <row r="108" spans="1:20" x14ac:dyDescent="0.25">
      <c r="A108" s="2" t="str">
        <f>[1]RawShipmentData!A108</f>
        <v>SHP-100737</v>
      </c>
      <c r="B108" s="3">
        <f>IF(ISNUMBER(SEARCH("/",TRIM([1]RawShipmentData!B108))),DATE(VALUE(RIGHT(TRIM([1]RawShipmentData!B108),4)),VALUE(MID(TRIM([1]RawShipmentData!B108),FIND("/",TRIM([1]RawShipmentData!B108))+1,2)),VALUE(LEFT(TRIM([1]RawShipmentData!B108),FIND("/",TRIM([1]RawShipmentData!B108))-1))),DATEVALUE(TRIM([1]RawShipmentData!B108)))</f>
        <v>45330</v>
      </c>
      <c r="C108" s="2" t="str">
        <f>PROPER(TRIM([1]RawShipmentData!C108))</f>
        <v>Hyderabad</v>
      </c>
      <c r="D108" s="2" t="str">
        <f>IFERROR(INDEX([1]HubMaster!$B$2:$B$7,MATCH(C108,[1]HubMaster!$A$2:$A$7,0)),"Unknown")</f>
        <v>West</v>
      </c>
      <c r="E108" s="2" t="str">
        <f>PROPER(TRIM(SUBSTITUTE([1]RawShipmentData!D108,"  "," ")))</f>
        <v>Dtdc</v>
      </c>
      <c r="F108" s="2" t="str">
        <f>PROPER(TRIM([1]RawShipmentData!E108))</f>
        <v>Air</v>
      </c>
      <c r="G108" s="2" t="str">
        <f>PROPER(TRIM(SUBSTITUTE([1]RawShipmentData!F108,"  "," ")))</f>
        <v>Apparel</v>
      </c>
      <c r="H108" s="2" t="str">
        <f>PROPER(TRIM([1]RawShipmentData!G108))</f>
        <v>South</v>
      </c>
      <c r="I108" s="2" t="str">
        <f t="shared" si="5"/>
        <v>Yes</v>
      </c>
      <c r="J108" s="2">
        <f>IFERROR(VALUE(TRIM(SUBSTITUTE(UPPER([1]RawShipmentData!I108),"KG",""))),"")</f>
        <v>1.4</v>
      </c>
      <c r="K108" s="2">
        <f>VALUE(SUBSTITUTE(SUBSTITUTE(SUBSTITUTE(TRIM([1]RawShipmentData!J108),"₹",""),"Rs",""),",",""))</f>
        <v>226</v>
      </c>
      <c r="L108" s="2">
        <f>[1]RawShipmentData!K108</f>
        <v>4</v>
      </c>
      <c r="M108" s="3">
        <f>IF(TRIM([1]RawShipmentData!L108)="","",IF(ISNUMBER(SEARCH("/",TRIM([1]RawShipmentData!L108))),DATE(VALUE(RIGHT(TRIM([1]RawShipmentData!L108),4)),VALUE(MID(TRIM([1]RawShipmentData!L108),FIND("/",TRIM([1]RawShipmentData!L108))+1,2)),VALUE(LEFT(TRIM([1]RawShipmentData!L108),FIND("/",TRIM([1]RawShipmentData!L108))-1))),DATEVALUE(TRIM([1]RawShipmentData!L108))))</f>
        <v>45340</v>
      </c>
      <c r="N108" s="2">
        <f t="shared" si="6"/>
        <v>10</v>
      </c>
      <c r="O108" s="2">
        <f t="shared" si="7"/>
        <v>6</v>
      </c>
      <c r="P108" s="2" t="str">
        <f t="shared" si="8"/>
        <v>Late</v>
      </c>
      <c r="Q108" s="2" t="str">
        <f>PROPER(SUBSTITUTE(TRIM([1]RawShipmentData!M108)," ","-"))</f>
        <v>Delayed</v>
      </c>
      <c r="R108" s="4">
        <f t="shared" si="9"/>
        <v>161.42857142857144</v>
      </c>
      <c r="S108" s="2">
        <f>[1]RawShipmentData!N108</f>
        <v>2</v>
      </c>
      <c r="T108" s="2" t="str">
        <f>IF(OR(UPPER(TRIM([1]RawShipmentData!O108))="YES",UPPER(TRIM([1]RawShipmentData!O108))="Y"),"Yes","No")</f>
        <v>Yes</v>
      </c>
    </row>
    <row r="109" spans="1:20" x14ac:dyDescent="0.25">
      <c r="A109" s="2" t="str">
        <f>[1]RawShipmentData!A109</f>
        <v>SHP-100025</v>
      </c>
      <c r="B109" s="3">
        <f>IF(ISNUMBER(SEARCH("/",TRIM([1]RawShipmentData!B109))),DATE(VALUE(RIGHT(TRIM([1]RawShipmentData!B109),4)),VALUE(MID(TRIM([1]RawShipmentData!B109),FIND("/",TRIM([1]RawShipmentData!B109))+1,2)),VALUE(LEFT(TRIM([1]RawShipmentData!B109),FIND("/",TRIM([1]RawShipmentData!B109))-1))),DATEVALUE(TRIM([1]RawShipmentData!B109)))</f>
        <v>45423</v>
      </c>
      <c r="C109" s="2" t="str">
        <f>PROPER(TRIM([1]RawShipmentData!C109))</f>
        <v>Mumbai</v>
      </c>
      <c r="D109" s="2" t="str">
        <f>IFERROR(INDEX([1]HubMaster!$B$2:$B$7,MATCH(C109,[1]HubMaster!$A$2:$A$7,0)),"Unknown")</f>
        <v>West</v>
      </c>
      <c r="E109" s="2" t="str">
        <f>PROPER(TRIM(SUBSTITUTE([1]RawShipmentData!D109,"  "," ")))</f>
        <v>Xpressbees</v>
      </c>
      <c r="F109" s="2" t="str">
        <f>PROPER(TRIM([1]RawShipmentData!E109))</f>
        <v>Air</v>
      </c>
      <c r="G109" s="2" t="str">
        <f>PROPER(TRIM(SUBSTITUTE([1]RawShipmentData!F109,"  "," ")))</f>
        <v>Pharma</v>
      </c>
      <c r="H109" s="2" t="str">
        <f>PROPER(TRIM([1]RawShipmentData!G109))</f>
        <v>South</v>
      </c>
      <c r="I109" s="2" t="str">
        <f t="shared" si="5"/>
        <v>Yes</v>
      </c>
      <c r="J109" s="2">
        <f>IFERROR(VALUE(TRIM(SUBSTITUTE(UPPER([1]RawShipmentData!I109),"KG",""))),"")</f>
        <v>1.2</v>
      </c>
      <c r="K109" s="2">
        <f>VALUE(SUBSTITUTE(SUBSTITUTE(SUBSTITUTE(TRIM([1]RawShipmentData!J109),"₹",""),"Rs",""),",",""))</f>
        <v>196</v>
      </c>
      <c r="L109" s="2">
        <f>[1]RawShipmentData!K109</f>
        <v>4</v>
      </c>
      <c r="M109" s="3">
        <f>IF(TRIM([1]RawShipmentData!L109)="","",IF(ISNUMBER(SEARCH("/",TRIM([1]RawShipmentData!L109))),DATE(VALUE(RIGHT(TRIM([1]RawShipmentData!L109),4)),VALUE(MID(TRIM([1]RawShipmentData!L109),FIND("/",TRIM([1]RawShipmentData!L109))+1,2)),VALUE(LEFT(TRIM([1]RawShipmentData!L109),FIND("/",TRIM([1]RawShipmentData!L109))-1))),DATEVALUE(TRIM([1]RawShipmentData!L109))))</f>
        <v>45433</v>
      </c>
      <c r="N109" s="2">
        <f t="shared" si="6"/>
        <v>10</v>
      </c>
      <c r="O109" s="2">
        <f t="shared" si="7"/>
        <v>6</v>
      </c>
      <c r="P109" s="2" t="str">
        <f t="shared" si="8"/>
        <v>Late</v>
      </c>
      <c r="Q109" s="2" t="str">
        <f>PROPER(SUBSTITUTE(TRIM([1]RawShipmentData!M109)," ","-"))</f>
        <v>Delayed</v>
      </c>
      <c r="R109" s="4">
        <f t="shared" si="9"/>
        <v>163.33333333333334</v>
      </c>
      <c r="S109" s="2">
        <f>[1]RawShipmentData!N109</f>
        <v>1</v>
      </c>
      <c r="T109" s="2" t="str">
        <f>IF(OR(UPPER(TRIM([1]RawShipmentData!O109))="YES",UPPER(TRIM([1]RawShipmentData!O109))="Y"),"Yes","No")</f>
        <v>No</v>
      </c>
    </row>
    <row r="110" spans="1:20" x14ac:dyDescent="0.25">
      <c r="A110" s="2" t="str">
        <f>[1]RawShipmentData!A110</f>
        <v>SHP-100046</v>
      </c>
      <c r="B110" s="3">
        <f>IF(ISNUMBER(SEARCH("/",TRIM([1]RawShipmentData!B110))),DATE(VALUE(RIGHT(TRIM([1]RawShipmentData!B110),4)),VALUE(MID(TRIM([1]RawShipmentData!B110),FIND("/",TRIM([1]RawShipmentData!B110))+1,2)),VALUE(LEFT(TRIM([1]RawShipmentData!B110),FIND("/",TRIM([1]RawShipmentData!B110))-1))),DATEVALUE(TRIM([1]RawShipmentData!B110)))</f>
        <v>45333</v>
      </c>
      <c r="C110" s="2" t="str">
        <f>PROPER(TRIM([1]RawShipmentData!C110))</f>
        <v>Hyderabad</v>
      </c>
      <c r="D110" s="2" t="str">
        <f>IFERROR(INDEX([1]HubMaster!$B$2:$B$7,MATCH(C110,[1]HubMaster!$A$2:$A$7,0)),"Unknown")</f>
        <v>West</v>
      </c>
      <c r="E110" s="2" t="str">
        <f>PROPER(TRIM(SUBSTITUTE([1]RawShipmentData!D110,"  "," ")))</f>
        <v>Delhivery</v>
      </c>
      <c r="F110" s="2" t="str">
        <f>PROPER(TRIM([1]RawShipmentData!E110))</f>
        <v>Surface</v>
      </c>
      <c r="G110" s="2" t="str">
        <f>PROPER(TRIM(SUBSTITUTE([1]RawShipmentData!F110,"  "," ")))</f>
        <v>Grocery &amp; Fmcg</v>
      </c>
      <c r="H110" s="2" t="str">
        <f>PROPER(TRIM([1]RawShipmentData!G110))</f>
        <v>West</v>
      </c>
      <c r="I110" s="2" t="str">
        <f t="shared" si="5"/>
        <v>No</v>
      </c>
      <c r="J110" s="2">
        <f>IFERROR(VALUE(TRIM(SUBSTITUTE(UPPER([1]RawShipmentData!I110),"KG",""))),"")</f>
        <v>17.7</v>
      </c>
      <c r="K110" s="2">
        <f>VALUE(SUBSTITUTE(SUBSTITUTE(SUBSTITUTE(TRIM([1]RawShipmentData!J110),"₹",""),"Rs",""),",",""))</f>
        <v>417</v>
      </c>
      <c r="L110" s="2">
        <f>[1]RawShipmentData!K110</f>
        <v>4</v>
      </c>
      <c r="M110" s="3">
        <f>IF(TRIM([1]RawShipmentData!L110)="","",IF(ISNUMBER(SEARCH("/",TRIM([1]RawShipmentData!L110))),DATE(VALUE(RIGHT(TRIM([1]RawShipmentData!L110),4)),VALUE(MID(TRIM([1]RawShipmentData!L110),FIND("/",TRIM([1]RawShipmentData!L110))+1,2)),VALUE(LEFT(TRIM([1]RawShipmentData!L110),FIND("/",TRIM([1]RawShipmentData!L110))-1))),DATEVALUE(TRIM([1]RawShipmentData!L110))))</f>
        <v>45337</v>
      </c>
      <c r="N110" s="2">
        <f t="shared" si="6"/>
        <v>4</v>
      </c>
      <c r="O110" s="2">
        <f t="shared" si="7"/>
        <v>0</v>
      </c>
      <c r="P110" s="2" t="str">
        <f t="shared" si="8"/>
        <v>On Time</v>
      </c>
      <c r="Q110" s="2" t="str">
        <f>PROPER(SUBSTITUTE(TRIM([1]RawShipmentData!M110)," ","-"))</f>
        <v>Delivered</v>
      </c>
      <c r="R110" s="4">
        <f t="shared" si="9"/>
        <v>23.559322033898304</v>
      </c>
      <c r="S110" s="2">
        <f>[1]RawShipmentData!N110</f>
        <v>4</v>
      </c>
      <c r="T110" s="2" t="str">
        <f>IF(OR(UPPER(TRIM([1]RawShipmentData!O110))="YES",UPPER(TRIM([1]RawShipmentData!O110))="Y"),"Yes","No")</f>
        <v>No</v>
      </c>
    </row>
    <row r="111" spans="1:20" x14ac:dyDescent="0.25">
      <c r="A111" s="2" t="str">
        <f>[1]RawShipmentData!A111</f>
        <v>SHP-101028</v>
      </c>
      <c r="B111" s="3">
        <f>IF(ISNUMBER(SEARCH("/",TRIM([1]RawShipmentData!B111))),DATE(VALUE(RIGHT(TRIM([1]RawShipmentData!B111),4)),VALUE(MID(TRIM([1]RawShipmentData!B111),FIND("/",TRIM([1]RawShipmentData!B111))+1,2)),VALUE(LEFT(TRIM([1]RawShipmentData!B111),FIND("/",TRIM([1]RawShipmentData!B111))-1))),DATEVALUE(TRIM([1]RawShipmentData!B111)))</f>
        <v>45409</v>
      </c>
      <c r="C111" s="2" t="str">
        <f>PROPER(TRIM([1]RawShipmentData!C111))</f>
        <v>Chennai</v>
      </c>
      <c r="D111" s="2" t="str">
        <f>IFERROR(INDEX([1]HubMaster!$B$2:$B$7,MATCH(C111,[1]HubMaster!$A$2:$A$7,0)),"Unknown")</f>
        <v>South</v>
      </c>
      <c r="E111" s="2" t="str">
        <f>PROPER(TRIM(SUBSTITUTE([1]RawShipmentData!D111,"  "," ")))</f>
        <v>Dtdc</v>
      </c>
      <c r="F111" s="2" t="str">
        <f>PROPER(TRIM([1]RawShipmentData!E111))</f>
        <v>Air</v>
      </c>
      <c r="G111" s="2" t="str">
        <f>PROPER(TRIM(SUBSTITUTE([1]RawShipmentData!F111,"  "," ")))</f>
        <v>Grocery &amp; Fmcg</v>
      </c>
      <c r="H111" s="2" t="str">
        <f>PROPER(TRIM([1]RawShipmentData!G111))</f>
        <v>North</v>
      </c>
      <c r="I111" s="2" t="str">
        <f t="shared" si="5"/>
        <v>Yes</v>
      </c>
      <c r="J111" s="2">
        <f>IFERROR(VALUE(TRIM(SUBSTITUTE(UPPER([1]RawShipmentData!I111),"KG",""))),"")</f>
        <v>17</v>
      </c>
      <c r="K111" s="2">
        <f>VALUE(SUBSTITUTE(SUBSTITUTE(SUBSTITUTE(TRIM([1]RawShipmentData!J111),"₹",""),"Rs",""),",",""))</f>
        <v>910</v>
      </c>
      <c r="L111" s="2">
        <f>[1]RawShipmentData!K111</f>
        <v>4</v>
      </c>
      <c r="M111" s="3">
        <f>IF(TRIM([1]RawShipmentData!L111)="","",IF(ISNUMBER(SEARCH("/",TRIM([1]RawShipmentData!L111))),DATE(VALUE(RIGHT(TRIM([1]RawShipmentData!L111),4)),VALUE(MID(TRIM([1]RawShipmentData!L111),FIND("/",TRIM([1]RawShipmentData!L111))+1,2)),VALUE(LEFT(TRIM([1]RawShipmentData!L111),FIND("/",TRIM([1]RawShipmentData!L111))-1))),DATEVALUE(TRIM([1]RawShipmentData!L111))))</f>
        <v>45415</v>
      </c>
      <c r="N111" s="2">
        <f t="shared" si="6"/>
        <v>6</v>
      </c>
      <c r="O111" s="2">
        <f t="shared" si="7"/>
        <v>2</v>
      </c>
      <c r="P111" s="2" t="str">
        <f t="shared" si="8"/>
        <v>Late</v>
      </c>
      <c r="Q111" s="2" t="str">
        <f>PROPER(SUBSTITUTE(TRIM([1]RawShipmentData!M111)," ","-"))</f>
        <v>Delayed</v>
      </c>
      <c r="R111" s="4">
        <f t="shared" si="9"/>
        <v>53.529411764705884</v>
      </c>
      <c r="S111" s="2">
        <f>[1]RawShipmentData!N111</f>
        <v>2</v>
      </c>
      <c r="T111" s="2" t="str">
        <f>IF(OR(UPPER(TRIM([1]RawShipmentData!O111))="YES",UPPER(TRIM([1]RawShipmentData!O111))="Y"),"Yes","No")</f>
        <v>No</v>
      </c>
    </row>
    <row r="112" spans="1:20" x14ac:dyDescent="0.25">
      <c r="A112" s="2" t="str">
        <f>[1]RawShipmentData!A112</f>
        <v>SHP-100024</v>
      </c>
      <c r="B112" s="3">
        <f>IF(ISNUMBER(SEARCH("/",TRIM([1]RawShipmentData!B112))),DATE(VALUE(RIGHT(TRIM([1]RawShipmentData!B112),4)),VALUE(MID(TRIM([1]RawShipmentData!B112),FIND("/",TRIM([1]RawShipmentData!B112))+1,2)),VALUE(LEFT(TRIM([1]RawShipmentData!B112),FIND("/",TRIM([1]RawShipmentData!B112))-1))),DATEVALUE(TRIM([1]RawShipmentData!B112)))</f>
        <v>45301</v>
      </c>
      <c r="C112" s="2" t="str">
        <f>PROPER(TRIM([1]RawShipmentData!C112))</f>
        <v>Bengaluru</v>
      </c>
      <c r="D112" s="2" t="str">
        <f>IFERROR(INDEX([1]HubMaster!$B$2:$B$7,MATCH(C112,[1]HubMaster!$A$2:$A$7,0)),"Unknown")</f>
        <v>South</v>
      </c>
      <c r="E112" s="2" t="str">
        <f>PROPER(TRIM(SUBSTITUTE([1]RawShipmentData!D112,"  "," ")))</f>
        <v>Dtdc</v>
      </c>
      <c r="F112" s="2" t="str">
        <f>PROPER(TRIM([1]RawShipmentData!E112))</f>
        <v>Air</v>
      </c>
      <c r="G112" s="2" t="str">
        <f>PROPER(TRIM(SUBSTITUTE([1]RawShipmentData!F112,"  "," ")))</f>
        <v>Apparel</v>
      </c>
      <c r="H112" s="2" t="str">
        <f>PROPER(TRIM([1]RawShipmentData!G112))</f>
        <v>South</v>
      </c>
      <c r="I112" s="2" t="str">
        <f t="shared" si="5"/>
        <v>No</v>
      </c>
      <c r="J112" s="2">
        <f>IFERROR(VALUE(TRIM(SUBSTITUTE(UPPER([1]RawShipmentData!I112),"KG",""))),"")</f>
        <v>3.4</v>
      </c>
      <c r="K112" s="2">
        <f>VALUE(SUBSTITUTE(SUBSTITUTE(SUBSTITUTE(TRIM([1]RawShipmentData!J112),"₹",""),"Rs",""),",",""))</f>
        <v>182</v>
      </c>
      <c r="L112" s="2">
        <f>[1]RawShipmentData!K112</f>
        <v>2</v>
      </c>
      <c r="M112" s="3">
        <f>IF(TRIM([1]RawShipmentData!L112)="","",IF(ISNUMBER(SEARCH("/",TRIM([1]RawShipmentData!L112))),DATE(VALUE(RIGHT(TRIM([1]RawShipmentData!L112),4)),VALUE(MID(TRIM([1]RawShipmentData!L112),FIND("/",TRIM([1]RawShipmentData!L112))+1,2)),VALUE(LEFT(TRIM([1]RawShipmentData!L112),FIND("/",TRIM([1]RawShipmentData!L112))-1))),DATEVALUE(TRIM([1]RawShipmentData!L112))))</f>
        <v>45302</v>
      </c>
      <c r="N112" s="2">
        <f t="shared" si="6"/>
        <v>1</v>
      </c>
      <c r="O112" s="2">
        <f t="shared" si="7"/>
        <v>-1</v>
      </c>
      <c r="P112" s="2" t="str">
        <f t="shared" si="8"/>
        <v>On Time</v>
      </c>
      <c r="Q112" s="2" t="str">
        <f>PROPER(SUBSTITUTE(TRIM([1]RawShipmentData!M112)," ","-"))</f>
        <v>Delivered</v>
      </c>
      <c r="R112" s="4">
        <f t="shared" si="9"/>
        <v>53.529411764705884</v>
      </c>
      <c r="S112" s="2">
        <f>[1]RawShipmentData!N112</f>
        <v>4</v>
      </c>
      <c r="T112" s="2" t="str">
        <f>IF(OR(UPPER(TRIM([1]RawShipmentData!O112))="YES",UPPER(TRIM([1]RawShipmentData!O112))="Y"),"Yes","No")</f>
        <v>No</v>
      </c>
    </row>
    <row r="113" spans="1:20" x14ac:dyDescent="0.25">
      <c r="A113" s="2" t="str">
        <f>[1]RawShipmentData!A113</f>
        <v>SHP-100667</v>
      </c>
      <c r="B113" s="3">
        <f>IF(ISNUMBER(SEARCH("/",TRIM([1]RawShipmentData!B113))),DATE(VALUE(RIGHT(TRIM([1]RawShipmentData!B113),4)),VALUE(MID(TRIM([1]RawShipmentData!B113),FIND("/",TRIM([1]RawShipmentData!B113))+1,2)),VALUE(LEFT(TRIM([1]RawShipmentData!B113),FIND("/",TRIM([1]RawShipmentData!B113))-1))),DATEVALUE(TRIM([1]RawShipmentData!B113)))</f>
        <v>45423</v>
      </c>
      <c r="C113" s="2" t="str">
        <f>PROPER(TRIM([1]RawShipmentData!C113))</f>
        <v>Mumbai</v>
      </c>
      <c r="D113" s="2" t="str">
        <f>IFERROR(INDEX([1]HubMaster!$B$2:$B$7,MATCH(C113,[1]HubMaster!$A$2:$A$7,0)),"Unknown")</f>
        <v>West</v>
      </c>
      <c r="E113" s="2" t="str">
        <f>PROPER(TRIM(SUBSTITUTE([1]RawShipmentData!D113,"  "," ")))</f>
        <v>Xpressbees</v>
      </c>
      <c r="F113" s="2" t="str">
        <f>PROPER(TRIM([1]RawShipmentData!E113))</f>
        <v>Surface</v>
      </c>
      <c r="G113" s="2" t="str">
        <f>PROPER(TRIM(SUBSTITUTE([1]RawShipmentData!F113,"  "," ")))</f>
        <v>Automotive Parts</v>
      </c>
      <c r="H113" s="2" t="str">
        <f>PROPER(TRIM([1]RawShipmentData!G113))</f>
        <v>North</v>
      </c>
      <c r="I113" s="2" t="str">
        <f t="shared" si="5"/>
        <v>Yes</v>
      </c>
      <c r="J113" s="2">
        <f>IFERROR(VALUE(TRIM(SUBSTITUTE(UPPER([1]RawShipmentData!I113),"KG",""))),"")</f>
        <v>19.3</v>
      </c>
      <c r="K113" s="2">
        <f>VALUE(SUBSTITUTE(SUBSTITUTE(SUBSTITUTE(TRIM([1]RawShipmentData!J113),"₹",""),"Rs",""),",",""))</f>
        <v>574</v>
      </c>
      <c r="L113" s="2">
        <f>[1]RawShipmentData!K113</f>
        <v>6</v>
      </c>
      <c r="M113" s="3">
        <f>IF(TRIM([1]RawShipmentData!L113)="","",IF(ISNUMBER(SEARCH("/",TRIM([1]RawShipmentData!L113))),DATE(VALUE(RIGHT(TRIM([1]RawShipmentData!L113),4)),VALUE(MID(TRIM([1]RawShipmentData!L113),FIND("/",TRIM([1]RawShipmentData!L113))+1,2)),VALUE(LEFT(TRIM([1]RawShipmentData!L113),FIND("/",TRIM([1]RawShipmentData!L113))-1))),DATEVALUE(TRIM([1]RawShipmentData!L113))))</f>
        <v>45430</v>
      </c>
      <c r="N113" s="2">
        <f t="shared" si="6"/>
        <v>7</v>
      </c>
      <c r="O113" s="2">
        <f t="shared" si="7"/>
        <v>1</v>
      </c>
      <c r="P113" s="2" t="str">
        <f t="shared" si="8"/>
        <v>Late</v>
      </c>
      <c r="Q113" s="2" t="str">
        <f>PROPER(SUBSTITUTE(TRIM([1]RawShipmentData!M113)," ","-"))</f>
        <v>Delayed</v>
      </c>
      <c r="R113" s="4">
        <f t="shared" si="9"/>
        <v>29.740932642487046</v>
      </c>
      <c r="S113" s="2">
        <f>[1]RawShipmentData!N113</f>
        <v>2</v>
      </c>
      <c r="T113" s="2" t="str">
        <f>IF(OR(UPPER(TRIM([1]RawShipmentData!O113))="YES",UPPER(TRIM([1]RawShipmentData!O113))="Y"),"Yes","No")</f>
        <v>Yes</v>
      </c>
    </row>
    <row r="114" spans="1:20" x14ac:dyDescent="0.25">
      <c r="A114" s="2" t="str">
        <f>[1]RawShipmentData!A114</f>
        <v>SHP-100092</v>
      </c>
      <c r="B114" s="3">
        <f>IF(ISNUMBER(SEARCH("/",TRIM([1]RawShipmentData!B114))),DATE(VALUE(RIGHT(TRIM([1]RawShipmentData!B114),4)),VALUE(MID(TRIM([1]RawShipmentData!B114),FIND("/",TRIM([1]RawShipmentData!B114))+1,2)),VALUE(LEFT(TRIM([1]RawShipmentData!B114),FIND("/",TRIM([1]RawShipmentData!B114))-1))),DATEVALUE(TRIM([1]RawShipmentData!B114)))</f>
        <v>45405</v>
      </c>
      <c r="C114" s="2" t="str">
        <f>PROPER(TRIM([1]RawShipmentData!C114))</f>
        <v>Bengaluru</v>
      </c>
      <c r="D114" s="2" t="str">
        <f>IFERROR(INDEX([1]HubMaster!$B$2:$B$7,MATCH(C114,[1]HubMaster!$A$2:$A$7,0)),"Unknown")</f>
        <v>South</v>
      </c>
      <c r="E114" s="2" t="str">
        <f>PROPER(TRIM(SUBSTITUTE([1]RawShipmentData!D114,"  "," ")))</f>
        <v>Dtdc</v>
      </c>
      <c r="F114" s="2" t="str">
        <f>PROPER(TRIM([1]RawShipmentData!E114))</f>
        <v>Road</v>
      </c>
      <c r="G114" s="2" t="str">
        <f>PROPER(TRIM(SUBSTITUTE([1]RawShipmentData!F114,"  "," ")))</f>
        <v>Pharma</v>
      </c>
      <c r="H114" s="2" t="str">
        <f>PROPER(TRIM([1]RawShipmentData!G114))</f>
        <v>West</v>
      </c>
      <c r="I114" s="2" t="str">
        <f t="shared" si="5"/>
        <v>Yes</v>
      </c>
      <c r="J114" s="2">
        <f>IFERROR(VALUE(TRIM(SUBSTITUTE(UPPER([1]RawShipmentData!I114),"KG",""))),"")</f>
        <v>4.8</v>
      </c>
      <c r="K114" s="2">
        <f>VALUE(SUBSTITUTE(SUBSTITUTE(SUBSTITUTE(TRIM([1]RawShipmentData!J114),"₹",""),"Rs",""),",",""))</f>
        <v>191</v>
      </c>
      <c r="L114" s="2">
        <f>[1]RawShipmentData!K114</f>
        <v>8</v>
      </c>
      <c r="M114" s="3">
        <f>IF(TRIM([1]RawShipmentData!L114)="","",IF(ISNUMBER(SEARCH("/",TRIM([1]RawShipmentData!L114))),DATE(VALUE(RIGHT(TRIM([1]RawShipmentData!L114),4)),VALUE(MID(TRIM([1]RawShipmentData!L114),FIND("/",TRIM([1]RawShipmentData!L114))+1,2)),VALUE(LEFT(TRIM([1]RawShipmentData!L114),FIND("/",TRIM([1]RawShipmentData!L114))-1))),DATEVALUE(TRIM([1]RawShipmentData!L114))))</f>
        <v>45414</v>
      </c>
      <c r="N114" s="2">
        <f t="shared" si="6"/>
        <v>9</v>
      </c>
      <c r="O114" s="2">
        <f t="shared" si="7"/>
        <v>1</v>
      </c>
      <c r="P114" s="2" t="str">
        <f t="shared" si="8"/>
        <v>Late</v>
      </c>
      <c r="Q114" s="2" t="str">
        <f>PROPER(SUBSTITUTE(TRIM([1]RawShipmentData!M114)," ","-"))</f>
        <v>Delayed</v>
      </c>
      <c r="R114" s="4">
        <f t="shared" si="9"/>
        <v>39.791666666666671</v>
      </c>
      <c r="S114" s="2">
        <f>[1]RawShipmentData!N114</f>
        <v>5</v>
      </c>
      <c r="T114" s="2" t="str">
        <f>IF(OR(UPPER(TRIM([1]RawShipmentData!O114))="YES",UPPER(TRIM([1]RawShipmentData!O114))="Y"),"Yes","No")</f>
        <v>No</v>
      </c>
    </row>
    <row r="115" spans="1:20" x14ac:dyDescent="0.25">
      <c r="A115" s="2" t="str">
        <f>[1]RawShipmentData!A115</f>
        <v>SHP-100757</v>
      </c>
      <c r="B115" s="3">
        <f>IF(ISNUMBER(SEARCH("/",TRIM([1]RawShipmentData!B115))),DATE(VALUE(RIGHT(TRIM([1]RawShipmentData!B115),4)),VALUE(MID(TRIM([1]RawShipmentData!B115),FIND("/",TRIM([1]RawShipmentData!B115))+1,2)),VALUE(LEFT(TRIM([1]RawShipmentData!B115),FIND("/",TRIM([1]RawShipmentData!B115))-1))),DATEVALUE(TRIM([1]RawShipmentData!B115)))</f>
        <v>45374</v>
      </c>
      <c r="C115" s="2" t="str">
        <f>PROPER(TRIM([1]RawShipmentData!C115))</f>
        <v>Kolkata</v>
      </c>
      <c r="D115" s="2" t="str">
        <f>IFERROR(INDEX([1]HubMaster!$B$2:$B$7,MATCH(C115,[1]HubMaster!$A$2:$A$7,0)),"Unknown")</f>
        <v>East</v>
      </c>
      <c r="E115" s="2" t="str">
        <f>PROPER(TRIM(SUBSTITUTE([1]RawShipmentData!D115,"  "," ")))</f>
        <v>Xpressbees</v>
      </c>
      <c r="F115" s="2" t="str">
        <f>PROPER(TRIM([1]RawShipmentData!E115))</f>
        <v>Surface</v>
      </c>
      <c r="G115" s="2" t="str">
        <f>PROPER(TRIM(SUBSTITUTE([1]RawShipmentData!F115,"  "," ")))</f>
        <v>Automotive Parts</v>
      </c>
      <c r="H115" s="2" t="str">
        <f>PROPER(TRIM([1]RawShipmentData!G115))</f>
        <v>East</v>
      </c>
      <c r="I115" s="2" t="str">
        <f t="shared" si="5"/>
        <v>No</v>
      </c>
      <c r="J115" s="2">
        <f>IFERROR(VALUE(TRIM(SUBSTITUTE(UPPER([1]RawShipmentData!I115),"KG",""))),"")</f>
        <v>30.9</v>
      </c>
      <c r="K115" s="2">
        <f>VALUE(SUBSTITUTE(SUBSTITUTE(SUBSTITUTE(TRIM([1]RawShipmentData!J115),"₹",""),"Rs",""),",",""))</f>
        <v>673</v>
      </c>
      <c r="L115" s="2">
        <f>[1]RawShipmentData!K115</f>
        <v>4</v>
      </c>
      <c r="M115" s="3">
        <f>IF(TRIM([1]RawShipmentData!L115)="","",IF(ISNUMBER(SEARCH("/",TRIM([1]RawShipmentData!L115))),DATE(VALUE(RIGHT(TRIM([1]RawShipmentData!L115),4)),VALUE(MID(TRIM([1]RawShipmentData!L115),FIND("/",TRIM([1]RawShipmentData!L115))+1,2)),VALUE(LEFT(TRIM([1]RawShipmentData!L115),FIND("/",TRIM([1]RawShipmentData!L115))-1))),DATEVALUE(TRIM([1]RawShipmentData!L115))))</f>
        <v>45377</v>
      </c>
      <c r="N115" s="2">
        <f t="shared" si="6"/>
        <v>3</v>
      </c>
      <c r="O115" s="2">
        <f t="shared" si="7"/>
        <v>-1</v>
      </c>
      <c r="P115" s="2" t="str">
        <f t="shared" si="8"/>
        <v>On Time</v>
      </c>
      <c r="Q115" s="2" t="str">
        <f>PROPER(SUBSTITUTE(TRIM([1]RawShipmentData!M115)," ","-"))</f>
        <v>Damaged</v>
      </c>
      <c r="R115" s="4">
        <f t="shared" si="9"/>
        <v>21.779935275080906</v>
      </c>
      <c r="S115" s="2">
        <f>[1]RawShipmentData!N115</f>
        <v>0</v>
      </c>
      <c r="T115" s="2" t="str">
        <f>IF(OR(UPPER(TRIM([1]RawShipmentData!O115))="YES",UPPER(TRIM([1]RawShipmentData!O115))="Y"),"Yes","No")</f>
        <v>No</v>
      </c>
    </row>
    <row r="116" spans="1:20" x14ac:dyDescent="0.25">
      <c r="A116" s="2" t="str">
        <f>[1]RawShipmentData!A116</f>
        <v>SHP-100271</v>
      </c>
      <c r="B116" s="3">
        <f>IF(ISNUMBER(SEARCH("/",TRIM([1]RawShipmentData!B116))),DATE(VALUE(RIGHT(TRIM([1]RawShipmentData!B116),4)),VALUE(MID(TRIM([1]RawShipmentData!B116),FIND("/",TRIM([1]RawShipmentData!B116))+1,2)),VALUE(LEFT(TRIM([1]RawShipmentData!B116),FIND("/",TRIM([1]RawShipmentData!B116))-1))),DATEVALUE(TRIM([1]RawShipmentData!B116)))</f>
        <v>45309</v>
      </c>
      <c r="C116" s="2" t="str">
        <f>PROPER(TRIM([1]RawShipmentData!C116))</f>
        <v>Bengaluru</v>
      </c>
      <c r="D116" s="2" t="str">
        <f>IFERROR(INDEX([1]HubMaster!$B$2:$B$7,MATCH(C116,[1]HubMaster!$A$2:$A$7,0)),"Unknown")</f>
        <v>South</v>
      </c>
      <c r="E116" s="2" t="str">
        <f>PROPER(TRIM(SUBSTITUTE([1]RawShipmentData!D116,"  "," ")))</f>
        <v>Delhivery</v>
      </c>
      <c r="F116" s="2" t="str">
        <f>PROPER(TRIM([1]RawShipmentData!E116))</f>
        <v>Surface</v>
      </c>
      <c r="G116" s="2" t="str">
        <f>PROPER(TRIM(SUBSTITUTE([1]RawShipmentData!F116,"  "," ")))</f>
        <v>Pharma</v>
      </c>
      <c r="H116" s="2" t="str">
        <f>PROPER(TRIM([1]RawShipmentData!G116))</f>
        <v>South</v>
      </c>
      <c r="I116" s="2" t="str">
        <f t="shared" si="5"/>
        <v>No</v>
      </c>
      <c r="J116" s="2">
        <f>IFERROR(VALUE(TRIM(SUBSTITUTE(UPPER([1]RawShipmentData!I116),"KG",""))),"")</f>
        <v>4.4000000000000004</v>
      </c>
      <c r="K116" s="2">
        <f>VALUE(SUBSTITUTE(SUBSTITUTE(SUBSTITUTE(TRIM([1]RawShipmentData!J116),"₹",""),"Rs",""),",",""))</f>
        <v>80</v>
      </c>
      <c r="L116" s="2">
        <f>[1]RawShipmentData!K116</f>
        <v>4</v>
      </c>
      <c r="M116" s="3">
        <f>IF(TRIM([1]RawShipmentData!L116)="","",IF(ISNUMBER(SEARCH("/",TRIM([1]RawShipmentData!L116))),DATE(VALUE(RIGHT(TRIM([1]RawShipmentData!L116),4)),VALUE(MID(TRIM([1]RawShipmentData!L116),FIND("/",TRIM([1]RawShipmentData!L116))+1,2)),VALUE(LEFT(TRIM([1]RawShipmentData!L116),FIND("/",TRIM([1]RawShipmentData!L116))-1))),DATEVALUE(TRIM([1]RawShipmentData!L116))))</f>
        <v>45314</v>
      </c>
      <c r="N116" s="2">
        <f t="shared" si="6"/>
        <v>5</v>
      </c>
      <c r="O116" s="2">
        <f t="shared" si="7"/>
        <v>1</v>
      </c>
      <c r="P116" s="2" t="str">
        <f t="shared" si="8"/>
        <v>Late</v>
      </c>
      <c r="Q116" s="2" t="str">
        <f>PROPER(SUBSTITUTE(TRIM([1]RawShipmentData!M116)," ","-"))</f>
        <v>Delayed</v>
      </c>
      <c r="R116" s="4">
        <f t="shared" si="9"/>
        <v>18.18181818181818</v>
      </c>
      <c r="S116" s="2">
        <f>[1]RawShipmentData!N116</f>
        <v>2</v>
      </c>
      <c r="T116" s="2" t="str">
        <f>IF(OR(UPPER(TRIM([1]RawShipmentData!O116))="YES",UPPER(TRIM([1]RawShipmentData!O116))="Y"),"Yes","No")</f>
        <v>No</v>
      </c>
    </row>
    <row r="117" spans="1:20" x14ac:dyDescent="0.25">
      <c r="A117" s="2" t="str">
        <f>[1]RawShipmentData!A117</f>
        <v>SHP-100681</v>
      </c>
      <c r="B117" s="3">
        <f>IF(ISNUMBER(SEARCH("/",TRIM([1]RawShipmentData!B117))),DATE(VALUE(RIGHT(TRIM([1]RawShipmentData!B117),4)),VALUE(MID(TRIM([1]RawShipmentData!B117),FIND("/",TRIM([1]RawShipmentData!B117))+1,2)),VALUE(LEFT(TRIM([1]RawShipmentData!B117),FIND("/",TRIM([1]RawShipmentData!B117))-1))),DATEVALUE(TRIM([1]RawShipmentData!B117)))</f>
        <v>45360</v>
      </c>
      <c r="C117" s="2" t="str">
        <f>PROPER(TRIM([1]RawShipmentData!C117))</f>
        <v>Delhi</v>
      </c>
      <c r="D117" s="2" t="str">
        <f>IFERROR(INDEX([1]HubMaster!$B$2:$B$7,MATCH(C117,[1]HubMaster!$A$2:$A$7,0)),"Unknown")</f>
        <v>North</v>
      </c>
      <c r="E117" s="2" t="str">
        <f>PROPER(TRIM(SUBSTITUTE([1]RawShipmentData!D117,"  "," ")))</f>
        <v>Xpressbees</v>
      </c>
      <c r="F117" s="2" t="str">
        <f>PROPER(TRIM([1]RawShipmentData!E117))</f>
        <v>Road</v>
      </c>
      <c r="G117" s="2" t="str">
        <f>PROPER(TRIM(SUBSTITUTE([1]RawShipmentData!F117,"  "," ")))</f>
        <v>Furniture</v>
      </c>
      <c r="H117" s="2" t="str">
        <f>PROPER(TRIM([1]RawShipmentData!G117))</f>
        <v>North</v>
      </c>
      <c r="I117" s="2" t="str">
        <f t="shared" si="5"/>
        <v>No</v>
      </c>
      <c r="J117" s="2">
        <f>IFERROR(VALUE(TRIM(SUBSTITUTE(UPPER([1]RawShipmentData!I117),"KG",""))),"")</f>
        <v>44.2</v>
      </c>
      <c r="K117" s="2">
        <f>VALUE(SUBSTITUTE(SUBSTITUTE(SUBSTITUTE(TRIM([1]RawShipmentData!J117),"₹",""),"Rs",""),",",""))</f>
        <v>618</v>
      </c>
      <c r="L117" s="2">
        <f>[1]RawShipmentData!K117</f>
        <v>6</v>
      </c>
      <c r="M117" s="3">
        <f>IF(TRIM([1]RawShipmentData!L117)="","",IF(ISNUMBER(SEARCH("/",TRIM([1]RawShipmentData!L117))),DATE(VALUE(RIGHT(TRIM([1]RawShipmentData!L117),4)),VALUE(MID(TRIM([1]RawShipmentData!L117),FIND("/",TRIM([1]RawShipmentData!L117))+1,2)),VALUE(LEFT(TRIM([1]RawShipmentData!L117),FIND("/",TRIM([1]RawShipmentData!L117))-1))),DATEVALUE(TRIM([1]RawShipmentData!L117))))</f>
        <v>45367</v>
      </c>
      <c r="N117" s="2">
        <f t="shared" si="6"/>
        <v>7</v>
      </c>
      <c r="O117" s="2">
        <f t="shared" si="7"/>
        <v>1</v>
      </c>
      <c r="P117" s="2" t="str">
        <f t="shared" si="8"/>
        <v>Late</v>
      </c>
      <c r="Q117" s="2" t="str">
        <f>PROPER(SUBSTITUTE(TRIM([1]RawShipmentData!M117)," ","-"))</f>
        <v>Delayed</v>
      </c>
      <c r="R117" s="4">
        <f t="shared" si="9"/>
        <v>13.981900452488686</v>
      </c>
      <c r="S117" s="2">
        <f>[1]RawShipmentData!N117</f>
        <v>2</v>
      </c>
      <c r="T117" s="2" t="str">
        <f>IF(OR(UPPER(TRIM([1]RawShipmentData!O117))="YES",UPPER(TRIM([1]RawShipmentData!O117))="Y"),"Yes","No")</f>
        <v>Yes</v>
      </c>
    </row>
    <row r="118" spans="1:20" x14ac:dyDescent="0.25">
      <c r="A118" s="2" t="str">
        <f>[1]RawShipmentData!A118</f>
        <v>SHP-100233</v>
      </c>
      <c r="B118" s="3">
        <f>IF(ISNUMBER(SEARCH("/",TRIM([1]RawShipmentData!B118))),DATE(VALUE(RIGHT(TRIM([1]RawShipmentData!B118),4)),VALUE(MID(TRIM([1]RawShipmentData!B118),FIND("/",TRIM([1]RawShipmentData!B118))+1,2)),VALUE(LEFT(TRIM([1]RawShipmentData!B118),FIND("/",TRIM([1]RawShipmentData!B118))-1))),DATEVALUE(TRIM([1]RawShipmentData!B118)))</f>
        <v>45470</v>
      </c>
      <c r="C118" s="2" t="str">
        <f>PROPER(TRIM([1]RawShipmentData!C118))</f>
        <v>Bengaluru</v>
      </c>
      <c r="D118" s="2" t="str">
        <f>IFERROR(INDEX([1]HubMaster!$B$2:$B$7,MATCH(C118,[1]HubMaster!$A$2:$A$7,0)),"Unknown")</f>
        <v>South</v>
      </c>
      <c r="E118" s="2" t="str">
        <f>PROPER(TRIM(SUBSTITUTE([1]RawShipmentData!D118,"  "," ")))</f>
        <v>Ecom Express</v>
      </c>
      <c r="F118" s="2" t="str">
        <f>PROPER(TRIM([1]RawShipmentData!E118))</f>
        <v>Air</v>
      </c>
      <c r="G118" s="2" t="str">
        <f>PROPER(TRIM(SUBSTITUTE([1]RawShipmentData!F118,"  "," ")))</f>
        <v>Furniture</v>
      </c>
      <c r="H118" s="2" t="str">
        <f>PROPER(TRIM([1]RawShipmentData!G118))</f>
        <v>West</v>
      </c>
      <c r="I118" s="2" t="str">
        <f t="shared" si="5"/>
        <v>Yes</v>
      </c>
      <c r="J118" s="2">
        <f>IFERROR(VALUE(TRIM(SUBSTITUTE(UPPER([1]RawShipmentData!I118),"KG",""))),"")</f>
        <v>26.5</v>
      </c>
      <c r="K118" s="2">
        <f>VALUE(SUBSTITUTE(SUBSTITUTE(SUBSTITUTE(TRIM([1]RawShipmentData!J118),"₹",""),"Rs",""),",",""))</f>
        <v>1389</v>
      </c>
      <c r="L118" s="2">
        <f>[1]RawShipmentData!K118</f>
        <v>4</v>
      </c>
      <c r="M118" s="3">
        <f>IF(TRIM([1]RawShipmentData!L118)="","",IF(ISNUMBER(SEARCH("/",TRIM([1]RawShipmentData!L118))),DATE(VALUE(RIGHT(TRIM([1]RawShipmentData!L118),4)),VALUE(MID(TRIM([1]RawShipmentData!L118),FIND("/",TRIM([1]RawShipmentData!L118))+1,2)),VALUE(LEFT(TRIM([1]RawShipmentData!L118),FIND("/",TRIM([1]RawShipmentData!L118))-1))),DATEVALUE(TRIM([1]RawShipmentData!L118))))</f>
        <v>45476</v>
      </c>
      <c r="N118" s="2">
        <f t="shared" si="6"/>
        <v>6</v>
      </c>
      <c r="O118" s="2">
        <f t="shared" si="7"/>
        <v>2</v>
      </c>
      <c r="P118" s="2" t="str">
        <f t="shared" si="8"/>
        <v>Late</v>
      </c>
      <c r="Q118" s="2" t="str">
        <f>PROPER(SUBSTITUTE(TRIM([1]RawShipmentData!M118)," ","-"))</f>
        <v>Delayed</v>
      </c>
      <c r="R118" s="4">
        <f t="shared" si="9"/>
        <v>52.415094339622641</v>
      </c>
      <c r="S118" s="2">
        <f>[1]RawShipmentData!N118</f>
        <v>4</v>
      </c>
      <c r="T118" s="2" t="str">
        <f>IF(OR(UPPER(TRIM([1]RawShipmentData!O118))="YES",UPPER(TRIM([1]RawShipmentData!O118))="Y"),"Yes","No")</f>
        <v>No</v>
      </c>
    </row>
    <row r="119" spans="1:20" x14ac:dyDescent="0.25">
      <c r="A119" s="2" t="str">
        <f>[1]RawShipmentData!A119</f>
        <v>SHP-100668</v>
      </c>
      <c r="B119" s="3">
        <f>IF(ISNUMBER(SEARCH("/",TRIM([1]RawShipmentData!B119))),DATE(VALUE(RIGHT(TRIM([1]RawShipmentData!B119),4)),VALUE(MID(TRIM([1]RawShipmentData!B119),FIND("/",TRIM([1]RawShipmentData!B119))+1,2)),VALUE(LEFT(TRIM([1]RawShipmentData!B119),FIND("/",TRIM([1]RawShipmentData!B119))-1))),DATEVALUE(TRIM([1]RawShipmentData!B119)))</f>
        <v>45304</v>
      </c>
      <c r="C119" s="2" t="str">
        <f>PROPER(TRIM([1]RawShipmentData!C119))</f>
        <v>Delhi</v>
      </c>
      <c r="D119" s="2" t="str">
        <f>IFERROR(INDEX([1]HubMaster!$B$2:$B$7,MATCH(C119,[1]HubMaster!$A$2:$A$7,0)),"Unknown")</f>
        <v>North</v>
      </c>
      <c r="E119" s="2" t="str">
        <f>PROPER(TRIM(SUBSTITUTE([1]RawShipmentData!D119,"  "," ")))</f>
        <v>Ecom Express</v>
      </c>
      <c r="F119" s="2" t="str">
        <f>PROPER(TRIM([1]RawShipmentData!E119))</f>
        <v>Road</v>
      </c>
      <c r="G119" s="2" t="str">
        <f>PROPER(TRIM(SUBSTITUTE([1]RawShipmentData!F119,"  "," ")))</f>
        <v>Automotive Parts</v>
      </c>
      <c r="H119" s="2" t="str">
        <f>PROPER(TRIM([1]RawShipmentData!G119))</f>
        <v>West</v>
      </c>
      <c r="I119" s="2" t="str">
        <f t="shared" si="5"/>
        <v>Yes</v>
      </c>
      <c r="J119" s="2">
        <f>IFERROR(VALUE(TRIM(SUBSTITUTE(UPPER([1]RawShipmentData!I119),"KG",""))),"")</f>
        <v>30.3</v>
      </c>
      <c r="K119" s="2">
        <f>VALUE(SUBSTITUTE(SUBSTITUTE(SUBSTITUTE(TRIM([1]RawShipmentData!J119),"₹",""),"Rs",""),",",""))</f>
        <v>614</v>
      </c>
      <c r="L119" s="2">
        <f>[1]RawShipmentData!K119</f>
        <v>8</v>
      </c>
      <c r="M119" s="3">
        <f>IF(TRIM([1]RawShipmentData!L119)="","",IF(ISNUMBER(SEARCH("/",TRIM([1]RawShipmentData!L119))),DATE(VALUE(RIGHT(TRIM([1]RawShipmentData!L119),4)),VALUE(MID(TRIM([1]RawShipmentData!L119),FIND("/",TRIM([1]RawShipmentData!L119))+1,2)),VALUE(LEFT(TRIM([1]RawShipmentData!L119),FIND("/",TRIM([1]RawShipmentData!L119))-1))),DATEVALUE(TRIM([1]RawShipmentData!L119))))</f>
        <v>45311</v>
      </c>
      <c r="N119" s="2">
        <f t="shared" si="6"/>
        <v>7</v>
      </c>
      <c r="O119" s="2">
        <f t="shared" si="7"/>
        <v>-1</v>
      </c>
      <c r="P119" s="2" t="str">
        <f t="shared" si="8"/>
        <v>On Time</v>
      </c>
      <c r="Q119" s="2" t="str">
        <f>PROPER(SUBSTITUTE(TRIM([1]RawShipmentData!M119)," ","-"))</f>
        <v>Delivered</v>
      </c>
      <c r="R119" s="4">
        <f t="shared" si="9"/>
        <v>20.264026402640262</v>
      </c>
      <c r="S119" s="2">
        <f>[1]RawShipmentData!N119</f>
        <v>4</v>
      </c>
      <c r="T119" s="2" t="str">
        <f>IF(OR(UPPER(TRIM([1]RawShipmentData!O119))="YES",UPPER(TRIM([1]RawShipmentData!O119))="Y"),"Yes","No")</f>
        <v>No</v>
      </c>
    </row>
    <row r="120" spans="1:20" x14ac:dyDescent="0.25">
      <c r="A120" s="2" t="str">
        <f>[1]RawShipmentData!A120</f>
        <v>SHP-100315</v>
      </c>
      <c r="B120" s="3">
        <f>IF(ISNUMBER(SEARCH("/",TRIM([1]RawShipmentData!B120))),DATE(VALUE(RIGHT(TRIM([1]RawShipmentData!B120),4)),VALUE(MID(TRIM([1]RawShipmentData!B120),FIND("/",TRIM([1]RawShipmentData!B120))+1,2)),VALUE(LEFT(TRIM([1]RawShipmentData!B120),FIND("/",TRIM([1]RawShipmentData!B120))-1))),DATEVALUE(TRIM([1]RawShipmentData!B120)))</f>
        <v>45465</v>
      </c>
      <c r="C120" s="2" t="str">
        <f>PROPER(TRIM([1]RawShipmentData!C120))</f>
        <v>Chennai</v>
      </c>
      <c r="D120" s="2" t="str">
        <f>IFERROR(INDEX([1]HubMaster!$B$2:$B$7,MATCH(C120,[1]HubMaster!$A$2:$A$7,0)),"Unknown")</f>
        <v>South</v>
      </c>
      <c r="E120" s="2" t="str">
        <f>PROPER(TRIM(SUBSTITUTE([1]RawShipmentData!D120,"  "," ")))</f>
        <v>Delhivery</v>
      </c>
      <c r="F120" s="2" t="str">
        <f>PROPER(TRIM([1]RawShipmentData!E120))</f>
        <v>Surface</v>
      </c>
      <c r="G120" s="2" t="str">
        <f>PROPER(TRIM(SUBSTITUTE([1]RawShipmentData!F120,"  "," ")))</f>
        <v>Electronics</v>
      </c>
      <c r="H120" s="2" t="str">
        <f>PROPER(TRIM([1]RawShipmentData!G120))</f>
        <v>South</v>
      </c>
      <c r="I120" s="2" t="str">
        <f t="shared" si="5"/>
        <v>No</v>
      </c>
      <c r="J120" s="2">
        <f>IFERROR(VALUE(TRIM(SUBSTITUTE(UPPER([1]RawShipmentData!I120),"KG",""))),"")</f>
        <v>2</v>
      </c>
      <c r="K120" s="2">
        <f>VALUE(SUBSTITUTE(SUBSTITUTE(SUBSTITUTE(TRIM([1]RawShipmentData!J120),"₹",""),"Rs",""),",",""))</f>
        <v>80</v>
      </c>
      <c r="L120" s="2">
        <f>[1]RawShipmentData!K120</f>
        <v>4</v>
      </c>
      <c r="M120" s="3">
        <f>IF(TRIM([1]RawShipmentData!L120)="","",IF(ISNUMBER(SEARCH("/",TRIM([1]RawShipmentData!L120))),DATE(VALUE(RIGHT(TRIM([1]RawShipmentData!L120),4)),VALUE(MID(TRIM([1]RawShipmentData!L120),FIND("/",TRIM([1]RawShipmentData!L120))+1,2)),VALUE(LEFT(TRIM([1]RawShipmentData!L120),FIND("/",TRIM([1]RawShipmentData!L120))-1))),DATEVALUE(TRIM([1]RawShipmentData!L120))))</f>
        <v>45469</v>
      </c>
      <c r="N120" s="2">
        <f t="shared" si="6"/>
        <v>4</v>
      </c>
      <c r="O120" s="2">
        <f t="shared" si="7"/>
        <v>0</v>
      </c>
      <c r="P120" s="2" t="str">
        <f t="shared" si="8"/>
        <v>On Time</v>
      </c>
      <c r="Q120" s="2" t="str">
        <f>PROPER(SUBSTITUTE(TRIM([1]RawShipmentData!M120)," ","-"))</f>
        <v>Delivered</v>
      </c>
      <c r="R120" s="4">
        <f t="shared" si="9"/>
        <v>40</v>
      </c>
      <c r="S120" s="2">
        <f>[1]RawShipmentData!N120</f>
        <v>3</v>
      </c>
      <c r="T120" s="2" t="str">
        <f>IF(OR(UPPER(TRIM([1]RawShipmentData!O120))="YES",UPPER(TRIM([1]RawShipmentData!O120))="Y"),"Yes","No")</f>
        <v>No</v>
      </c>
    </row>
    <row r="121" spans="1:20" x14ac:dyDescent="0.25">
      <c r="A121" s="2" t="str">
        <f>[1]RawShipmentData!A121</f>
        <v>SHP-100910</v>
      </c>
      <c r="B121" s="3">
        <f>IF(ISNUMBER(SEARCH("/",TRIM([1]RawShipmentData!B121))),DATE(VALUE(RIGHT(TRIM([1]RawShipmentData!B121),4)),VALUE(MID(TRIM([1]RawShipmentData!B121),FIND("/",TRIM([1]RawShipmentData!B121))+1,2)),VALUE(LEFT(TRIM([1]RawShipmentData!B121),FIND("/",TRIM([1]RawShipmentData!B121))-1))),DATEVALUE(TRIM([1]RawShipmentData!B121)))</f>
        <v>45394</v>
      </c>
      <c r="C121" s="2" t="str">
        <f>PROPER(TRIM([1]RawShipmentData!C121))</f>
        <v>Kolkata</v>
      </c>
      <c r="D121" s="2" t="str">
        <f>IFERROR(INDEX([1]HubMaster!$B$2:$B$7,MATCH(C121,[1]HubMaster!$A$2:$A$7,0)),"Unknown")</f>
        <v>East</v>
      </c>
      <c r="E121" s="2" t="str">
        <f>PROPER(TRIM(SUBSTITUTE([1]RawShipmentData!D121,"  "," ")))</f>
        <v>Xpressbees</v>
      </c>
      <c r="F121" s="2" t="str">
        <f>PROPER(TRIM([1]RawShipmentData!E121))</f>
        <v>Surface</v>
      </c>
      <c r="G121" s="2" t="str">
        <f>PROPER(TRIM(SUBSTITUTE([1]RawShipmentData!F121,"  "," ")))</f>
        <v>Furniture</v>
      </c>
      <c r="H121" s="2" t="str">
        <f>PROPER(TRIM([1]RawShipmentData!G121))</f>
        <v>South</v>
      </c>
      <c r="I121" s="2" t="str">
        <f t="shared" si="5"/>
        <v>Yes</v>
      </c>
      <c r="J121" s="2">
        <f>IFERROR(VALUE(TRIM(SUBSTITUTE(UPPER([1]RawShipmentData!I121),"KG",""))),"")</f>
        <v>71.400000000000006</v>
      </c>
      <c r="K121" s="2">
        <f>VALUE(SUBSTITUTE(SUBSTITUTE(SUBSTITUTE(TRIM([1]RawShipmentData!J121),"₹",""),"Rs",""),",",""))</f>
        <v>1766</v>
      </c>
      <c r="L121" s="2">
        <f>[1]RawShipmentData!K121</f>
        <v>6</v>
      </c>
      <c r="M121" s="3">
        <f>IF(TRIM([1]RawShipmentData!L121)="","",IF(ISNUMBER(SEARCH("/",TRIM([1]RawShipmentData!L121))),DATE(VALUE(RIGHT(TRIM([1]RawShipmentData!L121),4)),VALUE(MID(TRIM([1]RawShipmentData!L121),FIND("/",TRIM([1]RawShipmentData!L121))+1,2)),VALUE(LEFT(TRIM([1]RawShipmentData!L121),FIND("/",TRIM([1]RawShipmentData!L121))-1))),DATEVALUE(TRIM([1]RawShipmentData!L121))))</f>
        <v>45402</v>
      </c>
      <c r="N121" s="2">
        <f t="shared" si="6"/>
        <v>8</v>
      </c>
      <c r="O121" s="2">
        <f t="shared" si="7"/>
        <v>2</v>
      </c>
      <c r="P121" s="2" t="str">
        <f t="shared" si="8"/>
        <v>Late</v>
      </c>
      <c r="Q121" s="2" t="str">
        <f>PROPER(SUBSTITUTE(TRIM([1]RawShipmentData!M121)," ","-"))</f>
        <v>Delayed</v>
      </c>
      <c r="R121" s="4">
        <f t="shared" si="9"/>
        <v>24.733893557422967</v>
      </c>
      <c r="S121" s="2">
        <f>[1]RawShipmentData!N121</f>
        <v>5</v>
      </c>
      <c r="T121" s="2" t="str">
        <f>IF(OR(UPPER(TRIM([1]RawShipmentData!O121))="YES",UPPER(TRIM([1]RawShipmentData!O121))="Y"),"Yes","No")</f>
        <v>No</v>
      </c>
    </row>
    <row r="122" spans="1:20" x14ac:dyDescent="0.25">
      <c r="A122" s="2" t="str">
        <f>[1]RawShipmentData!A122</f>
        <v>SHP-101396</v>
      </c>
      <c r="B122" s="3">
        <f>IF(ISNUMBER(SEARCH("/",TRIM([1]RawShipmentData!B122))),DATE(VALUE(RIGHT(TRIM([1]RawShipmentData!B122),4)),VALUE(MID(TRIM([1]RawShipmentData!B122),FIND("/",TRIM([1]RawShipmentData!B122))+1,2)),VALUE(LEFT(TRIM([1]RawShipmentData!B122),FIND("/",TRIM([1]RawShipmentData!B122))-1))),DATEVALUE(TRIM([1]RawShipmentData!B122)))</f>
        <v>45345</v>
      </c>
      <c r="C122" s="2" t="str">
        <f>PROPER(TRIM([1]RawShipmentData!C122))</f>
        <v>Delhi</v>
      </c>
      <c r="D122" s="2" t="str">
        <f>IFERROR(INDEX([1]HubMaster!$B$2:$B$7,MATCH(C122,[1]HubMaster!$A$2:$A$7,0)),"Unknown")</f>
        <v>North</v>
      </c>
      <c r="E122" s="2" t="str">
        <f>PROPER(TRIM(SUBSTITUTE([1]RawShipmentData!D122,"  "," ")))</f>
        <v>Delhivery</v>
      </c>
      <c r="F122" s="2" t="str">
        <f>PROPER(TRIM([1]RawShipmentData!E122))</f>
        <v>Road</v>
      </c>
      <c r="G122" s="2" t="str">
        <f>PROPER(TRIM(SUBSTITUTE([1]RawShipmentData!F122,"  "," ")))</f>
        <v>Pharma</v>
      </c>
      <c r="H122" s="2" t="str">
        <f>PROPER(TRIM([1]RawShipmentData!G122))</f>
        <v>West</v>
      </c>
      <c r="I122" s="2" t="str">
        <f t="shared" si="5"/>
        <v>Yes</v>
      </c>
      <c r="J122" s="2">
        <f>IFERROR(VALUE(TRIM(SUBSTITUTE(UPPER([1]RawShipmentData!I122),"KG",""))),"")</f>
        <v>3.3</v>
      </c>
      <c r="K122" s="2">
        <f>VALUE(SUBSTITUTE(SUBSTITUTE(SUBSTITUTE(TRIM([1]RawShipmentData!J122),"₹",""),"Rs",""),",",""))</f>
        <v>175</v>
      </c>
      <c r="L122" s="2">
        <f>[1]RawShipmentData!K122</f>
        <v>8</v>
      </c>
      <c r="M122" s="3">
        <f>IF(TRIM([1]RawShipmentData!L122)="","",IF(ISNUMBER(SEARCH("/",TRIM([1]RawShipmentData!L122))),DATE(VALUE(RIGHT(TRIM([1]RawShipmentData!L122),4)),VALUE(MID(TRIM([1]RawShipmentData!L122),FIND("/",TRIM([1]RawShipmentData!L122))+1,2)),VALUE(LEFT(TRIM([1]RawShipmentData!L122),FIND("/",TRIM([1]RawShipmentData!L122))-1))),DATEVALUE(TRIM([1]RawShipmentData!L122))))</f>
        <v>45352</v>
      </c>
      <c r="N122" s="2">
        <f t="shared" si="6"/>
        <v>7</v>
      </c>
      <c r="O122" s="2">
        <f t="shared" si="7"/>
        <v>-1</v>
      </c>
      <c r="P122" s="2" t="str">
        <f t="shared" si="8"/>
        <v>On Time</v>
      </c>
      <c r="Q122" s="2" t="str">
        <f>PROPER(SUBSTITUTE(TRIM([1]RawShipmentData!M122)," ","-"))</f>
        <v>Delivered</v>
      </c>
      <c r="R122" s="4">
        <f t="shared" si="9"/>
        <v>53.030303030303031</v>
      </c>
      <c r="S122" s="2">
        <f>[1]RawShipmentData!N122</f>
        <v>4</v>
      </c>
      <c r="T122" s="2" t="str">
        <f>IF(OR(UPPER(TRIM([1]RawShipmentData!O122))="YES",UPPER(TRIM([1]RawShipmentData!O122))="Y"),"Yes","No")</f>
        <v>No</v>
      </c>
    </row>
    <row r="123" spans="1:20" x14ac:dyDescent="0.25">
      <c r="A123" s="2" t="str">
        <f>[1]RawShipmentData!A123</f>
        <v>SHP-101479</v>
      </c>
      <c r="B123" s="3">
        <f>IF(ISNUMBER(SEARCH("/",TRIM([1]RawShipmentData!B123))),DATE(VALUE(RIGHT(TRIM([1]RawShipmentData!B123),4)),VALUE(MID(TRIM([1]RawShipmentData!B123),FIND("/",TRIM([1]RawShipmentData!B123))+1,2)),VALUE(LEFT(TRIM([1]RawShipmentData!B123),FIND("/",TRIM([1]RawShipmentData!B123))-1))),DATEVALUE(TRIM([1]RawShipmentData!B123)))</f>
        <v>45315</v>
      </c>
      <c r="C123" s="2" t="str">
        <f>PROPER(TRIM([1]RawShipmentData!C123))</f>
        <v>Kolkata</v>
      </c>
      <c r="D123" s="2" t="str">
        <f>IFERROR(INDEX([1]HubMaster!$B$2:$B$7,MATCH(C123,[1]HubMaster!$A$2:$A$7,0)),"Unknown")</f>
        <v>East</v>
      </c>
      <c r="E123" s="2" t="str">
        <f>PROPER(TRIM(SUBSTITUTE([1]RawShipmentData!D123,"  "," ")))</f>
        <v>Ecom Express</v>
      </c>
      <c r="F123" s="2" t="str">
        <f>PROPER(TRIM([1]RawShipmentData!E123))</f>
        <v>Road</v>
      </c>
      <c r="G123" s="2" t="str">
        <f>PROPER(TRIM(SUBSTITUTE([1]RawShipmentData!F123,"  "," ")))</f>
        <v>Apparel</v>
      </c>
      <c r="H123" s="2" t="str">
        <f>PROPER(TRIM([1]RawShipmentData!G123))</f>
        <v>East</v>
      </c>
      <c r="I123" s="2" t="str">
        <f t="shared" si="5"/>
        <v>No</v>
      </c>
      <c r="J123" s="2">
        <f>IFERROR(VALUE(TRIM(SUBSTITUTE(UPPER([1]RawShipmentData!I123),"KG",""))),"")</f>
        <v>4.9000000000000004</v>
      </c>
      <c r="K123" s="2">
        <f>VALUE(SUBSTITUTE(SUBSTITUTE(SUBSTITUTE(TRIM([1]RawShipmentData!J123),"₹",""),"Rs",""),",",""))</f>
        <v>120</v>
      </c>
      <c r="L123" s="2">
        <f>[1]RawShipmentData!K123</f>
        <v>6</v>
      </c>
      <c r="M123" s="3">
        <f>IF(TRIM([1]RawShipmentData!L123)="","",IF(ISNUMBER(SEARCH("/",TRIM([1]RawShipmentData!L123))),DATE(VALUE(RIGHT(TRIM([1]RawShipmentData!L123),4)),VALUE(MID(TRIM([1]RawShipmentData!L123),FIND("/",TRIM([1]RawShipmentData!L123))+1,2)),VALUE(LEFT(TRIM([1]RawShipmentData!L123),FIND("/",TRIM([1]RawShipmentData!L123))-1))),DATEVALUE(TRIM([1]RawShipmentData!L123))))</f>
        <v>45321</v>
      </c>
      <c r="N123" s="2">
        <f t="shared" si="6"/>
        <v>6</v>
      </c>
      <c r="O123" s="2">
        <f t="shared" si="7"/>
        <v>0</v>
      </c>
      <c r="P123" s="2" t="str">
        <f t="shared" si="8"/>
        <v>On Time</v>
      </c>
      <c r="Q123" s="2" t="str">
        <f>PROPER(SUBSTITUTE(TRIM([1]RawShipmentData!M123)," ","-"))</f>
        <v>Delivered</v>
      </c>
      <c r="R123" s="4">
        <f t="shared" si="9"/>
        <v>24.489795918367346</v>
      </c>
      <c r="S123" s="2">
        <f>[1]RawShipmentData!N123</f>
        <v>3</v>
      </c>
      <c r="T123" s="2" t="str">
        <f>IF(OR(UPPER(TRIM([1]RawShipmentData!O123))="YES",UPPER(TRIM([1]RawShipmentData!O123))="Y"),"Yes","No")</f>
        <v>Yes</v>
      </c>
    </row>
    <row r="124" spans="1:20" x14ac:dyDescent="0.25">
      <c r="A124" s="2" t="str">
        <f>[1]RawShipmentData!A124</f>
        <v>SHP-101192</v>
      </c>
      <c r="B124" s="3">
        <f>IF(ISNUMBER(SEARCH("/",TRIM([1]RawShipmentData!B124))),DATE(VALUE(RIGHT(TRIM([1]RawShipmentData!B124),4)),VALUE(MID(TRIM([1]RawShipmentData!B124),FIND("/",TRIM([1]RawShipmentData!B124))+1,2)),VALUE(LEFT(TRIM([1]RawShipmentData!B124),FIND("/",TRIM([1]RawShipmentData!B124))-1))),DATEVALUE(TRIM([1]RawShipmentData!B124)))</f>
        <v>45438</v>
      </c>
      <c r="C124" s="2" t="str">
        <f>PROPER(TRIM([1]RawShipmentData!C124))</f>
        <v>Hyderabad</v>
      </c>
      <c r="D124" s="2" t="str">
        <f>IFERROR(INDEX([1]HubMaster!$B$2:$B$7,MATCH(C124,[1]HubMaster!$A$2:$A$7,0)),"Unknown")</f>
        <v>West</v>
      </c>
      <c r="E124" s="2" t="str">
        <f>PROPER(TRIM(SUBSTITUTE([1]RawShipmentData!D124,"  "," ")))</f>
        <v>Xpressbees</v>
      </c>
      <c r="F124" s="2" t="str">
        <f>PROPER(TRIM([1]RawShipmentData!E124))</f>
        <v>Air</v>
      </c>
      <c r="G124" s="2" t="str">
        <f>PROPER(TRIM(SUBSTITUTE([1]RawShipmentData!F124,"  "," ")))</f>
        <v>Automotive Parts</v>
      </c>
      <c r="H124" s="2" t="str">
        <f>PROPER(TRIM([1]RawShipmentData!G124))</f>
        <v>West</v>
      </c>
      <c r="I124" s="2" t="str">
        <f t="shared" si="5"/>
        <v>No</v>
      </c>
      <c r="J124" s="2">
        <f>IFERROR(VALUE(TRIM(SUBSTITUTE(UPPER([1]RawShipmentData!I124),"KG",""))),"")</f>
        <v>12.3</v>
      </c>
      <c r="K124" s="2">
        <f>VALUE(SUBSTITUTE(SUBSTITUTE(SUBSTITUTE(TRIM([1]RawShipmentData!J124),"₹",""),"Rs",""),",",""))</f>
        <v>549</v>
      </c>
      <c r="L124" s="2">
        <f>[1]RawShipmentData!K124</f>
        <v>2</v>
      </c>
      <c r="M124" s="3">
        <f>IF(TRIM([1]RawShipmentData!L124)="","",IF(ISNUMBER(SEARCH("/",TRIM([1]RawShipmentData!L124))),DATE(VALUE(RIGHT(TRIM([1]RawShipmentData!L124),4)),VALUE(MID(TRIM([1]RawShipmentData!L124),FIND("/",TRIM([1]RawShipmentData!L124))+1,2)),VALUE(LEFT(TRIM([1]RawShipmentData!L124),FIND("/",TRIM([1]RawShipmentData!L124))-1))),DATEVALUE(TRIM([1]RawShipmentData!L124))))</f>
        <v>45444</v>
      </c>
      <c r="N124" s="2">
        <f t="shared" si="6"/>
        <v>6</v>
      </c>
      <c r="O124" s="2">
        <f t="shared" si="7"/>
        <v>4</v>
      </c>
      <c r="P124" s="2" t="str">
        <f t="shared" si="8"/>
        <v>Late</v>
      </c>
      <c r="Q124" s="2" t="str">
        <f>PROPER(SUBSTITUTE(TRIM([1]RawShipmentData!M124)," ","-"))</f>
        <v>Delayed</v>
      </c>
      <c r="R124" s="4">
        <f t="shared" si="9"/>
        <v>44.634146341463413</v>
      </c>
      <c r="S124" s="2">
        <f>[1]RawShipmentData!N124</f>
        <v>3</v>
      </c>
      <c r="T124" s="2" t="str">
        <f>IF(OR(UPPER(TRIM([1]RawShipmentData!O124))="YES",UPPER(TRIM([1]RawShipmentData!O124))="Y"),"Yes","No")</f>
        <v>Yes</v>
      </c>
    </row>
    <row r="125" spans="1:20" x14ac:dyDescent="0.25">
      <c r="A125" s="2" t="str">
        <f>[1]RawShipmentData!A125</f>
        <v>SHP-100030</v>
      </c>
      <c r="B125" s="3">
        <f>IF(ISNUMBER(SEARCH("/",TRIM([1]RawShipmentData!B125))),DATE(VALUE(RIGHT(TRIM([1]RawShipmentData!B125),4)),VALUE(MID(TRIM([1]RawShipmentData!B125),FIND("/",TRIM([1]RawShipmentData!B125))+1,2)),VALUE(LEFT(TRIM([1]RawShipmentData!B125),FIND("/",TRIM([1]RawShipmentData!B125))-1))),DATEVALUE(TRIM([1]RawShipmentData!B125)))</f>
        <v>45387</v>
      </c>
      <c r="C125" s="2" t="str">
        <f>PROPER(TRIM([1]RawShipmentData!C125))</f>
        <v>Delhi</v>
      </c>
      <c r="D125" s="2" t="str">
        <f>IFERROR(INDEX([1]HubMaster!$B$2:$B$7,MATCH(C125,[1]HubMaster!$A$2:$A$7,0)),"Unknown")</f>
        <v>North</v>
      </c>
      <c r="E125" s="2" t="str">
        <f>PROPER(TRIM(SUBSTITUTE([1]RawShipmentData!D125,"  "," ")))</f>
        <v>Xpressbees</v>
      </c>
      <c r="F125" s="2" t="str">
        <f>PROPER(TRIM([1]RawShipmentData!E125))</f>
        <v>Road</v>
      </c>
      <c r="G125" s="2" t="str">
        <f>PROPER(TRIM(SUBSTITUTE([1]RawShipmentData!F125,"  "," ")))</f>
        <v>Electronics</v>
      </c>
      <c r="H125" s="2" t="str">
        <f>PROPER(TRIM([1]RawShipmentData!G125))</f>
        <v>East</v>
      </c>
      <c r="I125" s="2" t="str">
        <f t="shared" si="5"/>
        <v>Yes</v>
      </c>
      <c r="J125" s="2">
        <f>IFERROR(VALUE(TRIM(SUBSTITUTE(UPPER([1]RawShipmentData!I125),"KG",""))),"")</f>
        <v>1</v>
      </c>
      <c r="K125" s="2">
        <f>VALUE(SUBSTITUTE(SUBSTITUTE(SUBSTITUTE(TRIM([1]RawShipmentData!J125),"₹",""),"Rs",""),",",""))</f>
        <v>205</v>
      </c>
      <c r="L125" s="2">
        <f>[1]RawShipmentData!K125</f>
        <v>8</v>
      </c>
      <c r="M125" s="3">
        <f>IF(TRIM([1]RawShipmentData!L125)="","",IF(ISNUMBER(SEARCH("/",TRIM([1]RawShipmentData!L125))),DATE(VALUE(RIGHT(TRIM([1]RawShipmentData!L125),4)),VALUE(MID(TRIM([1]RawShipmentData!L125),FIND("/",TRIM([1]RawShipmentData!L125))+1,2)),VALUE(LEFT(TRIM([1]RawShipmentData!L125),FIND("/",TRIM([1]RawShipmentData!L125))-1))),DATEVALUE(TRIM([1]RawShipmentData!L125))))</f>
        <v>45395</v>
      </c>
      <c r="N125" s="2">
        <f t="shared" si="6"/>
        <v>8</v>
      </c>
      <c r="O125" s="2">
        <f t="shared" si="7"/>
        <v>0</v>
      </c>
      <c r="P125" s="2" t="str">
        <f t="shared" si="8"/>
        <v>On Time</v>
      </c>
      <c r="Q125" s="2" t="str">
        <f>PROPER(SUBSTITUTE(TRIM([1]RawShipmentData!M125)," ","-"))</f>
        <v>Delivered</v>
      </c>
      <c r="R125" s="4">
        <f t="shared" si="9"/>
        <v>205</v>
      </c>
      <c r="S125" s="2">
        <f>[1]RawShipmentData!N125</f>
        <v>5</v>
      </c>
      <c r="T125" s="2" t="str">
        <f>IF(OR(UPPER(TRIM([1]RawShipmentData!O125))="YES",UPPER(TRIM([1]RawShipmentData!O125))="Y"),"Yes","No")</f>
        <v>Yes</v>
      </c>
    </row>
    <row r="126" spans="1:20" x14ac:dyDescent="0.25">
      <c r="A126" s="2" t="str">
        <f>[1]RawShipmentData!A126</f>
        <v>SHP-101242</v>
      </c>
      <c r="B126" s="3">
        <f>IF(ISNUMBER(SEARCH("/",TRIM([1]RawShipmentData!B126))),DATE(VALUE(RIGHT(TRIM([1]RawShipmentData!B126),4)),VALUE(MID(TRIM([1]RawShipmentData!B126),FIND("/",TRIM([1]RawShipmentData!B126))+1,2)),VALUE(LEFT(TRIM([1]RawShipmentData!B126),FIND("/",TRIM([1]RawShipmentData!B126))-1))),DATEVALUE(TRIM([1]RawShipmentData!B126)))</f>
        <v>45361</v>
      </c>
      <c r="C126" s="2" t="str">
        <f>PROPER(TRIM([1]RawShipmentData!C126))</f>
        <v>Hyderabad</v>
      </c>
      <c r="D126" s="2" t="str">
        <f>IFERROR(INDEX([1]HubMaster!$B$2:$B$7,MATCH(C126,[1]HubMaster!$A$2:$A$7,0)),"Unknown")</f>
        <v>West</v>
      </c>
      <c r="E126" s="2" t="str">
        <f>PROPER(TRIM(SUBSTITUTE([1]RawShipmentData!D126,"  "," ")))</f>
        <v>Dtdc</v>
      </c>
      <c r="F126" s="2" t="str">
        <f>PROPER(TRIM([1]RawShipmentData!E126))</f>
        <v>Air</v>
      </c>
      <c r="G126" s="2" t="str">
        <f>PROPER(TRIM(SUBSTITUTE([1]RawShipmentData!F126,"  "," ")))</f>
        <v>Grocery &amp; Fmcg</v>
      </c>
      <c r="H126" s="2" t="str">
        <f>PROPER(TRIM([1]RawShipmentData!G126))</f>
        <v>South</v>
      </c>
      <c r="I126" s="2" t="str">
        <f t="shared" si="5"/>
        <v>Yes</v>
      </c>
      <c r="J126" s="2">
        <f>IFERROR(VALUE(TRIM(SUBSTITUTE(UPPER([1]RawShipmentData!I126),"KG",""))),"")</f>
        <v>6.1</v>
      </c>
      <c r="K126" s="2">
        <f>VALUE(SUBSTITUTE(SUBSTITUTE(SUBSTITUTE(TRIM([1]RawShipmentData!J126),"₹",""),"Rs",""),",",""))</f>
        <v>472</v>
      </c>
      <c r="L126" s="2">
        <f>[1]RawShipmentData!K126</f>
        <v>4</v>
      </c>
      <c r="M126" s="3">
        <f>IF(TRIM([1]RawShipmentData!L126)="","",IF(ISNUMBER(SEARCH("/",TRIM([1]RawShipmentData!L126))),DATE(VALUE(RIGHT(TRIM([1]RawShipmentData!L126),4)),VALUE(MID(TRIM([1]RawShipmentData!L126),FIND("/",TRIM([1]RawShipmentData!L126))+1,2)),VALUE(LEFT(TRIM([1]RawShipmentData!L126),FIND("/",TRIM([1]RawShipmentData!L126))-1))),DATEVALUE(TRIM([1]RawShipmentData!L126))))</f>
        <v>45373</v>
      </c>
      <c r="N126" s="2">
        <f t="shared" si="6"/>
        <v>12</v>
      </c>
      <c r="O126" s="2">
        <f t="shared" si="7"/>
        <v>8</v>
      </c>
      <c r="P126" s="2" t="str">
        <f t="shared" si="8"/>
        <v>Late</v>
      </c>
      <c r="Q126" s="2" t="str">
        <f>PROPER(SUBSTITUTE(TRIM([1]RawShipmentData!M126)," ","-"))</f>
        <v>Delayed</v>
      </c>
      <c r="R126" s="4">
        <f t="shared" si="9"/>
        <v>77.377049180327873</v>
      </c>
      <c r="S126" s="2">
        <f>[1]RawShipmentData!N126</f>
        <v>3</v>
      </c>
      <c r="T126" s="2" t="str">
        <f>IF(OR(UPPER(TRIM([1]RawShipmentData!O126))="YES",UPPER(TRIM([1]RawShipmentData!O126))="Y"),"Yes","No")</f>
        <v>No</v>
      </c>
    </row>
    <row r="127" spans="1:20" x14ac:dyDescent="0.25">
      <c r="A127" s="2" t="str">
        <f>[1]RawShipmentData!A127</f>
        <v>SHP-100930</v>
      </c>
      <c r="B127" s="3">
        <f>IF(ISNUMBER(SEARCH("/",TRIM([1]RawShipmentData!B127))),DATE(VALUE(RIGHT(TRIM([1]RawShipmentData!B127),4)),VALUE(MID(TRIM([1]RawShipmentData!B127),FIND("/",TRIM([1]RawShipmentData!B127))+1,2)),VALUE(LEFT(TRIM([1]RawShipmentData!B127),FIND("/",TRIM([1]RawShipmentData!B127))-1))),DATEVALUE(TRIM([1]RawShipmentData!B127)))</f>
        <v>45376</v>
      </c>
      <c r="C127" s="2" t="str">
        <f>PROPER(TRIM([1]RawShipmentData!C127))</f>
        <v>Chennai</v>
      </c>
      <c r="D127" s="2" t="str">
        <f>IFERROR(INDEX([1]HubMaster!$B$2:$B$7,MATCH(C127,[1]HubMaster!$A$2:$A$7,0)),"Unknown")</f>
        <v>South</v>
      </c>
      <c r="E127" s="2" t="str">
        <f>PROPER(TRIM(SUBSTITUTE([1]RawShipmentData!D127,"  "," ")))</f>
        <v>Ecom Express</v>
      </c>
      <c r="F127" s="2" t="str">
        <f>PROPER(TRIM([1]RawShipmentData!E127))</f>
        <v>Air</v>
      </c>
      <c r="G127" s="2" t="str">
        <f>PROPER(TRIM(SUBSTITUTE([1]RawShipmentData!F127,"  "," ")))</f>
        <v>Electronics</v>
      </c>
      <c r="H127" s="2" t="str">
        <f>PROPER(TRIM([1]RawShipmentData!G127))</f>
        <v>South</v>
      </c>
      <c r="I127" s="2" t="str">
        <f t="shared" si="5"/>
        <v>No</v>
      </c>
      <c r="J127" s="2">
        <f>IFERROR(VALUE(TRIM(SUBSTITUTE(UPPER([1]RawShipmentData!I127),"KG",""))),"")</f>
        <v>11.3</v>
      </c>
      <c r="K127" s="2">
        <f>VALUE(SUBSTITUTE(SUBSTITUTE(SUBSTITUTE(TRIM([1]RawShipmentData!J127),"₹",""),"Rs",""),",",""))</f>
        <v>546</v>
      </c>
      <c r="L127" s="2">
        <f>[1]RawShipmentData!K127</f>
        <v>2</v>
      </c>
      <c r="M127" s="3">
        <f>IF(TRIM([1]RawShipmentData!L127)="","",IF(ISNUMBER(SEARCH("/",TRIM([1]RawShipmentData!L127))),DATE(VALUE(RIGHT(TRIM([1]RawShipmentData!L127),4)),VALUE(MID(TRIM([1]RawShipmentData!L127),FIND("/",TRIM([1]RawShipmentData!L127))+1,2)),VALUE(LEFT(TRIM([1]RawShipmentData!L127),FIND("/",TRIM([1]RawShipmentData!L127))-1))),DATEVALUE(TRIM([1]RawShipmentData!L127))))</f>
        <v>45379</v>
      </c>
      <c r="N127" s="2">
        <f t="shared" si="6"/>
        <v>3</v>
      </c>
      <c r="O127" s="2">
        <f t="shared" si="7"/>
        <v>1</v>
      </c>
      <c r="P127" s="2" t="str">
        <f t="shared" si="8"/>
        <v>Late</v>
      </c>
      <c r="Q127" s="2" t="str">
        <f>PROPER(SUBSTITUTE(TRIM([1]RawShipmentData!M127)," ","-"))</f>
        <v>Delayed</v>
      </c>
      <c r="R127" s="4">
        <f t="shared" si="9"/>
        <v>48.318584070796454</v>
      </c>
      <c r="S127" s="2">
        <f>[1]RawShipmentData!N127</f>
        <v>3</v>
      </c>
      <c r="T127" s="2" t="str">
        <f>IF(OR(UPPER(TRIM([1]RawShipmentData!O127))="YES",UPPER(TRIM([1]RawShipmentData!O127))="Y"),"Yes","No")</f>
        <v>Yes</v>
      </c>
    </row>
    <row r="128" spans="1:20" x14ac:dyDescent="0.25">
      <c r="A128" s="2" t="str">
        <f>[1]RawShipmentData!A128</f>
        <v>SHP-100638</v>
      </c>
      <c r="B128" s="3">
        <f>IF(ISNUMBER(SEARCH("/",TRIM([1]RawShipmentData!B128))),DATE(VALUE(RIGHT(TRIM([1]RawShipmentData!B128),4)),VALUE(MID(TRIM([1]RawShipmentData!B128),FIND("/",TRIM([1]RawShipmentData!B128))+1,2)),VALUE(LEFT(TRIM([1]RawShipmentData!B128),FIND("/",TRIM([1]RawShipmentData!B128))-1))),DATEVALUE(TRIM([1]RawShipmentData!B128)))</f>
        <v>45324</v>
      </c>
      <c r="C128" s="2" t="str">
        <f>PROPER(TRIM([1]RawShipmentData!C128))</f>
        <v>Delhi</v>
      </c>
      <c r="D128" s="2" t="str">
        <f>IFERROR(INDEX([1]HubMaster!$B$2:$B$7,MATCH(C128,[1]HubMaster!$A$2:$A$7,0)),"Unknown")</f>
        <v>North</v>
      </c>
      <c r="E128" s="2" t="str">
        <f>PROPER(TRIM(SUBSTITUTE([1]RawShipmentData!D128,"  "," ")))</f>
        <v>Ecom Express</v>
      </c>
      <c r="F128" s="2" t="str">
        <f>PROPER(TRIM([1]RawShipmentData!E128))</f>
        <v>Road</v>
      </c>
      <c r="G128" s="2" t="str">
        <f>PROPER(TRIM(SUBSTITUTE([1]RawShipmentData!F128,"  "," ")))</f>
        <v>Grocery &amp; Fmcg</v>
      </c>
      <c r="H128" s="2" t="str">
        <f>PROPER(TRIM([1]RawShipmentData!G128))</f>
        <v>East</v>
      </c>
      <c r="I128" s="2" t="str">
        <f t="shared" si="5"/>
        <v>Yes</v>
      </c>
      <c r="J128" s="2">
        <f>IFERROR(VALUE(TRIM(SUBSTITUTE(UPPER([1]RawShipmentData!I128),"KG",""))),"")</f>
        <v>14.8</v>
      </c>
      <c r="K128" s="2">
        <f>VALUE(SUBSTITUTE(SUBSTITUTE(SUBSTITUTE(TRIM([1]RawShipmentData!J128),"₹",""),"Rs",""),",",""))</f>
        <v>354</v>
      </c>
      <c r="L128" s="2">
        <f>[1]RawShipmentData!K128</f>
        <v>8</v>
      </c>
      <c r="M128" s="3">
        <f>IF(TRIM([1]RawShipmentData!L128)="","",IF(ISNUMBER(SEARCH("/",TRIM([1]RawShipmentData!L128))),DATE(VALUE(RIGHT(TRIM([1]RawShipmentData!L128),4)),VALUE(MID(TRIM([1]RawShipmentData!L128),FIND("/",TRIM([1]RawShipmentData!L128))+1,2)),VALUE(LEFT(TRIM([1]RawShipmentData!L128),FIND("/",TRIM([1]RawShipmentData!L128))-1))),DATEVALUE(TRIM([1]RawShipmentData!L128))))</f>
        <v>45332</v>
      </c>
      <c r="N128" s="2">
        <f t="shared" si="6"/>
        <v>8</v>
      </c>
      <c r="O128" s="2">
        <f t="shared" si="7"/>
        <v>0</v>
      </c>
      <c r="P128" s="2" t="str">
        <f t="shared" si="8"/>
        <v>On Time</v>
      </c>
      <c r="Q128" s="2" t="str">
        <f>PROPER(SUBSTITUTE(TRIM([1]RawShipmentData!M128)," ","-"))</f>
        <v>Returned</v>
      </c>
      <c r="R128" s="4">
        <f t="shared" si="9"/>
        <v>23.918918918918919</v>
      </c>
      <c r="S128" s="2">
        <f>[1]RawShipmentData!N128</f>
        <v>0</v>
      </c>
      <c r="T128" s="2" t="str">
        <f>IF(OR(UPPER(TRIM([1]RawShipmentData!O128))="YES",UPPER(TRIM([1]RawShipmentData!O128))="Y"),"Yes","No")</f>
        <v>No</v>
      </c>
    </row>
    <row r="129" spans="1:20" x14ac:dyDescent="0.25">
      <c r="A129" s="2" t="str">
        <f>[1]RawShipmentData!A129</f>
        <v>SHP-100536</v>
      </c>
      <c r="B129" s="3">
        <f>IF(ISNUMBER(SEARCH("/",TRIM([1]RawShipmentData!B129))),DATE(VALUE(RIGHT(TRIM([1]RawShipmentData!B129),4)),VALUE(MID(TRIM([1]RawShipmentData!B129),FIND("/",TRIM([1]RawShipmentData!B129))+1,2)),VALUE(LEFT(TRIM([1]RawShipmentData!B129),FIND("/",TRIM([1]RawShipmentData!B129))-1))),DATEVALUE(TRIM([1]RawShipmentData!B129)))</f>
        <v>45310</v>
      </c>
      <c r="C129" s="2" t="str">
        <f>PROPER(TRIM([1]RawShipmentData!C129))</f>
        <v>Bengaluru</v>
      </c>
      <c r="D129" s="2" t="str">
        <f>IFERROR(INDEX([1]HubMaster!$B$2:$B$7,MATCH(C129,[1]HubMaster!$A$2:$A$7,0)),"Unknown")</f>
        <v>South</v>
      </c>
      <c r="E129" s="2" t="str">
        <f>PROPER(TRIM(SUBSTITUTE([1]RawShipmentData!D129,"  "," ")))</f>
        <v>Delhivery</v>
      </c>
      <c r="F129" s="2" t="str">
        <f>PROPER(TRIM([1]RawShipmentData!E129))</f>
        <v>Surface</v>
      </c>
      <c r="G129" s="2" t="str">
        <f>PROPER(TRIM(SUBSTITUTE([1]RawShipmentData!F129,"  "," ")))</f>
        <v>Pharma</v>
      </c>
      <c r="H129" s="2" t="str">
        <f>PROPER(TRIM([1]RawShipmentData!G129))</f>
        <v>East</v>
      </c>
      <c r="I129" s="2" t="str">
        <f t="shared" si="5"/>
        <v>Yes</v>
      </c>
      <c r="J129" s="2">
        <f>IFERROR(VALUE(TRIM(SUBSTITUTE(UPPER([1]RawShipmentData!I129),"KG",""))),"")</f>
        <v>3.9</v>
      </c>
      <c r="K129" s="2">
        <f>VALUE(SUBSTITUTE(SUBSTITUTE(SUBSTITUTE(TRIM([1]RawShipmentData!J129),"₹",""),"Rs",""),",",""))</f>
        <v>248</v>
      </c>
      <c r="L129" s="2">
        <f>[1]RawShipmentData!K129</f>
        <v>6</v>
      </c>
      <c r="M129" s="3">
        <f>IF(TRIM([1]RawShipmentData!L129)="","",IF(ISNUMBER(SEARCH("/",TRIM([1]RawShipmentData!L129))),DATE(VALUE(RIGHT(TRIM([1]RawShipmentData!L129),4)),VALUE(MID(TRIM([1]RawShipmentData!L129),FIND("/",TRIM([1]RawShipmentData!L129))+1,2)),VALUE(LEFT(TRIM([1]RawShipmentData!L129),FIND("/",TRIM([1]RawShipmentData!L129))-1))),DATEVALUE(TRIM([1]RawShipmentData!L129))))</f>
        <v>45317</v>
      </c>
      <c r="N129" s="2">
        <f t="shared" si="6"/>
        <v>7</v>
      </c>
      <c r="O129" s="2">
        <f t="shared" si="7"/>
        <v>1</v>
      </c>
      <c r="P129" s="2" t="str">
        <f t="shared" si="8"/>
        <v>Late</v>
      </c>
      <c r="Q129" s="2" t="str">
        <f>PROPER(SUBSTITUTE(TRIM([1]RawShipmentData!M129)," ","-"))</f>
        <v>Delayed</v>
      </c>
      <c r="R129" s="4">
        <f t="shared" si="9"/>
        <v>63.589743589743591</v>
      </c>
      <c r="S129" s="2">
        <f>[1]RawShipmentData!N129</f>
        <v>3</v>
      </c>
      <c r="T129" s="2" t="str">
        <f>IF(OR(UPPER(TRIM([1]RawShipmentData!O129))="YES",UPPER(TRIM([1]RawShipmentData!O129))="Y"),"Yes","No")</f>
        <v>Yes</v>
      </c>
    </row>
    <row r="130" spans="1:20" x14ac:dyDescent="0.25">
      <c r="A130" s="2" t="str">
        <f>[1]RawShipmentData!A130</f>
        <v>SHP-100676</v>
      </c>
      <c r="B130" s="3">
        <f>IF(ISNUMBER(SEARCH("/",TRIM([1]RawShipmentData!B130))),DATE(VALUE(RIGHT(TRIM([1]RawShipmentData!B130),4)),VALUE(MID(TRIM([1]RawShipmentData!B130),FIND("/",TRIM([1]RawShipmentData!B130))+1,2)),VALUE(LEFT(TRIM([1]RawShipmentData!B130),FIND("/",TRIM([1]RawShipmentData!B130))-1))),DATEVALUE(TRIM([1]RawShipmentData!B130)))</f>
        <v>45433</v>
      </c>
      <c r="C130" s="2" t="str">
        <f>PROPER(TRIM([1]RawShipmentData!C130))</f>
        <v>Mumbai</v>
      </c>
      <c r="D130" s="2" t="str">
        <f>IFERROR(INDEX([1]HubMaster!$B$2:$B$7,MATCH(C130,[1]HubMaster!$A$2:$A$7,0)),"Unknown")</f>
        <v>West</v>
      </c>
      <c r="E130" s="2" t="str">
        <f>PROPER(TRIM(SUBSTITUTE([1]RawShipmentData!D130,"  "," ")))</f>
        <v>Ecom Express</v>
      </c>
      <c r="F130" s="2" t="str">
        <f>PROPER(TRIM([1]RawShipmentData!E130))</f>
        <v>Surface</v>
      </c>
      <c r="G130" s="2" t="str">
        <f>PROPER(TRIM(SUBSTITUTE([1]RawShipmentData!F130,"  "," ")))</f>
        <v>Apparel</v>
      </c>
      <c r="H130" s="2" t="str">
        <f>PROPER(TRIM([1]RawShipmentData!G130))</f>
        <v>South</v>
      </c>
      <c r="I130" s="2" t="str">
        <f t="shared" ref="I130:I193" si="10">IF(D130=H130,"No","Yes")</f>
        <v>Yes</v>
      </c>
      <c r="J130" s="2">
        <f>IFERROR(VALUE(TRIM(SUBSTITUTE(UPPER([1]RawShipmentData!I130),"KG",""))),"")</f>
        <v>3.8</v>
      </c>
      <c r="K130" s="2">
        <f>VALUE(SUBSTITUTE(SUBSTITUTE(SUBSTITUTE(TRIM([1]RawShipmentData!J130),"₹",""),"Rs",""),",",""))</f>
        <v>236</v>
      </c>
      <c r="L130" s="2">
        <f>[1]RawShipmentData!K130</f>
        <v>6</v>
      </c>
      <c r="M130" s="3">
        <f>IF(TRIM([1]RawShipmentData!L130)="","",IF(ISNUMBER(SEARCH("/",TRIM([1]RawShipmentData!L130))),DATE(VALUE(RIGHT(TRIM([1]RawShipmentData!L130),4)),VALUE(MID(TRIM([1]RawShipmentData!L130),FIND("/",TRIM([1]RawShipmentData!L130))+1,2)),VALUE(LEFT(TRIM([1]RawShipmentData!L130),FIND("/",TRIM([1]RawShipmentData!L130))-1))),DATEVALUE(TRIM([1]RawShipmentData!L130))))</f>
        <v>45438</v>
      </c>
      <c r="N130" s="2">
        <f t="shared" ref="N130:N193" si="11">IF(M130="","",M130-B130)</f>
        <v>5</v>
      </c>
      <c r="O130" s="2">
        <f t="shared" ref="O130:O193" si="12">IF(N130="","",N130-L130)</f>
        <v>-1</v>
      </c>
      <c r="P130" s="2" t="str">
        <f t="shared" ref="P130:P193" si="13">IF(N130="","N/A",IF(N130&lt;=L130,"On Time","Late"))</f>
        <v>On Time</v>
      </c>
      <c r="Q130" s="2" t="str">
        <f>PROPER(SUBSTITUTE(TRIM([1]RawShipmentData!M130)," ","-"))</f>
        <v>Delivered</v>
      </c>
      <c r="R130" s="4">
        <f t="shared" si="9"/>
        <v>62.10526315789474</v>
      </c>
      <c r="S130" s="2">
        <f>[1]RawShipmentData!N130</f>
        <v>5</v>
      </c>
      <c r="T130" s="2" t="str">
        <f>IF(OR(UPPER(TRIM([1]RawShipmentData!O130))="YES",UPPER(TRIM([1]RawShipmentData!O130))="Y"),"Yes","No")</f>
        <v>No</v>
      </c>
    </row>
    <row r="131" spans="1:20" x14ac:dyDescent="0.25">
      <c r="A131" s="2" t="str">
        <f>[1]RawShipmentData!A131</f>
        <v>SHP-101566</v>
      </c>
      <c r="B131" s="3">
        <f>IF(ISNUMBER(SEARCH("/",TRIM([1]RawShipmentData!B131))),DATE(VALUE(RIGHT(TRIM([1]RawShipmentData!B131),4)),VALUE(MID(TRIM([1]RawShipmentData!B131),FIND("/",TRIM([1]RawShipmentData!B131))+1,2)),VALUE(LEFT(TRIM([1]RawShipmentData!B131),FIND("/",TRIM([1]RawShipmentData!B131))-1))),DATEVALUE(TRIM([1]RawShipmentData!B131)))</f>
        <v>45344</v>
      </c>
      <c r="C131" s="2" t="str">
        <f>PROPER(TRIM([1]RawShipmentData!C131))</f>
        <v>Hyderabad</v>
      </c>
      <c r="D131" s="2" t="str">
        <f>IFERROR(INDEX([1]HubMaster!$B$2:$B$7,MATCH(C131,[1]HubMaster!$A$2:$A$7,0)),"Unknown")</f>
        <v>West</v>
      </c>
      <c r="E131" s="2" t="str">
        <f>PROPER(TRIM(SUBSTITUTE([1]RawShipmentData!D131,"  "," ")))</f>
        <v>Bluedart</v>
      </c>
      <c r="F131" s="2" t="str">
        <f>PROPER(TRIM([1]RawShipmentData!E131))</f>
        <v>Surface</v>
      </c>
      <c r="G131" s="2" t="str">
        <f>PROPER(TRIM(SUBSTITUTE([1]RawShipmentData!F131,"  "," ")))</f>
        <v>Furniture</v>
      </c>
      <c r="H131" s="2" t="str">
        <f>PROPER(TRIM([1]RawShipmentData!G131))</f>
        <v>West</v>
      </c>
      <c r="I131" s="2" t="str">
        <f t="shared" si="10"/>
        <v>No</v>
      </c>
      <c r="J131" s="2">
        <f>IFERROR(VALUE(TRIM(SUBSTITUTE(UPPER([1]RawShipmentData!I131),"KG",""))),"")</f>
        <v>52.1</v>
      </c>
      <c r="K131" s="2">
        <f>VALUE(SUBSTITUTE(SUBSTITUTE(SUBSTITUTE(TRIM([1]RawShipmentData!J131),"₹",""),"Rs",""),",",""))</f>
        <v>1139</v>
      </c>
      <c r="L131" s="2">
        <f>[1]RawShipmentData!K131</f>
        <v>4</v>
      </c>
      <c r="M131" s="3">
        <f>IF(TRIM([1]RawShipmentData!L131)="","",IF(ISNUMBER(SEARCH("/",TRIM([1]RawShipmentData!L131))),DATE(VALUE(RIGHT(TRIM([1]RawShipmentData!L131),4)),VALUE(MID(TRIM([1]RawShipmentData!L131),FIND("/",TRIM([1]RawShipmentData!L131))+1,2)),VALUE(LEFT(TRIM([1]RawShipmentData!L131),FIND("/",TRIM([1]RawShipmentData!L131))-1))),DATEVALUE(TRIM([1]RawShipmentData!L131))))</f>
        <v>45347</v>
      </c>
      <c r="N131" s="2">
        <f t="shared" si="11"/>
        <v>3</v>
      </c>
      <c r="O131" s="2">
        <f t="shared" si="12"/>
        <v>-1</v>
      </c>
      <c r="P131" s="2" t="str">
        <f t="shared" si="13"/>
        <v>On Time</v>
      </c>
      <c r="Q131" s="2" t="str">
        <f>PROPER(SUBSTITUTE(TRIM([1]RawShipmentData!M131)," ","-"))</f>
        <v>Delivered</v>
      </c>
      <c r="R131" s="4">
        <f t="shared" ref="R131:R194" si="14">IFERROR(K131/J131,"")</f>
        <v>21.86180422264875</v>
      </c>
      <c r="S131" s="2">
        <f>[1]RawShipmentData!N131</f>
        <v>5</v>
      </c>
      <c r="T131" s="2" t="str">
        <f>IF(OR(UPPER(TRIM([1]RawShipmentData!O131))="YES",UPPER(TRIM([1]RawShipmentData!O131))="Y"),"Yes","No")</f>
        <v>No</v>
      </c>
    </row>
    <row r="132" spans="1:20" x14ac:dyDescent="0.25">
      <c r="A132" s="2" t="str">
        <f>[1]RawShipmentData!A132</f>
        <v>SHP-101130</v>
      </c>
      <c r="B132" s="3">
        <f>IF(ISNUMBER(SEARCH("/",TRIM([1]RawShipmentData!B132))),DATE(VALUE(RIGHT(TRIM([1]RawShipmentData!B132),4)),VALUE(MID(TRIM([1]RawShipmentData!B132),FIND("/",TRIM([1]RawShipmentData!B132))+1,2)),VALUE(LEFT(TRIM([1]RawShipmentData!B132),FIND("/",TRIM([1]RawShipmentData!B132))-1))),DATEVALUE(TRIM([1]RawShipmentData!B132)))</f>
        <v>45357</v>
      </c>
      <c r="C132" s="2" t="str">
        <f>PROPER(TRIM([1]RawShipmentData!C132))</f>
        <v>Bengaluru</v>
      </c>
      <c r="D132" s="2" t="str">
        <f>IFERROR(INDEX([1]HubMaster!$B$2:$B$7,MATCH(C132,[1]HubMaster!$A$2:$A$7,0)),"Unknown")</f>
        <v>South</v>
      </c>
      <c r="E132" s="2" t="str">
        <f>PROPER(TRIM(SUBSTITUTE([1]RawShipmentData!D132,"  "," ")))</f>
        <v>Dtdc</v>
      </c>
      <c r="F132" s="2" t="str">
        <f>PROPER(TRIM([1]RawShipmentData!E132))</f>
        <v>Road</v>
      </c>
      <c r="G132" s="2" t="str">
        <f>PROPER(TRIM(SUBSTITUTE([1]RawShipmentData!F132,"  "," ")))</f>
        <v>Automotive Parts</v>
      </c>
      <c r="H132" s="2" t="str">
        <f>PROPER(TRIM([1]RawShipmentData!G132))</f>
        <v>South</v>
      </c>
      <c r="I132" s="2" t="str">
        <f t="shared" si="10"/>
        <v>No</v>
      </c>
      <c r="J132" s="2">
        <f>IFERROR(VALUE(TRIM(SUBSTITUTE(UPPER([1]RawShipmentData!I132),"KG",""))),"")</f>
        <v>21.4</v>
      </c>
      <c r="K132" s="2">
        <f>VALUE(SUBSTITUTE(SUBSTITUTE(SUBSTITUTE(TRIM([1]RawShipmentData!J132),"₹",""),"Rs",""),",",""))</f>
        <v>359</v>
      </c>
      <c r="L132" s="2">
        <f>[1]RawShipmentData!K132</f>
        <v>6</v>
      </c>
      <c r="M132" s="3">
        <f>IF(TRIM([1]RawShipmentData!L132)="","",IF(ISNUMBER(SEARCH("/",TRIM([1]RawShipmentData!L132))),DATE(VALUE(RIGHT(TRIM([1]RawShipmentData!L132),4)),VALUE(MID(TRIM([1]RawShipmentData!L132),FIND("/",TRIM([1]RawShipmentData!L132))+1,2)),VALUE(LEFT(TRIM([1]RawShipmentData!L132),FIND("/",TRIM([1]RawShipmentData!L132))-1))),DATEVALUE(TRIM([1]RawShipmentData!L132))))</f>
        <v>45364</v>
      </c>
      <c r="N132" s="2">
        <f t="shared" si="11"/>
        <v>7</v>
      </c>
      <c r="O132" s="2">
        <f t="shared" si="12"/>
        <v>1</v>
      </c>
      <c r="P132" s="2" t="str">
        <f t="shared" si="13"/>
        <v>Late</v>
      </c>
      <c r="Q132" s="2" t="str">
        <f>PROPER(SUBSTITUTE(TRIM([1]RawShipmentData!M132)," ","-"))</f>
        <v>Delayed</v>
      </c>
      <c r="R132" s="4">
        <f t="shared" si="14"/>
        <v>16.77570093457944</v>
      </c>
      <c r="S132" s="2">
        <f>[1]RawShipmentData!N132</f>
        <v>2</v>
      </c>
      <c r="T132" s="2" t="str">
        <f>IF(OR(UPPER(TRIM([1]RawShipmentData!O132))="YES",UPPER(TRIM([1]RawShipmentData!O132))="Y"),"Yes","No")</f>
        <v>Yes</v>
      </c>
    </row>
    <row r="133" spans="1:20" x14ac:dyDescent="0.25">
      <c r="A133" s="2" t="str">
        <f>[1]RawShipmentData!A133</f>
        <v>SHP-100868</v>
      </c>
      <c r="B133" s="3">
        <f>IF(ISNUMBER(SEARCH("/",TRIM([1]RawShipmentData!B133))),DATE(VALUE(RIGHT(TRIM([1]RawShipmentData!B133),4)),VALUE(MID(TRIM([1]RawShipmentData!B133),FIND("/",TRIM([1]RawShipmentData!B133))+1,2)),VALUE(LEFT(TRIM([1]RawShipmentData!B133),FIND("/",TRIM([1]RawShipmentData!B133))-1))),DATEVALUE(TRIM([1]RawShipmentData!B133)))</f>
        <v>45432</v>
      </c>
      <c r="C133" s="2" t="str">
        <f>PROPER(TRIM([1]RawShipmentData!C133))</f>
        <v>Kolkata</v>
      </c>
      <c r="D133" s="2" t="str">
        <f>IFERROR(INDEX([1]HubMaster!$B$2:$B$7,MATCH(C133,[1]HubMaster!$A$2:$A$7,0)),"Unknown")</f>
        <v>East</v>
      </c>
      <c r="E133" s="2" t="str">
        <f>PROPER(TRIM(SUBSTITUTE([1]RawShipmentData!D133,"  "," ")))</f>
        <v>Bluedart</v>
      </c>
      <c r="F133" s="2" t="str">
        <f>PROPER(TRIM([1]RawShipmentData!E133))</f>
        <v>Air</v>
      </c>
      <c r="G133" s="2" t="str">
        <f>PROPER(TRIM(SUBSTITUTE([1]RawShipmentData!F133,"  "," ")))</f>
        <v>Pharma</v>
      </c>
      <c r="H133" s="2" t="str">
        <f>PROPER(TRIM([1]RawShipmentData!G133))</f>
        <v>North</v>
      </c>
      <c r="I133" s="2" t="str">
        <f t="shared" si="10"/>
        <v>Yes</v>
      </c>
      <c r="J133" s="2">
        <f>IFERROR(VALUE(TRIM(SUBSTITUTE(UPPER([1]RawShipmentData!I133),"KG",""))),"")</f>
        <v>4.5</v>
      </c>
      <c r="K133" s="2">
        <f>VALUE(SUBSTITUTE(SUBSTITUTE(SUBSTITUTE(TRIM([1]RawShipmentData!J133),"₹",""),"Rs",""),",",""))</f>
        <v>350</v>
      </c>
      <c r="L133" s="2">
        <f>[1]RawShipmentData!K133</f>
        <v>4</v>
      </c>
      <c r="M133" s="3">
        <f>IF(TRIM([1]RawShipmentData!L133)="","",IF(ISNUMBER(SEARCH("/",TRIM([1]RawShipmentData!L133))),DATE(VALUE(RIGHT(TRIM([1]RawShipmentData!L133),4)),VALUE(MID(TRIM([1]RawShipmentData!L133),FIND("/",TRIM([1]RawShipmentData!L133))+1,2)),VALUE(LEFT(TRIM([1]RawShipmentData!L133),FIND("/",TRIM([1]RawShipmentData!L133))-1))),DATEVALUE(TRIM([1]RawShipmentData!L133))))</f>
        <v>45437</v>
      </c>
      <c r="N133" s="2">
        <f t="shared" si="11"/>
        <v>5</v>
      </c>
      <c r="O133" s="2">
        <f t="shared" si="12"/>
        <v>1</v>
      </c>
      <c r="P133" s="2" t="str">
        <f t="shared" si="13"/>
        <v>Late</v>
      </c>
      <c r="Q133" s="2" t="str">
        <f>PROPER(SUBSTITUTE(TRIM([1]RawShipmentData!M133)," ","-"))</f>
        <v>Delayed</v>
      </c>
      <c r="R133" s="4">
        <f t="shared" si="14"/>
        <v>77.777777777777771</v>
      </c>
      <c r="S133" s="2">
        <f>[1]RawShipmentData!N133</f>
        <v>2</v>
      </c>
      <c r="T133" s="2" t="str">
        <f>IF(OR(UPPER(TRIM([1]RawShipmentData!O133))="YES",UPPER(TRIM([1]RawShipmentData!O133))="Y"),"Yes","No")</f>
        <v>No</v>
      </c>
    </row>
    <row r="134" spans="1:20" x14ac:dyDescent="0.25">
      <c r="A134" s="2" t="str">
        <f>[1]RawShipmentData!A134</f>
        <v>SHP-100178</v>
      </c>
      <c r="B134" s="3">
        <f>IF(ISNUMBER(SEARCH("/",TRIM([1]RawShipmentData!B134))),DATE(VALUE(RIGHT(TRIM([1]RawShipmentData!B134),4)),VALUE(MID(TRIM([1]RawShipmentData!B134),FIND("/",TRIM([1]RawShipmentData!B134))+1,2)),VALUE(LEFT(TRIM([1]RawShipmentData!B134),FIND("/",TRIM([1]RawShipmentData!B134))-1))),DATEVALUE(TRIM([1]RawShipmentData!B134)))</f>
        <v>45352</v>
      </c>
      <c r="C134" s="2" t="str">
        <f>PROPER(TRIM([1]RawShipmentData!C134))</f>
        <v>Kolkata</v>
      </c>
      <c r="D134" s="2" t="str">
        <f>IFERROR(INDEX([1]HubMaster!$B$2:$B$7,MATCH(C134,[1]HubMaster!$A$2:$A$7,0)),"Unknown")</f>
        <v>East</v>
      </c>
      <c r="E134" s="2" t="str">
        <f>PROPER(TRIM(SUBSTITUTE([1]RawShipmentData!D134,"  "," ")))</f>
        <v>Dtdc</v>
      </c>
      <c r="F134" s="2" t="str">
        <f>PROPER(TRIM([1]RawShipmentData!E134))</f>
        <v>Road</v>
      </c>
      <c r="G134" s="2" t="str">
        <f>PROPER(TRIM(SUBSTITUTE([1]RawShipmentData!F134,"  "," ")))</f>
        <v>Automotive Parts</v>
      </c>
      <c r="H134" s="2" t="str">
        <f>PROPER(TRIM([1]RawShipmentData!G134))</f>
        <v>West</v>
      </c>
      <c r="I134" s="2" t="str">
        <f t="shared" si="10"/>
        <v>Yes</v>
      </c>
      <c r="J134" s="2">
        <f>IFERROR(VALUE(TRIM(SUBSTITUTE(UPPER([1]RawShipmentData!I134),"KG",""))),"")</f>
        <v>20.399999999999999</v>
      </c>
      <c r="K134" s="2">
        <f>VALUE(SUBSTITUTE(SUBSTITUTE(SUBSTITUTE(TRIM([1]RawShipmentData!J134),"₹",""),"Rs",""),",",""))</f>
        <v>428</v>
      </c>
      <c r="L134" s="2">
        <f>[1]RawShipmentData!K134</f>
        <v>8</v>
      </c>
      <c r="M134" s="3">
        <f>IF(TRIM([1]RawShipmentData!L134)="","",IF(ISNUMBER(SEARCH("/",TRIM([1]RawShipmentData!L134))),DATE(VALUE(RIGHT(TRIM([1]RawShipmentData!L134),4)),VALUE(MID(TRIM([1]RawShipmentData!L134),FIND("/",TRIM([1]RawShipmentData!L134))+1,2)),VALUE(LEFT(TRIM([1]RawShipmentData!L134),FIND("/",TRIM([1]RawShipmentData!L134))-1))),DATEVALUE(TRIM([1]RawShipmentData!L134))))</f>
        <v>45365</v>
      </c>
      <c r="N134" s="2">
        <f t="shared" si="11"/>
        <v>13</v>
      </c>
      <c r="O134" s="2">
        <f t="shared" si="12"/>
        <v>5</v>
      </c>
      <c r="P134" s="2" t="str">
        <f t="shared" si="13"/>
        <v>Late</v>
      </c>
      <c r="Q134" s="2" t="str">
        <f>PROPER(SUBSTITUTE(TRIM([1]RawShipmentData!M134)," ","-"))</f>
        <v>Delayed</v>
      </c>
      <c r="R134" s="4">
        <f t="shared" si="14"/>
        <v>20.980392156862745</v>
      </c>
      <c r="S134" s="2">
        <f>[1]RawShipmentData!N134</f>
        <v>3</v>
      </c>
      <c r="T134" s="2" t="str">
        <f>IF(OR(UPPER(TRIM([1]RawShipmentData!O134))="YES",UPPER(TRIM([1]RawShipmentData!O134))="Y"),"Yes","No")</f>
        <v>No</v>
      </c>
    </row>
    <row r="135" spans="1:20" x14ac:dyDescent="0.25">
      <c r="A135" s="2" t="str">
        <f>[1]RawShipmentData!A135</f>
        <v>SHP-100597</v>
      </c>
      <c r="B135" s="3">
        <f>IF(ISNUMBER(SEARCH("/",TRIM([1]RawShipmentData!B135))),DATE(VALUE(RIGHT(TRIM([1]RawShipmentData!B135),4)),VALUE(MID(TRIM([1]RawShipmentData!B135),FIND("/",TRIM([1]RawShipmentData!B135))+1,2)),VALUE(LEFT(TRIM([1]RawShipmentData!B135),FIND("/",TRIM([1]RawShipmentData!B135))-1))),DATEVALUE(TRIM([1]RawShipmentData!B135)))</f>
        <v>45296</v>
      </c>
      <c r="C135" s="2" t="str">
        <f>PROPER(TRIM([1]RawShipmentData!C135))</f>
        <v>Bengaluru</v>
      </c>
      <c r="D135" s="2" t="str">
        <f>IFERROR(INDEX([1]HubMaster!$B$2:$B$7,MATCH(C135,[1]HubMaster!$A$2:$A$7,0)),"Unknown")</f>
        <v>South</v>
      </c>
      <c r="E135" s="2" t="str">
        <f>PROPER(TRIM(SUBSTITUTE([1]RawShipmentData!D135,"  "," ")))</f>
        <v>Xpressbees</v>
      </c>
      <c r="F135" s="2" t="str">
        <f>PROPER(TRIM([1]RawShipmentData!E135))</f>
        <v>Surface</v>
      </c>
      <c r="G135" s="2" t="str">
        <f>PROPER(TRIM(SUBSTITUTE([1]RawShipmentData!F135,"  "," ")))</f>
        <v>Pharma</v>
      </c>
      <c r="H135" s="2" t="str">
        <f>PROPER(TRIM([1]RawShipmentData!G135))</f>
        <v>East</v>
      </c>
      <c r="I135" s="2" t="str">
        <f t="shared" si="10"/>
        <v>Yes</v>
      </c>
      <c r="J135" s="2">
        <f>IFERROR(VALUE(TRIM(SUBSTITUTE(UPPER([1]RawShipmentData!I135),"KG",""))),"")</f>
        <v>3.6</v>
      </c>
      <c r="K135" s="2">
        <f>VALUE(SUBSTITUTE(SUBSTITUTE(SUBSTITUTE(TRIM([1]RawShipmentData!J135),"₹",""),"Rs",""),",",""))</f>
        <v>246</v>
      </c>
      <c r="L135" s="2">
        <f>[1]RawShipmentData!K135</f>
        <v>6</v>
      </c>
      <c r="M135" s="3">
        <f>IF(TRIM([1]RawShipmentData!L135)="","",IF(ISNUMBER(SEARCH("/",TRIM([1]RawShipmentData!L135))),DATE(VALUE(RIGHT(TRIM([1]RawShipmentData!L135),4)),VALUE(MID(TRIM([1]RawShipmentData!L135),FIND("/",TRIM([1]RawShipmentData!L135))+1,2)),VALUE(LEFT(TRIM([1]RawShipmentData!L135),FIND("/",TRIM([1]RawShipmentData!L135))-1))),DATEVALUE(TRIM([1]RawShipmentData!L135))))</f>
        <v>45301</v>
      </c>
      <c r="N135" s="2">
        <f t="shared" si="11"/>
        <v>5</v>
      </c>
      <c r="O135" s="2">
        <f t="shared" si="12"/>
        <v>-1</v>
      </c>
      <c r="P135" s="2" t="str">
        <f t="shared" si="13"/>
        <v>On Time</v>
      </c>
      <c r="Q135" s="2" t="str">
        <f>PROPER(SUBSTITUTE(TRIM([1]RawShipmentData!M135)," ","-"))</f>
        <v>Delivered</v>
      </c>
      <c r="R135" s="4">
        <f t="shared" si="14"/>
        <v>68.333333333333329</v>
      </c>
      <c r="S135" s="2">
        <f>[1]RawShipmentData!N135</f>
        <v>4</v>
      </c>
      <c r="T135" s="2" t="str">
        <f>IF(OR(UPPER(TRIM([1]RawShipmentData!O135))="YES",UPPER(TRIM([1]RawShipmentData!O135))="Y"),"Yes","No")</f>
        <v>No</v>
      </c>
    </row>
    <row r="136" spans="1:20" x14ac:dyDescent="0.25">
      <c r="A136" s="2" t="str">
        <f>[1]RawShipmentData!A136</f>
        <v>SHP-101121</v>
      </c>
      <c r="B136" s="3">
        <f>IF(ISNUMBER(SEARCH("/",TRIM([1]RawShipmentData!B136))),DATE(VALUE(RIGHT(TRIM([1]RawShipmentData!B136),4)),VALUE(MID(TRIM([1]RawShipmentData!B136),FIND("/",TRIM([1]RawShipmentData!B136))+1,2)),VALUE(LEFT(TRIM([1]RawShipmentData!B136),FIND("/",TRIM([1]RawShipmentData!B136))-1))),DATEVALUE(TRIM([1]RawShipmentData!B136)))</f>
        <v>45454</v>
      </c>
      <c r="C136" s="2" t="str">
        <f>PROPER(TRIM([1]RawShipmentData!C136))</f>
        <v>Kolkata</v>
      </c>
      <c r="D136" s="2" t="str">
        <f>IFERROR(INDEX([1]HubMaster!$B$2:$B$7,MATCH(C136,[1]HubMaster!$A$2:$A$7,0)),"Unknown")</f>
        <v>East</v>
      </c>
      <c r="E136" s="2" t="str">
        <f>PROPER(TRIM(SUBSTITUTE([1]RawShipmentData!D136,"  "," ")))</f>
        <v>Bluedart</v>
      </c>
      <c r="F136" s="2" t="str">
        <f>PROPER(TRIM([1]RawShipmentData!E136))</f>
        <v>Road</v>
      </c>
      <c r="G136" s="2" t="str">
        <f>PROPER(TRIM(SUBSTITUTE([1]RawShipmentData!F136,"  "," ")))</f>
        <v>Pharma</v>
      </c>
      <c r="H136" s="2" t="str">
        <f>PROPER(TRIM([1]RawShipmentData!G136))</f>
        <v>West</v>
      </c>
      <c r="I136" s="2" t="str">
        <f t="shared" si="10"/>
        <v>Yes</v>
      </c>
      <c r="J136" s="2">
        <f>IFERROR(VALUE(TRIM(SUBSTITUTE(UPPER([1]RawShipmentData!I136),"KG",""))),"")</f>
        <v>4.8</v>
      </c>
      <c r="K136" s="2">
        <f>VALUE(SUBSTITUTE(SUBSTITUTE(SUBSTITUTE(TRIM([1]RawShipmentData!J136),"₹",""),"Rs",""),",",""))</f>
        <v>275</v>
      </c>
      <c r="L136" s="2">
        <f>[1]RawShipmentData!K136</f>
        <v>8</v>
      </c>
      <c r="M136" s="3">
        <f>IF(TRIM([1]RawShipmentData!L136)="","",IF(ISNUMBER(SEARCH("/",TRIM([1]RawShipmentData!L136))),DATE(VALUE(RIGHT(TRIM([1]RawShipmentData!L136),4)),VALUE(MID(TRIM([1]RawShipmentData!L136),FIND("/",TRIM([1]RawShipmentData!L136))+1,2)),VALUE(LEFT(TRIM([1]RawShipmentData!L136),FIND("/",TRIM([1]RawShipmentData!L136))-1))),DATEVALUE(TRIM([1]RawShipmentData!L136))))</f>
        <v>45462</v>
      </c>
      <c r="N136" s="2">
        <f t="shared" si="11"/>
        <v>8</v>
      </c>
      <c r="O136" s="2">
        <f t="shared" si="12"/>
        <v>0</v>
      </c>
      <c r="P136" s="2" t="str">
        <f t="shared" si="13"/>
        <v>On Time</v>
      </c>
      <c r="Q136" s="2" t="str">
        <f>PROPER(SUBSTITUTE(TRIM([1]RawShipmentData!M136)," ","-"))</f>
        <v>Delivered</v>
      </c>
      <c r="R136" s="4">
        <f t="shared" si="14"/>
        <v>57.291666666666671</v>
      </c>
      <c r="S136" s="2">
        <f>[1]RawShipmentData!N136</f>
        <v>4</v>
      </c>
      <c r="T136" s="2" t="str">
        <f>IF(OR(UPPER(TRIM([1]RawShipmentData!O136))="YES",UPPER(TRIM([1]RawShipmentData!O136))="Y"),"Yes","No")</f>
        <v>Yes</v>
      </c>
    </row>
    <row r="137" spans="1:20" x14ac:dyDescent="0.25">
      <c r="A137" s="2" t="str">
        <f>[1]RawShipmentData!A137</f>
        <v>SHP-101349</v>
      </c>
      <c r="B137" s="3">
        <f>IF(ISNUMBER(SEARCH("/",TRIM([1]RawShipmentData!B137))),DATE(VALUE(RIGHT(TRIM([1]RawShipmentData!B137),4)),VALUE(MID(TRIM([1]RawShipmentData!B137),FIND("/",TRIM([1]RawShipmentData!B137))+1,2)),VALUE(LEFT(TRIM([1]RawShipmentData!B137),FIND("/",TRIM([1]RawShipmentData!B137))-1))),DATEVALUE(TRIM([1]RawShipmentData!B137)))</f>
        <v>45319</v>
      </c>
      <c r="C137" s="2" t="str">
        <f>PROPER(TRIM([1]RawShipmentData!C137))</f>
        <v>Kolkata</v>
      </c>
      <c r="D137" s="2" t="str">
        <f>IFERROR(INDEX([1]HubMaster!$B$2:$B$7,MATCH(C137,[1]HubMaster!$A$2:$A$7,0)),"Unknown")</f>
        <v>East</v>
      </c>
      <c r="E137" s="2" t="str">
        <f>PROPER(TRIM(SUBSTITUTE([1]RawShipmentData!D137,"  "," ")))</f>
        <v>Bluedart</v>
      </c>
      <c r="F137" s="2" t="str">
        <f>PROPER(TRIM([1]RawShipmentData!E137))</f>
        <v>Road</v>
      </c>
      <c r="G137" s="2" t="str">
        <f>PROPER(TRIM(SUBSTITUTE([1]RawShipmentData!F137,"  "," ")))</f>
        <v>Electronics</v>
      </c>
      <c r="H137" s="2" t="str">
        <f>PROPER(TRIM([1]RawShipmentData!G137))</f>
        <v>North</v>
      </c>
      <c r="I137" s="2" t="str">
        <f t="shared" si="10"/>
        <v>Yes</v>
      </c>
      <c r="J137" s="2">
        <f>IFERROR(VALUE(TRIM(SUBSTITUTE(UPPER([1]RawShipmentData!I137),"KG",""))),"")</f>
        <v>1.3</v>
      </c>
      <c r="K137" s="2">
        <f>VALUE(SUBSTITUTE(SUBSTITUTE(SUBSTITUTE(TRIM([1]RawShipmentData!J137),"₹",""),"Rs",""),",",""))</f>
        <v>155</v>
      </c>
      <c r="L137" s="2">
        <f>[1]RawShipmentData!K137</f>
        <v>8</v>
      </c>
      <c r="M137" s="3">
        <f>IF(TRIM([1]RawShipmentData!L137)="","",IF(ISNUMBER(SEARCH("/",TRIM([1]RawShipmentData!L137))),DATE(VALUE(RIGHT(TRIM([1]RawShipmentData!L137),4)),VALUE(MID(TRIM([1]RawShipmentData!L137),FIND("/",TRIM([1]RawShipmentData!L137))+1,2)),VALUE(LEFT(TRIM([1]RawShipmentData!L137),FIND("/",TRIM([1]RawShipmentData!L137))-1))),DATEVALUE(TRIM([1]RawShipmentData!L137))))</f>
        <v>45327</v>
      </c>
      <c r="N137" s="2">
        <f t="shared" si="11"/>
        <v>8</v>
      </c>
      <c r="O137" s="2">
        <f t="shared" si="12"/>
        <v>0</v>
      </c>
      <c r="P137" s="2" t="str">
        <f t="shared" si="13"/>
        <v>On Time</v>
      </c>
      <c r="Q137" s="2" t="str">
        <f>PROPER(SUBSTITUTE(TRIM([1]RawShipmentData!M137)," ","-"))</f>
        <v>Delivered</v>
      </c>
      <c r="R137" s="4">
        <f t="shared" si="14"/>
        <v>119.23076923076923</v>
      </c>
      <c r="S137" s="2">
        <f>[1]RawShipmentData!N137</f>
        <v>4</v>
      </c>
      <c r="T137" s="2" t="str">
        <f>IF(OR(UPPER(TRIM([1]RawShipmentData!O137))="YES",UPPER(TRIM([1]RawShipmentData!O137))="Y"),"Yes","No")</f>
        <v>No</v>
      </c>
    </row>
    <row r="138" spans="1:20" x14ac:dyDescent="0.25">
      <c r="A138" s="2" t="str">
        <f>[1]RawShipmentData!A138</f>
        <v>SHP-101342</v>
      </c>
      <c r="B138" s="3">
        <f>IF(ISNUMBER(SEARCH("/",TRIM([1]RawShipmentData!B138))),DATE(VALUE(RIGHT(TRIM([1]RawShipmentData!B138),4)),VALUE(MID(TRIM([1]RawShipmentData!B138),FIND("/",TRIM([1]RawShipmentData!B138))+1,2)),VALUE(LEFT(TRIM([1]RawShipmentData!B138),FIND("/",TRIM([1]RawShipmentData!B138))-1))),DATEVALUE(TRIM([1]RawShipmentData!B138)))</f>
        <v>45375</v>
      </c>
      <c r="C138" s="2" t="str">
        <f>PROPER(TRIM([1]RawShipmentData!C138))</f>
        <v>Delhi</v>
      </c>
      <c r="D138" s="2" t="str">
        <f>IFERROR(INDEX([1]HubMaster!$B$2:$B$7,MATCH(C138,[1]HubMaster!$A$2:$A$7,0)),"Unknown")</f>
        <v>North</v>
      </c>
      <c r="E138" s="2" t="str">
        <f>PROPER(TRIM(SUBSTITUTE([1]RawShipmentData!D138,"  "," ")))</f>
        <v>Delhivery</v>
      </c>
      <c r="F138" s="2" t="str">
        <f>PROPER(TRIM([1]RawShipmentData!E138))</f>
        <v>Surface</v>
      </c>
      <c r="G138" s="2" t="str">
        <f>PROPER(TRIM(SUBSTITUTE([1]RawShipmentData!F138,"  "," ")))</f>
        <v>Grocery &amp; Fmcg</v>
      </c>
      <c r="H138" s="2" t="str">
        <f>PROPER(TRIM([1]RawShipmentData!G138))</f>
        <v>West</v>
      </c>
      <c r="I138" s="2" t="str">
        <f t="shared" si="10"/>
        <v>Yes</v>
      </c>
      <c r="J138" s="2">
        <f>IFERROR(VALUE(TRIM(SUBSTITUTE(UPPER([1]RawShipmentData!I138),"KG",""))),"")</f>
        <v>2.6</v>
      </c>
      <c r="K138" s="2">
        <f>VALUE(SUBSTITUTE(SUBSTITUTE(SUBSTITUTE(TRIM([1]RawShipmentData!J138),"₹",""),"Rs",""),",",""))</f>
        <v>224</v>
      </c>
      <c r="L138" s="2">
        <f>[1]RawShipmentData!K138</f>
        <v>6</v>
      </c>
      <c r="M138" s="3">
        <f>IF(TRIM([1]RawShipmentData!L138)="","",IF(ISNUMBER(SEARCH("/",TRIM([1]RawShipmentData!L138))),DATE(VALUE(RIGHT(TRIM([1]RawShipmentData!L138),4)),VALUE(MID(TRIM([1]RawShipmentData!L138),FIND("/",TRIM([1]RawShipmentData!L138))+1,2)),VALUE(LEFT(TRIM([1]RawShipmentData!L138),FIND("/",TRIM([1]RawShipmentData!L138))-1))),DATEVALUE(TRIM([1]RawShipmentData!L138))))</f>
        <v>45380</v>
      </c>
      <c r="N138" s="2">
        <f t="shared" si="11"/>
        <v>5</v>
      </c>
      <c r="O138" s="2">
        <f t="shared" si="12"/>
        <v>-1</v>
      </c>
      <c r="P138" s="2" t="str">
        <f t="shared" si="13"/>
        <v>On Time</v>
      </c>
      <c r="Q138" s="2" t="str">
        <f>PROPER(SUBSTITUTE(TRIM([1]RawShipmentData!M138)," ","-"))</f>
        <v>Delivered</v>
      </c>
      <c r="R138" s="4">
        <f t="shared" si="14"/>
        <v>86.153846153846146</v>
      </c>
      <c r="S138" s="2">
        <f>[1]RawShipmentData!N138</f>
        <v>3</v>
      </c>
      <c r="T138" s="2" t="str">
        <f>IF(OR(UPPER(TRIM([1]RawShipmentData!O138))="YES",UPPER(TRIM([1]RawShipmentData!O138))="Y"),"Yes","No")</f>
        <v>No</v>
      </c>
    </row>
    <row r="139" spans="1:20" x14ac:dyDescent="0.25">
      <c r="A139" s="2" t="str">
        <f>[1]RawShipmentData!A139</f>
        <v>SHP-101036</v>
      </c>
      <c r="B139" s="3">
        <f>IF(ISNUMBER(SEARCH("/",TRIM([1]RawShipmentData!B139))),DATE(VALUE(RIGHT(TRIM([1]RawShipmentData!B139),4)),VALUE(MID(TRIM([1]RawShipmentData!B139),FIND("/",TRIM([1]RawShipmentData!B139))+1,2)),VALUE(LEFT(TRIM([1]RawShipmentData!B139),FIND("/",TRIM([1]RawShipmentData!B139))-1))),DATEVALUE(TRIM([1]RawShipmentData!B139)))</f>
        <v>45378</v>
      </c>
      <c r="C139" s="2" t="str">
        <f>PROPER(TRIM([1]RawShipmentData!C139))</f>
        <v>Hyderabad</v>
      </c>
      <c r="D139" s="2" t="str">
        <f>IFERROR(INDEX([1]HubMaster!$B$2:$B$7,MATCH(C139,[1]HubMaster!$A$2:$A$7,0)),"Unknown")</f>
        <v>West</v>
      </c>
      <c r="E139" s="2" t="str">
        <f>PROPER(TRIM(SUBSTITUTE([1]RawShipmentData!D139,"  "," ")))</f>
        <v>Delhivery</v>
      </c>
      <c r="F139" s="2" t="str">
        <f>PROPER(TRIM([1]RawShipmentData!E139))</f>
        <v>Air</v>
      </c>
      <c r="G139" s="2" t="str">
        <f>PROPER(TRIM(SUBSTITUTE([1]RawShipmentData!F139,"  "," ")))</f>
        <v>Grocery &amp; Fmcg</v>
      </c>
      <c r="H139" s="2" t="str">
        <f>PROPER(TRIM([1]RawShipmentData!G139))</f>
        <v>East</v>
      </c>
      <c r="I139" s="2" t="str">
        <f t="shared" si="10"/>
        <v>Yes</v>
      </c>
      <c r="J139" s="2">
        <f>IFERROR(VALUE(TRIM(SUBSTITUTE(UPPER([1]RawShipmentData!I139),"KG",""))),"")</f>
        <v>6.9</v>
      </c>
      <c r="K139" s="2">
        <f>VALUE(SUBSTITUTE(SUBSTITUTE(SUBSTITUTE(TRIM([1]RawShipmentData!J139),"₹",""),"Rs",""),",",""))</f>
        <v>434</v>
      </c>
      <c r="L139" s="2">
        <f>[1]RawShipmentData!K139</f>
        <v>4</v>
      </c>
      <c r="M139" s="3">
        <f>IF(TRIM([1]RawShipmentData!L139)="","",IF(ISNUMBER(SEARCH("/",TRIM([1]RawShipmentData!L139))),DATE(VALUE(RIGHT(TRIM([1]RawShipmentData!L139),4)),VALUE(MID(TRIM([1]RawShipmentData!L139),FIND("/",TRIM([1]RawShipmentData!L139))+1,2)),VALUE(LEFT(TRIM([1]RawShipmentData!L139),FIND("/",TRIM([1]RawShipmentData!L139))-1))),DATEVALUE(TRIM([1]RawShipmentData!L139))))</f>
        <v>45383</v>
      </c>
      <c r="N139" s="2">
        <f t="shared" si="11"/>
        <v>5</v>
      </c>
      <c r="O139" s="2">
        <f t="shared" si="12"/>
        <v>1</v>
      </c>
      <c r="P139" s="2" t="str">
        <f t="shared" si="13"/>
        <v>Late</v>
      </c>
      <c r="Q139" s="2" t="str">
        <f>PROPER(SUBSTITUTE(TRIM([1]RawShipmentData!M139)," ","-"))</f>
        <v>Delayed</v>
      </c>
      <c r="R139" s="4">
        <f t="shared" si="14"/>
        <v>62.89855072463768</v>
      </c>
      <c r="S139" s="2">
        <f>[1]RawShipmentData!N139</f>
        <v>3</v>
      </c>
      <c r="T139" s="2" t="str">
        <f>IF(OR(UPPER(TRIM([1]RawShipmentData!O139))="YES",UPPER(TRIM([1]RawShipmentData!O139))="Y"),"Yes","No")</f>
        <v>No</v>
      </c>
    </row>
    <row r="140" spans="1:20" x14ac:dyDescent="0.25">
      <c r="A140" s="2" t="str">
        <f>[1]RawShipmentData!A140</f>
        <v>SHP-101415</v>
      </c>
      <c r="B140" s="3">
        <f>IF(ISNUMBER(SEARCH("/",TRIM([1]RawShipmentData!B140))),DATE(VALUE(RIGHT(TRIM([1]RawShipmentData!B140),4)),VALUE(MID(TRIM([1]RawShipmentData!B140),FIND("/",TRIM([1]RawShipmentData!B140))+1,2)),VALUE(LEFT(TRIM([1]RawShipmentData!B140),FIND("/",TRIM([1]RawShipmentData!B140))-1))),DATEVALUE(TRIM([1]RawShipmentData!B140)))</f>
        <v>45432</v>
      </c>
      <c r="C140" s="2" t="str">
        <f>PROPER(TRIM([1]RawShipmentData!C140))</f>
        <v>Kolkata</v>
      </c>
      <c r="D140" s="2" t="str">
        <f>IFERROR(INDEX([1]HubMaster!$B$2:$B$7,MATCH(C140,[1]HubMaster!$A$2:$A$7,0)),"Unknown")</f>
        <v>East</v>
      </c>
      <c r="E140" s="2" t="str">
        <f>PROPER(TRIM(SUBSTITUTE([1]RawShipmentData!D140,"  "," ")))</f>
        <v>Ecom Express</v>
      </c>
      <c r="F140" s="2" t="str">
        <f>PROPER(TRIM([1]RawShipmentData!E140))</f>
        <v>Surface</v>
      </c>
      <c r="G140" s="2" t="str">
        <f>PROPER(TRIM(SUBSTITUTE([1]RawShipmentData!F140,"  "," ")))</f>
        <v>Furniture</v>
      </c>
      <c r="H140" s="2" t="str">
        <f>PROPER(TRIM([1]RawShipmentData!G140))</f>
        <v>South</v>
      </c>
      <c r="I140" s="2" t="str">
        <f t="shared" si="10"/>
        <v>Yes</v>
      </c>
      <c r="J140" s="2">
        <f>IFERROR(VALUE(TRIM(SUBSTITUTE(UPPER([1]RawShipmentData!I140),"KG",""))),"")</f>
        <v>32.700000000000003</v>
      </c>
      <c r="K140" s="2">
        <f>VALUE(SUBSTITUTE(SUBSTITUTE(SUBSTITUTE(TRIM([1]RawShipmentData!J140),"₹",""),"Rs",""),",",""))</f>
        <v>897</v>
      </c>
      <c r="L140" s="2">
        <f>[1]RawShipmentData!K140</f>
        <v>6</v>
      </c>
      <c r="M140" s="3">
        <f>IF(TRIM([1]RawShipmentData!L140)="","",IF(ISNUMBER(SEARCH("/",TRIM([1]RawShipmentData!L140))),DATE(VALUE(RIGHT(TRIM([1]RawShipmentData!L140),4)),VALUE(MID(TRIM([1]RawShipmentData!L140),FIND("/",TRIM([1]RawShipmentData!L140))+1,2)),VALUE(LEFT(TRIM([1]RawShipmentData!L140),FIND("/",TRIM([1]RawShipmentData!L140))-1))),DATEVALUE(TRIM([1]RawShipmentData!L140))))</f>
        <v>45443</v>
      </c>
      <c r="N140" s="2">
        <f t="shared" si="11"/>
        <v>11</v>
      </c>
      <c r="O140" s="2">
        <f t="shared" si="12"/>
        <v>5</v>
      </c>
      <c r="P140" s="2" t="str">
        <f t="shared" si="13"/>
        <v>Late</v>
      </c>
      <c r="Q140" s="2" t="str">
        <f>PROPER(SUBSTITUTE(TRIM([1]RawShipmentData!M140)," ","-"))</f>
        <v>Delayed</v>
      </c>
      <c r="R140" s="4">
        <f t="shared" si="14"/>
        <v>27.431192660550455</v>
      </c>
      <c r="S140" s="2">
        <f>[1]RawShipmentData!N140</f>
        <v>3</v>
      </c>
      <c r="T140" s="2" t="str">
        <f>IF(OR(UPPER(TRIM([1]RawShipmentData!O140))="YES",UPPER(TRIM([1]RawShipmentData!O140))="Y"),"Yes","No")</f>
        <v>No</v>
      </c>
    </row>
    <row r="141" spans="1:20" x14ac:dyDescent="0.25">
      <c r="A141" s="2" t="str">
        <f>[1]RawShipmentData!A141</f>
        <v>SHP-101499</v>
      </c>
      <c r="B141" s="3">
        <f>IF(ISNUMBER(SEARCH("/",TRIM([1]RawShipmentData!B141))),DATE(VALUE(RIGHT(TRIM([1]RawShipmentData!B141),4)),VALUE(MID(TRIM([1]RawShipmentData!B141),FIND("/",TRIM([1]RawShipmentData!B141))+1,2)),VALUE(LEFT(TRIM([1]RawShipmentData!B141),FIND("/",TRIM([1]RawShipmentData!B141))-1))),DATEVALUE(TRIM([1]RawShipmentData!B141)))</f>
        <v>45415</v>
      </c>
      <c r="C141" s="2" t="str">
        <f>PROPER(TRIM([1]RawShipmentData!C141))</f>
        <v>Delhi</v>
      </c>
      <c r="D141" s="2" t="str">
        <f>IFERROR(INDEX([1]HubMaster!$B$2:$B$7,MATCH(C141,[1]HubMaster!$A$2:$A$7,0)),"Unknown")</f>
        <v>North</v>
      </c>
      <c r="E141" s="2" t="str">
        <f>PROPER(TRIM(SUBSTITUTE([1]RawShipmentData!D141,"  "," ")))</f>
        <v>Bluedart</v>
      </c>
      <c r="F141" s="2" t="str">
        <f>PROPER(TRIM([1]RawShipmentData!E141))</f>
        <v>Road</v>
      </c>
      <c r="G141" s="2" t="str">
        <f>PROPER(TRIM(SUBSTITUTE([1]RawShipmentData!F141,"  "," ")))</f>
        <v>Furniture</v>
      </c>
      <c r="H141" s="2" t="str">
        <f>PROPER(TRIM([1]RawShipmentData!G141))</f>
        <v>West</v>
      </c>
      <c r="I141" s="2" t="str">
        <f t="shared" si="10"/>
        <v>Yes</v>
      </c>
      <c r="J141" s="2">
        <f>IFERROR(VALUE(TRIM(SUBSTITUTE(UPPER([1]RawShipmentData!I141),"KG",""))),"")</f>
        <v>29.8</v>
      </c>
      <c r="K141" s="2">
        <f>VALUE(SUBSTITUTE(SUBSTITUTE(SUBSTITUTE(TRIM([1]RawShipmentData!J141),"₹",""),"Rs",""),",",""))</f>
        <v>542</v>
      </c>
      <c r="L141" s="2">
        <f>[1]RawShipmentData!K141</f>
        <v>8</v>
      </c>
      <c r="M141" s="3">
        <f>IF(TRIM([1]RawShipmentData!L141)="","",IF(ISNUMBER(SEARCH("/",TRIM([1]RawShipmentData!L141))),DATE(VALUE(RIGHT(TRIM([1]RawShipmentData!L141),4)),VALUE(MID(TRIM([1]RawShipmentData!L141),FIND("/",TRIM([1]RawShipmentData!L141))+1,2)),VALUE(LEFT(TRIM([1]RawShipmentData!L141),FIND("/",TRIM([1]RawShipmentData!L141))-1))),DATEVALUE(TRIM([1]RawShipmentData!L141))))</f>
        <v>45424</v>
      </c>
      <c r="N141" s="2">
        <f t="shared" si="11"/>
        <v>9</v>
      </c>
      <c r="O141" s="2">
        <f t="shared" si="12"/>
        <v>1</v>
      </c>
      <c r="P141" s="2" t="str">
        <f t="shared" si="13"/>
        <v>Late</v>
      </c>
      <c r="Q141" s="2" t="str">
        <f>PROPER(SUBSTITUTE(TRIM([1]RawShipmentData!M141)," ","-"))</f>
        <v>Delayed</v>
      </c>
      <c r="R141" s="4">
        <f t="shared" si="14"/>
        <v>18.187919463087248</v>
      </c>
      <c r="S141" s="2">
        <f>[1]RawShipmentData!N141</f>
        <v>2</v>
      </c>
      <c r="T141" s="2" t="str">
        <f>IF(OR(UPPER(TRIM([1]RawShipmentData!O141))="YES",UPPER(TRIM([1]RawShipmentData!O141))="Y"),"Yes","No")</f>
        <v>Yes</v>
      </c>
    </row>
    <row r="142" spans="1:20" x14ac:dyDescent="0.25">
      <c r="A142" s="2" t="str">
        <f>[1]RawShipmentData!A142</f>
        <v>SHP-101159</v>
      </c>
      <c r="B142" s="3">
        <f>IF(ISNUMBER(SEARCH("/",TRIM([1]RawShipmentData!B142))),DATE(VALUE(RIGHT(TRIM([1]RawShipmentData!B142),4)),VALUE(MID(TRIM([1]RawShipmentData!B142),FIND("/",TRIM([1]RawShipmentData!B142))+1,2)),VALUE(LEFT(TRIM([1]RawShipmentData!B142),FIND("/",TRIM([1]RawShipmentData!B142))-1))),DATEVALUE(TRIM([1]RawShipmentData!B142)))</f>
        <v>45389</v>
      </c>
      <c r="C142" s="2" t="str">
        <f>PROPER(TRIM([1]RawShipmentData!C142))</f>
        <v>Hyderabad</v>
      </c>
      <c r="D142" s="2" t="str">
        <f>IFERROR(INDEX([1]HubMaster!$B$2:$B$7,MATCH(C142,[1]HubMaster!$A$2:$A$7,0)),"Unknown")</f>
        <v>West</v>
      </c>
      <c r="E142" s="2" t="str">
        <f>PROPER(TRIM(SUBSTITUTE([1]RawShipmentData!D142,"  "," ")))</f>
        <v>Xpressbees</v>
      </c>
      <c r="F142" s="2" t="str">
        <f>PROPER(TRIM([1]RawShipmentData!E142))</f>
        <v>Air</v>
      </c>
      <c r="G142" s="2" t="str">
        <f>PROPER(TRIM(SUBSTITUTE([1]RawShipmentData!F142,"  "," ")))</f>
        <v>Electronics</v>
      </c>
      <c r="H142" s="2" t="str">
        <f>PROPER(TRIM([1]RawShipmentData!G142))</f>
        <v>West</v>
      </c>
      <c r="I142" s="2" t="str">
        <f t="shared" si="10"/>
        <v>No</v>
      </c>
      <c r="J142" s="2">
        <f>IFERROR(VALUE(TRIM(SUBSTITUTE(UPPER([1]RawShipmentData!I142),"KG",""))),"")</f>
        <v>5.5</v>
      </c>
      <c r="K142" s="2">
        <f>VALUE(SUBSTITUTE(SUBSTITUTE(SUBSTITUTE(TRIM([1]RawShipmentData!J142),"₹",""),"Rs",""),",",""))</f>
        <v>256</v>
      </c>
      <c r="L142" s="2">
        <f>[1]RawShipmentData!K142</f>
        <v>2</v>
      </c>
      <c r="M142" s="3">
        <f>IF(TRIM([1]RawShipmentData!L142)="","",IF(ISNUMBER(SEARCH("/",TRIM([1]RawShipmentData!L142))),DATE(VALUE(RIGHT(TRIM([1]RawShipmentData!L142),4)),VALUE(MID(TRIM([1]RawShipmentData!L142),FIND("/",TRIM([1]RawShipmentData!L142))+1,2)),VALUE(LEFT(TRIM([1]RawShipmentData!L142),FIND("/",TRIM([1]RawShipmentData!L142))-1))),DATEVALUE(TRIM([1]RawShipmentData!L142))))</f>
        <v>45391</v>
      </c>
      <c r="N142" s="2">
        <f t="shared" si="11"/>
        <v>2</v>
      </c>
      <c r="O142" s="2">
        <f t="shared" si="12"/>
        <v>0</v>
      </c>
      <c r="P142" s="2" t="str">
        <f t="shared" si="13"/>
        <v>On Time</v>
      </c>
      <c r="Q142" s="2" t="str">
        <f>PROPER(SUBSTITUTE(TRIM([1]RawShipmentData!M142)," ","-"))</f>
        <v>Delivered</v>
      </c>
      <c r="R142" s="4">
        <f t="shared" si="14"/>
        <v>46.545454545454547</v>
      </c>
      <c r="S142" s="2">
        <f>[1]RawShipmentData!N142</f>
        <v>5</v>
      </c>
      <c r="T142" s="2" t="str">
        <f>IF(OR(UPPER(TRIM([1]RawShipmentData!O142))="YES",UPPER(TRIM([1]RawShipmentData!O142))="Y"),"Yes","No")</f>
        <v>No</v>
      </c>
    </row>
    <row r="143" spans="1:20" x14ac:dyDescent="0.25">
      <c r="A143" s="2" t="str">
        <f>[1]RawShipmentData!A143</f>
        <v>SHP-101217</v>
      </c>
      <c r="B143" s="3">
        <f>IF(ISNUMBER(SEARCH("/",TRIM([1]RawShipmentData!B143))),DATE(VALUE(RIGHT(TRIM([1]RawShipmentData!B143),4)),VALUE(MID(TRIM([1]RawShipmentData!B143),FIND("/",TRIM([1]RawShipmentData!B143))+1,2)),VALUE(LEFT(TRIM([1]RawShipmentData!B143),FIND("/",TRIM([1]RawShipmentData!B143))-1))),DATEVALUE(TRIM([1]RawShipmentData!B143)))</f>
        <v>45316</v>
      </c>
      <c r="C143" s="2" t="str">
        <f>PROPER(TRIM([1]RawShipmentData!C143))</f>
        <v>Bengaluru</v>
      </c>
      <c r="D143" s="2" t="str">
        <f>IFERROR(INDEX([1]HubMaster!$B$2:$B$7,MATCH(C143,[1]HubMaster!$A$2:$A$7,0)),"Unknown")</f>
        <v>South</v>
      </c>
      <c r="E143" s="2" t="str">
        <f>PROPER(TRIM(SUBSTITUTE([1]RawShipmentData!D143,"  "," ")))</f>
        <v>Dtdc</v>
      </c>
      <c r="F143" s="2" t="str">
        <f>PROPER(TRIM([1]RawShipmentData!E143))</f>
        <v>Surface</v>
      </c>
      <c r="G143" s="2" t="str">
        <f>PROPER(TRIM(SUBSTITUTE([1]RawShipmentData!F143,"  "," ")))</f>
        <v>Automotive Parts</v>
      </c>
      <c r="H143" s="2" t="str">
        <f>PROPER(TRIM([1]RawShipmentData!G143))</f>
        <v>South</v>
      </c>
      <c r="I143" s="2" t="str">
        <f t="shared" si="10"/>
        <v>No</v>
      </c>
      <c r="J143" s="2">
        <f>IFERROR(VALUE(TRIM(SUBSTITUTE(UPPER([1]RawShipmentData!I143),"KG",""))),"")</f>
        <v>12.1</v>
      </c>
      <c r="K143" s="2">
        <f>VALUE(SUBSTITUTE(SUBSTITUTE(SUBSTITUTE(TRIM([1]RawShipmentData!J143),"₹",""),"Rs",""),",",""))</f>
        <v>264</v>
      </c>
      <c r="L143" s="2">
        <f>[1]RawShipmentData!K143</f>
        <v>4</v>
      </c>
      <c r="M143" s="3">
        <f>IF(TRIM([1]RawShipmentData!L143)="","",IF(ISNUMBER(SEARCH("/",TRIM([1]RawShipmentData!L143))),DATE(VALUE(RIGHT(TRIM([1]RawShipmentData!L143),4)),VALUE(MID(TRIM([1]RawShipmentData!L143),FIND("/",TRIM([1]RawShipmentData!L143))+1,2)),VALUE(LEFT(TRIM([1]RawShipmentData!L143),FIND("/",TRIM([1]RawShipmentData!L143))-1))),DATEVALUE(TRIM([1]RawShipmentData!L143))))</f>
        <v>45326</v>
      </c>
      <c r="N143" s="2">
        <f t="shared" si="11"/>
        <v>10</v>
      </c>
      <c r="O143" s="2">
        <f t="shared" si="12"/>
        <v>6</v>
      </c>
      <c r="P143" s="2" t="str">
        <f t="shared" si="13"/>
        <v>Late</v>
      </c>
      <c r="Q143" s="2" t="str">
        <f>PROPER(SUBSTITUTE(TRIM([1]RawShipmentData!M143)," ","-"))</f>
        <v>Delayed</v>
      </c>
      <c r="R143" s="4">
        <f t="shared" si="14"/>
        <v>21.81818181818182</v>
      </c>
      <c r="S143" s="2">
        <f>[1]RawShipmentData!N143</f>
        <v>3</v>
      </c>
      <c r="T143" s="2" t="str">
        <f>IF(OR(UPPER(TRIM([1]RawShipmentData!O143))="YES",UPPER(TRIM([1]RawShipmentData!O143))="Y"),"Yes","No")</f>
        <v>No</v>
      </c>
    </row>
    <row r="144" spans="1:20" x14ac:dyDescent="0.25">
      <c r="A144" s="2" t="str">
        <f>[1]RawShipmentData!A144</f>
        <v>SHP-100974</v>
      </c>
      <c r="B144" s="3">
        <f>IF(ISNUMBER(SEARCH("/",TRIM([1]RawShipmentData!B144))),DATE(VALUE(RIGHT(TRIM([1]RawShipmentData!B144),4)),VALUE(MID(TRIM([1]RawShipmentData!B144),FIND("/",TRIM([1]RawShipmentData!B144))+1,2)),VALUE(LEFT(TRIM([1]RawShipmentData!B144),FIND("/",TRIM([1]RawShipmentData!B144))-1))),DATEVALUE(TRIM([1]RawShipmentData!B144)))</f>
        <v>45453</v>
      </c>
      <c r="C144" s="2" t="str">
        <f>PROPER(TRIM([1]RawShipmentData!C144))</f>
        <v>Bengaluru</v>
      </c>
      <c r="D144" s="2" t="str">
        <f>IFERROR(INDEX([1]HubMaster!$B$2:$B$7,MATCH(C144,[1]HubMaster!$A$2:$A$7,0)),"Unknown")</f>
        <v>South</v>
      </c>
      <c r="E144" s="2" t="str">
        <f>PROPER(TRIM(SUBSTITUTE([1]RawShipmentData!D144,"  "," ")))</f>
        <v>Bluedart</v>
      </c>
      <c r="F144" s="2" t="str">
        <f>PROPER(TRIM([1]RawShipmentData!E144))</f>
        <v>Road</v>
      </c>
      <c r="G144" s="2" t="str">
        <f>PROPER(TRIM(SUBSTITUTE([1]RawShipmentData!F144,"  "," ")))</f>
        <v>Automotive Parts</v>
      </c>
      <c r="H144" s="2" t="str">
        <f>PROPER(TRIM([1]RawShipmentData!G144))</f>
        <v>East</v>
      </c>
      <c r="I144" s="2" t="str">
        <f t="shared" si="10"/>
        <v>Yes</v>
      </c>
      <c r="J144" s="2">
        <f>IFERROR(VALUE(TRIM(SUBSTITUTE(UPPER([1]RawShipmentData!I144),"KG",""))),"")</f>
        <v>25.7</v>
      </c>
      <c r="K144" s="2">
        <f>VALUE(SUBSTITUTE(SUBSTITUTE(SUBSTITUTE(TRIM([1]RawShipmentData!J144),"₹",""),"Rs",""),",",""))</f>
        <v>525</v>
      </c>
      <c r="L144" s="2">
        <f>[1]RawShipmentData!K144</f>
        <v>8</v>
      </c>
      <c r="M144" s="3">
        <f>IF(TRIM([1]RawShipmentData!L144)="","",IF(ISNUMBER(SEARCH("/",TRIM([1]RawShipmentData!L144))),DATE(VALUE(RIGHT(TRIM([1]RawShipmentData!L144),4)),VALUE(MID(TRIM([1]RawShipmentData!L144),FIND("/",TRIM([1]RawShipmentData!L144))+1,2)),VALUE(LEFT(TRIM([1]RawShipmentData!L144),FIND("/",TRIM([1]RawShipmentData!L144))-1))),DATEVALUE(TRIM([1]RawShipmentData!L144))))</f>
        <v>45462</v>
      </c>
      <c r="N144" s="2">
        <f t="shared" si="11"/>
        <v>9</v>
      </c>
      <c r="O144" s="2">
        <f t="shared" si="12"/>
        <v>1</v>
      </c>
      <c r="P144" s="2" t="str">
        <f t="shared" si="13"/>
        <v>Late</v>
      </c>
      <c r="Q144" s="2" t="str">
        <f>PROPER(SUBSTITUTE(TRIM([1]RawShipmentData!M144)," ","-"))</f>
        <v>Delayed</v>
      </c>
      <c r="R144" s="4">
        <f t="shared" si="14"/>
        <v>20.428015564202337</v>
      </c>
      <c r="S144" s="2">
        <f>[1]RawShipmentData!N144</f>
        <v>3</v>
      </c>
      <c r="T144" s="2" t="str">
        <f>IF(OR(UPPER(TRIM([1]RawShipmentData!O144))="YES",UPPER(TRIM([1]RawShipmentData!O144))="Y"),"Yes","No")</f>
        <v>No</v>
      </c>
    </row>
    <row r="145" spans="1:20" x14ac:dyDescent="0.25">
      <c r="A145" s="2" t="str">
        <f>[1]RawShipmentData!A145</f>
        <v>SHP-100261</v>
      </c>
      <c r="B145" s="3">
        <f>IF(ISNUMBER(SEARCH("/",TRIM([1]RawShipmentData!B145))),DATE(VALUE(RIGHT(TRIM([1]RawShipmentData!B145),4)),VALUE(MID(TRIM([1]RawShipmentData!B145),FIND("/",TRIM([1]RawShipmentData!B145))+1,2)),VALUE(LEFT(TRIM([1]RawShipmentData!B145),FIND("/",TRIM([1]RawShipmentData!B145))-1))),DATEVALUE(TRIM([1]RawShipmentData!B145)))</f>
        <v>45392</v>
      </c>
      <c r="C145" s="2" t="str">
        <f>PROPER(TRIM([1]RawShipmentData!C145))</f>
        <v>Delhi</v>
      </c>
      <c r="D145" s="2" t="str">
        <f>IFERROR(INDEX([1]HubMaster!$B$2:$B$7,MATCH(C145,[1]HubMaster!$A$2:$A$7,0)),"Unknown")</f>
        <v>North</v>
      </c>
      <c r="E145" s="2" t="str">
        <f>PROPER(TRIM(SUBSTITUTE([1]RawShipmentData!D145,"  "," ")))</f>
        <v>Xpressbees</v>
      </c>
      <c r="F145" s="2" t="str">
        <f>PROPER(TRIM([1]RawShipmentData!E145))</f>
        <v>Surface</v>
      </c>
      <c r="G145" s="2" t="str">
        <f>PROPER(TRIM(SUBSTITUTE([1]RawShipmentData!F145,"  "," ")))</f>
        <v>Pharma</v>
      </c>
      <c r="H145" s="2" t="str">
        <f>PROPER(TRIM([1]RawShipmentData!G145))</f>
        <v>South</v>
      </c>
      <c r="I145" s="2" t="str">
        <f t="shared" si="10"/>
        <v>Yes</v>
      </c>
      <c r="J145" s="2">
        <f>IFERROR(VALUE(TRIM(SUBSTITUTE(UPPER([1]RawShipmentData!I145),"KG",""))),"")</f>
        <v>2</v>
      </c>
      <c r="K145" s="2">
        <f>VALUE(SUBSTITUTE(SUBSTITUTE(SUBSTITUTE(TRIM([1]RawShipmentData!J145),"₹",""),"Rs",""),",",""))</f>
        <v>216</v>
      </c>
      <c r="L145" s="2">
        <f>[1]RawShipmentData!K145</f>
        <v>6</v>
      </c>
      <c r="M145" s="3">
        <f>IF(TRIM([1]RawShipmentData!L145)="","",IF(ISNUMBER(SEARCH("/",TRIM([1]RawShipmentData!L145))),DATE(VALUE(RIGHT(TRIM([1]RawShipmentData!L145),4)),VALUE(MID(TRIM([1]RawShipmentData!L145),FIND("/",TRIM([1]RawShipmentData!L145))+1,2)),VALUE(LEFT(TRIM([1]RawShipmentData!L145),FIND("/",TRIM([1]RawShipmentData!L145))-1))),DATEVALUE(TRIM([1]RawShipmentData!L145))))</f>
        <v>45402</v>
      </c>
      <c r="N145" s="2">
        <f t="shared" si="11"/>
        <v>10</v>
      </c>
      <c r="O145" s="2">
        <f t="shared" si="12"/>
        <v>4</v>
      </c>
      <c r="P145" s="2" t="str">
        <f t="shared" si="13"/>
        <v>Late</v>
      </c>
      <c r="Q145" s="2" t="str">
        <f>PROPER(SUBSTITUTE(TRIM([1]RawShipmentData!M145)," ","-"))</f>
        <v>Delayed</v>
      </c>
      <c r="R145" s="4">
        <f t="shared" si="14"/>
        <v>108</v>
      </c>
      <c r="S145" s="2">
        <f>[1]RawShipmentData!N145</f>
        <v>2</v>
      </c>
      <c r="T145" s="2" t="str">
        <f>IF(OR(UPPER(TRIM([1]RawShipmentData!O145))="YES",UPPER(TRIM([1]RawShipmentData!O145))="Y"),"Yes","No")</f>
        <v>No</v>
      </c>
    </row>
    <row r="146" spans="1:20" x14ac:dyDescent="0.25">
      <c r="A146" s="2" t="str">
        <f>[1]RawShipmentData!A146</f>
        <v>SHP-101339</v>
      </c>
      <c r="B146" s="3">
        <f>IF(ISNUMBER(SEARCH("/",TRIM([1]RawShipmentData!B146))),DATE(VALUE(RIGHT(TRIM([1]RawShipmentData!B146),4)),VALUE(MID(TRIM([1]RawShipmentData!B146),FIND("/",TRIM([1]RawShipmentData!B146))+1,2)),VALUE(LEFT(TRIM([1]RawShipmentData!B146),FIND("/",TRIM([1]RawShipmentData!B146))-1))),DATEVALUE(TRIM([1]RawShipmentData!B146)))</f>
        <v>45326</v>
      </c>
      <c r="C146" s="2" t="str">
        <f>PROPER(TRIM([1]RawShipmentData!C146))</f>
        <v>Mumbai</v>
      </c>
      <c r="D146" s="2" t="str">
        <f>IFERROR(INDEX([1]HubMaster!$B$2:$B$7,MATCH(C146,[1]HubMaster!$A$2:$A$7,0)),"Unknown")</f>
        <v>West</v>
      </c>
      <c r="E146" s="2" t="str">
        <f>PROPER(TRIM(SUBSTITUTE([1]RawShipmentData!D146,"  "," ")))</f>
        <v>Bluedart</v>
      </c>
      <c r="F146" s="2" t="str">
        <f>PROPER(TRIM([1]RawShipmentData!E146))</f>
        <v>Road</v>
      </c>
      <c r="G146" s="2" t="str">
        <f>PROPER(TRIM(SUBSTITUTE([1]RawShipmentData!F146,"  "," ")))</f>
        <v>Automotive Parts</v>
      </c>
      <c r="H146" s="2" t="str">
        <f>PROPER(TRIM([1]RawShipmentData!G146))</f>
        <v>West</v>
      </c>
      <c r="I146" s="2" t="str">
        <f t="shared" si="10"/>
        <v>No</v>
      </c>
      <c r="J146" s="2">
        <f>IFERROR(VALUE(TRIM(SUBSTITUTE(UPPER([1]RawShipmentData!I146),"KG",""))),"")</f>
        <v>20.9</v>
      </c>
      <c r="K146" s="2">
        <f>VALUE(SUBSTITUTE(SUBSTITUTE(SUBSTITUTE(TRIM([1]RawShipmentData!J146),"₹",""),"Rs",""),",",""))</f>
        <v>292</v>
      </c>
      <c r="L146" s="2">
        <f>[1]RawShipmentData!K146</f>
        <v>6</v>
      </c>
      <c r="M146" s="3">
        <f>IF(TRIM([1]RawShipmentData!L146)="","",IF(ISNUMBER(SEARCH("/",TRIM([1]RawShipmentData!L146))),DATE(VALUE(RIGHT(TRIM([1]RawShipmentData!L146),4)),VALUE(MID(TRIM([1]RawShipmentData!L146),FIND("/",TRIM([1]RawShipmentData!L146))+1,2)),VALUE(LEFT(TRIM([1]RawShipmentData!L146),FIND("/",TRIM([1]RawShipmentData!L146))-1))),DATEVALUE(TRIM([1]RawShipmentData!L146))))</f>
        <v>45332</v>
      </c>
      <c r="N146" s="2">
        <f t="shared" si="11"/>
        <v>6</v>
      </c>
      <c r="O146" s="2">
        <f t="shared" si="12"/>
        <v>0</v>
      </c>
      <c r="P146" s="2" t="str">
        <f t="shared" si="13"/>
        <v>On Time</v>
      </c>
      <c r="Q146" s="2" t="str">
        <f>PROPER(SUBSTITUTE(TRIM([1]RawShipmentData!M146)," ","-"))</f>
        <v>Delivered</v>
      </c>
      <c r="R146" s="4">
        <f t="shared" si="14"/>
        <v>13.971291866028709</v>
      </c>
      <c r="S146" s="2">
        <f>[1]RawShipmentData!N146</f>
        <v>4</v>
      </c>
      <c r="T146" s="2" t="str">
        <f>IF(OR(UPPER(TRIM([1]RawShipmentData!O146))="YES",UPPER(TRIM([1]RawShipmentData!O146))="Y"),"Yes","No")</f>
        <v>No</v>
      </c>
    </row>
    <row r="147" spans="1:20" x14ac:dyDescent="0.25">
      <c r="A147" s="2" t="str">
        <f>[1]RawShipmentData!A147</f>
        <v>SHP-100798</v>
      </c>
      <c r="B147" s="3">
        <f>IF(ISNUMBER(SEARCH("/",TRIM([1]RawShipmentData!B147))),DATE(VALUE(RIGHT(TRIM([1]RawShipmentData!B147),4)),VALUE(MID(TRIM([1]RawShipmentData!B147),FIND("/",TRIM([1]RawShipmentData!B147))+1,2)),VALUE(LEFT(TRIM([1]RawShipmentData!B147),FIND("/",TRIM([1]RawShipmentData!B147))-1))),DATEVALUE(TRIM([1]RawShipmentData!B147)))</f>
        <v>45314</v>
      </c>
      <c r="C147" s="2" t="str">
        <f>PROPER(TRIM([1]RawShipmentData!C147))</f>
        <v>Hyderabad</v>
      </c>
      <c r="D147" s="2" t="str">
        <f>IFERROR(INDEX([1]HubMaster!$B$2:$B$7,MATCH(C147,[1]HubMaster!$A$2:$A$7,0)),"Unknown")</f>
        <v>West</v>
      </c>
      <c r="E147" s="2" t="str">
        <f>PROPER(TRIM(SUBSTITUTE([1]RawShipmentData!D147,"  "," ")))</f>
        <v>Delhivery</v>
      </c>
      <c r="F147" s="2" t="str">
        <f>PROPER(TRIM([1]RawShipmentData!E147))</f>
        <v>Road</v>
      </c>
      <c r="G147" s="2" t="str">
        <f>PROPER(TRIM(SUBSTITUTE([1]RawShipmentData!F147,"  "," ")))</f>
        <v>Furniture</v>
      </c>
      <c r="H147" s="2" t="str">
        <f>PROPER(TRIM([1]RawShipmentData!G147))</f>
        <v>West</v>
      </c>
      <c r="I147" s="2" t="str">
        <f t="shared" si="10"/>
        <v>No</v>
      </c>
      <c r="J147" s="2">
        <f>IFERROR(VALUE(TRIM(SUBSTITUTE(UPPER([1]RawShipmentData!I147),"KG",""))),"")</f>
        <v>78.8</v>
      </c>
      <c r="K147" s="2">
        <f>VALUE(SUBSTITUTE(SUBSTITUTE(SUBSTITUTE(TRIM([1]RawShipmentData!J147),"₹",""),"Rs",""),",",""))</f>
        <v>1117</v>
      </c>
      <c r="L147" s="2">
        <f>[1]RawShipmentData!K147</f>
        <v>6</v>
      </c>
      <c r="M147" s="3">
        <f>IF(TRIM([1]RawShipmentData!L147)="","",IF(ISNUMBER(SEARCH("/",TRIM([1]RawShipmentData!L147))),DATE(VALUE(RIGHT(TRIM([1]RawShipmentData!L147),4)),VALUE(MID(TRIM([1]RawShipmentData!L147),FIND("/",TRIM([1]RawShipmentData!L147))+1,2)),VALUE(LEFT(TRIM([1]RawShipmentData!L147),FIND("/",TRIM([1]RawShipmentData!L147))-1))),DATEVALUE(TRIM([1]RawShipmentData!L147))))</f>
        <v>45319</v>
      </c>
      <c r="N147" s="2">
        <f t="shared" si="11"/>
        <v>5</v>
      </c>
      <c r="O147" s="2">
        <f t="shared" si="12"/>
        <v>-1</v>
      </c>
      <c r="P147" s="2" t="str">
        <f t="shared" si="13"/>
        <v>On Time</v>
      </c>
      <c r="Q147" s="2" t="str">
        <f>PROPER(SUBSTITUTE(TRIM([1]RawShipmentData!M147)," ","-"))</f>
        <v>Delivered</v>
      </c>
      <c r="R147" s="4">
        <f t="shared" si="14"/>
        <v>14.1751269035533</v>
      </c>
      <c r="S147" s="2">
        <f>[1]RawShipmentData!N147</f>
        <v>5</v>
      </c>
      <c r="T147" s="2" t="str">
        <f>IF(OR(UPPER(TRIM([1]RawShipmentData!O147))="YES",UPPER(TRIM([1]RawShipmentData!O147))="Y"),"Yes","No")</f>
        <v>No</v>
      </c>
    </row>
    <row r="148" spans="1:20" x14ac:dyDescent="0.25">
      <c r="A148" s="2" t="str">
        <f>[1]RawShipmentData!A148</f>
        <v>SHP-101424</v>
      </c>
      <c r="B148" s="3">
        <f>IF(ISNUMBER(SEARCH("/",TRIM([1]RawShipmentData!B148))),DATE(VALUE(RIGHT(TRIM([1]RawShipmentData!B148),4)),VALUE(MID(TRIM([1]RawShipmentData!B148),FIND("/",TRIM([1]RawShipmentData!B148))+1,2)),VALUE(LEFT(TRIM([1]RawShipmentData!B148),FIND("/",TRIM([1]RawShipmentData!B148))-1))),DATEVALUE(TRIM([1]RawShipmentData!B148)))</f>
        <v>45350</v>
      </c>
      <c r="C148" s="2" t="str">
        <f>PROPER(TRIM([1]RawShipmentData!C148))</f>
        <v>Mumbai</v>
      </c>
      <c r="D148" s="2" t="str">
        <f>IFERROR(INDEX([1]HubMaster!$B$2:$B$7,MATCH(C148,[1]HubMaster!$A$2:$A$7,0)),"Unknown")</f>
        <v>West</v>
      </c>
      <c r="E148" s="2" t="str">
        <f>PROPER(TRIM(SUBSTITUTE([1]RawShipmentData!D148,"  "," ")))</f>
        <v>Dtdc</v>
      </c>
      <c r="F148" s="2" t="str">
        <f>PROPER(TRIM([1]RawShipmentData!E148))</f>
        <v>Air</v>
      </c>
      <c r="G148" s="2" t="str">
        <f>PROPER(TRIM(SUBSTITUTE([1]RawShipmentData!F148,"  "," ")))</f>
        <v>Electronics</v>
      </c>
      <c r="H148" s="2" t="str">
        <f>PROPER(TRIM([1]RawShipmentData!G148))</f>
        <v>North</v>
      </c>
      <c r="I148" s="2" t="str">
        <f t="shared" si="10"/>
        <v>Yes</v>
      </c>
      <c r="J148" s="2">
        <f>IFERROR(VALUE(TRIM(SUBSTITUTE(UPPER([1]RawShipmentData!I148),"KG",""))),"")</f>
        <v>1.5</v>
      </c>
      <c r="K148" s="2">
        <f>VALUE(SUBSTITUTE(SUBSTITUTE(SUBSTITUTE(TRIM([1]RawShipmentData!J148),"₹",""),"Rs",""),",",""))</f>
        <v>260</v>
      </c>
      <c r="L148" s="2">
        <f>[1]RawShipmentData!K148</f>
        <v>4</v>
      </c>
      <c r="M148" s="3">
        <f>IF(TRIM([1]RawShipmentData!L148)="","",IF(ISNUMBER(SEARCH("/",TRIM([1]RawShipmentData!L148))),DATE(VALUE(RIGHT(TRIM([1]RawShipmentData!L148),4)),VALUE(MID(TRIM([1]RawShipmentData!L148),FIND("/",TRIM([1]RawShipmentData!L148))+1,2)),VALUE(LEFT(TRIM([1]RawShipmentData!L148),FIND("/",TRIM([1]RawShipmentData!L148))-1))),DATEVALUE(TRIM([1]RawShipmentData!L148))))</f>
        <v>45355</v>
      </c>
      <c r="N148" s="2">
        <f t="shared" si="11"/>
        <v>5</v>
      </c>
      <c r="O148" s="2">
        <f t="shared" si="12"/>
        <v>1</v>
      </c>
      <c r="P148" s="2" t="str">
        <f t="shared" si="13"/>
        <v>Late</v>
      </c>
      <c r="Q148" s="2" t="str">
        <f>PROPER(SUBSTITUTE(TRIM([1]RawShipmentData!M148)," ","-"))</f>
        <v>Delayed</v>
      </c>
      <c r="R148" s="4">
        <f t="shared" si="14"/>
        <v>173.33333333333334</v>
      </c>
      <c r="S148" s="2">
        <f>[1]RawShipmentData!N148</f>
        <v>3</v>
      </c>
      <c r="T148" s="2" t="str">
        <f>IF(OR(UPPER(TRIM([1]RawShipmentData!O148))="YES",UPPER(TRIM([1]RawShipmentData!O148))="Y"),"Yes","No")</f>
        <v>No</v>
      </c>
    </row>
    <row r="149" spans="1:20" x14ac:dyDescent="0.25">
      <c r="A149" s="2" t="str">
        <f>[1]RawShipmentData!A149</f>
        <v>SHP-101263</v>
      </c>
      <c r="B149" s="3">
        <f>IF(ISNUMBER(SEARCH("/",TRIM([1]RawShipmentData!B149))),DATE(VALUE(RIGHT(TRIM([1]RawShipmentData!B149),4)),VALUE(MID(TRIM([1]RawShipmentData!B149),FIND("/",TRIM([1]RawShipmentData!B149))+1,2)),VALUE(LEFT(TRIM([1]RawShipmentData!B149),FIND("/",TRIM([1]RawShipmentData!B149))-1))),DATEVALUE(TRIM([1]RawShipmentData!B149)))</f>
        <v>45358</v>
      </c>
      <c r="C149" s="2" t="str">
        <f>PROPER(TRIM([1]RawShipmentData!C149))</f>
        <v>Hyderabad</v>
      </c>
      <c r="D149" s="2" t="str">
        <f>IFERROR(INDEX([1]HubMaster!$B$2:$B$7,MATCH(C149,[1]HubMaster!$A$2:$A$7,0)),"Unknown")</f>
        <v>West</v>
      </c>
      <c r="E149" s="2" t="str">
        <f>PROPER(TRIM(SUBSTITUTE([1]RawShipmentData!D149,"  "," ")))</f>
        <v>Ecom Express</v>
      </c>
      <c r="F149" s="2" t="str">
        <f>PROPER(TRIM([1]RawShipmentData!E149))</f>
        <v>Surface</v>
      </c>
      <c r="G149" s="2" t="str">
        <f>PROPER(TRIM(SUBSTITUTE([1]RawShipmentData!F149,"  "," ")))</f>
        <v>Apparel</v>
      </c>
      <c r="H149" s="2" t="str">
        <f>PROPER(TRIM([1]RawShipmentData!G149))</f>
        <v>West</v>
      </c>
      <c r="I149" s="2" t="str">
        <f t="shared" si="10"/>
        <v>No</v>
      </c>
      <c r="J149" s="2">
        <f>IFERROR(VALUE(TRIM(SUBSTITUTE(UPPER([1]RawShipmentData!I149),"KG",""))),"")</f>
        <v>2.4</v>
      </c>
      <c r="K149" s="2">
        <f>VALUE(SUBSTITUTE(SUBSTITUTE(SUBSTITUTE(TRIM([1]RawShipmentData!J149),"₹",""),"Rs",""),",",""))</f>
        <v>102</v>
      </c>
      <c r="L149" s="2">
        <f>[1]RawShipmentData!K149</f>
        <v>4</v>
      </c>
      <c r="M149" s="3">
        <f>IF(TRIM([1]RawShipmentData!L149)="","",IF(ISNUMBER(SEARCH("/",TRIM([1]RawShipmentData!L149))),DATE(VALUE(RIGHT(TRIM([1]RawShipmentData!L149),4)),VALUE(MID(TRIM([1]RawShipmentData!L149),FIND("/",TRIM([1]RawShipmentData!L149))+1,2)),VALUE(LEFT(TRIM([1]RawShipmentData!L149),FIND("/",TRIM([1]RawShipmentData!L149))-1))),DATEVALUE(TRIM([1]RawShipmentData!L149))))</f>
        <v>45370</v>
      </c>
      <c r="N149" s="2">
        <f t="shared" si="11"/>
        <v>12</v>
      </c>
      <c r="O149" s="2">
        <f t="shared" si="12"/>
        <v>8</v>
      </c>
      <c r="P149" s="2" t="str">
        <f t="shared" si="13"/>
        <v>Late</v>
      </c>
      <c r="Q149" s="2" t="str">
        <f>PROPER(SUBSTITUTE(TRIM([1]RawShipmentData!M149)," ","-"))</f>
        <v>Delayed</v>
      </c>
      <c r="R149" s="4">
        <f t="shared" si="14"/>
        <v>42.5</v>
      </c>
      <c r="S149" s="2">
        <f>[1]RawShipmentData!N149</f>
        <v>3</v>
      </c>
      <c r="T149" s="2" t="str">
        <f>IF(OR(UPPER(TRIM([1]RawShipmentData!O149))="YES",UPPER(TRIM([1]RawShipmentData!O149))="Y"),"Yes","No")</f>
        <v>No</v>
      </c>
    </row>
    <row r="150" spans="1:20" x14ac:dyDescent="0.25">
      <c r="A150" s="2" t="str">
        <f>[1]RawShipmentData!A150</f>
        <v>SHP-100819</v>
      </c>
      <c r="B150" s="3">
        <f>IF(ISNUMBER(SEARCH("/",TRIM([1]RawShipmentData!B150))),DATE(VALUE(RIGHT(TRIM([1]RawShipmentData!B150),4)),VALUE(MID(TRIM([1]RawShipmentData!B150),FIND("/",TRIM([1]RawShipmentData!B150))+1,2)),VALUE(LEFT(TRIM([1]RawShipmentData!B150),FIND("/",TRIM([1]RawShipmentData!B150))-1))),DATEVALUE(TRIM([1]RawShipmentData!B150)))</f>
        <v>45462</v>
      </c>
      <c r="C150" s="2" t="str">
        <f>PROPER(TRIM([1]RawShipmentData!C150))</f>
        <v>Hyderabad</v>
      </c>
      <c r="D150" s="2" t="str">
        <f>IFERROR(INDEX([1]HubMaster!$B$2:$B$7,MATCH(C150,[1]HubMaster!$A$2:$A$7,0)),"Unknown")</f>
        <v>West</v>
      </c>
      <c r="E150" s="2" t="str">
        <f>PROPER(TRIM(SUBSTITUTE([1]RawShipmentData!D150,"  "," ")))</f>
        <v>Ecom Express</v>
      </c>
      <c r="F150" s="2" t="str">
        <f>PROPER(TRIM([1]RawShipmentData!E150))</f>
        <v>Air</v>
      </c>
      <c r="G150" s="2" t="str">
        <f>PROPER(TRIM(SUBSTITUTE([1]RawShipmentData!F150,"  "," ")))</f>
        <v>Electronics</v>
      </c>
      <c r="H150" s="2" t="str">
        <f>PROPER(TRIM([1]RawShipmentData!G150))</f>
        <v>North</v>
      </c>
      <c r="I150" s="2" t="str">
        <f t="shared" si="10"/>
        <v>Yes</v>
      </c>
      <c r="J150" s="2">
        <f>IFERROR(VALUE(TRIM(SUBSTITUTE(UPPER([1]RawShipmentData!I150),"KG",""))),"")</f>
        <v>1.6</v>
      </c>
      <c r="K150" s="2">
        <f>VALUE(SUBSTITUTE(SUBSTITUTE(SUBSTITUTE(TRIM([1]RawShipmentData!J150),"₹",""),"Rs",""),",",""))</f>
        <v>206</v>
      </c>
      <c r="L150" s="2">
        <f>[1]RawShipmentData!K150</f>
        <v>4</v>
      </c>
      <c r="M150" s="3">
        <f>IF(TRIM([1]RawShipmentData!L150)="","",IF(ISNUMBER(SEARCH("/",TRIM([1]RawShipmentData!L150))),DATE(VALUE(RIGHT(TRIM([1]RawShipmentData!L150),4)),VALUE(MID(TRIM([1]RawShipmentData!L150),FIND("/",TRIM([1]RawShipmentData!L150))+1,2)),VALUE(LEFT(TRIM([1]RawShipmentData!L150),FIND("/",TRIM([1]RawShipmentData!L150))-1))),DATEVALUE(TRIM([1]RawShipmentData!L150))))</f>
        <v>45467</v>
      </c>
      <c r="N150" s="2">
        <f t="shared" si="11"/>
        <v>5</v>
      </c>
      <c r="O150" s="2">
        <f t="shared" si="12"/>
        <v>1</v>
      </c>
      <c r="P150" s="2" t="str">
        <f t="shared" si="13"/>
        <v>Late</v>
      </c>
      <c r="Q150" s="2" t="str">
        <f>PROPER(SUBSTITUTE(TRIM([1]RawShipmentData!M150)," ","-"))</f>
        <v>Delayed</v>
      </c>
      <c r="R150" s="4">
        <f t="shared" si="14"/>
        <v>128.75</v>
      </c>
      <c r="S150" s="2">
        <f>[1]RawShipmentData!N150</f>
        <v>2</v>
      </c>
      <c r="T150" s="2" t="str">
        <f>IF(OR(UPPER(TRIM([1]RawShipmentData!O150))="YES",UPPER(TRIM([1]RawShipmentData!O150))="Y"),"Yes","No")</f>
        <v>No</v>
      </c>
    </row>
    <row r="151" spans="1:20" x14ac:dyDescent="0.25">
      <c r="A151" s="2" t="str">
        <f>[1]RawShipmentData!A151</f>
        <v>SHP-100246</v>
      </c>
      <c r="B151" s="3">
        <f>IF(ISNUMBER(SEARCH("/",TRIM([1]RawShipmentData!B151))),DATE(VALUE(RIGHT(TRIM([1]RawShipmentData!B151),4)),VALUE(MID(TRIM([1]RawShipmentData!B151),FIND("/",TRIM([1]RawShipmentData!B151))+1,2)),VALUE(LEFT(TRIM([1]RawShipmentData!B151),FIND("/",TRIM([1]RawShipmentData!B151))-1))),DATEVALUE(TRIM([1]RawShipmentData!B151)))</f>
        <v>45356</v>
      </c>
      <c r="C151" s="2" t="str">
        <f>PROPER(TRIM([1]RawShipmentData!C151))</f>
        <v>Delhi</v>
      </c>
      <c r="D151" s="2" t="str">
        <f>IFERROR(INDEX([1]HubMaster!$B$2:$B$7,MATCH(C151,[1]HubMaster!$A$2:$A$7,0)),"Unknown")</f>
        <v>North</v>
      </c>
      <c r="E151" s="2" t="str">
        <f>PROPER(TRIM(SUBSTITUTE([1]RawShipmentData!D151,"  "," ")))</f>
        <v>Ecom Express</v>
      </c>
      <c r="F151" s="2" t="str">
        <f>PROPER(TRIM([1]RawShipmentData!E151))</f>
        <v>Surface</v>
      </c>
      <c r="G151" s="2" t="str">
        <f>PROPER(TRIM(SUBSTITUTE([1]RawShipmentData!F151,"  "," ")))</f>
        <v>Automotive Parts</v>
      </c>
      <c r="H151" s="2" t="str">
        <f>PROPER(TRIM([1]RawShipmentData!G151))</f>
        <v>West</v>
      </c>
      <c r="I151" s="2" t="str">
        <f t="shared" si="10"/>
        <v>Yes</v>
      </c>
      <c r="J151" s="2">
        <f>IFERROR(VALUE(TRIM(SUBSTITUTE(UPPER([1]RawShipmentData!I151),"KG",""))),"")</f>
        <v>25.4</v>
      </c>
      <c r="K151" s="2">
        <f>VALUE(SUBSTITUTE(SUBSTITUTE(SUBSTITUTE(TRIM([1]RawShipmentData!J151),"₹",""),"Rs",""),",",""))</f>
        <v>722</v>
      </c>
      <c r="L151" s="2">
        <f>[1]RawShipmentData!K151</f>
        <v>6</v>
      </c>
      <c r="M151" s="3">
        <f>IF(TRIM([1]RawShipmentData!L151)="","",IF(ISNUMBER(SEARCH("/",TRIM([1]RawShipmentData!L151))),DATE(VALUE(RIGHT(TRIM([1]RawShipmentData!L151),4)),VALUE(MID(TRIM([1]RawShipmentData!L151),FIND("/",TRIM([1]RawShipmentData!L151))+1,2)),VALUE(LEFT(TRIM([1]RawShipmentData!L151),FIND("/",TRIM([1]RawShipmentData!L151))-1))),DATEVALUE(TRIM([1]RawShipmentData!L151))))</f>
        <v>45362</v>
      </c>
      <c r="N151" s="2">
        <f t="shared" si="11"/>
        <v>6</v>
      </c>
      <c r="O151" s="2">
        <f t="shared" si="12"/>
        <v>0</v>
      </c>
      <c r="P151" s="2" t="str">
        <f t="shared" si="13"/>
        <v>On Time</v>
      </c>
      <c r="Q151" s="2" t="str">
        <f>PROPER(SUBSTITUTE(TRIM([1]RawShipmentData!M151)," ","-"))</f>
        <v>Delivered</v>
      </c>
      <c r="R151" s="4">
        <f t="shared" si="14"/>
        <v>28.425196850393704</v>
      </c>
      <c r="S151" s="2">
        <f>[1]RawShipmentData!N151</f>
        <v>4</v>
      </c>
      <c r="T151" s="2" t="str">
        <f>IF(OR(UPPER(TRIM([1]RawShipmentData!O151))="YES",UPPER(TRIM([1]RawShipmentData!O151))="Y"),"Yes","No")</f>
        <v>No</v>
      </c>
    </row>
    <row r="152" spans="1:20" x14ac:dyDescent="0.25">
      <c r="A152" s="2" t="str">
        <f>[1]RawShipmentData!A152</f>
        <v>SHP-101459</v>
      </c>
      <c r="B152" s="3">
        <f>IF(ISNUMBER(SEARCH("/",TRIM([1]RawShipmentData!B152))),DATE(VALUE(RIGHT(TRIM([1]RawShipmentData!B152),4)),VALUE(MID(TRIM([1]RawShipmentData!B152),FIND("/",TRIM([1]RawShipmentData!B152))+1,2)),VALUE(LEFT(TRIM([1]RawShipmentData!B152),FIND("/",TRIM([1]RawShipmentData!B152))-1))),DATEVALUE(TRIM([1]RawShipmentData!B152)))</f>
        <v>45299</v>
      </c>
      <c r="C152" s="2" t="str">
        <f>PROPER(TRIM([1]RawShipmentData!C152))</f>
        <v>Delhi</v>
      </c>
      <c r="D152" s="2" t="str">
        <f>IFERROR(INDEX([1]HubMaster!$B$2:$B$7,MATCH(C152,[1]HubMaster!$A$2:$A$7,0)),"Unknown")</f>
        <v>North</v>
      </c>
      <c r="E152" s="2" t="str">
        <f>PROPER(TRIM(SUBSTITUTE([1]RawShipmentData!D152,"  "," ")))</f>
        <v>Xpressbees</v>
      </c>
      <c r="F152" s="2" t="str">
        <f>PROPER(TRIM([1]RawShipmentData!E152))</f>
        <v>Surface</v>
      </c>
      <c r="G152" s="2" t="str">
        <f>PROPER(TRIM(SUBSTITUTE([1]RawShipmentData!F152,"  "," ")))</f>
        <v>Automotive Parts</v>
      </c>
      <c r="H152" s="2" t="str">
        <f>PROPER(TRIM([1]RawShipmentData!G152))</f>
        <v>North</v>
      </c>
      <c r="I152" s="2" t="str">
        <f t="shared" si="10"/>
        <v>No</v>
      </c>
      <c r="J152" s="2">
        <f>IFERROR(VALUE(TRIM(SUBSTITUTE(UPPER([1]RawShipmentData!I152),"KG",""))),"")</f>
        <v>18.5</v>
      </c>
      <c r="K152" s="2">
        <f>VALUE(SUBSTITUTE(SUBSTITUTE(SUBSTITUTE(TRIM([1]RawShipmentData!J152),"₹",""),"Rs",""),",",""))</f>
        <v>435</v>
      </c>
      <c r="L152" s="2">
        <f>[1]RawShipmentData!K152</f>
        <v>4</v>
      </c>
      <c r="M152" s="3">
        <f>IF(TRIM([1]RawShipmentData!L152)="","",IF(ISNUMBER(SEARCH("/",TRIM([1]RawShipmentData!L152))),DATE(VALUE(RIGHT(TRIM([1]RawShipmentData!L152),4)),VALUE(MID(TRIM([1]RawShipmentData!L152),FIND("/",TRIM([1]RawShipmentData!L152))+1,2)),VALUE(LEFT(TRIM([1]RawShipmentData!L152),FIND("/",TRIM([1]RawShipmentData!L152))-1))),DATEVALUE(TRIM([1]RawShipmentData!L152))))</f>
        <v>45304</v>
      </c>
      <c r="N152" s="2">
        <f t="shared" si="11"/>
        <v>5</v>
      </c>
      <c r="O152" s="2">
        <f t="shared" si="12"/>
        <v>1</v>
      </c>
      <c r="P152" s="2" t="str">
        <f t="shared" si="13"/>
        <v>Late</v>
      </c>
      <c r="Q152" s="2" t="str">
        <f>PROPER(SUBSTITUTE(TRIM([1]RawShipmentData!M152)," ","-"))</f>
        <v>Delayed</v>
      </c>
      <c r="R152" s="4">
        <f t="shared" si="14"/>
        <v>23.513513513513512</v>
      </c>
      <c r="S152" s="2">
        <f>[1]RawShipmentData!N152</f>
        <v>1</v>
      </c>
      <c r="T152" s="2" t="str">
        <f>IF(OR(UPPER(TRIM([1]RawShipmentData!O152))="YES",UPPER(TRIM([1]RawShipmentData!O152))="Y"),"Yes","No")</f>
        <v>Yes</v>
      </c>
    </row>
    <row r="153" spans="1:20" x14ac:dyDescent="0.25">
      <c r="A153" s="2" t="str">
        <f>[1]RawShipmentData!A153</f>
        <v>SHP-100503</v>
      </c>
      <c r="B153" s="3">
        <f>IF(ISNUMBER(SEARCH("/",TRIM([1]RawShipmentData!B153))),DATE(VALUE(RIGHT(TRIM([1]RawShipmentData!B153),4)),VALUE(MID(TRIM([1]RawShipmentData!B153),FIND("/",TRIM([1]RawShipmentData!B153))+1,2)),VALUE(LEFT(TRIM([1]RawShipmentData!B153),FIND("/",TRIM([1]RawShipmentData!B153))-1))),DATEVALUE(TRIM([1]RawShipmentData!B153)))</f>
        <v>45409</v>
      </c>
      <c r="C153" s="2" t="str">
        <f>PROPER(TRIM([1]RawShipmentData!C153))</f>
        <v>Delhi</v>
      </c>
      <c r="D153" s="2" t="str">
        <f>IFERROR(INDEX([1]HubMaster!$B$2:$B$7,MATCH(C153,[1]HubMaster!$A$2:$A$7,0)),"Unknown")</f>
        <v>North</v>
      </c>
      <c r="E153" s="2" t="str">
        <f>PROPER(TRIM(SUBSTITUTE([1]RawShipmentData!D153,"  "," ")))</f>
        <v>Xpress Bees</v>
      </c>
      <c r="F153" s="2" t="str">
        <f>PROPER(TRIM([1]RawShipmentData!E153))</f>
        <v>Surface</v>
      </c>
      <c r="G153" s="2" t="str">
        <f>PROPER(TRIM(SUBSTITUTE([1]RawShipmentData!F153,"  "," ")))</f>
        <v>Furniture</v>
      </c>
      <c r="H153" s="2" t="str">
        <f>PROPER(TRIM([1]RawShipmentData!G153))</f>
        <v>East</v>
      </c>
      <c r="I153" s="2" t="str">
        <f t="shared" si="10"/>
        <v>Yes</v>
      </c>
      <c r="J153" s="2">
        <f>IFERROR(VALUE(TRIM(SUBSTITUTE(UPPER([1]RawShipmentData!I153),"KG",""))),"")</f>
        <v>44</v>
      </c>
      <c r="K153" s="2">
        <f>VALUE(SUBSTITUTE(SUBSTITUTE(SUBSTITUTE(TRIM([1]RawShipmentData!J153),"₹",""),"Rs",""),",",""))</f>
        <v>1104</v>
      </c>
      <c r="L153" s="2">
        <f>[1]RawShipmentData!K153</f>
        <v>6</v>
      </c>
      <c r="M153" s="3">
        <f>IF(TRIM([1]RawShipmentData!L153)="","",IF(ISNUMBER(SEARCH("/",TRIM([1]RawShipmentData!L153))),DATE(VALUE(RIGHT(TRIM([1]RawShipmentData!L153),4)),VALUE(MID(TRIM([1]RawShipmentData!L153),FIND("/",TRIM([1]RawShipmentData!L153))+1,2)),VALUE(LEFT(TRIM([1]RawShipmentData!L153),FIND("/",TRIM([1]RawShipmentData!L153))-1))),DATEVALUE(TRIM([1]RawShipmentData!L153))))</f>
        <v>45422</v>
      </c>
      <c r="N153" s="2">
        <f t="shared" si="11"/>
        <v>13</v>
      </c>
      <c r="O153" s="2">
        <f t="shared" si="12"/>
        <v>7</v>
      </c>
      <c r="P153" s="2" t="str">
        <f t="shared" si="13"/>
        <v>Late</v>
      </c>
      <c r="Q153" s="2" t="str">
        <f>PROPER(SUBSTITUTE(TRIM([1]RawShipmentData!M153)," ","-"))</f>
        <v>Delayed</v>
      </c>
      <c r="R153" s="4">
        <f t="shared" si="14"/>
        <v>25.09090909090909</v>
      </c>
      <c r="S153" s="2">
        <f>[1]RawShipmentData!N153</f>
        <v>5</v>
      </c>
      <c r="T153" s="2" t="str">
        <f>IF(OR(UPPER(TRIM([1]RawShipmentData!O153))="YES",UPPER(TRIM([1]RawShipmentData!O153))="Y"),"Yes","No")</f>
        <v>No</v>
      </c>
    </row>
    <row r="154" spans="1:20" x14ac:dyDescent="0.25">
      <c r="A154" s="2" t="str">
        <f>[1]RawShipmentData!A154</f>
        <v>SHP-100454</v>
      </c>
      <c r="B154" s="3">
        <f>IF(ISNUMBER(SEARCH("/",TRIM([1]RawShipmentData!B154))),DATE(VALUE(RIGHT(TRIM([1]RawShipmentData!B154),4)),VALUE(MID(TRIM([1]RawShipmentData!B154),FIND("/",TRIM([1]RawShipmentData!B154))+1,2)),VALUE(LEFT(TRIM([1]RawShipmentData!B154),FIND("/",TRIM([1]RawShipmentData!B154))-1))),DATEVALUE(TRIM([1]RawShipmentData!B154)))</f>
        <v>45401</v>
      </c>
      <c r="C154" s="2" t="str">
        <f>PROPER(TRIM([1]RawShipmentData!C154))</f>
        <v>Bengaluru</v>
      </c>
      <c r="D154" s="2" t="str">
        <f>IFERROR(INDEX([1]HubMaster!$B$2:$B$7,MATCH(C154,[1]HubMaster!$A$2:$A$7,0)),"Unknown")</f>
        <v>South</v>
      </c>
      <c r="E154" s="2" t="str">
        <f>PROPER(TRIM(SUBSTITUTE([1]RawShipmentData!D154,"  "," ")))</f>
        <v>Delhivery</v>
      </c>
      <c r="F154" s="2" t="str">
        <f>PROPER(TRIM([1]RawShipmentData!E154))</f>
        <v>Road</v>
      </c>
      <c r="G154" s="2" t="str">
        <f>PROPER(TRIM(SUBSTITUTE([1]RawShipmentData!F154,"  "," ")))</f>
        <v>Automotive Parts</v>
      </c>
      <c r="H154" s="2" t="str">
        <f>PROPER(TRIM([1]RawShipmentData!G154))</f>
        <v>South</v>
      </c>
      <c r="I154" s="2" t="str">
        <f t="shared" si="10"/>
        <v>No</v>
      </c>
      <c r="J154" s="2">
        <f>IFERROR(VALUE(TRIM(SUBSTITUTE(UPPER([1]RawShipmentData!I154),"KG",""))),"")</f>
        <v>5.4</v>
      </c>
      <c r="K154" s="2">
        <f>VALUE(SUBSTITUTE(SUBSTITUTE(SUBSTITUTE(TRIM([1]RawShipmentData!J154),"₹",""),"Rs",""),",",""))</f>
        <v>80</v>
      </c>
      <c r="L154" s="2">
        <f>[1]RawShipmentData!K154</f>
        <v>6</v>
      </c>
      <c r="M154" s="3">
        <f>IF(TRIM([1]RawShipmentData!L154)="","",IF(ISNUMBER(SEARCH("/",TRIM([1]RawShipmentData!L154))),DATE(VALUE(RIGHT(TRIM([1]RawShipmentData!L154),4)),VALUE(MID(TRIM([1]RawShipmentData!L154),FIND("/",TRIM([1]RawShipmentData!L154))+1,2)),VALUE(LEFT(TRIM([1]RawShipmentData!L154),FIND("/",TRIM([1]RawShipmentData!L154))-1))),DATEVALUE(TRIM([1]RawShipmentData!L154))))</f>
        <v>45406</v>
      </c>
      <c r="N154" s="2">
        <f t="shared" si="11"/>
        <v>5</v>
      </c>
      <c r="O154" s="2">
        <f t="shared" si="12"/>
        <v>-1</v>
      </c>
      <c r="P154" s="2" t="str">
        <f t="shared" si="13"/>
        <v>On Time</v>
      </c>
      <c r="Q154" s="2" t="str">
        <f>PROPER(SUBSTITUTE(TRIM([1]RawShipmentData!M154)," ","-"))</f>
        <v>Delivered</v>
      </c>
      <c r="R154" s="4">
        <f t="shared" si="14"/>
        <v>14.814814814814813</v>
      </c>
      <c r="S154" s="2">
        <f>[1]RawShipmentData!N154</f>
        <v>4</v>
      </c>
      <c r="T154" s="2" t="str">
        <f>IF(OR(UPPER(TRIM([1]RawShipmentData!O154))="YES",UPPER(TRIM([1]RawShipmentData!O154))="Y"),"Yes","No")</f>
        <v>No</v>
      </c>
    </row>
    <row r="155" spans="1:20" x14ac:dyDescent="0.25">
      <c r="A155" s="2" t="str">
        <f>[1]RawShipmentData!A155</f>
        <v>SHP-100613</v>
      </c>
      <c r="B155" s="3">
        <f>IF(ISNUMBER(SEARCH("/",TRIM([1]RawShipmentData!B155))),DATE(VALUE(RIGHT(TRIM([1]RawShipmentData!B155),4)),VALUE(MID(TRIM([1]RawShipmentData!B155),FIND("/",TRIM([1]RawShipmentData!B155))+1,2)),VALUE(LEFT(TRIM([1]RawShipmentData!B155),FIND("/",TRIM([1]RawShipmentData!B155))-1))),DATEVALUE(TRIM([1]RawShipmentData!B155)))</f>
        <v>45409</v>
      </c>
      <c r="C155" s="2" t="str">
        <f>PROPER(TRIM([1]RawShipmentData!C155))</f>
        <v>Delhi</v>
      </c>
      <c r="D155" s="2" t="str">
        <f>IFERROR(INDEX([1]HubMaster!$B$2:$B$7,MATCH(C155,[1]HubMaster!$A$2:$A$7,0)),"Unknown")</f>
        <v>North</v>
      </c>
      <c r="E155" s="2" t="str">
        <f>PROPER(TRIM(SUBSTITUTE([1]RawShipmentData!D155,"  "," ")))</f>
        <v>Xpressbees</v>
      </c>
      <c r="F155" s="2" t="str">
        <f>PROPER(TRIM([1]RawShipmentData!E155))</f>
        <v>Air</v>
      </c>
      <c r="G155" s="2" t="str">
        <f>PROPER(TRIM(SUBSTITUTE([1]RawShipmentData!F155,"  "," ")))</f>
        <v>Furniture</v>
      </c>
      <c r="H155" s="2" t="str">
        <f>PROPER(TRIM([1]RawShipmentData!G155))</f>
        <v>East</v>
      </c>
      <c r="I155" s="2" t="str">
        <f t="shared" si="10"/>
        <v>Yes</v>
      </c>
      <c r="J155" s="2">
        <f>IFERROR(VALUE(TRIM(SUBSTITUTE(UPPER([1]RawShipmentData!I155),"KG",""))),"")</f>
        <v>31.3</v>
      </c>
      <c r="K155" s="2">
        <f>VALUE(SUBSTITUTE(SUBSTITUTE(SUBSTITUTE(TRIM([1]RawShipmentData!J155),"₹",""),"Rs",""),",",""))</f>
        <v>1568</v>
      </c>
      <c r="L155" s="2">
        <f>[1]RawShipmentData!K155</f>
        <v>4</v>
      </c>
      <c r="M155" s="3">
        <f>IF(TRIM([1]RawShipmentData!L155)="","",IF(ISNUMBER(SEARCH("/",TRIM([1]RawShipmentData!L155))),DATE(VALUE(RIGHT(TRIM([1]RawShipmentData!L155),4)),VALUE(MID(TRIM([1]RawShipmentData!L155),FIND("/",TRIM([1]RawShipmentData!L155))+1,2)),VALUE(LEFT(TRIM([1]RawShipmentData!L155),FIND("/",TRIM([1]RawShipmentData!L155))-1))),DATEVALUE(TRIM([1]RawShipmentData!L155))))</f>
        <v>45421</v>
      </c>
      <c r="N155" s="2">
        <f t="shared" si="11"/>
        <v>12</v>
      </c>
      <c r="O155" s="2">
        <f t="shared" si="12"/>
        <v>8</v>
      </c>
      <c r="P155" s="2" t="str">
        <f t="shared" si="13"/>
        <v>Late</v>
      </c>
      <c r="Q155" s="2" t="str">
        <f>PROPER(SUBSTITUTE(TRIM([1]RawShipmentData!M155)," ","-"))</f>
        <v>Delayed</v>
      </c>
      <c r="R155" s="4">
        <f t="shared" si="14"/>
        <v>50.095846645367409</v>
      </c>
      <c r="S155" s="2">
        <f>[1]RawShipmentData!N155</f>
        <v>3</v>
      </c>
      <c r="T155" s="2" t="str">
        <f>IF(OR(UPPER(TRIM([1]RawShipmentData!O155))="YES",UPPER(TRIM([1]RawShipmentData!O155))="Y"),"Yes","No")</f>
        <v>No</v>
      </c>
    </row>
    <row r="156" spans="1:20" x14ac:dyDescent="0.25">
      <c r="A156" s="2" t="str">
        <f>[1]RawShipmentData!A156</f>
        <v>SHP-100054</v>
      </c>
      <c r="B156" s="3">
        <f>IF(ISNUMBER(SEARCH("/",TRIM([1]RawShipmentData!B156))),DATE(VALUE(RIGHT(TRIM([1]RawShipmentData!B156),4)),VALUE(MID(TRIM([1]RawShipmentData!B156),FIND("/",TRIM([1]RawShipmentData!B156))+1,2)),VALUE(LEFT(TRIM([1]RawShipmentData!B156),FIND("/",TRIM([1]RawShipmentData!B156))-1))),DATEVALUE(TRIM([1]RawShipmentData!B156)))</f>
        <v>45454</v>
      </c>
      <c r="C156" s="2" t="str">
        <f>PROPER(TRIM([1]RawShipmentData!C156))</f>
        <v>Kolkata</v>
      </c>
      <c r="D156" s="2" t="str">
        <f>IFERROR(INDEX([1]HubMaster!$B$2:$B$7,MATCH(C156,[1]HubMaster!$A$2:$A$7,0)),"Unknown")</f>
        <v>East</v>
      </c>
      <c r="E156" s="2" t="str">
        <f>PROPER(TRIM(SUBSTITUTE([1]RawShipmentData!D156,"  "," ")))</f>
        <v>Ecom Express</v>
      </c>
      <c r="F156" s="2" t="str">
        <f>PROPER(TRIM([1]RawShipmentData!E156))</f>
        <v>Road</v>
      </c>
      <c r="G156" s="2" t="str">
        <f>PROPER(TRIM(SUBSTITUTE([1]RawShipmentData!F156,"  "," ")))</f>
        <v>Automotive Parts</v>
      </c>
      <c r="H156" s="2" t="str">
        <f>PROPER(TRIM([1]RawShipmentData!G156))</f>
        <v>South</v>
      </c>
      <c r="I156" s="2" t="str">
        <f t="shared" si="10"/>
        <v>Yes</v>
      </c>
      <c r="J156" s="2">
        <f>IFERROR(VALUE(TRIM(SUBSTITUTE(UPPER([1]RawShipmentData!I156),"KG",""))),"")</f>
        <v>7.3</v>
      </c>
      <c r="K156" s="2">
        <f>VALUE(SUBSTITUTE(SUBSTITUTE(SUBSTITUTE(TRIM([1]RawShipmentData!J156),"₹",""),"Rs",""),",",""))</f>
        <v>238</v>
      </c>
      <c r="L156" s="2">
        <f>[1]RawShipmentData!K156</f>
        <v>8</v>
      </c>
      <c r="M156" s="3">
        <f>IF(TRIM([1]RawShipmentData!L156)="","",IF(ISNUMBER(SEARCH("/",TRIM([1]RawShipmentData!L156))),DATE(VALUE(RIGHT(TRIM([1]RawShipmentData!L156),4)),VALUE(MID(TRIM([1]RawShipmentData!L156),FIND("/",TRIM([1]RawShipmentData!L156))+1,2)),VALUE(LEFT(TRIM([1]RawShipmentData!L156),FIND("/",TRIM([1]RawShipmentData!L156))-1))),DATEVALUE(TRIM([1]RawShipmentData!L156))))</f>
        <v>45468</v>
      </c>
      <c r="N156" s="2">
        <f t="shared" si="11"/>
        <v>14</v>
      </c>
      <c r="O156" s="2">
        <f t="shared" si="12"/>
        <v>6</v>
      </c>
      <c r="P156" s="2" t="str">
        <f t="shared" si="13"/>
        <v>Late</v>
      </c>
      <c r="Q156" s="2" t="str">
        <f>PROPER(SUBSTITUTE(TRIM([1]RawShipmentData!M156)," ","-"))</f>
        <v>Delayed</v>
      </c>
      <c r="R156" s="4">
        <f t="shared" si="14"/>
        <v>32.602739726027401</v>
      </c>
      <c r="S156" s="2">
        <f>[1]RawShipmentData!N156</f>
        <v>1</v>
      </c>
      <c r="T156" s="2" t="str">
        <f>IF(OR(UPPER(TRIM([1]RawShipmentData!O156))="YES",UPPER(TRIM([1]RawShipmentData!O156))="Y"),"Yes","No")</f>
        <v>Yes</v>
      </c>
    </row>
    <row r="157" spans="1:20" x14ac:dyDescent="0.25">
      <c r="A157" s="2" t="str">
        <f>[1]RawShipmentData!A157</f>
        <v>SHP-100565</v>
      </c>
      <c r="B157" s="3">
        <f>IF(ISNUMBER(SEARCH("/",TRIM([1]RawShipmentData!B157))),DATE(VALUE(RIGHT(TRIM([1]RawShipmentData!B157),4)),VALUE(MID(TRIM([1]RawShipmentData!B157),FIND("/",TRIM([1]RawShipmentData!B157))+1,2)),VALUE(LEFT(TRIM([1]RawShipmentData!B157),FIND("/",TRIM([1]RawShipmentData!B157))-1))),DATEVALUE(TRIM([1]RawShipmentData!B157)))</f>
        <v>45360</v>
      </c>
      <c r="C157" s="2" t="str">
        <f>PROPER(TRIM([1]RawShipmentData!C157))</f>
        <v>Bengaluru</v>
      </c>
      <c r="D157" s="2" t="str">
        <f>IFERROR(INDEX([1]HubMaster!$B$2:$B$7,MATCH(C157,[1]HubMaster!$A$2:$A$7,0)),"Unknown")</f>
        <v>South</v>
      </c>
      <c r="E157" s="2" t="str">
        <f>PROPER(TRIM(SUBSTITUTE([1]RawShipmentData!D157,"  "," ")))</f>
        <v>Ecom Express</v>
      </c>
      <c r="F157" s="2" t="str">
        <f>PROPER(TRIM([1]RawShipmentData!E157))</f>
        <v>Air</v>
      </c>
      <c r="G157" s="2" t="str">
        <f>PROPER(TRIM(SUBSTITUTE([1]RawShipmentData!F157,"  "," ")))</f>
        <v>Furniture</v>
      </c>
      <c r="H157" s="2" t="str">
        <f>PROPER(TRIM([1]RawShipmentData!G157))</f>
        <v>West</v>
      </c>
      <c r="I157" s="2" t="str">
        <f t="shared" si="10"/>
        <v>Yes</v>
      </c>
      <c r="J157" s="2">
        <f>IFERROR(VALUE(TRIM(SUBSTITUTE(UPPER([1]RawShipmentData!I157),"KG",""))),"")</f>
        <v>66.099999999999994</v>
      </c>
      <c r="K157" s="2">
        <f>VALUE(SUBSTITUTE(SUBSTITUTE(SUBSTITUTE(TRIM([1]RawShipmentData!J157),"₹",""),"Rs",""),",",""))</f>
        <v>3156</v>
      </c>
      <c r="L157" s="2">
        <f>[1]RawShipmentData!K157</f>
        <v>4</v>
      </c>
      <c r="M157" s="3">
        <f>IF(TRIM([1]RawShipmentData!L157)="","",IF(ISNUMBER(SEARCH("/",TRIM([1]RawShipmentData!L157))),DATE(VALUE(RIGHT(TRIM([1]RawShipmentData!L157),4)),VALUE(MID(TRIM([1]RawShipmentData!L157),FIND("/",TRIM([1]RawShipmentData!L157))+1,2)),VALUE(LEFT(TRIM([1]RawShipmentData!L157),FIND("/",TRIM([1]RawShipmentData!L157))-1))),DATEVALUE(TRIM([1]RawShipmentData!L157))))</f>
        <v>45368</v>
      </c>
      <c r="N157" s="2">
        <f t="shared" si="11"/>
        <v>8</v>
      </c>
      <c r="O157" s="2">
        <f t="shared" si="12"/>
        <v>4</v>
      </c>
      <c r="P157" s="2" t="str">
        <f t="shared" si="13"/>
        <v>Late</v>
      </c>
      <c r="Q157" s="2" t="str">
        <f>PROPER(SUBSTITUTE(TRIM([1]RawShipmentData!M157)," ","-"))</f>
        <v>Delayed</v>
      </c>
      <c r="R157" s="4">
        <f t="shared" si="14"/>
        <v>47.745839636913772</v>
      </c>
      <c r="S157" s="2">
        <f>[1]RawShipmentData!N157</f>
        <v>5</v>
      </c>
      <c r="T157" s="2" t="str">
        <f>IF(OR(UPPER(TRIM([1]RawShipmentData!O157))="YES",UPPER(TRIM([1]RawShipmentData!O157))="Y"),"Yes","No")</f>
        <v>Yes</v>
      </c>
    </row>
    <row r="158" spans="1:20" x14ac:dyDescent="0.25">
      <c r="A158" s="2" t="str">
        <f>[1]RawShipmentData!A158</f>
        <v>SHP-100817</v>
      </c>
      <c r="B158" s="3">
        <f>IF(ISNUMBER(SEARCH("/",TRIM([1]RawShipmentData!B158))),DATE(VALUE(RIGHT(TRIM([1]RawShipmentData!B158),4)),VALUE(MID(TRIM([1]RawShipmentData!B158),FIND("/",TRIM([1]RawShipmentData!B158))+1,2)),VALUE(LEFT(TRIM([1]RawShipmentData!B158),FIND("/",TRIM([1]RawShipmentData!B158))-1))),DATEVALUE(TRIM([1]RawShipmentData!B158)))</f>
        <v>45365</v>
      </c>
      <c r="C158" s="2" t="str">
        <f>PROPER(TRIM([1]RawShipmentData!C158))</f>
        <v>Bengaluru</v>
      </c>
      <c r="D158" s="2" t="str">
        <f>IFERROR(INDEX([1]HubMaster!$B$2:$B$7,MATCH(C158,[1]HubMaster!$A$2:$A$7,0)),"Unknown")</f>
        <v>South</v>
      </c>
      <c r="E158" s="2" t="str">
        <f>PROPER(TRIM(SUBSTITUTE([1]RawShipmentData!D158,"  "," ")))</f>
        <v>Delhivery</v>
      </c>
      <c r="F158" s="2" t="str">
        <f>PROPER(TRIM([1]RawShipmentData!E158))</f>
        <v>Road</v>
      </c>
      <c r="G158" s="2" t="str">
        <f>PROPER(TRIM(SUBSTITUTE([1]RawShipmentData!F158,"  "," ")))</f>
        <v>Pharma</v>
      </c>
      <c r="H158" s="2" t="str">
        <f>PROPER(TRIM([1]RawShipmentData!G158))</f>
        <v>East</v>
      </c>
      <c r="I158" s="2" t="str">
        <f t="shared" si="10"/>
        <v>Yes</v>
      </c>
      <c r="J158" s="2">
        <f>IFERROR(VALUE(TRIM(SUBSTITUTE(UPPER([1]RawShipmentData!I158),"KG",""))),"")</f>
        <v>2.4</v>
      </c>
      <c r="K158" s="2">
        <f>VALUE(SUBSTITUTE(SUBSTITUTE(SUBSTITUTE(TRIM([1]RawShipmentData!J158),"₹",""),"Rs",""),",",""))</f>
        <v>172</v>
      </c>
      <c r="L158" s="2">
        <f>[1]RawShipmentData!K158</f>
        <v>8</v>
      </c>
      <c r="M158" s="3">
        <f>IF(TRIM([1]RawShipmentData!L158)="","",IF(ISNUMBER(SEARCH("/",TRIM([1]RawShipmentData!L158))),DATE(VALUE(RIGHT(TRIM([1]RawShipmentData!L158),4)),VALUE(MID(TRIM([1]RawShipmentData!L158),FIND("/",TRIM([1]RawShipmentData!L158))+1,2)),VALUE(LEFT(TRIM([1]RawShipmentData!L158),FIND("/",TRIM([1]RawShipmentData!L158))-1))),DATEVALUE(TRIM([1]RawShipmentData!L158))))</f>
        <v>45373</v>
      </c>
      <c r="N158" s="2">
        <f t="shared" si="11"/>
        <v>8</v>
      </c>
      <c r="O158" s="2">
        <f t="shared" si="12"/>
        <v>0</v>
      </c>
      <c r="P158" s="2" t="str">
        <f t="shared" si="13"/>
        <v>On Time</v>
      </c>
      <c r="Q158" s="2" t="str">
        <f>PROPER(SUBSTITUTE(TRIM([1]RawShipmentData!M158)," ","-"))</f>
        <v>Delivered</v>
      </c>
      <c r="R158" s="4">
        <f t="shared" si="14"/>
        <v>71.666666666666671</v>
      </c>
      <c r="S158" s="2">
        <f>[1]RawShipmentData!N158</f>
        <v>5</v>
      </c>
      <c r="T158" s="2" t="str">
        <f>IF(OR(UPPER(TRIM([1]RawShipmentData!O158))="YES",UPPER(TRIM([1]RawShipmentData!O158))="Y"),"Yes","No")</f>
        <v>No</v>
      </c>
    </row>
    <row r="159" spans="1:20" x14ac:dyDescent="0.25">
      <c r="A159" s="2" t="str">
        <f>[1]RawShipmentData!A159</f>
        <v>SHP-100553</v>
      </c>
      <c r="B159" s="3">
        <f>IF(ISNUMBER(SEARCH("/",TRIM([1]RawShipmentData!B159))),DATE(VALUE(RIGHT(TRIM([1]RawShipmentData!B159),4)),VALUE(MID(TRIM([1]RawShipmentData!B159),FIND("/",TRIM([1]RawShipmentData!B159))+1,2)),VALUE(LEFT(TRIM([1]RawShipmentData!B159),FIND("/",TRIM([1]RawShipmentData!B159))-1))),DATEVALUE(TRIM([1]RawShipmentData!B159)))</f>
        <v>45444</v>
      </c>
      <c r="C159" s="2" t="str">
        <f>PROPER(TRIM([1]RawShipmentData!C159))</f>
        <v>Bengaluru</v>
      </c>
      <c r="D159" s="2" t="str">
        <f>IFERROR(INDEX([1]HubMaster!$B$2:$B$7,MATCH(C159,[1]HubMaster!$A$2:$A$7,0)),"Unknown")</f>
        <v>South</v>
      </c>
      <c r="E159" s="2" t="str">
        <f>PROPER(TRIM(SUBSTITUTE([1]RawShipmentData!D159,"  "," ")))</f>
        <v>Xpress Bees</v>
      </c>
      <c r="F159" s="2" t="str">
        <f>PROPER(TRIM([1]RawShipmentData!E159))</f>
        <v>Road</v>
      </c>
      <c r="G159" s="2" t="str">
        <f>PROPER(TRIM(SUBSTITUTE([1]RawShipmentData!F159,"  "," ")))</f>
        <v>Grocery &amp; Fmcg</v>
      </c>
      <c r="H159" s="2" t="str">
        <f>PROPER(TRIM([1]RawShipmentData!G159))</f>
        <v>South</v>
      </c>
      <c r="I159" s="2" t="str">
        <f t="shared" si="10"/>
        <v>No</v>
      </c>
      <c r="J159" s="2">
        <f>IFERROR(VALUE(TRIM(SUBSTITUTE(UPPER([1]RawShipmentData!I159),"KG",""))),"")</f>
        <v>16.899999999999999</v>
      </c>
      <c r="K159" s="2">
        <f>VALUE(SUBSTITUTE(SUBSTITUTE(SUBSTITUTE(TRIM([1]RawShipmentData!J159),"₹",""),"Rs",""),",",""))</f>
        <v>269</v>
      </c>
      <c r="L159" s="2">
        <f>[1]RawShipmentData!K159</f>
        <v>6</v>
      </c>
      <c r="M159" s="3">
        <f>IF(TRIM([1]RawShipmentData!L159)="","",IF(ISNUMBER(SEARCH("/",TRIM([1]RawShipmentData!L159))),DATE(VALUE(RIGHT(TRIM([1]RawShipmentData!L159),4)),VALUE(MID(TRIM([1]RawShipmentData!L159),FIND("/",TRIM([1]RawShipmentData!L159))+1,2)),VALUE(LEFT(TRIM([1]RawShipmentData!L159),FIND("/",TRIM([1]RawShipmentData!L159))-1))),DATEVALUE(TRIM([1]RawShipmentData!L159))))</f>
        <v>45452</v>
      </c>
      <c r="N159" s="2">
        <f t="shared" si="11"/>
        <v>8</v>
      </c>
      <c r="O159" s="2">
        <f t="shared" si="12"/>
        <v>2</v>
      </c>
      <c r="P159" s="2" t="str">
        <f t="shared" si="13"/>
        <v>Late</v>
      </c>
      <c r="Q159" s="2" t="str">
        <f>PROPER(SUBSTITUTE(TRIM([1]RawShipmentData!M159)," ","-"))</f>
        <v>Delayed</v>
      </c>
      <c r="R159" s="4">
        <f t="shared" si="14"/>
        <v>15.917159763313611</v>
      </c>
      <c r="S159" s="2">
        <f>[1]RawShipmentData!N159</f>
        <v>3</v>
      </c>
      <c r="T159" s="2" t="str">
        <f>IF(OR(UPPER(TRIM([1]RawShipmentData!O159))="YES",UPPER(TRIM([1]RawShipmentData!O159))="Y"),"Yes","No")</f>
        <v>No</v>
      </c>
    </row>
    <row r="160" spans="1:20" x14ac:dyDescent="0.25">
      <c r="A160" s="2" t="str">
        <f>[1]RawShipmentData!A160</f>
        <v>SHP-100277</v>
      </c>
      <c r="B160" s="3">
        <f>IF(ISNUMBER(SEARCH("/",TRIM([1]RawShipmentData!B160))),DATE(VALUE(RIGHT(TRIM([1]RawShipmentData!B160),4)),VALUE(MID(TRIM([1]RawShipmentData!B160),FIND("/",TRIM([1]RawShipmentData!B160))+1,2)),VALUE(LEFT(TRIM([1]RawShipmentData!B160),FIND("/",TRIM([1]RawShipmentData!B160))-1))),DATEVALUE(TRIM([1]RawShipmentData!B160)))</f>
        <v>45345</v>
      </c>
      <c r="C160" s="2" t="str">
        <f>PROPER(TRIM([1]RawShipmentData!C160))</f>
        <v>Chennai</v>
      </c>
      <c r="D160" s="2" t="str">
        <f>IFERROR(INDEX([1]HubMaster!$B$2:$B$7,MATCH(C160,[1]HubMaster!$A$2:$A$7,0)),"Unknown")</f>
        <v>South</v>
      </c>
      <c r="E160" s="2" t="str">
        <f>PROPER(TRIM(SUBSTITUTE([1]RawShipmentData!D160,"  "," ")))</f>
        <v>Delhivery</v>
      </c>
      <c r="F160" s="2" t="str">
        <f>PROPER(TRIM([1]RawShipmentData!E160))</f>
        <v>Air</v>
      </c>
      <c r="G160" s="2" t="str">
        <f>PROPER(TRIM(SUBSTITUTE([1]RawShipmentData!F160,"  "," ")))</f>
        <v>Electronics</v>
      </c>
      <c r="H160" s="2" t="str">
        <f>PROPER(TRIM([1]RawShipmentData!G160))</f>
        <v>North</v>
      </c>
      <c r="I160" s="2" t="str">
        <f t="shared" si="10"/>
        <v>Yes</v>
      </c>
      <c r="J160" s="2">
        <f>IFERROR(VALUE(TRIM(SUBSTITUTE(UPPER([1]RawShipmentData!I160),"KG",""))),"")</f>
        <v>9.4</v>
      </c>
      <c r="K160" s="2">
        <f>VALUE(SUBSTITUTE(SUBSTITUTE(SUBSTITUTE(TRIM([1]RawShipmentData!J160),"₹",""),"Rs",""),",",""))</f>
        <v>563</v>
      </c>
      <c r="L160" s="2">
        <f>[1]RawShipmentData!K160</f>
        <v>4</v>
      </c>
      <c r="M160" s="3">
        <f>IF(TRIM([1]RawShipmentData!L160)="","",IF(ISNUMBER(SEARCH("/",TRIM([1]RawShipmentData!L160))),DATE(VALUE(RIGHT(TRIM([1]RawShipmentData!L160),4)),VALUE(MID(TRIM([1]RawShipmentData!L160),FIND("/",TRIM([1]RawShipmentData!L160))+1,2)),VALUE(LEFT(TRIM([1]RawShipmentData!L160),FIND("/",TRIM([1]RawShipmentData!L160))-1))),DATEVALUE(TRIM([1]RawShipmentData!L160))))</f>
        <v>45350</v>
      </c>
      <c r="N160" s="2">
        <f t="shared" si="11"/>
        <v>5</v>
      </c>
      <c r="O160" s="2">
        <f t="shared" si="12"/>
        <v>1</v>
      </c>
      <c r="P160" s="2" t="str">
        <f t="shared" si="13"/>
        <v>Late</v>
      </c>
      <c r="Q160" s="2" t="str">
        <f>PROPER(SUBSTITUTE(TRIM([1]RawShipmentData!M160)," ","-"))</f>
        <v>Delayed</v>
      </c>
      <c r="R160" s="4">
        <f t="shared" si="14"/>
        <v>59.89361702127659</v>
      </c>
      <c r="S160" s="2">
        <f>[1]RawShipmentData!N160</f>
        <v>1</v>
      </c>
      <c r="T160" s="2" t="str">
        <f>IF(OR(UPPER(TRIM([1]RawShipmentData!O160))="YES",UPPER(TRIM([1]RawShipmentData!O160))="Y"),"Yes","No")</f>
        <v>No</v>
      </c>
    </row>
    <row r="161" spans="1:20" x14ac:dyDescent="0.25">
      <c r="A161" s="2" t="str">
        <f>[1]RawShipmentData!A161</f>
        <v>SHP-100745</v>
      </c>
      <c r="B161" s="3">
        <f>IF(ISNUMBER(SEARCH("/",TRIM([1]RawShipmentData!B161))),DATE(VALUE(RIGHT(TRIM([1]RawShipmentData!B161),4)),VALUE(MID(TRIM([1]RawShipmentData!B161),FIND("/",TRIM([1]RawShipmentData!B161))+1,2)),VALUE(LEFT(TRIM([1]RawShipmentData!B161),FIND("/",TRIM([1]RawShipmentData!B161))-1))),DATEVALUE(TRIM([1]RawShipmentData!B161)))</f>
        <v>45358</v>
      </c>
      <c r="C161" s="2" t="str">
        <f>PROPER(TRIM([1]RawShipmentData!C161))</f>
        <v>Chennai</v>
      </c>
      <c r="D161" s="2" t="str">
        <f>IFERROR(INDEX([1]HubMaster!$B$2:$B$7,MATCH(C161,[1]HubMaster!$A$2:$A$7,0)),"Unknown")</f>
        <v>South</v>
      </c>
      <c r="E161" s="2" t="str">
        <f>PROPER(TRIM(SUBSTITUTE([1]RawShipmentData!D161,"  "," ")))</f>
        <v>Blue Dart</v>
      </c>
      <c r="F161" s="2" t="str">
        <f>PROPER(TRIM([1]RawShipmentData!E161))</f>
        <v>Air</v>
      </c>
      <c r="G161" s="2" t="str">
        <f>PROPER(TRIM(SUBSTITUTE([1]RawShipmentData!F161,"  "," ")))</f>
        <v>Automotive Parts</v>
      </c>
      <c r="H161" s="2" t="str">
        <f>PROPER(TRIM([1]RawShipmentData!G161))</f>
        <v>South</v>
      </c>
      <c r="I161" s="2" t="str">
        <f t="shared" si="10"/>
        <v>No</v>
      </c>
      <c r="J161" s="2">
        <f>IFERROR(VALUE(TRIM(SUBSTITUTE(UPPER([1]RawShipmentData!I161),"KG",""))),"")</f>
        <v>10.7</v>
      </c>
      <c r="K161" s="2">
        <f>VALUE(SUBSTITUTE(SUBSTITUTE(SUBSTITUTE(TRIM([1]RawShipmentData!J161),"₹",""),"Rs",""),",",""))</f>
        <v>504</v>
      </c>
      <c r="L161" s="2">
        <f>[1]RawShipmentData!K161</f>
        <v>2</v>
      </c>
      <c r="M161" s="3">
        <f>IF(TRIM([1]RawShipmentData!L161)="","",IF(ISNUMBER(SEARCH("/",TRIM([1]RawShipmentData!L161))),DATE(VALUE(RIGHT(TRIM([1]RawShipmentData!L161),4)),VALUE(MID(TRIM([1]RawShipmentData!L161),FIND("/",TRIM([1]RawShipmentData!L161))+1,2)),VALUE(LEFT(TRIM([1]RawShipmentData!L161),FIND("/",TRIM([1]RawShipmentData!L161))-1))),DATEVALUE(TRIM([1]RawShipmentData!L161))))</f>
        <v>45361</v>
      </c>
      <c r="N161" s="2">
        <f t="shared" si="11"/>
        <v>3</v>
      </c>
      <c r="O161" s="2">
        <f t="shared" si="12"/>
        <v>1</v>
      </c>
      <c r="P161" s="2" t="str">
        <f t="shared" si="13"/>
        <v>Late</v>
      </c>
      <c r="Q161" s="2" t="str">
        <f>PROPER(SUBSTITUTE(TRIM([1]RawShipmentData!M161)," ","-"))</f>
        <v>Delayed</v>
      </c>
      <c r="R161" s="4">
        <f t="shared" si="14"/>
        <v>47.10280373831776</v>
      </c>
      <c r="S161" s="2">
        <f>[1]RawShipmentData!N161</f>
        <v>2</v>
      </c>
      <c r="T161" s="2" t="str">
        <f>IF(OR(UPPER(TRIM([1]RawShipmentData!O161))="YES",UPPER(TRIM([1]RawShipmentData!O161))="Y"),"Yes","No")</f>
        <v>No</v>
      </c>
    </row>
    <row r="162" spans="1:20" x14ac:dyDescent="0.25">
      <c r="A162" s="2" t="str">
        <f>[1]RawShipmentData!A162</f>
        <v>SHP-101190</v>
      </c>
      <c r="B162" s="3">
        <f>IF(ISNUMBER(SEARCH("/",TRIM([1]RawShipmentData!B162))),DATE(VALUE(RIGHT(TRIM([1]RawShipmentData!B162),4)),VALUE(MID(TRIM([1]RawShipmentData!B162),FIND("/",TRIM([1]RawShipmentData!B162))+1,2)),VALUE(LEFT(TRIM([1]RawShipmentData!B162),FIND("/",TRIM([1]RawShipmentData!B162))-1))),DATEVALUE(TRIM([1]RawShipmentData!B162)))</f>
        <v>45296</v>
      </c>
      <c r="C162" s="2" t="str">
        <f>PROPER(TRIM([1]RawShipmentData!C162))</f>
        <v>Chennai</v>
      </c>
      <c r="D162" s="2" t="str">
        <f>IFERROR(INDEX([1]HubMaster!$B$2:$B$7,MATCH(C162,[1]HubMaster!$A$2:$A$7,0)),"Unknown")</f>
        <v>South</v>
      </c>
      <c r="E162" s="2" t="str">
        <f>PROPER(TRIM(SUBSTITUTE([1]RawShipmentData!D162,"  "," ")))</f>
        <v>Ecom Express</v>
      </c>
      <c r="F162" s="2" t="str">
        <f>PROPER(TRIM([1]RawShipmentData!E162))</f>
        <v>Surface</v>
      </c>
      <c r="G162" s="2" t="str">
        <f>PROPER(TRIM(SUBSTITUTE([1]RawShipmentData!F162,"  "," ")))</f>
        <v>Electronics</v>
      </c>
      <c r="H162" s="2" t="str">
        <f>PROPER(TRIM([1]RawShipmentData!G162))</f>
        <v>North</v>
      </c>
      <c r="I162" s="2" t="str">
        <f t="shared" si="10"/>
        <v>Yes</v>
      </c>
      <c r="J162" s="2">
        <f>IFERROR(VALUE(TRIM(SUBSTITUTE(UPPER([1]RawShipmentData!I162),"KG",""))),"")</f>
        <v>10.1</v>
      </c>
      <c r="K162" s="2">
        <f>VALUE(SUBSTITUTE(SUBSTITUTE(SUBSTITUTE(TRIM([1]RawShipmentData!J162),"₹",""),"Rs",""),",",""))</f>
        <v>424</v>
      </c>
      <c r="L162" s="2">
        <f>[1]RawShipmentData!K162</f>
        <v>6</v>
      </c>
      <c r="M162" s="3">
        <f>IF(TRIM([1]RawShipmentData!L162)="","",IF(ISNUMBER(SEARCH("/",TRIM([1]RawShipmentData!L162))),DATE(VALUE(RIGHT(TRIM([1]RawShipmentData!L162),4)),VALUE(MID(TRIM([1]RawShipmentData!L162),FIND("/",TRIM([1]RawShipmentData!L162))+1,2)),VALUE(LEFT(TRIM([1]RawShipmentData!L162),FIND("/",TRIM([1]RawShipmentData!L162))-1))),DATEVALUE(TRIM([1]RawShipmentData!L162))))</f>
        <v>45302</v>
      </c>
      <c r="N162" s="2">
        <f t="shared" si="11"/>
        <v>6</v>
      </c>
      <c r="O162" s="2">
        <f t="shared" si="12"/>
        <v>0</v>
      </c>
      <c r="P162" s="2" t="str">
        <f t="shared" si="13"/>
        <v>On Time</v>
      </c>
      <c r="Q162" s="2" t="str">
        <f>PROPER(SUBSTITUTE(TRIM([1]RawShipmentData!M162)," ","-"))</f>
        <v>Delivered</v>
      </c>
      <c r="R162" s="4">
        <f t="shared" si="14"/>
        <v>41.980198019801982</v>
      </c>
      <c r="S162" s="2">
        <f>[1]RawShipmentData!N162</f>
        <v>5</v>
      </c>
      <c r="T162" s="2" t="str">
        <f>IF(OR(UPPER(TRIM([1]RawShipmentData!O162))="YES",UPPER(TRIM([1]RawShipmentData!O162))="Y"),"Yes","No")</f>
        <v>No</v>
      </c>
    </row>
    <row r="163" spans="1:20" x14ac:dyDescent="0.25">
      <c r="A163" s="2" t="str">
        <f>[1]RawShipmentData!A163</f>
        <v>SHP-100419</v>
      </c>
      <c r="B163" s="3">
        <f>IF(ISNUMBER(SEARCH("/",TRIM([1]RawShipmentData!B163))),DATE(VALUE(RIGHT(TRIM([1]RawShipmentData!B163),4)),VALUE(MID(TRIM([1]RawShipmentData!B163),FIND("/",TRIM([1]RawShipmentData!B163))+1,2)),VALUE(LEFT(TRIM([1]RawShipmentData!B163),FIND("/",TRIM([1]RawShipmentData!B163))-1))),DATEVALUE(TRIM([1]RawShipmentData!B163)))</f>
        <v>45358</v>
      </c>
      <c r="C163" s="2" t="str">
        <f>PROPER(TRIM([1]RawShipmentData!C163))</f>
        <v>Chennai</v>
      </c>
      <c r="D163" s="2" t="str">
        <f>IFERROR(INDEX([1]HubMaster!$B$2:$B$7,MATCH(C163,[1]HubMaster!$A$2:$A$7,0)),"Unknown")</f>
        <v>South</v>
      </c>
      <c r="E163" s="2" t="str">
        <f>PROPER(TRIM(SUBSTITUTE([1]RawShipmentData!D163,"  "," ")))</f>
        <v>Bluedart</v>
      </c>
      <c r="F163" s="2" t="str">
        <f>PROPER(TRIM([1]RawShipmentData!E163))</f>
        <v>Road</v>
      </c>
      <c r="G163" s="2" t="str">
        <f>PROPER(TRIM(SUBSTITUTE([1]RawShipmentData!F163,"  "," ")))</f>
        <v>Automotive Parts</v>
      </c>
      <c r="H163" s="2" t="str">
        <f>PROPER(TRIM([1]RawShipmentData!G163))</f>
        <v>West</v>
      </c>
      <c r="I163" s="2" t="str">
        <f t="shared" si="10"/>
        <v>Yes</v>
      </c>
      <c r="J163" s="2">
        <f>IFERROR(VALUE(TRIM(SUBSTITUTE(UPPER([1]RawShipmentData!I163),"KG",""))),"")</f>
        <v>30.3</v>
      </c>
      <c r="K163" s="2">
        <f>VALUE(SUBSTITUTE(SUBSTITUTE(SUBSTITUTE(TRIM([1]RawShipmentData!J163),"₹",""),"Rs",""),",",""))</f>
        <v>591</v>
      </c>
      <c r="L163" s="2">
        <f>[1]RawShipmentData!K163</f>
        <v>8</v>
      </c>
      <c r="M163" s="3">
        <f>IF(TRIM([1]RawShipmentData!L163)="","",IF(ISNUMBER(SEARCH("/",TRIM([1]RawShipmentData!L163))),DATE(VALUE(RIGHT(TRIM([1]RawShipmentData!L163),4)),VALUE(MID(TRIM([1]RawShipmentData!L163),FIND("/",TRIM([1]RawShipmentData!L163))+1,2)),VALUE(LEFT(TRIM([1]RawShipmentData!L163),FIND("/",TRIM([1]RawShipmentData!L163))-1))),DATEVALUE(TRIM([1]RawShipmentData!L163))))</f>
        <v>45366</v>
      </c>
      <c r="N163" s="2">
        <f t="shared" si="11"/>
        <v>8</v>
      </c>
      <c r="O163" s="2">
        <f t="shared" si="12"/>
        <v>0</v>
      </c>
      <c r="P163" s="2" t="str">
        <f t="shared" si="13"/>
        <v>On Time</v>
      </c>
      <c r="Q163" s="2" t="str">
        <f>PROPER(SUBSTITUTE(TRIM([1]RawShipmentData!M163)," ","-"))</f>
        <v>Delivered</v>
      </c>
      <c r="R163" s="4">
        <f t="shared" si="14"/>
        <v>19.504950495049503</v>
      </c>
      <c r="S163" s="2">
        <f>[1]RawShipmentData!N163</f>
        <v>5</v>
      </c>
      <c r="T163" s="2" t="str">
        <f>IF(OR(UPPER(TRIM([1]RawShipmentData!O163))="YES",UPPER(TRIM([1]RawShipmentData!O163))="Y"),"Yes","No")</f>
        <v>No</v>
      </c>
    </row>
    <row r="164" spans="1:20" x14ac:dyDescent="0.25">
      <c r="A164" s="2" t="str">
        <f>[1]RawShipmentData!A164</f>
        <v>SHP-101125</v>
      </c>
      <c r="B164" s="3">
        <f>IF(ISNUMBER(SEARCH("/",TRIM([1]RawShipmentData!B164))),DATE(VALUE(RIGHT(TRIM([1]RawShipmentData!B164),4)),VALUE(MID(TRIM([1]RawShipmentData!B164),FIND("/",TRIM([1]RawShipmentData!B164))+1,2)),VALUE(LEFT(TRIM([1]RawShipmentData!B164),FIND("/",TRIM([1]RawShipmentData!B164))-1))),DATEVALUE(TRIM([1]RawShipmentData!B164)))</f>
        <v>45446</v>
      </c>
      <c r="C164" s="2" t="str">
        <f>PROPER(TRIM([1]RawShipmentData!C164))</f>
        <v>Kolkata</v>
      </c>
      <c r="D164" s="2" t="str">
        <f>IFERROR(INDEX([1]HubMaster!$B$2:$B$7,MATCH(C164,[1]HubMaster!$A$2:$A$7,0)),"Unknown")</f>
        <v>East</v>
      </c>
      <c r="E164" s="2" t="str">
        <f>PROPER(TRIM(SUBSTITUTE([1]RawShipmentData!D164,"  "," ")))</f>
        <v>Xpressbees</v>
      </c>
      <c r="F164" s="2" t="str">
        <f>PROPER(TRIM([1]RawShipmentData!E164))</f>
        <v>Road</v>
      </c>
      <c r="G164" s="2" t="str">
        <f>PROPER(TRIM(SUBSTITUTE([1]RawShipmentData!F164,"  "," ")))</f>
        <v>Electronics</v>
      </c>
      <c r="H164" s="2" t="str">
        <f>PROPER(TRIM([1]RawShipmentData!G164))</f>
        <v>North</v>
      </c>
      <c r="I164" s="2" t="str">
        <f t="shared" si="10"/>
        <v>Yes</v>
      </c>
      <c r="J164" s="2">
        <f>IFERROR(VALUE(TRIM(SUBSTITUTE(UPPER([1]RawShipmentData!I164),"KG",""))),"")</f>
        <v>8.8000000000000007</v>
      </c>
      <c r="K164" s="2">
        <f>VALUE(SUBSTITUTE(SUBSTITUTE(SUBSTITUTE(TRIM([1]RawShipmentData!J164),"₹",""),"Rs",""),",",""))</f>
        <v>252</v>
      </c>
      <c r="L164" s="2">
        <f>[1]RawShipmentData!K164</f>
        <v>8</v>
      </c>
      <c r="M164" s="3">
        <f>IF(TRIM([1]RawShipmentData!L164)="","",IF(ISNUMBER(SEARCH("/",TRIM([1]RawShipmentData!L164))),DATE(VALUE(RIGHT(TRIM([1]RawShipmentData!L164),4)),VALUE(MID(TRIM([1]RawShipmentData!L164),FIND("/",TRIM([1]RawShipmentData!L164))+1,2)),VALUE(LEFT(TRIM([1]RawShipmentData!L164),FIND("/",TRIM([1]RawShipmentData!L164))-1))),DATEVALUE(TRIM([1]RawShipmentData!L164))))</f>
        <v>45455</v>
      </c>
      <c r="N164" s="2">
        <f t="shared" si="11"/>
        <v>9</v>
      </c>
      <c r="O164" s="2">
        <f t="shared" si="12"/>
        <v>1</v>
      </c>
      <c r="P164" s="2" t="str">
        <f t="shared" si="13"/>
        <v>Late</v>
      </c>
      <c r="Q164" s="2" t="str">
        <f>PROPER(SUBSTITUTE(TRIM([1]RawShipmentData!M164)," ","-"))</f>
        <v>Delayed</v>
      </c>
      <c r="R164" s="4">
        <f t="shared" si="14"/>
        <v>28.636363636363633</v>
      </c>
      <c r="S164" s="2">
        <f>[1]RawShipmentData!N164</f>
        <v>4</v>
      </c>
      <c r="T164" s="2" t="str">
        <f>IF(OR(UPPER(TRIM([1]RawShipmentData!O164))="YES",UPPER(TRIM([1]RawShipmentData!O164))="Y"),"Yes","No")</f>
        <v>No</v>
      </c>
    </row>
    <row r="165" spans="1:20" x14ac:dyDescent="0.25">
      <c r="A165" s="2" t="str">
        <f>[1]RawShipmentData!A165</f>
        <v>SHP-100825</v>
      </c>
      <c r="B165" s="3">
        <f>IF(ISNUMBER(SEARCH("/",TRIM([1]RawShipmentData!B165))),DATE(VALUE(RIGHT(TRIM([1]RawShipmentData!B165),4)),VALUE(MID(TRIM([1]RawShipmentData!B165),FIND("/",TRIM([1]RawShipmentData!B165))+1,2)),VALUE(LEFT(TRIM([1]RawShipmentData!B165),FIND("/",TRIM([1]RawShipmentData!B165))-1))),DATEVALUE(TRIM([1]RawShipmentData!B165)))</f>
        <v>45305</v>
      </c>
      <c r="C165" s="2" t="str">
        <f>PROPER(TRIM([1]RawShipmentData!C165))</f>
        <v>Mumbai</v>
      </c>
      <c r="D165" s="2" t="str">
        <f>IFERROR(INDEX([1]HubMaster!$B$2:$B$7,MATCH(C165,[1]HubMaster!$A$2:$A$7,0)),"Unknown")</f>
        <v>West</v>
      </c>
      <c r="E165" s="2" t="str">
        <f>PROPER(TRIM(SUBSTITUTE([1]RawShipmentData!D165,"  "," ")))</f>
        <v>Ecom Express</v>
      </c>
      <c r="F165" s="2" t="str">
        <f>PROPER(TRIM([1]RawShipmentData!E165))</f>
        <v>Surface</v>
      </c>
      <c r="G165" s="2" t="str">
        <f>PROPER(TRIM(SUBSTITUTE([1]RawShipmentData!F165,"  "," ")))</f>
        <v>Apparel</v>
      </c>
      <c r="H165" s="2" t="str">
        <f>PROPER(TRIM([1]RawShipmentData!G165))</f>
        <v>North</v>
      </c>
      <c r="I165" s="2" t="str">
        <f t="shared" si="10"/>
        <v>Yes</v>
      </c>
      <c r="J165" s="2">
        <f>IFERROR(VALUE(TRIM(SUBSTITUTE(UPPER([1]RawShipmentData!I165),"KG",""))),"")</f>
        <v>5.7</v>
      </c>
      <c r="K165" s="2">
        <f>VALUE(SUBSTITUTE(SUBSTITUTE(SUBSTITUTE(TRIM([1]RawShipmentData!J165),"₹",""),"Rs",""),",",""))</f>
        <v>249</v>
      </c>
      <c r="L165" s="2">
        <f>[1]RawShipmentData!K165</f>
        <v>6</v>
      </c>
      <c r="M165" s="3">
        <f>IF(TRIM([1]RawShipmentData!L165)="","",IF(ISNUMBER(SEARCH("/",TRIM([1]RawShipmentData!L165))),DATE(VALUE(RIGHT(TRIM([1]RawShipmentData!L165),4)),VALUE(MID(TRIM([1]RawShipmentData!L165),FIND("/",TRIM([1]RawShipmentData!L165))+1,2)),VALUE(LEFT(TRIM([1]RawShipmentData!L165),FIND("/",TRIM([1]RawShipmentData!L165))-1))),DATEVALUE(TRIM([1]RawShipmentData!L165))))</f>
        <v>45311</v>
      </c>
      <c r="N165" s="2">
        <f t="shared" si="11"/>
        <v>6</v>
      </c>
      <c r="O165" s="2">
        <f t="shared" si="12"/>
        <v>0</v>
      </c>
      <c r="P165" s="2" t="str">
        <f t="shared" si="13"/>
        <v>On Time</v>
      </c>
      <c r="Q165" s="2" t="str">
        <f>PROPER(SUBSTITUTE(TRIM([1]RawShipmentData!M165)," ","-"))</f>
        <v>Delivered</v>
      </c>
      <c r="R165" s="4">
        <f t="shared" si="14"/>
        <v>43.684210526315788</v>
      </c>
      <c r="S165" s="2">
        <f>[1]RawShipmentData!N165</f>
        <v>5</v>
      </c>
      <c r="T165" s="2" t="str">
        <f>IF(OR(UPPER(TRIM([1]RawShipmentData!O165))="YES",UPPER(TRIM([1]RawShipmentData!O165))="Y"),"Yes","No")</f>
        <v>No</v>
      </c>
    </row>
    <row r="166" spans="1:20" x14ac:dyDescent="0.25">
      <c r="A166" s="2" t="str">
        <f>[1]RawShipmentData!A166</f>
        <v>SHP-100862</v>
      </c>
      <c r="B166" s="3">
        <f>IF(ISNUMBER(SEARCH("/",TRIM([1]RawShipmentData!B166))),DATE(VALUE(RIGHT(TRIM([1]RawShipmentData!B166),4)),VALUE(MID(TRIM([1]RawShipmentData!B166),FIND("/",TRIM([1]RawShipmentData!B166))+1,2)),VALUE(LEFT(TRIM([1]RawShipmentData!B166),FIND("/",TRIM([1]RawShipmentData!B166))-1))),DATEVALUE(TRIM([1]RawShipmentData!B166)))</f>
        <v>45367</v>
      </c>
      <c r="C166" s="2" t="str">
        <f>PROPER(TRIM([1]RawShipmentData!C166))</f>
        <v>Hyderabad</v>
      </c>
      <c r="D166" s="2" t="str">
        <f>IFERROR(INDEX([1]HubMaster!$B$2:$B$7,MATCH(C166,[1]HubMaster!$A$2:$A$7,0)),"Unknown")</f>
        <v>West</v>
      </c>
      <c r="E166" s="2" t="str">
        <f>PROPER(TRIM(SUBSTITUTE([1]RawShipmentData!D166,"  "," ")))</f>
        <v>Dtdc</v>
      </c>
      <c r="F166" s="2" t="str">
        <f>PROPER(TRIM([1]RawShipmentData!E166))</f>
        <v>Surface</v>
      </c>
      <c r="G166" s="2" t="str">
        <f>PROPER(TRIM(SUBSTITUTE([1]RawShipmentData!F166,"  "," ")))</f>
        <v>Electronics</v>
      </c>
      <c r="H166" s="2" t="str">
        <f>PROPER(TRIM([1]RawShipmentData!G166))</f>
        <v>South</v>
      </c>
      <c r="I166" s="2" t="str">
        <f t="shared" si="10"/>
        <v>Yes</v>
      </c>
      <c r="J166" s="2">
        <f>IFERROR(VALUE(TRIM(SUBSTITUTE(UPPER([1]RawShipmentData!I166),"KG",""))),"")</f>
        <v>7.4</v>
      </c>
      <c r="K166" s="2">
        <f>VALUE(SUBSTITUTE(SUBSTITUTE(SUBSTITUTE(TRIM([1]RawShipmentData!J166),"₹",""),"Rs",""),",",""))</f>
        <v>289</v>
      </c>
      <c r="L166" s="2">
        <f>[1]RawShipmentData!K166</f>
        <v>6</v>
      </c>
      <c r="M166" s="3">
        <f>IF(TRIM([1]RawShipmentData!L166)="","",IF(ISNUMBER(SEARCH("/",TRIM([1]RawShipmentData!L166))),DATE(VALUE(RIGHT(TRIM([1]RawShipmentData!L166),4)),VALUE(MID(TRIM([1]RawShipmentData!L166),FIND("/",TRIM([1]RawShipmentData!L166))+1,2)),VALUE(LEFT(TRIM([1]RawShipmentData!L166),FIND("/",TRIM([1]RawShipmentData!L166))-1))),DATEVALUE(TRIM([1]RawShipmentData!L166))))</f>
        <v>45372</v>
      </c>
      <c r="N166" s="2">
        <f t="shared" si="11"/>
        <v>5</v>
      </c>
      <c r="O166" s="2">
        <f t="shared" si="12"/>
        <v>-1</v>
      </c>
      <c r="P166" s="2" t="str">
        <f t="shared" si="13"/>
        <v>On Time</v>
      </c>
      <c r="Q166" s="2" t="str">
        <f>PROPER(SUBSTITUTE(TRIM([1]RawShipmentData!M166)," ","-"))</f>
        <v>Delivered</v>
      </c>
      <c r="R166" s="4">
        <f t="shared" si="14"/>
        <v>39.054054054054049</v>
      </c>
      <c r="S166" s="2">
        <f>[1]RawShipmentData!N166</f>
        <v>5</v>
      </c>
      <c r="T166" s="2" t="str">
        <f>IF(OR(UPPER(TRIM([1]RawShipmentData!O166))="YES",UPPER(TRIM([1]RawShipmentData!O166))="Y"),"Yes","No")</f>
        <v>No</v>
      </c>
    </row>
    <row r="167" spans="1:20" x14ac:dyDescent="0.25">
      <c r="A167" s="2" t="str">
        <f>[1]RawShipmentData!A167</f>
        <v>SHP-100026</v>
      </c>
      <c r="B167" s="3">
        <f>IF(ISNUMBER(SEARCH("/",TRIM([1]RawShipmentData!B167))),DATE(VALUE(RIGHT(TRIM([1]RawShipmentData!B167),4)),VALUE(MID(TRIM([1]RawShipmentData!B167),FIND("/",TRIM([1]RawShipmentData!B167))+1,2)),VALUE(LEFT(TRIM([1]RawShipmentData!B167),FIND("/",TRIM([1]RawShipmentData!B167))-1))),DATEVALUE(TRIM([1]RawShipmentData!B167)))</f>
        <v>45438</v>
      </c>
      <c r="C167" s="2" t="str">
        <f>PROPER(TRIM([1]RawShipmentData!C167))</f>
        <v>Delhi</v>
      </c>
      <c r="D167" s="2" t="str">
        <f>IFERROR(INDEX([1]HubMaster!$B$2:$B$7,MATCH(C167,[1]HubMaster!$A$2:$A$7,0)),"Unknown")</f>
        <v>North</v>
      </c>
      <c r="E167" s="2" t="str">
        <f>PROPER(TRIM(SUBSTITUTE([1]RawShipmentData!D167,"  "," ")))</f>
        <v>Xpressbees</v>
      </c>
      <c r="F167" s="2" t="str">
        <f>PROPER(TRIM([1]RawShipmentData!E167))</f>
        <v>Road</v>
      </c>
      <c r="G167" s="2" t="str">
        <f>PROPER(TRIM(SUBSTITUTE([1]RawShipmentData!F167,"  "," ")))</f>
        <v>Apparel</v>
      </c>
      <c r="H167" s="2" t="str">
        <f>PROPER(TRIM([1]RawShipmentData!G167))</f>
        <v>North</v>
      </c>
      <c r="I167" s="2" t="str">
        <f t="shared" si="10"/>
        <v>No</v>
      </c>
      <c r="J167" s="2">
        <f>IFERROR(VALUE(TRIM(SUBSTITUTE(UPPER([1]RawShipmentData!I167),"KG",""))),"")</f>
        <v>4.9000000000000004</v>
      </c>
      <c r="K167" s="2">
        <f>VALUE(SUBSTITUTE(SUBSTITUTE(SUBSTITUTE(TRIM([1]RawShipmentData!J167),"₹",""),"Rs",""),",",""))</f>
        <v>93</v>
      </c>
      <c r="L167" s="2">
        <f>[1]RawShipmentData!K167</f>
        <v>6</v>
      </c>
      <c r="M167" s="3">
        <f>IF(TRIM([1]RawShipmentData!L167)="","",IF(ISNUMBER(SEARCH("/",TRIM([1]RawShipmentData!L167))),DATE(VALUE(RIGHT(TRIM([1]RawShipmentData!L167),4)),VALUE(MID(TRIM([1]RawShipmentData!L167),FIND("/",TRIM([1]RawShipmentData!L167))+1,2)),VALUE(LEFT(TRIM([1]RawShipmentData!L167),FIND("/",TRIM([1]RawShipmentData!L167))-1))),DATEVALUE(TRIM([1]RawShipmentData!L167))))</f>
        <v>45444</v>
      </c>
      <c r="N167" s="2">
        <f t="shared" si="11"/>
        <v>6</v>
      </c>
      <c r="O167" s="2">
        <f t="shared" si="12"/>
        <v>0</v>
      </c>
      <c r="P167" s="2" t="str">
        <f t="shared" si="13"/>
        <v>On Time</v>
      </c>
      <c r="Q167" s="2" t="str">
        <f>PROPER(SUBSTITUTE(TRIM([1]RawShipmentData!M167)," ","-"))</f>
        <v>Delivered</v>
      </c>
      <c r="R167" s="4">
        <f t="shared" si="14"/>
        <v>18.979591836734691</v>
      </c>
      <c r="S167" s="2">
        <f>[1]RawShipmentData!N167</f>
        <v>2</v>
      </c>
      <c r="T167" s="2" t="str">
        <f>IF(OR(UPPER(TRIM([1]RawShipmentData!O167))="YES",UPPER(TRIM([1]RawShipmentData!O167))="Y"),"Yes","No")</f>
        <v>No</v>
      </c>
    </row>
    <row r="168" spans="1:20" x14ac:dyDescent="0.25">
      <c r="A168" s="2" t="str">
        <f>[1]RawShipmentData!A168</f>
        <v>SHP-100428</v>
      </c>
      <c r="B168" s="3">
        <f>IF(ISNUMBER(SEARCH("/",TRIM([1]RawShipmentData!B168))),DATE(VALUE(RIGHT(TRIM([1]RawShipmentData!B168),4)),VALUE(MID(TRIM([1]RawShipmentData!B168),FIND("/",TRIM([1]RawShipmentData!B168))+1,2)),VALUE(LEFT(TRIM([1]RawShipmentData!B168),FIND("/",TRIM([1]RawShipmentData!B168))-1))),DATEVALUE(TRIM([1]RawShipmentData!B168)))</f>
        <v>45402</v>
      </c>
      <c r="C168" s="2" t="str">
        <f>PROPER(TRIM([1]RawShipmentData!C168))</f>
        <v>Bengaluru</v>
      </c>
      <c r="D168" s="2" t="str">
        <f>IFERROR(INDEX([1]HubMaster!$B$2:$B$7,MATCH(C168,[1]HubMaster!$A$2:$A$7,0)),"Unknown")</f>
        <v>South</v>
      </c>
      <c r="E168" s="2" t="str">
        <f>PROPER(TRIM(SUBSTITUTE([1]RawShipmentData!D168,"  "," ")))</f>
        <v>Delhivery</v>
      </c>
      <c r="F168" s="2" t="str">
        <f>PROPER(TRIM([1]RawShipmentData!E168))</f>
        <v>Air</v>
      </c>
      <c r="G168" s="2" t="str">
        <f>PROPER(TRIM(SUBSTITUTE([1]RawShipmentData!F168,"  "," ")))</f>
        <v>Grocery &amp; Fmcg</v>
      </c>
      <c r="H168" s="2" t="str">
        <f>PROPER(TRIM([1]RawShipmentData!G168))</f>
        <v>West</v>
      </c>
      <c r="I168" s="2" t="str">
        <f t="shared" si="10"/>
        <v>Yes</v>
      </c>
      <c r="J168" s="2">
        <f>IFERROR(VALUE(TRIM(SUBSTITUTE(UPPER([1]RawShipmentData!I168),"KG",""))),"")</f>
        <v>15.4</v>
      </c>
      <c r="K168" s="2">
        <f>VALUE(SUBSTITUTE(SUBSTITUTE(SUBSTITUTE(TRIM([1]RawShipmentData!J168),"₹",""),"Rs",""),",",""))</f>
        <v>841</v>
      </c>
      <c r="L168" s="2">
        <f>[1]RawShipmentData!K168</f>
        <v>4</v>
      </c>
      <c r="M168" s="3">
        <f>IF(TRIM([1]RawShipmentData!L168)="","",IF(ISNUMBER(SEARCH("/",TRIM([1]RawShipmentData!L168))),DATE(VALUE(RIGHT(TRIM([1]RawShipmentData!L168),4)),VALUE(MID(TRIM([1]RawShipmentData!L168),FIND("/",TRIM([1]RawShipmentData!L168))+1,2)),VALUE(LEFT(TRIM([1]RawShipmentData!L168),FIND("/",TRIM([1]RawShipmentData!L168))-1))),DATEVALUE(TRIM([1]RawShipmentData!L168))))</f>
        <v>45405</v>
      </c>
      <c r="N168" s="2">
        <f t="shared" si="11"/>
        <v>3</v>
      </c>
      <c r="O168" s="2">
        <f t="shared" si="12"/>
        <v>-1</v>
      </c>
      <c r="P168" s="2" t="str">
        <f t="shared" si="13"/>
        <v>On Time</v>
      </c>
      <c r="Q168" s="2" t="str">
        <f>PROPER(SUBSTITUTE(TRIM([1]RawShipmentData!M168)," ","-"))</f>
        <v>Delivered</v>
      </c>
      <c r="R168" s="4">
        <f t="shared" si="14"/>
        <v>54.61038961038961</v>
      </c>
      <c r="S168" s="2">
        <f>[1]RawShipmentData!N168</f>
        <v>5</v>
      </c>
      <c r="T168" s="2" t="str">
        <f>IF(OR(UPPER(TRIM([1]RawShipmentData!O168))="YES",UPPER(TRIM([1]RawShipmentData!O168))="Y"),"Yes","No")</f>
        <v>No</v>
      </c>
    </row>
    <row r="169" spans="1:20" x14ac:dyDescent="0.25">
      <c r="A169" s="2" t="str">
        <f>[1]RawShipmentData!A169</f>
        <v>SHP-100728</v>
      </c>
      <c r="B169" s="3">
        <f>IF(ISNUMBER(SEARCH("/",TRIM([1]RawShipmentData!B169))),DATE(VALUE(RIGHT(TRIM([1]RawShipmentData!B169),4)),VALUE(MID(TRIM([1]RawShipmentData!B169),FIND("/",TRIM([1]RawShipmentData!B169))+1,2)),VALUE(LEFT(TRIM([1]RawShipmentData!B169),FIND("/",TRIM([1]RawShipmentData!B169))-1))),DATEVALUE(TRIM([1]RawShipmentData!B169)))</f>
        <v>45299</v>
      </c>
      <c r="C169" s="2" t="str">
        <f>PROPER(TRIM([1]RawShipmentData!C169))</f>
        <v>Chennai</v>
      </c>
      <c r="D169" s="2" t="str">
        <f>IFERROR(INDEX([1]HubMaster!$B$2:$B$7,MATCH(C169,[1]HubMaster!$A$2:$A$7,0)),"Unknown")</f>
        <v>South</v>
      </c>
      <c r="E169" s="2" t="str">
        <f>PROPER(TRIM(SUBSTITUTE([1]RawShipmentData!D169,"  "," ")))</f>
        <v>Ecom Express</v>
      </c>
      <c r="F169" s="2" t="str">
        <f>PROPER(TRIM([1]RawShipmentData!E169))</f>
        <v>Surface</v>
      </c>
      <c r="G169" s="2" t="str">
        <f>PROPER(TRIM(SUBSTITUTE([1]RawShipmentData!F169,"  "," ")))</f>
        <v>Automotive Parts</v>
      </c>
      <c r="H169" s="2" t="str">
        <f>PROPER(TRIM([1]RawShipmentData!G169))</f>
        <v>South</v>
      </c>
      <c r="I169" s="2" t="str">
        <f t="shared" si="10"/>
        <v>No</v>
      </c>
      <c r="J169" s="2">
        <f>IFERROR(VALUE(TRIM(SUBSTITUTE(UPPER([1]RawShipmentData!I169),"KG",""))),"")</f>
        <v>35.1</v>
      </c>
      <c r="K169" s="2">
        <f>VALUE(SUBSTITUTE(SUBSTITUTE(SUBSTITUTE(TRIM([1]RawShipmentData!J169),"₹",""),"Rs",""),",",""))</f>
        <v>768</v>
      </c>
      <c r="L169" s="2">
        <f>[1]RawShipmentData!K169</f>
        <v>4</v>
      </c>
      <c r="M169" s="3">
        <f>IF(TRIM([1]RawShipmentData!L169)="","",IF(ISNUMBER(SEARCH("/",TRIM([1]RawShipmentData!L169))),DATE(VALUE(RIGHT(TRIM([1]RawShipmentData!L169),4)),VALUE(MID(TRIM([1]RawShipmentData!L169),FIND("/",TRIM([1]RawShipmentData!L169))+1,2)),VALUE(LEFT(TRIM([1]RawShipmentData!L169),FIND("/",TRIM([1]RawShipmentData!L169))-1))),DATEVALUE(TRIM([1]RawShipmentData!L169))))</f>
        <v>45304</v>
      </c>
      <c r="N169" s="2">
        <f t="shared" si="11"/>
        <v>5</v>
      </c>
      <c r="O169" s="2">
        <f t="shared" si="12"/>
        <v>1</v>
      </c>
      <c r="P169" s="2" t="str">
        <f t="shared" si="13"/>
        <v>Late</v>
      </c>
      <c r="Q169" s="2" t="str">
        <f>PROPER(SUBSTITUTE(TRIM([1]RawShipmentData!M169)," ","-"))</f>
        <v>Delayed</v>
      </c>
      <c r="R169" s="4">
        <f t="shared" si="14"/>
        <v>21.880341880341881</v>
      </c>
      <c r="S169" s="2">
        <f>[1]RawShipmentData!N169</f>
        <v>2</v>
      </c>
      <c r="T169" s="2" t="str">
        <f>IF(OR(UPPER(TRIM([1]RawShipmentData!O169))="YES",UPPER(TRIM([1]RawShipmentData!O169))="Y"),"Yes","No")</f>
        <v>Yes</v>
      </c>
    </row>
    <row r="170" spans="1:20" x14ac:dyDescent="0.25">
      <c r="A170" s="2" t="str">
        <f>[1]RawShipmentData!A170</f>
        <v>SHP-101300</v>
      </c>
      <c r="B170" s="3">
        <f>IF(ISNUMBER(SEARCH("/",TRIM([1]RawShipmentData!B170))),DATE(VALUE(RIGHT(TRIM([1]RawShipmentData!B170),4)),VALUE(MID(TRIM([1]RawShipmentData!B170),FIND("/",TRIM([1]RawShipmentData!B170))+1,2)),VALUE(LEFT(TRIM([1]RawShipmentData!B170),FIND("/",TRIM([1]RawShipmentData!B170))-1))),DATEVALUE(TRIM([1]RawShipmentData!B170)))</f>
        <v>45461</v>
      </c>
      <c r="C170" s="2" t="str">
        <f>PROPER(TRIM([1]RawShipmentData!C170))</f>
        <v>Delhi</v>
      </c>
      <c r="D170" s="2" t="str">
        <f>IFERROR(INDEX([1]HubMaster!$B$2:$B$7,MATCH(C170,[1]HubMaster!$A$2:$A$7,0)),"Unknown")</f>
        <v>North</v>
      </c>
      <c r="E170" s="2" t="str">
        <f>PROPER(TRIM(SUBSTITUTE([1]RawShipmentData!D170,"  "," ")))</f>
        <v>Dtdc</v>
      </c>
      <c r="F170" s="2" t="str">
        <f>PROPER(TRIM([1]RawShipmentData!E170))</f>
        <v>Road</v>
      </c>
      <c r="G170" s="2" t="str">
        <f>PROPER(TRIM(SUBSTITUTE([1]RawShipmentData!F170,"  "," ")))</f>
        <v>Grocery &amp; Fmcg</v>
      </c>
      <c r="H170" s="2" t="str">
        <f>PROPER(TRIM([1]RawShipmentData!G170))</f>
        <v>East</v>
      </c>
      <c r="I170" s="2" t="str">
        <f t="shared" si="10"/>
        <v>Yes</v>
      </c>
      <c r="J170" s="2">
        <f>IFERROR(VALUE(TRIM(SUBSTITUTE(UPPER([1]RawShipmentData!I170),"KG",""))),"")</f>
        <v>6</v>
      </c>
      <c r="K170" s="2">
        <f>VALUE(SUBSTITUTE(SUBSTITUTE(SUBSTITUTE(TRIM([1]RawShipmentData!J170),"₹",""),"Rs",""),",",""))</f>
        <v>242</v>
      </c>
      <c r="L170" s="2">
        <f>[1]RawShipmentData!K170</f>
        <v>8</v>
      </c>
      <c r="M170" s="3">
        <f>IF(TRIM([1]RawShipmentData!L170)="","",IF(ISNUMBER(SEARCH("/",TRIM([1]RawShipmentData!L170))),DATE(VALUE(RIGHT(TRIM([1]RawShipmentData!L170),4)),VALUE(MID(TRIM([1]RawShipmentData!L170),FIND("/",TRIM([1]RawShipmentData!L170))+1,2)),VALUE(LEFT(TRIM([1]RawShipmentData!L170),FIND("/",TRIM([1]RawShipmentData!L170))-1))),DATEVALUE(TRIM([1]RawShipmentData!L170))))</f>
        <v>45468</v>
      </c>
      <c r="N170" s="2">
        <f t="shared" si="11"/>
        <v>7</v>
      </c>
      <c r="O170" s="2">
        <f t="shared" si="12"/>
        <v>-1</v>
      </c>
      <c r="P170" s="2" t="str">
        <f t="shared" si="13"/>
        <v>On Time</v>
      </c>
      <c r="Q170" s="2" t="str">
        <f>PROPER(SUBSTITUTE(TRIM([1]RawShipmentData!M170)," ","-"))</f>
        <v>Delivered</v>
      </c>
      <c r="R170" s="4">
        <f t="shared" si="14"/>
        <v>40.333333333333336</v>
      </c>
      <c r="S170" s="2">
        <f>[1]RawShipmentData!N170</f>
        <v>5</v>
      </c>
      <c r="T170" s="2" t="str">
        <f>IF(OR(UPPER(TRIM([1]RawShipmentData!O170))="YES",UPPER(TRIM([1]RawShipmentData!O170))="Y"),"Yes","No")</f>
        <v>No</v>
      </c>
    </row>
    <row r="171" spans="1:20" x14ac:dyDescent="0.25">
      <c r="A171" s="2" t="str">
        <f>[1]RawShipmentData!A171</f>
        <v>SHP-101573</v>
      </c>
      <c r="B171" s="3">
        <f>IF(ISNUMBER(SEARCH("/",TRIM([1]RawShipmentData!B171))),DATE(VALUE(RIGHT(TRIM([1]RawShipmentData!B171),4)),VALUE(MID(TRIM([1]RawShipmentData!B171),FIND("/",TRIM([1]RawShipmentData!B171))+1,2)),VALUE(LEFT(TRIM([1]RawShipmentData!B171),FIND("/",TRIM([1]RawShipmentData!B171))-1))),DATEVALUE(TRIM([1]RawShipmentData!B171)))</f>
        <v>45311</v>
      </c>
      <c r="C171" s="2" t="str">
        <f>PROPER(TRIM([1]RawShipmentData!C171))</f>
        <v>Chennai</v>
      </c>
      <c r="D171" s="2" t="str">
        <f>IFERROR(INDEX([1]HubMaster!$B$2:$B$7,MATCH(C171,[1]HubMaster!$A$2:$A$7,0)),"Unknown")</f>
        <v>South</v>
      </c>
      <c r="E171" s="2" t="str">
        <f>PROPER(TRIM(SUBSTITUTE([1]RawShipmentData!D171,"  "," ")))</f>
        <v>Ecom Express</v>
      </c>
      <c r="F171" s="2" t="str">
        <f>PROPER(TRIM([1]RawShipmentData!E171))</f>
        <v>Surface</v>
      </c>
      <c r="G171" s="2" t="str">
        <f>PROPER(TRIM(SUBSTITUTE([1]RawShipmentData!F171,"  "," ")))</f>
        <v>Automotive Parts</v>
      </c>
      <c r="H171" s="2" t="str">
        <f>PROPER(TRIM([1]RawShipmentData!G171))</f>
        <v>North</v>
      </c>
      <c r="I171" s="2" t="str">
        <f t="shared" si="10"/>
        <v>Yes</v>
      </c>
      <c r="J171" s="2">
        <f>IFERROR(VALUE(TRIM(SUBSTITUTE(UPPER([1]RawShipmentData!I171),"KG",""))),"")</f>
        <v>21.8</v>
      </c>
      <c r="K171" s="2">
        <f>VALUE(SUBSTITUTE(SUBSTITUTE(SUBSTITUTE(TRIM([1]RawShipmentData!J171),"₹",""),"Rs",""),",",""))</f>
        <v>668</v>
      </c>
      <c r="L171" s="2">
        <f>[1]RawShipmentData!K171</f>
        <v>6</v>
      </c>
      <c r="M171" s="3">
        <f>IF(TRIM([1]RawShipmentData!L171)="","",IF(ISNUMBER(SEARCH("/",TRIM([1]RawShipmentData!L171))),DATE(VALUE(RIGHT(TRIM([1]RawShipmentData!L171),4)),VALUE(MID(TRIM([1]RawShipmentData!L171),FIND("/",TRIM([1]RawShipmentData!L171))+1,2)),VALUE(LEFT(TRIM([1]RawShipmentData!L171),FIND("/",TRIM([1]RawShipmentData!L171))-1))),DATEVALUE(TRIM([1]RawShipmentData!L171))))</f>
        <v>45326</v>
      </c>
      <c r="N171" s="2">
        <f t="shared" si="11"/>
        <v>15</v>
      </c>
      <c r="O171" s="2">
        <f t="shared" si="12"/>
        <v>9</v>
      </c>
      <c r="P171" s="2" t="str">
        <f t="shared" si="13"/>
        <v>Late</v>
      </c>
      <c r="Q171" s="2" t="str">
        <f>PROPER(SUBSTITUTE(TRIM([1]RawShipmentData!M171)," ","-"))</f>
        <v>Delayed</v>
      </c>
      <c r="R171" s="4">
        <f t="shared" si="14"/>
        <v>30.642201834862384</v>
      </c>
      <c r="S171" s="2">
        <f>[1]RawShipmentData!N171</f>
        <v>1</v>
      </c>
      <c r="T171" s="2" t="str">
        <f>IF(OR(UPPER(TRIM([1]RawShipmentData!O171))="YES",UPPER(TRIM([1]RawShipmentData!O171))="Y"),"Yes","No")</f>
        <v>No</v>
      </c>
    </row>
    <row r="172" spans="1:20" x14ac:dyDescent="0.25">
      <c r="A172" s="2" t="str">
        <f>[1]RawShipmentData!A172</f>
        <v>SHP-100969</v>
      </c>
      <c r="B172" s="3">
        <f>IF(ISNUMBER(SEARCH("/",TRIM([1]RawShipmentData!B172))),DATE(VALUE(RIGHT(TRIM([1]RawShipmentData!B172),4)),VALUE(MID(TRIM([1]RawShipmentData!B172),FIND("/",TRIM([1]RawShipmentData!B172))+1,2)),VALUE(LEFT(TRIM([1]RawShipmentData!B172),FIND("/",TRIM([1]RawShipmentData!B172))-1))),DATEVALUE(TRIM([1]RawShipmentData!B172)))</f>
        <v>45358</v>
      </c>
      <c r="C172" s="2" t="str">
        <f>PROPER(TRIM([1]RawShipmentData!C172))</f>
        <v>Mumbai</v>
      </c>
      <c r="D172" s="2" t="str">
        <f>IFERROR(INDEX([1]HubMaster!$B$2:$B$7,MATCH(C172,[1]HubMaster!$A$2:$A$7,0)),"Unknown")</f>
        <v>West</v>
      </c>
      <c r="E172" s="2" t="str">
        <f>PROPER(TRIM(SUBSTITUTE([1]RawShipmentData!D172,"  "," ")))</f>
        <v>Ecom Express</v>
      </c>
      <c r="F172" s="2" t="str">
        <f>PROPER(TRIM([1]RawShipmentData!E172))</f>
        <v>Surface</v>
      </c>
      <c r="G172" s="2" t="str">
        <f>PROPER(TRIM(SUBSTITUTE([1]RawShipmentData!F172,"  "," ")))</f>
        <v>Automotive Parts</v>
      </c>
      <c r="H172" s="2" t="str">
        <f>PROPER(TRIM([1]RawShipmentData!G172))</f>
        <v>South</v>
      </c>
      <c r="I172" s="2" t="str">
        <f t="shared" si="10"/>
        <v>Yes</v>
      </c>
      <c r="J172" s="2">
        <f>IFERROR(VALUE(TRIM(SUBSTITUTE(UPPER([1]RawShipmentData!I172),"KG",""))),"")</f>
        <v>24.9</v>
      </c>
      <c r="K172" s="2">
        <f>VALUE(SUBSTITUTE(SUBSTITUTE(SUBSTITUTE(TRIM([1]RawShipmentData!J172),"₹",""),"Rs",""),",",""))</f>
        <v>680</v>
      </c>
      <c r="L172" s="2">
        <f>[1]RawShipmentData!K172</f>
        <v>6</v>
      </c>
      <c r="M172" s="3">
        <f>IF(TRIM([1]RawShipmentData!L172)="","",IF(ISNUMBER(SEARCH("/",TRIM([1]RawShipmentData!L172))),DATE(VALUE(RIGHT(TRIM([1]RawShipmentData!L172),4)),VALUE(MID(TRIM([1]RawShipmentData!L172),FIND("/",TRIM([1]RawShipmentData!L172))+1,2)),VALUE(LEFT(TRIM([1]RawShipmentData!L172),FIND("/",TRIM([1]RawShipmentData!L172))-1))),DATEVALUE(TRIM([1]RawShipmentData!L172))))</f>
        <v>45370</v>
      </c>
      <c r="N172" s="2">
        <f t="shared" si="11"/>
        <v>12</v>
      </c>
      <c r="O172" s="2">
        <f t="shared" si="12"/>
        <v>6</v>
      </c>
      <c r="P172" s="2" t="str">
        <f t="shared" si="13"/>
        <v>Late</v>
      </c>
      <c r="Q172" s="2" t="str">
        <f>PROPER(SUBSTITUTE(TRIM([1]RawShipmentData!M172)," ","-"))</f>
        <v>Delayed</v>
      </c>
      <c r="R172" s="4">
        <f t="shared" si="14"/>
        <v>27.309236947791167</v>
      </c>
      <c r="S172" s="2">
        <f>[1]RawShipmentData!N172</f>
        <v>5</v>
      </c>
      <c r="T172" s="2" t="str">
        <f>IF(OR(UPPER(TRIM([1]RawShipmentData!O172))="YES",UPPER(TRIM([1]RawShipmentData!O172))="Y"),"Yes","No")</f>
        <v>No</v>
      </c>
    </row>
    <row r="173" spans="1:20" x14ac:dyDescent="0.25">
      <c r="A173" s="2" t="str">
        <f>[1]RawShipmentData!A173</f>
        <v>SHP-100992</v>
      </c>
      <c r="B173" s="3">
        <f>IF(ISNUMBER(SEARCH("/",TRIM([1]RawShipmentData!B173))),DATE(VALUE(RIGHT(TRIM([1]RawShipmentData!B173),4)),VALUE(MID(TRIM([1]RawShipmentData!B173),FIND("/",TRIM([1]RawShipmentData!B173))+1,2)),VALUE(LEFT(TRIM([1]RawShipmentData!B173),FIND("/",TRIM([1]RawShipmentData!B173))-1))),DATEVALUE(TRIM([1]RawShipmentData!B173)))</f>
        <v>45352</v>
      </c>
      <c r="C173" s="2" t="str">
        <f>PROPER(TRIM([1]RawShipmentData!C173))</f>
        <v>Chennai</v>
      </c>
      <c r="D173" s="2" t="str">
        <f>IFERROR(INDEX([1]HubMaster!$B$2:$B$7,MATCH(C173,[1]HubMaster!$A$2:$A$7,0)),"Unknown")</f>
        <v>South</v>
      </c>
      <c r="E173" s="2" t="str">
        <f>PROPER(TRIM(SUBSTITUTE([1]RawShipmentData!D173,"  "," ")))</f>
        <v>Delhivery</v>
      </c>
      <c r="F173" s="2" t="str">
        <f>PROPER(TRIM([1]RawShipmentData!E173))</f>
        <v>Air</v>
      </c>
      <c r="G173" s="2" t="str">
        <f>PROPER(TRIM(SUBSTITUTE([1]RawShipmentData!F173,"  "," ")))</f>
        <v>Grocery &amp; Fmcg</v>
      </c>
      <c r="H173" s="2" t="str">
        <f>PROPER(TRIM([1]RawShipmentData!G173))</f>
        <v>West</v>
      </c>
      <c r="I173" s="2" t="str">
        <f t="shared" si="10"/>
        <v>Yes</v>
      </c>
      <c r="J173" s="2">
        <f>IFERROR(VALUE(TRIM(SUBSTITUTE(UPPER([1]RawShipmentData!I173),"KG",""))),"")</f>
        <v>3.1</v>
      </c>
      <c r="K173" s="2">
        <f>VALUE(SUBSTITUTE(SUBSTITUTE(SUBSTITUTE(TRIM([1]RawShipmentData!J173),"₹",""),"Rs",""),",",""))</f>
        <v>329</v>
      </c>
      <c r="L173" s="2">
        <f>[1]RawShipmentData!K173</f>
        <v>4</v>
      </c>
      <c r="M173" s="3">
        <f>IF(TRIM([1]RawShipmentData!L173)="","",IF(ISNUMBER(SEARCH("/",TRIM([1]RawShipmentData!L173))),DATE(VALUE(RIGHT(TRIM([1]RawShipmentData!L173),4)),VALUE(MID(TRIM([1]RawShipmentData!L173),FIND("/",TRIM([1]RawShipmentData!L173))+1,2)),VALUE(LEFT(TRIM([1]RawShipmentData!L173),FIND("/",TRIM([1]RawShipmentData!L173))-1))),DATEVALUE(TRIM([1]RawShipmentData!L173))))</f>
        <v>45357</v>
      </c>
      <c r="N173" s="2">
        <f t="shared" si="11"/>
        <v>5</v>
      </c>
      <c r="O173" s="2">
        <f t="shared" si="12"/>
        <v>1</v>
      </c>
      <c r="P173" s="2" t="str">
        <f t="shared" si="13"/>
        <v>Late</v>
      </c>
      <c r="Q173" s="2" t="str">
        <f>PROPER(SUBSTITUTE(TRIM([1]RawShipmentData!M173)," ","-"))</f>
        <v>Delayed</v>
      </c>
      <c r="R173" s="4">
        <f t="shared" si="14"/>
        <v>106.12903225806451</v>
      </c>
      <c r="S173" s="2">
        <f>[1]RawShipmentData!N173</f>
        <v>3</v>
      </c>
      <c r="T173" s="2" t="str">
        <f>IF(OR(UPPER(TRIM([1]RawShipmentData!O173))="YES",UPPER(TRIM([1]RawShipmentData!O173))="Y"),"Yes","No")</f>
        <v>No</v>
      </c>
    </row>
    <row r="174" spans="1:20" x14ac:dyDescent="0.25">
      <c r="A174" s="2" t="str">
        <f>[1]RawShipmentData!A174</f>
        <v>SHP-100263</v>
      </c>
      <c r="B174" s="3">
        <f>IF(ISNUMBER(SEARCH("/",TRIM([1]RawShipmentData!B174))),DATE(VALUE(RIGHT(TRIM([1]RawShipmentData!B174),4)),VALUE(MID(TRIM([1]RawShipmentData!B174),FIND("/",TRIM([1]RawShipmentData!B174))+1,2)),VALUE(LEFT(TRIM([1]RawShipmentData!B174),FIND("/",TRIM([1]RawShipmentData!B174))-1))),DATEVALUE(TRIM([1]RawShipmentData!B174)))</f>
        <v>45369</v>
      </c>
      <c r="C174" s="2" t="str">
        <f>PROPER(TRIM([1]RawShipmentData!C174))</f>
        <v>Mumbai</v>
      </c>
      <c r="D174" s="2" t="str">
        <f>IFERROR(INDEX([1]HubMaster!$B$2:$B$7,MATCH(C174,[1]HubMaster!$A$2:$A$7,0)),"Unknown")</f>
        <v>West</v>
      </c>
      <c r="E174" s="2" t="str">
        <f>PROPER(TRIM(SUBSTITUTE([1]RawShipmentData!D174,"  "," ")))</f>
        <v>Dtdc</v>
      </c>
      <c r="F174" s="2" t="str">
        <f>PROPER(TRIM([1]RawShipmentData!E174))</f>
        <v>Road</v>
      </c>
      <c r="G174" s="2" t="str">
        <f>PROPER(TRIM(SUBSTITUTE([1]RawShipmentData!F174,"  "," ")))</f>
        <v>Grocery &amp; Fmcg</v>
      </c>
      <c r="H174" s="2" t="str">
        <f>PROPER(TRIM([1]RawShipmentData!G174))</f>
        <v>East</v>
      </c>
      <c r="I174" s="2" t="str">
        <f t="shared" si="10"/>
        <v>Yes</v>
      </c>
      <c r="J174" s="2">
        <f>IFERROR(VALUE(TRIM(SUBSTITUTE(UPPER([1]RawShipmentData!I174),"KG",""))),"")</f>
        <v>2.2000000000000002</v>
      </c>
      <c r="K174" s="2">
        <f>VALUE(SUBSTITUTE(SUBSTITUTE(SUBSTITUTE(TRIM([1]RawShipmentData!J174),"₹",""),"Rs",""),",",""))</f>
        <v>163</v>
      </c>
      <c r="L174" s="2">
        <f>[1]RawShipmentData!K174</f>
        <v>8</v>
      </c>
      <c r="M174" s="3">
        <f>IF(TRIM([1]RawShipmentData!L174)="","",IF(ISNUMBER(SEARCH("/",TRIM([1]RawShipmentData!L174))),DATE(VALUE(RIGHT(TRIM([1]RawShipmentData!L174),4)),VALUE(MID(TRIM([1]RawShipmentData!L174),FIND("/",TRIM([1]RawShipmentData!L174))+1,2)),VALUE(LEFT(TRIM([1]RawShipmentData!L174),FIND("/",TRIM([1]RawShipmentData!L174))-1))),DATEVALUE(TRIM([1]RawShipmentData!L174))))</f>
        <v>45379</v>
      </c>
      <c r="N174" s="2">
        <f t="shared" si="11"/>
        <v>10</v>
      </c>
      <c r="O174" s="2">
        <f t="shared" si="12"/>
        <v>2</v>
      </c>
      <c r="P174" s="2" t="str">
        <f t="shared" si="13"/>
        <v>Late</v>
      </c>
      <c r="Q174" s="2" t="str">
        <f>PROPER(SUBSTITUTE(TRIM([1]RawShipmentData!M174)," ","-"))</f>
        <v>Delayed</v>
      </c>
      <c r="R174" s="4">
        <f t="shared" si="14"/>
        <v>74.090909090909079</v>
      </c>
      <c r="S174" s="2">
        <f>[1]RawShipmentData!N174</f>
        <v>1</v>
      </c>
      <c r="T174" s="2" t="str">
        <f>IF(OR(UPPER(TRIM([1]RawShipmentData!O174))="YES",UPPER(TRIM([1]RawShipmentData!O174))="Y"),"Yes","No")</f>
        <v>Yes</v>
      </c>
    </row>
    <row r="175" spans="1:20" x14ac:dyDescent="0.25">
      <c r="A175" s="2" t="str">
        <f>[1]RawShipmentData!A175</f>
        <v>SHP-100945</v>
      </c>
      <c r="B175" s="3">
        <f>IF(ISNUMBER(SEARCH("/",TRIM([1]RawShipmentData!B175))),DATE(VALUE(RIGHT(TRIM([1]RawShipmentData!B175),4)),VALUE(MID(TRIM([1]RawShipmentData!B175),FIND("/",TRIM([1]RawShipmentData!B175))+1,2)),VALUE(LEFT(TRIM([1]RawShipmentData!B175),FIND("/",TRIM([1]RawShipmentData!B175))-1))),DATEVALUE(TRIM([1]RawShipmentData!B175)))</f>
        <v>45358</v>
      </c>
      <c r="C175" s="2" t="str">
        <f>PROPER(TRIM([1]RawShipmentData!C175))</f>
        <v>Hyderabad</v>
      </c>
      <c r="D175" s="2" t="str">
        <f>IFERROR(INDEX([1]HubMaster!$B$2:$B$7,MATCH(C175,[1]HubMaster!$A$2:$A$7,0)),"Unknown")</f>
        <v>West</v>
      </c>
      <c r="E175" s="2" t="str">
        <f>PROPER(TRIM(SUBSTITUTE([1]RawShipmentData!D175,"  "," ")))</f>
        <v>Dtdc</v>
      </c>
      <c r="F175" s="2" t="str">
        <f>PROPER(TRIM([1]RawShipmentData!E175))</f>
        <v>Surface</v>
      </c>
      <c r="G175" s="2" t="str">
        <f>PROPER(TRIM(SUBSTITUTE([1]RawShipmentData!F175,"  "," ")))</f>
        <v>Electronics</v>
      </c>
      <c r="H175" s="2" t="str">
        <f>PROPER(TRIM([1]RawShipmentData!G175))</f>
        <v>South</v>
      </c>
      <c r="I175" s="2" t="str">
        <f t="shared" si="10"/>
        <v>Yes</v>
      </c>
      <c r="J175" s="2">
        <f>IFERROR(VALUE(TRIM(SUBSTITUTE(UPPER([1]RawShipmentData!I175),"KG",""))),"")</f>
        <v>1.1000000000000001</v>
      </c>
      <c r="K175" s="2">
        <f>VALUE(SUBSTITUTE(SUBSTITUTE(SUBSTITUTE(TRIM([1]RawShipmentData!J175),"₹",""),"Rs",""),",",""))</f>
        <v>195</v>
      </c>
      <c r="L175" s="2">
        <f>[1]RawShipmentData!K175</f>
        <v>6</v>
      </c>
      <c r="M175" s="3">
        <f>IF(TRIM([1]RawShipmentData!L175)="","",IF(ISNUMBER(SEARCH("/",TRIM([1]RawShipmentData!L175))),DATE(VALUE(RIGHT(TRIM([1]RawShipmentData!L175),4)),VALUE(MID(TRIM([1]RawShipmentData!L175),FIND("/",TRIM([1]RawShipmentData!L175))+1,2)),VALUE(LEFT(TRIM([1]RawShipmentData!L175),FIND("/",TRIM([1]RawShipmentData!L175))-1))),DATEVALUE(TRIM([1]RawShipmentData!L175))))</f>
        <v>45365</v>
      </c>
      <c r="N175" s="2">
        <f t="shared" si="11"/>
        <v>7</v>
      </c>
      <c r="O175" s="2">
        <f t="shared" si="12"/>
        <v>1</v>
      </c>
      <c r="P175" s="2" t="str">
        <f t="shared" si="13"/>
        <v>Late</v>
      </c>
      <c r="Q175" s="2" t="str">
        <f>PROPER(SUBSTITUTE(TRIM([1]RawShipmentData!M175)," ","-"))</f>
        <v>Delayed</v>
      </c>
      <c r="R175" s="4">
        <f t="shared" si="14"/>
        <v>177.27272727272725</v>
      </c>
      <c r="S175" s="2">
        <f>[1]RawShipmentData!N175</f>
        <v>4</v>
      </c>
      <c r="T175" s="2" t="str">
        <f>IF(OR(UPPER(TRIM([1]RawShipmentData!O175))="YES",UPPER(TRIM([1]RawShipmentData!O175))="Y"),"Yes","No")</f>
        <v>Yes</v>
      </c>
    </row>
    <row r="176" spans="1:20" x14ac:dyDescent="0.25">
      <c r="A176" s="2" t="str">
        <f>[1]RawShipmentData!A176</f>
        <v>SHP-101173</v>
      </c>
      <c r="B176" s="3">
        <f>IF(ISNUMBER(SEARCH("/",TRIM([1]RawShipmentData!B176))),DATE(VALUE(RIGHT(TRIM([1]RawShipmentData!B176),4)),VALUE(MID(TRIM([1]RawShipmentData!B176),FIND("/",TRIM([1]RawShipmentData!B176))+1,2)),VALUE(LEFT(TRIM([1]RawShipmentData!B176),FIND("/",TRIM([1]RawShipmentData!B176))-1))),DATEVALUE(TRIM([1]RawShipmentData!B176)))</f>
        <v>45353</v>
      </c>
      <c r="C176" s="2" t="str">
        <f>PROPER(TRIM([1]RawShipmentData!C176))</f>
        <v>Bengaluru</v>
      </c>
      <c r="D176" s="2" t="str">
        <f>IFERROR(INDEX([1]HubMaster!$B$2:$B$7,MATCH(C176,[1]HubMaster!$A$2:$A$7,0)),"Unknown")</f>
        <v>South</v>
      </c>
      <c r="E176" s="2" t="str">
        <f>PROPER(TRIM(SUBSTITUTE([1]RawShipmentData!D176,"  "," ")))</f>
        <v>Blue Dart</v>
      </c>
      <c r="F176" s="2" t="str">
        <f>PROPER(TRIM([1]RawShipmentData!E176))</f>
        <v>Air</v>
      </c>
      <c r="G176" s="2" t="str">
        <f>PROPER(TRIM(SUBSTITUTE([1]RawShipmentData!F176,"  "," ")))</f>
        <v>Apparel</v>
      </c>
      <c r="H176" s="2" t="str">
        <f>PROPER(TRIM([1]RawShipmentData!G176))</f>
        <v>East</v>
      </c>
      <c r="I176" s="2" t="str">
        <f t="shared" si="10"/>
        <v>Yes</v>
      </c>
      <c r="J176" s="2">
        <f>IFERROR(VALUE(TRIM(SUBSTITUTE(UPPER([1]RawShipmentData!I176),"KG",""))),"")</f>
        <v>4.5999999999999996</v>
      </c>
      <c r="K176" s="2">
        <f>VALUE(SUBSTITUTE(SUBSTITUTE(SUBSTITUTE(TRIM([1]RawShipmentData!J176),"₹",""),"Rs",""),",",""))</f>
        <v>331</v>
      </c>
      <c r="L176" s="2">
        <f>[1]RawShipmentData!K176</f>
        <v>4</v>
      </c>
      <c r="M176" s="3">
        <f>IF(TRIM([1]RawShipmentData!L176)="","",IF(ISNUMBER(SEARCH("/",TRIM([1]RawShipmentData!L176))),DATE(VALUE(RIGHT(TRIM([1]RawShipmentData!L176),4)),VALUE(MID(TRIM([1]RawShipmentData!L176),FIND("/",TRIM([1]RawShipmentData!L176))+1,2)),VALUE(LEFT(TRIM([1]RawShipmentData!L176),FIND("/",TRIM([1]RawShipmentData!L176))-1))),DATEVALUE(TRIM([1]RawShipmentData!L176))))</f>
        <v>45358</v>
      </c>
      <c r="N176" s="2">
        <f t="shared" si="11"/>
        <v>5</v>
      </c>
      <c r="O176" s="2">
        <f t="shared" si="12"/>
        <v>1</v>
      </c>
      <c r="P176" s="2" t="str">
        <f t="shared" si="13"/>
        <v>Late</v>
      </c>
      <c r="Q176" s="2" t="str">
        <f>PROPER(SUBSTITUTE(TRIM([1]RawShipmentData!M176)," ","-"))</f>
        <v>Delayed</v>
      </c>
      <c r="R176" s="4">
        <f t="shared" si="14"/>
        <v>71.956521739130437</v>
      </c>
      <c r="S176" s="2">
        <f>[1]RawShipmentData!N176</f>
        <v>2</v>
      </c>
      <c r="T176" s="2" t="str">
        <f>IF(OR(UPPER(TRIM([1]RawShipmentData!O176))="YES",UPPER(TRIM([1]RawShipmentData!O176))="Y"),"Yes","No")</f>
        <v>No</v>
      </c>
    </row>
    <row r="177" spans="1:20" x14ac:dyDescent="0.25">
      <c r="A177" s="2" t="str">
        <f>[1]RawShipmentData!A177</f>
        <v>SHP-101206</v>
      </c>
      <c r="B177" s="3">
        <f>IF(ISNUMBER(SEARCH("/",TRIM([1]RawShipmentData!B177))),DATE(VALUE(RIGHT(TRIM([1]RawShipmentData!B177),4)),VALUE(MID(TRIM([1]RawShipmentData!B177),FIND("/",TRIM([1]RawShipmentData!B177))+1,2)),VALUE(LEFT(TRIM([1]RawShipmentData!B177),FIND("/",TRIM([1]RawShipmentData!B177))-1))),DATEVALUE(TRIM([1]RawShipmentData!B177)))</f>
        <v>45429</v>
      </c>
      <c r="C177" s="2" t="str">
        <f>PROPER(TRIM([1]RawShipmentData!C177))</f>
        <v>Chennai</v>
      </c>
      <c r="D177" s="2" t="str">
        <f>IFERROR(INDEX([1]HubMaster!$B$2:$B$7,MATCH(C177,[1]HubMaster!$A$2:$A$7,0)),"Unknown")</f>
        <v>South</v>
      </c>
      <c r="E177" s="2" t="str">
        <f>PROPER(TRIM(SUBSTITUTE([1]RawShipmentData!D177,"  "," ")))</f>
        <v>Blue Dart</v>
      </c>
      <c r="F177" s="2" t="str">
        <f>PROPER(TRIM([1]RawShipmentData!E177))</f>
        <v>Surface</v>
      </c>
      <c r="G177" s="2" t="str">
        <f>PROPER(TRIM(SUBSTITUTE([1]RawShipmentData!F177,"  "," ")))</f>
        <v>Pharma</v>
      </c>
      <c r="H177" s="2" t="str">
        <f>PROPER(TRIM([1]RawShipmentData!G177))</f>
        <v>East</v>
      </c>
      <c r="I177" s="2" t="str">
        <f t="shared" si="10"/>
        <v>Yes</v>
      </c>
      <c r="J177" s="2">
        <f>IFERROR(VALUE(TRIM(SUBSTITUTE(UPPER([1]RawShipmentData!I177),"KG",""))),"")</f>
        <v>3.4</v>
      </c>
      <c r="K177" s="2">
        <f>VALUE(SUBSTITUTE(SUBSTITUTE(SUBSTITUTE(TRIM([1]RawShipmentData!J177),"₹",""),"Rs",""),",",""))</f>
        <v>264</v>
      </c>
      <c r="L177" s="2">
        <f>[1]RawShipmentData!K177</f>
        <v>6</v>
      </c>
      <c r="M177" s="3">
        <f>IF(TRIM([1]RawShipmentData!L177)="","",IF(ISNUMBER(SEARCH("/",TRIM([1]RawShipmentData!L177))),DATE(VALUE(RIGHT(TRIM([1]RawShipmentData!L177),4)),VALUE(MID(TRIM([1]RawShipmentData!L177),FIND("/",TRIM([1]RawShipmentData!L177))+1,2)),VALUE(LEFT(TRIM([1]RawShipmentData!L177),FIND("/",TRIM([1]RawShipmentData!L177))-1))),DATEVALUE(TRIM([1]RawShipmentData!L177))))</f>
        <v>45440</v>
      </c>
      <c r="N177" s="2">
        <f t="shared" si="11"/>
        <v>11</v>
      </c>
      <c r="O177" s="2">
        <f t="shared" si="12"/>
        <v>5</v>
      </c>
      <c r="P177" s="2" t="str">
        <f t="shared" si="13"/>
        <v>Late</v>
      </c>
      <c r="Q177" s="2" t="str">
        <f>PROPER(SUBSTITUTE(TRIM([1]RawShipmentData!M177)," ","-"))</f>
        <v>Delayed</v>
      </c>
      <c r="R177" s="4">
        <f t="shared" si="14"/>
        <v>77.64705882352942</v>
      </c>
      <c r="S177" s="2">
        <f>[1]RawShipmentData!N177</f>
        <v>3</v>
      </c>
      <c r="T177" s="2" t="str">
        <f>IF(OR(UPPER(TRIM([1]RawShipmentData!O177))="YES",UPPER(TRIM([1]RawShipmentData!O177))="Y"),"Yes","No")</f>
        <v>No</v>
      </c>
    </row>
    <row r="178" spans="1:20" x14ac:dyDescent="0.25">
      <c r="A178" s="2" t="str">
        <f>[1]RawShipmentData!A178</f>
        <v>SHP-101115</v>
      </c>
      <c r="B178" s="3">
        <f>IF(ISNUMBER(SEARCH("/",TRIM([1]RawShipmentData!B178))),DATE(VALUE(RIGHT(TRIM([1]RawShipmentData!B178),4)),VALUE(MID(TRIM([1]RawShipmentData!B178),FIND("/",TRIM([1]RawShipmentData!B178))+1,2)),VALUE(LEFT(TRIM([1]RawShipmentData!B178),FIND("/",TRIM([1]RawShipmentData!B178))-1))),DATEVALUE(TRIM([1]RawShipmentData!B178)))</f>
        <v>45308</v>
      </c>
      <c r="C178" s="2" t="str">
        <f>PROPER(TRIM([1]RawShipmentData!C178))</f>
        <v>Kolkata</v>
      </c>
      <c r="D178" s="2" t="str">
        <f>IFERROR(INDEX([1]HubMaster!$B$2:$B$7,MATCH(C178,[1]HubMaster!$A$2:$A$7,0)),"Unknown")</f>
        <v>East</v>
      </c>
      <c r="E178" s="2" t="str">
        <f>PROPER(TRIM(SUBSTITUTE([1]RawShipmentData!D178,"  "," ")))</f>
        <v>Bluedart</v>
      </c>
      <c r="F178" s="2" t="str">
        <f>PROPER(TRIM([1]RawShipmentData!E178))</f>
        <v>Road</v>
      </c>
      <c r="G178" s="2" t="str">
        <f>PROPER(TRIM(SUBSTITUTE([1]RawShipmentData!F178,"  "," ")))</f>
        <v>Grocery &amp; Fmcg</v>
      </c>
      <c r="H178" s="2" t="str">
        <f>PROPER(TRIM([1]RawShipmentData!G178))</f>
        <v>South</v>
      </c>
      <c r="I178" s="2" t="str">
        <f t="shared" si="10"/>
        <v>Yes</v>
      </c>
      <c r="J178" s="2">
        <f>IFERROR(VALUE(TRIM(SUBSTITUTE(UPPER([1]RawShipmentData!I178),"KG",""))),"")</f>
        <v>10.7</v>
      </c>
      <c r="K178" s="2">
        <f>VALUE(SUBSTITUTE(SUBSTITUTE(SUBSTITUTE(TRIM([1]RawShipmentData!J178),"₹",""),"Rs",""),",",""))</f>
        <v>306</v>
      </c>
      <c r="L178" s="2">
        <f>[1]RawShipmentData!K178</f>
        <v>8</v>
      </c>
      <c r="M178" s="3">
        <f>IF(TRIM([1]RawShipmentData!L178)="","",IF(ISNUMBER(SEARCH("/",TRIM([1]RawShipmentData!L178))),DATE(VALUE(RIGHT(TRIM([1]RawShipmentData!L178),4)),VALUE(MID(TRIM([1]RawShipmentData!L178),FIND("/",TRIM([1]RawShipmentData!L178))+1,2)),VALUE(LEFT(TRIM([1]RawShipmentData!L178),FIND("/",TRIM([1]RawShipmentData!L178))-1))),DATEVALUE(TRIM([1]RawShipmentData!L178))))</f>
        <v>45316</v>
      </c>
      <c r="N178" s="2">
        <f t="shared" si="11"/>
        <v>8</v>
      </c>
      <c r="O178" s="2">
        <f t="shared" si="12"/>
        <v>0</v>
      </c>
      <c r="P178" s="2" t="str">
        <f t="shared" si="13"/>
        <v>On Time</v>
      </c>
      <c r="Q178" s="2" t="str">
        <f>PROPER(SUBSTITUTE(TRIM([1]RawShipmentData!M178)," ","-"))</f>
        <v>Delivered</v>
      </c>
      <c r="R178" s="4">
        <f t="shared" si="14"/>
        <v>28.598130841121499</v>
      </c>
      <c r="S178" s="2">
        <f>[1]RawShipmentData!N178</f>
        <v>1</v>
      </c>
      <c r="T178" s="2" t="str">
        <f>IF(OR(UPPER(TRIM([1]RawShipmentData!O178))="YES",UPPER(TRIM([1]RawShipmentData!O178))="Y"),"Yes","No")</f>
        <v>No</v>
      </c>
    </row>
    <row r="179" spans="1:20" x14ac:dyDescent="0.25">
      <c r="A179" s="2" t="str">
        <f>[1]RawShipmentData!A179</f>
        <v>SHP-101485</v>
      </c>
      <c r="B179" s="3">
        <f>IF(ISNUMBER(SEARCH("/",TRIM([1]RawShipmentData!B179))),DATE(VALUE(RIGHT(TRIM([1]RawShipmentData!B179),4)),VALUE(MID(TRIM([1]RawShipmentData!B179),FIND("/",TRIM([1]RawShipmentData!B179))+1,2)),VALUE(LEFT(TRIM([1]RawShipmentData!B179),FIND("/",TRIM([1]RawShipmentData!B179))-1))),DATEVALUE(TRIM([1]RawShipmentData!B179)))</f>
        <v>45364</v>
      </c>
      <c r="C179" s="2" t="str">
        <f>PROPER(TRIM([1]RawShipmentData!C179))</f>
        <v>Kolkata</v>
      </c>
      <c r="D179" s="2" t="str">
        <f>IFERROR(INDEX([1]HubMaster!$B$2:$B$7,MATCH(C179,[1]HubMaster!$A$2:$A$7,0)),"Unknown")</f>
        <v>East</v>
      </c>
      <c r="E179" s="2" t="str">
        <f>PROPER(TRIM(SUBSTITUTE([1]RawShipmentData!D179,"  "," ")))</f>
        <v>Blue Dart</v>
      </c>
      <c r="F179" s="2" t="str">
        <f>PROPER(TRIM([1]RawShipmentData!E179))</f>
        <v>Road</v>
      </c>
      <c r="G179" s="2" t="str">
        <f>PROPER(TRIM(SUBSTITUTE([1]RawShipmentData!F179,"  "," ")))</f>
        <v>Apparel</v>
      </c>
      <c r="H179" s="2" t="str">
        <f>PROPER(TRIM([1]RawShipmentData!G179))</f>
        <v>South</v>
      </c>
      <c r="I179" s="2" t="str">
        <f t="shared" si="10"/>
        <v>Yes</v>
      </c>
      <c r="J179" s="2">
        <f>IFERROR(VALUE(TRIM(SUBSTITUTE(UPPER([1]RawShipmentData!I179),"KG",""))),"")</f>
        <v>6.2</v>
      </c>
      <c r="K179" s="2">
        <f>VALUE(SUBSTITUTE(SUBSTITUTE(SUBSTITUTE(TRIM([1]RawShipmentData!J179),"₹",""),"Rs",""),",",""))</f>
        <v>223</v>
      </c>
      <c r="L179" s="2">
        <f>[1]RawShipmentData!K179</f>
        <v>8</v>
      </c>
      <c r="M179" s="3">
        <f>IF(TRIM([1]RawShipmentData!L179)="","",IF(ISNUMBER(SEARCH("/",TRIM([1]RawShipmentData!L179))),DATE(VALUE(RIGHT(TRIM([1]RawShipmentData!L179),4)),VALUE(MID(TRIM([1]RawShipmentData!L179),FIND("/",TRIM([1]RawShipmentData!L179))+1,2)),VALUE(LEFT(TRIM([1]RawShipmentData!L179),FIND("/",TRIM([1]RawShipmentData!L179))-1))),DATEVALUE(TRIM([1]RawShipmentData!L179))))</f>
        <v>45371</v>
      </c>
      <c r="N179" s="2">
        <f t="shared" si="11"/>
        <v>7</v>
      </c>
      <c r="O179" s="2">
        <f t="shared" si="12"/>
        <v>-1</v>
      </c>
      <c r="P179" s="2" t="str">
        <f t="shared" si="13"/>
        <v>On Time</v>
      </c>
      <c r="Q179" s="2" t="str">
        <f>PROPER(SUBSTITUTE(TRIM([1]RawShipmentData!M179)," ","-"))</f>
        <v>Delivered</v>
      </c>
      <c r="R179" s="4">
        <f t="shared" si="14"/>
        <v>35.967741935483872</v>
      </c>
      <c r="S179" s="2">
        <f>[1]RawShipmentData!N179</f>
        <v>4</v>
      </c>
      <c r="T179" s="2" t="str">
        <f>IF(OR(UPPER(TRIM([1]RawShipmentData!O179))="YES",UPPER(TRIM([1]RawShipmentData!O179))="Y"),"Yes","No")</f>
        <v>No</v>
      </c>
    </row>
    <row r="180" spans="1:20" x14ac:dyDescent="0.25">
      <c r="A180" s="2" t="str">
        <f>[1]RawShipmentData!A180</f>
        <v>SHP-100782</v>
      </c>
      <c r="B180" s="3">
        <f>IF(ISNUMBER(SEARCH("/",TRIM([1]RawShipmentData!B180))),DATE(VALUE(RIGHT(TRIM([1]RawShipmentData!B180),4)),VALUE(MID(TRIM([1]RawShipmentData!B180),FIND("/",TRIM([1]RawShipmentData!B180))+1,2)),VALUE(LEFT(TRIM([1]RawShipmentData!B180),FIND("/",TRIM([1]RawShipmentData!B180))-1))),DATEVALUE(TRIM([1]RawShipmentData!B180)))</f>
        <v>45399</v>
      </c>
      <c r="C180" s="2" t="str">
        <f>PROPER(TRIM([1]RawShipmentData!C180))</f>
        <v>Chennai</v>
      </c>
      <c r="D180" s="2" t="str">
        <f>IFERROR(INDEX([1]HubMaster!$B$2:$B$7,MATCH(C180,[1]HubMaster!$A$2:$A$7,0)),"Unknown")</f>
        <v>South</v>
      </c>
      <c r="E180" s="2" t="str">
        <f>PROPER(TRIM(SUBSTITUTE([1]RawShipmentData!D180,"  "," ")))</f>
        <v>Ecom Express</v>
      </c>
      <c r="F180" s="2" t="str">
        <f>PROPER(TRIM([1]RawShipmentData!E180))</f>
        <v>Air</v>
      </c>
      <c r="G180" s="2" t="str">
        <f>PROPER(TRIM(SUBSTITUTE([1]RawShipmentData!F180,"  "," ")))</f>
        <v>Furniture</v>
      </c>
      <c r="H180" s="2" t="str">
        <f>PROPER(TRIM([1]RawShipmentData!G180))</f>
        <v>South</v>
      </c>
      <c r="I180" s="2" t="str">
        <f t="shared" si="10"/>
        <v>No</v>
      </c>
      <c r="J180" s="2">
        <f>IFERROR(VALUE(TRIM(SUBSTITUTE(UPPER([1]RawShipmentData!I180),"KG",""))),"")</f>
        <v>76.099999999999994</v>
      </c>
      <c r="K180" s="2">
        <f>VALUE(SUBSTITUTE(SUBSTITUTE(SUBSTITUTE(TRIM([1]RawShipmentData!J180),"₹",""),"Rs",""),",",""))</f>
        <v>3434</v>
      </c>
      <c r="L180" s="2">
        <f>[1]RawShipmentData!K180</f>
        <v>2</v>
      </c>
      <c r="M180" s="3">
        <f>IF(TRIM([1]RawShipmentData!L180)="","",IF(ISNUMBER(SEARCH("/",TRIM([1]RawShipmentData!L180))),DATE(VALUE(RIGHT(TRIM([1]RawShipmentData!L180),4)),VALUE(MID(TRIM([1]RawShipmentData!L180),FIND("/",TRIM([1]RawShipmentData!L180))+1,2)),VALUE(LEFT(TRIM([1]RawShipmentData!L180),FIND("/",TRIM([1]RawShipmentData!L180))-1))),DATEVALUE(TRIM([1]RawShipmentData!L180))))</f>
        <v>45400</v>
      </c>
      <c r="N180" s="2">
        <f t="shared" si="11"/>
        <v>1</v>
      </c>
      <c r="O180" s="2">
        <f t="shared" si="12"/>
        <v>-1</v>
      </c>
      <c r="P180" s="2" t="str">
        <f t="shared" si="13"/>
        <v>On Time</v>
      </c>
      <c r="Q180" s="2" t="str">
        <f>PROPER(SUBSTITUTE(TRIM([1]RawShipmentData!M180)," ","-"))</f>
        <v>Delivered</v>
      </c>
      <c r="R180" s="4">
        <f t="shared" si="14"/>
        <v>45.124835742444155</v>
      </c>
      <c r="S180" s="2">
        <f>[1]RawShipmentData!N180</f>
        <v>4</v>
      </c>
      <c r="T180" s="2" t="str">
        <f>IF(OR(UPPER(TRIM([1]RawShipmentData!O180))="YES",UPPER(TRIM([1]RawShipmentData!O180))="Y"),"Yes","No")</f>
        <v>No</v>
      </c>
    </row>
    <row r="181" spans="1:20" x14ac:dyDescent="0.25">
      <c r="A181" s="2" t="str">
        <f>[1]RawShipmentData!A181</f>
        <v>SHP-100236</v>
      </c>
      <c r="B181" s="3">
        <f>IF(ISNUMBER(SEARCH("/",TRIM([1]RawShipmentData!B181))),DATE(VALUE(RIGHT(TRIM([1]RawShipmentData!B181),4)),VALUE(MID(TRIM([1]RawShipmentData!B181),FIND("/",TRIM([1]RawShipmentData!B181))+1,2)),VALUE(LEFT(TRIM([1]RawShipmentData!B181),FIND("/",TRIM([1]RawShipmentData!B181))-1))),DATEVALUE(TRIM([1]RawShipmentData!B181)))</f>
        <v>45414</v>
      </c>
      <c r="C181" s="2" t="str">
        <f>PROPER(TRIM([1]RawShipmentData!C181))</f>
        <v>Kolkata</v>
      </c>
      <c r="D181" s="2" t="str">
        <f>IFERROR(INDEX([1]HubMaster!$B$2:$B$7,MATCH(C181,[1]HubMaster!$A$2:$A$7,0)),"Unknown")</f>
        <v>East</v>
      </c>
      <c r="E181" s="2" t="str">
        <f>PROPER(TRIM(SUBSTITUTE([1]RawShipmentData!D181,"  "," ")))</f>
        <v>Delhivery</v>
      </c>
      <c r="F181" s="2" t="str">
        <f>PROPER(TRIM([1]RawShipmentData!E181))</f>
        <v>Air</v>
      </c>
      <c r="G181" s="2" t="str">
        <f>PROPER(TRIM(SUBSTITUTE([1]RawShipmentData!F181,"  "," ")))</f>
        <v>Grocery &amp; Fmcg</v>
      </c>
      <c r="H181" s="2" t="str">
        <f>PROPER(TRIM([1]RawShipmentData!G181))</f>
        <v>North</v>
      </c>
      <c r="I181" s="2" t="str">
        <f t="shared" si="10"/>
        <v>Yes</v>
      </c>
      <c r="J181" s="2">
        <f>IFERROR(VALUE(TRIM(SUBSTITUTE(UPPER([1]RawShipmentData!I181),"KG",""))),"")</f>
        <v>12.5</v>
      </c>
      <c r="K181" s="2">
        <f>VALUE(SUBSTITUTE(SUBSTITUTE(SUBSTITUTE(TRIM([1]RawShipmentData!J181),"₹",""),"Rs",""),",",""))</f>
        <v>719</v>
      </c>
      <c r="L181" s="2">
        <f>[1]RawShipmentData!K181</f>
        <v>4</v>
      </c>
      <c r="M181" s="3">
        <f>IF(TRIM([1]RawShipmentData!L181)="","",IF(ISNUMBER(SEARCH("/",TRIM([1]RawShipmentData!L181))),DATE(VALUE(RIGHT(TRIM([1]RawShipmentData!L181),4)),VALUE(MID(TRIM([1]RawShipmentData!L181),FIND("/",TRIM([1]RawShipmentData!L181))+1,2)),VALUE(LEFT(TRIM([1]RawShipmentData!L181),FIND("/",TRIM([1]RawShipmentData!L181))-1))),DATEVALUE(TRIM([1]RawShipmentData!L181))))</f>
        <v>45418</v>
      </c>
      <c r="N181" s="2">
        <f t="shared" si="11"/>
        <v>4</v>
      </c>
      <c r="O181" s="2">
        <f t="shared" si="12"/>
        <v>0</v>
      </c>
      <c r="P181" s="2" t="str">
        <f t="shared" si="13"/>
        <v>On Time</v>
      </c>
      <c r="Q181" s="2" t="str">
        <f>PROPER(SUBSTITUTE(TRIM([1]RawShipmentData!M181)," ","-"))</f>
        <v>Delivered</v>
      </c>
      <c r="R181" s="4">
        <f t="shared" si="14"/>
        <v>57.52</v>
      </c>
      <c r="S181" s="2">
        <f>[1]RawShipmentData!N181</f>
        <v>5</v>
      </c>
      <c r="T181" s="2" t="str">
        <f>IF(OR(UPPER(TRIM([1]RawShipmentData!O181))="YES",UPPER(TRIM([1]RawShipmentData!O181))="Y"),"Yes","No")</f>
        <v>Yes</v>
      </c>
    </row>
    <row r="182" spans="1:20" x14ac:dyDescent="0.25">
      <c r="A182" s="2" t="str">
        <f>[1]RawShipmentData!A182</f>
        <v>SHP-100476</v>
      </c>
      <c r="B182" s="3">
        <f>IF(ISNUMBER(SEARCH("/",TRIM([1]RawShipmentData!B182))),DATE(VALUE(RIGHT(TRIM([1]RawShipmentData!B182),4)),VALUE(MID(TRIM([1]RawShipmentData!B182),FIND("/",TRIM([1]RawShipmentData!B182))+1,2)),VALUE(LEFT(TRIM([1]RawShipmentData!B182),FIND("/",TRIM([1]RawShipmentData!B182))-1))),DATEVALUE(TRIM([1]RawShipmentData!B182)))</f>
        <v>45318</v>
      </c>
      <c r="C182" s="2" t="str">
        <f>PROPER(TRIM([1]RawShipmentData!C182))</f>
        <v>Chennai</v>
      </c>
      <c r="D182" s="2" t="str">
        <f>IFERROR(INDEX([1]HubMaster!$B$2:$B$7,MATCH(C182,[1]HubMaster!$A$2:$A$7,0)),"Unknown")</f>
        <v>South</v>
      </c>
      <c r="E182" s="2" t="str">
        <f>PROPER(TRIM(SUBSTITUTE([1]RawShipmentData!D182,"  "," ")))</f>
        <v>Ecom Express</v>
      </c>
      <c r="F182" s="2" t="str">
        <f>PROPER(TRIM([1]RawShipmentData!E182))</f>
        <v>Surface</v>
      </c>
      <c r="G182" s="2" t="str">
        <f>PROPER(TRIM(SUBSTITUTE([1]RawShipmentData!F182,"  "," ")))</f>
        <v>Furniture</v>
      </c>
      <c r="H182" s="2" t="str">
        <f>PROPER(TRIM([1]RawShipmentData!G182))</f>
        <v>West</v>
      </c>
      <c r="I182" s="2" t="str">
        <f t="shared" si="10"/>
        <v>Yes</v>
      </c>
      <c r="J182" s="2">
        <f>IFERROR(VALUE(TRIM(SUBSTITUTE(UPPER([1]RawShipmentData!I182),"KG",""))),"")</f>
        <v>68.5</v>
      </c>
      <c r="K182" s="2">
        <f>VALUE(SUBSTITUTE(SUBSTITUTE(SUBSTITUTE(TRIM([1]RawShipmentData!J182),"₹",""),"Rs",""),",",""))</f>
        <v>1689</v>
      </c>
      <c r="L182" s="2">
        <f>[1]RawShipmentData!K182</f>
        <v>6</v>
      </c>
      <c r="M182" s="3">
        <f>IF(TRIM([1]RawShipmentData!L182)="","",IF(ISNUMBER(SEARCH("/",TRIM([1]RawShipmentData!L182))),DATE(VALUE(RIGHT(TRIM([1]RawShipmentData!L182),4)),VALUE(MID(TRIM([1]RawShipmentData!L182),FIND("/",TRIM([1]RawShipmentData!L182))+1,2)),VALUE(LEFT(TRIM([1]RawShipmentData!L182),FIND("/",TRIM([1]RawShipmentData!L182))-1))),DATEVALUE(TRIM([1]RawShipmentData!L182))))</f>
        <v>45325</v>
      </c>
      <c r="N182" s="2">
        <f t="shared" si="11"/>
        <v>7</v>
      </c>
      <c r="O182" s="2">
        <f t="shared" si="12"/>
        <v>1</v>
      </c>
      <c r="P182" s="2" t="str">
        <f t="shared" si="13"/>
        <v>Late</v>
      </c>
      <c r="Q182" s="2" t="str">
        <f>PROPER(SUBSTITUTE(TRIM([1]RawShipmentData!M182)," ","-"))</f>
        <v>Delayed</v>
      </c>
      <c r="R182" s="4">
        <f t="shared" si="14"/>
        <v>24.656934306569344</v>
      </c>
      <c r="S182" s="2">
        <f>[1]RawShipmentData!N182</f>
        <v>3</v>
      </c>
      <c r="T182" s="2" t="str">
        <f>IF(OR(UPPER(TRIM([1]RawShipmentData!O182))="YES",UPPER(TRIM([1]RawShipmentData!O182))="Y"),"Yes","No")</f>
        <v>Yes</v>
      </c>
    </row>
    <row r="183" spans="1:20" x14ac:dyDescent="0.25">
      <c r="A183" s="2" t="str">
        <f>[1]RawShipmentData!A183</f>
        <v>SHP-100649</v>
      </c>
      <c r="B183" s="3">
        <f>IF(ISNUMBER(SEARCH("/",TRIM([1]RawShipmentData!B183))),DATE(VALUE(RIGHT(TRIM([1]RawShipmentData!B183),4)),VALUE(MID(TRIM([1]RawShipmentData!B183),FIND("/",TRIM([1]RawShipmentData!B183))+1,2)),VALUE(LEFT(TRIM([1]RawShipmentData!B183),FIND("/",TRIM([1]RawShipmentData!B183))-1))),DATEVALUE(TRIM([1]RawShipmentData!B183)))</f>
        <v>45448</v>
      </c>
      <c r="C183" s="2" t="str">
        <f>PROPER(TRIM([1]RawShipmentData!C183))</f>
        <v>Mumbai</v>
      </c>
      <c r="D183" s="2" t="str">
        <f>IFERROR(INDEX([1]HubMaster!$B$2:$B$7,MATCH(C183,[1]HubMaster!$A$2:$A$7,0)),"Unknown")</f>
        <v>West</v>
      </c>
      <c r="E183" s="2" t="str">
        <f>PROPER(TRIM(SUBSTITUTE([1]RawShipmentData!D183,"  "," ")))</f>
        <v>Xpressbees</v>
      </c>
      <c r="F183" s="2" t="str">
        <f>PROPER(TRIM([1]RawShipmentData!E183))</f>
        <v>Surface</v>
      </c>
      <c r="G183" s="2" t="str">
        <f>PROPER(TRIM(SUBSTITUTE([1]RawShipmentData!F183,"  "," ")))</f>
        <v>Pharma</v>
      </c>
      <c r="H183" s="2" t="str">
        <f>PROPER(TRIM([1]RawShipmentData!G183))</f>
        <v>North</v>
      </c>
      <c r="I183" s="2" t="str">
        <f t="shared" si="10"/>
        <v>Yes</v>
      </c>
      <c r="J183" s="2">
        <f>IFERROR(VALUE(TRIM(SUBSTITUTE(UPPER([1]RawShipmentData!I183),"KG",""))),"")</f>
        <v>3.7</v>
      </c>
      <c r="K183" s="2">
        <f>VALUE(SUBSTITUTE(SUBSTITUTE(SUBSTITUTE(TRIM([1]RawShipmentData!J183),"₹",""),"Rs",""),",",""))</f>
        <v>238</v>
      </c>
      <c r="L183" s="2">
        <f>[1]RawShipmentData!K183</f>
        <v>6</v>
      </c>
      <c r="M183" s="3">
        <f>IF(TRIM([1]RawShipmentData!L183)="","",IF(ISNUMBER(SEARCH("/",TRIM([1]RawShipmentData!L183))),DATE(VALUE(RIGHT(TRIM([1]RawShipmentData!L183),4)),VALUE(MID(TRIM([1]RawShipmentData!L183),FIND("/",TRIM([1]RawShipmentData!L183))+1,2)),VALUE(LEFT(TRIM([1]RawShipmentData!L183),FIND("/",TRIM([1]RawShipmentData!L183))-1))),DATEVALUE(TRIM([1]RawShipmentData!L183))))</f>
        <v>45453</v>
      </c>
      <c r="N183" s="2">
        <f t="shared" si="11"/>
        <v>5</v>
      </c>
      <c r="O183" s="2">
        <f t="shared" si="12"/>
        <v>-1</v>
      </c>
      <c r="P183" s="2" t="str">
        <f t="shared" si="13"/>
        <v>On Time</v>
      </c>
      <c r="Q183" s="2" t="str">
        <f>PROPER(SUBSTITUTE(TRIM([1]RawShipmentData!M183)," ","-"))</f>
        <v>Delivered</v>
      </c>
      <c r="R183" s="4">
        <f t="shared" si="14"/>
        <v>64.324324324324323</v>
      </c>
      <c r="S183" s="2">
        <f>[1]RawShipmentData!N183</f>
        <v>5</v>
      </c>
      <c r="T183" s="2" t="str">
        <f>IF(OR(UPPER(TRIM([1]RawShipmentData!O183))="YES",UPPER(TRIM([1]RawShipmentData!O183))="Y"),"Yes","No")</f>
        <v>Yes</v>
      </c>
    </row>
    <row r="184" spans="1:20" x14ac:dyDescent="0.25">
      <c r="A184" s="2" t="str">
        <f>[1]RawShipmentData!A184</f>
        <v>SHP-100897</v>
      </c>
      <c r="B184" s="3">
        <f>IF(ISNUMBER(SEARCH("/",TRIM([1]RawShipmentData!B184))),DATE(VALUE(RIGHT(TRIM([1]RawShipmentData!B184),4)),VALUE(MID(TRIM([1]RawShipmentData!B184),FIND("/",TRIM([1]RawShipmentData!B184))+1,2)),VALUE(LEFT(TRIM([1]RawShipmentData!B184),FIND("/",TRIM([1]RawShipmentData!B184))-1))),DATEVALUE(TRIM([1]RawShipmentData!B184)))</f>
        <v>45462</v>
      </c>
      <c r="C184" s="2" t="str">
        <f>PROPER(TRIM([1]RawShipmentData!C184))</f>
        <v>Mumbai</v>
      </c>
      <c r="D184" s="2" t="str">
        <f>IFERROR(INDEX([1]HubMaster!$B$2:$B$7,MATCH(C184,[1]HubMaster!$A$2:$A$7,0)),"Unknown")</f>
        <v>West</v>
      </c>
      <c r="E184" s="2" t="str">
        <f>PROPER(TRIM(SUBSTITUTE([1]RawShipmentData!D184,"  "," ")))</f>
        <v>Ecom Express</v>
      </c>
      <c r="F184" s="2" t="str">
        <f>PROPER(TRIM([1]RawShipmentData!E184))</f>
        <v>Surface</v>
      </c>
      <c r="G184" s="2" t="str">
        <f>PROPER(TRIM(SUBSTITUTE([1]RawShipmentData!F184,"  "," ")))</f>
        <v>Pharma</v>
      </c>
      <c r="H184" s="2" t="str">
        <f>PROPER(TRIM([1]RawShipmentData!G184))</f>
        <v>West</v>
      </c>
      <c r="I184" s="2" t="str">
        <f t="shared" si="10"/>
        <v>No</v>
      </c>
      <c r="J184" s="2">
        <f>IFERROR(VALUE(TRIM(SUBSTITUTE(UPPER([1]RawShipmentData!I184),"KG",""))),"")</f>
        <v>2.1</v>
      </c>
      <c r="K184" s="2">
        <f>VALUE(SUBSTITUTE(SUBSTITUTE(SUBSTITUTE(TRIM([1]RawShipmentData!J184),"₹",""),"Rs",""),",",""))</f>
        <v>81</v>
      </c>
      <c r="L184" s="2">
        <f>[1]RawShipmentData!K184</f>
        <v>4</v>
      </c>
      <c r="M184" s="3">
        <f>IF(TRIM([1]RawShipmentData!L184)="","",IF(ISNUMBER(SEARCH("/",TRIM([1]RawShipmentData!L184))),DATE(VALUE(RIGHT(TRIM([1]RawShipmentData!L184),4)),VALUE(MID(TRIM([1]RawShipmentData!L184),FIND("/",TRIM([1]RawShipmentData!L184))+1,2)),VALUE(LEFT(TRIM([1]RawShipmentData!L184),FIND("/",TRIM([1]RawShipmentData!L184))-1))),DATEVALUE(TRIM([1]RawShipmentData!L184))))</f>
        <v>45465</v>
      </c>
      <c r="N184" s="2">
        <f t="shared" si="11"/>
        <v>3</v>
      </c>
      <c r="O184" s="2">
        <f t="shared" si="12"/>
        <v>-1</v>
      </c>
      <c r="P184" s="2" t="str">
        <f t="shared" si="13"/>
        <v>On Time</v>
      </c>
      <c r="Q184" s="2" t="str">
        <f>PROPER(SUBSTITUTE(TRIM([1]RawShipmentData!M184)," ","-"))</f>
        <v>Delivered</v>
      </c>
      <c r="R184" s="4">
        <f t="shared" si="14"/>
        <v>38.571428571428569</v>
      </c>
      <c r="S184" s="2">
        <f>[1]RawShipmentData!N184</f>
        <v>4</v>
      </c>
      <c r="T184" s="2" t="str">
        <f>IF(OR(UPPER(TRIM([1]RawShipmentData!O184))="YES",UPPER(TRIM([1]RawShipmentData!O184))="Y"),"Yes","No")</f>
        <v>Yes</v>
      </c>
    </row>
    <row r="185" spans="1:20" x14ac:dyDescent="0.25">
      <c r="A185" s="2" t="str">
        <f>[1]RawShipmentData!A185</f>
        <v>SHP-101114</v>
      </c>
      <c r="B185" s="3">
        <f>IF(ISNUMBER(SEARCH("/",TRIM([1]RawShipmentData!B185))),DATE(VALUE(RIGHT(TRIM([1]RawShipmentData!B185),4)),VALUE(MID(TRIM([1]RawShipmentData!B185),FIND("/",TRIM([1]RawShipmentData!B185))+1,2)),VALUE(LEFT(TRIM([1]RawShipmentData!B185),FIND("/",TRIM([1]RawShipmentData!B185))-1))),DATEVALUE(TRIM([1]RawShipmentData!B185)))</f>
        <v>45332</v>
      </c>
      <c r="C185" s="2" t="str">
        <f>PROPER(TRIM([1]RawShipmentData!C185))</f>
        <v>Mumbai</v>
      </c>
      <c r="D185" s="2" t="str">
        <f>IFERROR(INDEX([1]HubMaster!$B$2:$B$7,MATCH(C185,[1]HubMaster!$A$2:$A$7,0)),"Unknown")</f>
        <v>West</v>
      </c>
      <c r="E185" s="2" t="str">
        <f>PROPER(TRIM(SUBSTITUTE([1]RawShipmentData!D185,"  "," ")))</f>
        <v>Ecom Express</v>
      </c>
      <c r="F185" s="2" t="str">
        <f>PROPER(TRIM([1]RawShipmentData!E185))</f>
        <v>Air</v>
      </c>
      <c r="G185" s="2" t="str">
        <f>PROPER(TRIM(SUBSTITUTE([1]RawShipmentData!F185,"  "," ")))</f>
        <v>Grocery &amp; Fmcg</v>
      </c>
      <c r="H185" s="2" t="str">
        <f>PROPER(TRIM([1]RawShipmentData!G185))</f>
        <v>East</v>
      </c>
      <c r="I185" s="2" t="str">
        <f t="shared" si="10"/>
        <v>Yes</v>
      </c>
      <c r="J185" s="2">
        <f>IFERROR(VALUE(TRIM(SUBSTITUTE(UPPER([1]RawShipmentData!I185),"KG",""))),"")</f>
        <v>14.7</v>
      </c>
      <c r="K185" s="2">
        <f>VALUE(SUBSTITUTE(SUBSTITUTE(SUBSTITUTE(TRIM([1]RawShipmentData!J185),"₹",""),"Rs",""),",",""))</f>
        <v>856</v>
      </c>
      <c r="L185" s="2">
        <f>[1]RawShipmentData!K185</f>
        <v>4</v>
      </c>
      <c r="M185" s="3">
        <f>IF(TRIM([1]RawShipmentData!L185)="","",IF(ISNUMBER(SEARCH("/",TRIM([1]RawShipmentData!L185))),DATE(VALUE(RIGHT(TRIM([1]RawShipmentData!L185),4)),VALUE(MID(TRIM([1]RawShipmentData!L185),FIND("/",TRIM([1]RawShipmentData!L185))+1,2)),VALUE(LEFT(TRIM([1]RawShipmentData!L185),FIND("/",TRIM([1]RawShipmentData!L185))-1))),DATEVALUE(TRIM([1]RawShipmentData!L185))))</f>
        <v>45335</v>
      </c>
      <c r="N185" s="2">
        <f t="shared" si="11"/>
        <v>3</v>
      </c>
      <c r="O185" s="2">
        <f t="shared" si="12"/>
        <v>-1</v>
      </c>
      <c r="P185" s="2" t="str">
        <f t="shared" si="13"/>
        <v>On Time</v>
      </c>
      <c r="Q185" s="2" t="str">
        <f>PROPER(SUBSTITUTE(TRIM([1]RawShipmentData!M185)," ","-"))</f>
        <v>Delivered</v>
      </c>
      <c r="R185" s="4">
        <f t="shared" si="14"/>
        <v>58.231292517006807</v>
      </c>
      <c r="S185" s="2">
        <f>[1]RawShipmentData!N185</f>
        <v>4</v>
      </c>
      <c r="T185" s="2" t="str">
        <f>IF(OR(UPPER(TRIM([1]RawShipmentData!O185))="YES",UPPER(TRIM([1]RawShipmentData!O185))="Y"),"Yes","No")</f>
        <v>No</v>
      </c>
    </row>
    <row r="186" spans="1:20" x14ac:dyDescent="0.25">
      <c r="A186" s="2" t="str">
        <f>[1]RawShipmentData!A186</f>
        <v>SHP-100491</v>
      </c>
      <c r="B186" s="3">
        <f>IF(ISNUMBER(SEARCH("/",TRIM([1]RawShipmentData!B186))),DATE(VALUE(RIGHT(TRIM([1]RawShipmentData!B186),4)),VALUE(MID(TRIM([1]RawShipmentData!B186),FIND("/",TRIM([1]RawShipmentData!B186))+1,2)),VALUE(LEFT(TRIM([1]RawShipmentData!B186),FIND("/",TRIM([1]RawShipmentData!B186))-1))),DATEVALUE(TRIM([1]RawShipmentData!B186)))</f>
        <v>45420</v>
      </c>
      <c r="C186" s="2" t="str">
        <f>PROPER(TRIM([1]RawShipmentData!C186))</f>
        <v>Kolkata</v>
      </c>
      <c r="D186" s="2" t="str">
        <f>IFERROR(INDEX([1]HubMaster!$B$2:$B$7,MATCH(C186,[1]HubMaster!$A$2:$A$7,0)),"Unknown")</f>
        <v>East</v>
      </c>
      <c r="E186" s="2" t="str">
        <f>PROPER(TRIM(SUBSTITUTE([1]RawShipmentData!D186,"  "," ")))</f>
        <v>Delhivery</v>
      </c>
      <c r="F186" s="2" t="str">
        <f>PROPER(TRIM([1]RawShipmentData!E186))</f>
        <v>Air</v>
      </c>
      <c r="G186" s="2" t="str">
        <f>PROPER(TRIM(SUBSTITUTE([1]RawShipmentData!F186,"  "," ")))</f>
        <v>Furniture</v>
      </c>
      <c r="H186" s="2" t="str">
        <f>PROPER(TRIM([1]RawShipmentData!G186))</f>
        <v>South</v>
      </c>
      <c r="I186" s="2" t="str">
        <f t="shared" si="10"/>
        <v>Yes</v>
      </c>
      <c r="J186" s="2">
        <f>IFERROR(VALUE(TRIM(SUBSTITUTE(UPPER([1]RawShipmentData!I186),"KG",""))),"")</f>
        <v>72.3</v>
      </c>
      <c r="K186" s="2">
        <f>VALUE(SUBSTITUTE(SUBSTITUTE(SUBSTITUTE(TRIM([1]RawShipmentData!J186),"₹",""),"Rs",""),",",""))</f>
        <v>3409</v>
      </c>
      <c r="L186" s="2">
        <f>[1]RawShipmentData!K186</f>
        <v>4</v>
      </c>
      <c r="M186" s="3">
        <f>IF(TRIM([1]RawShipmentData!L186)="","",IF(ISNUMBER(SEARCH("/",TRIM([1]RawShipmentData!L186))),DATE(VALUE(RIGHT(TRIM([1]RawShipmentData!L186),4)),VALUE(MID(TRIM([1]RawShipmentData!L186),FIND("/",TRIM([1]RawShipmentData!L186))+1,2)),VALUE(LEFT(TRIM([1]RawShipmentData!L186),FIND("/",TRIM([1]RawShipmentData!L186))-1))),DATEVALUE(TRIM([1]RawShipmentData!L186))))</f>
        <v>45424</v>
      </c>
      <c r="N186" s="2">
        <f t="shared" si="11"/>
        <v>4</v>
      </c>
      <c r="O186" s="2">
        <f t="shared" si="12"/>
        <v>0</v>
      </c>
      <c r="P186" s="2" t="str">
        <f t="shared" si="13"/>
        <v>On Time</v>
      </c>
      <c r="Q186" s="2" t="str">
        <f>PROPER(SUBSTITUTE(TRIM([1]RawShipmentData!M186)," ","-"))</f>
        <v>Returned</v>
      </c>
      <c r="R186" s="4">
        <f t="shared" si="14"/>
        <v>47.150760719225453</v>
      </c>
      <c r="S186" s="2">
        <f>[1]RawShipmentData!N186</f>
        <v>0</v>
      </c>
      <c r="T186" s="2" t="str">
        <f>IF(OR(UPPER(TRIM([1]RawShipmentData!O186))="YES",UPPER(TRIM([1]RawShipmentData!O186))="Y"),"Yes","No")</f>
        <v>Yes</v>
      </c>
    </row>
    <row r="187" spans="1:20" x14ac:dyDescent="0.25">
      <c r="A187" s="2" t="str">
        <f>[1]RawShipmentData!A187</f>
        <v>SHP-100617</v>
      </c>
      <c r="B187" s="3">
        <f>IF(ISNUMBER(SEARCH("/",TRIM([1]RawShipmentData!B187))),DATE(VALUE(RIGHT(TRIM([1]RawShipmentData!B187),4)),VALUE(MID(TRIM([1]RawShipmentData!B187),FIND("/",TRIM([1]RawShipmentData!B187))+1,2)),VALUE(LEFT(TRIM([1]RawShipmentData!B187),FIND("/",TRIM([1]RawShipmentData!B187))-1))),DATEVALUE(TRIM([1]RawShipmentData!B187)))</f>
        <v>45418</v>
      </c>
      <c r="C187" s="2" t="str">
        <f>PROPER(TRIM([1]RawShipmentData!C187))</f>
        <v>Bengaluru</v>
      </c>
      <c r="D187" s="2" t="str">
        <f>IFERROR(INDEX([1]HubMaster!$B$2:$B$7,MATCH(C187,[1]HubMaster!$A$2:$A$7,0)),"Unknown")</f>
        <v>South</v>
      </c>
      <c r="E187" s="2" t="str">
        <f>PROPER(TRIM(SUBSTITUTE([1]RawShipmentData!D187,"  "," ")))</f>
        <v>Ecom Express</v>
      </c>
      <c r="F187" s="2" t="str">
        <f>PROPER(TRIM([1]RawShipmentData!E187))</f>
        <v>Surface</v>
      </c>
      <c r="G187" s="2" t="str">
        <f>PROPER(TRIM(SUBSTITUTE([1]RawShipmentData!F187,"  "," ")))</f>
        <v>Apparel</v>
      </c>
      <c r="H187" s="2" t="str">
        <f>PROPER(TRIM([1]RawShipmentData!G187))</f>
        <v>South</v>
      </c>
      <c r="I187" s="2" t="str">
        <f t="shared" si="10"/>
        <v>No</v>
      </c>
      <c r="J187" s="2">
        <f>IFERROR(VALUE(TRIM(SUBSTITUTE(UPPER([1]RawShipmentData!I187),"KG",""))),"")</f>
        <v>2.8</v>
      </c>
      <c r="K187" s="2">
        <f>VALUE(SUBSTITUTE(SUBSTITUTE(SUBSTITUTE(TRIM([1]RawShipmentData!J187),"₹",""),"Rs",""),",",""))</f>
        <v>80</v>
      </c>
      <c r="L187" s="2">
        <f>[1]RawShipmentData!K187</f>
        <v>4</v>
      </c>
      <c r="M187" s="3">
        <f>IF(TRIM([1]RawShipmentData!L187)="","",IF(ISNUMBER(SEARCH("/",TRIM([1]RawShipmentData!L187))),DATE(VALUE(RIGHT(TRIM([1]RawShipmentData!L187),4)),VALUE(MID(TRIM([1]RawShipmentData!L187),FIND("/",TRIM([1]RawShipmentData!L187))+1,2)),VALUE(LEFT(TRIM([1]RawShipmentData!L187),FIND("/",TRIM([1]RawShipmentData!L187))-1))),DATEVALUE(TRIM([1]RawShipmentData!L187))))</f>
        <v>45423</v>
      </c>
      <c r="N187" s="2">
        <f t="shared" si="11"/>
        <v>5</v>
      </c>
      <c r="O187" s="2">
        <f t="shared" si="12"/>
        <v>1</v>
      </c>
      <c r="P187" s="2" t="str">
        <f t="shared" si="13"/>
        <v>Late</v>
      </c>
      <c r="Q187" s="2" t="str">
        <f>PROPER(SUBSTITUTE(TRIM([1]RawShipmentData!M187)," ","-"))</f>
        <v>Delayed</v>
      </c>
      <c r="R187" s="4">
        <f t="shared" si="14"/>
        <v>28.571428571428573</v>
      </c>
      <c r="S187" s="2">
        <f>[1]RawShipmentData!N187</f>
        <v>1</v>
      </c>
      <c r="T187" s="2" t="str">
        <f>IF(OR(UPPER(TRIM([1]RawShipmentData!O187))="YES",UPPER(TRIM([1]RawShipmentData!O187))="Y"),"Yes","No")</f>
        <v>Yes</v>
      </c>
    </row>
    <row r="188" spans="1:20" x14ac:dyDescent="0.25">
      <c r="A188" s="2" t="str">
        <f>[1]RawShipmentData!A188</f>
        <v>SHP-101149</v>
      </c>
      <c r="B188" s="3">
        <f>IF(ISNUMBER(SEARCH("/",TRIM([1]RawShipmentData!B188))),DATE(VALUE(RIGHT(TRIM([1]RawShipmentData!B188),4)),VALUE(MID(TRIM([1]RawShipmentData!B188),FIND("/",TRIM([1]RawShipmentData!B188))+1,2)),VALUE(LEFT(TRIM([1]RawShipmentData!B188),FIND("/",TRIM([1]RawShipmentData!B188))-1))),DATEVALUE(TRIM([1]RawShipmentData!B188)))</f>
        <v>45410</v>
      </c>
      <c r="C188" s="2" t="str">
        <f>PROPER(TRIM([1]RawShipmentData!C188))</f>
        <v>Kolkata</v>
      </c>
      <c r="D188" s="2" t="str">
        <f>IFERROR(INDEX([1]HubMaster!$B$2:$B$7,MATCH(C188,[1]HubMaster!$A$2:$A$7,0)),"Unknown")</f>
        <v>East</v>
      </c>
      <c r="E188" s="2" t="str">
        <f>PROPER(TRIM(SUBSTITUTE([1]RawShipmentData!D188,"  "," ")))</f>
        <v>Delhivery</v>
      </c>
      <c r="F188" s="2" t="str">
        <f>PROPER(TRIM([1]RawShipmentData!E188))</f>
        <v>Surface</v>
      </c>
      <c r="G188" s="2" t="str">
        <f>PROPER(TRIM(SUBSTITUTE([1]RawShipmentData!F188,"  "," ")))</f>
        <v>Apparel</v>
      </c>
      <c r="H188" s="2" t="str">
        <f>PROPER(TRIM([1]RawShipmentData!G188))</f>
        <v>North</v>
      </c>
      <c r="I188" s="2" t="str">
        <f t="shared" si="10"/>
        <v>Yes</v>
      </c>
      <c r="J188" s="2">
        <f>IFERROR(VALUE(TRIM(SUBSTITUTE(UPPER([1]RawShipmentData!I188),"KG",""))),"")</f>
        <v>7.6</v>
      </c>
      <c r="K188" s="2">
        <f>VALUE(SUBSTITUTE(SUBSTITUTE(SUBSTITUTE(TRIM([1]RawShipmentData!J188),"₹",""),"Rs",""),",",""))</f>
        <v>314</v>
      </c>
      <c r="L188" s="2">
        <f>[1]RawShipmentData!K188</f>
        <v>6</v>
      </c>
      <c r="M188" s="3">
        <f>IF(TRIM([1]RawShipmentData!L188)="","",IF(ISNUMBER(SEARCH("/",TRIM([1]RawShipmentData!L188))),DATE(VALUE(RIGHT(TRIM([1]RawShipmentData!L188),4)),VALUE(MID(TRIM([1]RawShipmentData!L188),FIND("/",TRIM([1]RawShipmentData!L188))+1,2)),VALUE(LEFT(TRIM([1]RawShipmentData!L188),FIND("/",TRIM([1]RawShipmentData!L188))-1))),DATEVALUE(TRIM([1]RawShipmentData!L188))))</f>
        <v>45416</v>
      </c>
      <c r="N188" s="2">
        <f t="shared" si="11"/>
        <v>6</v>
      </c>
      <c r="O188" s="2">
        <f t="shared" si="12"/>
        <v>0</v>
      </c>
      <c r="P188" s="2" t="str">
        <f t="shared" si="13"/>
        <v>On Time</v>
      </c>
      <c r="Q188" s="2" t="str">
        <f>PROPER(SUBSTITUTE(TRIM([1]RawShipmentData!M188)," ","-"))</f>
        <v>Delivered</v>
      </c>
      <c r="R188" s="4">
        <f t="shared" si="14"/>
        <v>41.315789473684212</v>
      </c>
      <c r="S188" s="2">
        <f>[1]RawShipmentData!N188</f>
        <v>5</v>
      </c>
      <c r="T188" s="2" t="str">
        <f>IF(OR(UPPER(TRIM([1]RawShipmentData!O188))="YES",UPPER(TRIM([1]RawShipmentData!O188))="Y"),"Yes","No")</f>
        <v>No</v>
      </c>
    </row>
    <row r="189" spans="1:20" x14ac:dyDescent="0.25">
      <c r="A189" s="2" t="str">
        <f>[1]RawShipmentData!A189</f>
        <v>SHP-100946</v>
      </c>
      <c r="B189" s="3">
        <f>IF(ISNUMBER(SEARCH("/",TRIM([1]RawShipmentData!B189))),DATE(VALUE(RIGHT(TRIM([1]RawShipmentData!B189),4)),VALUE(MID(TRIM([1]RawShipmentData!B189),FIND("/",TRIM([1]RawShipmentData!B189))+1,2)),VALUE(LEFT(TRIM([1]RawShipmentData!B189),FIND("/",TRIM([1]RawShipmentData!B189))-1))),DATEVALUE(TRIM([1]RawShipmentData!B189)))</f>
        <v>45436</v>
      </c>
      <c r="C189" s="2" t="str">
        <f>PROPER(TRIM([1]RawShipmentData!C189))</f>
        <v>Mumbai</v>
      </c>
      <c r="D189" s="2" t="str">
        <f>IFERROR(INDEX([1]HubMaster!$B$2:$B$7,MATCH(C189,[1]HubMaster!$A$2:$A$7,0)),"Unknown")</f>
        <v>West</v>
      </c>
      <c r="E189" s="2" t="str">
        <f>PROPER(TRIM(SUBSTITUTE([1]RawShipmentData!D189,"  "," ")))</f>
        <v>Dtdc</v>
      </c>
      <c r="F189" s="2" t="str">
        <f>PROPER(TRIM([1]RawShipmentData!E189))</f>
        <v>Air</v>
      </c>
      <c r="G189" s="2" t="str">
        <f>PROPER(TRIM(SUBSTITUTE([1]RawShipmentData!F189,"  "," ")))</f>
        <v>Pharma</v>
      </c>
      <c r="H189" s="2" t="str">
        <f>PROPER(TRIM([1]RawShipmentData!G189))</f>
        <v>East</v>
      </c>
      <c r="I189" s="2" t="str">
        <f t="shared" si="10"/>
        <v>Yes</v>
      </c>
      <c r="J189" s="2">
        <f>IFERROR(VALUE(TRIM(SUBSTITUTE(UPPER([1]RawShipmentData!I189),"KG",""))),"")</f>
        <v>2.2999999999999998</v>
      </c>
      <c r="K189" s="2">
        <f>VALUE(SUBSTITUTE(SUBSTITUTE(SUBSTITUTE(TRIM([1]RawShipmentData!J189),"₹",""),"Rs",""),",",""))</f>
        <v>233</v>
      </c>
      <c r="L189" s="2">
        <f>[1]RawShipmentData!K189</f>
        <v>4</v>
      </c>
      <c r="M189" s="3">
        <f>IF(TRIM([1]RawShipmentData!L189)="","",IF(ISNUMBER(SEARCH("/",TRIM([1]RawShipmentData!L189))),DATE(VALUE(RIGHT(TRIM([1]RawShipmentData!L189),4)),VALUE(MID(TRIM([1]RawShipmentData!L189),FIND("/",TRIM([1]RawShipmentData!L189))+1,2)),VALUE(LEFT(TRIM([1]RawShipmentData!L189),FIND("/",TRIM([1]RawShipmentData!L189))-1))),DATEVALUE(TRIM([1]RawShipmentData!L189))))</f>
        <v>45441</v>
      </c>
      <c r="N189" s="2">
        <f t="shared" si="11"/>
        <v>5</v>
      </c>
      <c r="O189" s="2">
        <f t="shared" si="12"/>
        <v>1</v>
      </c>
      <c r="P189" s="2" t="str">
        <f t="shared" si="13"/>
        <v>Late</v>
      </c>
      <c r="Q189" s="2" t="str">
        <f>PROPER(SUBSTITUTE(TRIM([1]RawShipmentData!M189)," ","-"))</f>
        <v>Delayed</v>
      </c>
      <c r="R189" s="4">
        <f t="shared" si="14"/>
        <v>101.30434782608697</v>
      </c>
      <c r="S189" s="2">
        <f>[1]RawShipmentData!N189</f>
        <v>2</v>
      </c>
      <c r="T189" s="2" t="str">
        <f>IF(OR(UPPER(TRIM([1]RawShipmentData!O189))="YES",UPPER(TRIM([1]RawShipmentData!O189))="Y"),"Yes","No")</f>
        <v>Yes</v>
      </c>
    </row>
    <row r="190" spans="1:20" x14ac:dyDescent="0.25">
      <c r="A190" s="2" t="str">
        <f>[1]RawShipmentData!A190</f>
        <v>SHP-100956</v>
      </c>
      <c r="B190" s="3">
        <f>IF(ISNUMBER(SEARCH("/",TRIM([1]RawShipmentData!B190))),DATE(VALUE(RIGHT(TRIM([1]RawShipmentData!B190),4)),VALUE(MID(TRIM([1]RawShipmentData!B190),FIND("/",TRIM([1]RawShipmentData!B190))+1,2)),VALUE(LEFT(TRIM([1]RawShipmentData!B190),FIND("/",TRIM([1]RawShipmentData!B190))-1))),DATEVALUE(TRIM([1]RawShipmentData!B190)))</f>
        <v>45433</v>
      </c>
      <c r="C190" s="2" t="str">
        <f>PROPER(TRIM([1]RawShipmentData!C190))</f>
        <v>Mumbai</v>
      </c>
      <c r="D190" s="2" t="str">
        <f>IFERROR(INDEX([1]HubMaster!$B$2:$B$7,MATCH(C190,[1]HubMaster!$A$2:$A$7,0)),"Unknown")</f>
        <v>West</v>
      </c>
      <c r="E190" s="2" t="str">
        <f>PROPER(TRIM(SUBSTITUTE([1]RawShipmentData!D190,"  "," ")))</f>
        <v>Bluedart</v>
      </c>
      <c r="F190" s="2" t="str">
        <f>PROPER(TRIM([1]RawShipmentData!E190))</f>
        <v>Air</v>
      </c>
      <c r="G190" s="2" t="str">
        <f>PROPER(TRIM(SUBSTITUTE([1]RawShipmentData!F190,"  "," ")))</f>
        <v>Automotive Parts</v>
      </c>
      <c r="H190" s="2" t="str">
        <f>PROPER(TRIM([1]RawShipmentData!G190))</f>
        <v>West</v>
      </c>
      <c r="I190" s="2" t="str">
        <f t="shared" si="10"/>
        <v>No</v>
      </c>
      <c r="J190" s="2">
        <f>IFERROR(VALUE(TRIM(SUBSTITUTE(UPPER([1]RawShipmentData!I190),"KG",""))),"")</f>
        <v>38.799999999999997</v>
      </c>
      <c r="K190" s="2">
        <f>VALUE(SUBSTITUTE(SUBSTITUTE(SUBSTITUTE(TRIM([1]RawShipmentData!J190),"₹",""),"Rs",""),",",""))</f>
        <v>1805</v>
      </c>
      <c r="L190" s="2">
        <f>[1]RawShipmentData!K190</f>
        <v>2</v>
      </c>
      <c r="M190" s="3">
        <f>IF(TRIM([1]RawShipmentData!L190)="","",IF(ISNUMBER(SEARCH("/",TRIM([1]RawShipmentData!L190))),DATE(VALUE(RIGHT(TRIM([1]RawShipmentData!L190),4)),VALUE(MID(TRIM([1]RawShipmentData!L190),FIND("/",TRIM([1]RawShipmentData!L190))+1,2)),VALUE(LEFT(TRIM([1]RawShipmentData!L190),FIND("/",TRIM([1]RawShipmentData!L190))-1))),DATEVALUE(TRIM([1]RawShipmentData!L190))))</f>
        <v>45441</v>
      </c>
      <c r="N190" s="2">
        <f t="shared" si="11"/>
        <v>8</v>
      </c>
      <c r="O190" s="2">
        <f t="shared" si="12"/>
        <v>6</v>
      </c>
      <c r="P190" s="2" t="str">
        <f t="shared" si="13"/>
        <v>Late</v>
      </c>
      <c r="Q190" s="2" t="str">
        <f>PROPER(SUBSTITUTE(TRIM([1]RawShipmentData!M190)," ","-"))</f>
        <v>Delayed</v>
      </c>
      <c r="R190" s="4">
        <f t="shared" si="14"/>
        <v>46.520618556701031</v>
      </c>
      <c r="S190" s="2">
        <f>[1]RawShipmentData!N190</f>
        <v>3</v>
      </c>
      <c r="T190" s="2" t="str">
        <f>IF(OR(UPPER(TRIM([1]RawShipmentData!O190))="YES",UPPER(TRIM([1]RawShipmentData!O190))="Y"),"Yes","No")</f>
        <v>No</v>
      </c>
    </row>
    <row r="191" spans="1:20" x14ac:dyDescent="0.25">
      <c r="A191" s="2" t="str">
        <f>[1]RawShipmentData!A191</f>
        <v>SHP-100615</v>
      </c>
      <c r="B191" s="3">
        <f>IF(ISNUMBER(SEARCH("/",TRIM([1]RawShipmentData!B191))),DATE(VALUE(RIGHT(TRIM([1]RawShipmentData!B191),4)),VALUE(MID(TRIM([1]RawShipmentData!B191),FIND("/",TRIM([1]RawShipmentData!B191))+1,2)),VALUE(LEFT(TRIM([1]RawShipmentData!B191),FIND("/",TRIM([1]RawShipmentData!B191))-1))),DATEVALUE(TRIM([1]RawShipmentData!B191)))</f>
        <v>45448</v>
      </c>
      <c r="C191" s="2" t="str">
        <f>PROPER(TRIM([1]RawShipmentData!C191))</f>
        <v>Delhi</v>
      </c>
      <c r="D191" s="2" t="str">
        <f>IFERROR(INDEX([1]HubMaster!$B$2:$B$7,MATCH(C191,[1]HubMaster!$A$2:$A$7,0)),"Unknown")</f>
        <v>North</v>
      </c>
      <c r="E191" s="2" t="str">
        <f>PROPER(TRIM(SUBSTITUTE([1]RawShipmentData!D191,"  "," ")))</f>
        <v>Xpress Bees</v>
      </c>
      <c r="F191" s="2" t="str">
        <f>PROPER(TRIM([1]RawShipmentData!E191))</f>
        <v>Surface</v>
      </c>
      <c r="G191" s="2" t="str">
        <f>PROPER(TRIM(SUBSTITUTE([1]RawShipmentData!F191,"  "," ")))</f>
        <v>Electronics</v>
      </c>
      <c r="H191" s="2" t="str">
        <f>PROPER(TRIM([1]RawShipmentData!G191))</f>
        <v>North</v>
      </c>
      <c r="I191" s="2" t="str">
        <f t="shared" si="10"/>
        <v>No</v>
      </c>
      <c r="J191" s="2">
        <f>IFERROR(VALUE(TRIM(SUBSTITUTE(UPPER([1]RawShipmentData!I191),"KG",""))),"")</f>
        <v>4.9000000000000004</v>
      </c>
      <c r="K191" s="2">
        <f>VALUE(SUBSTITUTE(SUBSTITUTE(SUBSTITUTE(TRIM([1]RawShipmentData!J191),"₹",""),"Rs",""),",",""))</f>
        <v>160</v>
      </c>
      <c r="L191" s="2">
        <f>[1]RawShipmentData!K191</f>
        <v>4</v>
      </c>
      <c r="M191" s="3">
        <f>IF(TRIM([1]RawShipmentData!L191)="","",IF(ISNUMBER(SEARCH("/",TRIM([1]RawShipmentData!L191))),DATE(VALUE(RIGHT(TRIM([1]RawShipmentData!L191),4)),VALUE(MID(TRIM([1]RawShipmentData!L191),FIND("/",TRIM([1]RawShipmentData!L191))+1,2)),VALUE(LEFT(TRIM([1]RawShipmentData!L191),FIND("/",TRIM([1]RawShipmentData!L191))-1))),DATEVALUE(TRIM([1]RawShipmentData!L191))))</f>
        <v>45451</v>
      </c>
      <c r="N191" s="2">
        <f t="shared" si="11"/>
        <v>3</v>
      </c>
      <c r="O191" s="2">
        <f t="shared" si="12"/>
        <v>-1</v>
      </c>
      <c r="P191" s="2" t="str">
        <f t="shared" si="13"/>
        <v>On Time</v>
      </c>
      <c r="Q191" s="2" t="str">
        <f>PROPER(SUBSTITUTE(TRIM([1]RawShipmentData!M191)," ","-"))</f>
        <v>Damaged</v>
      </c>
      <c r="R191" s="4">
        <f t="shared" si="14"/>
        <v>32.653061224489797</v>
      </c>
      <c r="S191" s="2">
        <f>[1]RawShipmentData!N191</f>
        <v>0</v>
      </c>
      <c r="T191" s="2" t="str">
        <f>IF(OR(UPPER(TRIM([1]RawShipmentData!O191))="YES",UPPER(TRIM([1]RawShipmentData!O191))="Y"),"Yes","No")</f>
        <v>No</v>
      </c>
    </row>
    <row r="192" spans="1:20" x14ac:dyDescent="0.25">
      <c r="A192" s="2" t="str">
        <f>[1]RawShipmentData!A192</f>
        <v>SHP-101266</v>
      </c>
      <c r="B192" s="3">
        <f>IF(ISNUMBER(SEARCH("/",TRIM([1]RawShipmentData!B192))),DATE(VALUE(RIGHT(TRIM([1]RawShipmentData!B192),4)),VALUE(MID(TRIM([1]RawShipmentData!B192),FIND("/",TRIM([1]RawShipmentData!B192))+1,2)),VALUE(LEFT(TRIM([1]RawShipmentData!B192),FIND("/",TRIM([1]RawShipmentData!B192))-1))),DATEVALUE(TRIM([1]RawShipmentData!B192)))</f>
        <v>45400</v>
      </c>
      <c r="C192" s="2" t="str">
        <f>PROPER(TRIM([1]RawShipmentData!C192))</f>
        <v>Mumbai</v>
      </c>
      <c r="D192" s="2" t="str">
        <f>IFERROR(INDEX([1]HubMaster!$B$2:$B$7,MATCH(C192,[1]HubMaster!$A$2:$A$7,0)),"Unknown")</f>
        <v>West</v>
      </c>
      <c r="E192" s="2" t="str">
        <f>PROPER(TRIM(SUBSTITUTE([1]RawShipmentData!D192,"  "," ")))</f>
        <v>Delhivery</v>
      </c>
      <c r="F192" s="2" t="str">
        <f>PROPER(TRIM([1]RawShipmentData!E192))</f>
        <v>Road</v>
      </c>
      <c r="G192" s="2" t="str">
        <f>PROPER(TRIM(SUBSTITUTE([1]RawShipmentData!F192,"  "," ")))</f>
        <v>Pharma</v>
      </c>
      <c r="H192" s="2" t="str">
        <f>PROPER(TRIM([1]RawShipmentData!G192))</f>
        <v>North</v>
      </c>
      <c r="I192" s="2" t="str">
        <f t="shared" si="10"/>
        <v>Yes</v>
      </c>
      <c r="J192" s="2">
        <f>IFERROR(VALUE(TRIM(SUBSTITUTE(UPPER([1]RawShipmentData!I192),"KG",""))),"")</f>
        <v>4.9000000000000004</v>
      </c>
      <c r="K192" s="2">
        <f>VALUE(SUBSTITUTE(SUBSTITUTE(SUBSTITUTE(TRIM([1]RawShipmentData!J192),"₹",""),"Rs",""),",",""))</f>
        <v>251</v>
      </c>
      <c r="L192" s="2">
        <f>[1]RawShipmentData!K192</f>
        <v>8</v>
      </c>
      <c r="M192" s="3">
        <f>IF(TRIM([1]RawShipmentData!L192)="","",IF(ISNUMBER(SEARCH("/",TRIM([1]RawShipmentData!L192))),DATE(VALUE(RIGHT(TRIM([1]RawShipmentData!L192),4)),VALUE(MID(TRIM([1]RawShipmentData!L192),FIND("/",TRIM([1]RawShipmentData!L192))+1,2)),VALUE(LEFT(TRIM([1]RawShipmentData!L192),FIND("/",TRIM([1]RawShipmentData!L192))-1))),DATEVALUE(TRIM([1]RawShipmentData!L192))))</f>
        <v>45409</v>
      </c>
      <c r="N192" s="2">
        <f t="shared" si="11"/>
        <v>9</v>
      </c>
      <c r="O192" s="2">
        <f t="shared" si="12"/>
        <v>1</v>
      </c>
      <c r="P192" s="2" t="str">
        <f t="shared" si="13"/>
        <v>Late</v>
      </c>
      <c r="Q192" s="2" t="str">
        <f>PROPER(SUBSTITUTE(TRIM([1]RawShipmentData!M192)," ","-"))</f>
        <v>Delayed</v>
      </c>
      <c r="R192" s="4">
        <f t="shared" si="14"/>
        <v>51.224489795918366</v>
      </c>
      <c r="S192" s="2">
        <f>[1]RawShipmentData!N192</f>
        <v>2</v>
      </c>
      <c r="T192" s="2" t="str">
        <f>IF(OR(UPPER(TRIM([1]RawShipmentData!O192))="YES",UPPER(TRIM([1]RawShipmentData!O192))="Y"),"Yes","No")</f>
        <v>No</v>
      </c>
    </row>
    <row r="193" spans="1:20" x14ac:dyDescent="0.25">
      <c r="A193" s="2" t="str">
        <f>[1]RawShipmentData!A193</f>
        <v>SHP-101224</v>
      </c>
      <c r="B193" s="3">
        <f>IF(ISNUMBER(SEARCH("/",TRIM([1]RawShipmentData!B193))),DATE(VALUE(RIGHT(TRIM([1]RawShipmentData!B193),4)),VALUE(MID(TRIM([1]RawShipmentData!B193),FIND("/",TRIM([1]RawShipmentData!B193))+1,2)),VALUE(LEFT(TRIM([1]RawShipmentData!B193),FIND("/",TRIM([1]RawShipmentData!B193))-1))),DATEVALUE(TRIM([1]RawShipmentData!B193)))</f>
        <v>45398</v>
      </c>
      <c r="C193" s="2" t="str">
        <f>PROPER(TRIM([1]RawShipmentData!C193))</f>
        <v>Bengaluru</v>
      </c>
      <c r="D193" s="2" t="str">
        <f>IFERROR(INDEX([1]HubMaster!$B$2:$B$7,MATCH(C193,[1]HubMaster!$A$2:$A$7,0)),"Unknown")</f>
        <v>South</v>
      </c>
      <c r="E193" s="2" t="str">
        <f>PROPER(TRIM(SUBSTITUTE([1]RawShipmentData!D193,"  "," ")))</f>
        <v>Delhivery</v>
      </c>
      <c r="F193" s="2" t="str">
        <f>PROPER(TRIM([1]RawShipmentData!E193))</f>
        <v>Road</v>
      </c>
      <c r="G193" s="2" t="str">
        <f>PROPER(TRIM(SUBSTITUTE([1]RawShipmentData!F193,"  "," ")))</f>
        <v>Automotive Parts</v>
      </c>
      <c r="H193" s="2" t="str">
        <f>PROPER(TRIM([1]RawShipmentData!G193))</f>
        <v>North</v>
      </c>
      <c r="I193" s="2" t="str">
        <f t="shared" si="10"/>
        <v>Yes</v>
      </c>
      <c r="J193" s="2">
        <f>IFERROR(VALUE(TRIM(SUBSTITUTE(UPPER([1]RawShipmentData!I193),"KG",""))),"")</f>
        <v>24.8</v>
      </c>
      <c r="K193" s="2">
        <f>VALUE(SUBSTITUTE(SUBSTITUTE(SUBSTITUTE(TRIM([1]RawShipmentData!J193),"₹",""),"Rs",""),",",""))</f>
        <v>524</v>
      </c>
      <c r="L193" s="2">
        <f>[1]RawShipmentData!K193</f>
        <v>8</v>
      </c>
      <c r="M193" s="3">
        <f>IF(TRIM([1]RawShipmentData!L193)="","",IF(ISNUMBER(SEARCH("/",TRIM([1]RawShipmentData!L193))),DATE(VALUE(RIGHT(TRIM([1]RawShipmentData!L193),4)),VALUE(MID(TRIM([1]RawShipmentData!L193),FIND("/",TRIM([1]RawShipmentData!L193))+1,2)),VALUE(LEFT(TRIM([1]RawShipmentData!L193),FIND("/",TRIM([1]RawShipmentData!L193))-1))),DATEVALUE(TRIM([1]RawShipmentData!L193))))</f>
        <v>45406</v>
      </c>
      <c r="N193" s="2">
        <f t="shared" si="11"/>
        <v>8</v>
      </c>
      <c r="O193" s="2">
        <f t="shared" si="12"/>
        <v>0</v>
      </c>
      <c r="P193" s="2" t="str">
        <f t="shared" si="13"/>
        <v>On Time</v>
      </c>
      <c r="Q193" s="2" t="str">
        <f>PROPER(SUBSTITUTE(TRIM([1]RawShipmentData!M193)," ","-"))</f>
        <v>Delivered</v>
      </c>
      <c r="R193" s="4">
        <f t="shared" si="14"/>
        <v>21.129032258064516</v>
      </c>
      <c r="S193" s="2">
        <f>[1]RawShipmentData!N193</f>
        <v>5</v>
      </c>
      <c r="T193" s="2" t="str">
        <f>IF(OR(UPPER(TRIM([1]RawShipmentData!O193))="YES",UPPER(TRIM([1]RawShipmentData!O193))="Y"),"Yes","No")</f>
        <v>No</v>
      </c>
    </row>
    <row r="194" spans="1:20" x14ac:dyDescent="0.25">
      <c r="A194" s="2" t="str">
        <f>[1]RawShipmentData!A194</f>
        <v>SHP-100519</v>
      </c>
      <c r="B194" s="3">
        <f>IF(ISNUMBER(SEARCH("/",TRIM([1]RawShipmentData!B194))),DATE(VALUE(RIGHT(TRIM([1]RawShipmentData!B194),4)),VALUE(MID(TRIM([1]RawShipmentData!B194),FIND("/",TRIM([1]RawShipmentData!B194))+1,2)),VALUE(LEFT(TRIM([1]RawShipmentData!B194),FIND("/",TRIM([1]RawShipmentData!B194))-1))),DATEVALUE(TRIM([1]RawShipmentData!B194)))</f>
        <v>45451</v>
      </c>
      <c r="C194" s="2" t="str">
        <f>PROPER(TRIM([1]RawShipmentData!C194))</f>
        <v>Chennai</v>
      </c>
      <c r="D194" s="2" t="str">
        <f>IFERROR(INDEX([1]HubMaster!$B$2:$B$7,MATCH(C194,[1]HubMaster!$A$2:$A$7,0)),"Unknown")</f>
        <v>South</v>
      </c>
      <c r="E194" s="2" t="str">
        <f>PROPER(TRIM(SUBSTITUTE([1]RawShipmentData!D194,"  "," ")))</f>
        <v>Bluedart</v>
      </c>
      <c r="F194" s="2" t="str">
        <f>PROPER(TRIM([1]RawShipmentData!E194))</f>
        <v>Road</v>
      </c>
      <c r="G194" s="2" t="str">
        <f>PROPER(TRIM(SUBSTITUTE([1]RawShipmentData!F194,"  "," ")))</f>
        <v>Electronics</v>
      </c>
      <c r="H194" s="2" t="str">
        <f>PROPER(TRIM([1]RawShipmentData!G194))</f>
        <v>North</v>
      </c>
      <c r="I194" s="2" t="str">
        <f t="shared" ref="I194:I257" si="15">IF(D194=H194,"No","Yes")</f>
        <v>Yes</v>
      </c>
      <c r="J194" s="2">
        <f>IFERROR(VALUE(TRIM(SUBSTITUTE(UPPER([1]RawShipmentData!I194),"KG",""))),"")</f>
        <v>11.8</v>
      </c>
      <c r="K194" s="2">
        <f>VALUE(SUBSTITUTE(SUBSTITUTE(SUBSTITUTE(TRIM([1]RawShipmentData!J194),"₹",""),"Rs",""),",",""))</f>
        <v>294</v>
      </c>
      <c r="L194" s="2">
        <f>[1]RawShipmentData!K194</f>
        <v>8</v>
      </c>
      <c r="M194" s="3">
        <f>IF(TRIM([1]RawShipmentData!L194)="","",IF(ISNUMBER(SEARCH("/",TRIM([1]RawShipmentData!L194))),DATE(VALUE(RIGHT(TRIM([1]RawShipmentData!L194),4)),VALUE(MID(TRIM([1]RawShipmentData!L194),FIND("/",TRIM([1]RawShipmentData!L194))+1,2)),VALUE(LEFT(TRIM([1]RawShipmentData!L194),FIND("/",TRIM([1]RawShipmentData!L194))-1))),DATEVALUE(TRIM([1]RawShipmentData!L194))))</f>
        <v>45460</v>
      </c>
      <c r="N194" s="2">
        <f t="shared" ref="N194:N257" si="16">IF(M194="","",M194-B194)</f>
        <v>9</v>
      </c>
      <c r="O194" s="2">
        <f t="shared" ref="O194:O257" si="17">IF(N194="","",N194-L194)</f>
        <v>1</v>
      </c>
      <c r="P194" s="2" t="str">
        <f t="shared" ref="P194:P257" si="18">IF(N194="","N/A",IF(N194&lt;=L194,"On Time","Late"))</f>
        <v>Late</v>
      </c>
      <c r="Q194" s="2" t="str">
        <f>PROPER(SUBSTITUTE(TRIM([1]RawShipmentData!M194)," ","-"))</f>
        <v>Delayed</v>
      </c>
      <c r="R194" s="4">
        <f t="shared" si="14"/>
        <v>24.915254237288135</v>
      </c>
      <c r="S194" s="2">
        <f>[1]RawShipmentData!N194</f>
        <v>1</v>
      </c>
      <c r="T194" s="2" t="str">
        <f>IF(OR(UPPER(TRIM([1]RawShipmentData!O194))="YES",UPPER(TRIM([1]RawShipmentData!O194))="Y"),"Yes","No")</f>
        <v>Yes</v>
      </c>
    </row>
    <row r="195" spans="1:20" x14ac:dyDescent="0.25">
      <c r="A195" s="2" t="str">
        <f>[1]RawShipmentData!A195</f>
        <v>SHP-101515</v>
      </c>
      <c r="B195" s="3">
        <f>IF(ISNUMBER(SEARCH("/",TRIM([1]RawShipmentData!B195))),DATE(VALUE(RIGHT(TRIM([1]RawShipmentData!B195),4)),VALUE(MID(TRIM([1]RawShipmentData!B195),FIND("/",TRIM([1]RawShipmentData!B195))+1,2)),VALUE(LEFT(TRIM([1]RawShipmentData!B195),FIND("/",TRIM([1]RawShipmentData!B195))-1))),DATEVALUE(TRIM([1]RawShipmentData!B195)))</f>
        <v>45302</v>
      </c>
      <c r="C195" s="2" t="str">
        <f>PROPER(TRIM([1]RawShipmentData!C195))</f>
        <v>Chennai</v>
      </c>
      <c r="D195" s="2" t="str">
        <f>IFERROR(INDEX([1]HubMaster!$B$2:$B$7,MATCH(C195,[1]HubMaster!$A$2:$A$7,0)),"Unknown")</f>
        <v>South</v>
      </c>
      <c r="E195" s="2" t="str">
        <f>PROPER(TRIM(SUBSTITUTE([1]RawShipmentData!D195,"  "," ")))</f>
        <v>Delhivery</v>
      </c>
      <c r="F195" s="2" t="str">
        <f>PROPER(TRIM([1]RawShipmentData!E195))</f>
        <v>Road</v>
      </c>
      <c r="G195" s="2" t="str">
        <f>PROPER(TRIM(SUBSTITUTE([1]RawShipmentData!F195,"  "," ")))</f>
        <v>Pharma</v>
      </c>
      <c r="H195" s="2" t="str">
        <f>PROPER(TRIM([1]RawShipmentData!G195))</f>
        <v>East</v>
      </c>
      <c r="I195" s="2" t="str">
        <f t="shared" si="15"/>
        <v>Yes</v>
      </c>
      <c r="J195" s="2">
        <f>IFERROR(VALUE(TRIM(SUBSTITUTE(UPPER([1]RawShipmentData!I195),"KG",""))),"")</f>
        <v>2.4</v>
      </c>
      <c r="K195" s="2">
        <f>VALUE(SUBSTITUTE(SUBSTITUTE(SUBSTITUTE(TRIM([1]RawShipmentData!J195),"₹",""),"Rs",""),",",""))</f>
        <v>210</v>
      </c>
      <c r="L195" s="2">
        <f>[1]RawShipmentData!K195</f>
        <v>8</v>
      </c>
      <c r="M195" s="3">
        <f>IF(TRIM([1]RawShipmentData!L195)="","",IF(ISNUMBER(SEARCH("/",TRIM([1]RawShipmentData!L195))),DATE(VALUE(RIGHT(TRIM([1]RawShipmentData!L195),4)),VALUE(MID(TRIM([1]RawShipmentData!L195),FIND("/",TRIM([1]RawShipmentData!L195))+1,2)),VALUE(LEFT(TRIM([1]RawShipmentData!L195),FIND("/",TRIM([1]RawShipmentData!L195))-1))),DATEVALUE(TRIM([1]RawShipmentData!L195))))</f>
        <v>45314</v>
      </c>
      <c r="N195" s="2">
        <f t="shared" si="16"/>
        <v>12</v>
      </c>
      <c r="O195" s="2">
        <f t="shared" si="17"/>
        <v>4</v>
      </c>
      <c r="P195" s="2" t="str">
        <f t="shared" si="18"/>
        <v>Late</v>
      </c>
      <c r="Q195" s="2" t="str">
        <f>PROPER(SUBSTITUTE(TRIM([1]RawShipmentData!M195)," ","-"))</f>
        <v>Delayed</v>
      </c>
      <c r="R195" s="4">
        <f t="shared" ref="R195:R258" si="19">IFERROR(K195/J195,"")</f>
        <v>87.5</v>
      </c>
      <c r="S195" s="2">
        <f>[1]RawShipmentData!N195</f>
        <v>2</v>
      </c>
      <c r="T195" s="2" t="str">
        <f>IF(OR(UPPER(TRIM([1]RawShipmentData!O195))="YES",UPPER(TRIM([1]RawShipmentData!O195))="Y"),"Yes","No")</f>
        <v>Yes</v>
      </c>
    </row>
    <row r="196" spans="1:20" x14ac:dyDescent="0.25">
      <c r="A196" s="2" t="str">
        <f>[1]RawShipmentData!A196</f>
        <v>SHP-101010</v>
      </c>
      <c r="B196" s="3">
        <f>IF(ISNUMBER(SEARCH("/",TRIM([1]RawShipmentData!B196))),DATE(VALUE(RIGHT(TRIM([1]RawShipmentData!B196),4)),VALUE(MID(TRIM([1]RawShipmentData!B196),FIND("/",TRIM([1]RawShipmentData!B196))+1,2)),VALUE(LEFT(TRIM([1]RawShipmentData!B196),FIND("/",TRIM([1]RawShipmentData!B196))-1))),DATEVALUE(TRIM([1]RawShipmentData!B196)))</f>
        <v>45468</v>
      </c>
      <c r="C196" s="2" t="str">
        <f>PROPER(TRIM([1]RawShipmentData!C196))</f>
        <v>Mumbai</v>
      </c>
      <c r="D196" s="2" t="str">
        <f>IFERROR(INDEX([1]HubMaster!$B$2:$B$7,MATCH(C196,[1]HubMaster!$A$2:$A$7,0)),"Unknown")</f>
        <v>West</v>
      </c>
      <c r="E196" s="2" t="str">
        <f>PROPER(TRIM(SUBSTITUTE([1]RawShipmentData!D196,"  "," ")))</f>
        <v>Xpressbees</v>
      </c>
      <c r="F196" s="2" t="str">
        <f>PROPER(TRIM([1]RawShipmentData!E196))</f>
        <v>Air</v>
      </c>
      <c r="G196" s="2" t="str">
        <f>PROPER(TRIM(SUBSTITUTE([1]RawShipmentData!F196,"  "," ")))</f>
        <v>Pharma</v>
      </c>
      <c r="H196" s="2" t="str">
        <f>PROPER(TRIM([1]RawShipmentData!G196))</f>
        <v>South</v>
      </c>
      <c r="I196" s="2" t="str">
        <f t="shared" si="15"/>
        <v>Yes</v>
      </c>
      <c r="J196" s="2">
        <f>IFERROR(VALUE(TRIM(SUBSTITUTE(UPPER([1]RawShipmentData!I196),"KG",""))),"")</f>
        <v>4.3</v>
      </c>
      <c r="K196" s="2">
        <f>VALUE(SUBSTITUTE(SUBSTITUTE(SUBSTITUTE(TRIM([1]RawShipmentData!J196),"₹",""),"Rs",""),",",""))</f>
        <v>371</v>
      </c>
      <c r="L196" s="2">
        <f>[1]RawShipmentData!K196</f>
        <v>4</v>
      </c>
      <c r="M196" s="3">
        <f>IF(TRIM([1]RawShipmentData!L196)="","",IF(ISNUMBER(SEARCH("/",TRIM([1]RawShipmentData!L196))),DATE(VALUE(RIGHT(TRIM([1]RawShipmentData!L196),4)),VALUE(MID(TRIM([1]RawShipmentData!L196),FIND("/",TRIM([1]RawShipmentData!L196))+1,2)),VALUE(LEFT(TRIM([1]RawShipmentData!L196),FIND("/",TRIM([1]RawShipmentData!L196))-1))),DATEVALUE(TRIM([1]RawShipmentData!L196))))</f>
        <v>45472</v>
      </c>
      <c r="N196" s="2">
        <f t="shared" si="16"/>
        <v>4</v>
      </c>
      <c r="O196" s="2">
        <f t="shared" si="17"/>
        <v>0</v>
      </c>
      <c r="P196" s="2" t="str">
        <f t="shared" si="18"/>
        <v>On Time</v>
      </c>
      <c r="Q196" s="2" t="str">
        <f>PROPER(SUBSTITUTE(TRIM([1]RawShipmentData!M196)," ","-"))</f>
        <v>Delivered</v>
      </c>
      <c r="R196" s="4">
        <f t="shared" si="19"/>
        <v>86.279069767441868</v>
      </c>
      <c r="S196" s="2">
        <f>[1]RawShipmentData!N196</f>
        <v>2</v>
      </c>
      <c r="T196" s="2" t="str">
        <f>IF(OR(UPPER(TRIM([1]RawShipmentData!O196))="YES",UPPER(TRIM([1]RawShipmentData!O196))="Y"),"Yes","No")</f>
        <v>Yes</v>
      </c>
    </row>
    <row r="197" spans="1:20" x14ac:dyDescent="0.25">
      <c r="A197" s="2" t="str">
        <f>[1]RawShipmentData!A197</f>
        <v>SHP-101334</v>
      </c>
      <c r="B197" s="3">
        <f>IF(ISNUMBER(SEARCH("/",TRIM([1]RawShipmentData!B197))),DATE(VALUE(RIGHT(TRIM([1]RawShipmentData!B197),4)),VALUE(MID(TRIM([1]RawShipmentData!B197),FIND("/",TRIM([1]RawShipmentData!B197))+1,2)),VALUE(LEFT(TRIM([1]RawShipmentData!B197),FIND("/",TRIM([1]RawShipmentData!B197))-1))),DATEVALUE(TRIM([1]RawShipmentData!B197)))</f>
        <v>45469</v>
      </c>
      <c r="C197" s="2" t="str">
        <f>PROPER(TRIM([1]RawShipmentData!C197))</f>
        <v>Delhi</v>
      </c>
      <c r="D197" s="2" t="str">
        <f>IFERROR(INDEX([1]HubMaster!$B$2:$B$7,MATCH(C197,[1]HubMaster!$A$2:$A$7,0)),"Unknown")</f>
        <v>North</v>
      </c>
      <c r="E197" s="2" t="str">
        <f>PROPER(TRIM(SUBSTITUTE([1]RawShipmentData!D197,"  "," ")))</f>
        <v>Bluedart</v>
      </c>
      <c r="F197" s="2" t="str">
        <f>PROPER(TRIM([1]RawShipmentData!E197))</f>
        <v>Air</v>
      </c>
      <c r="G197" s="2" t="str">
        <f>PROPER(TRIM(SUBSTITUTE([1]RawShipmentData!F197,"  "," ")))</f>
        <v>Apparel</v>
      </c>
      <c r="H197" s="2" t="str">
        <f>PROPER(TRIM([1]RawShipmentData!G197))</f>
        <v>West</v>
      </c>
      <c r="I197" s="2" t="str">
        <f t="shared" si="15"/>
        <v>Yes</v>
      </c>
      <c r="J197" s="2">
        <f>IFERROR(VALUE(TRIM(SUBSTITUTE(UPPER([1]RawShipmentData!I197),"KG",""))),"")</f>
        <v>0.7</v>
      </c>
      <c r="K197" s="2">
        <f>VALUE(SUBSTITUTE(SUBSTITUTE(SUBSTITUTE(TRIM([1]RawShipmentData!J197),"₹",""),"Rs",""),",",""))</f>
        <v>187</v>
      </c>
      <c r="L197" s="2">
        <f>[1]RawShipmentData!K197</f>
        <v>4</v>
      </c>
      <c r="M197" s="3">
        <f>IF(TRIM([1]RawShipmentData!L197)="","",IF(ISNUMBER(SEARCH("/",TRIM([1]RawShipmentData!L197))),DATE(VALUE(RIGHT(TRIM([1]RawShipmentData!L197),4)),VALUE(MID(TRIM([1]RawShipmentData!L197),FIND("/",TRIM([1]RawShipmentData!L197))+1,2)),VALUE(LEFT(TRIM([1]RawShipmentData!L197),FIND("/",TRIM([1]RawShipmentData!L197))-1))),DATEVALUE(TRIM([1]RawShipmentData!L197))))</f>
        <v>45473</v>
      </c>
      <c r="N197" s="2">
        <f t="shared" si="16"/>
        <v>4</v>
      </c>
      <c r="O197" s="2">
        <f t="shared" si="17"/>
        <v>0</v>
      </c>
      <c r="P197" s="2" t="str">
        <f t="shared" si="18"/>
        <v>On Time</v>
      </c>
      <c r="Q197" s="2" t="str">
        <f>PROPER(SUBSTITUTE(TRIM([1]RawShipmentData!M197)," ","-"))</f>
        <v>Delivered</v>
      </c>
      <c r="R197" s="4">
        <f t="shared" si="19"/>
        <v>267.14285714285717</v>
      </c>
      <c r="S197" s="2">
        <f>[1]RawShipmentData!N197</f>
        <v>4</v>
      </c>
      <c r="T197" s="2" t="str">
        <f>IF(OR(UPPER(TRIM([1]RawShipmentData!O197))="YES",UPPER(TRIM([1]RawShipmentData!O197))="Y"),"Yes","No")</f>
        <v>Yes</v>
      </c>
    </row>
    <row r="198" spans="1:20" x14ac:dyDescent="0.25">
      <c r="A198" s="2" t="str">
        <f>[1]RawShipmentData!A198</f>
        <v>SHP-101160</v>
      </c>
      <c r="B198" s="3">
        <f>IF(ISNUMBER(SEARCH("/",TRIM([1]RawShipmentData!B198))),DATE(VALUE(RIGHT(TRIM([1]RawShipmentData!B198),4)),VALUE(MID(TRIM([1]RawShipmentData!B198),FIND("/",TRIM([1]RawShipmentData!B198))+1,2)),VALUE(LEFT(TRIM([1]RawShipmentData!B198),FIND("/",TRIM([1]RawShipmentData!B198))-1))),DATEVALUE(TRIM([1]RawShipmentData!B198)))</f>
        <v>45367</v>
      </c>
      <c r="C198" s="2" t="str">
        <f>PROPER(TRIM([1]RawShipmentData!C198))</f>
        <v>Delhi</v>
      </c>
      <c r="D198" s="2" t="str">
        <f>IFERROR(INDEX([1]HubMaster!$B$2:$B$7,MATCH(C198,[1]HubMaster!$A$2:$A$7,0)),"Unknown")</f>
        <v>North</v>
      </c>
      <c r="E198" s="2" t="str">
        <f>PROPER(TRIM(SUBSTITUTE([1]RawShipmentData!D198,"  "," ")))</f>
        <v>Dtdc</v>
      </c>
      <c r="F198" s="2" t="str">
        <f>PROPER(TRIM([1]RawShipmentData!E198))</f>
        <v>Road</v>
      </c>
      <c r="G198" s="2" t="str">
        <f>PROPER(TRIM(SUBSTITUTE([1]RawShipmentData!F198,"  "," ")))</f>
        <v>Electronics</v>
      </c>
      <c r="H198" s="2" t="str">
        <f>PROPER(TRIM([1]RawShipmentData!G198))</f>
        <v>West</v>
      </c>
      <c r="I198" s="2" t="str">
        <f t="shared" si="15"/>
        <v>Yes</v>
      </c>
      <c r="J198" s="2">
        <f>IFERROR(VALUE(TRIM(SUBSTITUTE(UPPER([1]RawShipmentData!I198),"KG",""))),"")</f>
        <v>13.3</v>
      </c>
      <c r="K198" s="2">
        <f>VALUE(SUBSTITUTE(SUBSTITUTE(SUBSTITUTE(TRIM([1]RawShipmentData!J198),"₹",""),"Rs",""),",",""))</f>
        <v>369</v>
      </c>
      <c r="L198" s="2">
        <f>[1]RawShipmentData!K198</f>
        <v>8</v>
      </c>
      <c r="M198" s="3">
        <f>IF(TRIM([1]RawShipmentData!L198)="","",IF(ISNUMBER(SEARCH("/",TRIM([1]RawShipmentData!L198))),DATE(VALUE(RIGHT(TRIM([1]RawShipmentData!L198),4)),VALUE(MID(TRIM([1]RawShipmentData!L198),FIND("/",TRIM([1]RawShipmentData!L198))+1,2)),VALUE(LEFT(TRIM([1]RawShipmentData!L198),FIND("/",TRIM([1]RawShipmentData!L198))-1))),DATEVALUE(TRIM([1]RawShipmentData!L198))))</f>
        <v>45380</v>
      </c>
      <c r="N198" s="2">
        <f t="shared" si="16"/>
        <v>13</v>
      </c>
      <c r="O198" s="2">
        <f t="shared" si="17"/>
        <v>5</v>
      </c>
      <c r="P198" s="2" t="str">
        <f t="shared" si="18"/>
        <v>Late</v>
      </c>
      <c r="Q198" s="2" t="str">
        <f>PROPER(SUBSTITUTE(TRIM([1]RawShipmentData!M198)," ","-"))</f>
        <v>Delayed</v>
      </c>
      <c r="R198" s="4">
        <f t="shared" si="19"/>
        <v>27.744360902255636</v>
      </c>
      <c r="S198" s="2">
        <f>[1]RawShipmentData!N198</f>
        <v>3</v>
      </c>
      <c r="T198" s="2" t="str">
        <f>IF(OR(UPPER(TRIM([1]RawShipmentData!O198))="YES",UPPER(TRIM([1]RawShipmentData!O198))="Y"),"Yes","No")</f>
        <v>No</v>
      </c>
    </row>
    <row r="199" spans="1:20" x14ac:dyDescent="0.25">
      <c r="A199" s="2" t="str">
        <f>[1]RawShipmentData!A199</f>
        <v>SHP-101529</v>
      </c>
      <c r="B199" s="3">
        <f>IF(ISNUMBER(SEARCH("/",TRIM([1]RawShipmentData!B199))),DATE(VALUE(RIGHT(TRIM([1]RawShipmentData!B199),4)),VALUE(MID(TRIM([1]RawShipmentData!B199),FIND("/",TRIM([1]RawShipmentData!B199))+1,2)),VALUE(LEFT(TRIM([1]RawShipmentData!B199),FIND("/",TRIM([1]RawShipmentData!B199))-1))),DATEVALUE(TRIM([1]RawShipmentData!B199)))</f>
        <v>45434</v>
      </c>
      <c r="C199" s="2" t="str">
        <f>PROPER(TRIM([1]RawShipmentData!C199))</f>
        <v>Bengaluru</v>
      </c>
      <c r="D199" s="2" t="str">
        <f>IFERROR(INDEX([1]HubMaster!$B$2:$B$7,MATCH(C199,[1]HubMaster!$A$2:$A$7,0)),"Unknown")</f>
        <v>South</v>
      </c>
      <c r="E199" s="2" t="str">
        <f>PROPER(TRIM(SUBSTITUTE([1]RawShipmentData!D199,"  "," ")))</f>
        <v>Xpressbees</v>
      </c>
      <c r="F199" s="2" t="str">
        <f>PROPER(TRIM([1]RawShipmentData!E199))</f>
        <v>Air</v>
      </c>
      <c r="G199" s="2" t="str">
        <f>PROPER(TRIM(SUBSTITUTE([1]RawShipmentData!F199,"  "," ")))</f>
        <v>Furniture</v>
      </c>
      <c r="H199" s="2" t="str">
        <f>PROPER(TRIM([1]RawShipmentData!G199))</f>
        <v>East</v>
      </c>
      <c r="I199" s="2" t="str">
        <f t="shared" si="15"/>
        <v>Yes</v>
      </c>
      <c r="J199" s="2">
        <f>IFERROR(VALUE(TRIM(SUBSTITUTE(UPPER([1]RawShipmentData!I199),"KG",""))),"")</f>
        <v>37.799999999999997</v>
      </c>
      <c r="K199" s="2">
        <f>VALUE(SUBSTITUTE(SUBSTITUTE(SUBSTITUTE(TRIM([1]RawShipmentData!J199),"₹",""),"Rs",""),",",""))</f>
        <v>1857</v>
      </c>
      <c r="L199" s="2">
        <f>[1]RawShipmentData!K199</f>
        <v>4</v>
      </c>
      <c r="M199" s="3">
        <f>IF(TRIM([1]RawShipmentData!L199)="","",IF(ISNUMBER(SEARCH("/",TRIM([1]RawShipmentData!L199))),DATE(VALUE(RIGHT(TRIM([1]RawShipmentData!L199),4)),VALUE(MID(TRIM([1]RawShipmentData!L199),FIND("/",TRIM([1]RawShipmentData!L199))+1,2)),VALUE(LEFT(TRIM([1]RawShipmentData!L199),FIND("/",TRIM([1]RawShipmentData!L199))-1))),DATEVALUE(TRIM([1]RawShipmentData!L199))))</f>
        <v>45437</v>
      </c>
      <c r="N199" s="2">
        <f t="shared" si="16"/>
        <v>3</v>
      </c>
      <c r="O199" s="2">
        <f t="shared" si="17"/>
        <v>-1</v>
      </c>
      <c r="P199" s="2" t="str">
        <f t="shared" si="18"/>
        <v>On Time</v>
      </c>
      <c r="Q199" s="2" t="str">
        <f>PROPER(SUBSTITUTE(TRIM([1]RawShipmentData!M199)," ","-"))</f>
        <v>Delivered</v>
      </c>
      <c r="R199" s="4">
        <f t="shared" si="19"/>
        <v>49.126984126984134</v>
      </c>
      <c r="S199" s="2">
        <f>[1]RawShipmentData!N199</f>
        <v>5</v>
      </c>
      <c r="T199" s="2" t="str">
        <f>IF(OR(UPPER(TRIM([1]RawShipmentData!O199))="YES",UPPER(TRIM([1]RawShipmentData!O199))="Y"),"Yes","No")</f>
        <v>Yes</v>
      </c>
    </row>
    <row r="200" spans="1:20" x14ac:dyDescent="0.25">
      <c r="A200" s="2" t="str">
        <f>[1]RawShipmentData!A200</f>
        <v>SHP-101215</v>
      </c>
      <c r="B200" s="3">
        <f>IF(ISNUMBER(SEARCH("/",TRIM([1]RawShipmentData!B200))),DATE(VALUE(RIGHT(TRIM([1]RawShipmentData!B200),4)),VALUE(MID(TRIM([1]RawShipmentData!B200),FIND("/",TRIM([1]RawShipmentData!B200))+1,2)),VALUE(LEFT(TRIM([1]RawShipmentData!B200),FIND("/",TRIM([1]RawShipmentData!B200))-1))),DATEVALUE(TRIM([1]RawShipmentData!B200)))</f>
        <v>45361</v>
      </c>
      <c r="C200" s="2" t="str">
        <f>PROPER(TRIM([1]RawShipmentData!C200))</f>
        <v>Mumbai</v>
      </c>
      <c r="D200" s="2" t="str">
        <f>IFERROR(INDEX([1]HubMaster!$B$2:$B$7,MATCH(C200,[1]HubMaster!$A$2:$A$7,0)),"Unknown")</f>
        <v>West</v>
      </c>
      <c r="E200" s="2" t="str">
        <f>PROPER(TRIM(SUBSTITUTE([1]RawShipmentData!D200,"  "," ")))</f>
        <v>Bluedart</v>
      </c>
      <c r="F200" s="2" t="str">
        <f>PROPER(TRIM([1]RawShipmentData!E200))</f>
        <v>Surface</v>
      </c>
      <c r="G200" s="2" t="str">
        <f>PROPER(TRIM(SUBSTITUTE([1]RawShipmentData!F200,"  "," ")))</f>
        <v>Grocery &amp; Fmcg</v>
      </c>
      <c r="H200" s="2" t="str">
        <f>PROPER(TRIM([1]RawShipmentData!G200))</f>
        <v>North</v>
      </c>
      <c r="I200" s="2" t="str">
        <f t="shared" si="15"/>
        <v>Yes</v>
      </c>
      <c r="J200" s="2">
        <f>IFERROR(VALUE(TRIM(SUBSTITUTE(UPPER([1]RawShipmentData!I200),"KG",""))),"")</f>
        <v>15.8</v>
      </c>
      <c r="K200" s="2">
        <f>VALUE(SUBSTITUTE(SUBSTITUTE(SUBSTITUTE(TRIM([1]RawShipmentData!J200),"₹",""),"Rs",""),",",""))</f>
        <v>557</v>
      </c>
      <c r="L200" s="2">
        <f>[1]RawShipmentData!K200</f>
        <v>6</v>
      </c>
      <c r="M200" s="3">
        <f>IF(TRIM([1]RawShipmentData!L200)="","",IF(ISNUMBER(SEARCH("/",TRIM([1]RawShipmentData!L200))),DATE(VALUE(RIGHT(TRIM([1]RawShipmentData!L200),4)),VALUE(MID(TRIM([1]RawShipmentData!L200),FIND("/",TRIM([1]RawShipmentData!L200))+1,2)),VALUE(LEFT(TRIM([1]RawShipmentData!L200),FIND("/",TRIM([1]RawShipmentData!L200))-1))),DATEVALUE(TRIM([1]RawShipmentData!L200))))</f>
        <v>45366</v>
      </c>
      <c r="N200" s="2">
        <f t="shared" si="16"/>
        <v>5</v>
      </c>
      <c r="O200" s="2">
        <f t="shared" si="17"/>
        <v>-1</v>
      </c>
      <c r="P200" s="2" t="str">
        <f t="shared" si="18"/>
        <v>On Time</v>
      </c>
      <c r="Q200" s="2" t="str">
        <f>PROPER(SUBSTITUTE(TRIM([1]RawShipmentData!M200)," ","-"))</f>
        <v>Delivered</v>
      </c>
      <c r="R200" s="4">
        <f t="shared" si="19"/>
        <v>35.253164556962027</v>
      </c>
      <c r="S200" s="2">
        <f>[1]RawShipmentData!N200</f>
        <v>5</v>
      </c>
      <c r="T200" s="2" t="str">
        <f>IF(OR(UPPER(TRIM([1]RawShipmentData!O200))="YES",UPPER(TRIM([1]RawShipmentData!O200))="Y"),"Yes","No")</f>
        <v>Yes</v>
      </c>
    </row>
    <row r="201" spans="1:20" x14ac:dyDescent="0.25">
      <c r="A201" s="2" t="str">
        <f>[1]RawShipmentData!A201</f>
        <v>SHP-101112</v>
      </c>
      <c r="B201" s="3">
        <f>IF(ISNUMBER(SEARCH("/",TRIM([1]RawShipmentData!B201))),DATE(VALUE(RIGHT(TRIM([1]RawShipmentData!B201),4)),VALUE(MID(TRIM([1]RawShipmentData!B201),FIND("/",TRIM([1]RawShipmentData!B201))+1,2)),VALUE(LEFT(TRIM([1]RawShipmentData!B201),FIND("/",TRIM([1]RawShipmentData!B201))-1))),DATEVALUE(TRIM([1]RawShipmentData!B201)))</f>
        <v>45330</v>
      </c>
      <c r="C201" s="2" t="str">
        <f>PROPER(TRIM([1]RawShipmentData!C201))</f>
        <v>Kolkata</v>
      </c>
      <c r="D201" s="2" t="str">
        <f>IFERROR(INDEX([1]HubMaster!$B$2:$B$7,MATCH(C201,[1]HubMaster!$A$2:$A$7,0)),"Unknown")</f>
        <v>East</v>
      </c>
      <c r="E201" s="2" t="str">
        <f>PROPER(TRIM(SUBSTITUTE([1]RawShipmentData!D201,"  "," ")))</f>
        <v>Delhivery</v>
      </c>
      <c r="F201" s="2" t="str">
        <f>PROPER(TRIM([1]RawShipmentData!E201))</f>
        <v>Air</v>
      </c>
      <c r="G201" s="2" t="str">
        <f>PROPER(TRIM(SUBSTITUTE([1]RawShipmentData!F201,"  "," ")))</f>
        <v>Automotive Parts</v>
      </c>
      <c r="H201" s="2" t="str">
        <f>PROPER(TRIM([1]RawShipmentData!G201))</f>
        <v>South</v>
      </c>
      <c r="I201" s="2" t="str">
        <f t="shared" si="15"/>
        <v>Yes</v>
      </c>
      <c r="J201" s="2">
        <f>IFERROR(VALUE(TRIM(SUBSTITUTE(UPPER([1]RawShipmentData!I201),"KG",""))),"")</f>
        <v>17.399999999999999</v>
      </c>
      <c r="K201" s="2">
        <f>VALUE(SUBSTITUTE(SUBSTITUTE(SUBSTITUTE(TRIM([1]RawShipmentData!J201),"₹",""),"Rs",""),",",""))</f>
        <v>939</v>
      </c>
      <c r="L201" s="2">
        <f>[1]RawShipmentData!K201</f>
        <v>4</v>
      </c>
      <c r="M201" s="3">
        <f>IF(TRIM([1]RawShipmentData!L201)="","",IF(ISNUMBER(SEARCH("/",TRIM([1]RawShipmentData!L201))),DATE(VALUE(RIGHT(TRIM([1]RawShipmentData!L201),4)),VALUE(MID(TRIM([1]RawShipmentData!L201),FIND("/",TRIM([1]RawShipmentData!L201))+1,2)),VALUE(LEFT(TRIM([1]RawShipmentData!L201),FIND("/",TRIM([1]RawShipmentData!L201))-1))),DATEVALUE(TRIM([1]RawShipmentData!L201))))</f>
        <v>45335</v>
      </c>
      <c r="N201" s="2">
        <f t="shared" si="16"/>
        <v>5</v>
      </c>
      <c r="O201" s="2">
        <f t="shared" si="17"/>
        <v>1</v>
      </c>
      <c r="P201" s="2" t="str">
        <f t="shared" si="18"/>
        <v>Late</v>
      </c>
      <c r="Q201" s="2" t="str">
        <f>PROPER(SUBSTITUTE(TRIM([1]RawShipmentData!M201)," ","-"))</f>
        <v>Delayed</v>
      </c>
      <c r="R201" s="4">
        <f t="shared" si="19"/>
        <v>53.965517241379317</v>
      </c>
      <c r="S201" s="2">
        <f>[1]RawShipmentData!N201</f>
        <v>3</v>
      </c>
      <c r="T201" s="2" t="str">
        <f>IF(OR(UPPER(TRIM([1]RawShipmentData!O201))="YES",UPPER(TRIM([1]RawShipmentData!O201))="Y"),"Yes","No")</f>
        <v>Yes</v>
      </c>
    </row>
    <row r="202" spans="1:20" x14ac:dyDescent="0.25">
      <c r="A202" s="2" t="str">
        <f>[1]RawShipmentData!A202</f>
        <v>SHP-101472</v>
      </c>
      <c r="B202" s="3">
        <f>IF(ISNUMBER(SEARCH("/",TRIM([1]RawShipmentData!B202))),DATE(VALUE(RIGHT(TRIM([1]RawShipmentData!B202),4)),VALUE(MID(TRIM([1]RawShipmentData!B202),FIND("/",TRIM([1]RawShipmentData!B202))+1,2)),VALUE(LEFT(TRIM([1]RawShipmentData!B202),FIND("/",TRIM([1]RawShipmentData!B202))-1))),DATEVALUE(TRIM([1]RawShipmentData!B202)))</f>
        <v>45465</v>
      </c>
      <c r="C202" s="2" t="str">
        <f>PROPER(TRIM([1]RawShipmentData!C202))</f>
        <v>Mumbai</v>
      </c>
      <c r="D202" s="2" t="str">
        <f>IFERROR(INDEX([1]HubMaster!$B$2:$B$7,MATCH(C202,[1]HubMaster!$A$2:$A$7,0)),"Unknown")</f>
        <v>West</v>
      </c>
      <c r="E202" s="2" t="str">
        <f>PROPER(TRIM(SUBSTITUTE([1]RawShipmentData!D202,"  "," ")))</f>
        <v>Xpressbees</v>
      </c>
      <c r="F202" s="2" t="str">
        <f>PROPER(TRIM([1]RawShipmentData!E202))</f>
        <v>Road</v>
      </c>
      <c r="G202" s="2" t="str">
        <f>PROPER(TRIM(SUBSTITUTE([1]RawShipmentData!F202,"  "," ")))</f>
        <v>Automotive Parts</v>
      </c>
      <c r="H202" s="2" t="str">
        <f>PROPER(TRIM([1]RawShipmentData!G202))</f>
        <v>North</v>
      </c>
      <c r="I202" s="2" t="str">
        <f t="shared" si="15"/>
        <v>Yes</v>
      </c>
      <c r="J202" s="2">
        <f>IFERROR(VALUE(TRIM(SUBSTITUTE(UPPER([1]RawShipmentData!I202),"KG",""))),"")</f>
        <v>20.7</v>
      </c>
      <c r="K202" s="2">
        <f>VALUE(SUBSTITUTE(SUBSTITUTE(SUBSTITUTE(TRIM([1]RawShipmentData!J202),"₹",""),"Rs",""),",",""))</f>
        <v>469</v>
      </c>
      <c r="L202" s="2">
        <f>[1]RawShipmentData!K202</f>
        <v>8</v>
      </c>
      <c r="M202" s="3">
        <f>IF(TRIM([1]RawShipmentData!L202)="","",IF(ISNUMBER(SEARCH("/",TRIM([1]RawShipmentData!L202))),DATE(VALUE(RIGHT(TRIM([1]RawShipmentData!L202),4)),VALUE(MID(TRIM([1]RawShipmentData!L202),FIND("/",TRIM([1]RawShipmentData!L202))+1,2)),VALUE(LEFT(TRIM([1]RawShipmentData!L202),FIND("/",TRIM([1]RawShipmentData!L202))-1))),DATEVALUE(TRIM([1]RawShipmentData!L202))))</f>
        <v>45476</v>
      </c>
      <c r="N202" s="2">
        <f t="shared" si="16"/>
        <v>11</v>
      </c>
      <c r="O202" s="2">
        <f t="shared" si="17"/>
        <v>3</v>
      </c>
      <c r="P202" s="2" t="str">
        <f t="shared" si="18"/>
        <v>Late</v>
      </c>
      <c r="Q202" s="2" t="str">
        <f>PROPER(SUBSTITUTE(TRIM([1]RawShipmentData!M202)," ","-"))</f>
        <v>Delayed</v>
      </c>
      <c r="R202" s="4">
        <f t="shared" si="19"/>
        <v>22.657004830917874</v>
      </c>
      <c r="S202" s="2">
        <f>[1]RawShipmentData!N202</f>
        <v>2</v>
      </c>
      <c r="T202" s="2" t="str">
        <f>IF(OR(UPPER(TRIM([1]RawShipmentData!O202))="YES",UPPER(TRIM([1]RawShipmentData!O202))="Y"),"Yes","No")</f>
        <v>No</v>
      </c>
    </row>
    <row r="203" spans="1:20" x14ac:dyDescent="0.25">
      <c r="A203" s="2" t="str">
        <f>[1]RawShipmentData!A203</f>
        <v>SHP-100076</v>
      </c>
      <c r="B203" s="3">
        <f>IF(ISNUMBER(SEARCH("/",TRIM([1]RawShipmentData!B203))),DATE(VALUE(RIGHT(TRIM([1]RawShipmentData!B203),4)),VALUE(MID(TRIM([1]RawShipmentData!B203),FIND("/",TRIM([1]RawShipmentData!B203))+1,2)),VALUE(LEFT(TRIM([1]RawShipmentData!B203),FIND("/",TRIM([1]RawShipmentData!B203))-1))),DATEVALUE(TRIM([1]RawShipmentData!B203)))</f>
        <v>45328</v>
      </c>
      <c r="C203" s="2" t="str">
        <f>PROPER(TRIM([1]RawShipmentData!C203))</f>
        <v>Hyderabad</v>
      </c>
      <c r="D203" s="2" t="str">
        <f>IFERROR(INDEX([1]HubMaster!$B$2:$B$7,MATCH(C203,[1]HubMaster!$A$2:$A$7,0)),"Unknown")</f>
        <v>West</v>
      </c>
      <c r="E203" s="2" t="str">
        <f>PROPER(TRIM(SUBSTITUTE([1]RawShipmentData!D203,"  "," ")))</f>
        <v>Delhivery</v>
      </c>
      <c r="F203" s="2" t="str">
        <f>PROPER(TRIM([1]RawShipmentData!E203))</f>
        <v>Surface</v>
      </c>
      <c r="G203" s="2" t="str">
        <f>PROPER(TRIM(SUBSTITUTE([1]RawShipmentData!F203,"  "," ")))</f>
        <v>Grocery &amp; Fmcg</v>
      </c>
      <c r="H203" s="2" t="str">
        <f>PROPER(TRIM([1]RawShipmentData!G203))</f>
        <v>South</v>
      </c>
      <c r="I203" s="2" t="str">
        <f t="shared" si="15"/>
        <v>Yes</v>
      </c>
      <c r="J203" s="2">
        <f>IFERROR(VALUE(TRIM(SUBSTITUTE(UPPER([1]RawShipmentData!I203),"KG",""))),"")</f>
        <v>7.8</v>
      </c>
      <c r="K203" s="2">
        <f>VALUE(SUBSTITUTE(SUBSTITUTE(SUBSTITUTE(TRIM([1]RawShipmentData!J203),"₹",""),"Rs",""),",",""))</f>
        <v>336</v>
      </c>
      <c r="L203" s="2">
        <f>[1]RawShipmentData!K203</f>
        <v>6</v>
      </c>
      <c r="M203" s="3">
        <f>IF(TRIM([1]RawShipmentData!L203)="","",IF(ISNUMBER(SEARCH("/",TRIM([1]RawShipmentData!L203))),DATE(VALUE(RIGHT(TRIM([1]RawShipmentData!L203),4)),VALUE(MID(TRIM([1]RawShipmentData!L203),FIND("/",TRIM([1]RawShipmentData!L203))+1,2)),VALUE(LEFT(TRIM([1]RawShipmentData!L203),FIND("/",TRIM([1]RawShipmentData!L203))-1))),DATEVALUE(TRIM([1]RawShipmentData!L203))))</f>
        <v>45333</v>
      </c>
      <c r="N203" s="2">
        <f t="shared" si="16"/>
        <v>5</v>
      </c>
      <c r="O203" s="2">
        <f t="shared" si="17"/>
        <v>-1</v>
      </c>
      <c r="P203" s="2" t="str">
        <f t="shared" si="18"/>
        <v>On Time</v>
      </c>
      <c r="Q203" s="2" t="str">
        <f>PROPER(SUBSTITUTE(TRIM([1]RawShipmentData!M203)," ","-"))</f>
        <v>Delivered</v>
      </c>
      <c r="R203" s="4">
        <f t="shared" si="19"/>
        <v>43.07692307692308</v>
      </c>
      <c r="S203" s="2">
        <f>[1]RawShipmentData!N203</f>
        <v>3</v>
      </c>
      <c r="T203" s="2" t="str">
        <f>IF(OR(UPPER(TRIM([1]RawShipmentData!O203))="YES",UPPER(TRIM([1]RawShipmentData!O203))="Y"),"Yes","No")</f>
        <v>Yes</v>
      </c>
    </row>
    <row r="204" spans="1:20" x14ac:dyDescent="0.25">
      <c r="A204" s="2" t="str">
        <f>[1]RawShipmentData!A204</f>
        <v>SHP-100721</v>
      </c>
      <c r="B204" s="3">
        <f>IF(ISNUMBER(SEARCH("/",TRIM([1]RawShipmentData!B204))),DATE(VALUE(RIGHT(TRIM([1]RawShipmentData!B204),4)),VALUE(MID(TRIM([1]RawShipmentData!B204),FIND("/",TRIM([1]RawShipmentData!B204))+1,2)),VALUE(LEFT(TRIM([1]RawShipmentData!B204),FIND("/",TRIM([1]RawShipmentData!B204))-1))),DATEVALUE(TRIM([1]RawShipmentData!B204)))</f>
        <v>45463</v>
      </c>
      <c r="C204" s="2" t="str">
        <f>PROPER(TRIM([1]RawShipmentData!C204))</f>
        <v>Bengaluru</v>
      </c>
      <c r="D204" s="2" t="str">
        <f>IFERROR(INDEX([1]HubMaster!$B$2:$B$7,MATCH(C204,[1]HubMaster!$A$2:$A$7,0)),"Unknown")</f>
        <v>South</v>
      </c>
      <c r="E204" s="2" t="str">
        <f>PROPER(TRIM(SUBSTITUTE([1]RawShipmentData!D204,"  "," ")))</f>
        <v>Xpressbees</v>
      </c>
      <c r="F204" s="2" t="str">
        <f>PROPER(TRIM([1]RawShipmentData!E204))</f>
        <v>Air</v>
      </c>
      <c r="G204" s="2" t="str">
        <f>PROPER(TRIM(SUBSTITUTE([1]RawShipmentData!F204,"  "," ")))</f>
        <v>Grocery &amp; Fmcg</v>
      </c>
      <c r="H204" s="2" t="str">
        <f>PROPER(TRIM([1]RawShipmentData!G204))</f>
        <v>East</v>
      </c>
      <c r="I204" s="2" t="str">
        <f t="shared" si="15"/>
        <v>Yes</v>
      </c>
      <c r="J204" s="2">
        <f>IFERROR(VALUE(TRIM(SUBSTITUTE(UPPER([1]RawShipmentData!I204),"KG",""))),"")</f>
        <v>14.2</v>
      </c>
      <c r="K204" s="2">
        <f>VALUE(SUBSTITUTE(SUBSTITUTE(SUBSTITUTE(TRIM([1]RawShipmentData!J204),"₹",""),"Rs",""),",",""))</f>
        <v>840</v>
      </c>
      <c r="L204" s="2">
        <f>[1]RawShipmentData!K204</f>
        <v>4</v>
      </c>
      <c r="M204" s="3">
        <f>IF(TRIM([1]RawShipmentData!L204)="","",IF(ISNUMBER(SEARCH("/",TRIM([1]RawShipmentData!L204))),DATE(VALUE(RIGHT(TRIM([1]RawShipmentData!L204),4)),VALUE(MID(TRIM([1]RawShipmentData!L204),FIND("/",TRIM([1]RawShipmentData!L204))+1,2)),VALUE(LEFT(TRIM([1]RawShipmentData!L204),FIND("/",TRIM([1]RawShipmentData!L204))-1))),DATEVALUE(TRIM([1]RawShipmentData!L204))))</f>
        <v>45468</v>
      </c>
      <c r="N204" s="2">
        <f t="shared" si="16"/>
        <v>5</v>
      </c>
      <c r="O204" s="2">
        <f t="shared" si="17"/>
        <v>1</v>
      </c>
      <c r="P204" s="2" t="str">
        <f t="shared" si="18"/>
        <v>Late</v>
      </c>
      <c r="Q204" s="2" t="str">
        <f>PROPER(SUBSTITUTE(TRIM([1]RawShipmentData!M204)," ","-"))</f>
        <v>Delayed</v>
      </c>
      <c r="R204" s="4">
        <f t="shared" si="19"/>
        <v>59.154929577464792</v>
      </c>
      <c r="S204" s="2">
        <f>[1]RawShipmentData!N204</f>
        <v>2</v>
      </c>
      <c r="T204" s="2" t="str">
        <f>IF(OR(UPPER(TRIM([1]RawShipmentData!O204))="YES",UPPER(TRIM([1]RawShipmentData!O204))="Y"),"Yes","No")</f>
        <v>Yes</v>
      </c>
    </row>
    <row r="205" spans="1:20" x14ac:dyDescent="0.25">
      <c r="A205" s="2" t="str">
        <f>[1]RawShipmentData!A205</f>
        <v>SHP-100778</v>
      </c>
      <c r="B205" s="3">
        <f>IF(ISNUMBER(SEARCH("/",TRIM([1]RawShipmentData!B205))),DATE(VALUE(RIGHT(TRIM([1]RawShipmentData!B205),4)),VALUE(MID(TRIM([1]RawShipmentData!B205),FIND("/",TRIM([1]RawShipmentData!B205))+1,2)),VALUE(LEFT(TRIM([1]RawShipmentData!B205),FIND("/",TRIM([1]RawShipmentData!B205))-1))),DATEVALUE(TRIM([1]RawShipmentData!B205)))</f>
        <v>45454</v>
      </c>
      <c r="C205" s="2" t="str">
        <f>PROPER(TRIM([1]RawShipmentData!C205))</f>
        <v>Mumbai</v>
      </c>
      <c r="D205" s="2" t="str">
        <f>IFERROR(INDEX([1]HubMaster!$B$2:$B$7,MATCH(C205,[1]HubMaster!$A$2:$A$7,0)),"Unknown")</f>
        <v>West</v>
      </c>
      <c r="E205" s="2" t="str">
        <f>PROPER(TRIM(SUBSTITUTE([1]RawShipmentData!D205,"  "," ")))</f>
        <v>Ecom Express</v>
      </c>
      <c r="F205" s="2" t="str">
        <f>PROPER(TRIM([1]RawShipmentData!E205))</f>
        <v>Air</v>
      </c>
      <c r="G205" s="2" t="str">
        <f>PROPER(TRIM(SUBSTITUTE([1]RawShipmentData!F205,"  "," ")))</f>
        <v>Automotive Parts</v>
      </c>
      <c r="H205" s="2" t="str">
        <f>PROPER(TRIM([1]RawShipmentData!G205))</f>
        <v>North</v>
      </c>
      <c r="I205" s="2" t="str">
        <f t="shared" si="15"/>
        <v>Yes</v>
      </c>
      <c r="J205" s="2">
        <f>IFERROR(VALUE(TRIM(SUBSTITUTE(UPPER([1]RawShipmentData!I205),"KG",""))),"")</f>
        <v>26.7</v>
      </c>
      <c r="K205" s="2">
        <f>VALUE(SUBSTITUTE(SUBSTITUTE(SUBSTITUTE(TRIM([1]RawShipmentData!J205),"₹",""),"Rs",""),",",""))</f>
        <v>1369</v>
      </c>
      <c r="L205" s="2">
        <f>[1]RawShipmentData!K205</f>
        <v>4</v>
      </c>
      <c r="M205" s="3">
        <f>IF(TRIM([1]RawShipmentData!L205)="","",IF(ISNUMBER(SEARCH("/",TRIM([1]RawShipmentData!L205))),DATE(VALUE(RIGHT(TRIM([1]RawShipmentData!L205),4)),VALUE(MID(TRIM([1]RawShipmentData!L205),FIND("/",TRIM([1]RawShipmentData!L205))+1,2)),VALUE(LEFT(TRIM([1]RawShipmentData!L205),FIND("/",TRIM([1]RawShipmentData!L205))-1))),DATEVALUE(TRIM([1]RawShipmentData!L205))))</f>
        <v>45460</v>
      </c>
      <c r="N205" s="2">
        <f t="shared" si="16"/>
        <v>6</v>
      </c>
      <c r="O205" s="2">
        <f t="shared" si="17"/>
        <v>2</v>
      </c>
      <c r="P205" s="2" t="str">
        <f t="shared" si="18"/>
        <v>Late</v>
      </c>
      <c r="Q205" s="2" t="str">
        <f>PROPER(SUBSTITUTE(TRIM([1]RawShipmentData!M205)," ","-"))</f>
        <v>Delayed</v>
      </c>
      <c r="R205" s="4">
        <f t="shared" si="19"/>
        <v>51.273408239700373</v>
      </c>
      <c r="S205" s="2">
        <f>[1]RawShipmentData!N205</f>
        <v>1</v>
      </c>
      <c r="T205" s="2" t="str">
        <f>IF(OR(UPPER(TRIM([1]RawShipmentData!O205))="YES",UPPER(TRIM([1]RawShipmentData!O205))="Y"),"Yes","No")</f>
        <v>Yes</v>
      </c>
    </row>
    <row r="206" spans="1:20" x14ac:dyDescent="0.25">
      <c r="A206" s="2" t="str">
        <f>[1]RawShipmentData!A206</f>
        <v>SHP-101046</v>
      </c>
      <c r="B206" s="3">
        <f>IF(ISNUMBER(SEARCH("/",TRIM([1]RawShipmentData!B206))),DATE(VALUE(RIGHT(TRIM([1]RawShipmentData!B206),4)),VALUE(MID(TRIM([1]RawShipmentData!B206),FIND("/",TRIM([1]RawShipmentData!B206))+1,2)),VALUE(LEFT(TRIM([1]RawShipmentData!B206),FIND("/",TRIM([1]RawShipmentData!B206))-1))),DATEVALUE(TRIM([1]RawShipmentData!B206)))</f>
        <v>45377</v>
      </c>
      <c r="C206" s="2" t="str">
        <f>PROPER(TRIM([1]RawShipmentData!C206))</f>
        <v>Chennai</v>
      </c>
      <c r="D206" s="2" t="str">
        <f>IFERROR(INDEX([1]HubMaster!$B$2:$B$7,MATCH(C206,[1]HubMaster!$A$2:$A$7,0)),"Unknown")</f>
        <v>South</v>
      </c>
      <c r="E206" s="2" t="str">
        <f>PROPER(TRIM(SUBSTITUTE([1]RawShipmentData!D206,"  "," ")))</f>
        <v>Bluedart</v>
      </c>
      <c r="F206" s="2" t="str">
        <f>PROPER(TRIM([1]RawShipmentData!E206))</f>
        <v>Air</v>
      </c>
      <c r="G206" s="2" t="str">
        <f>PROPER(TRIM(SUBSTITUTE([1]RawShipmentData!F206,"  "," ")))</f>
        <v>Grocery &amp; Fmcg</v>
      </c>
      <c r="H206" s="2" t="str">
        <f>PROPER(TRIM([1]RawShipmentData!G206))</f>
        <v>East</v>
      </c>
      <c r="I206" s="2" t="str">
        <f t="shared" si="15"/>
        <v>Yes</v>
      </c>
      <c r="J206" s="2">
        <f>IFERROR(VALUE(TRIM(SUBSTITUTE(UPPER([1]RawShipmentData!I206),"KG",""))),"")</f>
        <v>14.7</v>
      </c>
      <c r="K206" s="2">
        <f>VALUE(SUBSTITUTE(SUBSTITUTE(SUBSTITUTE(TRIM([1]RawShipmentData!J206),"₹",""),"Rs",""),",",""))</f>
        <v>782</v>
      </c>
      <c r="L206" s="2">
        <f>[1]RawShipmentData!K206</f>
        <v>4</v>
      </c>
      <c r="M206" s="3">
        <f>IF(TRIM([1]RawShipmentData!L206)="","",IF(ISNUMBER(SEARCH("/",TRIM([1]RawShipmentData!L206))),DATE(VALUE(RIGHT(TRIM([1]RawShipmentData!L206),4)),VALUE(MID(TRIM([1]RawShipmentData!L206),FIND("/",TRIM([1]RawShipmentData!L206))+1,2)),VALUE(LEFT(TRIM([1]RawShipmentData!L206),FIND("/",TRIM([1]RawShipmentData!L206))-1))),DATEVALUE(TRIM([1]RawShipmentData!L206))))</f>
        <v>45382</v>
      </c>
      <c r="N206" s="2">
        <f t="shared" si="16"/>
        <v>5</v>
      </c>
      <c r="O206" s="2">
        <f t="shared" si="17"/>
        <v>1</v>
      </c>
      <c r="P206" s="2" t="str">
        <f t="shared" si="18"/>
        <v>Late</v>
      </c>
      <c r="Q206" s="2" t="str">
        <f>PROPER(SUBSTITUTE(TRIM([1]RawShipmentData!M206)," ","-"))</f>
        <v>Delayed</v>
      </c>
      <c r="R206" s="4">
        <f t="shared" si="19"/>
        <v>53.197278911564631</v>
      </c>
      <c r="S206" s="2">
        <f>[1]RawShipmentData!N206</f>
        <v>1</v>
      </c>
      <c r="T206" s="2" t="str">
        <f>IF(OR(UPPER(TRIM([1]RawShipmentData!O206))="YES",UPPER(TRIM([1]RawShipmentData!O206))="Y"),"Yes","No")</f>
        <v>No</v>
      </c>
    </row>
    <row r="207" spans="1:20" x14ac:dyDescent="0.25">
      <c r="A207" s="2" t="str">
        <f>[1]RawShipmentData!A207</f>
        <v>SHP-100176</v>
      </c>
      <c r="B207" s="3">
        <f>IF(ISNUMBER(SEARCH("/",TRIM([1]RawShipmentData!B207))),DATE(VALUE(RIGHT(TRIM([1]RawShipmentData!B207),4)),VALUE(MID(TRIM([1]RawShipmentData!B207),FIND("/",TRIM([1]RawShipmentData!B207))+1,2)),VALUE(LEFT(TRIM([1]RawShipmentData!B207),FIND("/",TRIM([1]RawShipmentData!B207))-1))),DATEVALUE(TRIM([1]RawShipmentData!B207)))</f>
        <v>45409</v>
      </c>
      <c r="C207" s="2" t="str">
        <f>PROPER(TRIM([1]RawShipmentData!C207))</f>
        <v>Hyderabad</v>
      </c>
      <c r="D207" s="2" t="str">
        <f>IFERROR(INDEX([1]HubMaster!$B$2:$B$7,MATCH(C207,[1]HubMaster!$A$2:$A$7,0)),"Unknown")</f>
        <v>West</v>
      </c>
      <c r="E207" s="2" t="str">
        <f>PROPER(TRIM(SUBSTITUTE([1]RawShipmentData!D207,"  "," ")))</f>
        <v>Delhivery</v>
      </c>
      <c r="F207" s="2" t="str">
        <f>PROPER(TRIM([1]RawShipmentData!E207))</f>
        <v>Air</v>
      </c>
      <c r="G207" s="2" t="str">
        <f>PROPER(TRIM(SUBSTITUTE([1]RawShipmentData!F207,"  "," ")))</f>
        <v>Electronics</v>
      </c>
      <c r="H207" s="2" t="str">
        <f>PROPER(TRIM([1]RawShipmentData!G207))</f>
        <v>West</v>
      </c>
      <c r="I207" s="2" t="str">
        <f t="shared" si="15"/>
        <v>No</v>
      </c>
      <c r="J207" s="2">
        <f>IFERROR(VALUE(TRIM(SUBSTITUTE(UPPER([1]RawShipmentData!I207),"KG",""))),"")</f>
        <v>14.7</v>
      </c>
      <c r="K207" s="2">
        <f>VALUE(SUBSTITUTE(SUBSTITUTE(SUBSTITUTE(TRIM([1]RawShipmentData!J207),"₹",""),"Rs",""),",",""))</f>
        <v>715</v>
      </c>
      <c r="L207" s="2">
        <f>[1]RawShipmentData!K207</f>
        <v>2</v>
      </c>
      <c r="M207" s="3">
        <f>IF(TRIM([1]RawShipmentData!L207)="","",IF(ISNUMBER(SEARCH("/",TRIM([1]RawShipmentData!L207))),DATE(VALUE(RIGHT(TRIM([1]RawShipmentData!L207),4)),VALUE(MID(TRIM([1]RawShipmentData!L207),FIND("/",TRIM([1]RawShipmentData!L207))+1,2)),VALUE(LEFT(TRIM([1]RawShipmentData!L207),FIND("/",TRIM([1]RawShipmentData!L207))-1))),DATEVALUE(TRIM([1]RawShipmentData!L207))))</f>
        <v>45410</v>
      </c>
      <c r="N207" s="2">
        <f t="shared" si="16"/>
        <v>1</v>
      </c>
      <c r="O207" s="2">
        <f t="shared" si="17"/>
        <v>-1</v>
      </c>
      <c r="P207" s="2" t="str">
        <f t="shared" si="18"/>
        <v>On Time</v>
      </c>
      <c r="Q207" s="2" t="str">
        <f>PROPER(SUBSTITUTE(TRIM([1]RawShipmentData!M207)," ","-"))</f>
        <v>Delivered</v>
      </c>
      <c r="R207" s="4">
        <f t="shared" si="19"/>
        <v>48.639455782312929</v>
      </c>
      <c r="S207" s="2">
        <f>[1]RawShipmentData!N207</f>
        <v>5</v>
      </c>
      <c r="T207" s="2" t="str">
        <f>IF(OR(UPPER(TRIM([1]RawShipmentData!O207))="YES",UPPER(TRIM([1]RawShipmentData!O207))="Y"),"Yes","No")</f>
        <v>Yes</v>
      </c>
    </row>
    <row r="208" spans="1:20" x14ac:dyDescent="0.25">
      <c r="A208" s="2" t="str">
        <f>[1]RawShipmentData!A208</f>
        <v>SHP-100225</v>
      </c>
      <c r="B208" s="3">
        <f>IF(ISNUMBER(SEARCH("/",TRIM([1]RawShipmentData!B208))),DATE(VALUE(RIGHT(TRIM([1]RawShipmentData!B208),4)),VALUE(MID(TRIM([1]RawShipmentData!B208),FIND("/",TRIM([1]RawShipmentData!B208))+1,2)),VALUE(LEFT(TRIM([1]RawShipmentData!B208),FIND("/",TRIM([1]RawShipmentData!B208))-1))),DATEVALUE(TRIM([1]RawShipmentData!B208)))</f>
        <v>45446</v>
      </c>
      <c r="C208" s="2" t="str">
        <f>PROPER(TRIM([1]RawShipmentData!C208))</f>
        <v>Hyderabad</v>
      </c>
      <c r="D208" s="2" t="str">
        <f>IFERROR(INDEX([1]HubMaster!$B$2:$B$7,MATCH(C208,[1]HubMaster!$A$2:$A$7,0)),"Unknown")</f>
        <v>West</v>
      </c>
      <c r="E208" s="2" t="str">
        <f>PROPER(TRIM(SUBSTITUTE([1]RawShipmentData!D208,"  "," ")))</f>
        <v>Ecom Express</v>
      </c>
      <c r="F208" s="2" t="str">
        <f>PROPER(TRIM([1]RawShipmentData!E208))</f>
        <v>Road</v>
      </c>
      <c r="G208" s="2" t="str">
        <f>PROPER(TRIM(SUBSTITUTE([1]RawShipmentData!F208,"  "," ")))</f>
        <v>Grocery &amp; Fmcg</v>
      </c>
      <c r="H208" s="2" t="str">
        <f>PROPER(TRIM([1]RawShipmentData!G208))</f>
        <v>North</v>
      </c>
      <c r="I208" s="2" t="str">
        <f t="shared" si="15"/>
        <v>Yes</v>
      </c>
      <c r="J208" s="2">
        <f>IFERROR(VALUE(TRIM(SUBSTITUTE(UPPER([1]RawShipmentData!I208),"KG",""))),"")</f>
        <v>3.8</v>
      </c>
      <c r="K208" s="2">
        <f>VALUE(SUBSTITUTE(SUBSTITUTE(SUBSTITUTE(TRIM([1]RawShipmentData!J208),"₹",""),"Rs",""),",",""))</f>
        <v>200</v>
      </c>
      <c r="L208" s="2">
        <f>[1]RawShipmentData!K208</f>
        <v>8</v>
      </c>
      <c r="M208" s="3">
        <f>IF(TRIM([1]RawShipmentData!L208)="","",IF(ISNUMBER(SEARCH("/",TRIM([1]RawShipmentData!L208))),DATE(VALUE(RIGHT(TRIM([1]RawShipmentData!L208),4)),VALUE(MID(TRIM([1]RawShipmentData!L208),FIND("/",TRIM([1]RawShipmentData!L208))+1,2)),VALUE(LEFT(TRIM([1]RawShipmentData!L208),FIND("/",TRIM([1]RawShipmentData!L208))-1))),DATEVALUE(TRIM([1]RawShipmentData!L208))))</f>
        <v>45455</v>
      </c>
      <c r="N208" s="2">
        <f t="shared" si="16"/>
        <v>9</v>
      </c>
      <c r="O208" s="2">
        <f t="shared" si="17"/>
        <v>1</v>
      </c>
      <c r="P208" s="2" t="str">
        <f t="shared" si="18"/>
        <v>Late</v>
      </c>
      <c r="Q208" s="2" t="str">
        <f>PROPER(SUBSTITUTE(TRIM([1]RawShipmentData!M208)," ","-"))</f>
        <v>Delayed</v>
      </c>
      <c r="R208" s="4">
        <f t="shared" si="19"/>
        <v>52.631578947368425</v>
      </c>
      <c r="S208" s="2">
        <f>[1]RawShipmentData!N208</f>
        <v>1</v>
      </c>
      <c r="T208" s="2" t="str">
        <f>IF(OR(UPPER(TRIM([1]RawShipmentData!O208))="YES",UPPER(TRIM([1]RawShipmentData!O208))="Y"),"Yes","No")</f>
        <v>No</v>
      </c>
    </row>
    <row r="209" spans="1:20" x14ac:dyDescent="0.25">
      <c r="A209" s="2" t="str">
        <f>[1]RawShipmentData!A209</f>
        <v>SHP-100107</v>
      </c>
      <c r="B209" s="3">
        <f>IF(ISNUMBER(SEARCH("/",TRIM([1]RawShipmentData!B209))),DATE(VALUE(RIGHT(TRIM([1]RawShipmentData!B209),4)),VALUE(MID(TRIM([1]RawShipmentData!B209),FIND("/",TRIM([1]RawShipmentData!B209))+1,2)),VALUE(LEFT(TRIM([1]RawShipmentData!B209),FIND("/",TRIM([1]RawShipmentData!B209))-1))),DATEVALUE(TRIM([1]RawShipmentData!B209)))</f>
        <v>45303</v>
      </c>
      <c r="C209" s="2" t="str">
        <f>PROPER(TRIM([1]RawShipmentData!C209))</f>
        <v>Hyderabad</v>
      </c>
      <c r="D209" s="2" t="str">
        <f>IFERROR(INDEX([1]HubMaster!$B$2:$B$7,MATCH(C209,[1]HubMaster!$A$2:$A$7,0)),"Unknown")</f>
        <v>West</v>
      </c>
      <c r="E209" s="2" t="str">
        <f>PROPER(TRIM(SUBSTITUTE([1]RawShipmentData!D209,"  "," ")))</f>
        <v>Delhivery</v>
      </c>
      <c r="F209" s="2" t="str">
        <f>PROPER(TRIM([1]RawShipmentData!E209))</f>
        <v>Air</v>
      </c>
      <c r="G209" s="2" t="str">
        <f>PROPER(TRIM(SUBSTITUTE([1]RawShipmentData!F209,"  "," ")))</f>
        <v>Apparel</v>
      </c>
      <c r="H209" s="2" t="str">
        <f>PROPER(TRIM([1]RawShipmentData!G209))</f>
        <v>East</v>
      </c>
      <c r="I209" s="2" t="str">
        <f t="shared" si="15"/>
        <v>Yes</v>
      </c>
      <c r="J209" s="2">
        <f>IFERROR(VALUE(TRIM(SUBSTITUTE(UPPER([1]RawShipmentData!I209),"KG",""))),"")</f>
        <v>6.5</v>
      </c>
      <c r="K209" s="2">
        <f>VALUE(SUBSTITUTE(SUBSTITUTE(SUBSTITUTE(TRIM([1]RawShipmentData!J209),"₹",""),"Rs",""),",",""))</f>
        <v>440</v>
      </c>
      <c r="L209" s="2">
        <f>[1]RawShipmentData!K209</f>
        <v>4</v>
      </c>
      <c r="M209" s="3">
        <f>IF(TRIM([1]RawShipmentData!L209)="","",IF(ISNUMBER(SEARCH("/",TRIM([1]RawShipmentData!L209))),DATE(VALUE(RIGHT(TRIM([1]RawShipmentData!L209),4)),VALUE(MID(TRIM([1]RawShipmentData!L209),FIND("/",TRIM([1]RawShipmentData!L209))+1,2)),VALUE(LEFT(TRIM([1]RawShipmentData!L209),FIND("/",TRIM([1]RawShipmentData!L209))-1))),DATEVALUE(TRIM([1]RawShipmentData!L209))))</f>
        <v>45308</v>
      </c>
      <c r="N209" s="2">
        <f t="shared" si="16"/>
        <v>5</v>
      </c>
      <c r="O209" s="2">
        <f t="shared" si="17"/>
        <v>1</v>
      </c>
      <c r="P209" s="2" t="str">
        <f t="shared" si="18"/>
        <v>Late</v>
      </c>
      <c r="Q209" s="2" t="str">
        <f>PROPER(SUBSTITUTE(TRIM([1]RawShipmentData!M209)," ","-"))</f>
        <v>Delayed</v>
      </c>
      <c r="R209" s="4">
        <f t="shared" si="19"/>
        <v>67.692307692307693</v>
      </c>
      <c r="S209" s="2">
        <f>[1]RawShipmentData!N209</f>
        <v>1</v>
      </c>
      <c r="T209" s="2" t="str">
        <f>IF(OR(UPPER(TRIM([1]RawShipmentData!O209))="YES",UPPER(TRIM([1]RawShipmentData!O209))="Y"),"Yes","No")</f>
        <v>Yes</v>
      </c>
    </row>
    <row r="210" spans="1:20" x14ac:dyDescent="0.25">
      <c r="A210" s="2" t="str">
        <f>[1]RawShipmentData!A210</f>
        <v>SHP-101393</v>
      </c>
      <c r="B210" s="3">
        <f>IF(ISNUMBER(SEARCH("/",TRIM([1]RawShipmentData!B210))),DATE(VALUE(RIGHT(TRIM([1]RawShipmentData!B210),4)),VALUE(MID(TRIM([1]RawShipmentData!B210),FIND("/",TRIM([1]RawShipmentData!B210))+1,2)),VALUE(LEFT(TRIM([1]RawShipmentData!B210),FIND("/",TRIM([1]RawShipmentData!B210))-1))),DATEVALUE(TRIM([1]RawShipmentData!B210)))</f>
        <v>45469</v>
      </c>
      <c r="C210" s="2" t="str">
        <f>PROPER(TRIM([1]RawShipmentData!C210))</f>
        <v>Mumbai</v>
      </c>
      <c r="D210" s="2" t="str">
        <f>IFERROR(INDEX([1]HubMaster!$B$2:$B$7,MATCH(C210,[1]HubMaster!$A$2:$A$7,0)),"Unknown")</f>
        <v>West</v>
      </c>
      <c r="E210" s="2" t="str">
        <f>PROPER(TRIM(SUBSTITUTE([1]RawShipmentData!D210,"  "," ")))</f>
        <v>Dtdc</v>
      </c>
      <c r="F210" s="2" t="str">
        <f>PROPER(TRIM([1]RawShipmentData!E210))</f>
        <v>Road</v>
      </c>
      <c r="G210" s="2" t="str">
        <f>PROPER(TRIM(SUBSTITUTE([1]RawShipmentData!F210,"  "," ")))</f>
        <v>Grocery &amp; Fmcg</v>
      </c>
      <c r="H210" s="2" t="str">
        <f>PROPER(TRIM([1]RawShipmentData!G210))</f>
        <v>East</v>
      </c>
      <c r="I210" s="2" t="str">
        <f t="shared" si="15"/>
        <v>Yes</v>
      </c>
      <c r="J210" s="2">
        <f>IFERROR(VALUE(TRIM(SUBSTITUTE(UPPER([1]RawShipmentData!I210),"KG",""))),"")</f>
        <v>11.5</v>
      </c>
      <c r="K210" s="2">
        <f>VALUE(SUBSTITUTE(SUBSTITUTE(SUBSTITUTE(TRIM([1]RawShipmentData!J210),"₹",""),"Rs",""),",",""))</f>
        <v>303</v>
      </c>
      <c r="L210" s="2">
        <f>[1]RawShipmentData!K210</f>
        <v>8</v>
      </c>
      <c r="M210" s="3" t="str">
        <f>IF(TRIM([1]RawShipmentData!L210)="","",IF(ISNUMBER(SEARCH("/",TRIM([1]RawShipmentData!L210))),DATE(VALUE(RIGHT(TRIM([1]RawShipmentData!L210),4)),VALUE(MID(TRIM([1]RawShipmentData!L210),FIND("/",TRIM([1]RawShipmentData!L210))+1,2)),VALUE(LEFT(TRIM([1]RawShipmentData!L210),FIND("/",TRIM([1]RawShipmentData!L210))-1))),DATEVALUE(TRIM([1]RawShipmentData!L210))))</f>
        <v/>
      </c>
      <c r="N210" s="2" t="str">
        <f t="shared" si="16"/>
        <v/>
      </c>
      <c r="O210" s="2" t="str">
        <f t="shared" si="17"/>
        <v/>
      </c>
      <c r="P210" s="2" t="str">
        <f t="shared" si="18"/>
        <v>N/A</v>
      </c>
      <c r="Q210" s="2" t="str">
        <f>PROPER(SUBSTITUTE(TRIM([1]RawShipmentData!M210)," ","-"))</f>
        <v>In-Transit</v>
      </c>
      <c r="R210" s="4">
        <f t="shared" si="19"/>
        <v>26.347826086956523</v>
      </c>
      <c r="S210" s="2">
        <f>[1]RawShipmentData!N210</f>
        <v>0</v>
      </c>
      <c r="T210" s="2" t="str">
        <f>IF(OR(UPPER(TRIM([1]RawShipmentData!O210))="YES",UPPER(TRIM([1]RawShipmentData!O210))="Y"),"Yes","No")</f>
        <v>Yes</v>
      </c>
    </row>
    <row r="211" spans="1:20" x14ac:dyDescent="0.25">
      <c r="A211" s="2" t="str">
        <f>[1]RawShipmentData!A211</f>
        <v>SHP-100230</v>
      </c>
      <c r="B211" s="3">
        <f>IF(ISNUMBER(SEARCH("/",TRIM([1]RawShipmentData!B211))),DATE(VALUE(RIGHT(TRIM([1]RawShipmentData!B211),4)),VALUE(MID(TRIM([1]RawShipmentData!B211),FIND("/",TRIM([1]RawShipmentData!B211))+1,2)),VALUE(LEFT(TRIM([1]RawShipmentData!B211),FIND("/",TRIM([1]RawShipmentData!B211))-1))),DATEVALUE(TRIM([1]RawShipmentData!B211)))</f>
        <v>45317</v>
      </c>
      <c r="C211" s="2" t="str">
        <f>PROPER(TRIM([1]RawShipmentData!C211))</f>
        <v>Delhi</v>
      </c>
      <c r="D211" s="2" t="str">
        <f>IFERROR(INDEX([1]HubMaster!$B$2:$B$7,MATCH(C211,[1]HubMaster!$A$2:$A$7,0)),"Unknown")</f>
        <v>North</v>
      </c>
      <c r="E211" s="2" t="str">
        <f>PROPER(TRIM(SUBSTITUTE([1]RawShipmentData!D211,"  "," ")))</f>
        <v>Delhivery</v>
      </c>
      <c r="F211" s="2" t="str">
        <f>PROPER(TRIM([1]RawShipmentData!E211))</f>
        <v>Air</v>
      </c>
      <c r="G211" s="2" t="str">
        <f>PROPER(TRIM(SUBSTITUTE([1]RawShipmentData!F211,"  "," ")))</f>
        <v>Grocery &amp; Fmcg</v>
      </c>
      <c r="H211" s="2" t="str">
        <f>PROPER(TRIM([1]RawShipmentData!G211))</f>
        <v>North</v>
      </c>
      <c r="I211" s="2" t="str">
        <f t="shared" si="15"/>
        <v>No</v>
      </c>
      <c r="J211" s="2">
        <f>IFERROR(VALUE(TRIM(SUBSTITUTE(UPPER([1]RawShipmentData!I211),"KG",""))),"")</f>
        <v>4.8</v>
      </c>
      <c r="K211" s="2">
        <f>VALUE(SUBSTITUTE(SUBSTITUTE(SUBSTITUTE(TRIM([1]RawShipmentData!J211),"₹",""),"Rs",""),",",""))</f>
        <v>232</v>
      </c>
      <c r="L211" s="2">
        <f>[1]RawShipmentData!K211</f>
        <v>2</v>
      </c>
      <c r="M211" s="3">
        <f>IF(TRIM([1]RawShipmentData!L211)="","",IF(ISNUMBER(SEARCH("/",TRIM([1]RawShipmentData!L211))),DATE(VALUE(RIGHT(TRIM([1]RawShipmentData!L211),4)),VALUE(MID(TRIM([1]RawShipmentData!L211),FIND("/",TRIM([1]RawShipmentData!L211))+1,2)),VALUE(LEFT(TRIM([1]RawShipmentData!L211),FIND("/",TRIM([1]RawShipmentData!L211))-1))),DATEVALUE(TRIM([1]RawShipmentData!L211))))</f>
        <v>45320</v>
      </c>
      <c r="N211" s="2">
        <f t="shared" si="16"/>
        <v>3</v>
      </c>
      <c r="O211" s="2">
        <f t="shared" si="17"/>
        <v>1</v>
      </c>
      <c r="P211" s="2" t="str">
        <f t="shared" si="18"/>
        <v>Late</v>
      </c>
      <c r="Q211" s="2" t="str">
        <f>PROPER(SUBSTITUTE(TRIM([1]RawShipmentData!M211)," ","-"))</f>
        <v>Delayed</v>
      </c>
      <c r="R211" s="4">
        <f t="shared" si="19"/>
        <v>48.333333333333336</v>
      </c>
      <c r="S211" s="2">
        <f>[1]RawShipmentData!N211</f>
        <v>2</v>
      </c>
      <c r="T211" s="2" t="str">
        <f>IF(OR(UPPER(TRIM([1]RawShipmentData!O211))="YES",UPPER(TRIM([1]RawShipmentData!O211))="Y"),"Yes","No")</f>
        <v>No</v>
      </c>
    </row>
    <row r="212" spans="1:20" x14ac:dyDescent="0.25">
      <c r="A212" s="2" t="str">
        <f>[1]RawShipmentData!A212</f>
        <v>SHP-101481</v>
      </c>
      <c r="B212" s="3">
        <f>IF(ISNUMBER(SEARCH("/",TRIM([1]RawShipmentData!B212))),DATE(VALUE(RIGHT(TRIM([1]RawShipmentData!B212),4)),VALUE(MID(TRIM([1]RawShipmentData!B212),FIND("/",TRIM([1]RawShipmentData!B212))+1,2)),VALUE(LEFT(TRIM([1]RawShipmentData!B212),FIND("/",TRIM([1]RawShipmentData!B212))-1))),DATEVALUE(TRIM([1]RawShipmentData!B212)))</f>
        <v>45361</v>
      </c>
      <c r="C212" s="2" t="str">
        <f>PROPER(TRIM([1]RawShipmentData!C212))</f>
        <v>Delhi</v>
      </c>
      <c r="D212" s="2" t="str">
        <f>IFERROR(INDEX([1]HubMaster!$B$2:$B$7,MATCH(C212,[1]HubMaster!$A$2:$A$7,0)),"Unknown")</f>
        <v>North</v>
      </c>
      <c r="E212" s="2" t="str">
        <f>PROPER(TRIM(SUBSTITUTE([1]RawShipmentData!D212,"  "," ")))</f>
        <v>Xpressbees</v>
      </c>
      <c r="F212" s="2" t="str">
        <f>PROPER(TRIM([1]RawShipmentData!E212))</f>
        <v>Air</v>
      </c>
      <c r="G212" s="2" t="str">
        <f>PROPER(TRIM(SUBSTITUTE([1]RawShipmentData!F212,"  "," ")))</f>
        <v>Grocery &amp; Fmcg</v>
      </c>
      <c r="H212" s="2" t="str">
        <f>PROPER(TRIM([1]RawShipmentData!G212))</f>
        <v>East</v>
      </c>
      <c r="I212" s="2" t="str">
        <f t="shared" si="15"/>
        <v>Yes</v>
      </c>
      <c r="J212" s="2">
        <f>IFERROR(VALUE(TRIM(SUBSTITUTE(UPPER([1]RawShipmentData!I212),"KG",""))),"")</f>
        <v>9.4</v>
      </c>
      <c r="K212" s="2">
        <f>VALUE(SUBSTITUTE(SUBSTITUTE(SUBSTITUTE(TRIM([1]RawShipmentData!J212),"₹",""),"Rs",""),",",""))</f>
        <v>578</v>
      </c>
      <c r="L212" s="2">
        <f>[1]RawShipmentData!K212</f>
        <v>4</v>
      </c>
      <c r="M212" s="3">
        <f>IF(TRIM([1]RawShipmentData!L212)="","",IF(ISNUMBER(SEARCH("/",TRIM([1]RawShipmentData!L212))),DATE(VALUE(RIGHT(TRIM([1]RawShipmentData!L212),4)),VALUE(MID(TRIM([1]RawShipmentData!L212),FIND("/",TRIM([1]RawShipmentData!L212))+1,2)),VALUE(LEFT(TRIM([1]RawShipmentData!L212),FIND("/",TRIM([1]RawShipmentData!L212))-1))),DATEVALUE(TRIM([1]RawShipmentData!L212))))</f>
        <v>45366</v>
      </c>
      <c r="N212" s="2">
        <f t="shared" si="16"/>
        <v>5</v>
      </c>
      <c r="O212" s="2">
        <f t="shared" si="17"/>
        <v>1</v>
      </c>
      <c r="P212" s="2" t="str">
        <f t="shared" si="18"/>
        <v>Late</v>
      </c>
      <c r="Q212" s="2" t="str">
        <f>PROPER(SUBSTITUTE(TRIM([1]RawShipmentData!M212)," ","-"))</f>
        <v>Delayed</v>
      </c>
      <c r="R212" s="4">
        <f t="shared" si="19"/>
        <v>61.48936170212766</v>
      </c>
      <c r="S212" s="2">
        <f>[1]RawShipmentData!N212</f>
        <v>3</v>
      </c>
      <c r="T212" s="2" t="str">
        <f>IF(OR(UPPER(TRIM([1]RawShipmentData!O212))="YES",UPPER(TRIM([1]RawShipmentData!O212))="Y"),"Yes","No")</f>
        <v>Yes</v>
      </c>
    </row>
    <row r="213" spans="1:20" x14ac:dyDescent="0.25">
      <c r="A213" s="2" t="str">
        <f>[1]RawShipmentData!A213</f>
        <v>SHP-101454</v>
      </c>
      <c r="B213" s="3">
        <f>IF(ISNUMBER(SEARCH("/",TRIM([1]RawShipmentData!B213))),DATE(VALUE(RIGHT(TRIM([1]RawShipmentData!B213),4)),VALUE(MID(TRIM([1]RawShipmentData!B213),FIND("/",TRIM([1]RawShipmentData!B213))+1,2)),VALUE(LEFT(TRIM([1]RawShipmentData!B213),FIND("/",TRIM([1]RawShipmentData!B213))-1))),DATEVALUE(TRIM([1]RawShipmentData!B213)))</f>
        <v>45372</v>
      </c>
      <c r="C213" s="2" t="str">
        <f>PROPER(TRIM([1]RawShipmentData!C213))</f>
        <v>Kolkata</v>
      </c>
      <c r="D213" s="2" t="str">
        <f>IFERROR(INDEX([1]HubMaster!$B$2:$B$7,MATCH(C213,[1]HubMaster!$A$2:$A$7,0)),"Unknown")</f>
        <v>East</v>
      </c>
      <c r="E213" s="2" t="str">
        <f>PROPER(TRIM(SUBSTITUTE([1]RawShipmentData!D213,"  "," ")))</f>
        <v>Xpress Bees</v>
      </c>
      <c r="F213" s="2" t="str">
        <f>PROPER(TRIM([1]RawShipmentData!E213))</f>
        <v>Surface</v>
      </c>
      <c r="G213" s="2" t="str">
        <f>PROPER(TRIM(SUBSTITUTE([1]RawShipmentData!F213,"  "," ")))</f>
        <v>Electronics</v>
      </c>
      <c r="H213" s="2" t="str">
        <f>PROPER(TRIM([1]RawShipmentData!G213))</f>
        <v>West</v>
      </c>
      <c r="I213" s="2" t="str">
        <f t="shared" si="15"/>
        <v>Yes</v>
      </c>
      <c r="J213" s="2">
        <f>IFERROR(VALUE(TRIM(SUBSTITUTE(UPPER([1]RawShipmentData!I213),"KG",""))),"")</f>
        <v>11</v>
      </c>
      <c r="K213" s="2">
        <f>VALUE(SUBSTITUTE(SUBSTITUTE(SUBSTITUTE(TRIM([1]RawShipmentData!J213),"₹",""),"Rs",""),",",""))</f>
        <v>442</v>
      </c>
      <c r="L213" s="2">
        <f>[1]RawShipmentData!K213</f>
        <v>6</v>
      </c>
      <c r="M213" s="3">
        <f>IF(TRIM([1]RawShipmentData!L213)="","",IF(ISNUMBER(SEARCH("/",TRIM([1]RawShipmentData!L213))),DATE(VALUE(RIGHT(TRIM([1]RawShipmentData!L213),4)),VALUE(MID(TRIM([1]RawShipmentData!L213),FIND("/",TRIM([1]RawShipmentData!L213))+1,2)),VALUE(LEFT(TRIM([1]RawShipmentData!L213),FIND("/",TRIM([1]RawShipmentData!L213))-1))),DATEVALUE(TRIM([1]RawShipmentData!L213))))</f>
        <v>45378</v>
      </c>
      <c r="N213" s="2">
        <f t="shared" si="16"/>
        <v>6</v>
      </c>
      <c r="O213" s="2">
        <f t="shared" si="17"/>
        <v>0</v>
      </c>
      <c r="P213" s="2" t="str">
        <f t="shared" si="18"/>
        <v>On Time</v>
      </c>
      <c r="Q213" s="2" t="str">
        <f>PROPER(SUBSTITUTE(TRIM([1]RawShipmentData!M213)," ","-"))</f>
        <v>Delivered</v>
      </c>
      <c r="R213" s="4">
        <f t="shared" si="19"/>
        <v>40.18181818181818</v>
      </c>
      <c r="S213" s="2">
        <f>[1]RawShipmentData!N213</f>
        <v>3</v>
      </c>
      <c r="T213" s="2" t="str">
        <f>IF(OR(UPPER(TRIM([1]RawShipmentData!O213))="YES",UPPER(TRIM([1]RawShipmentData!O213))="Y"),"Yes","No")</f>
        <v>Yes</v>
      </c>
    </row>
    <row r="214" spans="1:20" x14ac:dyDescent="0.25">
      <c r="A214" s="2" t="str">
        <f>[1]RawShipmentData!A214</f>
        <v>SHP-100763</v>
      </c>
      <c r="B214" s="3">
        <f>IF(ISNUMBER(SEARCH("/",TRIM([1]RawShipmentData!B214))),DATE(VALUE(RIGHT(TRIM([1]RawShipmentData!B214),4)),VALUE(MID(TRIM([1]RawShipmentData!B214),FIND("/",TRIM([1]RawShipmentData!B214))+1,2)),VALUE(LEFT(TRIM([1]RawShipmentData!B214),FIND("/",TRIM([1]RawShipmentData!B214))-1))),DATEVALUE(TRIM([1]RawShipmentData!B214)))</f>
        <v>45388</v>
      </c>
      <c r="C214" s="2" t="str">
        <f>PROPER(TRIM([1]RawShipmentData!C214))</f>
        <v>Chennai</v>
      </c>
      <c r="D214" s="2" t="str">
        <f>IFERROR(INDEX([1]HubMaster!$B$2:$B$7,MATCH(C214,[1]HubMaster!$A$2:$A$7,0)),"Unknown")</f>
        <v>South</v>
      </c>
      <c r="E214" s="2" t="str">
        <f>PROPER(TRIM(SUBSTITUTE([1]RawShipmentData!D214,"  "," ")))</f>
        <v>Delhivery</v>
      </c>
      <c r="F214" s="2" t="str">
        <f>PROPER(TRIM([1]RawShipmentData!E214))</f>
        <v>Air</v>
      </c>
      <c r="G214" s="2" t="str">
        <f>PROPER(TRIM(SUBSTITUTE([1]RawShipmentData!F214,"  "," ")))</f>
        <v>Automotive Parts</v>
      </c>
      <c r="H214" s="2" t="str">
        <f>PROPER(TRIM([1]RawShipmentData!G214))</f>
        <v>East</v>
      </c>
      <c r="I214" s="2" t="str">
        <f t="shared" si="15"/>
        <v>Yes</v>
      </c>
      <c r="J214" s="2">
        <f>IFERROR(VALUE(TRIM(SUBSTITUTE(UPPER([1]RawShipmentData!I214),"KG",""))),"")</f>
        <v>6.4</v>
      </c>
      <c r="K214" s="2">
        <f>VALUE(SUBSTITUTE(SUBSTITUTE(SUBSTITUTE(TRIM([1]RawShipmentData!J214),"₹",""),"Rs",""),",",""))</f>
        <v>476</v>
      </c>
      <c r="L214" s="2">
        <f>[1]RawShipmentData!K214</f>
        <v>4</v>
      </c>
      <c r="M214" s="3">
        <f>IF(TRIM([1]RawShipmentData!L214)="","",IF(ISNUMBER(SEARCH("/",TRIM([1]RawShipmentData!L214))),DATE(VALUE(RIGHT(TRIM([1]RawShipmentData!L214),4)),VALUE(MID(TRIM([1]RawShipmentData!L214),FIND("/",TRIM([1]RawShipmentData!L214))+1,2)),VALUE(LEFT(TRIM([1]RawShipmentData!L214),FIND("/",TRIM([1]RawShipmentData!L214))-1))),DATEVALUE(TRIM([1]RawShipmentData!L214))))</f>
        <v>45393</v>
      </c>
      <c r="N214" s="2">
        <f t="shared" si="16"/>
        <v>5</v>
      </c>
      <c r="O214" s="2">
        <f t="shared" si="17"/>
        <v>1</v>
      </c>
      <c r="P214" s="2" t="str">
        <f t="shared" si="18"/>
        <v>Late</v>
      </c>
      <c r="Q214" s="2" t="str">
        <f>PROPER(SUBSTITUTE(TRIM([1]RawShipmentData!M214)," ","-"))</f>
        <v>Delayed</v>
      </c>
      <c r="R214" s="4">
        <f t="shared" si="19"/>
        <v>74.375</v>
      </c>
      <c r="S214" s="2">
        <f>[1]RawShipmentData!N214</f>
        <v>5</v>
      </c>
      <c r="T214" s="2" t="str">
        <f>IF(OR(UPPER(TRIM([1]RawShipmentData!O214))="YES",UPPER(TRIM([1]RawShipmentData!O214))="Y"),"Yes","No")</f>
        <v>Yes</v>
      </c>
    </row>
    <row r="215" spans="1:20" x14ac:dyDescent="0.25">
      <c r="A215" s="2" t="str">
        <f>[1]RawShipmentData!A215</f>
        <v>SHP-101053</v>
      </c>
      <c r="B215" s="3">
        <f>IF(ISNUMBER(SEARCH("/",TRIM([1]RawShipmentData!B215))),DATE(VALUE(RIGHT(TRIM([1]RawShipmentData!B215),4)),VALUE(MID(TRIM([1]RawShipmentData!B215),FIND("/",TRIM([1]RawShipmentData!B215))+1,2)),VALUE(LEFT(TRIM([1]RawShipmentData!B215),FIND("/",TRIM([1]RawShipmentData!B215))-1))),DATEVALUE(TRIM([1]RawShipmentData!B215)))</f>
        <v>45363</v>
      </c>
      <c r="C215" s="2" t="str">
        <f>PROPER(TRIM([1]RawShipmentData!C215))</f>
        <v>Chennai</v>
      </c>
      <c r="D215" s="2" t="str">
        <f>IFERROR(INDEX([1]HubMaster!$B$2:$B$7,MATCH(C215,[1]HubMaster!$A$2:$A$7,0)),"Unknown")</f>
        <v>South</v>
      </c>
      <c r="E215" s="2" t="str">
        <f>PROPER(TRIM(SUBSTITUTE([1]RawShipmentData!D215,"  "," ")))</f>
        <v>Delhivery</v>
      </c>
      <c r="F215" s="2" t="str">
        <f>PROPER(TRIM([1]RawShipmentData!E215))</f>
        <v>Road</v>
      </c>
      <c r="G215" s="2" t="str">
        <f>PROPER(TRIM(SUBSTITUTE([1]RawShipmentData!F215,"  "," ")))</f>
        <v>Automotive Parts</v>
      </c>
      <c r="H215" s="2" t="str">
        <f>PROPER(TRIM([1]RawShipmentData!G215))</f>
        <v>East</v>
      </c>
      <c r="I215" s="2" t="str">
        <f t="shared" si="15"/>
        <v>Yes</v>
      </c>
      <c r="J215" s="2">
        <f>IFERROR(VALUE(TRIM(SUBSTITUTE(UPPER([1]RawShipmentData!I215),"KG",""))),"")</f>
        <v>19.2</v>
      </c>
      <c r="K215" s="2">
        <f>VALUE(SUBSTITUTE(SUBSTITUTE(SUBSTITUTE(TRIM([1]RawShipmentData!J215),"₹",""),"Rs",""),",",""))</f>
        <v>455</v>
      </c>
      <c r="L215" s="2">
        <f>[1]RawShipmentData!K215</f>
        <v>8</v>
      </c>
      <c r="M215" s="3">
        <f>IF(TRIM([1]RawShipmentData!L215)="","",IF(ISNUMBER(SEARCH("/",TRIM([1]RawShipmentData!L215))),DATE(VALUE(RIGHT(TRIM([1]RawShipmentData!L215),4)),VALUE(MID(TRIM([1]RawShipmentData!L215),FIND("/",TRIM([1]RawShipmentData!L215))+1,2)),VALUE(LEFT(TRIM([1]RawShipmentData!L215),FIND("/",TRIM([1]RawShipmentData!L215))-1))),DATEVALUE(TRIM([1]RawShipmentData!L215))))</f>
        <v>45372</v>
      </c>
      <c r="N215" s="2">
        <f t="shared" si="16"/>
        <v>9</v>
      </c>
      <c r="O215" s="2">
        <f t="shared" si="17"/>
        <v>1</v>
      </c>
      <c r="P215" s="2" t="str">
        <f t="shared" si="18"/>
        <v>Late</v>
      </c>
      <c r="Q215" s="2" t="str">
        <f>PROPER(SUBSTITUTE(TRIM([1]RawShipmentData!M215)," ","-"))</f>
        <v>Delayed</v>
      </c>
      <c r="R215" s="4">
        <f t="shared" si="19"/>
        <v>23.697916666666668</v>
      </c>
      <c r="S215" s="2">
        <f>[1]RawShipmentData!N215</f>
        <v>4</v>
      </c>
      <c r="T215" s="2" t="str">
        <f>IF(OR(UPPER(TRIM([1]RawShipmentData!O215))="YES",UPPER(TRIM([1]RawShipmentData!O215))="Y"),"Yes","No")</f>
        <v>Yes</v>
      </c>
    </row>
    <row r="216" spans="1:20" x14ac:dyDescent="0.25">
      <c r="A216" s="2" t="str">
        <f>[1]RawShipmentData!A216</f>
        <v>SHP-100751</v>
      </c>
      <c r="B216" s="3">
        <f>IF(ISNUMBER(SEARCH("/",TRIM([1]RawShipmentData!B216))),DATE(VALUE(RIGHT(TRIM([1]RawShipmentData!B216),4)),VALUE(MID(TRIM([1]RawShipmentData!B216),FIND("/",TRIM([1]RawShipmentData!B216))+1,2)),VALUE(LEFT(TRIM([1]RawShipmentData!B216),FIND("/",TRIM([1]RawShipmentData!B216))-1))),DATEVALUE(TRIM([1]RawShipmentData!B216)))</f>
        <v>45306</v>
      </c>
      <c r="C216" s="2" t="str">
        <f>PROPER(TRIM([1]RawShipmentData!C216))</f>
        <v>Bengaluru</v>
      </c>
      <c r="D216" s="2" t="str">
        <f>IFERROR(INDEX([1]HubMaster!$B$2:$B$7,MATCH(C216,[1]HubMaster!$A$2:$A$7,0)),"Unknown")</f>
        <v>South</v>
      </c>
      <c r="E216" s="2" t="str">
        <f>PROPER(TRIM(SUBSTITUTE([1]RawShipmentData!D216,"  "," ")))</f>
        <v>Delhivery</v>
      </c>
      <c r="F216" s="2" t="str">
        <f>PROPER(TRIM([1]RawShipmentData!E216))</f>
        <v>Surface</v>
      </c>
      <c r="G216" s="2" t="str">
        <f>PROPER(TRIM(SUBSTITUTE([1]RawShipmentData!F216,"  "," ")))</f>
        <v>Furniture</v>
      </c>
      <c r="H216" s="2" t="str">
        <f>PROPER(TRIM([1]RawShipmentData!G216))</f>
        <v>North</v>
      </c>
      <c r="I216" s="2" t="str">
        <f t="shared" si="15"/>
        <v>Yes</v>
      </c>
      <c r="J216" s="2">
        <f>IFERROR(VALUE(TRIM(SUBSTITUTE(UPPER([1]RawShipmentData!I216),"KG",""))),"")</f>
        <v>77</v>
      </c>
      <c r="K216" s="2">
        <f>VALUE(SUBSTITUTE(SUBSTITUTE(SUBSTITUTE(TRIM([1]RawShipmentData!J216),"₹",""),"Rs",""),",",""))</f>
        <v>1851</v>
      </c>
      <c r="L216" s="2">
        <f>[1]RawShipmentData!K216</f>
        <v>6</v>
      </c>
      <c r="M216" s="3">
        <f>IF(TRIM([1]RawShipmentData!L216)="","",IF(ISNUMBER(SEARCH("/",TRIM([1]RawShipmentData!L216))),DATE(VALUE(RIGHT(TRIM([1]RawShipmentData!L216),4)),VALUE(MID(TRIM([1]RawShipmentData!L216),FIND("/",TRIM([1]RawShipmentData!L216))+1,2)),VALUE(LEFT(TRIM([1]RawShipmentData!L216),FIND("/",TRIM([1]RawShipmentData!L216))-1))),DATEVALUE(TRIM([1]RawShipmentData!L216))))</f>
        <v>45313</v>
      </c>
      <c r="N216" s="2">
        <f t="shared" si="16"/>
        <v>7</v>
      </c>
      <c r="O216" s="2">
        <f t="shared" si="17"/>
        <v>1</v>
      </c>
      <c r="P216" s="2" t="str">
        <f t="shared" si="18"/>
        <v>Late</v>
      </c>
      <c r="Q216" s="2" t="str">
        <f>PROPER(SUBSTITUTE(TRIM([1]RawShipmentData!M216)," ","-"))</f>
        <v>Delayed</v>
      </c>
      <c r="R216" s="4">
        <f t="shared" si="19"/>
        <v>24.038961038961038</v>
      </c>
      <c r="S216" s="2">
        <f>[1]RawShipmentData!N216</f>
        <v>3</v>
      </c>
      <c r="T216" s="2" t="str">
        <f>IF(OR(UPPER(TRIM([1]RawShipmentData!O216))="YES",UPPER(TRIM([1]RawShipmentData!O216))="Y"),"Yes","No")</f>
        <v>Yes</v>
      </c>
    </row>
    <row r="217" spans="1:20" x14ac:dyDescent="0.25">
      <c r="A217" s="2" t="str">
        <f>[1]RawShipmentData!A217</f>
        <v>SHP-100294</v>
      </c>
      <c r="B217" s="3">
        <f>IF(ISNUMBER(SEARCH("/",TRIM([1]RawShipmentData!B217))),DATE(VALUE(RIGHT(TRIM([1]RawShipmentData!B217),4)),VALUE(MID(TRIM([1]RawShipmentData!B217),FIND("/",TRIM([1]RawShipmentData!B217))+1,2)),VALUE(LEFT(TRIM([1]RawShipmentData!B217),FIND("/",TRIM([1]RawShipmentData!B217))-1))),DATEVALUE(TRIM([1]RawShipmentData!B217)))</f>
        <v>45364</v>
      </c>
      <c r="C217" s="2" t="str">
        <f>PROPER(TRIM([1]RawShipmentData!C217))</f>
        <v>Mumbai</v>
      </c>
      <c r="D217" s="2" t="str">
        <f>IFERROR(INDEX([1]HubMaster!$B$2:$B$7,MATCH(C217,[1]HubMaster!$A$2:$A$7,0)),"Unknown")</f>
        <v>West</v>
      </c>
      <c r="E217" s="2" t="str">
        <f>PROPER(TRIM(SUBSTITUTE([1]RawShipmentData!D217,"  "," ")))</f>
        <v>Ecom Express</v>
      </c>
      <c r="F217" s="2" t="str">
        <f>PROPER(TRIM([1]RawShipmentData!E217))</f>
        <v>Surface</v>
      </c>
      <c r="G217" s="2" t="str">
        <f>PROPER(TRIM(SUBSTITUTE([1]RawShipmentData!F217,"  "," ")))</f>
        <v>Furniture</v>
      </c>
      <c r="H217" s="2" t="str">
        <f>PROPER(TRIM([1]RawShipmentData!G217))</f>
        <v>East</v>
      </c>
      <c r="I217" s="2" t="str">
        <f t="shared" si="15"/>
        <v>Yes</v>
      </c>
      <c r="J217" s="2">
        <f>IFERROR(VALUE(TRIM(SUBSTITUTE(UPPER([1]RawShipmentData!I217),"KG",""))),"")</f>
        <v>39.1</v>
      </c>
      <c r="K217" s="2">
        <f>VALUE(SUBSTITUTE(SUBSTITUTE(SUBSTITUTE(TRIM([1]RawShipmentData!J217),"₹",""),"Rs",""),",",""))</f>
        <v>1053</v>
      </c>
      <c r="L217" s="2">
        <f>[1]RawShipmentData!K217</f>
        <v>6</v>
      </c>
      <c r="M217" s="3">
        <f>IF(TRIM([1]RawShipmentData!L217)="","",IF(ISNUMBER(SEARCH("/",TRIM([1]RawShipmentData!L217))),DATE(VALUE(RIGHT(TRIM([1]RawShipmentData!L217),4)),VALUE(MID(TRIM([1]RawShipmentData!L217),FIND("/",TRIM([1]RawShipmentData!L217))+1,2)),VALUE(LEFT(TRIM([1]RawShipmentData!L217),FIND("/",TRIM([1]RawShipmentData!L217))-1))),DATEVALUE(TRIM([1]RawShipmentData!L217))))</f>
        <v>45379</v>
      </c>
      <c r="N217" s="2">
        <f t="shared" si="16"/>
        <v>15</v>
      </c>
      <c r="O217" s="2">
        <f t="shared" si="17"/>
        <v>9</v>
      </c>
      <c r="P217" s="2" t="str">
        <f t="shared" si="18"/>
        <v>Late</v>
      </c>
      <c r="Q217" s="2" t="str">
        <f>PROPER(SUBSTITUTE(TRIM([1]RawShipmentData!M217)," ","-"))</f>
        <v>Delayed</v>
      </c>
      <c r="R217" s="4">
        <f t="shared" si="19"/>
        <v>26.930946291560101</v>
      </c>
      <c r="S217" s="2">
        <f>[1]RawShipmentData!N217</f>
        <v>2</v>
      </c>
      <c r="T217" s="2" t="str">
        <f>IF(OR(UPPER(TRIM([1]RawShipmentData!O217))="YES",UPPER(TRIM([1]RawShipmentData!O217))="Y"),"Yes","No")</f>
        <v>No</v>
      </c>
    </row>
    <row r="218" spans="1:20" x14ac:dyDescent="0.25">
      <c r="A218" s="2" t="str">
        <f>[1]RawShipmentData!A218</f>
        <v>SHP-101329</v>
      </c>
      <c r="B218" s="3">
        <f>IF(ISNUMBER(SEARCH("/",TRIM([1]RawShipmentData!B218))),DATE(VALUE(RIGHT(TRIM([1]RawShipmentData!B218),4)),VALUE(MID(TRIM([1]RawShipmentData!B218),FIND("/",TRIM([1]RawShipmentData!B218))+1,2)),VALUE(LEFT(TRIM([1]RawShipmentData!B218),FIND("/",TRIM([1]RawShipmentData!B218))-1))),DATEVALUE(TRIM([1]RawShipmentData!B218)))</f>
        <v>45377</v>
      </c>
      <c r="C218" s="2" t="str">
        <f>PROPER(TRIM([1]RawShipmentData!C218))</f>
        <v>Kolkata</v>
      </c>
      <c r="D218" s="2" t="str">
        <f>IFERROR(INDEX([1]HubMaster!$B$2:$B$7,MATCH(C218,[1]HubMaster!$A$2:$A$7,0)),"Unknown")</f>
        <v>East</v>
      </c>
      <c r="E218" s="2" t="str">
        <f>PROPER(TRIM(SUBSTITUTE([1]RawShipmentData!D218,"  "," ")))</f>
        <v>Delhivery</v>
      </c>
      <c r="F218" s="2" t="str">
        <f>PROPER(TRIM([1]RawShipmentData!E218))</f>
        <v>Air</v>
      </c>
      <c r="G218" s="2" t="str">
        <f>PROPER(TRIM(SUBSTITUTE([1]RawShipmentData!F218,"  "," ")))</f>
        <v>Grocery &amp; Fmcg</v>
      </c>
      <c r="H218" s="2" t="str">
        <f>PROPER(TRIM([1]RawShipmentData!G218))</f>
        <v>East</v>
      </c>
      <c r="I218" s="2" t="str">
        <f t="shared" si="15"/>
        <v>No</v>
      </c>
      <c r="J218" s="2">
        <f>IFERROR(VALUE(TRIM(SUBSTITUTE(UPPER([1]RawShipmentData!I218),"KG",""))),"")</f>
        <v>12.5</v>
      </c>
      <c r="K218" s="2">
        <f>VALUE(SUBSTITUTE(SUBSTITUTE(SUBSTITUTE(TRIM([1]RawShipmentData!J218),"₹",""),"Rs",""),",",""))</f>
        <v>562</v>
      </c>
      <c r="L218" s="2">
        <f>[1]RawShipmentData!K218</f>
        <v>2</v>
      </c>
      <c r="M218" s="3">
        <f>IF(TRIM([1]RawShipmentData!L218)="","",IF(ISNUMBER(SEARCH("/",TRIM([1]RawShipmentData!L218))),DATE(VALUE(RIGHT(TRIM([1]RawShipmentData!L218),4)),VALUE(MID(TRIM([1]RawShipmentData!L218),FIND("/",TRIM([1]RawShipmentData!L218))+1,2)),VALUE(LEFT(TRIM([1]RawShipmentData!L218),FIND("/",TRIM([1]RawShipmentData!L218))-1))),DATEVALUE(TRIM([1]RawShipmentData!L218))))</f>
        <v>45379</v>
      </c>
      <c r="N218" s="2">
        <f t="shared" si="16"/>
        <v>2</v>
      </c>
      <c r="O218" s="2">
        <f t="shared" si="17"/>
        <v>0</v>
      </c>
      <c r="P218" s="2" t="str">
        <f t="shared" si="18"/>
        <v>On Time</v>
      </c>
      <c r="Q218" s="2" t="str">
        <f>PROPER(SUBSTITUTE(TRIM([1]RawShipmentData!M218)," ","-"))</f>
        <v>Delivered</v>
      </c>
      <c r="R218" s="4">
        <f t="shared" si="19"/>
        <v>44.96</v>
      </c>
      <c r="S218" s="2">
        <f>[1]RawShipmentData!N218</f>
        <v>4</v>
      </c>
      <c r="T218" s="2" t="str">
        <f>IF(OR(UPPER(TRIM([1]RawShipmentData!O218))="YES",UPPER(TRIM([1]RawShipmentData!O218))="Y"),"Yes","No")</f>
        <v>Yes</v>
      </c>
    </row>
    <row r="219" spans="1:20" x14ac:dyDescent="0.25">
      <c r="A219" s="2" t="str">
        <f>[1]RawShipmentData!A219</f>
        <v>SHP-100482</v>
      </c>
      <c r="B219" s="3">
        <f>IF(ISNUMBER(SEARCH("/",TRIM([1]RawShipmentData!B219))),DATE(VALUE(RIGHT(TRIM([1]RawShipmentData!B219),4)),VALUE(MID(TRIM([1]RawShipmentData!B219),FIND("/",TRIM([1]RawShipmentData!B219))+1,2)),VALUE(LEFT(TRIM([1]RawShipmentData!B219),FIND("/",TRIM([1]RawShipmentData!B219))-1))),DATEVALUE(TRIM([1]RawShipmentData!B219)))</f>
        <v>45422</v>
      </c>
      <c r="C219" s="2" t="str">
        <f>PROPER(TRIM([1]RawShipmentData!C219))</f>
        <v>Chennai</v>
      </c>
      <c r="D219" s="2" t="str">
        <f>IFERROR(INDEX([1]HubMaster!$B$2:$B$7,MATCH(C219,[1]HubMaster!$A$2:$A$7,0)),"Unknown")</f>
        <v>South</v>
      </c>
      <c r="E219" s="2" t="str">
        <f>PROPER(TRIM(SUBSTITUTE([1]RawShipmentData!D219,"  "," ")))</f>
        <v>Delhivery</v>
      </c>
      <c r="F219" s="2" t="str">
        <f>PROPER(TRIM([1]RawShipmentData!E219))</f>
        <v>Surface</v>
      </c>
      <c r="G219" s="2" t="str">
        <f>PROPER(TRIM(SUBSTITUTE([1]RawShipmentData!F219,"  "," ")))</f>
        <v>Electronics</v>
      </c>
      <c r="H219" s="2" t="str">
        <f>PROPER(TRIM([1]RawShipmentData!G219))</f>
        <v>South</v>
      </c>
      <c r="I219" s="2" t="str">
        <f t="shared" si="15"/>
        <v>No</v>
      </c>
      <c r="J219" s="2">
        <f>IFERROR(VALUE(TRIM(SUBSTITUTE(UPPER([1]RawShipmentData!I219),"KG",""))),"")</f>
        <v>11.4</v>
      </c>
      <c r="K219" s="2">
        <f>VALUE(SUBSTITUTE(SUBSTITUTE(SUBSTITUTE(TRIM([1]RawShipmentData!J219),"₹",""),"Rs",""),",",""))</f>
        <v>227</v>
      </c>
      <c r="L219" s="2">
        <f>[1]RawShipmentData!K219</f>
        <v>4</v>
      </c>
      <c r="M219" s="3">
        <f>IF(TRIM([1]RawShipmentData!L219)="","",IF(ISNUMBER(SEARCH("/",TRIM([1]RawShipmentData!L219))),DATE(VALUE(RIGHT(TRIM([1]RawShipmentData!L219),4)),VALUE(MID(TRIM([1]RawShipmentData!L219),FIND("/",TRIM([1]RawShipmentData!L219))+1,2)),VALUE(LEFT(TRIM([1]RawShipmentData!L219),FIND("/",TRIM([1]RawShipmentData!L219))-1))),DATEVALUE(TRIM([1]RawShipmentData!L219))))</f>
        <v>45425</v>
      </c>
      <c r="N219" s="2">
        <f t="shared" si="16"/>
        <v>3</v>
      </c>
      <c r="O219" s="2">
        <f t="shared" si="17"/>
        <v>-1</v>
      </c>
      <c r="P219" s="2" t="str">
        <f t="shared" si="18"/>
        <v>On Time</v>
      </c>
      <c r="Q219" s="2" t="str">
        <f>PROPER(SUBSTITUTE(TRIM([1]RawShipmentData!M219)," ","-"))</f>
        <v>Delivered</v>
      </c>
      <c r="R219" s="4">
        <f t="shared" si="19"/>
        <v>19.912280701754387</v>
      </c>
      <c r="S219" s="2">
        <f>[1]RawShipmentData!N219</f>
        <v>3</v>
      </c>
      <c r="T219" s="2" t="str">
        <f>IF(OR(UPPER(TRIM([1]RawShipmentData!O219))="YES",UPPER(TRIM([1]RawShipmentData!O219))="Y"),"Yes","No")</f>
        <v>Yes</v>
      </c>
    </row>
    <row r="220" spans="1:20" x14ac:dyDescent="0.25">
      <c r="A220" s="2" t="str">
        <f>[1]RawShipmentData!A220</f>
        <v>SHP-101365</v>
      </c>
      <c r="B220" s="3">
        <f>IF(ISNUMBER(SEARCH("/",TRIM([1]RawShipmentData!B220))),DATE(VALUE(RIGHT(TRIM([1]RawShipmentData!B220),4)),VALUE(MID(TRIM([1]RawShipmentData!B220),FIND("/",TRIM([1]RawShipmentData!B220))+1,2)),VALUE(LEFT(TRIM([1]RawShipmentData!B220),FIND("/",TRIM([1]RawShipmentData!B220))-1))),DATEVALUE(TRIM([1]RawShipmentData!B220)))</f>
        <v>45440</v>
      </c>
      <c r="C220" s="2" t="str">
        <f>PROPER(TRIM([1]RawShipmentData!C220))</f>
        <v>Bengaluru</v>
      </c>
      <c r="D220" s="2" t="str">
        <f>IFERROR(INDEX([1]HubMaster!$B$2:$B$7,MATCH(C220,[1]HubMaster!$A$2:$A$7,0)),"Unknown")</f>
        <v>South</v>
      </c>
      <c r="E220" s="2" t="str">
        <f>PROPER(TRIM(SUBSTITUTE([1]RawShipmentData!D220,"  "," ")))</f>
        <v>Dtdc</v>
      </c>
      <c r="F220" s="2" t="str">
        <f>PROPER(TRIM([1]RawShipmentData!E220))</f>
        <v>Surface</v>
      </c>
      <c r="G220" s="2" t="str">
        <f>PROPER(TRIM(SUBSTITUTE([1]RawShipmentData!F220,"  "," ")))</f>
        <v>Grocery &amp; Fmcg</v>
      </c>
      <c r="H220" s="2" t="str">
        <f>PROPER(TRIM([1]RawShipmentData!G220))</f>
        <v>West</v>
      </c>
      <c r="I220" s="2" t="str">
        <f t="shared" si="15"/>
        <v>Yes</v>
      </c>
      <c r="J220" s="2">
        <f>IFERROR(VALUE(TRIM(SUBSTITUTE(UPPER([1]RawShipmentData!I220),"KG",""))),"")</f>
        <v>10.7</v>
      </c>
      <c r="K220" s="2">
        <f>VALUE(SUBSTITUTE(SUBSTITUTE(SUBSTITUTE(TRIM([1]RawShipmentData!J220),"₹",""),"Rs",""),",",""))</f>
        <v>390</v>
      </c>
      <c r="L220" s="2">
        <f>[1]RawShipmentData!K220</f>
        <v>6</v>
      </c>
      <c r="M220" s="3">
        <f>IF(TRIM([1]RawShipmentData!L220)="","",IF(ISNUMBER(SEARCH("/",TRIM([1]RawShipmentData!L220))),DATE(VALUE(RIGHT(TRIM([1]RawShipmentData!L220),4)),VALUE(MID(TRIM([1]RawShipmentData!L220),FIND("/",TRIM([1]RawShipmentData!L220))+1,2)),VALUE(LEFT(TRIM([1]RawShipmentData!L220),FIND("/",TRIM([1]RawShipmentData!L220))-1))),DATEVALUE(TRIM([1]RawShipmentData!L220))))</f>
        <v>45445</v>
      </c>
      <c r="N220" s="2">
        <f t="shared" si="16"/>
        <v>5</v>
      </c>
      <c r="O220" s="2">
        <f t="shared" si="17"/>
        <v>-1</v>
      </c>
      <c r="P220" s="2" t="str">
        <f t="shared" si="18"/>
        <v>On Time</v>
      </c>
      <c r="Q220" s="2" t="str">
        <f>PROPER(SUBSTITUTE(TRIM([1]RawShipmentData!M220)," ","-"))</f>
        <v>Delivered</v>
      </c>
      <c r="R220" s="4">
        <f t="shared" si="19"/>
        <v>36.448598130841127</v>
      </c>
      <c r="S220" s="2">
        <f>[1]RawShipmentData!N220</f>
        <v>5</v>
      </c>
      <c r="T220" s="2" t="str">
        <f>IF(OR(UPPER(TRIM([1]RawShipmentData!O220))="YES",UPPER(TRIM([1]RawShipmentData!O220))="Y"),"Yes","No")</f>
        <v>No</v>
      </c>
    </row>
    <row r="221" spans="1:20" x14ac:dyDescent="0.25">
      <c r="A221" s="2" t="str">
        <f>[1]RawShipmentData!A221</f>
        <v>SHP-100168</v>
      </c>
      <c r="B221" s="3">
        <f>IF(ISNUMBER(SEARCH("/",TRIM([1]RawShipmentData!B221))),DATE(VALUE(RIGHT(TRIM([1]RawShipmentData!B221),4)),VALUE(MID(TRIM([1]RawShipmentData!B221),FIND("/",TRIM([1]RawShipmentData!B221))+1,2)),VALUE(LEFT(TRIM([1]RawShipmentData!B221),FIND("/",TRIM([1]RawShipmentData!B221))-1))),DATEVALUE(TRIM([1]RawShipmentData!B221)))</f>
        <v>45406</v>
      </c>
      <c r="C221" s="2" t="str">
        <f>PROPER(TRIM([1]RawShipmentData!C221))</f>
        <v>Delhi</v>
      </c>
      <c r="D221" s="2" t="str">
        <f>IFERROR(INDEX([1]HubMaster!$B$2:$B$7,MATCH(C221,[1]HubMaster!$A$2:$A$7,0)),"Unknown")</f>
        <v>North</v>
      </c>
      <c r="E221" s="2" t="str">
        <f>PROPER(TRIM(SUBSTITUTE([1]RawShipmentData!D221,"  "," ")))</f>
        <v>Xpressbees</v>
      </c>
      <c r="F221" s="2" t="str">
        <f>PROPER(TRIM([1]RawShipmentData!E221))</f>
        <v>Road</v>
      </c>
      <c r="G221" s="2" t="str">
        <f>PROPER(TRIM(SUBSTITUTE([1]RawShipmentData!F221,"  "," ")))</f>
        <v>Apparel</v>
      </c>
      <c r="H221" s="2" t="str">
        <f>PROPER(TRIM([1]RawShipmentData!G221))</f>
        <v>East</v>
      </c>
      <c r="I221" s="2" t="str">
        <f t="shared" si="15"/>
        <v>Yes</v>
      </c>
      <c r="J221" s="2">
        <f>IFERROR(VALUE(TRIM(SUBSTITUTE(UPPER([1]RawShipmentData!I221),"KG",""))),"")</f>
        <v>4</v>
      </c>
      <c r="K221" s="2">
        <f>VALUE(SUBSTITUTE(SUBSTITUTE(SUBSTITUTE(TRIM([1]RawShipmentData!J221),"₹",""),"Rs",""),",",""))</f>
        <v>238</v>
      </c>
      <c r="L221" s="2">
        <f>[1]RawShipmentData!K221</f>
        <v>8</v>
      </c>
      <c r="M221" s="3">
        <f>IF(TRIM([1]RawShipmentData!L221)="","",IF(ISNUMBER(SEARCH("/",TRIM([1]RawShipmentData!L221))),DATE(VALUE(RIGHT(TRIM([1]RawShipmentData!L221),4)),VALUE(MID(TRIM([1]RawShipmentData!L221),FIND("/",TRIM([1]RawShipmentData!L221))+1,2)),VALUE(LEFT(TRIM([1]RawShipmentData!L221),FIND("/",TRIM([1]RawShipmentData!L221))-1))),DATEVALUE(TRIM([1]RawShipmentData!L221))))</f>
        <v>45415</v>
      </c>
      <c r="N221" s="2">
        <f t="shared" si="16"/>
        <v>9</v>
      </c>
      <c r="O221" s="2">
        <f t="shared" si="17"/>
        <v>1</v>
      </c>
      <c r="P221" s="2" t="str">
        <f t="shared" si="18"/>
        <v>Late</v>
      </c>
      <c r="Q221" s="2" t="str">
        <f>PROPER(SUBSTITUTE(TRIM([1]RawShipmentData!M221)," ","-"))</f>
        <v>Delayed</v>
      </c>
      <c r="R221" s="4">
        <f t="shared" si="19"/>
        <v>59.5</v>
      </c>
      <c r="S221" s="2">
        <f>[1]RawShipmentData!N221</f>
        <v>2</v>
      </c>
      <c r="T221" s="2" t="str">
        <f>IF(OR(UPPER(TRIM([1]RawShipmentData!O221))="YES",UPPER(TRIM([1]RawShipmentData!O221))="Y"),"Yes","No")</f>
        <v>No</v>
      </c>
    </row>
    <row r="222" spans="1:20" x14ac:dyDescent="0.25">
      <c r="A222" s="2" t="str">
        <f>[1]RawShipmentData!A222</f>
        <v>SHP-100556</v>
      </c>
      <c r="B222" s="3">
        <f>IF(ISNUMBER(SEARCH("/",TRIM([1]RawShipmentData!B222))),DATE(VALUE(RIGHT(TRIM([1]RawShipmentData!B222),4)),VALUE(MID(TRIM([1]RawShipmentData!B222),FIND("/",TRIM([1]RawShipmentData!B222))+1,2)),VALUE(LEFT(TRIM([1]RawShipmentData!B222),FIND("/",TRIM([1]RawShipmentData!B222))-1))),DATEVALUE(TRIM([1]RawShipmentData!B222)))</f>
        <v>45353</v>
      </c>
      <c r="C222" s="2" t="str">
        <f>PROPER(TRIM([1]RawShipmentData!C222))</f>
        <v>Mumbai</v>
      </c>
      <c r="D222" s="2" t="str">
        <f>IFERROR(INDEX([1]HubMaster!$B$2:$B$7,MATCH(C222,[1]HubMaster!$A$2:$A$7,0)),"Unknown")</f>
        <v>West</v>
      </c>
      <c r="E222" s="2" t="str">
        <f>PROPER(TRIM(SUBSTITUTE([1]RawShipmentData!D222,"  "," ")))</f>
        <v>Ecom Express</v>
      </c>
      <c r="F222" s="2" t="str">
        <f>PROPER(TRIM([1]RawShipmentData!E222))</f>
        <v>Road</v>
      </c>
      <c r="G222" s="2" t="str">
        <f>PROPER(TRIM(SUBSTITUTE([1]RawShipmentData!F222,"  "," ")))</f>
        <v>Automotive Parts</v>
      </c>
      <c r="H222" s="2" t="str">
        <f>PROPER(TRIM([1]RawShipmentData!G222))</f>
        <v>South</v>
      </c>
      <c r="I222" s="2" t="str">
        <f t="shared" si="15"/>
        <v>Yes</v>
      </c>
      <c r="J222" s="2">
        <f>IFERROR(VALUE(TRIM(SUBSTITUTE(UPPER([1]RawShipmentData!I222),"KG",""))),"")</f>
        <v>13.8</v>
      </c>
      <c r="K222" s="2">
        <f>VALUE(SUBSTITUTE(SUBSTITUTE(SUBSTITUTE(TRIM([1]RawShipmentData!J222),"₹",""),"Rs",""),",",""))</f>
        <v>336</v>
      </c>
      <c r="L222" s="2">
        <f>[1]RawShipmentData!K222</f>
        <v>8</v>
      </c>
      <c r="M222" s="3">
        <f>IF(TRIM([1]RawShipmentData!L222)="","",IF(ISNUMBER(SEARCH("/",TRIM([1]RawShipmentData!L222))),DATE(VALUE(RIGHT(TRIM([1]RawShipmentData!L222),4)),VALUE(MID(TRIM([1]RawShipmentData!L222),FIND("/",TRIM([1]RawShipmentData!L222))+1,2)),VALUE(LEFT(TRIM([1]RawShipmentData!L222),FIND("/",TRIM([1]RawShipmentData!L222))-1))),DATEVALUE(TRIM([1]RawShipmentData!L222))))</f>
        <v>45361</v>
      </c>
      <c r="N222" s="2">
        <f t="shared" si="16"/>
        <v>8</v>
      </c>
      <c r="O222" s="2">
        <f t="shared" si="17"/>
        <v>0</v>
      </c>
      <c r="P222" s="2" t="str">
        <f t="shared" si="18"/>
        <v>On Time</v>
      </c>
      <c r="Q222" s="2" t="str">
        <f>PROPER(SUBSTITUTE(TRIM([1]RawShipmentData!M222)," ","-"))</f>
        <v>Delivered</v>
      </c>
      <c r="R222" s="4">
        <f t="shared" si="19"/>
        <v>24.34782608695652</v>
      </c>
      <c r="S222" s="2">
        <f>[1]RawShipmentData!N222</f>
        <v>4</v>
      </c>
      <c r="T222" s="2" t="str">
        <f>IF(OR(UPPER(TRIM([1]RawShipmentData!O222))="YES",UPPER(TRIM([1]RawShipmentData!O222))="Y"),"Yes","No")</f>
        <v>Yes</v>
      </c>
    </row>
    <row r="223" spans="1:20" x14ac:dyDescent="0.25">
      <c r="A223" s="2" t="str">
        <f>[1]RawShipmentData!A223</f>
        <v>SHP-100756</v>
      </c>
      <c r="B223" s="3">
        <f>IF(ISNUMBER(SEARCH("/",TRIM([1]RawShipmentData!B223))),DATE(VALUE(RIGHT(TRIM([1]RawShipmentData!B223),4)),VALUE(MID(TRIM([1]RawShipmentData!B223),FIND("/",TRIM([1]RawShipmentData!B223))+1,2)),VALUE(LEFT(TRIM([1]RawShipmentData!B223),FIND("/",TRIM([1]RawShipmentData!B223))-1))),DATEVALUE(TRIM([1]RawShipmentData!B223)))</f>
        <v>45304</v>
      </c>
      <c r="C223" s="2" t="str">
        <f>PROPER(TRIM([1]RawShipmentData!C223))</f>
        <v>Mumbai</v>
      </c>
      <c r="D223" s="2" t="str">
        <f>IFERROR(INDEX([1]HubMaster!$B$2:$B$7,MATCH(C223,[1]HubMaster!$A$2:$A$7,0)),"Unknown")</f>
        <v>West</v>
      </c>
      <c r="E223" s="2" t="str">
        <f>PROPER(TRIM(SUBSTITUTE([1]RawShipmentData!D223,"  "," ")))</f>
        <v>Delhivery</v>
      </c>
      <c r="F223" s="2" t="str">
        <f>PROPER(TRIM([1]RawShipmentData!E223))</f>
        <v>Surface</v>
      </c>
      <c r="G223" s="2" t="str">
        <f>PROPER(TRIM(SUBSTITUTE([1]RawShipmentData!F223,"  "," ")))</f>
        <v>Grocery &amp; Fmcg</v>
      </c>
      <c r="H223" s="2" t="str">
        <f>PROPER(TRIM([1]RawShipmentData!G223))</f>
        <v>North</v>
      </c>
      <c r="I223" s="2" t="str">
        <f t="shared" si="15"/>
        <v>Yes</v>
      </c>
      <c r="J223" s="2">
        <f>IFERROR(VALUE(TRIM(SUBSTITUTE(UPPER([1]RawShipmentData!I223),"KG",""))),"")</f>
        <v>15</v>
      </c>
      <c r="K223" s="2">
        <f>VALUE(SUBSTITUTE(SUBSTITUTE(SUBSTITUTE(TRIM([1]RawShipmentData!J223),"₹",""),"Rs",""),",",""))</f>
        <v>470</v>
      </c>
      <c r="L223" s="2">
        <f>[1]RawShipmentData!K223</f>
        <v>6</v>
      </c>
      <c r="M223" s="3">
        <f>IF(TRIM([1]RawShipmentData!L223)="","",IF(ISNUMBER(SEARCH("/",TRIM([1]RawShipmentData!L223))),DATE(VALUE(RIGHT(TRIM([1]RawShipmentData!L223),4)),VALUE(MID(TRIM([1]RawShipmentData!L223),FIND("/",TRIM([1]RawShipmentData!L223))+1,2)),VALUE(LEFT(TRIM([1]RawShipmentData!L223),FIND("/",TRIM([1]RawShipmentData!L223))-1))),DATEVALUE(TRIM([1]RawShipmentData!L223))))</f>
        <v>45310</v>
      </c>
      <c r="N223" s="2">
        <f t="shared" si="16"/>
        <v>6</v>
      </c>
      <c r="O223" s="2">
        <f t="shared" si="17"/>
        <v>0</v>
      </c>
      <c r="P223" s="2" t="str">
        <f t="shared" si="18"/>
        <v>On Time</v>
      </c>
      <c r="Q223" s="2" t="str">
        <f>PROPER(SUBSTITUTE(TRIM([1]RawShipmentData!M223)," ","-"))</f>
        <v>Delivered</v>
      </c>
      <c r="R223" s="4">
        <f t="shared" si="19"/>
        <v>31.333333333333332</v>
      </c>
      <c r="S223" s="2">
        <f>[1]RawShipmentData!N223</f>
        <v>4</v>
      </c>
      <c r="T223" s="2" t="str">
        <f>IF(OR(UPPER(TRIM([1]RawShipmentData!O223))="YES",UPPER(TRIM([1]RawShipmentData!O223))="Y"),"Yes","No")</f>
        <v>No</v>
      </c>
    </row>
    <row r="224" spans="1:20" x14ac:dyDescent="0.25">
      <c r="A224" s="2" t="str">
        <f>[1]RawShipmentData!A224</f>
        <v>SHP-101172</v>
      </c>
      <c r="B224" s="3">
        <f>IF(ISNUMBER(SEARCH("/",TRIM([1]RawShipmentData!B224))),DATE(VALUE(RIGHT(TRIM([1]RawShipmentData!B224),4)),VALUE(MID(TRIM([1]RawShipmentData!B224),FIND("/",TRIM([1]RawShipmentData!B224))+1,2)),VALUE(LEFT(TRIM([1]RawShipmentData!B224),FIND("/",TRIM([1]RawShipmentData!B224))-1))),DATEVALUE(TRIM([1]RawShipmentData!B224)))</f>
        <v>45470</v>
      </c>
      <c r="C224" s="2" t="str">
        <f>PROPER(TRIM([1]RawShipmentData!C224))</f>
        <v>Chennai</v>
      </c>
      <c r="D224" s="2" t="str">
        <f>IFERROR(INDEX([1]HubMaster!$B$2:$B$7,MATCH(C224,[1]HubMaster!$A$2:$A$7,0)),"Unknown")</f>
        <v>South</v>
      </c>
      <c r="E224" s="2" t="str">
        <f>PROPER(TRIM(SUBSTITUTE([1]RawShipmentData!D224,"  "," ")))</f>
        <v>Xpressbees</v>
      </c>
      <c r="F224" s="2" t="str">
        <f>PROPER(TRIM([1]RawShipmentData!E224))</f>
        <v>Air</v>
      </c>
      <c r="G224" s="2" t="str">
        <f>PROPER(TRIM(SUBSTITUTE([1]RawShipmentData!F224,"  "," ")))</f>
        <v>Furniture</v>
      </c>
      <c r="H224" s="2" t="str">
        <f>PROPER(TRIM([1]RawShipmentData!G224))</f>
        <v>South</v>
      </c>
      <c r="I224" s="2" t="str">
        <f t="shared" si="15"/>
        <v>No</v>
      </c>
      <c r="J224" s="2">
        <f>IFERROR(VALUE(TRIM(SUBSTITUTE(UPPER([1]RawShipmentData!I224),"KG",""))),"")</f>
        <v>65.400000000000006</v>
      </c>
      <c r="K224" s="2">
        <f>VALUE(SUBSTITUTE(SUBSTITUTE(SUBSTITUTE(TRIM([1]RawShipmentData!J224),"₹",""),"Rs",""),",",""))</f>
        <v>2934</v>
      </c>
      <c r="L224" s="2">
        <f>[1]RawShipmentData!K224</f>
        <v>2</v>
      </c>
      <c r="M224" s="3">
        <f>IF(TRIM([1]RawShipmentData!L224)="","",IF(ISNUMBER(SEARCH("/",TRIM([1]RawShipmentData!L224))),DATE(VALUE(RIGHT(TRIM([1]RawShipmentData!L224),4)),VALUE(MID(TRIM([1]RawShipmentData!L224),FIND("/",TRIM([1]RawShipmentData!L224))+1,2)),VALUE(LEFT(TRIM([1]RawShipmentData!L224),FIND("/",TRIM([1]RawShipmentData!L224))-1))),DATEVALUE(TRIM([1]RawShipmentData!L224))))</f>
        <v>45472</v>
      </c>
      <c r="N224" s="2">
        <f t="shared" si="16"/>
        <v>2</v>
      </c>
      <c r="O224" s="2">
        <f t="shared" si="17"/>
        <v>0</v>
      </c>
      <c r="P224" s="2" t="str">
        <f t="shared" si="18"/>
        <v>On Time</v>
      </c>
      <c r="Q224" s="2" t="str">
        <f>PROPER(SUBSTITUTE(TRIM([1]RawShipmentData!M224)," ","-"))</f>
        <v>Delivered</v>
      </c>
      <c r="R224" s="4">
        <f t="shared" si="19"/>
        <v>44.862385321100916</v>
      </c>
      <c r="S224" s="2">
        <f>[1]RawShipmentData!N224</f>
        <v>1</v>
      </c>
      <c r="T224" s="2" t="str">
        <f>IF(OR(UPPER(TRIM([1]RawShipmentData!O224))="YES",UPPER(TRIM([1]RawShipmentData!O224))="Y"),"Yes","No")</f>
        <v>No</v>
      </c>
    </row>
    <row r="225" spans="1:20" x14ac:dyDescent="0.25">
      <c r="A225" s="2" t="str">
        <f>[1]RawShipmentData!A225</f>
        <v>SHP-100770</v>
      </c>
      <c r="B225" s="3">
        <f>IF(ISNUMBER(SEARCH("/",TRIM([1]RawShipmentData!B225))),DATE(VALUE(RIGHT(TRIM([1]RawShipmentData!B225),4)),VALUE(MID(TRIM([1]RawShipmentData!B225),FIND("/",TRIM([1]RawShipmentData!B225))+1,2)),VALUE(LEFT(TRIM([1]RawShipmentData!B225),FIND("/",TRIM([1]RawShipmentData!B225))-1))),DATEVALUE(TRIM([1]RawShipmentData!B225)))</f>
        <v>45296</v>
      </c>
      <c r="C225" s="2" t="str">
        <f>PROPER(TRIM([1]RawShipmentData!C225))</f>
        <v>Chennai</v>
      </c>
      <c r="D225" s="2" t="str">
        <f>IFERROR(INDEX([1]HubMaster!$B$2:$B$7,MATCH(C225,[1]HubMaster!$A$2:$A$7,0)),"Unknown")</f>
        <v>South</v>
      </c>
      <c r="E225" s="2" t="str">
        <f>PROPER(TRIM(SUBSTITUTE([1]RawShipmentData!D225,"  "," ")))</f>
        <v>Bluedart</v>
      </c>
      <c r="F225" s="2" t="str">
        <f>PROPER(TRIM([1]RawShipmentData!E225))</f>
        <v>Air</v>
      </c>
      <c r="G225" s="2" t="str">
        <f>PROPER(TRIM(SUBSTITUTE([1]RawShipmentData!F225,"  "," ")))</f>
        <v>Apparel</v>
      </c>
      <c r="H225" s="2" t="str">
        <f>PROPER(TRIM([1]RawShipmentData!G225))</f>
        <v>South</v>
      </c>
      <c r="I225" s="2" t="str">
        <f t="shared" si="15"/>
        <v>No</v>
      </c>
      <c r="J225" s="2">
        <f>IFERROR(VALUE(TRIM(SUBSTITUTE(UPPER([1]RawShipmentData!I225),"KG",""))),"")</f>
        <v>6.2</v>
      </c>
      <c r="K225" s="2">
        <f>VALUE(SUBSTITUTE(SUBSTITUTE(SUBSTITUTE(TRIM([1]RawShipmentData!J225),"₹",""),"Rs",""),",",""))</f>
        <v>291</v>
      </c>
      <c r="L225" s="2">
        <f>[1]RawShipmentData!K225</f>
        <v>2</v>
      </c>
      <c r="M225" s="3">
        <f>IF(TRIM([1]RawShipmentData!L225)="","",IF(ISNUMBER(SEARCH("/",TRIM([1]RawShipmentData!L225))),DATE(VALUE(RIGHT(TRIM([1]RawShipmentData!L225),4)),VALUE(MID(TRIM([1]RawShipmentData!L225),FIND("/",TRIM([1]RawShipmentData!L225))+1,2)),VALUE(LEFT(TRIM([1]RawShipmentData!L225),FIND("/",TRIM([1]RawShipmentData!L225))-1))),DATEVALUE(TRIM([1]RawShipmentData!L225))))</f>
        <v>45298</v>
      </c>
      <c r="N225" s="2">
        <f t="shared" si="16"/>
        <v>2</v>
      </c>
      <c r="O225" s="2">
        <f t="shared" si="17"/>
        <v>0</v>
      </c>
      <c r="P225" s="2" t="str">
        <f t="shared" si="18"/>
        <v>On Time</v>
      </c>
      <c r="Q225" s="2" t="str">
        <f>PROPER(SUBSTITUTE(TRIM([1]RawShipmentData!M225)," ","-"))</f>
        <v>Delivered</v>
      </c>
      <c r="R225" s="4">
        <f t="shared" si="19"/>
        <v>46.935483870967744</v>
      </c>
      <c r="S225" s="2">
        <f>[1]RawShipmentData!N225</f>
        <v>4</v>
      </c>
      <c r="T225" s="2" t="str">
        <f>IF(OR(UPPER(TRIM([1]RawShipmentData!O225))="YES",UPPER(TRIM([1]RawShipmentData!O225))="Y"),"Yes","No")</f>
        <v>Yes</v>
      </c>
    </row>
    <row r="226" spans="1:20" x14ac:dyDescent="0.25">
      <c r="A226" s="2" t="str">
        <f>[1]RawShipmentData!A226</f>
        <v>SHP-101104</v>
      </c>
      <c r="B226" s="3">
        <f>IF(ISNUMBER(SEARCH("/",TRIM([1]RawShipmentData!B226))),DATE(VALUE(RIGHT(TRIM([1]RawShipmentData!B226),4)),VALUE(MID(TRIM([1]RawShipmentData!B226),FIND("/",TRIM([1]RawShipmentData!B226))+1,2)),VALUE(LEFT(TRIM([1]RawShipmentData!B226),FIND("/",TRIM([1]RawShipmentData!B226))-1))),DATEVALUE(TRIM([1]RawShipmentData!B226)))</f>
        <v>45434</v>
      </c>
      <c r="C226" s="2" t="str">
        <f>PROPER(TRIM([1]RawShipmentData!C226))</f>
        <v>Bengaluru</v>
      </c>
      <c r="D226" s="2" t="str">
        <f>IFERROR(INDEX([1]HubMaster!$B$2:$B$7,MATCH(C226,[1]HubMaster!$A$2:$A$7,0)),"Unknown")</f>
        <v>South</v>
      </c>
      <c r="E226" s="2" t="str">
        <f>PROPER(TRIM(SUBSTITUTE([1]RawShipmentData!D226,"  "," ")))</f>
        <v>Ecom Express</v>
      </c>
      <c r="F226" s="2" t="str">
        <f>PROPER(TRIM([1]RawShipmentData!E226))</f>
        <v>Surface</v>
      </c>
      <c r="G226" s="2" t="str">
        <f>PROPER(TRIM(SUBSTITUTE([1]RawShipmentData!F226,"  "," ")))</f>
        <v>Electronics</v>
      </c>
      <c r="H226" s="2" t="str">
        <f>PROPER(TRIM([1]RawShipmentData!G226))</f>
        <v>West</v>
      </c>
      <c r="I226" s="2" t="str">
        <f t="shared" si="15"/>
        <v>Yes</v>
      </c>
      <c r="J226" s="2">
        <f>IFERROR(VALUE(TRIM(SUBSTITUTE(UPPER([1]RawShipmentData!I226),"KG",""))),"")</f>
        <v>4.2</v>
      </c>
      <c r="K226" s="2">
        <f>VALUE(SUBSTITUTE(SUBSTITUTE(SUBSTITUTE(TRIM([1]RawShipmentData!J226),"₹",""),"Rs",""),",",""))</f>
        <v>284</v>
      </c>
      <c r="L226" s="2">
        <f>[1]RawShipmentData!K226</f>
        <v>6</v>
      </c>
      <c r="M226" s="3">
        <f>IF(TRIM([1]RawShipmentData!L226)="","",IF(ISNUMBER(SEARCH("/",TRIM([1]RawShipmentData!L226))),DATE(VALUE(RIGHT(TRIM([1]RawShipmentData!L226),4)),VALUE(MID(TRIM([1]RawShipmentData!L226),FIND("/",TRIM([1]RawShipmentData!L226))+1,2)),VALUE(LEFT(TRIM([1]RawShipmentData!L226),FIND("/",TRIM([1]RawShipmentData!L226))-1))),DATEVALUE(TRIM([1]RawShipmentData!L226))))</f>
        <v>45441</v>
      </c>
      <c r="N226" s="2">
        <f t="shared" si="16"/>
        <v>7</v>
      </c>
      <c r="O226" s="2">
        <f t="shared" si="17"/>
        <v>1</v>
      </c>
      <c r="P226" s="2" t="str">
        <f t="shared" si="18"/>
        <v>Late</v>
      </c>
      <c r="Q226" s="2" t="str">
        <f>PROPER(SUBSTITUTE(TRIM([1]RawShipmentData!M226)," ","-"))</f>
        <v>Delayed</v>
      </c>
      <c r="R226" s="4">
        <f t="shared" si="19"/>
        <v>67.61904761904762</v>
      </c>
      <c r="S226" s="2">
        <f>[1]RawShipmentData!N226</f>
        <v>1</v>
      </c>
      <c r="T226" s="2" t="str">
        <f>IF(OR(UPPER(TRIM([1]RawShipmentData!O226))="YES",UPPER(TRIM([1]RawShipmentData!O226))="Y"),"Yes","No")</f>
        <v>No</v>
      </c>
    </row>
    <row r="227" spans="1:20" x14ac:dyDescent="0.25">
      <c r="A227" s="2" t="str">
        <f>[1]RawShipmentData!A227</f>
        <v>SHP-100438</v>
      </c>
      <c r="B227" s="3">
        <f>IF(ISNUMBER(SEARCH("/",TRIM([1]RawShipmentData!B227))),DATE(VALUE(RIGHT(TRIM([1]RawShipmentData!B227),4)),VALUE(MID(TRIM([1]RawShipmentData!B227),FIND("/",TRIM([1]RawShipmentData!B227))+1,2)),VALUE(LEFT(TRIM([1]RawShipmentData!B227),FIND("/",TRIM([1]RawShipmentData!B227))-1))),DATEVALUE(TRIM([1]RawShipmentData!B227)))</f>
        <v>45394</v>
      </c>
      <c r="C227" s="2" t="str">
        <f>PROPER(TRIM([1]RawShipmentData!C227))</f>
        <v>Chennai</v>
      </c>
      <c r="D227" s="2" t="str">
        <f>IFERROR(INDEX([1]HubMaster!$B$2:$B$7,MATCH(C227,[1]HubMaster!$A$2:$A$7,0)),"Unknown")</f>
        <v>South</v>
      </c>
      <c r="E227" s="2" t="str">
        <f>PROPER(TRIM(SUBSTITUTE([1]RawShipmentData!D227,"  "," ")))</f>
        <v>Delhivery</v>
      </c>
      <c r="F227" s="2" t="str">
        <f>PROPER(TRIM([1]RawShipmentData!E227))</f>
        <v>Air</v>
      </c>
      <c r="G227" s="2" t="str">
        <f>PROPER(TRIM(SUBSTITUTE([1]RawShipmentData!F227,"  "," ")))</f>
        <v>Automotive Parts</v>
      </c>
      <c r="H227" s="2" t="str">
        <f>PROPER(TRIM([1]RawShipmentData!G227))</f>
        <v>East</v>
      </c>
      <c r="I227" s="2" t="str">
        <f t="shared" si="15"/>
        <v>Yes</v>
      </c>
      <c r="J227" s="2">
        <f>IFERROR(VALUE(TRIM(SUBSTITUTE(UPPER([1]RawShipmentData!I227),"KG",""))),"")</f>
        <v>16.399999999999999</v>
      </c>
      <c r="K227" s="2">
        <f>VALUE(SUBSTITUTE(SUBSTITUTE(SUBSTITUTE(TRIM([1]RawShipmentData!J227),"₹",""),"Rs",""),",",""))</f>
        <v>902</v>
      </c>
      <c r="L227" s="2">
        <f>[1]RawShipmentData!K227</f>
        <v>4</v>
      </c>
      <c r="M227" s="3">
        <f>IF(TRIM([1]RawShipmentData!L227)="","",IF(ISNUMBER(SEARCH("/",TRIM([1]RawShipmentData!L227))),DATE(VALUE(RIGHT(TRIM([1]RawShipmentData!L227),4)),VALUE(MID(TRIM([1]RawShipmentData!L227),FIND("/",TRIM([1]RawShipmentData!L227))+1,2)),VALUE(LEFT(TRIM([1]RawShipmentData!L227),FIND("/",TRIM([1]RawShipmentData!L227))-1))),DATEVALUE(TRIM([1]RawShipmentData!L227))))</f>
        <v>45398</v>
      </c>
      <c r="N227" s="2">
        <f t="shared" si="16"/>
        <v>4</v>
      </c>
      <c r="O227" s="2">
        <f t="shared" si="17"/>
        <v>0</v>
      </c>
      <c r="P227" s="2" t="str">
        <f t="shared" si="18"/>
        <v>On Time</v>
      </c>
      <c r="Q227" s="2" t="str">
        <f>PROPER(SUBSTITUTE(TRIM([1]RawShipmentData!M227)," ","-"))</f>
        <v>Delivered</v>
      </c>
      <c r="R227" s="4">
        <f t="shared" si="19"/>
        <v>55.000000000000007</v>
      </c>
      <c r="S227" s="2">
        <f>[1]RawShipmentData!N227</f>
        <v>4</v>
      </c>
      <c r="T227" s="2" t="str">
        <f>IF(OR(UPPER(TRIM([1]RawShipmentData!O227))="YES",UPPER(TRIM([1]RawShipmentData!O227))="Y"),"Yes","No")</f>
        <v>Yes</v>
      </c>
    </row>
    <row r="228" spans="1:20" x14ac:dyDescent="0.25">
      <c r="A228" s="2" t="str">
        <f>[1]RawShipmentData!A228</f>
        <v>SHP-101350</v>
      </c>
      <c r="B228" s="3">
        <f>IF(ISNUMBER(SEARCH("/",TRIM([1]RawShipmentData!B228))),DATE(VALUE(RIGHT(TRIM([1]RawShipmentData!B228),4)),VALUE(MID(TRIM([1]RawShipmentData!B228),FIND("/",TRIM([1]RawShipmentData!B228))+1,2)),VALUE(LEFT(TRIM([1]RawShipmentData!B228),FIND("/",TRIM([1]RawShipmentData!B228))-1))),DATEVALUE(TRIM([1]RawShipmentData!B228)))</f>
        <v>45339</v>
      </c>
      <c r="C228" s="2" t="str">
        <f>PROPER(TRIM([1]RawShipmentData!C228))</f>
        <v>Hyderabad</v>
      </c>
      <c r="D228" s="2" t="str">
        <f>IFERROR(INDEX([1]HubMaster!$B$2:$B$7,MATCH(C228,[1]HubMaster!$A$2:$A$7,0)),"Unknown")</f>
        <v>West</v>
      </c>
      <c r="E228" s="2" t="str">
        <f>PROPER(TRIM(SUBSTITUTE([1]RawShipmentData!D228,"  "," ")))</f>
        <v>Dtdc</v>
      </c>
      <c r="F228" s="2" t="str">
        <f>PROPER(TRIM([1]RawShipmentData!E228))</f>
        <v>Surface</v>
      </c>
      <c r="G228" s="2" t="str">
        <f>PROPER(TRIM(SUBSTITUTE([1]RawShipmentData!F228,"  "," ")))</f>
        <v>Apparel</v>
      </c>
      <c r="H228" s="2" t="str">
        <f>PROPER(TRIM([1]RawShipmentData!G228))</f>
        <v>West</v>
      </c>
      <c r="I228" s="2" t="str">
        <f t="shared" si="15"/>
        <v>No</v>
      </c>
      <c r="J228" s="2">
        <f>IFERROR(VALUE(TRIM(SUBSTITUTE(UPPER([1]RawShipmentData!I228),"KG",""))),"")</f>
        <v>3.8</v>
      </c>
      <c r="K228" s="2">
        <f>VALUE(SUBSTITUTE(SUBSTITUTE(SUBSTITUTE(TRIM([1]RawShipmentData!J228),"₹",""),"Rs",""),",",""))</f>
        <v>124</v>
      </c>
      <c r="L228" s="2">
        <f>[1]RawShipmentData!K228</f>
        <v>4</v>
      </c>
      <c r="M228" s="3">
        <f>IF(TRIM([1]RawShipmentData!L228)="","",IF(ISNUMBER(SEARCH("/",TRIM([1]RawShipmentData!L228))),DATE(VALUE(RIGHT(TRIM([1]RawShipmentData!L228),4)),VALUE(MID(TRIM([1]RawShipmentData!L228),FIND("/",TRIM([1]RawShipmentData!L228))+1,2)),VALUE(LEFT(TRIM([1]RawShipmentData!L228),FIND("/",TRIM([1]RawShipmentData!L228))-1))),DATEVALUE(TRIM([1]RawShipmentData!L228))))</f>
        <v>45343</v>
      </c>
      <c r="N228" s="2">
        <f t="shared" si="16"/>
        <v>4</v>
      </c>
      <c r="O228" s="2">
        <f t="shared" si="17"/>
        <v>0</v>
      </c>
      <c r="P228" s="2" t="str">
        <f t="shared" si="18"/>
        <v>On Time</v>
      </c>
      <c r="Q228" s="2" t="str">
        <f>PROPER(SUBSTITUTE(TRIM([1]RawShipmentData!M228)," ","-"))</f>
        <v>Delivered</v>
      </c>
      <c r="R228" s="4">
        <f t="shared" si="19"/>
        <v>32.631578947368425</v>
      </c>
      <c r="S228" s="2">
        <f>[1]RawShipmentData!N228</f>
        <v>4</v>
      </c>
      <c r="T228" s="2" t="str">
        <f>IF(OR(UPPER(TRIM([1]RawShipmentData!O228))="YES",UPPER(TRIM([1]RawShipmentData!O228))="Y"),"Yes","No")</f>
        <v>Yes</v>
      </c>
    </row>
    <row r="229" spans="1:20" x14ac:dyDescent="0.25">
      <c r="A229" s="2" t="str">
        <f>[1]RawShipmentData!A229</f>
        <v>SHP-100364</v>
      </c>
      <c r="B229" s="3">
        <f>IF(ISNUMBER(SEARCH("/",TRIM([1]RawShipmentData!B229))),DATE(VALUE(RIGHT(TRIM([1]RawShipmentData!B229),4)),VALUE(MID(TRIM([1]RawShipmentData!B229),FIND("/",TRIM([1]RawShipmentData!B229))+1,2)),VALUE(LEFT(TRIM([1]RawShipmentData!B229),FIND("/",TRIM([1]RawShipmentData!B229))-1))),DATEVALUE(TRIM([1]RawShipmentData!B229)))</f>
        <v>45375</v>
      </c>
      <c r="C229" s="2" t="str">
        <f>PROPER(TRIM([1]RawShipmentData!C229))</f>
        <v>Hyderabad</v>
      </c>
      <c r="D229" s="2" t="str">
        <f>IFERROR(INDEX([1]HubMaster!$B$2:$B$7,MATCH(C229,[1]HubMaster!$A$2:$A$7,0)),"Unknown")</f>
        <v>West</v>
      </c>
      <c r="E229" s="2" t="str">
        <f>PROPER(TRIM(SUBSTITUTE([1]RawShipmentData!D229,"  "," ")))</f>
        <v>Dtdc</v>
      </c>
      <c r="F229" s="2" t="str">
        <f>PROPER(TRIM([1]RawShipmentData!E229))</f>
        <v>Surface</v>
      </c>
      <c r="G229" s="2" t="str">
        <f>PROPER(TRIM(SUBSTITUTE([1]RawShipmentData!F229,"  "," ")))</f>
        <v>Automotive Parts</v>
      </c>
      <c r="H229" s="2" t="str">
        <f>PROPER(TRIM([1]RawShipmentData!G229))</f>
        <v>South</v>
      </c>
      <c r="I229" s="2" t="str">
        <f t="shared" si="15"/>
        <v>Yes</v>
      </c>
      <c r="J229" s="2">
        <f>IFERROR(VALUE(TRIM(SUBSTITUTE(UPPER([1]RawShipmentData!I229),"KG",""))),"")</f>
        <v>37.200000000000003</v>
      </c>
      <c r="K229" s="2">
        <f>VALUE(SUBSTITUTE(SUBSTITUTE(SUBSTITUTE(TRIM([1]RawShipmentData!J229),"₹",""),"Rs",""),",",""))</f>
        <v>1000</v>
      </c>
      <c r="L229" s="2">
        <f>[1]RawShipmentData!K229</f>
        <v>6</v>
      </c>
      <c r="M229" s="3">
        <f>IF(TRIM([1]RawShipmentData!L229)="","",IF(ISNUMBER(SEARCH("/",TRIM([1]RawShipmentData!L229))),DATE(VALUE(RIGHT(TRIM([1]RawShipmentData!L229),4)),VALUE(MID(TRIM([1]RawShipmentData!L229),FIND("/",TRIM([1]RawShipmentData!L229))+1,2)),VALUE(LEFT(TRIM([1]RawShipmentData!L229),FIND("/",TRIM([1]RawShipmentData!L229))-1))),DATEVALUE(TRIM([1]RawShipmentData!L229))))</f>
        <v>45390</v>
      </c>
      <c r="N229" s="2">
        <f t="shared" si="16"/>
        <v>15</v>
      </c>
      <c r="O229" s="2">
        <f t="shared" si="17"/>
        <v>9</v>
      </c>
      <c r="P229" s="2" t="str">
        <f t="shared" si="18"/>
        <v>Late</v>
      </c>
      <c r="Q229" s="2" t="str">
        <f>PROPER(SUBSTITUTE(TRIM([1]RawShipmentData!M229)," ","-"))</f>
        <v>Delayed</v>
      </c>
      <c r="R229" s="4">
        <f t="shared" si="19"/>
        <v>26.881720430107524</v>
      </c>
      <c r="S229" s="2">
        <f>[1]RawShipmentData!N229</f>
        <v>3</v>
      </c>
      <c r="T229" s="2" t="str">
        <f>IF(OR(UPPER(TRIM([1]RawShipmentData!O229))="YES",UPPER(TRIM([1]RawShipmentData!O229))="Y"),"Yes","No")</f>
        <v>No</v>
      </c>
    </row>
    <row r="230" spans="1:20" x14ac:dyDescent="0.25">
      <c r="A230" s="2" t="str">
        <f>[1]RawShipmentData!A230</f>
        <v>SHP-100235</v>
      </c>
      <c r="B230" s="3">
        <f>IF(ISNUMBER(SEARCH("/",TRIM([1]RawShipmentData!B230))),DATE(VALUE(RIGHT(TRIM([1]RawShipmentData!B230),4)),VALUE(MID(TRIM([1]RawShipmentData!B230),FIND("/",TRIM([1]RawShipmentData!B230))+1,2)),VALUE(LEFT(TRIM([1]RawShipmentData!B230),FIND("/",TRIM([1]RawShipmentData!B230))-1))),DATEVALUE(TRIM([1]RawShipmentData!B230)))</f>
        <v>45345</v>
      </c>
      <c r="C230" s="2" t="str">
        <f>PROPER(TRIM([1]RawShipmentData!C230))</f>
        <v>Chennai</v>
      </c>
      <c r="D230" s="2" t="str">
        <f>IFERROR(INDEX([1]HubMaster!$B$2:$B$7,MATCH(C230,[1]HubMaster!$A$2:$A$7,0)),"Unknown")</f>
        <v>South</v>
      </c>
      <c r="E230" s="2" t="str">
        <f>PROPER(TRIM(SUBSTITUTE([1]RawShipmentData!D230,"  "," ")))</f>
        <v>Xpressbees</v>
      </c>
      <c r="F230" s="2" t="str">
        <f>PROPER(TRIM([1]RawShipmentData!E230))</f>
        <v>Road</v>
      </c>
      <c r="G230" s="2" t="str">
        <f>PROPER(TRIM(SUBSTITUTE([1]RawShipmentData!F230,"  "," ")))</f>
        <v>Furniture</v>
      </c>
      <c r="H230" s="2" t="str">
        <f>PROPER(TRIM([1]RawShipmentData!G230))</f>
        <v>South</v>
      </c>
      <c r="I230" s="2" t="str">
        <f t="shared" si="15"/>
        <v>No</v>
      </c>
      <c r="J230" s="2">
        <f>IFERROR(VALUE(TRIM(SUBSTITUTE(UPPER([1]RawShipmentData!I230),"KG",""))),"")</f>
        <v>15.4</v>
      </c>
      <c r="K230" s="2">
        <f>VALUE(SUBSTITUTE(SUBSTITUTE(SUBSTITUTE(TRIM([1]RawShipmentData!J230),"₹",""),"Rs",""),",",""))</f>
        <v>218</v>
      </c>
      <c r="L230" s="2">
        <f>[1]RawShipmentData!K230</f>
        <v>6</v>
      </c>
      <c r="M230" s="3">
        <f>IF(TRIM([1]RawShipmentData!L230)="","",IF(ISNUMBER(SEARCH("/",TRIM([1]RawShipmentData!L230))),DATE(VALUE(RIGHT(TRIM([1]RawShipmentData!L230),4)),VALUE(MID(TRIM([1]RawShipmentData!L230),FIND("/",TRIM([1]RawShipmentData!L230))+1,2)),VALUE(LEFT(TRIM([1]RawShipmentData!L230),FIND("/",TRIM([1]RawShipmentData!L230))-1))),DATEVALUE(TRIM([1]RawShipmentData!L230))))</f>
        <v>45352</v>
      </c>
      <c r="N230" s="2">
        <f t="shared" si="16"/>
        <v>7</v>
      </c>
      <c r="O230" s="2">
        <f t="shared" si="17"/>
        <v>1</v>
      </c>
      <c r="P230" s="2" t="str">
        <f t="shared" si="18"/>
        <v>Late</v>
      </c>
      <c r="Q230" s="2" t="str">
        <f>PROPER(SUBSTITUTE(TRIM([1]RawShipmentData!M230)," ","-"))</f>
        <v>Delayed</v>
      </c>
      <c r="R230" s="4">
        <f t="shared" si="19"/>
        <v>14.155844155844155</v>
      </c>
      <c r="S230" s="2">
        <f>[1]RawShipmentData!N230</f>
        <v>4</v>
      </c>
      <c r="T230" s="2" t="str">
        <f>IF(OR(UPPER(TRIM([1]RawShipmentData!O230))="YES",UPPER(TRIM([1]RawShipmentData!O230))="Y"),"Yes","No")</f>
        <v>No</v>
      </c>
    </row>
    <row r="231" spans="1:20" x14ac:dyDescent="0.25">
      <c r="A231" s="2" t="str">
        <f>[1]RawShipmentData!A231</f>
        <v>SHP-100145</v>
      </c>
      <c r="B231" s="3">
        <f>IF(ISNUMBER(SEARCH("/",TRIM([1]RawShipmentData!B231))),DATE(VALUE(RIGHT(TRIM([1]RawShipmentData!B231),4)),VALUE(MID(TRIM([1]RawShipmentData!B231),FIND("/",TRIM([1]RawShipmentData!B231))+1,2)),VALUE(LEFT(TRIM([1]RawShipmentData!B231),FIND("/",TRIM([1]RawShipmentData!B231))-1))),DATEVALUE(TRIM([1]RawShipmentData!B231)))</f>
        <v>45439</v>
      </c>
      <c r="C231" s="2" t="str">
        <f>PROPER(TRIM([1]RawShipmentData!C231))</f>
        <v>Chennai</v>
      </c>
      <c r="D231" s="2" t="str">
        <f>IFERROR(INDEX([1]HubMaster!$B$2:$B$7,MATCH(C231,[1]HubMaster!$A$2:$A$7,0)),"Unknown")</f>
        <v>South</v>
      </c>
      <c r="E231" s="2" t="str">
        <f>PROPER(TRIM(SUBSTITUTE([1]RawShipmentData!D231,"  "," ")))</f>
        <v>Delhivery</v>
      </c>
      <c r="F231" s="2" t="str">
        <f>PROPER(TRIM([1]RawShipmentData!E231))</f>
        <v>Air</v>
      </c>
      <c r="G231" s="2" t="str">
        <f>PROPER(TRIM(SUBSTITUTE([1]RawShipmentData!F231,"  "," ")))</f>
        <v>Electronics</v>
      </c>
      <c r="H231" s="2" t="str">
        <f>PROPER(TRIM([1]RawShipmentData!G231))</f>
        <v>North</v>
      </c>
      <c r="I231" s="2" t="str">
        <f t="shared" si="15"/>
        <v>Yes</v>
      </c>
      <c r="J231" s="2">
        <f>IFERROR(VALUE(TRIM(SUBSTITUTE(UPPER([1]RawShipmentData!I231),"KG",""))),"")</f>
        <v>3.6</v>
      </c>
      <c r="K231" s="2">
        <f>VALUE(SUBSTITUTE(SUBSTITUTE(SUBSTITUTE(TRIM([1]RawShipmentData!J231),"₹",""),"Rs",""),",",""))</f>
        <v>348</v>
      </c>
      <c r="L231" s="2">
        <f>[1]RawShipmentData!K231</f>
        <v>4</v>
      </c>
      <c r="M231" s="3">
        <f>IF(TRIM([1]RawShipmentData!L231)="","",IF(ISNUMBER(SEARCH("/",TRIM([1]RawShipmentData!L231))),DATE(VALUE(RIGHT(TRIM([1]RawShipmentData!L231),4)),VALUE(MID(TRIM([1]RawShipmentData!L231),FIND("/",TRIM([1]RawShipmentData!L231))+1,2)),VALUE(LEFT(TRIM([1]RawShipmentData!L231),FIND("/",TRIM([1]RawShipmentData!L231))-1))),DATEVALUE(TRIM([1]RawShipmentData!L231))))</f>
        <v>45442</v>
      </c>
      <c r="N231" s="2">
        <f t="shared" si="16"/>
        <v>3</v>
      </c>
      <c r="O231" s="2">
        <f t="shared" si="17"/>
        <v>-1</v>
      </c>
      <c r="P231" s="2" t="str">
        <f t="shared" si="18"/>
        <v>On Time</v>
      </c>
      <c r="Q231" s="2" t="str">
        <f>PROPER(SUBSTITUTE(TRIM([1]RawShipmentData!M231)," ","-"))</f>
        <v>Delivered</v>
      </c>
      <c r="R231" s="4">
        <f t="shared" si="19"/>
        <v>96.666666666666657</v>
      </c>
      <c r="S231" s="2">
        <f>[1]RawShipmentData!N231</f>
        <v>4</v>
      </c>
      <c r="T231" s="2" t="str">
        <f>IF(OR(UPPER(TRIM([1]RawShipmentData!O231))="YES",UPPER(TRIM([1]RawShipmentData!O231))="Y"),"Yes","No")</f>
        <v>Yes</v>
      </c>
    </row>
    <row r="232" spans="1:20" x14ac:dyDescent="0.25">
      <c r="A232" s="2" t="str">
        <f>[1]RawShipmentData!A232</f>
        <v>SHP-100146</v>
      </c>
      <c r="B232" s="3">
        <f>IF(ISNUMBER(SEARCH("/",TRIM([1]RawShipmentData!B232))),DATE(VALUE(RIGHT(TRIM([1]RawShipmentData!B232),4)),VALUE(MID(TRIM([1]RawShipmentData!B232),FIND("/",TRIM([1]RawShipmentData!B232))+1,2)),VALUE(LEFT(TRIM([1]RawShipmentData!B232),FIND("/",TRIM([1]RawShipmentData!B232))-1))),DATEVALUE(TRIM([1]RawShipmentData!B232)))</f>
        <v>45392</v>
      </c>
      <c r="C232" s="2" t="str">
        <f>PROPER(TRIM([1]RawShipmentData!C232))</f>
        <v>Kolkata</v>
      </c>
      <c r="D232" s="2" t="str">
        <f>IFERROR(INDEX([1]HubMaster!$B$2:$B$7,MATCH(C232,[1]HubMaster!$A$2:$A$7,0)),"Unknown")</f>
        <v>East</v>
      </c>
      <c r="E232" s="2" t="str">
        <f>PROPER(TRIM(SUBSTITUTE([1]RawShipmentData!D232,"  "," ")))</f>
        <v>Ecom Express</v>
      </c>
      <c r="F232" s="2" t="str">
        <f>PROPER(TRIM([1]RawShipmentData!E232))</f>
        <v>Air</v>
      </c>
      <c r="G232" s="2" t="str">
        <f>PROPER(TRIM(SUBSTITUTE([1]RawShipmentData!F232,"  "," ")))</f>
        <v>Automotive Parts</v>
      </c>
      <c r="H232" s="2" t="str">
        <f>PROPER(TRIM([1]RawShipmentData!G232))</f>
        <v>West</v>
      </c>
      <c r="I232" s="2" t="str">
        <f t="shared" si="15"/>
        <v>Yes</v>
      </c>
      <c r="J232" s="2">
        <f>IFERROR(VALUE(TRIM(SUBSTITUTE(UPPER([1]RawShipmentData!I232),"KG",""))),"")</f>
        <v>22.1</v>
      </c>
      <c r="K232" s="2">
        <f>VALUE(SUBSTITUTE(SUBSTITUTE(SUBSTITUTE(TRIM([1]RawShipmentData!J232),"₹",""),"Rs",""),",",""))</f>
        <v>1204</v>
      </c>
      <c r="L232" s="2">
        <f>[1]RawShipmentData!K232</f>
        <v>4</v>
      </c>
      <c r="M232" s="3">
        <f>IF(TRIM([1]RawShipmentData!L232)="","",IF(ISNUMBER(SEARCH("/",TRIM([1]RawShipmentData!L232))),DATE(VALUE(RIGHT(TRIM([1]RawShipmentData!L232),4)),VALUE(MID(TRIM([1]RawShipmentData!L232),FIND("/",TRIM([1]RawShipmentData!L232))+1,2)),VALUE(LEFT(TRIM([1]RawShipmentData!L232),FIND("/",TRIM([1]RawShipmentData!L232))-1))),DATEVALUE(TRIM([1]RawShipmentData!L232))))</f>
        <v>45401</v>
      </c>
      <c r="N232" s="2">
        <f t="shared" si="16"/>
        <v>9</v>
      </c>
      <c r="O232" s="2">
        <f t="shared" si="17"/>
        <v>5</v>
      </c>
      <c r="P232" s="2" t="str">
        <f t="shared" si="18"/>
        <v>Late</v>
      </c>
      <c r="Q232" s="2" t="str">
        <f>PROPER(SUBSTITUTE(TRIM([1]RawShipmentData!M232)," ","-"))</f>
        <v>Delayed</v>
      </c>
      <c r="R232" s="4">
        <f t="shared" si="19"/>
        <v>54.479638009049772</v>
      </c>
      <c r="S232" s="2">
        <f>[1]RawShipmentData!N232</f>
        <v>3</v>
      </c>
      <c r="T232" s="2" t="str">
        <f>IF(OR(UPPER(TRIM([1]RawShipmentData!O232))="YES",UPPER(TRIM([1]RawShipmentData!O232))="Y"),"Yes","No")</f>
        <v>Yes</v>
      </c>
    </row>
    <row r="233" spans="1:20" x14ac:dyDescent="0.25">
      <c r="A233" s="2" t="str">
        <f>[1]RawShipmentData!A233</f>
        <v>SHP-100464</v>
      </c>
      <c r="B233" s="3">
        <f>IF(ISNUMBER(SEARCH("/",TRIM([1]RawShipmentData!B233))),DATE(VALUE(RIGHT(TRIM([1]RawShipmentData!B233),4)),VALUE(MID(TRIM([1]RawShipmentData!B233),FIND("/",TRIM([1]RawShipmentData!B233))+1,2)),VALUE(LEFT(TRIM([1]RawShipmentData!B233),FIND("/",TRIM([1]RawShipmentData!B233))-1))),DATEVALUE(TRIM([1]RawShipmentData!B233)))</f>
        <v>45366</v>
      </c>
      <c r="C233" s="2" t="str">
        <f>PROPER(TRIM([1]RawShipmentData!C233))</f>
        <v>Chennai</v>
      </c>
      <c r="D233" s="2" t="str">
        <f>IFERROR(INDEX([1]HubMaster!$B$2:$B$7,MATCH(C233,[1]HubMaster!$A$2:$A$7,0)),"Unknown")</f>
        <v>South</v>
      </c>
      <c r="E233" s="2" t="str">
        <f>PROPER(TRIM(SUBSTITUTE([1]RawShipmentData!D233,"  "," ")))</f>
        <v>Xpressbees</v>
      </c>
      <c r="F233" s="2" t="str">
        <f>PROPER(TRIM([1]RawShipmentData!E233))</f>
        <v>Road</v>
      </c>
      <c r="G233" s="2" t="str">
        <f>PROPER(TRIM(SUBSTITUTE([1]RawShipmentData!F233,"  "," ")))</f>
        <v>Pharma</v>
      </c>
      <c r="H233" s="2" t="str">
        <f>PROPER(TRIM([1]RawShipmentData!G233))</f>
        <v>South</v>
      </c>
      <c r="I233" s="2" t="str">
        <f t="shared" si="15"/>
        <v>No</v>
      </c>
      <c r="J233" s="2">
        <f>IFERROR(VALUE(TRIM(SUBSTITUTE(UPPER([1]RawShipmentData!I233),"KG",""))),"")</f>
        <v>3.6</v>
      </c>
      <c r="K233" s="2">
        <f>VALUE(SUBSTITUTE(SUBSTITUTE(SUBSTITUTE(TRIM([1]RawShipmentData!J233),"₹",""),"Rs",""),",",""))</f>
        <v>88</v>
      </c>
      <c r="L233" s="2">
        <f>[1]RawShipmentData!K233</f>
        <v>6</v>
      </c>
      <c r="M233" s="3">
        <f>IF(TRIM([1]RawShipmentData!L233)="","",IF(ISNUMBER(SEARCH("/",TRIM([1]RawShipmentData!L233))),DATE(VALUE(RIGHT(TRIM([1]RawShipmentData!L233),4)),VALUE(MID(TRIM([1]RawShipmentData!L233),FIND("/",TRIM([1]RawShipmentData!L233))+1,2)),VALUE(LEFT(TRIM([1]RawShipmentData!L233),FIND("/",TRIM([1]RawShipmentData!L233))-1))),DATEVALUE(TRIM([1]RawShipmentData!L233))))</f>
        <v>45372</v>
      </c>
      <c r="N233" s="2">
        <f t="shared" si="16"/>
        <v>6</v>
      </c>
      <c r="O233" s="2">
        <f t="shared" si="17"/>
        <v>0</v>
      </c>
      <c r="P233" s="2" t="str">
        <f t="shared" si="18"/>
        <v>On Time</v>
      </c>
      <c r="Q233" s="2" t="str">
        <f>PROPER(SUBSTITUTE(TRIM([1]RawShipmentData!M233)," ","-"))</f>
        <v>Delivered</v>
      </c>
      <c r="R233" s="4">
        <f t="shared" si="19"/>
        <v>24.444444444444443</v>
      </c>
      <c r="S233" s="2">
        <f>[1]RawShipmentData!N233</f>
        <v>5</v>
      </c>
      <c r="T233" s="2" t="str">
        <f>IF(OR(UPPER(TRIM([1]RawShipmentData!O233))="YES",UPPER(TRIM([1]RawShipmentData!O233))="Y"),"Yes","No")</f>
        <v>No</v>
      </c>
    </row>
    <row r="234" spans="1:20" x14ac:dyDescent="0.25">
      <c r="A234" s="2" t="str">
        <f>[1]RawShipmentData!A234</f>
        <v>SHP-100073</v>
      </c>
      <c r="B234" s="3">
        <f>IF(ISNUMBER(SEARCH("/",TRIM([1]RawShipmentData!B234))),DATE(VALUE(RIGHT(TRIM([1]RawShipmentData!B234),4)),VALUE(MID(TRIM([1]RawShipmentData!B234),FIND("/",TRIM([1]RawShipmentData!B234))+1,2)),VALUE(LEFT(TRIM([1]RawShipmentData!B234),FIND("/",TRIM([1]RawShipmentData!B234))-1))),DATEVALUE(TRIM([1]RawShipmentData!B234)))</f>
        <v>45388</v>
      </c>
      <c r="C234" s="2" t="str">
        <f>PROPER(TRIM([1]RawShipmentData!C234))</f>
        <v>Bengaluru</v>
      </c>
      <c r="D234" s="2" t="str">
        <f>IFERROR(INDEX([1]HubMaster!$B$2:$B$7,MATCH(C234,[1]HubMaster!$A$2:$A$7,0)),"Unknown")</f>
        <v>South</v>
      </c>
      <c r="E234" s="2" t="str">
        <f>PROPER(TRIM(SUBSTITUTE([1]RawShipmentData!D234,"  "," ")))</f>
        <v>Delhivery</v>
      </c>
      <c r="F234" s="2" t="str">
        <f>PROPER(TRIM([1]RawShipmentData!E234))</f>
        <v>Air</v>
      </c>
      <c r="G234" s="2" t="str">
        <f>PROPER(TRIM(SUBSTITUTE([1]RawShipmentData!F234,"  "," ")))</f>
        <v>Automotive Parts</v>
      </c>
      <c r="H234" s="2" t="str">
        <f>PROPER(TRIM([1]RawShipmentData!G234))</f>
        <v>South</v>
      </c>
      <c r="I234" s="2" t="str">
        <f t="shared" si="15"/>
        <v>No</v>
      </c>
      <c r="J234" s="2">
        <f>IFERROR(VALUE(TRIM(SUBSTITUTE(UPPER([1]RawShipmentData!I234),"KG",""))),"")</f>
        <v>18.2</v>
      </c>
      <c r="K234" s="2">
        <f>VALUE(SUBSTITUTE(SUBSTITUTE(SUBSTITUTE(TRIM([1]RawShipmentData!J234),"₹",""),"Rs",""),",",""))</f>
        <v>830</v>
      </c>
      <c r="L234" s="2">
        <f>[1]RawShipmentData!K234</f>
        <v>2</v>
      </c>
      <c r="M234" s="3">
        <f>IF(TRIM([1]RawShipmentData!L234)="","",IF(ISNUMBER(SEARCH("/",TRIM([1]RawShipmentData!L234))),DATE(VALUE(RIGHT(TRIM([1]RawShipmentData!L234),4)),VALUE(MID(TRIM([1]RawShipmentData!L234),FIND("/",TRIM([1]RawShipmentData!L234))+1,2)),VALUE(LEFT(TRIM([1]RawShipmentData!L234),FIND("/",TRIM([1]RawShipmentData!L234))-1))),DATEVALUE(TRIM([1]RawShipmentData!L234))))</f>
        <v>45395</v>
      </c>
      <c r="N234" s="2">
        <f t="shared" si="16"/>
        <v>7</v>
      </c>
      <c r="O234" s="2">
        <f t="shared" si="17"/>
        <v>5</v>
      </c>
      <c r="P234" s="2" t="str">
        <f t="shared" si="18"/>
        <v>Late</v>
      </c>
      <c r="Q234" s="2" t="str">
        <f>PROPER(SUBSTITUTE(TRIM([1]RawShipmentData!M234)," ","-"))</f>
        <v>Delayed</v>
      </c>
      <c r="R234" s="4">
        <f t="shared" si="19"/>
        <v>45.604395604395606</v>
      </c>
      <c r="S234" s="2">
        <f>[1]RawShipmentData!N234</f>
        <v>3</v>
      </c>
      <c r="T234" s="2" t="str">
        <f>IF(OR(UPPER(TRIM([1]RawShipmentData!O234))="YES",UPPER(TRIM([1]RawShipmentData!O234))="Y"),"Yes","No")</f>
        <v>Yes</v>
      </c>
    </row>
    <row r="235" spans="1:20" x14ac:dyDescent="0.25">
      <c r="A235" s="2" t="str">
        <f>[1]RawShipmentData!A235</f>
        <v>SHP-101166</v>
      </c>
      <c r="B235" s="3">
        <f>IF(ISNUMBER(SEARCH("/",TRIM([1]RawShipmentData!B235))),DATE(VALUE(RIGHT(TRIM([1]RawShipmentData!B235),4)),VALUE(MID(TRIM([1]RawShipmentData!B235),FIND("/",TRIM([1]RawShipmentData!B235))+1,2)),VALUE(LEFT(TRIM([1]RawShipmentData!B235),FIND("/",TRIM([1]RawShipmentData!B235))-1))),DATEVALUE(TRIM([1]RawShipmentData!B235)))</f>
        <v>45401</v>
      </c>
      <c r="C235" s="2" t="str">
        <f>PROPER(TRIM([1]RawShipmentData!C235))</f>
        <v>Bengaluru</v>
      </c>
      <c r="D235" s="2" t="str">
        <f>IFERROR(INDEX([1]HubMaster!$B$2:$B$7,MATCH(C235,[1]HubMaster!$A$2:$A$7,0)),"Unknown")</f>
        <v>South</v>
      </c>
      <c r="E235" s="2" t="str">
        <f>PROPER(TRIM(SUBSTITUTE([1]RawShipmentData!D235,"  "," ")))</f>
        <v>Blue Dart</v>
      </c>
      <c r="F235" s="2" t="str">
        <f>PROPER(TRIM([1]RawShipmentData!E235))</f>
        <v>Surface</v>
      </c>
      <c r="G235" s="2" t="str">
        <f>PROPER(TRIM(SUBSTITUTE([1]RawShipmentData!F235,"  "," ")))</f>
        <v>Furniture</v>
      </c>
      <c r="H235" s="2" t="str">
        <f>PROPER(TRIM([1]RawShipmentData!G235))</f>
        <v>West</v>
      </c>
      <c r="I235" s="2" t="str">
        <f t="shared" si="15"/>
        <v>Yes</v>
      </c>
      <c r="J235" s="2">
        <f>IFERROR(VALUE(TRIM(SUBSTITUTE(UPPER([1]RawShipmentData!I235),"KG",""))),"")</f>
        <v>53.3</v>
      </c>
      <c r="K235" s="2">
        <f>VALUE(SUBSTITUTE(SUBSTITUTE(SUBSTITUTE(TRIM([1]RawShipmentData!J235),"₹",""),"Rs",""),",",""))</f>
        <v>1349</v>
      </c>
      <c r="L235" s="2">
        <f>[1]RawShipmentData!K235</f>
        <v>6</v>
      </c>
      <c r="M235" s="3">
        <f>IF(TRIM([1]RawShipmentData!L235)="","",IF(ISNUMBER(SEARCH("/",TRIM([1]RawShipmentData!L235))),DATE(VALUE(RIGHT(TRIM([1]RawShipmentData!L235),4)),VALUE(MID(TRIM([1]RawShipmentData!L235),FIND("/",TRIM([1]RawShipmentData!L235))+1,2)),VALUE(LEFT(TRIM([1]RawShipmentData!L235),FIND("/",TRIM([1]RawShipmentData!L235))-1))),DATEVALUE(TRIM([1]RawShipmentData!L235))))</f>
        <v>45408</v>
      </c>
      <c r="N235" s="2">
        <f t="shared" si="16"/>
        <v>7</v>
      </c>
      <c r="O235" s="2">
        <f t="shared" si="17"/>
        <v>1</v>
      </c>
      <c r="P235" s="2" t="str">
        <f t="shared" si="18"/>
        <v>Late</v>
      </c>
      <c r="Q235" s="2" t="str">
        <f>PROPER(SUBSTITUTE(TRIM([1]RawShipmentData!M235)," ","-"))</f>
        <v>Damaged</v>
      </c>
      <c r="R235" s="4">
        <f t="shared" si="19"/>
        <v>25.309568480300189</v>
      </c>
      <c r="S235" s="2">
        <f>[1]RawShipmentData!N235</f>
        <v>0</v>
      </c>
      <c r="T235" s="2" t="str">
        <f>IF(OR(UPPER(TRIM([1]RawShipmentData!O235))="YES",UPPER(TRIM([1]RawShipmentData!O235))="Y"),"Yes","No")</f>
        <v>No</v>
      </c>
    </row>
    <row r="236" spans="1:20" x14ac:dyDescent="0.25">
      <c r="A236" s="2" t="str">
        <f>[1]RawShipmentData!A236</f>
        <v>SHP-101352</v>
      </c>
      <c r="B236" s="3">
        <f>IF(ISNUMBER(SEARCH("/",TRIM([1]RawShipmentData!B236))),DATE(VALUE(RIGHT(TRIM([1]RawShipmentData!B236),4)),VALUE(MID(TRIM([1]RawShipmentData!B236),FIND("/",TRIM([1]RawShipmentData!B236))+1,2)),VALUE(LEFT(TRIM([1]RawShipmentData!B236),FIND("/",TRIM([1]RawShipmentData!B236))-1))),DATEVALUE(TRIM([1]RawShipmentData!B236)))</f>
        <v>45420</v>
      </c>
      <c r="C236" s="2" t="str">
        <f>PROPER(TRIM([1]RawShipmentData!C236))</f>
        <v>Bengaluru</v>
      </c>
      <c r="D236" s="2" t="str">
        <f>IFERROR(INDEX([1]HubMaster!$B$2:$B$7,MATCH(C236,[1]HubMaster!$A$2:$A$7,0)),"Unknown")</f>
        <v>South</v>
      </c>
      <c r="E236" s="2" t="str">
        <f>PROPER(TRIM(SUBSTITUTE([1]RawShipmentData!D236,"  "," ")))</f>
        <v>Bluedart</v>
      </c>
      <c r="F236" s="2" t="str">
        <f>PROPER(TRIM([1]RawShipmentData!E236))</f>
        <v>Road</v>
      </c>
      <c r="G236" s="2" t="str">
        <f>PROPER(TRIM(SUBSTITUTE([1]RawShipmentData!F236,"  "," ")))</f>
        <v>Automotive Parts</v>
      </c>
      <c r="H236" s="2" t="str">
        <f>PROPER(TRIM([1]RawShipmentData!G236))</f>
        <v>South</v>
      </c>
      <c r="I236" s="2" t="str">
        <f t="shared" si="15"/>
        <v>No</v>
      </c>
      <c r="J236" s="2">
        <f>IFERROR(VALUE(TRIM(SUBSTITUTE(UPPER([1]RawShipmentData!I236),"KG",""))),"")</f>
        <v>8.1</v>
      </c>
      <c r="K236" s="2">
        <f>VALUE(SUBSTITUTE(SUBSTITUTE(SUBSTITUTE(TRIM([1]RawShipmentData!J236),"₹",""),"Rs",""),",",""))</f>
        <v>146</v>
      </c>
      <c r="L236" s="2">
        <f>[1]RawShipmentData!K236</f>
        <v>6</v>
      </c>
      <c r="M236" s="3">
        <f>IF(TRIM([1]RawShipmentData!L236)="","",IF(ISNUMBER(SEARCH("/",TRIM([1]RawShipmentData!L236))),DATE(VALUE(RIGHT(TRIM([1]RawShipmentData!L236),4)),VALUE(MID(TRIM([1]RawShipmentData!L236),FIND("/",TRIM([1]RawShipmentData!L236))+1,2)),VALUE(LEFT(TRIM([1]RawShipmentData!L236),FIND("/",TRIM([1]RawShipmentData!L236))-1))),DATEVALUE(TRIM([1]RawShipmentData!L236))))</f>
        <v>45427</v>
      </c>
      <c r="N236" s="2">
        <f t="shared" si="16"/>
        <v>7</v>
      </c>
      <c r="O236" s="2">
        <f t="shared" si="17"/>
        <v>1</v>
      </c>
      <c r="P236" s="2" t="str">
        <f t="shared" si="18"/>
        <v>Late</v>
      </c>
      <c r="Q236" s="2" t="str">
        <f>PROPER(SUBSTITUTE(TRIM([1]RawShipmentData!M236)," ","-"))</f>
        <v>Delayed</v>
      </c>
      <c r="R236" s="4">
        <f t="shared" si="19"/>
        <v>18.024691358024693</v>
      </c>
      <c r="S236" s="2">
        <f>[1]RawShipmentData!N236</f>
        <v>3</v>
      </c>
      <c r="T236" s="2" t="str">
        <f>IF(OR(UPPER(TRIM([1]RawShipmentData!O236))="YES",UPPER(TRIM([1]RawShipmentData!O236))="Y"),"Yes","No")</f>
        <v>No</v>
      </c>
    </row>
    <row r="237" spans="1:20" x14ac:dyDescent="0.25">
      <c r="A237" s="2" t="str">
        <f>[1]RawShipmentData!A237</f>
        <v>SHP-100128</v>
      </c>
      <c r="B237" s="3">
        <f>IF(ISNUMBER(SEARCH("/",TRIM([1]RawShipmentData!B237))),DATE(VALUE(RIGHT(TRIM([1]RawShipmentData!B237),4)),VALUE(MID(TRIM([1]RawShipmentData!B237),FIND("/",TRIM([1]RawShipmentData!B237))+1,2)),VALUE(LEFT(TRIM([1]RawShipmentData!B237),FIND("/",TRIM([1]RawShipmentData!B237))-1))),DATEVALUE(TRIM([1]RawShipmentData!B237)))</f>
        <v>45373</v>
      </c>
      <c r="C237" s="2" t="str">
        <f>PROPER(TRIM([1]RawShipmentData!C237))</f>
        <v>Hyderabad</v>
      </c>
      <c r="D237" s="2" t="str">
        <f>IFERROR(INDEX([1]HubMaster!$B$2:$B$7,MATCH(C237,[1]HubMaster!$A$2:$A$7,0)),"Unknown")</f>
        <v>West</v>
      </c>
      <c r="E237" s="2" t="str">
        <f>PROPER(TRIM(SUBSTITUTE([1]RawShipmentData!D237,"  "," ")))</f>
        <v>Bluedart</v>
      </c>
      <c r="F237" s="2" t="str">
        <f>PROPER(TRIM([1]RawShipmentData!E237))</f>
        <v>Air</v>
      </c>
      <c r="G237" s="2" t="str">
        <f>PROPER(TRIM(SUBSTITUTE([1]RawShipmentData!F237,"  "," ")))</f>
        <v>Grocery &amp; Fmcg</v>
      </c>
      <c r="H237" s="2" t="str">
        <f>PROPER(TRIM([1]RawShipmentData!G237))</f>
        <v>South</v>
      </c>
      <c r="I237" s="2" t="str">
        <f t="shared" si="15"/>
        <v>Yes</v>
      </c>
      <c r="J237" s="2">
        <f>IFERROR(VALUE(TRIM(SUBSTITUTE(UPPER([1]RawShipmentData!I237),"KG",""))),"")</f>
        <v>13.9</v>
      </c>
      <c r="K237" s="2">
        <f>VALUE(SUBSTITUTE(SUBSTITUTE(SUBSTITUTE(TRIM([1]RawShipmentData!J237),"₹",""),"Rs",""),",",""))</f>
        <v>752</v>
      </c>
      <c r="L237" s="2">
        <f>[1]RawShipmentData!K237</f>
        <v>4</v>
      </c>
      <c r="M237" s="3">
        <f>IF(TRIM([1]RawShipmentData!L237)="","",IF(ISNUMBER(SEARCH("/",TRIM([1]RawShipmentData!L237))),DATE(VALUE(RIGHT(TRIM([1]RawShipmentData!L237),4)),VALUE(MID(TRIM([1]RawShipmentData!L237),FIND("/",TRIM([1]RawShipmentData!L237))+1,2)),VALUE(LEFT(TRIM([1]RawShipmentData!L237),FIND("/",TRIM([1]RawShipmentData!L237))-1))),DATEVALUE(TRIM([1]RawShipmentData!L237))))</f>
        <v>45376</v>
      </c>
      <c r="N237" s="2">
        <f t="shared" si="16"/>
        <v>3</v>
      </c>
      <c r="O237" s="2">
        <f t="shared" si="17"/>
        <v>-1</v>
      </c>
      <c r="P237" s="2" t="str">
        <f t="shared" si="18"/>
        <v>On Time</v>
      </c>
      <c r="Q237" s="2" t="str">
        <f>PROPER(SUBSTITUTE(TRIM([1]RawShipmentData!M237)," ","-"))</f>
        <v>Delivered</v>
      </c>
      <c r="R237" s="4">
        <f t="shared" si="19"/>
        <v>54.100719424460429</v>
      </c>
      <c r="S237" s="2">
        <f>[1]RawShipmentData!N237</f>
        <v>5</v>
      </c>
      <c r="T237" s="2" t="str">
        <f>IF(OR(UPPER(TRIM([1]RawShipmentData!O237))="YES",UPPER(TRIM([1]RawShipmentData!O237))="Y"),"Yes","No")</f>
        <v>Yes</v>
      </c>
    </row>
    <row r="238" spans="1:20" x14ac:dyDescent="0.25">
      <c r="A238" s="2" t="str">
        <f>[1]RawShipmentData!A238</f>
        <v>SHP-100460</v>
      </c>
      <c r="B238" s="3">
        <f>IF(ISNUMBER(SEARCH("/",TRIM([1]RawShipmentData!B238))),DATE(VALUE(RIGHT(TRIM([1]RawShipmentData!B238),4)),VALUE(MID(TRIM([1]RawShipmentData!B238),FIND("/",TRIM([1]RawShipmentData!B238))+1,2)),VALUE(LEFT(TRIM([1]RawShipmentData!B238),FIND("/",TRIM([1]RawShipmentData!B238))-1))),DATEVALUE(TRIM([1]RawShipmentData!B238)))</f>
        <v>45376</v>
      </c>
      <c r="C238" s="2" t="str">
        <f>PROPER(TRIM([1]RawShipmentData!C238))</f>
        <v>Delhi</v>
      </c>
      <c r="D238" s="2" t="str">
        <f>IFERROR(INDEX([1]HubMaster!$B$2:$B$7,MATCH(C238,[1]HubMaster!$A$2:$A$7,0)),"Unknown")</f>
        <v>North</v>
      </c>
      <c r="E238" s="2" t="str">
        <f>PROPER(TRIM(SUBSTITUTE([1]RawShipmentData!D238,"  "," ")))</f>
        <v>Bluedart</v>
      </c>
      <c r="F238" s="2" t="str">
        <f>PROPER(TRIM([1]RawShipmentData!E238))</f>
        <v>Road</v>
      </c>
      <c r="G238" s="2" t="str">
        <f>PROPER(TRIM(SUBSTITUTE([1]RawShipmentData!F238,"  "," ")))</f>
        <v>Furniture</v>
      </c>
      <c r="H238" s="2" t="str">
        <f>PROPER(TRIM([1]RawShipmentData!G238))</f>
        <v>East</v>
      </c>
      <c r="I238" s="2" t="str">
        <f t="shared" si="15"/>
        <v>Yes</v>
      </c>
      <c r="J238" s="2">
        <f>IFERROR(VALUE(TRIM(SUBSTITUTE(UPPER([1]RawShipmentData!I238),"KG",""))),"")</f>
        <v>25.7</v>
      </c>
      <c r="K238" s="2">
        <f>VALUE(SUBSTITUTE(SUBSTITUTE(SUBSTITUTE(TRIM([1]RawShipmentData!J238),"₹",""),"Rs",""),",",""))</f>
        <v>566</v>
      </c>
      <c r="L238" s="2">
        <f>[1]RawShipmentData!K238</f>
        <v>8</v>
      </c>
      <c r="M238" s="3">
        <f>IF(TRIM([1]RawShipmentData!L238)="","",IF(ISNUMBER(SEARCH("/",TRIM([1]RawShipmentData!L238))),DATE(VALUE(RIGHT(TRIM([1]RawShipmentData!L238),4)),VALUE(MID(TRIM([1]RawShipmentData!L238),FIND("/",TRIM([1]RawShipmentData!L238))+1,2)),VALUE(LEFT(TRIM([1]RawShipmentData!L238),FIND("/",TRIM([1]RawShipmentData!L238))-1))),DATEVALUE(TRIM([1]RawShipmentData!L238))))</f>
        <v>45384</v>
      </c>
      <c r="N238" s="2">
        <f t="shared" si="16"/>
        <v>8</v>
      </c>
      <c r="O238" s="2">
        <f t="shared" si="17"/>
        <v>0</v>
      </c>
      <c r="P238" s="2" t="str">
        <f t="shared" si="18"/>
        <v>On Time</v>
      </c>
      <c r="Q238" s="2" t="str">
        <f>PROPER(SUBSTITUTE(TRIM([1]RawShipmentData!M238)," ","-"))</f>
        <v>Delivered</v>
      </c>
      <c r="R238" s="4">
        <f t="shared" si="19"/>
        <v>22.023346303501945</v>
      </c>
      <c r="S238" s="2">
        <f>[1]RawShipmentData!N238</f>
        <v>3</v>
      </c>
      <c r="T238" s="2" t="str">
        <f>IF(OR(UPPER(TRIM([1]RawShipmentData!O238))="YES",UPPER(TRIM([1]RawShipmentData!O238))="Y"),"Yes","No")</f>
        <v>No</v>
      </c>
    </row>
    <row r="239" spans="1:20" x14ac:dyDescent="0.25">
      <c r="A239" s="2" t="str">
        <f>[1]RawShipmentData!A239</f>
        <v>SHP-100512</v>
      </c>
      <c r="B239" s="3">
        <f>IF(ISNUMBER(SEARCH("/",TRIM([1]RawShipmentData!B239))),DATE(VALUE(RIGHT(TRIM([1]RawShipmentData!B239),4)),VALUE(MID(TRIM([1]RawShipmentData!B239),FIND("/",TRIM([1]RawShipmentData!B239))+1,2)),VALUE(LEFT(TRIM([1]RawShipmentData!B239),FIND("/",TRIM([1]RawShipmentData!B239))-1))),DATEVALUE(TRIM([1]RawShipmentData!B239)))</f>
        <v>45352</v>
      </c>
      <c r="C239" s="2" t="str">
        <f>PROPER(TRIM([1]RawShipmentData!C239))</f>
        <v>Chennai</v>
      </c>
      <c r="D239" s="2" t="str">
        <f>IFERROR(INDEX([1]HubMaster!$B$2:$B$7,MATCH(C239,[1]HubMaster!$A$2:$A$7,0)),"Unknown")</f>
        <v>South</v>
      </c>
      <c r="E239" s="2" t="str">
        <f>PROPER(TRIM(SUBSTITUTE([1]RawShipmentData!D239,"  "," ")))</f>
        <v>Ecom Express</v>
      </c>
      <c r="F239" s="2" t="str">
        <f>PROPER(TRIM([1]RawShipmentData!E239))</f>
        <v>Air</v>
      </c>
      <c r="G239" s="2" t="str">
        <f>PROPER(TRIM(SUBSTITUTE([1]RawShipmentData!F239,"  "," ")))</f>
        <v>Grocery &amp; Fmcg</v>
      </c>
      <c r="H239" s="2" t="str">
        <f>PROPER(TRIM([1]RawShipmentData!G239))</f>
        <v>West</v>
      </c>
      <c r="I239" s="2" t="str">
        <f t="shared" si="15"/>
        <v>Yes</v>
      </c>
      <c r="J239" s="2">
        <f>IFERROR(VALUE(TRIM(SUBSTITUTE(UPPER([1]RawShipmentData!I239),"KG",""))),"")</f>
        <v>17.5</v>
      </c>
      <c r="K239" s="2">
        <f>VALUE(SUBSTITUTE(SUBSTITUTE(SUBSTITUTE(TRIM([1]RawShipmentData!J239),"₹",""),"Rs",""),",",""))</f>
        <v>995</v>
      </c>
      <c r="L239" s="2">
        <f>[1]RawShipmentData!K239</f>
        <v>4</v>
      </c>
      <c r="M239" s="3">
        <f>IF(TRIM([1]RawShipmentData!L239)="","",IF(ISNUMBER(SEARCH("/",TRIM([1]RawShipmentData!L239))),DATE(VALUE(RIGHT(TRIM([1]RawShipmentData!L239),4)),VALUE(MID(TRIM([1]RawShipmentData!L239),FIND("/",TRIM([1]RawShipmentData!L239))+1,2)),VALUE(LEFT(TRIM([1]RawShipmentData!L239),FIND("/",TRIM([1]RawShipmentData!L239))-1))),DATEVALUE(TRIM([1]RawShipmentData!L239))))</f>
        <v>45356</v>
      </c>
      <c r="N239" s="2">
        <f t="shared" si="16"/>
        <v>4</v>
      </c>
      <c r="O239" s="2">
        <f t="shared" si="17"/>
        <v>0</v>
      </c>
      <c r="P239" s="2" t="str">
        <f t="shared" si="18"/>
        <v>On Time</v>
      </c>
      <c r="Q239" s="2" t="str">
        <f>PROPER(SUBSTITUTE(TRIM([1]RawShipmentData!M239)," ","-"))</f>
        <v>Delivered</v>
      </c>
      <c r="R239" s="4">
        <f t="shared" si="19"/>
        <v>56.857142857142854</v>
      </c>
      <c r="S239" s="2">
        <f>[1]RawShipmentData!N239</f>
        <v>4</v>
      </c>
      <c r="T239" s="2" t="str">
        <f>IF(OR(UPPER(TRIM([1]RawShipmentData!O239))="YES",UPPER(TRIM([1]RawShipmentData!O239))="Y"),"Yes","No")</f>
        <v>Yes</v>
      </c>
    </row>
    <row r="240" spans="1:20" x14ac:dyDescent="0.25">
      <c r="A240" s="2" t="str">
        <f>[1]RawShipmentData!A240</f>
        <v>SHP-101516</v>
      </c>
      <c r="B240" s="3">
        <f>IF(ISNUMBER(SEARCH("/",TRIM([1]RawShipmentData!B240))),DATE(VALUE(RIGHT(TRIM([1]RawShipmentData!B240),4)),VALUE(MID(TRIM([1]RawShipmentData!B240),FIND("/",TRIM([1]RawShipmentData!B240))+1,2)),VALUE(LEFT(TRIM([1]RawShipmentData!B240),FIND("/",TRIM([1]RawShipmentData!B240))-1))),DATEVALUE(TRIM([1]RawShipmentData!B240)))</f>
        <v>45394</v>
      </c>
      <c r="C240" s="2" t="str">
        <f>PROPER(TRIM([1]RawShipmentData!C240))</f>
        <v>Delhi</v>
      </c>
      <c r="D240" s="2" t="str">
        <f>IFERROR(INDEX([1]HubMaster!$B$2:$B$7,MATCH(C240,[1]HubMaster!$A$2:$A$7,0)),"Unknown")</f>
        <v>North</v>
      </c>
      <c r="E240" s="2" t="str">
        <f>PROPER(TRIM(SUBSTITUTE([1]RawShipmentData!D240,"  "," ")))</f>
        <v>Delhivery</v>
      </c>
      <c r="F240" s="2" t="str">
        <f>PROPER(TRIM([1]RawShipmentData!E240))</f>
        <v>Road</v>
      </c>
      <c r="G240" s="2" t="str">
        <f>PROPER(TRIM(SUBSTITUTE([1]RawShipmentData!F240,"  "," ")))</f>
        <v>Furniture</v>
      </c>
      <c r="H240" s="2" t="str">
        <f>PROPER(TRIM([1]RawShipmentData!G240))</f>
        <v>West</v>
      </c>
      <c r="I240" s="2" t="str">
        <f t="shared" si="15"/>
        <v>Yes</v>
      </c>
      <c r="J240" s="2">
        <f>IFERROR(VALUE(TRIM(SUBSTITUTE(UPPER([1]RawShipmentData!I240),"KG",""))),"")</f>
        <v>38.5</v>
      </c>
      <c r="K240" s="2">
        <f>VALUE(SUBSTITUTE(SUBSTITUTE(SUBSTITUTE(TRIM([1]RawShipmentData!J240),"₹",""),"Rs",""),",",""))</f>
        <v>726</v>
      </c>
      <c r="L240" s="2">
        <f>[1]RawShipmentData!K240</f>
        <v>8</v>
      </c>
      <c r="M240" s="3">
        <f>IF(TRIM([1]RawShipmentData!L240)="","",IF(ISNUMBER(SEARCH("/",TRIM([1]RawShipmentData!L240))),DATE(VALUE(RIGHT(TRIM([1]RawShipmentData!L240),4)),VALUE(MID(TRIM([1]RawShipmentData!L240),FIND("/",TRIM([1]RawShipmentData!L240))+1,2)),VALUE(LEFT(TRIM([1]RawShipmentData!L240),FIND("/",TRIM([1]RawShipmentData!L240))-1))),DATEVALUE(TRIM([1]RawShipmentData!L240))))</f>
        <v>45401</v>
      </c>
      <c r="N240" s="2">
        <f t="shared" si="16"/>
        <v>7</v>
      </c>
      <c r="O240" s="2">
        <f t="shared" si="17"/>
        <v>-1</v>
      </c>
      <c r="P240" s="2" t="str">
        <f t="shared" si="18"/>
        <v>On Time</v>
      </c>
      <c r="Q240" s="2" t="str">
        <f>PROPER(SUBSTITUTE(TRIM([1]RawShipmentData!M240)," ","-"))</f>
        <v>Delivered</v>
      </c>
      <c r="R240" s="4">
        <f t="shared" si="19"/>
        <v>18.857142857142858</v>
      </c>
      <c r="S240" s="2">
        <f>[1]RawShipmentData!N240</f>
        <v>4</v>
      </c>
      <c r="T240" s="2" t="str">
        <f>IF(OR(UPPER(TRIM([1]RawShipmentData!O240))="YES",UPPER(TRIM([1]RawShipmentData!O240))="Y"),"Yes","No")</f>
        <v>No</v>
      </c>
    </row>
    <row r="241" spans="1:20" x14ac:dyDescent="0.25">
      <c r="A241" s="2" t="str">
        <f>[1]RawShipmentData!A241</f>
        <v>SHP-100052</v>
      </c>
      <c r="B241" s="3">
        <f>IF(ISNUMBER(SEARCH("/",TRIM([1]RawShipmentData!B241))),DATE(VALUE(RIGHT(TRIM([1]RawShipmentData!B241),4)),VALUE(MID(TRIM([1]RawShipmentData!B241),FIND("/",TRIM([1]RawShipmentData!B241))+1,2)),VALUE(LEFT(TRIM([1]RawShipmentData!B241),FIND("/",TRIM([1]RawShipmentData!B241))-1))),DATEVALUE(TRIM([1]RawShipmentData!B241)))</f>
        <v>45460</v>
      </c>
      <c r="C241" s="2" t="str">
        <f>PROPER(TRIM([1]RawShipmentData!C241))</f>
        <v>Delhi</v>
      </c>
      <c r="D241" s="2" t="str">
        <f>IFERROR(INDEX([1]HubMaster!$B$2:$B$7,MATCH(C241,[1]HubMaster!$A$2:$A$7,0)),"Unknown")</f>
        <v>North</v>
      </c>
      <c r="E241" s="2" t="str">
        <f>PROPER(TRIM(SUBSTITUTE([1]RawShipmentData!D241,"  "," ")))</f>
        <v>Dtdc</v>
      </c>
      <c r="F241" s="2" t="str">
        <f>PROPER(TRIM([1]RawShipmentData!E241))</f>
        <v>Road</v>
      </c>
      <c r="G241" s="2" t="str">
        <f>PROPER(TRIM(SUBSTITUTE([1]RawShipmentData!F241,"  "," ")))</f>
        <v>Pharma</v>
      </c>
      <c r="H241" s="2" t="str">
        <f>PROPER(TRIM([1]RawShipmentData!G241))</f>
        <v>East</v>
      </c>
      <c r="I241" s="2" t="str">
        <f t="shared" si="15"/>
        <v>Yes</v>
      </c>
      <c r="J241" s="2">
        <f>IFERROR(VALUE(TRIM(SUBSTITUTE(UPPER([1]RawShipmentData!I241),"KG",""))),"")</f>
        <v>5</v>
      </c>
      <c r="K241" s="2">
        <f>VALUE(SUBSTITUTE(SUBSTITUTE(SUBSTITUTE(TRIM([1]RawShipmentData!J241),"₹",""),"Rs",""),",",""))</f>
        <v>274</v>
      </c>
      <c r="L241" s="2">
        <f>[1]RawShipmentData!K241</f>
        <v>8</v>
      </c>
      <c r="M241" s="3">
        <f>IF(TRIM([1]RawShipmentData!L241)="","",IF(ISNUMBER(SEARCH("/",TRIM([1]RawShipmentData!L241))),DATE(VALUE(RIGHT(TRIM([1]RawShipmentData!L241),4)),VALUE(MID(TRIM([1]RawShipmentData!L241),FIND("/",TRIM([1]RawShipmentData!L241))+1,2)),VALUE(LEFT(TRIM([1]RawShipmentData!L241),FIND("/",TRIM([1]RawShipmentData!L241))-1))),DATEVALUE(TRIM([1]RawShipmentData!L241))))</f>
        <v>45472</v>
      </c>
      <c r="N241" s="2">
        <f t="shared" si="16"/>
        <v>12</v>
      </c>
      <c r="O241" s="2">
        <f t="shared" si="17"/>
        <v>4</v>
      </c>
      <c r="P241" s="2" t="str">
        <f t="shared" si="18"/>
        <v>Late</v>
      </c>
      <c r="Q241" s="2" t="str">
        <f>PROPER(SUBSTITUTE(TRIM([1]RawShipmentData!M241)," ","-"))</f>
        <v>Delayed</v>
      </c>
      <c r="R241" s="4">
        <f t="shared" si="19"/>
        <v>54.8</v>
      </c>
      <c r="S241" s="2">
        <f>[1]RawShipmentData!N241</f>
        <v>1</v>
      </c>
      <c r="T241" s="2" t="str">
        <f>IF(OR(UPPER(TRIM([1]RawShipmentData!O241))="YES",UPPER(TRIM([1]RawShipmentData!O241))="Y"),"Yes","No")</f>
        <v>No</v>
      </c>
    </row>
    <row r="242" spans="1:20" x14ac:dyDescent="0.25">
      <c r="A242" s="2" t="str">
        <f>[1]RawShipmentData!A242</f>
        <v>SHP-100391</v>
      </c>
      <c r="B242" s="3">
        <f>IF(ISNUMBER(SEARCH("/",TRIM([1]RawShipmentData!B242))),DATE(VALUE(RIGHT(TRIM([1]RawShipmentData!B242),4)),VALUE(MID(TRIM([1]RawShipmentData!B242),FIND("/",TRIM([1]RawShipmentData!B242))+1,2)),VALUE(LEFT(TRIM([1]RawShipmentData!B242),FIND("/",TRIM([1]RawShipmentData!B242))-1))),DATEVALUE(TRIM([1]RawShipmentData!B242)))</f>
        <v>45400</v>
      </c>
      <c r="C242" s="2" t="str">
        <f>PROPER(TRIM([1]RawShipmentData!C242))</f>
        <v>Chennai</v>
      </c>
      <c r="D242" s="2" t="str">
        <f>IFERROR(INDEX([1]HubMaster!$B$2:$B$7,MATCH(C242,[1]HubMaster!$A$2:$A$7,0)),"Unknown")</f>
        <v>South</v>
      </c>
      <c r="E242" s="2" t="str">
        <f>PROPER(TRIM(SUBSTITUTE([1]RawShipmentData!D242,"  "," ")))</f>
        <v>Ecom Express</v>
      </c>
      <c r="F242" s="2" t="str">
        <f>PROPER(TRIM([1]RawShipmentData!E242))</f>
        <v>Road</v>
      </c>
      <c r="G242" s="2" t="str">
        <f>PROPER(TRIM(SUBSTITUTE([1]RawShipmentData!F242,"  "," ")))</f>
        <v>Grocery &amp; Fmcg</v>
      </c>
      <c r="H242" s="2" t="str">
        <f>PROPER(TRIM([1]RawShipmentData!G242))</f>
        <v>East</v>
      </c>
      <c r="I242" s="2" t="str">
        <f t="shared" si="15"/>
        <v>Yes</v>
      </c>
      <c r="J242" s="2">
        <f>IFERROR(VALUE(TRIM(SUBSTITUTE(UPPER([1]RawShipmentData!I242),"KG",""))),"")</f>
        <v>13.6</v>
      </c>
      <c r="K242" s="2">
        <f>VALUE(SUBSTITUTE(SUBSTITUTE(SUBSTITUTE(TRIM([1]RawShipmentData!J242),"₹",""),"Rs",""),",",""))</f>
        <v>367</v>
      </c>
      <c r="L242" s="2">
        <f>[1]RawShipmentData!K242</f>
        <v>8</v>
      </c>
      <c r="M242" s="3">
        <f>IF(TRIM([1]RawShipmentData!L242)="","",IF(ISNUMBER(SEARCH("/",TRIM([1]RawShipmentData!L242))),DATE(VALUE(RIGHT(TRIM([1]RawShipmentData!L242),4)),VALUE(MID(TRIM([1]RawShipmentData!L242),FIND("/",TRIM([1]RawShipmentData!L242))+1,2)),VALUE(LEFT(TRIM([1]RawShipmentData!L242),FIND("/",TRIM([1]RawShipmentData!L242))-1))),DATEVALUE(TRIM([1]RawShipmentData!L242))))</f>
        <v>45409</v>
      </c>
      <c r="N242" s="2">
        <f t="shared" si="16"/>
        <v>9</v>
      </c>
      <c r="O242" s="2">
        <f t="shared" si="17"/>
        <v>1</v>
      </c>
      <c r="P242" s="2" t="str">
        <f t="shared" si="18"/>
        <v>Late</v>
      </c>
      <c r="Q242" s="2" t="str">
        <f>PROPER(SUBSTITUTE(TRIM([1]RawShipmentData!M242)," ","-"))</f>
        <v>Delayed</v>
      </c>
      <c r="R242" s="4">
        <f t="shared" si="19"/>
        <v>26.985294117647058</v>
      </c>
      <c r="S242" s="2">
        <f>[1]RawShipmentData!N242</f>
        <v>1</v>
      </c>
      <c r="T242" s="2" t="str">
        <f>IF(OR(UPPER(TRIM([1]RawShipmentData!O242))="YES",UPPER(TRIM([1]RawShipmentData!O242))="Y"),"Yes","No")</f>
        <v>Yes</v>
      </c>
    </row>
    <row r="243" spans="1:20" x14ac:dyDescent="0.25">
      <c r="A243" s="2" t="str">
        <f>[1]RawShipmentData!A243</f>
        <v>SHP-100466</v>
      </c>
      <c r="B243" s="3">
        <f>IF(ISNUMBER(SEARCH("/",TRIM([1]RawShipmentData!B243))),DATE(VALUE(RIGHT(TRIM([1]RawShipmentData!B243),4)),VALUE(MID(TRIM([1]RawShipmentData!B243),FIND("/",TRIM([1]RawShipmentData!B243))+1,2)),VALUE(LEFT(TRIM([1]RawShipmentData!B243),FIND("/",TRIM([1]RawShipmentData!B243))-1))),DATEVALUE(TRIM([1]RawShipmentData!B243)))</f>
        <v>45385</v>
      </c>
      <c r="C243" s="2" t="str">
        <f>PROPER(TRIM([1]RawShipmentData!C243))</f>
        <v>Mumbai</v>
      </c>
      <c r="D243" s="2" t="str">
        <f>IFERROR(INDEX([1]HubMaster!$B$2:$B$7,MATCH(C243,[1]HubMaster!$A$2:$A$7,0)),"Unknown")</f>
        <v>West</v>
      </c>
      <c r="E243" s="2" t="str">
        <f>PROPER(TRIM(SUBSTITUTE([1]RawShipmentData!D243,"  "," ")))</f>
        <v>Dtdc</v>
      </c>
      <c r="F243" s="2" t="str">
        <f>PROPER(TRIM([1]RawShipmentData!E243))</f>
        <v>Road</v>
      </c>
      <c r="G243" s="2" t="str">
        <f>PROPER(TRIM(SUBSTITUTE([1]RawShipmentData!F243,"  "," ")))</f>
        <v>Furniture</v>
      </c>
      <c r="H243" s="2" t="str">
        <f>PROPER(TRIM([1]RawShipmentData!G243))</f>
        <v>South</v>
      </c>
      <c r="I243" s="2" t="str">
        <f t="shared" si="15"/>
        <v>Yes</v>
      </c>
      <c r="J243" s="2">
        <f>IFERROR(VALUE(TRIM(SUBSTITUTE(UPPER([1]RawShipmentData!I243),"KG",""))),"")</f>
        <v>39.6</v>
      </c>
      <c r="K243" s="2">
        <f>VALUE(SUBSTITUTE(SUBSTITUTE(SUBSTITUTE(TRIM([1]RawShipmentData!J243),"₹",""),"Rs",""),",",""))</f>
        <v>704</v>
      </c>
      <c r="L243" s="2">
        <f>[1]RawShipmentData!K243</f>
        <v>8</v>
      </c>
      <c r="M243" s="3">
        <f>IF(TRIM([1]RawShipmentData!L243)="","",IF(ISNUMBER(SEARCH("/",TRIM([1]RawShipmentData!L243))),DATE(VALUE(RIGHT(TRIM([1]RawShipmentData!L243),4)),VALUE(MID(TRIM([1]RawShipmentData!L243),FIND("/",TRIM([1]RawShipmentData!L243))+1,2)),VALUE(LEFT(TRIM([1]RawShipmentData!L243),FIND("/",TRIM([1]RawShipmentData!L243))-1))),DATEVALUE(TRIM([1]RawShipmentData!L243))))</f>
        <v>45392</v>
      </c>
      <c r="N243" s="2">
        <f t="shared" si="16"/>
        <v>7</v>
      </c>
      <c r="O243" s="2">
        <f t="shared" si="17"/>
        <v>-1</v>
      </c>
      <c r="P243" s="2" t="str">
        <f t="shared" si="18"/>
        <v>On Time</v>
      </c>
      <c r="Q243" s="2" t="str">
        <f>PROPER(SUBSTITUTE(TRIM([1]RawShipmentData!M243)," ","-"))</f>
        <v>Delivered</v>
      </c>
      <c r="R243" s="4">
        <f t="shared" si="19"/>
        <v>17.777777777777779</v>
      </c>
      <c r="S243" s="2">
        <f>[1]RawShipmentData!N243</f>
        <v>5</v>
      </c>
      <c r="T243" s="2" t="str">
        <f>IF(OR(UPPER(TRIM([1]RawShipmentData!O243))="YES",UPPER(TRIM([1]RawShipmentData!O243))="Y"),"Yes","No")</f>
        <v>Yes</v>
      </c>
    </row>
    <row r="244" spans="1:20" x14ac:dyDescent="0.25">
      <c r="A244" s="2" t="str">
        <f>[1]RawShipmentData!A244</f>
        <v>SHP-100148</v>
      </c>
      <c r="B244" s="3">
        <f>IF(ISNUMBER(SEARCH("/",TRIM([1]RawShipmentData!B244))),DATE(VALUE(RIGHT(TRIM([1]RawShipmentData!B244),4)),VALUE(MID(TRIM([1]RawShipmentData!B244),FIND("/",TRIM([1]RawShipmentData!B244))+1,2)),VALUE(LEFT(TRIM([1]RawShipmentData!B244),FIND("/",TRIM([1]RawShipmentData!B244))-1))),DATEVALUE(TRIM([1]RawShipmentData!B244)))</f>
        <v>45399</v>
      </c>
      <c r="C244" s="2" t="str">
        <f>PROPER(TRIM([1]RawShipmentData!C244))</f>
        <v>Chennai</v>
      </c>
      <c r="D244" s="2" t="str">
        <f>IFERROR(INDEX([1]HubMaster!$B$2:$B$7,MATCH(C244,[1]HubMaster!$A$2:$A$7,0)),"Unknown")</f>
        <v>South</v>
      </c>
      <c r="E244" s="2" t="str">
        <f>PROPER(TRIM(SUBSTITUTE([1]RawShipmentData!D244,"  "," ")))</f>
        <v>Xpressbees</v>
      </c>
      <c r="F244" s="2" t="str">
        <f>PROPER(TRIM([1]RawShipmentData!E244))</f>
        <v>Surface</v>
      </c>
      <c r="G244" s="2" t="str">
        <f>PROPER(TRIM(SUBSTITUTE([1]RawShipmentData!F244,"  "," ")))</f>
        <v>Electronics</v>
      </c>
      <c r="H244" s="2" t="str">
        <f>PROPER(TRIM([1]RawShipmentData!G244))</f>
        <v>South</v>
      </c>
      <c r="I244" s="2" t="str">
        <f t="shared" si="15"/>
        <v>No</v>
      </c>
      <c r="J244" s="2">
        <f>IFERROR(VALUE(TRIM(SUBSTITUTE(UPPER([1]RawShipmentData!I244),"KG",""))),"")</f>
        <v>12</v>
      </c>
      <c r="K244" s="2">
        <f>VALUE(SUBSTITUTE(SUBSTITUTE(SUBSTITUTE(TRIM([1]RawShipmentData!J244),"₹",""),"Rs",""),",",""))</f>
        <v>269</v>
      </c>
      <c r="L244" s="2">
        <f>[1]RawShipmentData!K244</f>
        <v>4</v>
      </c>
      <c r="M244" s="3">
        <f>IF(TRIM([1]RawShipmentData!L244)="","",IF(ISNUMBER(SEARCH("/",TRIM([1]RawShipmentData!L244))),DATE(VALUE(RIGHT(TRIM([1]RawShipmentData!L244),4)),VALUE(MID(TRIM([1]RawShipmentData!L244),FIND("/",TRIM([1]RawShipmentData!L244))+1,2)),VALUE(LEFT(TRIM([1]RawShipmentData!L244),FIND("/",TRIM([1]RawShipmentData!L244))-1))),DATEVALUE(TRIM([1]RawShipmentData!L244))))</f>
        <v>45403</v>
      </c>
      <c r="N244" s="2">
        <f t="shared" si="16"/>
        <v>4</v>
      </c>
      <c r="O244" s="2">
        <f t="shared" si="17"/>
        <v>0</v>
      </c>
      <c r="P244" s="2" t="str">
        <f t="shared" si="18"/>
        <v>On Time</v>
      </c>
      <c r="Q244" s="2" t="str">
        <f>PROPER(SUBSTITUTE(TRIM([1]RawShipmentData!M244)," ","-"))</f>
        <v>Delivered</v>
      </c>
      <c r="R244" s="4">
        <f t="shared" si="19"/>
        <v>22.416666666666668</v>
      </c>
      <c r="S244" s="2">
        <f>[1]RawShipmentData!N244</f>
        <v>5</v>
      </c>
      <c r="T244" s="2" t="str">
        <f>IF(OR(UPPER(TRIM([1]RawShipmentData!O244))="YES",UPPER(TRIM([1]RawShipmentData!O244))="Y"),"Yes","No")</f>
        <v>No</v>
      </c>
    </row>
    <row r="245" spans="1:20" x14ac:dyDescent="0.25">
      <c r="A245" s="2" t="str">
        <f>[1]RawShipmentData!A245</f>
        <v>SHP-101324</v>
      </c>
      <c r="B245" s="3">
        <f>IF(ISNUMBER(SEARCH("/",TRIM([1]RawShipmentData!B245))),DATE(VALUE(RIGHT(TRIM([1]RawShipmentData!B245),4)),VALUE(MID(TRIM([1]RawShipmentData!B245),FIND("/",TRIM([1]RawShipmentData!B245))+1,2)),VALUE(LEFT(TRIM([1]RawShipmentData!B245),FIND("/",TRIM([1]RawShipmentData!B245))-1))),DATEVALUE(TRIM([1]RawShipmentData!B245)))</f>
        <v>45361</v>
      </c>
      <c r="C245" s="2" t="str">
        <f>PROPER(TRIM([1]RawShipmentData!C245))</f>
        <v>Hyderabad</v>
      </c>
      <c r="D245" s="2" t="str">
        <f>IFERROR(INDEX([1]HubMaster!$B$2:$B$7,MATCH(C245,[1]HubMaster!$A$2:$A$7,0)),"Unknown")</f>
        <v>West</v>
      </c>
      <c r="E245" s="2" t="str">
        <f>PROPER(TRIM(SUBSTITUTE([1]RawShipmentData!D245,"  "," ")))</f>
        <v>Xpressbees</v>
      </c>
      <c r="F245" s="2" t="str">
        <f>PROPER(TRIM([1]RawShipmentData!E245))</f>
        <v>Surface</v>
      </c>
      <c r="G245" s="2" t="str">
        <f>PROPER(TRIM(SUBSTITUTE([1]RawShipmentData!F245,"  "," ")))</f>
        <v>Apparel</v>
      </c>
      <c r="H245" s="2" t="str">
        <f>PROPER(TRIM([1]RawShipmentData!G245))</f>
        <v>East</v>
      </c>
      <c r="I245" s="2" t="str">
        <f t="shared" si="15"/>
        <v>Yes</v>
      </c>
      <c r="J245" s="2">
        <f>IFERROR(VALUE(TRIM(SUBSTITUTE(UPPER([1]RawShipmentData!I245),"KG",""))),"")</f>
        <v>7.9</v>
      </c>
      <c r="K245" s="2">
        <f>VALUE(SUBSTITUTE(SUBSTITUTE(SUBSTITUTE(TRIM([1]RawShipmentData!J245),"₹",""),"Rs",""),",",""))</f>
        <v>348</v>
      </c>
      <c r="L245" s="2">
        <f>[1]RawShipmentData!K245</f>
        <v>6</v>
      </c>
      <c r="M245" s="3">
        <f>IF(TRIM([1]RawShipmentData!L245)="","",IF(ISNUMBER(SEARCH("/",TRIM([1]RawShipmentData!L245))),DATE(VALUE(RIGHT(TRIM([1]RawShipmentData!L245),4)),VALUE(MID(TRIM([1]RawShipmentData!L245),FIND("/",TRIM([1]RawShipmentData!L245))+1,2)),VALUE(LEFT(TRIM([1]RawShipmentData!L245),FIND("/",TRIM([1]RawShipmentData!L245))-1))),DATEVALUE(TRIM([1]RawShipmentData!L245))))</f>
        <v>45369</v>
      </c>
      <c r="N245" s="2">
        <f t="shared" si="16"/>
        <v>8</v>
      </c>
      <c r="O245" s="2">
        <f t="shared" si="17"/>
        <v>2</v>
      </c>
      <c r="P245" s="2" t="str">
        <f t="shared" si="18"/>
        <v>Late</v>
      </c>
      <c r="Q245" s="2" t="str">
        <f>PROPER(SUBSTITUTE(TRIM([1]RawShipmentData!M245)," ","-"))</f>
        <v>Delayed</v>
      </c>
      <c r="R245" s="4">
        <f t="shared" si="19"/>
        <v>44.050632911392405</v>
      </c>
      <c r="S245" s="2">
        <f>[1]RawShipmentData!N245</f>
        <v>3</v>
      </c>
      <c r="T245" s="2" t="str">
        <f>IF(OR(UPPER(TRIM([1]RawShipmentData!O245))="YES",UPPER(TRIM([1]RawShipmentData!O245))="Y"),"Yes","No")</f>
        <v>Yes</v>
      </c>
    </row>
    <row r="246" spans="1:20" x14ac:dyDescent="0.25">
      <c r="A246" s="2" t="str">
        <f>[1]RawShipmentData!A246</f>
        <v>SHP-101264</v>
      </c>
      <c r="B246" s="3">
        <f>IF(ISNUMBER(SEARCH("/",TRIM([1]RawShipmentData!B246))),DATE(VALUE(RIGHT(TRIM([1]RawShipmentData!B246),4)),VALUE(MID(TRIM([1]RawShipmentData!B246),FIND("/",TRIM([1]RawShipmentData!B246))+1,2)),VALUE(LEFT(TRIM([1]RawShipmentData!B246),FIND("/",TRIM([1]RawShipmentData!B246))-1))),DATEVALUE(TRIM([1]RawShipmentData!B246)))</f>
        <v>45314</v>
      </c>
      <c r="C246" s="2" t="str">
        <f>PROPER(TRIM([1]RawShipmentData!C246))</f>
        <v>Chennai</v>
      </c>
      <c r="D246" s="2" t="str">
        <f>IFERROR(INDEX([1]HubMaster!$B$2:$B$7,MATCH(C246,[1]HubMaster!$A$2:$A$7,0)),"Unknown")</f>
        <v>South</v>
      </c>
      <c r="E246" s="2" t="str">
        <f>PROPER(TRIM(SUBSTITUTE([1]RawShipmentData!D246,"  "," ")))</f>
        <v>Bluedart</v>
      </c>
      <c r="F246" s="2" t="str">
        <f>PROPER(TRIM([1]RawShipmentData!E246))</f>
        <v>Road</v>
      </c>
      <c r="G246" s="2" t="str">
        <f>PROPER(TRIM(SUBSTITUTE([1]RawShipmentData!F246,"  "," ")))</f>
        <v>Grocery &amp; Fmcg</v>
      </c>
      <c r="H246" s="2" t="str">
        <f>PROPER(TRIM([1]RawShipmentData!G246))</f>
        <v>South</v>
      </c>
      <c r="I246" s="2" t="str">
        <f t="shared" si="15"/>
        <v>No</v>
      </c>
      <c r="J246" s="2">
        <f>IFERROR(VALUE(TRIM(SUBSTITUTE(UPPER([1]RawShipmentData!I246),"KG",""))),"")</f>
        <v>2.8</v>
      </c>
      <c r="K246" s="2">
        <f>VALUE(SUBSTITUTE(SUBSTITUTE(SUBSTITUTE(TRIM([1]RawShipmentData!J246),"₹",""),"Rs",""),",",""))</f>
        <v>80</v>
      </c>
      <c r="L246" s="2">
        <f>[1]RawShipmentData!K246</f>
        <v>6</v>
      </c>
      <c r="M246" s="3">
        <f>IF(TRIM([1]RawShipmentData!L246)="","",IF(ISNUMBER(SEARCH("/",TRIM([1]RawShipmentData!L246))),DATE(VALUE(RIGHT(TRIM([1]RawShipmentData!L246),4)),VALUE(MID(TRIM([1]RawShipmentData!L246),FIND("/",TRIM([1]RawShipmentData!L246))+1,2)),VALUE(LEFT(TRIM([1]RawShipmentData!L246),FIND("/",TRIM([1]RawShipmentData!L246))-1))),DATEVALUE(TRIM([1]RawShipmentData!L246))))</f>
        <v>45319</v>
      </c>
      <c r="N246" s="2">
        <f t="shared" si="16"/>
        <v>5</v>
      </c>
      <c r="O246" s="2">
        <f t="shared" si="17"/>
        <v>-1</v>
      </c>
      <c r="P246" s="2" t="str">
        <f t="shared" si="18"/>
        <v>On Time</v>
      </c>
      <c r="Q246" s="2" t="str">
        <f>PROPER(SUBSTITUTE(TRIM([1]RawShipmentData!M246)," ","-"))</f>
        <v>Delivered</v>
      </c>
      <c r="R246" s="4">
        <f t="shared" si="19"/>
        <v>28.571428571428573</v>
      </c>
      <c r="S246" s="2">
        <f>[1]RawShipmentData!N246</f>
        <v>2</v>
      </c>
      <c r="T246" s="2" t="str">
        <f>IF(OR(UPPER(TRIM([1]RawShipmentData!O246))="YES",UPPER(TRIM([1]RawShipmentData!O246))="Y"),"Yes","No")</f>
        <v>No</v>
      </c>
    </row>
    <row r="247" spans="1:20" x14ac:dyDescent="0.25">
      <c r="A247" s="2" t="str">
        <f>[1]RawShipmentData!A247</f>
        <v>SHP-101600</v>
      </c>
      <c r="B247" s="3">
        <f>IF(ISNUMBER(SEARCH("/",TRIM([1]RawShipmentData!B247))),DATE(VALUE(RIGHT(TRIM([1]RawShipmentData!B247),4)),VALUE(MID(TRIM([1]RawShipmentData!B247),FIND("/",TRIM([1]RawShipmentData!B247))+1,2)),VALUE(LEFT(TRIM([1]RawShipmentData!B247),FIND("/",TRIM([1]RawShipmentData!B247))-1))),DATEVALUE(TRIM([1]RawShipmentData!B247)))</f>
        <v>45360</v>
      </c>
      <c r="C247" s="2" t="str">
        <f>PROPER(TRIM([1]RawShipmentData!C247))</f>
        <v>Hyderabad</v>
      </c>
      <c r="D247" s="2" t="str">
        <f>IFERROR(INDEX([1]HubMaster!$B$2:$B$7,MATCH(C247,[1]HubMaster!$A$2:$A$7,0)),"Unknown")</f>
        <v>West</v>
      </c>
      <c r="E247" s="2" t="str">
        <f>PROPER(TRIM(SUBSTITUTE([1]RawShipmentData!D247,"  "," ")))</f>
        <v>Xpressbees</v>
      </c>
      <c r="F247" s="2" t="str">
        <f>PROPER(TRIM([1]RawShipmentData!E247))</f>
        <v>Air</v>
      </c>
      <c r="G247" s="2" t="str">
        <f>PROPER(TRIM(SUBSTITUTE([1]RawShipmentData!F247,"  "," ")))</f>
        <v>Apparel</v>
      </c>
      <c r="H247" s="2" t="str">
        <f>PROPER(TRIM([1]RawShipmentData!G247))</f>
        <v>South</v>
      </c>
      <c r="I247" s="2" t="str">
        <f t="shared" si="15"/>
        <v>Yes</v>
      </c>
      <c r="J247" s="2">
        <f>IFERROR(VALUE(TRIM(SUBSTITUTE(UPPER([1]RawShipmentData!I247),"KG",""))),"")</f>
        <v>3.2</v>
      </c>
      <c r="K247" s="2">
        <f>VALUE(SUBSTITUTE(SUBSTITUTE(SUBSTITUTE(TRIM([1]RawShipmentData!J247),"₹",""),"Rs",""),",",""))</f>
        <v>282</v>
      </c>
      <c r="L247" s="2">
        <f>[1]RawShipmentData!K247</f>
        <v>4</v>
      </c>
      <c r="M247" s="3">
        <f>IF(TRIM([1]RawShipmentData!L247)="","",IF(ISNUMBER(SEARCH("/",TRIM([1]RawShipmentData!L247))),DATE(VALUE(RIGHT(TRIM([1]RawShipmentData!L247),4)),VALUE(MID(TRIM([1]RawShipmentData!L247),FIND("/",TRIM([1]RawShipmentData!L247))+1,2)),VALUE(LEFT(TRIM([1]RawShipmentData!L247),FIND("/",TRIM([1]RawShipmentData!L247))-1))),DATEVALUE(TRIM([1]RawShipmentData!L247))))</f>
        <v>45365</v>
      </c>
      <c r="N247" s="2">
        <f t="shared" si="16"/>
        <v>5</v>
      </c>
      <c r="O247" s="2">
        <f t="shared" si="17"/>
        <v>1</v>
      </c>
      <c r="P247" s="2" t="str">
        <f t="shared" si="18"/>
        <v>Late</v>
      </c>
      <c r="Q247" s="2" t="str">
        <f>PROPER(SUBSTITUTE(TRIM([1]RawShipmentData!M247)," ","-"))</f>
        <v>Returned</v>
      </c>
      <c r="R247" s="4">
        <f t="shared" si="19"/>
        <v>88.125</v>
      </c>
      <c r="S247" s="2">
        <f>[1]RawShipmentData!N247</f>
        <v>0</v>
      </c>
      <c r="T247" s="2" t="str">
        <f>IF(OR(UPPER(TRIM([1]RawShipmentData!O247))="YES",UPPER(TRIM([1]RawShipmentData!O247))="Y"),"Yes","No")</f>
        <v>Yes</v>
      </c>
    </row>
    <row r="248" spans="1:20" x14ac:dyDescent="0.25">
      <c r="A248" s="2" t="str">
        <f>[1]RawShipmentData!A248</f>
        <v>SHP-100193</v>
      </c>
      <c r="B248" s="3">
        <f>IF(ISNUMBER(SEARCH("/",TRIM([1]RawShipmentData!B248))),DATE(VALUE(RIGHT(TRIM([1]RawShipmentData!B248),4)),VALUE(MID(TRIM([1]RawShipmentData!B248),FIND("/",TRIM([1]RawShipmentData!B248))+1,2)),VALUE(LEFT(TRIM([1]RawShipmentData!B248),FIND("/",TRIM([1]RawShipmentData!B248))-1))),DATEVALUE(TRIM([1]RawShipmentData!B248)))</f>
        <v>45418</v>
      </c>
      <c r="C248" s="2" t="str">
        <f>PROPER(TRIM([1]RawShipmentData!C248))</f>
        <v>Kolkata</v>
      </c>
      <c r="D248" s="2" t="str">
        <f>IFERROR(INDEX([1]HubMaster!$B$2:$B$7,MATCH(C248,[1]HubMaster!$A$2:$A$7,0)),"Unknown")</f>
        <v>East</v>
      </c>
      <c r="E248" s="2" t="str">
        <f>PROPER(TRIM(SUBSTITUTE([1]RawShipmentData!D248,"  "," ")))</f>
        <v>Ecom Express</v>
      </c>
      <c r="F248" s="2" t="str">
        <f>PROPER(TRIM([1]RawShipmentData!E248))</f>
        <v>Air</v>
      </c>
      <c r="G248" s="2" t="str">
        <f>PROPER(TRIM(SUBSTITUTE([1]RawShipmentData!F248,"  "," ")))</f>
        <v>Pharma</v>
      </c>
      <c r="H248" s="2" t="str">
        <f>PROPER(TRIM([1]RawShipmentData!G248))</f>
        <v>West</v>
      </c>
      <c r="I248" s="2" t="str">
        <f t="shared" si="15"/>
        <v>Yes</v>
      </c>
      <c r="J248" s="2">
        <f>IFERROR(VALUE(TRIM(SUBSTITUTE(UPPER([1]RawShipmentData!I248),"KG",""))),"")</f>
        <v>0.7</v>
      </c>
      <c r="K248" s="2">
        <f>VALUE(SUBSTITUTE(SUBSTITUTE(SUBSTITUTE(TRIM([1]RawShipmentData!J248),"₹",""),"Rs",""),",",""))</f>
        <v>159</v>
      </c>
      <c r="L248" s="2">
        <f>[1]RawShipmentData!K248</f>
        <v>4</v>
      </c>
      <c r="M248" s="3">
        <f>IF(TRIM([1]RawShipmentData!L248)="","",IF(ISNUMBER(SEARCH("/",TRIM([1]RawShipmentData!L248))),DATE(VALUE(RIGHT(TRIM([1]RawShipmentData!L248),4)),VALUE(MID(TRIM([1]RawShipmentData!L248),FIND("/",TRIM([1]RawShipmentData!L248))+1,2)),VALUE(LEFT(TRIM([1]RawShipmentData!L248),FIND("/",TRIM([1]RawShipmentData!L248))-1))),DATEVALUE(TRIM([1]RawShipmentData!L248))))</f>
        <v>45421</v>
      </c>
      <c r="N248" s="2">
        <f t="shared" si="16"/>
        <v>3</v>
      </c>
      <c r="O248" s="2">
        <f t="shared" si="17"/>
        <v>-1</v>
      </c>
      <c r="P248" s="2" t="str">
        <f t="shared" si="18"/>
        <v>On Time</v>
      </c>
      <c r="Q248" s="2" t="str">
        <f>PROPER(SUBSTITUTE(TRIM([1]RawShipmentData!M248)," ","-"))</f>
        <v>Delivered</v>
      </c>
      <c r="R248" s="4">
        <f t="shared" si="19"/>
        <v>227.14285714285717</v>
      </c>
      <c r="S248" s="2">
        <f>[1]RawShipmentData!N248</f>
        <v>4</v>
      </c>
      <c r="T248" s="2" t="str">
        <f>IF(OR(UPPER(TRIM([1]RawShipmentData!O248))="YES",UPPER(TRIM([1]RawShipmentData!O248))="Y"),"Yes","No")</f>
        <v>No</v>
      </c>
    </row>
    <row r="249" spans="1:20" x14ac:dyDescent="0.25">
      <c r="A249" s="2" t="str">
        <f>[1]RawShipmentData!A249</f>
        <v>SHP-101429</v>
      </c>
      <c r="B249" s="3">
        <f>IF(ISNUMBER(SEARCH("/",TRIM([1]RawShipmentData!B249))),DATE(VALUE(RIGHT(TRIM([1]RawShipmentData!B249),4)),VALUE(MID(TRIM([1]RawShipmentData!B249),FIND("/",TRIM([1]RawShipmentData!B249))+1,2)),VALUE(LEFT(TRIM([1]RawShipmentData!B249),FIND("/",TRIM([1]RawShipmentData!B249))-1))),DATEVALUE(TRIM([1]RawShipmentData!B249)))</f>
        <v>45397</v>
      </c>
      <c r="C249" s="2" t="str">
        <f>PROPER(TRIM([1]RawShipmentData!C249))</f>
        <v>Kolkata</v>
      </c>
      <c r="D249" s="2" t="str">
        <f>IFERROR(INDEX([1]HubMaster!$B$2:$B$7,MATCH(C249,[1]HubMaster!$A$2:$A$7,0)),"Unknown")</f>
        <v>East</v>
      </c>
      <c r="E249" s="2" t="str">
        <f>PROPER(TRIM(SUBSTITUTE([1]RawShipmentData!D249,"  "," ")))</f>
        <v>Ecom Express</v>
      </c>
      <c r="F249" s="2" t="str">
        <f>PROPER(TRIM([1]RawShipmentData!E249))</f>
        <v>Road</v>
      </c>
      <c r="G249" s="2" t="str">
        <f>PROPER(TRIM(SUBSTITUTE([1]RawShipmentData!F249,"  "," ")))</f>
        <v>Automotive Parts</v>
      </c>
      <c r="H249" s="2" t="str">
        <f>PROPER(TRIM([1]RawShipmentData!G249))</f>
        <v>North</v>
      </c>
      <c r="I249" s="2" t="str">
        <f t="shared" si="15"/>
        <v>Yes</v>
      </c>
      <c r="J249" s="2">
        <f>IFERROR(VALUE(TRIM(SUBSTITUTE(UPPER([1]RawShipmentData!I249),"KG",""))),"")</f>
        <v>13.6</v>
      </c>
      <c r="K249" s="2">
        <f>VALUE(SUBSTITUTE(SUBSTITUTE(SUBSTITUTE(TRIM([1]RawShipmentData!J249),"₹",""),"Rs",""),",",""))</f>
        <v>332</v>
      </c>
      <c r="L249" s="2">
        <f>[1]RawShipmentData!K249</f>
        <v>8</v>
      </c>
      <c r="M249" s="3">
        <f>IF(TRIM([1]RawShipmentData!L249)="","",IF(ISNUMBER(SEARCH("/",TRIM([1]RawShipmentData!L249))),DATE(VALUE(RIGHT(TRIM([1]RawShipmentData!L249),4)),VALUE(MID(TRIM([1]RawShipmentData!L249),FIND("/",TRIM([1]RawShipmentData!L249))+1,2)),VALUE(LEFT(TRIM([1]RawShipmentData!L249),FIND("/",TRIM([1]RawShipmentData!L249))-1))),DATEVALUE(TRIM([1]RawShipmentData!L249))))</f>
        <v>45404</v>
      </c>
      <c r="N249" s="2">
        <f t="shared" si="16"/>
        <v>7</v>
      </c>
      <c r="O249" s="2">
        <f t="shared" si="17"/>
        <v>-1</v>
      </c>
      <c r="P249" s="2" t="str">
        <f t="shared" si="18"/>
        <v>On Time</v>
      </c>
      <c r="Q249" s="2" t="str">
        <f>PROPER(SUBSTITUTE(TRIM([1]RawShipmentData!M249)," ","-"))</f>
        <v>Delivered</v>
      </c>
      <c r="R249" s="4">
        <f t="shared" si="19"/>
        <v>24.411764705882355</v>
      </c>
      <c r="S249" s="2">
        <f>[1]RawShipmentData!N249</f>
        <v>4</v>
      </c>
      <c r="T249" s="2" t="str">
        <f>IF(OR(UPPER(TRIM([1]RawShipmentData!O249))="YES",UPPER(TRIM([1]RawShipmentData!O249))="Y"),"Yes","No")</f>
        <v>Yes</v>
      </c>
    </row>
    <row r="250" spans="1:20" x14ac:dyDescent="0.25">
      <c r="A250" s="2" t="str">
        <f>[1]RawShipmentData!A250</f>
        <v>SHP-100599</v>
      </c>
      <c r="B250" s="3">
        <f>IF(ISNUMBER(SEARCH("/",TRIM([1]RawShipmentData!B250))),DATE(VALUE(RIGHT(TRIM([1]RawShipmentData!B250),4)),VALUE(MID(TRIM([1]RawShipmentData!B250),FIND("/",TRIM([1]RawShipmentData!B250))+1,2)),VALUE(LEFT(TRIM([1]RawShipmentData!B250),FIND("/",TRIM([1]RawShipmentData!B250))-1))),DATEVALUE(TRIM([1]RawShipmentData!B250)))</f>
        <v>45326</v>
      </c>
      <c r="C250" s="2" t="str">
        <f>PROPER(TRIM([1]RawShipmentData!C250))</f>
        <v>Mumbai</v>
      </c>
      <c r="D250" s="2" t="str">
        <f>IFERROR(INDEX([1]HubMaster!$B$2:$B$7,MATCH(C250,[1]HubMaster!$A$2:$A$7,0)),"Unknown")</f>
        <v>West</v>
      </c>
      <c r="E250" s="2" t="str">
        <f>PROPER(TRIM(SUBSTITUTE([1]RawShipmentData!D250,"  "," ")))</f>
        <v>Delhivery</v>
      </c>
      <c r="F250" s="2" t="str">
        <f>PROPER(TRIM([1]RawShipmentData!E250))</f>
        <v>Air</v>
      </c>
      <c r="G250" s="2" t="str">
        <f>PROPER(TRIM(SUBSTITUTE([1]RawShipmentData!F250,"  "," ")))</f>
        <v>Automotive Parts</v>
      </c>
      <c r="H250" s="2" t="str">
        <f>PROPER(TRIM([1]RawShipmentData!G250))</f>
        <v>South</v>
      </c>
      <c r="I250" s="2" t="str">
        <f t="shared" si="15"/>
        <v>Yes</v>
      </c>
      <c r="J250" s="2">
        <f>IFERROR(VALUE(TRIM(SUBSTITUTE(UPPER([1]RawShipmentData!I250),"KG",""))),"")</f>
        <v>30.6</v>
      </c>
      <c r="K250" s="2">
        <f>VALUE(SUBSTITUTE(SUBSTITUTE(SUBSTITUTE(TRIM([1]RawShipmentData!J250),"₹",""),"Rs",""),",",""))</f>
        <v>1548</v>
      </c>
      <c r="L250" s="2">
        <f>[1]RawShipmentData!K250</f>
        <v>4</v>
      </c>
      <c r="M250" s="3">
        <f>IF(TRIM([1]RawShipmentData!L250)="","",IF(ISNUMBER(SEARCH("/",TRIM([1]RawShipmentData!L250))),DATE(VALUE(RIGHT(TRIM([1]RawShipmentData!L250),4)),VALUE(MID(TRIM([1]RawShipmentData!L250),FIND("/",TRIM([1]RawShipmentData!L250))+1,2)),VALUE(LEFT(TRIM([1]RawShipmentData!L250),FIND("/",TRIM([1]RawShipmentData!L250))-1))),DATEVALUE(TRIM([1]RawShipmentData!L250))))</f>
        <v>45330</v>
      </c>
      <c r="N250" s="2">
        <f t="shared" si="16"/>
        <v>4</v>
      </c>
      <c r="O250" s="2">
        <f t="shared" si="17"/>
        <v>0</v>
      </c>
      <c r="P250" s="2" t="str">
        <f t="shared" si="18"/>
        <v>On Time</v>
      </c>
      <c r="Q250" s="2" t="str">
        <f>PROPER(SUBSTITUTE(TRIM([1]RawShipmentData!M250)," ","-"))</f>
        <v>Delivered</v>
      </c>
      <c r="R250" s="4">
        <f t="shared" si="19"/>
        <v>50.588235294117645</v>
      </c>
      <c r="S250" s="2">
        <f>[1]RawShipmentData!N250</f>
        <v>4</v>
      </c>
      <c r="T250" s="2" t="str">
        <f>IF(OR(UPPER(TRIM([1]RawShipmentData!O250))="YES",UPPER(TRIM([1]RawShipmentData!O250))="Y"),"Yes","No")</f>
        <v>No</v>
      </c>
    </row>
    <row r="251" spans="1:20" x14ac:dyDescent="0.25">
      <c r="A251" s="2" t="str">
        <f>[1]RawShipmentData!A251</f>
        <v>SHP-101523</v>
      </c>
      <c r="B251" s="3">
        <f>IF(ISNUMBER(SEARCH("/",TRIM([1]RawShipmentData!B251))),DATE(VALUE(RIGHT(TRIM([1]RawShipmentData!B251),4)),VALUE(MID(TRIM([1]RawShipmentData!B251),FIND("/",TRIM([1]RawShipmentData!B251))+1,2)),VALUE(LEFT(TRIM([1]RawShipmentData!B251),FIND("/",TRIM([1]RawShipmentData!B251))-1))),DATEVALUE(TRIM([1]RawShipmentData!B251)))</f>
        <v>45342</v>
      </c>
      <c r="C251" s="2" t="str">
        <f>PROPER(TRIM([1]RawShipmentData!C251))</f>
        <v>Mumbai</v>
      </c>
      <c r="D251" s="2" t="str">
        <f>IFERROR(INDEX([1]HubMaster!$B$2:$B$7,MATCH(C251,[1]HubMaster!$A$2:$A$7,0)),"Unknown")</f>
        <v>West</v>
      </c>
      <c r="E251" s="2" t="str">
        <f>PROPER(TRIM(SUBSTITUTE([1]RawShipmentData!D251,"  "," ")))</f>
        <v>Bluedart</v>
      </c>
      <c r="F251" s="2" t="str">
        <f>PROPER(TRIM([1]RawShipmentData!E251))</f>
        <v>Air</v>
      </c>
      <c r="G251" s="2" t="str">
        <f>PROPER(TRIM(SUBSTITUTE([1]RawShipmentData!F251,"  "," ")))</f>
        <v>Electronics</v>
      </c>
      <c r="H251" s="2" t="str">
        <f>PROPER(TRIM([1]RawShipmentData!G251))</f>
        <v>South</v>
      </c>
      <c r="I251" s="2" t="str">
        <f t="shared" si="15"/>
        <v>Yes</v>
      </c>
      <c r="J251" s="2">
        <f>IFERROR(VALUE(TRIM(SUBSTITUTE(UPPER([1]RawShipmentData!I251),"KG",""))),"")</f>
        <v>2.9</v>
      </c>
      <c r="K251" s="2">
        <f>VALUE(SUBSTITUTE(SUBSTITUTE(SUBSTITUTE(TRIM([1]RawShipmentData!J251),"₹",""),"Rs",""),",",""))</f>
        <v>253</v>
      </c>
      <c r="L251" s="2">
        <f>[1]RawShipmentData!K251</f>
        <v>4</v>
      </c>
      <c r="M251" s="3">
        <f>IF(TRIM([1]RawShipmentData!L251)="","",IF(ISNUMBER(SEARCH("/",TRIM([1]RawShipmentData!L251))),DATE(VALUE(RIGHT(TRIM([1]RawShipmentData!L251),4)),VALUE(MID(TRIM([1]RawShipmentData!L251),FIND("/",TRIM([1]RawShipmentData!L251))+1,2)),VALUE(LEFT(TRIM([1]RawShipmentData!L251),FIND("/",TRIM([1]RawShipmentData!L251))-1))),DATEVALUE(TRIM([1]RawShipmentData!L251))))</f>
        <v>45345</v>
      </c>
      <c r="N251" s="2">
        <f t="shared" si="16"/>
        <v>3</v>
      </c>
      <c r="O251" s="2">
        <f t="shared" si="17"/>
        <v>-1</v>
      </c>
      <c r="P251" s="2" t="str">
        <f t="shared" si="18"/>
        <v>On Time</v>
      </c>
      <c r="Q251" s="2" t="str">
        <f>PROPER(SUBSTITUTE(TRIM([1]RawShipmentData!M251)," ","-"))</f>
        <v>Delivered</v>
      </c>
      <c r="R251" s="4">
        <f t="shared" si="19"/>
        <v>87.241379310344826</v>
      </c>
      <c r="S251" s="2">
        <f>[1]RawShipmentData!N251</f>
        <v>5</v>
      </c>
      <c r="T251" s="2" t="str">
        <f>IF(OR(UPPER(TRIM([1]RawShipmentData!O251))="YES",UPPER(TRIM([1]RawShipmentData!O251))="Y"),"Yes","No")</f>
        <v>Yes</v>
      </c>
    </row>
    <row r="252" spans="1:20" x14ac:dyDescent="0.25">
      <c r="A252" s="2" t="str">
        <f>[1]RawShipmentData!A252</f>
        <v>SHP-101362</v>
      </c>
      <c r="B252" s="3">
        <f>IF(ISNUMBER(SEARCH("/",TRIM([1]RawShipmentData!B252))),DATE(VALUE(RIGHT(TRIM([1]RawShipmentData!B252),4)),VALUE(MID(TRIM([1]RawShipmentData!B252),FIND("/",TRIM([1]RawShipmentData!B252))+1,2)),VALUE(LEFT(TRIM([1]RawShipmentData!B252),FIND("/",TRIM([1]RawShipmentData!B252))-1))),DATEVALUE(TRIM([1]RawShipmentData!B252)))</f>
        <v>45453</v>
      </c>
      <c r="C252" s="2" t="str">
        <f>PROPER(TRIM([1]RawShipmentData!C252))</f>
        <v>Chennai</v>
      </c>
      <c r="D252" s="2" t="str">
        <f>IFERROR(INDEX([1]HubMaster!$B$2:$B$7,MATCH(C252,[1]HubMaster!$A$2:$A$7,0)),"Unknown")</f>
        <v>South</v>
      </c>
      <c r="E252" s="2" t="str">
        <f>PROPER(TRIM(SUBSTITUTE([1]RawShipmentData!D252,"  "," ")))</f>
        <v>Delhivery</v>
      </c>
      <c r="F252" s="2" t="str">
        <f>PROPER(TRIM([1]RawShipmentData!E252))</f>
        <v>Surface</v>
      </c>
      <c r="G252" s="2" t="str">
        <f>PROPER(TRIM(SUBSTITUTE([1]RawShipmentData!F252,"  "," ")))</f>
        <v>Pharma</v>
      </c>
      <c r="H252" s="2" t="str">
        <f>PROPER(TRIM([1]RawShipmentData!G252))</f>
        <v>West</v>
      </c>
      <c r="I252" s="2" t="str">
        <f t="shared" si="15"/>
        <v>Yes</v>
      </c>
      <c r="J252" s="2">
        <f>IFERROR(VALUE(TRIM(SUBSTITUTE(UPPER([1]RawShipmentData!I252),"KG",""))),"")</f>
        <v>2.4</v>
      </c>
      <c r="K252" s="2">
        <f>VALUE(SUBSTITUTE(SUBSTITUTE(SUBSTITUTE(TRIM([1]RawShipmentData!J252),"₹",""),"Rs",""),",",""))</f>
        <v>222</v>
      </c>
      <c r="L252" s="2">
        <f>[1]RawShipmentData!K252</f>
        <v>6</v>
      </c>
      <c r="M252" s="3">
        <f>IF(TRIM([1]RawShipmentData!L252)="","",IF(ISNUMBER(SEARCH("/",TRIM([1]RawShipmentData!L252))),DATE(VALUE(RIGHT(TRIM([1]RawShipmentData!L252),4)),VALUE(MID(TRIM([1]RawShipmentData!L252),FIND("/",TRIM([1]RawShipmentData!L252))+1,2)),VALUE(LEFT(TRIM([1]RawShipmentData!L252),FIND("/",TRIM([1]RawShipmentData!L252))-1))),DATEVALUE(TRIM([1]RawShipmentData!L252))))</f>
        <v>45458</v>
      </c>
      <c r="N252" s="2">
        <f t="shared" si="16"/>
        <v>5</v>
      </c>
      <c r="O252" s="2">
        <f t="shared" si="17"/>
        <v>-1</v>
      </c>
      <c r="P252" s="2" t="str">
        <f t="shared" si="18"/>
        <v>On Time</v>
      </c>
      <c r="Q252" s="2" t="str">
        <f>PROPER(SUBSTITUTE(TRIM([1]RawShipmentData!M252)," ","-"))</f>
        <v>Delivered</v>
      </c>
      <c r="R252" s="4">
        <f t="shared" si="19"/>
        <v>92.5</v>
      </c>
      <c r="S252" s="2">
        <f>[1]RawShipmentData!N252</f>
        <v>4</v>
      </c>
      <c r="T252" s="2" t="str">
        <f>IF(OR(UPPER(TRIM([1]RawShipmentData!O252))="YES",UPPER(TRIM([1]RawShipmentData!O252))="Y"),"Yes","No")</f>
        <v>No</v>
      </c>
    </row>
    <row r="253" spans="1:20" x14ac:dyDescent="0.25">
      <c r="A253" s="2" t="str">
        <f>[1]RawShipmentData!A253</f>
        <v>SHP-100913</v>
      </c>
      <c r="B253" s="3">
        <f>IF(ISNUMBER(SEARCH("/",TRIM([1]RawShipmentData!B253))),DATE(VALUE(RIGHT(TRIM([1]RawShipmentData!B253),4)),VALUE(MID(TRIM([1]RawShipmentData!B253),FIND("/",TRIM([1]RawShipmentData!B253))+1,2)),VALUE(LEFT(TRIM([1]RawShipmentData!B253),FIND("/",TRIM([1]RawShipmentData!B253))-1))),DATEVALUE(TRIM([1]RawShipmentData!B253)))</f>
        <v>45316</v>
      </c>
      <c r="C253" s="2" t="str">
        <f>PROPER(TRIM([1]RawShipmentData!C253))</f>
        <v>Chennai</v>
      </c>
      <c r="D253" s="2" t="str">
        <f>IFERROR(INDEX([1]HubMaster!$B$2:$B$7,MATCH(C253,[1]HubMaster!$A$2:$A$7,0)),"Unknown")</f>
        <v>South</v>
      </c>
      <c r="E253" s="2" t="str">
        <f>PROPER(TRIM(SUBSTITUTE([1]RawShipmentData!D253,"  "," ")))</f>
        <v>Bluedart</v>
      </c>
      <c r="F253" s="2" t="str">
        <f>PROPER(TRIM([1]RawShipmentData!E253))</f>
        <v>Air</v>
      </c>
      <c r="G253" s="2" t="str">
        <f>PROPER(TRIM(SUBSTITUTE([1]RawShipmentData!F253,"  "," ")))</f>
        <v>Furniture</v>
      </c>
      <c r="H253" s="2" t="str">
        <f>PROPER(TRIM([1]RawShipmentData!G253))</f>
        <v>North</v>
      </c>
      <c r="I253" s="2" t="str">
        <f t="shared" si="15"/>
        <v>Yes</v>
      </c>
      <c r="J253" s="2">
        <f>IFERROR(VALUE(TRIM(SUBSTITUTE(UPPER([1]RawShipmentData!I253),"KG",""))),"")</f>
        <v>33</v>
      </c>
      <c r="K253" s="2">
        <f>VALUE(SUBSTITUTE(SUBSTITUTE(SUBSTITUTE(TRIM([1]RawShipmentData!J253),"₹",""),"Rs",""),",",""))</f>
        <v>1629</v>
      </c>
      <c r="L253" s="2">
        <f>[1]RawShipmentData!K253</f>
        <v>4</v>
      </c>
      <c r="M253" s="3">
        <f>IF(TRIM([1]RawShipmentData!L253)="","",IF(ISNUMBER(SEARCH("/",TRIM([1]RawShipmentData!L253))),DATE(VALUE(RIGHT(TRIM([1]RawShipmentData!L253),4)),VALUE(MID(TRIM([1]RawShipmentData!L253),FIND("/",TRIM([1]RawShipmentData!L253))+1,2)),VALUE(LEFT(TRIM([1]RawShipmentData!L253),FIND("/",TRIM([1]RawShipmentData!L253))-1))),DATEVALUE(TRIM([1]RawShipmentData!L253))))</f>
        <v>45320</v>
      </c>
      <c r="N253" s="2">
        <f t="shared" si="16"/>
        <v>4</v>
      </c>
      <c r="O253" s="2">
        <f t="shared" si="17"/>
        <v>0</v>
      </c>
      <c r="P253" s="2" t="str">
        <f t="shared" si="18"/>
        <v>On Time</v>
      </c>
      <c r="Q253" s="2" t="str">
        <f>PROPER(SUBSTITUTE(TRIM([1]RawShipmentData!M253)," ","-"))</f>
        <v>Delivered</v>
      </c>
      <c r="R253" s="4">
        <f t="shared" si="19"/>
        <v>49.363636363636367</v>
      </c>
      <c r="S253" s="2">
        <f>[1]RawShipmentData!N253</f>
        <v>4</v>
      </c>
      <c r="T253" s="2" t="str">
        <f>IF(OR(UPPER(TRIM([1]RawShipmentData!O253))="YES",UPPER(TRIM([1]RawShipmentData!O253))="Y"),"Yes","No")</f>
        <v>No</v>
      </c>
    </row>
    <row r="254" spans="1:20" x14ac:dyDescent="0.25">
      <c r="A254" s="2" t="str">
        <f>[1]RawShipmentData!A254</f>
        <v>SHP-100147</v>
      </c>
      <c r="B254" s="3">
        <f>IF(ISNUMBER(SEARCH("/",TRIM([1]RawShipmentData!B254))),DATE(VALUE(RIGHT(TRIM([1]RawShipmentData!B254),4)),VALUE(MID(TRIM([1]RawShipmentData!B254),FIND("/",TRIM([1]RawShipmentData!B254))+1,2)),VALUE(LEFT(TRIM([1]RawShipmentData!B254),FIND("/",TRIM([1]RawShipmentData!B254))-1))),DATEVALUE(TRIM([1]RawShipmentData!B254)))</f>
        <v>45354</v>
      </c>
      <c r="C254" s="2" t="str">
        <f>PROPER(TRIM([1]RawShipmentData!C254))</f>
        <v>Chennai</v>
      </c>
      <c r="D254" s="2" t="str">
        <f>IFERROR(INDEX([1]HubMaster!$B$2:$B$7,MATCH(C254,[1]HubMaster!$A$2:$A$7,0)),"Unknown")</f>
        <v>South</v>
      </c>
      <c r="E254" s="2" t="str">
        <f>PROPER(TRIM(SUBSTITUTE([1]RawShipmentData!D254,"  "," ")))</f>
        <v>Delhivery</v>
      </c>
      <c r="F254" s="2" t="str">
        <f>PROPER(TRIM([1]RawShipmentData!E254))</f>
        <v>Surface</v>
      </c>
      <c r="G254" s="2" t="str">
        <f>PROPER(TRIM(SUBSTITUTE([1]RawShipmentData!F254,"  "," ")))</f>
        <v>Apparel</v>
      </c>
      <c r="H254" s="2" t="str">
        <f>PROPER(TRIM([1]RawShipmentData!G254))</f>
        <v>West</v>
      </c>
      <c r="I254" s="2" t="str">
        <f t="shared" si="15"/>
        <v>Yes</v>
      </c>
      <c r="J254" s="2">
        <f>IFERROR(VALUE(TRIM(SUBSTITUTE(UPPER([1]RawShipmentData!I254),"KG",""))),"")</f>
        <v>2.2999999999999998</v>
      </c>
      <c r="K254" s="2">
        <f>VALUE(SUBSTITUTE(SUBSTITUTE(SUBSTITUTE(TRIM([1]RawShipmentData!J254),"₹",""),"Rs",""),",",""))</f>
        <v>224</v>
      </c>
      <c r="L254" s="2">
        <f>[1]RawShipmentData!K254</f>
        <v>6</v>
      </c>
      <c r="M254" s="3">
        <f>IF(TRIM([1]RawShipmentData!L254)="","",IF(ISNUMBER(SEARCH("/",TRIM([1]RawShipmentData!L254))),DATE(VALUE(RIGHT(TRIM([1]RawShipmentData!L254),4)),VALUE(MID(TRIM([1]RawShipmentData!L254),FIND("/",TRIM([1]RawShipmentData!L254))+1,2)),VALUE(LEFT(TRIM([1]RawShipmentData!L254),FIND("/",TRIM([1]RawShipmentData!L254))-1))),DATEVALUE(TRIM([1]RawShipmentData!L254))))</f>
        <v>45361</v>
      </c>
      <c r="N254" s="2">
        <f t="shared" si="16"/>
        <v>7</v>
      </c>
      <c r="O254" s="2">
        <f t="shared" si="17"/>
        <v>1</v>
      </c>
      <c r="P254" s="2" t="str">
        <f t="shared" si="18"/>
        <v>Late</v>
      </c>
      <c r="Q254" s="2" t="str">
        <f>PROPER(SUBSTITUTE(TRIM([1]RawShipmentData!M254)," ","-"))</f>
        <v>Delayed</v>
      </c>
      <c r="R254" s="4">
        <f t="shared" si="19"/>
        <v>97.391304347826093</v>
      </c>
      <c r="S254" s="2">
        <f>[1]RawShipmentData!N254</f>
        <v>3</v>
      </c>
      <c r="T254" s="2" t="str">
        <f>IF(OR(UPPER(TRIM([1]RawShipmentData!O254))="YES",UPPER(TRIM([1]RawShipmentData!O254))="Y"),"Yes","No")</f>
        <v>No</v>
      </c>
    </row>
    <row r="255" spans="1:20" x14ac:dyDescent="0.25">
      <c r="A255" s="2" t="str">
        <f>[1]RawShipmentData!A256</f>
        <v>SHP-100352</v>
      </c>
      <c r="B255" s="3">
        <f>IF(ISNUMBER(SEARCH("/",TRIM([1]RawShipmentData!B256))),DATE(VALUE(RIGHT(TRIM([1]RawShipmentData!B256),4)),VALUE(MID(TRIM([1]RawShipmentData!B256),FIND("/",TRIM([1]RawShipmentData!B256))+1,2)),VALUE(LEFT(TRIM([1]RawShipmentData!B256),FIND("/",TRIM([1]RawShipmentData!B256))-1))),DATEVALUE(TRIM([1]RawShipmentData!B256)))</f>
        <v>45440</v>
      </c>
      <c r="C255" s="2" t="str">
        <f>PROPER(TRIM([1]RawShipmentData!C256))</f>
        <v>Kolkata</v>
      </c>
      <c r="D255" s="2" t="str">
        <f>IFERROR(INDEX([1]HubMaster!$B$2:$B$7,MATCH(C255,[1]HubMaster!$A$2:$A$7,0)),"Unknown")</f>
        <v>East</v>
      </c>
      <c r="E255" s="2" t="str">
        <f>PROPER(TRIM(SUBSTITUTE([1]RawShipmentData!D256,"  "," ")))</f>
        <v>Bluedart</v>
      </c>
      <c r="F255" s="2" t="str">
        <f>PROPER(TRIM([1]RawShipmentData!E256))</f>
        <v>Road</v>
      </c>
      <c r="G255" s="2" t="str">
        <f>PROPER(TRIM(SUBSTITUTE([1]RawShipmentData!F256,"  "," ")))</f>
        <v>Electronics</v>
      </c>
      <c r="H255" s="2" t="str">
        <f>PROPER(TRIM([1]RawShipmentData!G256))</f>
        <v>North</v>
      </c>
      <c r="I255" s="2" t="str">
        <f t="shared" si="15"/>
        <v>Yes</v>
      </c>
      <c r="J255" s="2">
        <f>IFERROR(VALUE(TRIM(SUBSTITUTE(UPPER([1]RawShipmentData!I255),"KG",""))),"")</f>
        <v>3</v>
      </c>
      <c r="K255" s="2">
        <f>VALUE(SUBSTITUTE(SUBSTITUTE(SUBSTITUTE(TRIM([1]RawShipmentData!J256),"₹",""),"Rs",""),",",""))</f>
        <v>220</v>
      </c>
      <c r="L255" s="2">
        <f>[1]RawShipmentData!K256</f>
        <v>8</v>
      </c>
      <c r="M255" s="3">
        <f>IF(TRIM([1]RawShipmentData!L256)="","",IF(ISNUMBER(SEARCH("/",TRIM([1]RawShipmentData!L256))),DATE(VALUE(RIGHT(TRIM([1]RawShipmentData!L256),4)),VALUE(MID(TRIM([1]RawShipmentData!L256),FIND("/",TRIM([1]RawShipmentData!L256))+1,2)),VALUE(LEFT(TRIM([1]RawShipmentData!L256),FIND("/",TRIM([1]RawShipmentData!L256))-1))),DATEVALUE(TRIM([1]RawShipmentData!L256))))</f>
        <v>45448</v>
      </c>
      <c r="N255" s="2">
        <f t="shared" si="16"/>
        <v>8</v>
      </c>
      <c r="O255" s="2">
        <f t="shared" si="17"/>
        <v>0</v>
      </c>
      <c r="P255" s="2" t="str">
        <f t="shared" si="18"/>
        <v>On Time</v>
      </c>
      <c r="Q255" s="2" t="str">
        <f>PROPER(SUBSTITUTE(TRIM([1]RawShipmentData!M256)," ","-"))</f>
        <v>Delivered</v>
      </c>
      <c r="R255" s="4">
        <f t="shared" si="19"/>
        <v>73.333333333333329</v>
      </c>
      <c r="S255" s="2">
        <f>[1]RawShipmentData!N256</f>
        <v>3</v>
      </c>
      <c r="T255" s="2" t="str">
        <f>IF(OR(UPPER(TRIM([1]RawShipmentData!O256))="YES",UPPER(TRIM([1]RawShipmentData!O256))="Y"),"Yes","No")</f>
        <v>Yes</v>
      </c>
    </row>
    <row r="256" spans="1:20" x14ac:dyDescent="0.25">
      <c r="A256" s="2" t="str">
        <f>[1]RawShipmentData!A257</f>
        <v>SHP-100709</v>
      </c>
      <c r="B256" s="3">
        <f>IF(ISNUMBER(SEARCH("/",TRIM([1]RawShipmentData!B257))),DATE(VALUE(RIGHT(TRIM([1]RawShipmentData!B257),4)),VALUE(MID(TRIM([1]RawShipmentData!B257),FIND("/",TRIM([1]RawShipmentData!B257))+1,2)),VALUE(LEFT(TRIM([1]RawShipmentData!B257),FIND("/",TRIM([1]RawShipmentData!B257))-1))),DATEVALUE(TRIM([1]RawShipmentData!B257)))</f>
        <v>45370</v>
      </c>
      <c r="C256" s="2" t="str">
        <f>PROPER(TRIM([1]RawShipmentData!C257))</f>
        <v>Delhi</v>
      </c>
      <c r="D256" s="2" t="str">
        <f>IFERROR(INDEX([1]HubMaster!$B$2:$B$7,MATCH(C256,[1]HubMaster!$A$2:$A$7,0)),"Unknown")</f>
        <v>North</v>
      </c>
      <c r="E256" s="2" t="str">
        <f>PROPER(TRIM(SUBSTITUTE([1]RawShipmentData!D257,"  "," ")))</f>
        <v>Ecom Express</v>
      </c>
      <c r="F256" s="2" t="str">
        <f>PROPER(TRIM([1]RawShipmentData!E257))</f>
        <v>Air</v>
      </c>
      <c r="G256" s="2" t="str">
        <f>PROPER(TRIM(SUBSTITUTE([1]RawShipmentData!F257,"  "," ")))</f>
        <v>Automotive Parts</v>
      </c>
      <c r="H256" s="2" t="str">
        <f>PROPER(TRIM([1]RawShipmentData!G257))</f>
        <v>East</v>
      </c>
      <c r="I256" s="2" t="str">
        <f t="shared" si="15"/>
        <v>Yes</v>
      </c>
      <c r="J256" s="2">
        <f>IFERROR(VALUE(TRIM(SUBSTITUTE(UPPER([1]RawShipmentData!I256),"KG",""))),"")</f>
        <v>2.2000000000000002</v>
      </c>
      <c r="K256" s="2">
        <f>VALUE(SUBSTITUTE(SUBSTITUTE(SUBSTITUTE(TRIM([1]RawShipmentData!J257),"₹",""),"Rs",""),",",""))</f>
        <v>1825</v>
      </c>
      <c r="L256" s="2">
        <f>[1]RawShipmentData!K257</f>
        <v>4</v>
      </c>
      <c r="M256" s="3">
        <f>IF(TRIM([1]RawShipmentData!L257)="","",IF(ISNUMBER(SEARCH("/",TRIM([1]RawShipmentData!L257))),DATE(VALUE(RIGHT(TRIM([1]RawShipmentData!L257),4)),VALUE(MID(TRIM([1]RawShipmentData!L257),FIND("/",TRIM([1]RawShipmentData!L257))+1,2)),VALUE(LEFT(TRIM([1]RawShipmentData!L257),FIND("/",TRIM([1]RawShipmentData!L257))-1))),DATEVALUE(TRIM([1]RawShipmentData!L257))))</f>
        <v>45375</v>
      </c>
      <c r="N256" s="2">
        <f t="shared" si="16"/>
        <v>5</v>
      </c>
      <c r="O256" s="2">
        <f t="shared" si="17"/>
        <v>1</v>
      </c>
      <c r="P256" s="2" t="str">
        <f t="shared" si="18"/>
        <v>Late</v>
      </c>
      <c r="Q256" s="2" t="str">
        <f>PROPER(SUBSTITUTE(TRIM([1]RawShipmentData!M257)," ","-"))</f>
        <v>Delayed</v>
      </c>
      <c r="R256" s="4">
        <f t="shared" si="19"/>
        <v>829.5454545454545</v>
      </c>
      <c r="S256" s="2">
        <f>[1]RawShipmentData!N257</f>
        <v>3</v>
      </c>
      <c r="T256" s="2" t="str">
        <f>IF(OR(UPPER(TRIM([1]RawShipmentData!O257))="YES",UPPER(TRIM([1]RawShipmentData!O257))="Y"),"Yes","No")</f>
        <v>No</v>
      </c>
    </row>
    <row r="257" spans="1:20" x14ac:dyDescent="0.25">
      <c r="A257" s="2" t="str">
        <f>[1]RawShipmentData!A258</f>
        <v>SHP-100007</v>
      </c>
      <c r="B257" s="3">
        <f>IF(ISNUMBER(SEARCH("/",TRIM([1]RawShipmentData!B258))),DATE(VALUE(RIGHT(TRIM([1]RawShipmentData!B258),4)),VALUE(MID(TRIM([1]RawShipmentData!B258),FIND("/",TRIM([1]RawShipmentData!B258))+1,2)),VALUE(LEFT(TRIM([1]RawShipmentData!B258),FIND("/",TRIM([1]RawShipmentData!B258))-1))),DATEVALUE(TRIM([1]RawShipmentData!B258)))</f>
        <v>45373</v>
      </c>
      <c r="C257" s="2" t="str">
        <f>PROPER(TRIM([1]RawShipmentData!C258))</f>
        <v>Hyderabad</v>
      </c>
      <c r="D257" s="2" t="str">
        <f>IFERROR(INDEX([1]HubMaster!$B$2:$B$7,MATCH(C257,[1]HubMaster!$A$2:$A$7,0)),"Unknown")</f>
        <v>West</v>
      </c>
      <c r="E257" s="2" t="str">
        <f>PROPER(TRIM(SUBSTITUTE([1]RawShipmentData!D258,"  "," ")))</f>
        <v>Dtdc</v>
      </c>
      <c r="F257" s="2" t="str">
        <f>PROPER(TRIM([1]RawShipmentData!E258))</f>
        <v>Road</v>
      </c>
      <c r="G257" s="2" t="str">
        <f>PROPER(TRIM(SUBSTITUTE([1]RawShipmentData!F258,"  "," ")))</f>
        <v>Automotive Parts</v>
      </c>
      <c r="H257" s="2" t="str">
        <f>PROPER(TRIM([1]RawShipmentData!G258))</f>
        <v>South</v>
      </c>
      <c r="I257" s="2" t="str">
        <f t="shared" si="15"/>
        <v>Yes</v>
      </c>
      <c r="J257" s="2">
        <f>IFERROR(VALUE(TRIM(SUBSTITUTE(UPPER([1]RawShipmentData!I257),"KG",""))),"")</f>
        <v>36.5</v>
      </c>
      <c r="K257" s="2">
        <f>VALUE(SUBSTITUTE(SUBSTITUTE(SUBSTITUTE(TRIM([1]RawShipmentData!J258),"₹",""),"Rs",""),",",""))</f>
        <v>516</v>
      </c>
      <c r="L257" s="2">
        <f>[1]RawShipmentData!K258</f>
        <v>8</v>
      </c>
      <c r="M257" s="3">
        <f>IF(TRIM([1]RawShipmentData!L258)="","",IF(ISNUMBER(SEARCH("/",TRIM([1]RawShipmentData!L258))),DATE(VALUE(RIGHT(TRIM([1]RawShipmentData!L258),4)),VALUE(MID(TRIM([1]RawShipmentData!L258),FIND("/",TRIM([1]RawShipmentData!L258))+1,2)),VALUE(LEFT(TRIM([1]RawShipmentData!L258),FIND("/",TRIM([1]RawShipmentData!L258))-1))),DATEVALUE(TRIM([1]RawShipmentData!L258))))</f>
        <v>45389</v>
      </c>
      <c r="N257" s="2">
        <f t="shared" si="16"/>
        <v>16</v>
      </c>
      <c r="O257" s="2">
        <f t="shared" si="17"/>
        <v>8</v>
      </c>
      <c r="P257" s="2" t="str">
        <f t="shared" si="18"/>
        <v>Late</v>
      </c>
      <c r="Q257" s="2" t="str">
        <f>PROPER(SUBSTITUTE(TRIM([1]RawShipmentData!M258)," ","-"))</f>
        <v>Delayed</v>
      </c>
      <c r="R257" s="4">
        <f t="shared" si="19"/>
        <v>14.136986301369863</v>
      </c>
      <c r="S257" s="2">
        <f>[1]RawShipmentData!N258</f>
        <v>1</v>
      </c>
      <c r="T257" s="2" t="str">
        <f>IF(OR(UPPER(TRIM([1]RawShipmentData!O258))="YES",UPPER(TRIM([1]RawShipmentData!O258))="Y"),"Yes","No")</f>
        <v>Yes</v>
      </c>
    </row>
    <row r="258" spans="1:20" x14ac:dyDescent="0.25">
      <c r="A258" s="2" t="str">
        <f>[1]RawShipmentData!A259</f>
        <v>SHP-101163</v>
      </c>
      <c r="B258" s="3">
        <f>IF(ISNUMBER(SEARCH("/",TRIM([1]RawShipmentData!B259))),DATE(VALUE(RIGHT(TRIM([1]RawShipmentData!B259),4)),VALUE(MID(TRIM([1]RawShipmentData!B259),FIND("/",TRIM([1]RawShipmentData!B259))+1,2)),VALUE(LEFT(TRIM([1]RawShipmentData!B259),FIND("/",TRIM([1]RawShipmentData!B259))-1))),DATEVALUE(TRIM([1]RawShipmentData!B259)))</f>
        <v>45353</v>
      </c>
      <c r="C258" s="2" t="str">
        <f>PROPER(TRIM([1]RawShipmentData!C259))</f>
        <v>Kolkata</v>
      </c>
      <c r="D258" s="2" t="str">
        <f>IFERROR(INDEX([1]HubMaster!$B$2:$B$7,MATCH(C258,[1]HubMaster!$A$2:$A$7,0)),"Unknown")</f>
        <v>East</v>
      </c>
      <c r="E258" s="2" t="str">
        <f>PROPER(TRIM(SUBSTITUTE([1]RawShipmentData!D259,"  "," ")))</f>
        <v>Blue Dart</v>
      </c>
      <c r="F258" s="2" t="str">
        <f>PROPER(TRIM([1]RawShipmentData!E259))</f>
        <v>Surface</v>
      </c>
      <c r="G258" s="2" t="str">
        <f>PROPER(TRIM(SUBSTITUTE([1]RawShipmentData!F259,"  "," ")))</f>
        <v>Electronics</v>
      </c>
      <c r="H258" s="2" t="str">
        <f>PROPER(TRIM([1]RawShipmentData!G259))</f>
        <v>East</v>
      </c>
      <c r="I258" s="2" t="str">
        <f t="shared" ref="I258:I321" si="20">IF(D258=H258,"No","Yes")</f>
        <v>No</v>
      </c>
      <c r="J258" s="2">
        <f>IFERROR(VALUE(TRIM(SUBSTITUTE(UPPER([1]RawShipmentData!I258),"KG",""))),"")</f>
        <v>26.5</v>
      </c>
      <c r="K258" s="2">
        <f>VALUE(SUBSTITUTE(SUBSTITUTE(SUBSTITUTE(TRIM([1]RawShipmentData!J259),"₹",""),"Rs",""),",",""))</f>
        <v>80</v>
      </c>
      <c r="L258" s="2">
        <f>[1]RawShipmentData!K259</f>
        <v>4</v>
      </c>
      <c r="M258" s="3">
        <f>IF(TRIM([1]RawShipmentData!L259)="","",IF(ISNUMBER(SEARCH("/",TRIM([1]RawShipmentData!L259))),DATE(VALUE(RIGHT(TRIM([1]RawShipmentData!L259),4)),VALUE(MID(TRIM([1]RawShipmentData!L259),FIND("/",TRIM([1]RawShipmentData!L259))+1,2)),VALUE(LEFT(TRIM([1]RawShipmentData!L259),FIND("/",TRIM([1]RawShipmentData!L259))-1))),DATEVALUE(TRIM([1]RawShipmentData!L259))))</f>
        <v>45357</v>
      </c>
      <c r="N258" s="2">
        <f t="shared" ref="N258:N321" si="21">IF(M258="","",M258-B258)</f>
        <v>4</v>
      </c>
      <c r="O258" s="2">
        <f t="shared" ref="O258:O321" si="22">IF(N258="","",N258-L258)</f>
        <v>0</v>
      </c>
      <c r="P258" s="2" t="str">
        <f t="shared" ref="P258:P321" si="23">IF(N258="","N/A",IF(N258&lt;=L258,"On Time","Late"))</f>
        <v>On Time</v>
      </c>
      <c r="Q258" s="2" t="str">
        <f>PROPER(SUBSTITUTE(TRIM([1]RawShipmentData!M259)," ","-"))</f>
        <v>Delivered</v>
      </c>
      <c r="R258" s="4">
        <f t="shared" si="19"/>
        <v>3.0188679245283021</v>
      </c>
      <c r="S258" s="2">
        <f>[1]RawShipmentData!N259</f>
        <v>5</v>
      </c>
      <c r="T258" s="2" t="str">
        <f>IF(OR(UPPER(TRIM([1]RawShipmentData!O259))="YES",UPPER(TRIM([1]RawShipmentData!O259))="Y"),"Yes","No")</f>
        <v>No</v>
      </c>
    </row>
    <row r="259" spans="1:20" x14ac:dyDescent="0.25">
      <c r="A259" s="2" t="str">
        <f>[1]RawShipmentData!A260</f>
        <v>SHP-100407</v>
      </c>
      <c r="B259" s="3">
        <f>IF(ISNUMBER(SEARCH("/",TRIM([1]RawShipmentData!B260))),DATE(VALUE(RIGHT(TRIM([1]RawShipmentData!B260),4)),VALUE(MID(TRIM([1]RawShipmentData!B260),FIND("/",TRIM([1]RawShipmentData!B260))+1,2)),VALUE(LEFT(TRIM([1]RawShipmentData!B260),FIND("/",TRIM([1]RawShipmentData!B260))-1))),DATEVALUE(TRIM([1]RawShipmentData!B260)))</f>
        <v>45440</v>
      </c>
      <c r="C259" s="2" t="str">
        <f>PROPER(TRIM([1]RawShipmentData!C260))</f>
        <v>Mumbai</v>
      </c>
      <c r="D259" s="2" t="str">
        <f>IFERROR(INDEX([1]HubMaster!$B$2:$B$7,MATCH(C259,[1]HubMaster!$A$2:$A$7,0)),"Unknown")</f>
        <v>West</v>
      </c>
      <c r="E259" s="2" t="str">
        <f>PROPER(TRIM(SUBSTITUTE([1]RawShipmentData!D260,"  "," ")))</f>
        <v>Ecom Express</v>
      </c>
      <c r="F259" s="2" t="str">
        <f>PROPER(TRIM([1]RawShipmentData!E260))</f>
        <v>Surface</v>
      </c>
      <c r="G259" s="2" t="str">
        <f>PROPER(TRIM(SUBSTITUTE([1]RawShipmentData!F260,"  "," ")))</f>
        <v>Automotive Parts</v>
      </c>
      <c r="H259" s="2" t="str">
        <f>PROPER(TRIM([1]RawShipmentData!G260))</f>
        <v>North</v>
      </c>
      <c r="I259" s="2" t="str">
        <f t="shared" si="20"/>
        <v>Yes</v>
      </c>
      <c r="J259" s="2">
        <f>IFERROR(VALUE(TRIM(SUBSTITUTE(UPPER([1]RawShipmentData!I259),"KG",""))),"")</f>
        <v>1.2</v>
      </c>
      <c r="K259" s="2">
        <f>VALUE(SUBSTITUTE(SUBSTITUTE(SUBSTITUTE(TRIM([1]RawShipmentData!J260),"₹",""),"Rs",""),",",""))</f>
        <v>336</v>
      </c>
      <c r="L259" s="2">
        <f>[1]RawShipmentData!K260</f>
        <v>6</v>
      </c>
      <c r="M259" s="3">
        <f>IF(TRIM([1]RawShipmentData!L260)="","",IF(ISNUMBER(SEARCH("/",TRIM([1]RawShipmentData!L260))),DATE(VALUE(RIGHT(TRIM([1]RawShipmentData!L260),4)),VALUE(MID(TRIM([1]RawShipmentData!L260),FIND("/",TRIM([1]RawShipmentData!L260))+1,2)),VALUE(LEFT(TRIM([1]RawShipmentData!L260),FIND("/",TRIM([1]RawShipmentData!L260))-1))),DATEVALUE(TRIM([1]RawShipmentData!L260))))</f>
        <v>45447</v>
      </c>
      <c r="N259" s="2">
        <f t="shared" si="21"/>
        <v>7</v>
      </c>
      <c r="O259" s="2">
        <f t="shared" si="22"/>
        <v>1</v>
      </c>
      <c r="P259" s="2" t="str">
        <f t="shared" si="23"/>
        <v>Late</v>
      </c>
      <c r="Q259" s="2" t="str">
        <f>PROPER(SUBSTITUTE(TRIM([1]RawShipmentData!M260)," ","-"))</f>
        <v>Delayed</v>
      </c>
      <c r="R259" s="4">
        <f t="shared" ref="R259:R322" si="24">IFERROR(K259/J259,"")</f>
        <v>280</v>
      </c>
      <c r="S259" s="2">
        <f>[1]RawShipmentData!N260</f>
        <v>3</v>
      </c>
      <c r="T259" s="2" t="str">
        <f>IF(OR(UPPER(TRIM([1]RawShipmentData!O260))="YES",UPPER(TRIM([1]RawShipmentData!O260))="Y"),"Yes","No")</f>
        <v>Yes</v>
      </c>
    </row>
    <row r="260" spans="1:20" x14ac:dyDescent="0.25">
      <c r="A260" s="2" t="str">
        <f>[1]RawShipmentData!A261</f>
        <v>SHP-101091</v>
      </c>
      <c r="B260" s="3">
        <f>IF(ISNUMBER(SEARCH("/",TRIM([1]RawShipmentData!B261))),DATE(VALUE(RIGHT(TRIM([1]RawShipmentData!B261),4)),VALUE(MID(TRIM([1]RawShipmentData!B261),FIND("/",TRIM([1]RawShipmentData!B261))+1,2)),VALUE(LEFT(TRIM([1]RawShipmentData!B261),FIND("/",TRIM([1]RawShipmentData!B261))-1))),DATEVALUE(TRIM([1]RawShipmentData!B261)))</f>
        <v>45436</v>
      </c>
      <c r="C260" s="2" t="str">
        <f>PROPER(TRIM([1]RawShipmentData!C261))</f>
        <v>Hyderabad</v>
      </c>
      <c r="D260" s="2" t="str">
        <f>IFERROR(INDEX([1]HubMaster!$B$2:$B$7,MATCH(C260,[1]HubMaster!$A$2:$A$7,0)),"Unknown")</f>
        <v>West</v>
      </c>
      <c r="E260" s="2" t="str">
        <f>PROPER(TRIM(SUBSTITUTE([1]RawShipmentData!D261,"  "," ")))</f>
        <v>Blue Dart</v>
      </c>
      <c r="F260" s="2" t="str">
        <f>PROPER(TRIM([1]RawShipmentData!E261))</f>
        <v>Road</v>
      </c>
      <c r="G260" s="2" t="str">
        <f>PROPER(TRIM(SUBSTITUTE([1]RawShipmentData!F261,"  "," ")))</f>
        <v>Pharma</v>
      </c>
      <c r="H260" s="2" t="str">
        <f>PROPER(TRIM([1]RawShipmentData!G261))</f>
        <v>South</v>
      </c>
      <c r="I260" s="2" t="str">
        <f t="shared" si="20"/>
        <v>Yes</v>
      </c>
      <c r="J260" s="2">
        <f>IFERROR(VALUE(TRIM(SUBSTITUTE(UPPER([1]RawShipmentData!I260),"KG",""))),"")</f>
        <v>9.3000000000000007</v>
      </c>
      <c r="K260" s="2">
        <f>VALUE(SUBSTITUTE(SUBSTITUTE(SUBSTITUTE(TRIM([1]RawShipmentData!J261),"₹",""),"Rs",""),",",""))</f>
        <v>244</v>
      </c>
      <c r="L260" s="2">
        <f>[1]RawShipmentData!K261</f>
        <v>8</v>
      </c>
      <c r="M260" s="3">
        <f>IF(TRIM([1]RawShipmentData!L261)="","",IF(ISNUMBER(SEARCH("/",TRIM([1]RawShipmentData!L261))),DATE(VALUE(RIGHT(TRIM([1]RawShipmentData!L261),4)),VALUE(MID(TRIM([1]RawShipmentData!L261),FIND("/",TRIM([1]RawShipmentData!L261))+1,2)),VALUE(LEFT(TRIM([1]RawShipmentData!L261),FIND("/",TRIM([1]RawShipmentData!L261))-1))),DATEVALUE(TRIM([1]RawShipmentData!L261))))</f>
        <v>45444</v>
      </c>
      <c r="N260" s="2">
        <f t="shared" si="21"/>
        <v>8</v>
      </c>
      <c r="O260" s="2">
        <f t="shared" si="22"/>
        <v>0</v>
      </c>
      <c r="P260" s="2" t="str">
        <f t="shared" si="23"/>
        <v>On Time</v>
      </c>
      <c r="Q260" s="2" t="str">
        <f>PROPER(SUBSTITUTE(TRIM([1]RawShipmentData!M261)," ","-"))</f>
        <v>Delivered</v>
      </c>
      <c r="R260" s="4">
        <f t="shared" si="24"/>
        <v>26.236559139784944</v>
      </c>
      <c r="S260" s="2">
        <f>[1]RawShipmentData!N261</f>
        <v>4</v>
      </c>
      <c r="T260" s="2" t="str">
        <f>IF(OR(UPPER(TRIM([1]RawShipmentData!O261))="YES",UPPER(TRIM([1]RawShipmentData!O261))="Y"),"Yes","No")</f>
        <v>No</v>
      </c>
    </row>
    <row r="261" spans="1:20" x14ac:dyDescent="0.25">
      <c r="A261" s="2" t="str">
        <f>[1]RawShipmentData!A262</f>
        <v>SHP-100788</v>
      </c>
      <c r="B261" s="3">
        <f>IF(ISNUMBER(SEARCH("/",TRIM([1]RawShipmentData!B262))),DATE(VALUE(RIGHT(TRIM([1]RawShipmentData!B262),4)),VALUE(MID(TRIM([1]RawShipmentData!B262),FIND("/",TRIM([1]RawShipmentData!B262))+1,2)),VALUE(LEFT(TRIM([1]RawShipmentData!B262),FIND("/",TRIM([1]RawShipmentData!B262))-1))),DATEVALUE(TRIM([1]RawShipmentData!B262)))</f>
        <v>45354</v>
      </c>
      <c r="C261" s="2" t="str">
        <f>PROPER(TRIM([1]RawShipmentData!C262))</f>
        <v>Kolkata</v>
      </c>
      <c r="D261" s="2" t="str">
        <f>IFERROR(INDEX([1]HubMaster!$B$2:$B$7,MATCH(C261,[1]HubMaster!$A$2:$A$7,0)),"Unknown")</f>
        <v>East</v>
      </c>
      <c r="E261" s="2" t="str">
        <f>PROPER(TRIM(SUBSTITUTE([1]RawShipmentData!D262,"  "," ")))</f>
        <v>Xpress Bees</v>
      </c>
      <c r="F261" s="2" t="str">
        <f>PROPER(TRIM([1]RawShipmentData!E262))</f>
        <v>Road</v>
      </c>
      <c r="G261" s="2" t="str">
        <f>PROPER(TRIM(SUBSTITUTE([1]RawShipmentData!F262,"  "," ")))</f>
        <v>Electronics</v>
      </c>
      <c r="H261" s="2" t="str">
        <f>PROPER(TRIM([1]RawShipmentData!G262))</f>
        <v>East</v>
      </c>
      <c r="I261" s="2" t="str">
        <f t="shared" si="20"/>
        <v>No</v>
      </c>
      <c r="J261" s="2">
        <f>IFERROR(VALUE(TRIM(SUBSTITUTE(UPPER([1]RawShipmentData!I261),"KG",""))),"")</f>
        <v>3.7</v>
      </c>
      <c r="K261" s="2">
        <f>VALUE(SUBSTITUTE(SUBSTITUTE(SUBSTITUTE(TRIM([1]RawShipmentData!J262),"₹",""),"Rs",""),",",""))</f>
        <v>211</v>
      </c>
      <c r="L261" s="2">
        <f>[1]RawShipmentData!K262</f>
        <v>6</v>
      </c>
      <c r="M261" s="3">
        <f>IF(TRIM([1]RawShipmentData!L262)="","",IF(ISNUMBER(SEARCH("/",TRIM([1]RawShipmentData!L262))),DATE(VALUE(RIGHT(TRIM([1]RawShipmentData!L262),4)),VALUE(MID(TRIM([1]RawShipmentData!L262),FIND("/",TRIM([1]RawShipmentData!L262))+1,2)),VALUE(LEFT(TRIM([1]RawShipmentData!L262),FIND("/",TRIM([1]RawShipmentData!L262))-1))),DATEVALUE(TRIM([1]RawShipmentData!L262))))</f>
        <v>45359</v>
      </c>
      <c r="N261" s="2">
        <f t="shared" si="21"/>
        <v>5</v>
      </c>
      <c r="O261" s="2">
        <f t="shared" si="22"/>
        <v>-1</v>
      </c>
      <c r="P261" s="2" t="str">
        <f t="shared" si="23"/>
        <v>On Time</v>
      </c>
      <c r="Q261" s="2" t="str">
        <f>PROPER(SUBSTITUTE(TRIM([1]RawShipmentData!M262)," ","-"))</f>
        <v>Delivered</v>
      </c>
      <c r="R261" s="4">
        <f t="shared" si="24"/>
        <v>57.027027027027025</v>
      </c>
      <c r="S261" s="2">
        <f>[1]RawShipmentData!N262</f>
        <v>4</v>
      </c>
      <c r="T261" s="2" t="str">
        <f>IF(OR(UPPER(TRIM([1]RawShipmentData!O262))="YES",UPPER(TRIM([1]RawShipmentData!O262))="Y"),"Yes","No")</f>
        <v>Yes</v>
      </c>
    </row>
    <row r="262" spans="1:20" x14ac:dyDescent="0.25">
      <c r="A262" s="2" t="str">
        <f>[1]RawShipmentData!A263</f>
        <v>SHP-100087</v>
      </c>
      <c r="B262" s="3">
        <f>IF(ISNUMBER(SEARCH("/",TRIM([1]RawShipmentData!B263))),DATE(VALUE(RIGHT(TRIM([1]RawShipmentData!B263),4)),VALUE(MID(TRIM([1]RawShipmentData!B263),FIND("/",TRIM([1]RawShipmentData!B263))+1,2)),VALUE(LEFT(TRIM([1]RawShipmentData!B263),FIND("/",TRIM([1]RawShipmentData!B263))-1))),DATEVALUE(TRIM([1]RawShipmentData!B263)))</f>
        <v>45339</v>
      </c>
      <c r="C262" s="2" t="str">
        <f>PROPER(TRIM([1]RawShipmentData!C263))</f>
        <v>Kolkata</v>
      </c>
      <c r="D262" s="2" t="str">
        <f>IFERROR(INDEX([1]HubMaster!$B$2:$B$7,MATCH(C262,[1]HubMaster!$A$2:$A$7,0)),"Unknown")</f>
        <v>East</v>
      </c>
      <c r="E262" s="2" t="str">
        <f>PROPER(TRIM(SUBSTITUTE([1]RawShipmentData!D263,"  "," ")))</f>
        <v>Ecom Express</v>
      </c>
      <c r="F262" s="2" t="str">
        <f>PROPER(TRIM([1]RawShipmentData!E263))</f>
        <v>Air</v>
      </c>
      <c r="G262" s="2" t="str">
        <f>PROPER(TRIM(SUBSTITUTE([1]RawShipmentData!F263,"  "," ")))</f>
        <v>Apparel</v>
      </c>
      <c r="H262" s="2" t="str">
        <f>PROPER(TRIM([1]RawShipmentData!G263))</f>
        <v>West</v>
      </c>
      <c r="I262" s="2" t="str">
        <f t="shared" si="20"/>
        <v>Yes</v>
      </c>
      <c r="J262" s="2">
        <f>IFERROR(VALUE(TRIM(SUBSTITUTE(UPPER([1]RawShipmentData!I262),"KG",""))),"")</f>
        <v>14.9</v>
      </c>
      <c r="K262" s="2">
        <f>VALUE(SUBSTITUTE(SUBSTITUTE(SUBSTITUTE(TRIM([1]RawShipmentData!J263),"₹",""),"Rs",""),",",""))</f>
        <v>438</v>
      </c>
      <c r="L262" s="2">
        <f>[1]RawShipmentData!K263</f>
        <v>4</v>
      </c>
      <c r="M262" s="3">
        <f>IF(TRIM([1]RawShipmentData!L263)="","",IF(ISNUMBER(SEARCH("/",TRIM([1]RawShipmentData!L263))),DATE(VALUE(RIGHT(TRIM([1]RawShipmentData!L263),4)),VALUE(MID(TRIM([1]RawShipmentData!L263),FIND("/",TRIM([1]RawShipmentData!L263))+1,2)),VALUE(LEFT(TRIM([1]RawShipmentData!L263),FIND("/",TRIM([1]RawShipmentData!L263))-1))),DATEVALUE(TRIM([1]RawShipmentData!L263))))</f>
        <v>45344</v>
      </c>
      <c r="N262" s="2">
        <f t="shared" si="21"/>
        <v>5</v>
      </c>
      <c r="O262" s="2">
        <f t="shared" si="22"/>
        <v>1</v>
      </c>
      <c r="P262" s="2" t="str">
        <f t="shared" si="23"/>
        <v>Late</v>
      </c>
      <c r="Q262" s="2" t="str">
        <f>PROPER(SUBSTITUTE(TRIM([1]RawShipmentData!M263)," ","-"))</f>
        <v>Delayed</v>
      </c>
      <c r="R262" s="4">
        <f t="shared" si="24"/>
        <v>29.395973154362416</v>
      </c>
      <c r="S262" s="2">
        <f>[1]RawShipmentData!N263</f>
        <v>2</v>
      </c>
      <c r="T262" s="2" t="str">
        <f>IF(OR(UPPER(TRIM([1]RawShipmentData!O263))="YES",UPPER(TRIM([1]RawShipmentData!O263))="Y"),"Yes","No")</f>
        <v>Yes</v>
      </c>
    </row>
    <row r="263" spans="1:20" x14ac:dyDescent="0.25">
      <c r="A263" s="2" t="str">
        <f>[1]RawShipmentData!A264</f>
        <v>SHP-101502</v>
      </c>
      <c r="B263" s="3">
        <f>IF(ISNUMBER(SEARCH("/",TRIM([1]RawShipmentData!B264))),DATE(VALUE(RIGHT(TRIM([1]RawShipmentData!B264),4)),VALUE(MID(TRIM([1]RawShipmentData!B264),FIND("/",TRIM([1]RawShipmentData!B264))+1,2)),VALUE(LEFT(TRIM([1]RawShipmentData!B264),FIND("/",TRIM([1]RawShipmentData!B264))-1))),DATEVALUE(TRIM([1]RawShipmentData!B264)))</f>
        <v>45406</v>
      </c>
      <c r="C263" s="2" t="str">
        <f>PROPER(TRIM([1]RawShipmentData!C264))</f>
        <v>Bengaluru</v>
      </c>
      <c r="D263" s="2" t="str">
        <f>IFERROR(INDEX([1]HubMaster!$B$2:$B$7,MATCH(C263,[1]HubMaster!$A$2:$A$7,0)),"Unknown")</f>
        <v>South</v>
      </c>
      <c r="E263" s="2" t="str">
        <f>PROPER(TRIM(SUBSTITUTE([1]RawShipmentData!D264,"  "," ")))</f>
        <v>Xpress Bees</v>
      </c>
      <c r="F263" s="2" t="str">
        <f>PROPER(TRIM([1]RawShipmentData!E264))</f>
        <v>Road</v>
      </c>
      <c r="G263" s="2" t="str">
        <f>PROPER(TRIM(SUBSTITUTE([1]RawShipmentData!F264,"  "," ")))</f>
        <v>Electronics</v>
      </c>
      <c r="H263" s="2" t="str">
        <f>PROPER(TRIM([1]RawShipmentData!G264))</f>
        <v>North</v>
      </c>
      <c r="I263" s="2" t="str">
        <f t="shared" si="20"/>
        <v>Yes</v>
      </c>
      <c r="J263" s="2">
        <f>IFERROR(VALUE(TRIM(SUBSTITUTE(UPPER([1]RawShipmentData!I263),"KG",""))),"")</f>
        <v>6.3</v>
      </c>
      <c r="K263" s="2">
        <f>VALUE(SUBSTITUTE(SUBSTITUTE(SUBSTITUTE(TRIM([1]RawShipmentData!J264),"₹",""),"Rs",""),",",""))</f>
        <v>313</v>
      </c>
      <c r="L263" s="2">
        <f>[1]RawShipmentData!K264</f>
        <v>8</v>
      </c>
      <c r="M263" s="3">
        <f>IF(TRIM([1]RawShipmentData!L264)="","",IF(ISNUMBER(SEARCH("/",TRIM([1]RawShipmentData!L264))),DATE(VALUE(RIGHT(TRIM([1]RawShipmentData!L264),4)),VALUE(MID(TRIM([1]RawShipmentData!L264),FIND("/",TRIM([1]RawShipmentData!L264))+1,2)),VALUE(LEFT(TRIM([1]RawShipmentData!L264),FIND("/",TRIM([1]RawShipmentData!L264))-1))),DATEVALUE(TRIM([1]RawShipmentData!L264))))</f>
        <v>45414</v>
      </c>
      <c r="N263" s="2">
        <f t="shared" si="21"/>
        <v>8</v>
      </c>
      <c r="O263" s="2">
        <f t="shared" si="22"/>
        <v>0</v>
      </c>
      <c r="P263" s="2" t="str">
        <f t="shared" si="23"/>
        <v>On Time</v>
      </c>
      <c r="Q263" s="2" t="str">
        <f>PROPER(SUBSTITUTE(TRIM([1]RawShipmentData!M264)," ","-"))</f>
        <v>Delivered</v>
      </c>
      <c r="R263" s="4">
        <f t="shared" si="24"/>
        <v>49.682539682539684</v>
      </c>
      <c r="S263" s="2">
        <f>[1]RawShipmentData!N264</f>
        <v>5</v>
      </c>
      <c r="T263" s="2" t="str">
        <f>IF(OR(UPPER(TRIM([1]RawShipmentData!O264))="YES",UPPER(TRIM([1]RawShipmentData!O264))="Y"),"Yes","No")</f>
        <v>Yes</v>
      </c>
    </row>
    <row r="264" spans="1:20" x14ac:dyDescent="0.25">
      <c r="A264" s="2" t="str">
        <f>[1]RawShipmentData!A265</f>
        <v>SHP-100963</v>
      </c>
      <c r="B264" s="3">
        <f>IF(ISNUMBER(SEARCH("/",TRIM([1]RawShipmentData!B265))),DATE(VALUE(RIGHT(TRIM([1]RawShipmentData!B265),4)),VALUE(MID(TRIM([1]RawShipmentData!B265),FIND("/",TRIM([1]RawShipmentData!B265))+1,2)),VALUE(LEFT(TRIM([1]RawShipmentData!B265),FIND("/",TRIM([1]RawShipmentData!B265))-1))),DATEVALUE(TRIM([1]RawShipmentData!B265)))</f>
        <v>45434</v>
      </c>
      <c r="C264" s="2" t="str">
        <f>PROPER(TRIM([1]RawShipmentData!C265))</f>
        <v>Chennai</v>
      </c>
      <c r="D264" s="2" t="str">
        <f>IFERROR(INDEX([1]HubMaster!$B$2:$B$7,MATCH(C264,[1]HubMaster!$A$2:$A$7,0)),"Unknown")</f>
        <v>South</v>
      </c>
      <c r="E264" s="2" t="str">
        <f>PROPER(TRIM(SUBSTITUTE([1]RawShipmentData!D265,"  "," ")))</f>
        <v>Ecom Express</v>
      </c>
      <c r="F264" s="2" t="str">
        <f>PROPER(TRIM([1]RawShipmentData!E265))</f>
        <v>Surface</v>
      </c>
      <c r="G264" s="2" t="str">
        <f>PROPER(TRIM(SUBSTITUTE([1]RawShipmentData!F265,"  "," ")))</f>
        <v>Pharma</v>
      </c>
      <c r="H264" s="2" t="str">
        <f>PROPER(TRIM([1]RawShipmentData!G265))</f>
        <v>North</v>
      </c>
      <c r="I264" s="2" t="str">
        <f t="shared" si="20"/>
        <v>Yes</v>
      </c>
      <c r="J264" s="2">
        <f>IFERROR(VALUE(TRIM(SUBSTITUTE(UPPER([1]RawShipmentData!I264),"KG",""))),"")</f>
        <v>13.7</v>
      </c>
      <c r="K264" s="2">
        <f>VALUE(SUBSTITUTE(SUBSTITUTE(SUBSTITUTE(TRIM([1]RawShipmentData!J265),"₹",""),"Rs",""),",",""))</f>
        <v>216</v>
      </c>
      <c r="L264" s="2">
        <f>[1]RawShipmentData!K265</f>
        <v>6</v>
      </c>
      <c r="M264" s="3">
        <f>IF(TRIM([1]RawShipmentData!L265)="","",IF(ISNUMBER(SEARCH("/",TRIM([1]RawShipmentData!L265))),DATE(VALUE(RIGHT(TRIM([1]RawShipmentData!L265),4)),VALUE(MID(TRIM([1]RawShipmentData!L265),FIND("/",TRIM([1]RawShipmentData!L265))+1,2)),VALUE(LEFT(TRIM([1]RawShipmentData!L265),FIND("/",TRIM([1]RawShipmentData!L265))-1))),DATEVALUE(TRIM([1]RawShipmentData!L265))))</f>
        <v>45439</v>
      </c>
      <c r="N264" s="2">
        <f t="shared" si="21"/>
        <v>5</v>
      </c>
      <c r="O264" s="2">
        <f t="shared" si="22"/>
        <v>-1</v>
      </c>
      <c r="P264" s="2" t="str">
        <f t="shared" si="23"/>
        <v>On Time</v>
      </c>
      <c r="Q264" s="2" t="str">
        <f>PROPER(SUBSTITUTE(TRIM([1]RawShipmentData!M265)," ","-"))</f>
        <v>Delivered</v>
      </c>
      <c r="R264" s="4">
        <f t="shared" si="24"/>
        <v>15.766423357664234</v>
      </c>
      <c r="S264" s="2">
        <f>[1]RawShipmentData!N265</f>
        <v>5</v>
      </c>
      <c r="T264" s="2" t="str">
        <f>IF(OR(UPPER(TRIM([1]RawShipmentData!O265))="YES",UPPER(TRIM([1]RawShipmentData!O265))="Y"),"Yes","No")</f>
        <v>No</v>
      </c>
    </row>
    <row r="265" spans="1:20" x14ac:dyDescent="0.25">
      <c r="A265" s="2" t="str">
        <f>[1]RawShipmentData!A266</f>
        <v>SHP-100404</v>
      </c>
      <c r="B265" s="3">
        <f>IF(ISNUMBER(SEARCH("/",TRIM([1]RawShipmentData!B266))),DATE(VALUE(RIGHT(TRIM([1]RawShipmentData!B266),4)),VALUE(MID(TRIM([1]RawShipmentData!B266),FIND("/",TRIM([1]RawShipmentData!B266))+1,2)),VALUE(LEFT(TRIM([1]RawShipmentData!B266),FIND("/",TRIM([1]RawShipmentData!B266))-1))),DATEVALUE(TRIM([1]RawShipmentData!B266)))</f>
        <v>45373</v>
      </c>
      <c r="C265" s="2" t="str">
        <f>PROPER(TRIM([1]RawShipmentData!C266))</f>
        <v>Bengaluru</v>
      </c>
      <c r="D265" s="2" t="str">
        <f>IFERROR(INDEX([1]HubMaster!$B$2:$B$7,MATCH(C265,[1]HubMaster!$A$2:$A$7,0)),"Unknown")</f>
        <v>South</v>
      </c>
      <c r="E265" s="2" t="str">
        <f>PROPER(TRIM(SUBSTITUTE([1]RawShipmentData!D266,"  "," ")))</f>
        <v>Xpressbees</v>
      </c>
      <c r="F265" s="2" t="str">
        <f>PROPER(TRIM([1]RawShipmentData!E266))</f>
        <v>Air</v>
      </c>
      <c r="G265" s="2" t="str">
        <f>PROPER(TRIM(SUBSTITUTE([1]RawShipmentData!F266,"  "," ")))</f>
        <v>Grocery &amp; Fmcg</v>
      </c>
      <c r="H265" s="2" t="str">
        <f>PROPER(TRIM([1]RawShipmentData!G266))</f>
        <v>East</v>
      </c>
      <c r="I265" s="2" t="str">
        <f t="shared" si="20"/>
        <v>Yes</v>
      </c>
      <c r="J265" s="2">
        <f>IFERROR(VALUE(TRIM(SUBSTITUTE(UPPER([1]RawShipmentData!I265),"KG",""))),"")</f>
        <v>3.2</v>
      </c>
      <c r="K265" s="2">
        <f>VALUE(SUBSTITUTE(SUBSTITUTE(SUBSTITUTE(TRIM([1]RawShipmentData!J266),"₹",""),"Rs",""),",",""))</f>
        <v>864</v>
      </c>
      <c r="L265" s="2">
        <f>[1]RawShipmentData!K266</f>
        <v>4</v>
      </c>
      <c r="M265" s="3">
        <f>IF(TRIM([1]RawShipmentData!L266)="","",IF(ISNUMBER(SEARCH("/",TRIM([1]RawShipmentData!L266))),DATE(VALUE(RIGHT(TRIM([1]RawShipmentData!L266),4)),VALUE(MID(TRIM([1]RawShipmentData!L266),FIND("/",TRIM([1]RawShipmentData!L266))+1,2)),VALUE(LEFT(TRIM([1]RawShipmentData!L266),FIND("/",TRIM([1]RawShipmentData!L266))-1))),DATEVALUE(TRIM([1]RawShipmentData!L266))))</f>
        <v>45383</v>
      </c>
      <c r="N265" s="2">
        <f t="shared" si="21"/>
        <v>10</v>
      </c>
      <c r="O265" s="2">
        <f t="shared" si="22"/>
        <v>6</v>
      </c>
      <c r="P265" s="2" t="str">
        <f t="shared" si="23"/>
        <v>Late</v>
      </c>
      <c r="Q265" s="2" t="str">
        <f>PROPER(SUBSTITUTE(TRIM([1]RawShipmentData!M266)," ","-"))</f>
        <v>Delayed</v>
      </c>
      <c r="R265" s="4">
        <f t="shared" si="24"/>
        <v>270</v>
      </c>
      <c r="S265" s="2">
        <f>[1]RawShipmentData!N266</f>
        <v>2</v>
      </c>
      <c r="T265" s="2" t="str">
        <f>IF(OR(UPPER(TRIM([1]RawShipmentData!O266))="YES",UPPER(TRIM([1]RawShipmentData!O266))="Y"),"Yes","No")</f>
        <v>Yes</v>
      </c>
    </row>
    <row r="266" spans="1:20" x14ac:dyDescent="0.25">
      <c r="A266" s="2" t="str">
        <f>[1]RawShipmentData!A267</f>
        <v>SHP-100718</v>
      </c>
      <c r="B266" s="3">
        <f>IF(ISNUMBER(SEARCH("/",TRIM([1]RawShipmentData!B267))),DATE(VALUE(RIGHT(TRIM([1]RawShipmentData!B267),4)),VALUE(MID(TRIM([1]RawShipmentData!B267),FIND("/",TRIM([1]RawShipmentData!B267))+1,2)),VALUE(LEFT(TRIM([1]RawShipmentData!B267),FIND("/",TRIM([1]RawShipmentData!B267))-1))),DATEVALUE(TRIM([1]RawShipmentData!B267)))</f>
        <v>45346</v>
      </c>
      <c r="C266" s="2" t="str">
        <f>PROPER(TRIM([1]RawShipmentData!C267))</f>
        <v>Mumbai</v>
      </c>
      <c r="D266" s="2" t="str">
        <f>IFERROR(INDEX([1]HubMaster!$B$2:$B$7,MATCH(C266,[1]HubMaster!$A$2:$A$7,0)),"Unknown")</f>
        <v>West</v>
      </c>
      <c r="E266" s="2" t="str">
        <f>PROPER(TRIM(SUBSTITUTE([1]RawShipmentData!D267,"  "," ")))</f>
        <v>Dtdc</v>
      </c>
      <c r="F266" s="2" t="str">
        <f>PROPER(TRIM([1]RawShipmentData!E267))</f>
        <v>Road</v>
      </c>
      <c r="G266" s="2" t="str">
        <f>PROPER(TRIM(SUBSTITUTE([1]RawShipmentData!F267,"  "," ")))</f>
        <v>Electronics</v>
      </c>
      <c r="H266" s="2" t="str">
        <f>PROPER(TRIM([1]RawShipmentData!G267))</f>
        <v>West</v>
      </c>
      <c r="I266" s="2" t="str">
        <f t="shared" si="20"/>
        <v>No</v>
      </c>
      <c r="J266" s="2">
        <f>IFERROR(VALUE(TRIM(SUBSTITUTE(UPPER([1]RawShipmentData!I266),"KG",""))),"")</f>
        <v>15.5</v>
      </c>
      <c r="K266" s="2">
        <f>VALUE(SUBSTITUTE(SUBSTITUTE(SUBSTITUTE(TRIM([1]RawShipmentData!J267),"₹",""),"Rs",""),",",""))</f>
        <v>157</v>
      </c>
      <c r="L266" s="2">
        <f>[1]RawShipmentData!K267</f>
        <v>6</v>
      </c>
      <c r="M266" s="3">
        <f>IF(TRIM([1]RawShipmentData!L267)="","",IF(ISNUMBER(SEARCH("/",TRIM([1]RawShipmentData!L267))),DATE(VALUE(RIGHT(TRIM([1]RawShipmentData!L267),4)),VALUE(MID(TRIM([1]RawShipmentData!L267),FIND("/",TRIM([1]RawShipmentData!L267))+1,2)),VALUE(LEFT(TRIM([1]RawShipmentData!L267),FIND("/",TRIM([1]RawShipmentData!L267))-1))),DATEVALUE(TRIM([1]RawShipmentData!L267))))</f>
        <v>45351</v>
      </c>
      <c r="N266" s="2">
        <f t="shared" si="21"/>
        <v>5</v>
      </c>
      <c r="O266" s="2">
        <f t="shared" si="22"/>
        <v>-1</v>
      </c>
      <c r="P266" s="2" t="str">
        <f t="shared" si="23"/>
        <v>On Time</v>
      </c>
      <c r="Q266" s="2" t="str">
        <f>PROPER(SUBSTITUTE(TRIM([1]RawShipmentData!M267)," ","-"))</f>
        <v>Delivered</v>
      </c>
      <c r="R266" s="4">
        <f t="shared" si="24"/>
        <v>10.129032258064516</v>
      </c>
      <c r="S266" s="2">
        <f>[1]RawShipmentData!N267</f>
        <v>4</v>
      </c>
      <c r="T266" s="2" t="str">
        <f>IF(OR(UPPER(TRIM([1]RawShipmentData!O267))="YES",UPPER(TRIM([1]RawShipmentData!O267))="Y"),"Yes","No")</f>
        <v>Yes</v>
      </c>
    </row>
    <row r="267" spans="1:20" x14ac:dyDescent="0.25">
      <c r="A267" s="2" t="str">
        <f>[1]RawShipmentData!A268</f>
        <v>SHP-101099</v>
      </c>
      <c r="B267" s="3">
        <f>IF(ISNUMBER(SEARCH("/",TRIM([1]RawShipmentData!B268))),DATE(VALUE(RIGHT(TRIM([1]RawShipmentData!B268),4)),VALUE(MID(TRIM([1]RawShipmentData!B268),FIND("/",TRIM([1]RawShipmentData!B268))+1,2)),VALUE(LEFT(TRIM([1]RawShipmentData!B268),FIND("/",TRIM([1]RawShipmentData!B268))-1))),DATEVALUE(TRIM([1]RawShipmentData!B268)))</f>
        <v>45325</v>
      </c>
      <c r="C267" s="2" t="str">
        <f>PROPER(TRIM([1]RawShipmentData!C268))</f>
        <v>Kolkata</v>
      </c>
      <c r="D267" s="2" t="str">
        <f>IFERROR(INDEX([1]HubMaster!$B$2:$B$7,MATCH(C267,[1]HubMaster!$A$2:$A$7,0)),"Unknown")</f>
        <v>East</v>
      </c>
      <c r="E267" s="2" t="str">
        <f>PROPER(TRIM(SUBSTITUTE([1]RawShipmentData!D268,"  "," ")))</f>
        <v>Delhivery</v>
      </c>
      <c r="F267" s="2" t="str">
        <f>PROPER(TRIM([1]RawShipmentData!E268))</f>
        <v>Surface</v>
      </c>
      <c r="G267" s="2" t="str">
        <f>PROPER(TRIM(SUBSTITUTE([1]RawShipmentData!F268,"  "," ")))</f>
        <v>Pharma</v>
      </c>
      <c r="H267" s="2" t="str">
        <f>PROPER(TRIM([1]RawShipmentData!G268))</f>
        <v>North</v>
      </c>
      <c r="I267" s="2" t="str">
        <f t="shared" si="20"/>
        <v>Yes</v>
      </c>
      <c r="J267" s="2">
        <f>IFERROR(VALUE(TRIM(SUBSTITUTE(UPPER([1]RawShipmentData!I267),"KG",""))),"")</f>
        <v>11.6</v>
      </c>
      <c r="K267" s="2">
        <f>VALUE(SUBSTITUTE(SUBSTITUTE(SUBSTITUTE(TRIM([1]RawShipmentData!J268),"₹",""),"Rs",""),",",""))</f>
        <v>158</v>
      </c>
      <c r="L267" s="2">
        <f>[1]RawShipmentData!K268</f>
        <v>6</v>
      </c>
      <c r="M267" s="3">
        <f>IF(TRIM([1]RawShipmentData!L268)="","",IF(ISNUMBER(SEARCH("/",TRIM([1]RawShipmentData!L268))),DATE(VALUE(RIGHT(TRIM([1]RawShipmentData!L268),4)),VALUE(MID(TRIM([1]RawShipmentData!L268),FIND("/",TRIM([1]RawShipmentData!L268))+1,2)),VALUE(LEFT(TRIM([1]RawShipmentData!L268),FIND("/",TRIM([1]RawShipmentData!L268))-1))),DATEVALUE(TRIM([1]RawShipmentData!L268))))</f>
        <v>45331</v>
      </c>
      <c r="N267" s="2">
        <f t="shared" si="21"/>
        <v>6</v>
      </c>
      <c r="O267" s="2">
        <f t="shared" si="22"/>
        <v>0</v>
      </c>
      <c r="P267" s="2" t="str">
        <f t="shared" si="23"/>
        <v>On Time</v>
      </c>
      <c r="Q267" s="2" t="str">
        <f>PROPER(SUBSTITUTE(TRIM([1]RawShipmentData!M268)," ","-"))</f>
        <v>Delivered</v>
      </c>
      <c r="R267" s="4">
        <f t="shared" si="24"/>
        <v>13.620689655172415</v>
      </c>
      <c r="S267" s="2">
        <f>[1]RawShipmentData!N268</f>
        <v>5</v>
      </c>
      <c r="T267" s="2" t="str">
        <f>IF(OR(UPPER(TRIM([1]RawShipmentData!O268))="YES",UPPER(TRIM([1]RawShipmentData!O268))="Y"),"Yes","No")</f>
        <v>No</v>
      </c>
    </row>
    <row r="268" spans="1:20" x14ac:dyDescent="0.25">
      <c r="A268" s="2" t="str">
        <f>[1]RawShipmentData!A269</f>
        <v>SHP-100102</v>
      </c>
      <c r="B268" s="3">
        <f>IF(ISNUMBER(SEARCH("/",TRIM([1]RawShipmentData!B269))),DATE(VALUE(RIGHT(TRIM([1]RawShipmentData!B269),4)),VALUE(MID(TRIM([1]RawShipmentData!B269),FIND("/",TRIM([1]RawShipmentData!B269))+1,2)),VALUE(LEFT(TRIM([1]RawShipmentData!B269),FIND("/",TRIM([1]RawShipmentData!B269))-1))),DATEVALUE(TRIM([1]RawShipmentData!B269)))</f>
        <v>45362</v>
      </c>
      <c r="C268" s="2" t="str">
        <f>PROPER(TRIM([1]RawShipmentData!C269))</f>
        <v>Hyderabad</v>
      </c>
      <c r="D268" s="2" t="str">
        <f>IFERROR(INDEX([1]HubMaster!$B$2:$B$7,MATCH(C268,[1]HubMaster!$A$2:$A$7,0)),"Unknown")</f>
        <v>West</v>
      </c>
      <c r="E268" s="2" t="str">
        <f>PROPER(TRIM(SUBSTITUTE([1]RawShipmentData!D269,"  "," ")))</f>
        <v>Ecom Express</v>
      </c>
      <c r="F268" s="2" t="str">
        <f>PROPER(TRIM([1]RawShipmentData!E269))</f>
        <v>Air</v>
      </c>
      <c r="G268" s="2" t="str">
        <f>PROPER(TRIM(SUBSTITUTE([1]RawShipmentData!F269,"  "," ")))</f>
        <v>Automotive Parts</v>
      </c>
      <c r="H268" s="2" t="str">
        <f>PROPER(TRIM([1]RawShipmentData!G269))</f>
        <v>South</v>
      </c>
      <c r="I268" s="2" t="str">
        <f t="shared" si="20"/>
        <v>Yes</v>
      </c>
      <c r="J268" s="2">
        <f>IFERROR(VALUE(TRIM(SUBSTITUTE(UPPER([1]RawShipmentData!I268),"KG",""))),"")</f>
        <v>0.7</v>
      </c>
      <c r="K268" s="2">
        <f>VALUE(SUBSTITUTE(SUBSTITUTE(SUBSTITUTE(TRIM([1]RawShipmentData!J269),"₹",""),"Rs",""),",",""))</f>
        <v>398</v>
      </c>
      <c r="L268" s="2">
        <f>[1]RawShipmentData!K269</f>
        <v>4</v>
      </c>
      <c r="M268" s="3">
        <f>IF(TRIM([1]RawShipmentData!L269)="","",IF(ISNUMBER(SEARCH("/",TRIM([1]RawShipmentData!L269))),DATE(VALUE(RIGHT(TRIM([1]RawShipmentData!L269),4)),VALUE(MID(TRIM([1]RawShipmentData!L269),FIND("/",TRIM([1]RawShipmentData!L269))+1,2)),VALUE(LEFT(TRIM([1]RawShipmentData!L269),FIND("/",TRIM([1]RawShipmentData!L269))-1))),DATEVALUE(TRIM([1]RawShipmentData!L269))))</f>
        <v>45373</v>
      </c>
      <c r="N268" s="2">
        <f t="shared" si="21"/>
        <v>11</v>
      </c>
      <c r="O268" s="2">
        <f t="shared" si="22"/>
        <v>7</v>
      </c>
      <c r="P268" s="2" t="str">
        <f t="shared" si="23"/>
        <v>Late</v>
      </c>
      <c r="Q268" s="2" t="str">
        <f>PROPER(SUBSTITUTE(TRIM([1]RawShipmentData!M269)," ","-"))</f>
        <v>Damaged</v>
      </c>
      <c r="R268" s="4">
        <f t="shared" si="24"/>
        <v>568.57142857142856</v>
      </c>
      <c r="S268" s="2">
        <f>[1]RawShipmentData!N269</f>
        <v>0</v>
      </c>
      <c r="T268" s="2" t="str">
        <f>IF(OR(UPPER(TRIM([1]RawShipmentData!O269))="YES",UPPER(TRIM([1]RawShipmentData!O269))="Y"),"Yes","No")</f>
        <v>No</v>
      </c>
    </row>
    <row r="269" spans="1:20" x14ac:dyDescent="0.25">
      <c r="A269" s="2" t="str">
        <f>[1]RawShipmentData!A270</f>
        <v>SHP-100110</v>
      </c>
      <c r="B269" s="3">
        <f>IF(ISNUMBER(SEARCH("/",TRIM([1]RawShipmentData!B270))),DATE(VALUE(RIGHT(TRIM([1]RawShipmentData!B270),4)),VALUE(MID(TRIM([1]RawShipmentData!B270),FIND("/",TRIM([1]RawShipmentData!B270))+1,2)),VALUE(LEFT(TRIM([1]RawShipmentData!B270),FIND("/",TRIM([1]RawShipmentData!B270))-1))),DATEVALUE(TRIM([1]RawShipmentData!B270)))</f>
        <v>45363</v>
      </c>
      <c r="C269" s="2" t="str">
        <f>PROPER(TRIM([1]RawShipmentData!C270))</f>
        <v>Delhi</v>
      </c>
      <c r="D269" s="2" t="str">
        <f>IFERROR(INDEX([1]HubMaster!$B$2:$B$7,MATCH(C269,[1]HubMaster!$A$2:$A$7,0)),"Unknown")</f>
        <v>North</v>
      </c>
      <c r="E269" s="2" t="str">
        <f>PROPER(TRIM(SUBSTITUTE([1]RawShipmentData!D270,"  "," ")))</f>
        <v>Xpressbees</v>
      </c>
      <c r="F269" s="2" t="str">
        <f>PROPER(TRIM([1]RawShipmentData!E270))</f>
        <v>Air</v>
      </c>
      <c r="G269" s="2" t="str">
        <f>PROPER(TRIM(SUBSTITUTE([1]RawShipmentData!F270,"  "," ")))</f>
        <v>Apparel</v>
      </c>
      <c r="H269" s="2" t="str">
        <f>PROPER(TRIM([1]RawShipmentData!G270))</f>
        <v>West</v>
      </c>
      <c r="I269" s="2" t="str">
        <f t="shared" si="20"/>
        <v>Yes</v>
      </c>
      <c r="J269" s="2">
        <f>IFERROR(VALUE(TRIM(SUBSTITUTE(UPPER([1]RawShipmentData!I269),"KG",""))),"")</f>
        <v>5.9</v>
      </c>
      <c r="K269" s="2">
        <f>VALUE(SUBSTITUTE(SUBSTITUTE(SUBSTITUTE(TRIM([1]RawShipmentData!J270),"₹",""),"Rs",""),",",""))</f>
        <v>418</v>
      </c>
      <c r="L269" s="2">
        <f>[1]RawShipmentData!K270</f>
        <v>4</v>
      </c>
      <c r="M269" s="3">
        <f>IF(TRIM([1]RawShipmentData!L270)="","",IF(ISNUMBER(SEARCH("/",TRIM([1]RawShipmentData!L270))),DATE(VALUE(RIGHT(TRIM([1]RawShipmentData!L270),4)),VALUE(MID(TRIM([1]RawShipmentData!L270),FIND("/",TRIM([1]RawShipmentData!L270))+1,2)),VALUE(LEFT(TRIM([1]RawShipmentData!L270),FIND("/",TRIM([1]RawShipmentData!L270))-1))),DATEVALUE(TRIM([1]RawShipmentData!L270))))</f>
        <v>45367</v>
      </c>
      <c r="N269" s="2">
        <f t="shared" si="21"/>
        <v>4</v>
      </c>
      <c r="O269" s="2">
        <f t="shared" si="22"/>
        <v>0</v>
      </c>
      <c r="P269" s="2" t="str">
        <f t="shared" si="23"/>
        <v>On Time</v>
      </c>
      <c r="Q269" s="2" t="str">
        <f>PROPER(SUBSTITUTE(TRIM([1]RawShipmentData!M270)," ","-"))</f>
        <v>Delivered</v>
      </c>
      <c r="R269" s="4">
        <f t="shared" si="24"/>
        <v>70.847457627118644</v>
      </c>
      <c r="S269" s="2">
        <f>[1]RawShipmentData!N270</f>
        <v>5</v>
      </c>
      <c r="T269" s="2" t="str">
        <f>IF(OR(UPPER(TRIM([1]RawShipmentData!O270))="YES",UPPER(TRIM([1]RawShipmentData!O270))="Y"),"Yes","No")</f>
        <v>Yes</v>
      </c>
    </row>
    <row r="270" spans="1:20" x14ac:dyDescent="0.25">
      <c r="A270" s="2" t="str">
        <f>[1]RawShipmentData!A271</f>
        <v>SHP-100053</v>
      </c>
      <c r="B270" s="3">
        <f>IF(ISNUMBER(SEARCH("/",TRIM([1]RawShipmentData!B271))),DATE(VALUE(RIGHT(TRIM([1]RawShipmentData!B271),4)),VALUE(MID(TRIM([1]RawShipmentData!B271),FIND("/",TRIM([1]RawShipmentData!B271))+1,2)),VALUE(LEFT(TRIM([1]RawShipmentData!B271),FIND("/",TRIM([1]RawShipmentData!B271))-1))),DATEVALUE(TRIM([1]RawShipmentData!B271)))</f>
        <v>45459</v>
      </c>
      <c r="C270" s="2" t="str">
        <f>PROPER(TRIM([1]RawShipmentData!C271))</f>
        <v>Kolkata</v>
      </c>
      <c r="D270" s="2" t="str">
        <f>IFERROR(INDEX([1]HubMaster!$B$2:$B$7,MATCH(C270,[1]HubMaster!$A$2:$A$7,0)),"Unknown")</f>
        <v>East</v>
      </c>
      <c r="E270" s="2" t="str">
        <f>PROPER(TRIM(SUBSTITUTE([1]RawShipmentData!D271,"  "," ")))</f>
        <v>Bluedart</v>
      </c>
      <c r="F270" s="2" t="str">
        <f>PROPER(TRIM([1]RawShipmentData!E271))</f>
        <v>Road</v>
      </c>
      <c r="G270" s="2" t="str">
        <f>PROPER(TRIM(SUBSTITUTE([1]RawShipmentData!F271,"  "," ")))</f>
        <v>Electronics</v>
      </c>
      <c r="H270" s="2" t="str">
        <f>PROPER(TRIM([1]RawShipmentData!G271))</f>
        <v>East</v>
      </c>
      <c r="I270" s="2" t="str">
        <f t="shared" si="20"/>
        <v>No</v>
      </c>
      <c r="J270" s="2">
        <f>IFERROR(VALUE(TRIM(SUBSTITUTE(UPPER([1]RawShipmentData!I270),"KG",""))),"")</f>
        <v>5.4</v>
      </c>
      <c r="K270" s="2">
        <f>VALUE(SUBSTITUTE(SUBSTITUTE(SUBSTITUTE(TRIM([1]RawShipmentData!J271),"₹",""),"Rs",""),",",""))</f>
        <v>124</v>
      </c>
      <c r="L270" s="2">
        <f>[1]RawShipmentData!K271</f>
        <v>6</v>
      </c>
      <c r="M270" s="3">
        <f>IF(TRIM([1]RawShipmentData!L271)="","",IF(ISNUMBER(SEARCH("/",TRIM([1]RawShipmentData!L271))),DATE(VALUE(RIGHT(TRIM([1]RawShipmentData!L271),4)),VALUE(MID(TRIM([1]RawShipmentData!L271),FIND("/",TRIM([1]RawShipmentData!L271))+1,2)),VALUE(LEFT(TRIM([1]RawShipmentData!L271),FIND("/",TRIM([1]RawShipmentData!L271))-1))),DATEVALUE(TRIM([1]RawShipmentData!L271))))</f>
        <v>45464</v>
      </c>
      <c r="N270" s="2">
        <f t="shared" si="21"/>
        <v>5</v>
      </c>
      <c r="O270" s="2">
        <f t="shared" si="22"/>
        <v>-1</v>
      </c>
      <c r="P270" s="2" t="str">
        <f t="shared" si="23"/>
        <v>On Time</v>
      </c>
      <c r="Q270" s="2" t="str">
        <f>PROPER(SUBSTITUTE(TRIM([1]RawShipmentData!M271)," ","-"))</f>
        <v>Delivered</v>
      </c>
      <c r="R270" s="4">
        <f t="shared" si="24"/>
        <v>22.962962962962962</v>
      </c>
      <c r="S270" s="2">
        <f>[1]RawShipmentData!N271</f>
        <v>4</v>
      </c>
      <c r="T270" s="2" t="str">
        <f>IF(OR(UPPER(TRIM([1]RawShipmentData!O271))="YES",UPPER(TRIM([1]RawShipmentData!O271))="Y"),"Yes","No")</f>
        <v>No</v>
      </c>
    </row>
    <row r="271" spans="1:20" x14ac:dyDescent="0.25">
      <c r="A271" s="2" t="str">
        <f>[1]RawShipmentData!A272</f>
        <v>SHP-100275</v>
      </c>
      <c r="B271" s="3">
        <f>IF(ISNUMBER(SEARCH("/",TRIM([1]RawShipmentData!B272))),DATE(VALUE(RIGHT(TRIM([1]RawShipmentData!B272),4)),VALUE(MID(TRIM([1]RawShipmentData!B272),FIND("/",TRIM([1]RawShipmentData!B272))+1,2)),VALUE(LEFT(TRIM([1]RawShipmentData!B272),FIND("/",TRIM([1]RawShipmentData!B272))-1))),DATEVALUE(TRIM([1]RawShipmentData!B272)))</f>
        <v>45317</v>
      </c>
      <c r="C271" s="2" t="str">
        <f>PROPER(TRIM([1]RawShipmentData!C272))</f>
        <v>Mumbai</v>
      </c>
      <c r="D271" s="2" t="str">
        <f>IFERROR(INDEX([1]HubMaster!$B$2:$B$7,MATCH(C271,[1]HubMaster!$A$2:$A$7,0)),"Unknown")</f>
        <v>West</v>
      </c>
      <c r="E271" s="2" t="str">
        <f>PROPER(TRIM(SUBSTITUTE([1]RawShipmentData!D272,"  "," ")))</f>
        <v>Delhivery</v>
      </c>
      <c r="F271" s="2" t="str">
        <f>PROPER(TRIM([1]RawShipmentData!E272))</f>
        <v>Surface</v>
      </c>
      <c r="G271" s="2" t="str">
        <f>PROPER(TRIM(SUBSTITUTE([1]RawShipmentData!F272,"  "," ")))</f>
        <v>Automotive Parts</v>
      </c>
      <c r="H271" s="2" t="str">
        <f>PROPER(TRIM([1]RawShipmentData!G272))</f>
        <v>South</v>
      </c>
      <c r="I271" s="2" t="str">
        <f t="shared" si="20"/>
        <v>Yes</v>
      </c>
      <c r="J271" s="2">
        <f>IFERROR(VALUE(TRIM(SUBSTITUTE(UPPER([1]RawShipmentData!I271),"KG",""))),"")</f>
        <v>6.6</v>
      </c>
      <c r="K271" s="2">
        <f>VALUE(SUBSTITUTE(SUBSTITUTE(SUBSTITUTE(TRIM([1]RawShipmentData!J272),"₹",""),"Rs",""),",",""))</f>
        <v>555</v>
      </c>
      <c r="L271" s="2">
        <f>[1]RawShipmentData!K272</f>
        <v>6</v>
      </c>
      <c r="M271" s="3">
        <f>IF(TRIM([1]RawShipmentData!L272)="","",IF(ISNUMBER(SEARCH("/",TRIM([1]RawShipmentData!L272))),DATE(VALUE(RIGHT(TRIM([1]RawShipmentData!L272),4)),VALUE(MID(TRIM([1]RawShipmentData!L272),FIND("/",TRIM([1]RawShipmentData!L272))+1,2)),VALUE(LEFT(TRIM([1]RawShipmentData!L272),FIND("/",TRIM([1]RawShipmentData!L272))-1))),DATEVALUE(TRIM([1]RawShipmentData!L272))))</f>
        <v>45323</v>
      </c>
      <c r="N271" s="2">
        <f t="shared" si="21"/>
        <v>6</v>
      </c>
      <c r="O271" s="2">
        <f t="shared" si="22"/>
        <v>0</v>
      </c>
      <c r="P271" s="2" t="str">
        <f t="shared" si="23"/>
        <v>On Time</v>
      </c>
      <c r="Q271" s="2" t="str">
        <f>PROPER(SUBSTITUTE(TRIM([1]RawShipmentData!M272)," ","-"))</f>
        <v>Delivered</v>
      </c>
      <c r="R271" s="4">
        <f t="shared" si="24"/>
        <v>84.090909090909093</v>
      </c>
      <c r="S271" s="2">
        <f>[1]RawShipmentData!N272</f>
        <v>5</v>
      </c>
      <c r="T271" s="2" t="str">
        <f>IF(OR(UPPER(TRIM([1]RawShipmentData!O272))="YES",UPPER(TRIM([1]RawShipmentData!O272))="Y"),"Yes","No")</f>
        <v>No</v>
      </c>
    </row>
    <row r="272" spans="1:20" x14ac:dyDescent="0.25">
      <c r="A272" s="2" t="str">
        <f>[1]RawShipmentData!A273</f>
        <v>SHP-100618</v>
      </c>
      <c r="B272" s="3">
        <f>IF(ISNUMBER(SEARCH("/",TRIM([1]RawShipmentData!B273))),DATE(VALUE(RIGHT(TRIM([1]RawShipmentData!B273),4)),VALUE(MID(TRIM([1]RawShipmentData!B273),FIND("/",TRIM([1]RawShipmentData!B273))+1,2)),VALUE(LEFT(TRIM([1]RawShipmentData!B273),FIND("/",TRIM([1]RawShipmentData!B273))-1))),DATEVALUE(TRIM([1]RawShipmentData!B273)))</f>
        <v>45404</v>
      </c>
      <c r="C272" s="2" t="str">
        <f>PROPER(TRIM([1]RawShipmentData!C273))</f>
        <v>Bengaluru</v>
      </c>
      <c r="D272" s="2" t="str">
        <f>IFERROR(INDEX([1]HubMaster!$B$2:$B$7,MATCH(C272,[1]HubMaster!$A$2:$A$7,0)),"Unknown")</f>
        <v>South</v>
      </c>
      <c r="E272" s="2" t="str">
        <f>PROPER(TRIM(SUBSTITUTE([1]RawShipmentData!D273,"  "," ")))</f>
        <v>Blue Dart</v>
      </c>
      <c r="F272" s="2" t="str">
        <f>PROPER(TRIM([1]RawShipmentData!E273))</f>
        <v>Air</v>
      </c>
      <c r="G272" s="2" t="str">
        <f>PROPER(TRIM(SUBSTITUTE([1]RawShipmentData!F273,"  "," ")))</f>
        <v>Apparel</v>
      </c>
      <c r="H272" s="2" t="str">
        <f>PROPER(TRIM([1]RawShipmentData!G273))</f>
        <v>East</v>
      </c>
      <c r="I272" s="2" t="str">
        <f t="shared" si="20"/>
        <v>Yes</v>
      </c>
      <c r="J272" s="2">
        <f>IFERROR(VALUE(TRIM(SUBSTITUTE(UPPER([1]RawShipmentData!I272),"KG",""))),"")</f>
        <v>15.8</v>
      </c>
      <c r="K272" s="2">
        <f>VALUE(SUBSTITUTE(SUBSTITUTE(SUBSTITUTE(TRIM([1]RawShipmentData!J273),"₹",""),"Rs",""),",",""))</f>
        <v>308</v>
      </c>
      <c r="L272" s="2">
        <f>[1]RawShipmentData!K273</f>
        <v>4</v>
      </c>
      <c r="M272" s="3">
        <f>IF(TRIM([1]RawShipmentData!L273)="","",IF(ISNUMBER(SEARCH("/",TRIM([1]RawShipmentData!L273))),DATE(VALUE(RIGHT(TRIM([1]RawShipmentData!L273),4)),VALUE(MID(TRIM([1]RawShipmentData!L273),FIND("/",TRIM([1]RawShipmentData!L273))+1,2)),VALUE(LEFT(TRIM([1]RawShipmentData!L273),FIND("/",TRIM([1]RawShipmentData!L273))-1))),DATEVALUE(TRIM([1]RawShipmentData!L273))))</f>
        <v>45408</v>
      </c>
      <c r="N272" s="2">
        <f t="shared" si="21"/>
        <v>4</v>
      </c>
      <c r="O272" s="2">
        <f t="shared" si="22"/>
        <v>0</v>
      </c>
      <c r="P272" s="2" t="str">
        <f t="shared" si="23"/>
        <v>On Time</v>
      </c>
      <c r="Q272" s="2" t="str">
        <f>PROPER(SUBSTITUTE(TRIM([1]RawShipmentData!M273)," ","-"))</f>
        <v>Delivered</v>
      </c>
      <c r="R272" s="4">
        <f t="shared" si="24"/>
        <v>19.49367088607595</v>
      </c>
      <c r="S272" s="2">
        <f>[1]RawShipmentData!N273</f>
        <v>4</v>
      </c>
      <c r="T272" s="2" t="str">
        <f>IF(OR(UPPER(TRIM([1]RawShipmentData!O273))="YES",UPPER(TRIM([1]RawShipmentData!O273))="Y"),"Yes","No")</f>
        <v>No</v>
      </c>
    </row>
    <row r="273" spans="1:20" x14ac:dyDescent="0.25">
      <c r="A273" s="2" t="str">
        <f>[1]RawShipmentData!A274</f>
        <v>SHP-100339</v>
      </c>
      <c r="B273" s="3">
        <f>IF(ISNUMBER(SEARCH("/",TRIM([1]RawShipmentData!B274))),DATE(VALUE(RIGHT(TRIM([1]RawShipmentData!B274),4)),VALUE(MID(TRIM([1]RawShipmentData!B274),FIND("/",TRIM([1]RawShipmentData!B274))+1,2)),VALUE(LEFT(TRIM([1]RawShipmentData!B274),FIND("/",TRIM([1]RawShipmentData!B274))-1))),DATEVALUE(TRIM([1]RawShipmentData!B274)))</f>
        <v>45469</v>
      </c>
      <c r="C273" s="2" t="str">
        <f>PROPER(TRIM([1]RawShipmentData!C274))</f>
        <v>Mumbai</v>
      </c>
      <c r="D273" s="2" t="str">
        <f>IFERROR(INDEX([1]HubMaster!$B$2:$B$7,MATCH(C273,[1]HubMaster!$A$2:$A$7,0)),"Unknown")</f>
        <v>West</v>
      </c>
      <c r="E273" s="2" t="str">
        <f>PROPER(TRIM(SUBSTITUTE([1]RawShipmentData!D274,"  "," ")))</f>
        <v>Bluedart</v>
      </c>
      <c r="F273" s="2" t="str">
        <f>PROPER(TRIM([1]RawShipmentData!E274))</f>
        <v>Surface</v>
      </c>
      <c r="G273" s="2" t="str">
        <f>PROPER(TRIM(SUBSTITUTE([1]RawShipmentData!F274,"  "," ")))</f>
        <v>Apparel</v>
      </c>
      <c r="H273" s="2" t="str">
        <f>PROPER(TRIM([1]RawShipmentData!G274))</f>
        <v>West</v>
      </c>
      <c r="I273" s="2" t="str">
        <f t="shared" si="20"/>
        <v>No</v>
      </c>
      <c r="J273" s="2">
        <f>IFERROR(VALUE(TRIM(SUBSTITUTE(UPPER([1]RawShipmentData!I273),"KG",""))),"")</f>
        <v>3.6</v>
      </c>
      <c r="K273" s="2">
        <f>VALUE(SUBSTITUTE(SUBSTITUTE(SUBSTITUTE(TRIM([1]RawShipmentData!J274),"₹",""),"Rs",""),",",""))</f>
        <v>80</v>
      </c>
      <c r="L273" s="2">
        <f>[1]RawShipmentData!K274</f>
        <v>4</v>
      </c>
      <c r="M273" s="3">
        <f>IF(TRIM([1]RawShipmentData!L274)="","",IF(ISNUMBER(SEARCH("/",TRIM([1]RawShipmentData!L274))),DATE(VALUE(RIGHT(TRIM([1]RawShipmentData!L274),4)),VALUE(MID(TRIM([1]RawShipmentData!L274),FIND("/",TRIM([1]RawShipmentData!L274))+1,2)),VALUE(LEFT(TRIM([1]RawShipmentData!L274),FIND("/",TRIM([1]RawShipmentData!L274))-1))),DATEVALUE(TRIM([1]RawShipmentData!L274))))</f>
        <v>45473</v>
      </c>
      <c r="N273" s="2">
        <f t="shared" si="21"/>
        <v>4</v>
      </c>
      <c r="O273" s="2">
        <f t="shared" si="22"/>
        <v>0</v>
      </c>
      <c r="P273" s="2" t="str">
        <f t="shared" si="23"/>
        <v>On Time</v>
      </c>
      <c r="Q273" s="2" t="str">
        <f>PROPER(SUBSTITUTE(TRIM([1]RawShipmentData!M274)," ","-"))</f>
        <v>Delivered</v>
      </c>
      <c r="R273" s="4">
        <f t="shared" si="24"/>
        <v>22.222222222222221</v>
      </c>
      <c r="S273" s="2">
        <f>[1]RawShipmentData!N274</f>
        <v>4</v>
      </c>
      <c r="T273" s="2" t="str">
        <f>IF(OR(UPPER(TRIM([1]RawShipmentData!O274))="YES",UPPER(TRIM([1]RawShipmentData!O274))="Y"),"Yes","No")</f>
        <v>No</v>
      </c>
    </row>
    <row r="274" spans="1:20" x14ac:dyDescent="0.25">
      <c r="A274" s="2" t="str">
        <f>[1]RawShipmentData!A275</f>
        <v>SHP-101267</v>
      </c>
      <c r="B274" s="3">
        <f>IF(ISNUMBER(SEARCH("/",TRIM([1]RawShipmentData!B275))),DATE(VALUE(RIGHT(TRIM([1]RawShipmentData!B275),4)),VALUE(MID(TRIM([1]RawShipmentData!B275),FIND("/",TRIM([1]RawShipmentData!B275))+1,2)),VALUE(LEFT(TRIM([1]RawShipmentData!B275),FIND("/",TRIM([1]RawShipmentData!B275))-1))),DATEVALUE(TRIM([1]RawShipmentData!B275)))</f>
        <v>45302</v>
      </c>
      <c r="C274" s="2" t="str">
        <f>PROPER(TRIM([1]RawShipmentData!C275))</f>
        <v>Bengaluru</v>
      </c>
      <c r="D274" s="2" t="str">
        <f>IFERROR(INDEX([1]HubMaster!$B$2:$B$7,MATCH(C274,[1]HubMaster!$A$2:$A$7,0)),"Unknown")</f>
        <v>South</v>
      </c>
      <c r="E274" s="2" t="str">
        <f>PROPER(TRIM(SUBSTITUTE([1]RawShipmentData!D275,"  "," ")))</f>
        <v>Ecom Express</v>
      </c>
      <c r="F274" s="2" t="str">
        <f>PROPER(TRIM([1]RawShipmentData!E275))</f>
        <v>Air</v>
      </c>
      <c r="G274" s="2" t="str">
        <f>PROPER(TRIM(SUBSTITUTE([1]RawShipmentData!F275,"  "," ")))</f>
        <v>Automotive Parts</v>
      </c>
      <c r="H274" s="2" t="str">
        <f>PROPER(TRIM([1]RawShipmentData!G275))</f>
        <v>West</v>
      </c>
      <c r="I274" s="2" t="str">
        <f t="shared" si="20"/>
        <v>Yes</v>
      </c>
      <c r="J274" s="2">
        <f>IFERROR(VALUE(TRIM(SUBSTITUTE(UPPER([1]RawShipmentData!I274),"KG",""))),"")</f>
        <v>0.8</v>
      </c>
      <c r="K274" s="2">
        <f>VALUE(SUBSTITUTE(SUBSTITUTE(SUBSTITUTE(TRIM([1]RawShipmentData!J275),"₹",""),"Rs",""),",",""))</f>
        <v>1299</v>
      </c>
      <c r="L274" s="2">
        <f>[1]RawShipmentData!K275</f>
        <v>4</v>
      </c>
      <c r="M274" s="3">
        <f>IF(TRIM([1]RawShipmentData!L275)="","",IF(ISNUMBER(SEARCH("/",TRIM([1]RawShipmentData!L275))),DATE(VALUE(RIGHT(TRIM([1]RawShipmentData!L275),4)),VALUE(MID(TRIM([1]RawShipmentData!L275),FIND("/",TRIM([1]RawShipmentData!L275))+1,2)),VALUE(LEFT(TRIM([1]RawShipmentData!L275),FIND("/",TRIM([1]RawShipmentData!L275))-1))),DATEVALUE(TRIM([1]RawShipmentData!L275))))</f>
        <v>45305</v>
      </c>
      <c r="N274" s="2">
        <f t="shared" si="21"/>
        <v>3</v>
      </c>
      <c r="O274" s="2">
        <f t="shared" si="22"/>
        <v>-1</v>
      </c>
      <c r="P274" s="2" t="str">
        <f t="shared" si="23"/>
        <v>On Time</v>
      </c>
      <c r="Q274" s="2" t="str">
        <f>PROPER(SUBSTITUTE(TRIM([1]RawShipmentData!M275)," ","-"))</f>
        <v>Delivered</v>
      </c>
      <c r="R274" s="4">
        <f t="shared" si="24"/>
        <v>1623.75</v>
      </c>
      <c r="S274" s="2">
        <f>[1]RawShipmentData!N275</f>
        <v>4</v>
      </c>
      <c r="T274" s="2" t="str">
        <f>IF(OR(UPPER(TRIM([1]RawShipmentData!O275))="YES",UPPER(TRIM([1]RawShipmentData!O275))="Y"),"Yes","No")</f>
        <v>Yes</v>
      </c>
    </row>
    <row r="275" spans="1:20" x14ac:dyDescent="0.25">
      <c r="A275" s="2" t="str">
        <f>[1]RawShipmentData!A276</f>
        <v>SHP-101072</v>
      </c>
      <c r="B275" s="3">
        <f>IF(ISNUMBER(SEARCH("/",TRIM([1]RawShipmentData!B276))),DATE(VALUE(RIGHT(TRIM([1]RawShipmentData!B276),4)),VALUE(MID(TRIM([1]RawShipmentData!B276),FIND("/",TRIM([1]RawShipmentData!B276))+1,2)),VALUE(LEFT(TRIM([1]RawShipmentData!B276),FIND("/",TRIM([1]RawShipmentData!B276))-1))),DATEVALUE(TRIM([1]RawShipmentData!B276)))</f>
        <v>45437</v>
      </c>
      <c r="C275" s="2" t="str">
        <f>PROPER(TRIM([1]RawShipmentData!C276))</f>
        <v>Chennai</v>
      </c>
      <c r="D275" s="2" t="str">
        <f>IFERROR(INDEX([1]HubMaster!$B$2:$B$7,MATCH(C275,[1]HubMaster!$A$2:$A$7,0)),"Unknown")</f>
        <v>South</v>
      </c>
      <c r="E275" s="2" t="str">
        <f>PROPER(TRIM(SUBSTITUTE([1]RawShipmentData!D276,"  "," ")))</f>
        <v>Dtdc</v>
      </c>
      <c r="F275" s="2" t="str">
        <f>PROPER(TRIM([1]RawShipmentData!E276))</f>
        <v>Air</v>
      </c>
      <c r="G275" s="2" t="str">
        <f>PROPER(TRIM(SUBSTITUTE([1]RawShipmentData!F276,"  "," ")))</f>
        <v>Grocery &amp; Fmcg</v>
      </c>
      <c r="H275" s="2" t="str">
        <f>PROPER(TRIM([1]RawShipmentData!G276))</f>
        <v>South</v>
      </c>
      <c r="I275" s="2" t="str">
        <f t="shared" si="20"/>
        <v>No</v>
      </c>
      <c r="J275" s="2">
        <f>IFERROR(VALUE(TRIM(SUBSTITUTE(UPPER([1]RawShipmentData!I275),"KG",""))),"")</f>
        <v>25.2</v>
      </c>
      <c r="K275" s="2">
        <f>VALUE(SUBSTITUTE(SUBSTITUTE(SUBSTITUTE(TRIM([1]RawShipmentData!J276),"₹",""),"Rs",""),",",""))</f>
        <v>434</v>
      </c>
      <c r="L275" s="2">
        <f>[1]RawShipmentData!K276</f>
        <v>2</v>
      </c>
      <c r="M275" s="3">
        <f>IF(TRIM([1]RawShipmentData!L276)="","",IF(ISNUMBER(SEARCH("/",TRIM([1]RawShipmentData!L276))),DATE(VALUE(RIGHT(TRIM([1]RawShipmentData!L276),4)),VALUE(MID(TRIM([1]RawShipmentData!L276),FIND("/",TRIM([1]RawShipmentData!L276))+1,2)),VALUE(LEFT(TRIM([1]RawShipmentData!L276),FIND("/",TRIM([1]RawShipmentData!L276))-1))),DATEVALUE(TRIM([1]RawShipmentData!L276))))</f>
        <v>45438</v>
      </c>
      <c r="N275" s="2">
        <f t="shared" si="21"/>
        <v>1</v>
      </c>
      <c r="O275" s="2">
        <f t="shared" si="22"/>
        <v>-1</v>
      </c>
      <c r="P275" s="2" t="str">
        <f t="shared" si="23"/>
        <v>On Time</v>
      </c>
      <c r="Q275" s="2" t="str">
        <f>PROPER(SUBSTITUTE(TRIM([1]RawShipmentData!M276)," ","-"))</f>
        <v>Delivered</v>
      </c>
      <c r="R275" s="4">
        <f t="shared" si="24"/>
        <v>17.222222222222221</v>
      </c>
      <c r="S275" s="2">
        <f>[1]RawShipmentData!N276</f>
        <v>3</v>
      </c>
      <c r="T275" s="2" t="str">
        <f>IF(OR(UPPER(TRIM([1]RawShipmentData!O276))="YES",UPPER(TRIM([1]RawShipmentData!O276))="Y"),"Yes","No")</f>
        <v>No</v>
      </c>
    </row>
    <row r="276" spans="1:20" x14ac:dyDescent="0.25">
      <c r="A276" s="2" t="str">
        <f>[1]RawShipmentData!A277</f>
        <v>SHP-100337</v>
      </c>
      <c r="B276" s="3">
        <f>IF(ISNUMBER(SEARCH("/",TRIM([1]RawShipmentData!B277))),DATE(VALUE(RIGHT(TRIM([1]RawShipmentData!B277),4)),VALUE(MID(TRIM([1]RawShipmentData!B277),FIND("/",TRIM([1]RawShipmentData!B277))+1,2)),VALUE(LEFT(TRIM([1]RawShipmentData!B277),FIND("/",TRIM([1]RawShipmentData!B277))-1))),DATEVALUE(TRIM([1]RawShipmentData!B277)))</f>
        <v>45303</v>
      </c>
      <c r="C276" s="2" t="str">
        <f>PROPER(TRIM([1]RawShipmentData!C277))</f>
        <v>Mumbai</v>
      </c>
      <c r="D276" s="2" t="str">
        <f>IFERROR(INDEX([1]HubMaster!$B$2:$B$7,MATCH(C276,[1]HubMaster!$A$2:$A$7,0)),"Unknown")</f>
        <v>West</v>
      </c>
      <c r="E276" s="2" t="str">
        <f>PROPER(TRIM(SUBSTITUTE([1]RawShipmentData!D277,"  "," ")))</f>
        <v>Xpressbees</v>
      </c>
      <c r="F276" s="2" t="str">
        <f>PROPER(TRIM([1]RawShipmentData!E277))</f>
        <v>Air</v>
      </c>
      <c r="G276" s="2" t="str">
        <f>PROPER(TRIM(SUBSTITUTE([1]RawShipmentData!F277,"  "," ")))</f>
        <v>Electronics</v>
      </c>
      <c r="H276" s="2" t="str">
        <f>PROPER(TRIM([1]RawShipmentData!G277))</f>
        <v>East</v>
      </c>
      <c r="I276" s="2" t="str">
        <f t="shared" si="20"/>
        <v>Yes</v>
      </c>
      <c r="J276" s="2">
        <f>IFERROR(VALUE(TRIM(SUBSTITUTE(UPPER([1]RawShipmentData!I276),"KG",""))),"")</f>
        <v>8.4</v>
      </c>
      <c r="K276" s="2">
        <f>VALUE(SUBSTITUTE(SUBSTITUTE(SUBSTITUTE(TRIM([1]RawShipmentData!J277),"₹",""),"Rs",""),",",""))</f>
        <v>619</v>
      </c>
      <c r="L276" s="2">
        <f>[1]RawShipmentData!K277</f>
        <v>4</v>
      </c>
      <c r="M276" s="3">
        <f>IF(TRIM([1]RawShipmentData!L277)="","",IF(ISNUMBER(SEARCH("/",TRIM([1]RawShipmentData!L277))),DATE(VALUE(RIGHT(TRIM([1]RawShipmentData!L277),4)),VALUE(MID(TRIM([1]RawShipmentData!L277),FIND("/",TRIM([1]RawShipmentData!L277))+1,2)),VALUE(LEFT(TRIM([1]RawShipmentData!L277),FIND("/",TRIM([1]RawShipmentData!L277))-1))),DATEVALUE(TRIM([1]RawShipmentData!L277))))</f>
        <v>45306</v>
      </c>
      <c r="N276" s="2">
        <f t="shared" si="21"/>
        <v>3</v>
      </c>
      <c r="O276" s="2">
        <f t="shared" si="22"/>
        <v>-1</v>
      </c>
      <c r="P276" s="2" t="str">
        <f t="shared" si="23"/>
        <v>On Time</v>
      </c>
      <c r="Q276" s="2" t="str">
        <f>PROPER(SUBSTITUTE(TRIM([1]RawShipmentData!M277)," ","-"))</f>
        <v>Delivered</v>
      </c>
      <c r="R276" s="4">
        <f t="shared" si="24"/>
        <v>73.69047619047619</v>
      </c>
      <c r="S276" s="2">
        <f>[1]RawShipmentData!N277</f>
        <v>4</v>
      </c>
      <c r="T276" s="2" t="str">
        <f>IF(OR(UPPER(TRIM([1]RawShipmentData!O277))="YES",UPPER(TRIM([1]RawShipmentData!O277))="Y"),"Yes","No")</f>
        <v>No</v>
      </c>
    </row>
    <row r="277" spans="1:20" x14ac:dyDescent="0.25">
      <c r="A277" s="2" t="str">
        <f>[1]RawShipmentData!A278</f>
        <v>SHP-100875</v>
      </c>
      <c r="B277" s="3">
        <f>IF(ISNUMBER(SEARCH("/",TRIM([1]RawShipmentData!B278))),DATE(VALUE(RIGHT(TRIM([1]RawShipmentData!B278),4)),VALUE(MID(TRIM([1]RawShipmentData!B278),FIND("/",TRIM([1]RawShipmentData!B278))+1,2)),VALUE(LEFT(TRIM([1]RawShipmentData!B278),FIND("/",TRIM([1]RawShipmentData!B278))-1))),DATEVALUE(TRIM([1]RawShipmentData!B278)))</f>
        <v>45307</v>
      </c>
      <c r="C277" s="2" t="str">
        <f>PROPER(TRIM([1]RawShipmentData!C278))</f>
        <v>Delhi</v>
      </c>
      <c r="D277" s="2" t="str">
        <f>IFERROR(INDEX([1]HubMaster!$B$2:$B$7,MATCH(C277,[1]HubMaster!$A$2:$A$7,0)),"Unknown")</f>
        <v>North</v>
      </c>
      <c r="E277" s="2" t="str">
        <f>PROPER(TRIM(SUBSTITUTE([1]RawShipmentData!D278,"  "," ")))</f>
        <v>Ecom Express</v>
      </c>
      <c r="F277" s="2" t="str">
        <f>PROPER(TRIM([1]RawShipmentData!E278))</f>
        <v>Surface</v>
      </c>
      <c r="G277" s="2" t="str">
        <f>PROPER(TRIM(SUBSTITUTE([1]RawShipmentData!F278,"  "," ")))</f>
        <v>Furniture</v>
      </c>
      <c r="H277" s="2" t="str">
        <f>PROPER(TRIM([1]RawShipmentData!G278))</f>
        <v>South</v>
      </c>
      <c r="I277" s="2" t="str">
        <f t="shared" si="20"/>
        <v>Yes</v>
      </c>
      <c r="J277" s="2">
        <f>IFERROR(VALUE(TRIM(SUBSTITUTE(UPPER([1]RawShipmentData!I277),"KG",""))),"")</f>
        <v>9.6999999999999993</v>
      </c>
      <c r="K277" s="2">
        <f>VALUE(SUBSTITUTE(SUBSTITUTE(SUBSTITUTE(TRIM([1]RawShipmentData!J278),"₹",""),"Rs",""),",",""))</f>
        <v>1091</v>
      </c>
      <c r="L277" s="2">
        <f>[1]RawShipmentData!K278</f>
        <v>6</v>
      </c>
      <c r="M277" s="3">
        <f>IF(TRIM([1]RawShipmentData!L278)="","",IF(ISNUMBER(SEARCH("/",TRIM([1]RawShipmentData!L278))),DATE(VALUE(RIGHT(TRIM([1]RawShipmentData!L278),4)),VALUE(MID(TRIM([1]RawShipmentData!L278),FIND("/",TRIM([1]RawShipmentData!L278))+1,2)),VALUE(LEFT(TRIM([1]RawShipmentData!L278),FIND("/",TRIM([1]RawShipmentData!L278))-1))),DATEVALUE(TRIM([1]RawShipmentData!L278))))</f>
        <v>45315</v>
      </c>
      <c r="N277" s="2">
        <f t="shared" si="21"/>
        <v>8</v>
      </c>
      <c r="O277" s="2">
        <f t="shared" si="22"/>
        <v>2</v>
      </c>
      <c r="P277" s="2" t="str">
        <f t="shared" si="23"/>
        <v>Late</v>
      </c>
      <c r="Q277" s="2" t="str">
        <f>PROPER(SUBSTITUTE(TRIM([1]RawShipmentData!M278)," ","-"))</f>
        <v>Delayed</v>
      </c>
      <c r="R277" s="4">
        <f t="shared" si="24"/>
        <v>112.47422680412372</v>
      </c>
      <c r="S277" s="2">
        <f>[1]RawShipmentData!N278</f>
        <v>5</v>
      </c>
      <c r="T277" s="2" t="str">
        <f>IF(OR(UPPER(TRIM([1]RawShipmentData!O278))="YES",UPPER(TRIM([1]RawShipmentData!O278))="Y"),"Yes","No")</f>
        <v>No</v>
      </c>
    </row>
    <row r="278" spans="1:20" x14ac:dyDescent="0.25">
      <c r="A278" s="2" t="str">
        <f>[1]RawShipmentData!A279</f>
        <v>SHP-100787</v>
      </c>
      <c r="B278" s="3">
        <f>IF(ISNUMBER(SEARCH("/",TRIM([1]RawShipmentData!B279))),DATE(VALUE(RIGHT(TRIM([1]RawShipmentData!B279),4)),VALUE(MID(TRIM([1]RawShipmentData!B279),FIND("/",TRIM([1]RawShipmentData!B279))+1,2)),VALUE(LEFT(TRIM([1]RawShipmentData!B279),FIND("/",TRIM([1]RawShipmentData!B279))-1))),DATEVALUE(TRIM([1]RawShipmentData!B279)))</f>
        <v>45458</v>
      </c>
      <c r="C278" s="2" t="str">
        <f>PROPER(TRIM([1]RawShipmentData!C279))</f>
        <v>Bengaluru</v>
      </c>
      <c r="D278" s="2" t="str">
        <f>IFERROR(INDEX([1]HubMaster!$B$2:$B$7,MATCH(C278,[1]HubMaster!$A$2:$A$7,0)),"Unknown")</f>
        <v>South</v>
      </c>
      <c r="E278" s="2" t="str">
        <f>PROPER(TRIM(SUBSTITUTE([1]RawShipmentData!D279,"  "," ")))</f>
        <v>Delhivery</v>
      </c>
      <c r="F278" s="2" t="str">
        <f>PROPER(TRIM([1]RawShipmentData!E279))</f>
        <v>Surface</v>
      </c>
      <c r="G278" s="2" t="str">
        <f>PROPER(TRIM(SUBSTITUTE([1]RawShipmentData!F279,"  "," ")))</f>
        <v>Apparel</v>
      </c>
      <c r="H278" s="2" t="str">
        <f>PROPER(TRIM([1]RawShipmentData!G279))</f>
        <v>North</v>
      </c>
      <c r="I278" s="2" t="str">
        <f t="shared" si="20"/>
        <v>Yes</v>
      </c>
      <c r="J278" s="2">
        <f>IFERROR(VALUE(TRIM(SUBSTITUTE(UPPER([1]RawShipmentData!I278),"KG",""))),"")</f>
        <v>43.6</v>
      </c>
      <c r="K278" s="2">
        <f>VALUE(SUBSTITUTE(SUBSTITUTE(SUBSTITUTE(TRIM([1]RawShipmentData!J279),"₹",""),"Rs",""),",",""))</f>
        <v>316</v>
      </c>
      <c r="L278" s="2">
        <f>[1]RawShipmentData!K279</f>
        <v>6</v>
      </c>
      <c r="M278" s="3">
        <f>IF(TRIM([1]RawShipmentData!L279)="","",IF(ISNUMBER(SEARCH("/",TRIM([1]RawShipmentData!L279))),DATE(VALUE(RIGHT(TRIM([1]RawShipmentData!L279),4)),VALUE(MID(TRIM([1]RawShipmentData!L279),FIND("/",TRIM([1]RawShipmentData!L279))+1,2)),VALUE(LEFT(TRIM([1]RawShipmentData!L279),FIND("/",TRIM([1]RawShipmentData!L279))-1))),DATEVALUE(TRIM([1]RawShipmentData!L279))))</f>
        <v>45463</v>
      </c>
      <c r="N278" s="2">
        <f t="shared" si="21"/>
        <v>5</v>
      </c>
      <c r="O278" s="2">
        <f t="shared" si="22"/>
        <v>-1</v>
      </c>
      <c r="P278" s="2" t="str">
        <f t="shared" si="23"/>
        <v>On Time</v>
      </c>
      <c r="Q278" s="2" t="str">
        <f>PROPER(SUBSTITUTE(TRIM([1]RawShipmentData!M279)," ","-"))</f>
        <v>Delivered</v>
      </c>
      <c r="R278" s="4">
        <f t="shared" si="24"/>
        <v>7.2477064220183482</v>
      </c>
      <c r="S278" s="2">
        <f>[1]RawShipmentData!N279</f>
        <v>5</v>
      </c>
      <c r="T278" s="2" t="str">
        <f>IF(OR(UPPER(TRIM([1]RawShipmentData!O279))="YES",UPPER(TRIM([1]RawShipmentData!O279))="Y"),"Yes","No")</f>
        <v>No</v>
      </c>
    </row>
    <row r="279" spans="1:20" x14ac:dyDescent="0.25">
      <c r="A279" s="2" t="str">
        <f>[1]RawShipmentData!A280</f>
        <v>SHP-101435</v>
      </c>
      <c r="B279" s="3">
        <f>IF(ISNUMBER(SEARCH("/",TRIM([1]RawShipmentData!B280))),DATE(VALUE(RIGHT(TRIM([1]RawShipmentData!B280),4)),VALUE(MID(TRIM([1]RawShipmentData!B280),FIND("/",TRIM([1]RawShipmentData!B280))+1,2)),VALUE(LEFT(TRIM([1]RawShipmentData!B280),FIND("/",TRIM([1]RawShipmentData!B280))-1))),DATEVALUE(TRIM([1]RawShipmentData!B280)))</f>
        <v>45318</v>
      </c>
      <c r="C279" s="2" t="str">
        <f>PROPER(TRIM([1]RawShipmentData!C280))</f>
        <v>Hyderabad</v>
      </c>
      <c r="D279" s="2" t="str">
        <f>IFERROR(INDEX([1]HubMaster!$B$2:$B$7,MATCH(C279,[1]HubMaster!$A$2:$A$7,0)),"Unknown")</f>
        <v>West</v>
      </c>
      <c r="E279" s="2" t="str">
        <f>PROPER(TRIM(SUBSTITUTE([1]RawShipmentData!D280,"  "," ")))</f>
        <v>Delhivery</v>
      </c>
      <c r="F279" s="2" t="str">
        <f>PROPER(TRIM([1]RawShipmentData!E280))</f>
        <v>Surface</v>
      </c>
      <c r="G279" s="2" t="str">
        <f>PROPER(TRIM(SUBSTITUTE([1]RawShipmentData!F280,"  "," ")))</f>
        <v>Electronics</v>
      </c>
      <c r="H279" s="2" t="str">
        <f>PROPER(TRIM([1]RawShipmentData!G280))</f>
        <v>East</v>
      </c>
      <c r="I279" s="2" t="str">
        <f t="shared" si="20"/>
        <v>Yes</v>
      </c>
      <c r="J279" s="2">
        <f>IFERROR(VALUE(TRIM(SUBSTITUTE(UPPER([1]RawShipmentData!I279),"KG",""))),"")</f>
        <v>6.4</v>
      </c>
      <c r="K279" s="2">
        <f>VALUE(SUBSTITUTE(SUBSTITUTE(SUBSTITUTE(TRIM([1]RawShipmentData!J280),"₹",""),"Rs",""),",",""))</f>
        <v>440</v>
      </c>
      <c r="L279" s="2">
        <f>[1]RawShipmentData!K280</f>
        <v>6</v>
      </c>
      <c r="M279" s="3">
        <f>IF(TRIM([1]RawShipmentData!L280)="","",IF(ISNUMBER(SEARCH("/",TRIM([1]RawShipmentData!L280))),DATE(VALUE(RIGHT(TRIM([1]RawShipmentData!L280),4)),VALUE(MID(TRIM([1]RawShipmentData!L280),FIND("/",TRIM([1]RawShipmentData!L280))+1,2)),VALUE(LEFT(TRIM([1]RawShipmentData!L280),FIND("/",TRIM([1]RawShipmentData!L280))-1))),DATEVALUE(TRIM([1]RawShipmentData!L280))))</f>
        <v>45324</v>
      </c>
      <c r="N279" s="2">
        <f t="shared" si="21"/>
        <v>6</v>
      </c>
      <c r="O279" s="2">
        <f t="shared" si="22"/>
        <v>0</v>
      </c>
      <c r="P279" s="2" t="str">
        <f t="shared" si="23"/>
        <v>On Time</v>
      </c>
      <c r="Q279" s="2" t="str">
        <f>PROPER(SUBSTITUTE(TRIM([1]RawShipmentData!M280)," ","-"))</f>
        <v>Delivered</v>
      </c>
      <c r="R279" s="4">
        <f t="shared" si="24"/>
        <v>68.75</v>
      </c>
      <c r="S279" s="2">
        <f>[1]RawShipmentData!N280</f>
        <v>5</v>
      </c>
      <c r="T279" s="2" t="str">
        <f>IF(OR(UPPER(TRIM([1]RawShipmentData!O280))="YES",UPPER(TRIM([1]RawShipmentData!O280))="Y"),"Yes","No")</f>
        <v>No</v>
      </c>
    </row>
    <row r="280" spans="1:20" x14ac:dyDescent="0.25">
      <c r="A280" s="2" t="str">
        <f>[1]RawShipmentData!A281</f>
        <v>SHP-100768</v>
      </c>
      <c r="B280" s="3">
        <f>IF(ISNUMBER(SEARCH("/",TRIM([1]RawShipmentData!B281))),DATE(VALUE(RIGHT(TRIM([1]RawShipmentData!B281),4)),VALUE(MID(TRIM([1]RawShipmentData!B281),FIND("/",TRIM([1]RawShipmentData!B281))+1,2)),VALUE(LEFT(TRIM([1]RawShipmentData!B281),FIND("/",TRIM([1]RawShipmentData!B281))-1))),DATEVALUE(TRIM([1]RawShipmentData!B281)))</f>
        <v>45428</v>
      </c>
      <c r="C280" s="2" t="str">
        <f>PROPER(TRIM([1]RawShipmentData!C281))</f>
        <v>Chennai</v>
      </c>
      <c r="D280" s="2" t="str">
        <f>IFERROR(INDEX([1]HubMaster!$B$2:$B$7,MATCH(C280,[1]HubMaster!$A$2:$A$7,0)),"Unknown")</f>
        <v>South</v>
      </c>
      <c r="E280" s="2" t="str">
        <f>PROPER(TRIM(SUBSTITUTE([1]RawShipmentData!D281,"  "," ")))</f>
        <v>Bluedart</v>
      </c>
      <c r="F280" s="2" t="str">
        <f>PROPER(TRIM([1]RawShipmentData!E281))</f>
        <v>Road</v>
      </c>
      <c r="G280" s="2" t="str">
        <f>PROPER(TRIM(SUBSTITUTE([1]RawShipmentData!F281,"  "," ")))</f>
        <v>Electronics</v>
      </c>
      <c r="H280" s="2" t="str">
        <f>PROPER(TRIM([1]RawShipmentData!G281))</f>
        <v>West</v>
      </c>
      <c r="I280" s="2" t="str">
        <f t="shared" si="20"/>
        <v>Yes</v>
      </c>
      <c r="J280" s="2">
        <f>IFERROR(VALUE(TRIM(SUBSTITUTE(UPPER([1]RawShipmentData!I280),"KG",""))),"")</f>
        <v>11.8</v>
      </c>
      <c r="K280" s="2">
        <f>VALUE(SUBSTITUTE(SUBSTITUTE(SUBSTITUTE(TRIM([1]RawShipmentData!J281),"₹",""),"Rs",""),",",""))</f>
        <v>250</v>
      </c>
      <c r="L280" s="2">
        <f>[1]RawShipmentData!K281</f>
        <v>8</v>
      </c>
      <c r="M280" s="3">
        <f>IF(TRIM([1]RawShipmentData!L281)="","",IF(ISNUMBER(SEARCH("/",TRIM([1]RawShipmentData!L281))),DATE(VALUE(RIGHT(TRIM([1]RawShipmentData!L281),4)),VALUE(MID(TRIM([1]RawShipmentData!L281),FIND("/",TRIM([1]RawShipmentData!L281))+1,2)),VALUE(LEFT(TRIM([1]RawShipmentData!L281),FIND("/",TRIM([1]RawShipmentData!L281))-1))),DATEVALUE(TRIM([1]RawShipmentData!L281))))</f>
        <v>45437</v>
      </c>
      <c r="N280" s="2">
        <f t="shared" si="21"/>
        <v>9</v>
      </c>
      <c r="O280" s="2">
        <f t="shared" si="22"/>
        <v>1</v>
      </c>
      <c r="P280" s="2" t="str">
        <f t="shared" si="23"/>
        <v>Late</v>
      </c>
      <c r="Q280" s="2" t="str">
        <f>PROPER(SUBSTITUTE(TRIM([1]RawShipmentData!M281)," ","-"))</f>
        <v>Delayed</v>
      </c>
      <c r="R280" s="4">
        <f t="shared" si="24"/>
        <v>21.1864406779661</v>
      </c>
      <c r="S280" s="2">
        <f>[1]RawShipmentData!N281</f>
        <v>2</v>
      </c>
      <c r="T280" s="2" t="str">
        <f>IF(OR(UPPER(TRIM([1]RawShipmentData!O281))="YES",UPPER(TRIM([1]RawShipmentData!O281))="Y"),"Yes","No")</f>
        <v>No</v>
      </c>
    </row>
    <row r="281" spans="1:20" x14ac:dyDescent="0.25">
      <c r="A281" s="2" t="str">
        <f>[1]RawShipmentData!A282</f>
        <v>SHP-100274</v>
      </c>
      <c r="B281" s="3">
        <f>IF(ISNUMBER(SEARCH("/",TRIM([1]RawShipmentData!B282))),DATE(VALUE(RIGHT(TRIM([1]RawShipmentData!B282),4)),VALUE(MID(TRIM([1]RawShipmentData!B282),FIND("/",TRIM([1]RawShipmentData!B282))+1,2)),VALUE(LEFT(TRIM([1]RawShipmentData!B282),FIND("/",TRIM([1]RawShipmentData!B282))-1))),DATEVALUE(TRIM([1]RawShipmentData!B282)))</f>
        <v>45310</v>
      </c>
      <c r="C281" s="2" t="str">
        <f>PROPER(TRIM([1]RawShipmentData!C282))</f>
        <v>Mumbai</v>
      </c>
      <c r="D281" s="2" t="str">
        <f>IFERROR(INDEX([1]HubMaster!$B$2:$B$7,MATCH(C281,[1]HubMaster!$A$2:$A$7,0)),"Unknown")</f>
        <v>West</v>
      </c>
      <c r="E281" s="2" t="str">
        <f>PROPER(TRIM(SUBSTITUTE([1]RawShipmentData!D282,"  "," ")))</f>
        <v>Xpress Bees</v>
      </c>
      <c r="F281" s="2" t="str">
        <f>PROPER(TRIM([1]RawShipmentData!E282))</f>
        <v>Road</v>
      </c>
      <c r="G281" s="2" t="str">
        <f>PROPER(TRIM(SUBSTITUTE([1]RawShipmentData!F282,"  "," ")))</f>
        <v>Apparel</v>
      </c>
      <c r="H281" s="2" t="str">
        <f>PROPER(TRIM([1]RawShipmentData!G282))</f>
        <v>South</v>
      </c>
      <c r="I281" s="2" t="str">
        <f t="shared" si="20"/>
        <v>Yes</v>
      </c>
      <c r="J281" s="2">
        <f>IFERROR(VALUE(TRIM(SUBSTITUTE(UPPER([1]RawShipmentData!I281),"KG",""))),"")</f>
        <v>3.2</v>
      </c>
      <c r="K281" s="2">
        <f>VALUE(SUBSTITUTE(SUBSTITUTE(SUBSTITUTE(TRIM([1]RawShipmentData!J282),"₹",""),"Rs",""),",",""))</f>
        <v>223</v>
      </c>
      <c r="L281" s="2">
        <f>[1]RawShipmentData!K282</f>
        <v>8</v>
      </c>
      <c r="M281" s="3">
        <f>IF(TRIM([1]RawShipmentData!L282)="","",IF(ISNUMBER(SEARCH("/",TRIM([1]RawShipmentData!L282))),DATE(VALUE(RIGHT(TRIM([1]RawShipmentData!L282),4)),VALUE(MID(TRIM([1]RawShipmentData!L282),FIND("/",TRIM([1]RawShipmentData!L282))+1,2)),VALUE(LEFT(TRIM([1]RawShipmentData!L282),FIND("/",TRIM([1]RawShipmentData!L282))-1))),DATEVALUE(TRIM([1]RawShipmentData!L282))))</f>
        <v>45318</v>
      </c>
      <c r="N281" s="2">
        <f t="shared" si="21"/>
        <v>8</v>
      </c>
      <c r="O281" s="2">
        <f t="shared" si="22"/>
        <v>0</v>
      </c>
      <c r="P281" s="2" t="str">
        <f t="shared" si="23"/>
        <v>On Time</v>
      </c>
      <c r="Q281" s="2" t="str">
        <f>PROPER(SUBSTITUTE(TRIM([1]RawShipmentData!M282)," ","-"))</f>
        <v>Delivered</v>
      </c>
      <c r="R281" s="4">
        <f t="shared" si="24"/>
        <v>69.6875</v>
      </c>
      <c r="S281" s="2">
        <f>[1]RawShipmentData!N282</f>
        <v>5</v>
      </c>
      <c r="T281" s="2" t="str">
        <f>IF(OR(UPPER(TRIM([1]RawShipmentData!O282))="YES",UPPER(TRIM([1]RawShipmentData!O282))="Y"),"Yes","No")</f>
        <v>No</v>
      </c>
    </row>
    <row r="282" spans="1:20" x14ac:dyDescent="0.25">
      <c r="A282" s="2" t="str">
        <f>[1]RawShipmentData!A283</f>
        <v>SHP-100004</v>
      </c>
      <c r="B282" s="3">
        <f>IF(ISNUMBER(SEARCH("/",TRIM([1]RawShipmentData!B283))),DATE(VALUE(RIGHT(TRIM([1]RawShipmentData!B283),4)),VALUE(MID(TRIM([1]RawShipmentData!B283),FIND("/",TRIM([1]RawShipmentData!B283))+1,2)),VALUE(LEFT(TRIM([1]RawShipmentData!B283),FIND("/",TRIM([1]RawShipmentData!B283))-1))),DATEVALUE(TRIM([1]RawShipmentData!B283)))</f>
        <v>45368</v>
      </c>
      <c r="C282" s="2" t="str">
        <f>PROPER(TRIM([1]RawShipmentData!C283))</f>
        <v>Delhi</v>
      </c>
      <c r="D282" s="2" t="str">
        <f>IFERROR(INDEX([1]HubMaster!$B$2:$B$7,MATCH(C282,[1]HubMaster!$A$2:$A$7,0)),"Unknown")</f>
        <v>North</v>
      </c>
      <c r="E282" s="2" t="str">
        <f>PROPER(TRIM(SUBSTITUTE([1]RawShipmentData!D283,"  "," ")))</f>
        <v>Xpressbees</v>
      </c>
      <c r="F282" s="2" t="str">
        <f>PROPER(TRIM([1]RawShipmentData!E283))</f>
        <v>Surface</v>
      </c>
      <c r="G282" s="2" t="str">
        <f>PROPER(TRIM(SUBSTITUTE([1]RawShipmentData!F283,"  "," ")))</f>
        <v>Grocery &amp; Fmcg</v>
      </c>
      <c r="H282" s="2" t="str">
        <f>PROPER(TRIM([1]RawShipmentData!G283))</f>
        <v>South</v>
      </c>
      <c r="I282" s="2" t="str">
        <f t="shared" si="20"/>
        <v>Yes</v>
      </c>
      <c r="J282" s="2">
        <f>IFERROR(VALUE(TRIM(SUBSTITUTE(UPPER([1]RawShipmentData!I282),"KG",""))),"")</f>
        <v>5.4</v>
      </c>
      <c r="K282" s="2">
        <f>VALUE(SUBSTITUTE(SUBSTITUTE(SUBSTITUTE(TRIM([1]RawShipmentData!J283),"₹",""),"Rs",""),",",""))</f>
        <v>215</v>
      </c>
      <c r="L282" s="2">
        <f>[1]RawShipmentData!K283</f>
        <v>6</v>
      </c>
      <c r="M282" s="3">
        <f>IF(TRIM([1]RawShipmentData!L283)="","",IF(ISNUMBER(SEARCH("/",TRIM([1]RawShipmentData!L283))),DATE(VALUE(RIGHT(TRIM([1]RawShipmentData!L283),4)),VALUE(MID(TRIM([1]RawShipmentData!L283),FIND("/",TRIM([1]RawShipmentData!L283))+1,2)),VALUE(LEFT(TRIM([1]RawShipmentData!L283),FIND("/",TRIM([1]RawShipmentData!L283))-1))),DATEVALUE(TRIM([1]RawShipmentData!L283))))</f>
        <v>45375</v>
      </c>
      <c r="N282" s="2">
        <f t="shared" si="21"/>
        <v>7</v>
      </c>
      <c r="O282" s="2">
        <f t="shared" si="22"/>
        <v>1</v>
      </c>
      <c r="P282" s="2" t="str">
        <f t="shared" si="23"/>
        <v>Late</v>
      </c>
      <c r="Q282" s="2" t="str">
        <f>PROPER(SUBSTITUTE(TRIM([1]RawShipmentData!M283)," ","-"))</f>
        <v>Delayed</v>
      </c>
      <c r="R282" s="4">
        <f t="shared" si="24"/>
        <v>39.81481481481481</v>
      </c>
      <c r="S282" s="2">
        <f>[1]RawShipmentData!N283</f>
        <v>2</v>
      </c>
      <c r="T282" s="2" t="str">
        <f>IF(OR(UPPER(TRIM([1]RawShipmentData!O283))="YES",UPPER(TRIM([1]RawShipmentData!O283))="Y"),"Yes","No")</f>
        <v>No</v>
      </c>
    </row>
    <row r="283" spans="1:20" x14ac:dyDescent="0.25">
      <c r="A283" s="2" t="str">
        <f>[1]RawShipmentData!A284</f>
        <v>SHP-100393</v>
      </c>
      <c r="B283" s="3">
        <f>IF(ISNUMBER(SEARCH("/",TRIM([1]RawShipmentData!B284))),DATE(VALUE(RIGHT(TRIM([1]RawShipmentData!B284),4)),VALUE(MID(TRIM([1]RawShipmentData!B284),FIND("/",TRIM([1]RawShipmentData!B284))+1,2)),VALUE(LEFT(TRIM([1]RawShipmentData!B284),FIND("/",TRIM([1]RawShipmentData!B284))-1))),DATEVALUE(TRIM([1]RawShipmentData!B284)))</f>
        <v>45460</v>
      </c>
      <c r="C283" s="2" t="str">
        <f>PROPER(TRIM([1]RawShipmentData!C284))</f>
        <v>Delhi</v>
      </c>
      <c r="D283" s="2" t="str">
        <f>IFERROR(INDEX([1]HubMaster!$B$2:$B$7,MATCH(C283,[1]HubMaster!$A$2:$A$7,0)),"Unknown")</f>
        <v>North</v>
      </c>
      <c r="E283" s="2" t="str">
        <f>PROPER(TRIM(SUBSTITUTE([1]RawShipmentData!D284,"  "," ")))</f>
        <v>Dtdc</v>
      </c>
      <c r="F283" s="2" t="str">
        <f>PROPER(TRIM([1]RawShipmentData!E284))</f>
        <v>Air</v>
      </c>
      <c r="G283" s="2" t="str">
        <f>PROPER(TRIM(SUBSTITUTE([1]RawShipmentData!F284,"  "," ")))</f>
        <v>Furniture</v>
      </c>
      <c r="H283" s="2" t="str">
        <f>PROPER(TRIM([1]RawShipmentData!G284))</f>
        <v>North</v>
      </c>
      <c r="I283" s="2" t="str">
        <f t="shared" si="20"/>
        <v>No</v>
      </c>
      <c r="J283" s="2">
        <f>IFERROR(VALUE(TRIM(SUBSTITUTE(UPPER([1]RawShipmentData!I283),"KG",""))),"")</f>
        <v>2.4</v>
      </c>
      <c r="K283" s="2">
        <f>VALUE(SUBSTITUTE(SUBSTITUTE(SUBSTITUTE(TRIM([1]RawShipmentData!J284),"₹",""),"Rs",""),",",""))</f>
        <v>3437</v>
      </c>
      <c r="L283" s="2">
        <f>[1]RawShipmentData!K284</f>
        <v>2</v>
      </c>
      <c r="M283" s="3">
        <f>IF(TRIM([1]RawShipmentData!L284)="","",IF(ISNUMBER(SEARCH("/",TRIM([1]RawShipmentData!L284))),DATE(VALUE(RIGHT(TRIM([1]RawShipmentData!L284),4)),VALUE(MID(TRIM([1]RawShipmentData!L284),FIND("/",TRIM([1]RawShipmentData!L284))+1,2)),VALUE(LEFT(TRIM([1]RawShipmentData!L284),FIND("/",TRIM([1]RawShipmentData!L284))-1))),DATEVALUE(TRIM([1]RawShipmentData!L284))))</f>
        <v>45469</v>
      </c>
      <c r="N283" s="2">
        <f t="shared" si="21"/>
        <v>9</v>
      </c>
      <c r="O283" s="2">
        <f t="shared" si="22"/>
        <v>7</v>
      </c>
      <c r="P283" s="2" t="str">
        <f t="shared" si="23"/>
        <v>Late</v>
      </c>
      <c r="Q283" s="2" t="str">
        <f>PROPER(SUBSTITUTE(TRIM([1]RawShipmentData!M284)," ","-"))</f>
        <v>Damaged</v>
      </c>
      <c r="R283" s="4">
        <f t="shared" si="24"/>
        <v>1432.0833333333335</v>
      </c>
      <c r="S283" s="2">
        <f>[1]RawShipmentData!N284</f>
        <v>0</v>
      </c>
      <c r="T283" s="2" t="str">
        <f>IF(OR(UPPER(TRIM([1]RawShipmentData!O284))="YES",UPPER(TRIM([1]RawShipmentData!O284))="Y"),"Yes","No")</f>
        <v>Yes</v>
      </c>
    </row>
    <row r="284" spans="1:20" x14ac:dyDescent="0.25">
      <c r="A284" s="2" t="str">
        <f>[1]RawShipmentData!A285</f>
        <v>SHP-100530</v>
      </c>
      <c r="B284" s="3">
        <f>IF(ISNUMBER(SEARCH("/",TRIM([1]RawShipmentData!B285))),DATE(VALUE(RIGHT(TRIM([1]RawShipmentData!B285),4)),VALUE(MID(TRIM([1]RawShipmentData!B285),FIND("/",TRIM([1]RawShipmentData!B285))+1,2)),VALUE(LEFT(TRIM([1]RawShipmentData!B285),FIND("/",TRIM([1]RawShipmentData!B285))-1))),DATEVALUE(TRIM([1]RawShipmentData!B285)))</f>
        <v>45400</v>
      </c>
      <c r="C284" s="2" t="str">
        <f>PROPER(TRIM([1]RawShipmentData!C285))</f>
        <v>Bengaluru</v>
      </c>
      <c r="D284" s="2" t="str">
        <f>IFERROR(INDEX([1]HubMaster!$B$2:$B$7,MATCH(C284,[1]HubMaster!$A$2:$A$7,0)),"Unknown")</f>
        <v>South</v>
      </c>
      <c r="E284" s="2" t="str">
        <f>PROPER(TRIM(SUBSTITUTE([1]RawShipmentData!D285,"  "," ")))</f>
        <v>Xpress Bees</v>
      </c>
      <c r="F284" s="2" t="str">
        <f>PROPER(TRIM([1]RawShipmentData!E285))</f>
        <v>Air</v>
      </c>
      <c r="G284" s="2" t="str">
        <f>PROPER(TRIM(SUBSTITUTE([1]RawShipmentData!F285,"  "," ")))</f>
        <v>Furniture</v>
      </c>
      <c r="H284" s="2" t="str">
        <f>PROPER(TRIM([1]RawShipmentData!G285))</f>
        <v>West</v>
      </c>
      <c r="I284" s="2" t="str">
        <f t="shared" si="20"/>
        <v>Yes</v>
      </c>
      <c r="J284" s="2">
        <f>IFERROR(VALUE(TRIM(SUBSTITUTE(UPPER([1]RawShipmentData!I284),"KG",""))),"")</f>
        <v>76.5</v>
      </c>
      <c r="K284" s="2">
        <f>VALUE(SUBSTITUTE(SUBSTITUTE(SUBSTITUTE(TRIM([1]RawShipmentData!J285),"₹",""),"Rs",""),",",""))</f>
        <v>2804</v>
      </c>
      <c r="L284" s="2">
        <f>[1]RawShipmentData!K285</f>
        <v>4</v>
      </c>
      <c r="M284" s="3">
        <f>IF(TRIM([1]RawShipmentData!L285)="","",IF(ISNUMBER(SEARCH("/",TRIM([1]RawShipmentData!L285))),DATE(VALUE(RIGHT(TRIM([1]RawShipmentData!L285),4)),VALUE(MID(TRIM([1]RawShipmentData!L285),FIND("/",TRIM([1]RawShipmentData!L285))+1,2)),VALUE(LEFT(TRIM([1]RawShipmentData!L285),FIND("/",TRIM([1]RawShipmentData!L285))-1))),DATEVALUE(TRIM([1]RawShipmentData!L285))))</f>
        <v>45405</v>
      </c>
      <c r="N284" s="2">
        <f t="shared" si="21"/>
        <v>5</v>
      </c>
      <c r="O284" s="2">
        <f t="shared" si="22"/>
        <v>1</v>
      </c>
      <c r="P284" s="2" t="str">
        <f t="shared" si="23"/>
        <v>Late</v>
      </c>
      <c r="Q284" s="2" t="str">
        <f>PROPER(SUBSTITUTE(TRIM([1]RawShipmentData!M285)," ","-"))</f>
        <v>Delayed</v>
      </c>
      <c r="R284" s="4">
        <f t="shared" si="24"/>
        <v>36.653594771241828</v>
      </c>
      <c r="S284" s="2">
        <f>[1]RawShipmentData!N285</f>
        <v>2</v>
      </c>
      <c r="T284" s="2" t="str">
        <f>IF(OR(UPPER(TRIM([1]RawShipmentData!O285))="YES",UPPER(TRIM([1]RawShipmentData!O285))="Y"),"Yes","No")</f>
        <v>Yes</v>
      </c>
    </row>
    <row r="285" spans="1:20" x14ac:dyDescent="0.25">
      <c r="A285" s="2" t="str">
        <f>[1]RawShipmentData!A286</f>
        <v>SHP-101539</v>
      </c>
      <c r="B285" s="3">
        <f>IF(ISNUMBER(SEARCH("/",TRIM([1]RawShipmentData!B286))),DATE(VALUE(RIGHT(TRIM([1]RawShipmentData!B286),4)),VALUE(MID(TRIM([1]RawShipmentData!B286),FIND("/",TRIM([1]RawShipmentData!B286))+1,2)),VALUE(LEFT(TRIM([1]RawShipmentData!B286),FIND("/",TRIM([1]RawShipmentData!B286))-1))),DATEVALUE(TRIM([1]RawShipmentData!B286)))</f>
        <v>45421</v>
      </c>
      <c r="C285" s="2" t="str">
        <f>PROPER(TRIM([1]RawShipmentData!C286))</f>
        <v>Mumbai</v>
      </c>
      <c r="D285" s="2" t="str">
        <f>IFERROR(INDEX([1]HubMaster!$B$2:$B$7,MATCH(C285,[1]HubMaster!$A$2:$A$7,0)),"Unknown")</f>
        <v>West</v>
      </c>
      <c r="E285" s="2" t="str">
        <f>PROPER(TRIM(SUBSTITUTE([1]RawShipmentData!D286,"  "," ")))</f>
        <v>Bluedart</v>
      </c>
      <c r="F285" s="2" t="str">
        <f>PROPER(TRIM([1]RawShipmentData!E286))</f>
        <v>Surface</v>
      </c>
      <c r="G285" s="2" t="str">
        <f>PROPER(TRIM(SUBSTITUTE([1]RawShipmentData!F286,"  "," ")))</f>
        <v>Furniture</v>
      </c>
      <c r="H285" s="2" t="str">
        <f>PROPER(TRIM([1]RawShipmentData!G286))</f>
        <v>South</v>
      </c>
      <c r="I285" s="2" t="str">
        <f t="shared" si="20"/>
        <v>Yes</v>
      </c>
      <c r="J285" s="2">
        <f>IFERROR(VALUE(TRIM(SUBSTITUTE(UPPER([1]RawShipmentData!I285),"KG",""))),"")</f>
        <v>59.5</v>
      </c>
      <c r="K285" s="2">
        <f>VALUE(SUBSTITUTE(SUBSTITUTE(SUBSTITUTE(TRIM([1]RawShipmentData!J286),"₹",""),"Rs",""),",",""))</f>
        <v>981</v>
      </c>
      <c r="L285" s="2">
        <f>[1]RawShipmentData!K286</f>
        <v>6</v>
      </c>
      <c r="M285" s="3">
        <f>IF(TRIM([1]RawShipmentData!L286)="","",IF(ISNUMBER(SEARCH("/",TRIM([1]RawShipmentData!L286))),DATE(VALUE(RIGHT(TRIM([1]RawShipmentData!L286),4)),VALUE(MID(TRIM([1]RawShipmentData!L286),FIND("/",TRIM([1]RawShipmentData!L286))+1,2)),VALUE(LEFT(TRIM([1]RawShipmentData!L286),FIND("/",TRIM([1]RawShipmentData!L286))-1))),DATEVALUE(TRIM([1]RawShipmentData!L286))))</f>
        <v>45427</v>
      </c>
      <c r="N285" s="2">
        <f t="shared" si="21"/>
        <v>6</v>
      </c>
      <c r="O285" s="2">
        <f t="shared" si="22"/>
        <v>0</v>
      </c>
      <c r="P285" s="2" t="str">
        <f t="shared" si="23"/>
        <v>On Time</v>
      </c>
      <c r="Q285" s="2" t="str">
        <f>PROPER(SUBSTITUTE(TRIM([1]RawShipmentData!M286)," ","-"))</f>
        <v>Delivered</v>
      </c>
      <c r="R285" s="4">
        <f t="shared" si="24"/>
        <v>16.487394957983192</v>
      </c>
      <c r="S285" s="2">
        <f>[1]RawShipmentData!N286</f>
        <v>3</v>
      </c>
      <c r="T285" s="2" t="str">
        <f>IF(OR(UPPER(TRIM([1]RawShipmentData!O286))="YES",UPPER(TRIM([1]RawShipmentData!O286))="Y"),"Yes","No")</f>
        <v>No</v>
      </c>
    </row>
    <row r="286" spans="1:20" x14ac:dyDescent="0.25">
      <c r="A286" s="2" t="str">
        <f>[1]RawShipmentData!A287</f>
        <v>SHP-101116</v>
      </c>
      <c r="B286" s="3">
        <f>IF(ISNUMBER(SEARCH("/",TRIM([1]RawShipmentData!B287))),DATE(VALUE(RIGHT(TRIM([1]RawShipmentData!B287),4)),VALUE(MID(TRIM([1]RawShipmentData!B287),FIND("/",TRIM([1]RawShipmentData!B287))+1,2)),VALUE(LEFT(TRIM([1]RawShipmentData!B287),FIND("/",TRIM([1]RawShipmentData!B287))-1))),DATEVALUE(TRIM([1]RawShipmentData!B287)))</f>
        <v>45377</v>
      </c>
      <c r="C286" s="2" t="str">
        <f>PROPER(TRIM([1]RawShipmentData!C287))</f>
        <v>Kolkata</v>
      </c>
      <c r="D286" s="2" t="str">
        <f>IFERROR(INDEX([1]HubMaster!$B$2:$B$7,MATCH(C286,[1]HubMaster!$A$2:$A$7,0)),"Unknown")</f>
        <v>East</v>
      </c>
      <c r="E286" s="2" t="str">
        <f>PROPER(TRIM(SUBSTITUTE([1]RawShipmentData!D287,"  "," ")))</f>
        <v>Xpressbees</v>
      </c>
      <c r="F286" s="2" t="str">
        <f>PROPER(TRIM([1]RawShipmentData!E287))</f>
        <v>Air</v>
      </c>
      <c r="G286" s="2" t="str">
        <f>PROPER(TRIM(SUBSTITUTE([1]RawShipmentData!F287,"  "," ")))</f>
        <v>Automotive Parts</v>
      </c>
      <c r="H286" s="2" t="str">
        <f>PROPER(TRIM([1]RawShipmentData!G287))</f>
        <v>East</v>
      </c>
      <c r="I286" s="2" t="str">
        <f t="shared" si="20"/>
        <v>No</v>
      </c>
      <c r="J286" s="2">
        <f>IFERROR(VALUE(TRIM(SUBSTITUTE(UPPER([1]RawShipmentData!I286),"KG",""))),"")</f>
        <v>35.1</v>
      </c>
      <c r="K286" s="2">
        <f>VALUE(SUBSTITUTE(SUBSTITUTE(SUBSTITUTE(TRIM([1]RawShipmentData!J287),"₹",""),"Rs",""),",",""))</f>
        <v>531</v>
      </c>
      <c r="L286" s="2">
        <f>[1]RawShipmentData!K287</f>
        <v>2</v>
      </c>
      <c r="M286" s="3">
        <f>IF(TRIM([1]RawShipmentData!L287)="","",IF(ISNUMBER(SEARCH("/",TRIM([1]RawShipmentData!L287))),DATE(VALUE(RIGHT(TRIM([1]RawShipmentData!L287),4)),VALUE(MID(TRIM([1]RawShipmentData!L287),FIND("/",TRIM([1]RawShipmentData!L287))+1,2)),VALUE(LEFT(TRIM([1]RawShipmentData!L287),FIND("/",TRIM([1]RawShipmentData!L287))-1))),DATEVALUE(TRIM([1]RawShipmentData!L287))))</f>
        <v>45380</v>
      </c>
      <c r="N286" s="2">
        <f t="shared" si="21"/>
        <v>3</v>
      </c>
      <c r="O286" s="2">
        <f t="shared" si="22"/>
        <v>1</v>
      </c>
      <c r="P286" s="2" t="str">
        <f t="shared" si="23"/>
        <v>Late</v>
      </c>
      <c r="Q286" s="2" t="str">
        <f>PROPER(SUBSTITUTE(TRIM([1]RawShipmentData!M287)," ","-"))</f>
        <v>Delayed</v>
      </c>
      <c r="R286" s="4">
        <f t="shared" si="24"/>
        <v>15.128205128205128</v>
      </c>
      <c r="S286" s="2">
        <f>[1]RawShipmentData!N287</f>
        <v>5</v>
      </c>
      <c r="T286" s="2" t="str">
        <f>IF(OR(UPPER(TRIM([1]RawShipmentData!O287))="YES",UPPER(TRIM([1]RawShipmentData!O287))="Y"),"Yes","No")</f>
        <v>Yes</v>
      </c>
    </row>
    <row r="287" spans="1:20" x14ac:dyDescent="0.25">
      <c r="A287" s="2" t="str">
        <f>[1]RawShipmentData!A288</f>
        <v>SHP-101073</v>
      </c>
      <c r="B287" s="3">
        <f>IF(ISNUMBER(SEARCH("/",TRIM([1]RawShipmentData!B288))),DATE(VALUE(RIGHT(TRIM([1]RawShipmentData!B288),4)),VALUE(MID(TRIM([1]RawShipmentData!B288),FIND("/",TRIM([1]RawShipmentData!B288))+1,2)),VALUE(LEFT(TRIM([1]RawShipmentData!B288),FIND("/",TRIM([1]RawShipmentData!B288))-1))),DATEVALUE(TRIM([1]RawShipmentData!B288)))</f>
        <v>45470</v>
      </c>
      <c r="C287" s="2" t="str">
        <f>PROPER(TRIM([1]RawShipmentData!C288))</f>
        <v>Kolkata</v>
      </c>
      <c r="D287" s="2" t="str">
        <f>IFERROR(INDEX([1]HubMaster!$B$2:$B$7,MATCH(C287,[1]HubMaster!$A$2:$A$7,0)),"Unknown")</f>
        <v>East</v>
      </c>
      <c r="E287" s="2" t="str">
        <f>PROPER(TRIM(SUBSTITUTE([1]RawShipmentData!D288,"  "," ")))</f>
        <v>Ecom Express</v>
      </c>
      <c r="F287" s="2" t="str">
        <f>PROPER(TRIM([1]RawShipmentData!E288))</f>
        <v>Road</v>
      </c>
      <c r="G287" s="2" t="str">
        <f>PROPER(TRIM(SUBSTITUTE([1]RawShipmentData!F288,"  "," ")))</f>
        <v>Grocery &amp; Fmcg</v>
      </c>
      <c r="H287" s="2" t="str">
        <f>PROPER(TRIM([1]RawShipmentData!G288))</f>
        <v>East</v>
      </c>
      <c r="I287" s="2" t="str">
        <f t="shared" si="20"/>
        <v>No</v>
      </c>
      <c r="J287" s="2">
        <f>IFERROR(VALUE(TRIM(SUBSTITUTE(UPPER([1]RawShipmentData!I287),"KG",""))),"")</f>
        <v>11.6</v>
      </c>
      <c r="K287" s="2">
        <f>VALUE(SUBSTITUTE(SUBSTITUTE(SUBSTITUTE(TRIM([1]RawShipmentData!J288),"₹",""),"Rs",""),",",""))</f>
        <v>80</v>
      </c>
      <c r="L287" s="2">
        <f>[1]RawShipmentData!K288</f>
        <v>6</v>
      </c>
      <c r="M287" s="3" t="str">
        <f>IF(TRIM([1]RawShipmentData!L288)="","",IF(ISNUMBER(SEARCH("/",TRIM([1]RawShipmentData!L288))),DATE(VALUE(RIGHT(TRIM([1]RawShipmentData!L288),4)),VALUE(MID(TRIM([1]RawShipmentData!L288),FIND("/",TRIM([1]RawShipmentData!L288))+1,2)),VALUE(LEFT(TRIM([1]RawShipmentData!L288),FIND("/",TRIM([1]RawShipmentData!L288))-1))),DATEVALUE(TRIM([1]RawShipmentData!L288))))</f>
        <v/>
      </c>
      <c r="N287" s="2" t="str">
        <f t="shared" si="21"/>
        <v/>
      </c>
      <c r="O287" s="2" t="str">
        <f t="shared" si="22"/>
        <v/>
      </c>
      <c r="P287" s="2" t="str">
        <f t="shared" si="23"/>
        <v>N/A</v>
      </c>
      <c r="Q287" s="2" t="str">
        <f>PROPER(SUBSTITUTE(TRIM([1]RawShipmentData!M288)," ","-"))</f>
        <v>In-Transit</v>
      </c>
      <c r="R287" s="4">
        <f t="shared" si="24"/>
        <v>6.8965517241379315</v>
      </c>
      <c r="S287" s="2">
        <f>[1]RawShipmentData!N288</f>
        <v>0</v>
      </c>
      <c r="T287" s="2" t="str">
        <f>IF(OR(UPPER(TRIM([1]RawShipmentData!O288))="YES",UPPER(TRIM([1]RawShipmentData!O288))="Y"),"Yes","No")</f>
        <v>No</v>
      </c>
    </row>
    <row r="288" spans="1:20" x14ac:dyDescent="0.25">
      <c r="A288" s="2" t="str">
        <f>[1]RawShipmentData!A289</f>
        <v>SHP-101388</v>
      </c>
      <c r="B288" s="3">
        <f>IF(ISNUMBER(SEARCH("/",TRIM([1]RawShipmentData!B289))),DATE(VALUE(RIGHT(TRIM([1]RawShipmentData!B289),4)),VALUE(MID(TRIM([1]RawShipmentData!B289),FIND("/",TRIM([1]RawShipmentData!B289))+1,2)),VALUE(LEFT(TRIM([1]RawShipmentData!B289),FIND("/",TRIM([1]RawShipmentData!B289))-1))),DATEVALUE(TRIM([1]RawShipmentData!B289)))</f>
        <v>45364</v>
      </c>
      <c r="C288" s="2" t="str">
        <f>PROPER(TRIM([1]RawShipmentData!C289))</f>
        <v>Delhi</v>
      </c>
      <c r="D288" s="2" t="str">
        <f>IFERROR(INDEX([1]HubMaster!$B$2:$B$7,MATCH(C288,[1]HubMaster!$A$2:$A$7,0)),"Unknown")</f>
        <v>North</v>
      </c>
      <c r="E288" s="2" t="str">
        <f>PROPER(TRIM(SUBSTITUTE([1]RawShipmentData!D289,"  "," ")))</f>
        <v>Delhivery</v>
      </c>
      <c r="F288" s="2" t="str">
        <f>PROPER(TRIM([1]RawShipmentData!E289))</f>
        <v>Road</v>
      </c>
      <c r="G288" s="2" t="str">
        <f>PROPER(TRIM(SUBSTITUTE([1]RawShipmentData!F289,"  "," ")))</f>
        <v>Pharma</v>
      </c>
      <c r="H288" s="2" t="str">
        <f>PROPER(TRIM([1]RawShipmentData!G289))</f>
        <v>South</v>
      </c>
      <c r="I288" s="2" t="str">
        <f t="shared" si="20"/>
        <v>Yes</v>
      </c>
      <c r="J288" s="2">
        <f>IFERROR(VALUE(TRIM(SUBSTITUTE(UPPER([1]RawShipmentData!I288),"KG",""))),"")</f>
        <v>6.9</v>
      </c>
      <c r="K288" s="2">
        <f>VALUE(SUBSTITUTE(SUBSTITUTE(SUBSTITUTE(TRIM([1]RawShipmentData!J289),"₹",""),"Rs",""),",",""))</f>
        <v>170</v>
      </c>
      <c r="L288" s="2">
        <f>[1]RawShipmentData!K289</f>
        <v>8</v>
      </c>
      <c r="M288" s="3">
        <f>IF(TRIM([1]RawShipmentData!L289)="","",IF(ISNUMBER(SEARCH("/",TRIM([1]RawShipmentData!L289))),DATE(VALUE(RIGHT(TRIM([1]RawShipmentData!L289),4)),VALUE(MID(TRIM([1]RawShipmentData!L289),FIND("/",TRIM([1]RawShipmentData!L289))+1,2)),VALUE(LEFT(TRIM([1]RawShipmentData!L289),FIND("/",TRIM([1]RawShipmentData!L289))-1))),DATEVALUE(TRIM([1]RawShipmentData!L289))))</f>
        <v>45373</v>
      </c>
      <c r="N288" s="2">
        <f t="shared" si="21"/>
        <v>9</v>
      </c>
      <c r="O288" s="2">
        <f t="shared" si="22"/>
        <v>1</v>
      </c>
      <c r="P288" s="2" t="str">
        <f t="shared" si="23"/>
        <v>Late</v>
      </c>
      <c r="Q288" s="2" t="str">
        <f>PROPER(SUBSTITUTE(TRIM([1]RawShipmentData!M289)," ","-"))</f>
        <v>Delayed</v>
      </c>
      <c r="R288" s="4">
        <f t="shared" si="24"/>
        <v>24.637681159420289</v>
      </c>
      <c r="S288" s="2">
        <f>[1]RawShipmentData!N289</f>
        <v>4</v>
      </c>
      <c r="T288" s="2" t="str">
        <f>IF(OR(UPPER(TRIM([1]RawShipmentData!O289))="YES",UPPER(TRIM([1]RawShipmentData!O289))="Y"),"Yes","No")</f>
        <v>Yes</v>
      </c>
    </row>
    <row r="289" spans="1:20" x14ac:dyDescent="0.25">
      <c r="A289" s="2" t="str">
        <f>[1]RawShipmentData!A290</f>
        <v>SHP-101562</v>
      </c>
      <c r="B289" s="3">
        <f>IF(ISNUMBER(SEARCH("/",TRIM([1]RawShipmentData!B290))),DATE(VALUE(RIGHT(TRIM([1]RawShipmentData!B290),4)),VALUE(MID(TRIM([1]RawShipmentData!B290),FIND("/",TRIM([1]RawShipmentData!B290))+1,2)),VALUE(LEFT(TRIM([1]RawShipmentData!B290),FIND("/",TRIM([1]RawShipmentData!B290))-1))),DATEVALUE(TRIM([1]RawShipmentData!B290)))</f>
        <v>45414</v>
      </c>
      <c r="C289" s="2" t="str">
        <f>PROPER(TRIM([1]RawShipmentData!C290))</f>
        <v>Hyderabad</v>
      </c>
      <c r="D289" s="2" t="str">
        <f>IFERROR(INDEX([1]HubMaster!$B$2:$B$7,MATCH(C289,[1]HubMaster!$A$2:$A$7,0)),"Unknown")</f>
        <v>West</v>
      </c>
      <c r="E289" s="2" t="str">
        <f>PROPER(TRIM(SUBSTITUTE([1]RawShipmentData!D290,"  "," ")))</f>
        <v>Ecom Express</v>
      </c>
      <c r="F289" s="2" t="str">
        <f>PROPER(TRIM([1]RawShipmentData!E290))</f>
        <v>Road</v>
      </c>
      <c r="G289" s="2" t="str">
        <f>PROPER(TRIM(SUBSTITUTE([1]RawShipmentData!F290,"  "," ")))</f>
        <v>Furniture</v>
      </c>
      <c r="H289" s="2" t="str">
        <f>PROPER(TRIM([1]RawShipmentData!G290))</f>
        <v>East</v>
      </c>
      <c r="I289" s="2" t="str">
        <f t="shared" si="20"/>
        <v>Yes</v>
      </c>
      <c r="J289" s="2">
        <f>IFERROR(VALUE(TRIM(SUBSTITUTE(UPPER([1]RawShipmentData!I289),"KG",""))),"")</f>
        <v>1.4</v>
      </c>
      <c r="K289" s="2">
        <f>VALUE(SUBSTITUTE(SUBSTITUTE(SUBSTITUTE(TRIM([1]RawShipmentData!J290),"₹",""),"Rs",""),",",""))</f>
        <v>1126</v>
      </c>
      <c r="L289" s="2">
        <f>[1]RawShipmentData!K290</f>
        <v>8</v>
      </c>
      <c r="M289" s="3">
        <f>IF(TRIM([1]RawShipmentData!L290)="","",IF(ISNUMBER(SEARCH("/",TRIM([1]RawShipmentData!L290))),DATE(VALUE(RIGHT(TRIM([1]RawShipmentData!L290),4)),VALUE(MID(TRIM([1]RawShipmentData!L290),FIND("/",TRIM([1]RawShipmentData!L290))+1,2)),VALUE(LEFT(TRIM([1]RawShipmentData!L290),FIND("/",TRIM([1]RawShipmentData!L290))-1))),DATEVALUE(TRIM([1]RawShipmentData!L290))))</f>
        <v>45427</v>
      </c>
      <c r="N289" s="2">
        <f t="shared" si="21"/>
        <v>13</v>
      </c>
      <c r="O289" s="2">
        <f t="shared" si="22"/>
        <v>5</v>
      </c>
      <c r="P289" s="2" t="str">
        <f t="shared" si="23"/>
        <v>Late</v>
      </c>
      <c r="Q289" s="2" t="str">
        <f>PROPER(SUBSTITUTE(TRIM([1]RawShipmentData!M290)," ","-"))</f>
        <v>Damaged</v>
      </c>
      <c r="R289" s="4">
        <f t="shared" si="24"/>
        <v>804.28571428571433</v>
      </c>
      <c r="S289" s="2">
        <f>[1]RawShipmentData!N290</f>
        <v>0</v>
      </c>
      <c r="T289" s="2" t="str">
        <f>IF(OR(UPPER(TRIM([1]RawShipmentData!O290))="YES",UPPER(TRIM([1]RawShipmentData!O290))="Y"),"Yes","No")</f>
        <v>No</v>
      </c>
    </row>
    <row r="290" spans="1:20" x14ac:dyDescent="0.25">
      <c r="A290" s="2" t="str">
        <f>[1]RawShipmentData!A291</f>
        <v>SHP-101487</v>
      </c>
      <c r="B290" s="3">
        <f>IF(ISNUMBER(SEARCH("/",TRIM([1]RawShipmentData!B291))),DATE(VALUE(RIGHT(TRIM([1]RawShipmentData!B291),4)),VALUE(MID(TRIM([1]RawShipmentData!B291),FIND("/",TRIM([1]RawShipmentData!B291))+1,2)),VALUE(LEFT(TRIM([1]RawShipmentData!B291),FIND("/",TRIM([1]RawShipmentData!B291))-1))),DATEVALUE(TRIM([1]RawShipmentData!B291)))</f>
        <v>45462</v>
      </c>
      <c r="C290" s="2" t="str">
        <f>PROPER(TRIM([1]RawShipmentData!C291))</f>
        <v>Hyderabad</v>
      </c>
      <c r="D290" s="2" t="str">
        <f>IFERROR(INDEX([1]HubMaster!$B$2:$B$7,MATCH(C290,[1]HubMaster!$A$2:$A$7,0)),"Unknown")</f>
        <v>West</v>
      </c>
      <c r="E290" s="2" t="str">
        <f>PROPER(TRIM(SUBSTITUTE([1]RawShipmentData!D291,"  "," ")))</f>
        <v>Bluedart</v>
      </c>
      <c r="F290" s="2" t="str">
        <f>PROPER(TRIM([1]RawShipmentData!E291))</f>
        <v>Road</v>
      </c>
      <c r="G290" s="2" t="str">
        <f>PROPER(TRIM(SUBSTITUTE([1]RawShipmentData!F291,"  "," ")))</f>
        <v>Electronics</v>
      </c>
      <c r="H290" s="2" t="str">
        <f>PROPER(TRIM([1]RawShipmentData!G291))</f>
        <v>North</v>
      </c>
      <c r="I290" s="2" t="str">
        <f t="shared" si="20"/>
        <v>Yes</v>
      </c>
      <c r="J290" s="2">
        <f>IFERROR(VALUE(TRIM(SUBSTITUTE(UPPER([1]RawShipmentData!I290),"KG",""))),"")</f>
        <v>69.7</v>
      </c>
      <c r="K290" s="2">
        <f>VALUE(SUBSTITUTE(SUBSTITUTE(SUBSTITUTE(TRIM([1]RawShipmentData!J291),"₹",""),"Rs",""),",",""))</f>
        <v>327</v>
      </c>
      <c r="L290" s="2">
        <f>[1]RawShipmentData!K291</f>
        <v>8</v>
      </c>
      <c r="M290" s="3">
        <f>IF(TRIM([1]RawShipmentData!L291)="","",IF(ISNUMBER(SEARCH("/",TRIM([1]RawShipmentData!L291))),DATE(VALUE(RIGHT(TRIM([1]RawShipmentData!L291),4)),VALUE(MID(TRIM([1]RawShipmentData!L291),FIND("/",TRIM([1]RawShipmentData!L291))+1,2)),VALUE(LEFT(TRIM([1]RawShipmentData!L291),FIND("/",TRIM([1]RawShipmentData!L291))-1))),DATEVALUE(TRIM([1]RawShipmentData!L291))))</f>
        <v>45471</v>
      </c>
      <c r="N290" s="2">
        <f t="shared" si="21"/>
        <v>9</v>
      </c>
      <c r="O290" s="2">
        <f t="shared" si="22"/>
        <v>1</v>
      </c>
      <c r="P290" s="2" t="str">
        <f t="shared" si="23"/>
        <v>Late</v>
      </c>
      <c r="Q290" s="2" t="str">
        <f>PROPER(SUBSTITUTE(TRIM([1]RawShipmentData!M291)," ","-"))</f>
        <v>Delayed</v>
      </c>
      <c r="R290" s="4">
        <f t="shared" si="24"/>
        <v>4.691535150645624</v>
      </c>
      <c r="S290" s="2">
        <f>[1]RawShipmentData!N291</f>
        <v>3</v>
      </c>
      <c r="T290" s="2" t="str">
        <f>IF(OR(UPPER(TRIM([1]RawShipmentData!O291))="YES",UPPER(TRIM([1]RawShipmentData!O291))="Y"),"Yes","No")</f>
        <v>Yes</v>
      </c>
    </row>
    <row r="291" spans="1:20" x14ac:dyDescent="0.25">
      <c r="A291" s="2" t="str">
        <f>[1]RawShipmentData!A292</f>
        <v>SHP-100691</v>
      </c>
      <c r="B291" s="3">
        <f>IF(ISNUMBER(SEARCH("/",TRIM([1]RawShipmentData!B292))),DATE(VALUE(RIGHT(TRIM([1]RawShipmentData!B292),4)),VALUE(MID(TRIM([1]RawShipmentData!B292),FIND("/",TRIM([1]RawShipmentData!B292))+1,2)),VALUE(LEFT(TRIM([1]RawShipmentData!B292),FIND("/",TRIM([1]RawShipmentData!B292))-1))),DATEVALUE(TRIM([1]RawShipmentData!B292)))</f>
        <v>45397</v>
      </c>
      <c r="C291" s="2" t="str">
        <f>PROPER(TRIM([1]RawShipmentData!C292))</f>
        <v>Delhi</v>
      </c>
      <c r="D291" s="2" t="str">
        <f>IFERROR(INDEX([1]HubMaster!$B$2:$B$7,MATCH(C291,[1]HubMaster!$A$2:$A$7,0)),"Unknown")</f>
        <v>North</v>
      </c>
      <c r="E291" s="2" t="str">
        <f>PROPER(TRIM(SUBSTITUTE([1]RawShipmentData!D292,"  "," ")))</f>
        <v>Xpressbees</v>
      </c>
      <c r="F291" s="2" t="str">
        <f>PROPER(TRIM([1]RawShipmentData!E292))</f>
        <v>Surface</v>
      </c>
      <c r="G291" s="2" t="str">
        <f>PROPER(TRIM(SUBSTITUTE([1]RawShipmentData!F292,"  "," ")))</f>
        <v>Electronics</v>
      </c>
      <c r="H291" s="2" t="str">
        <f>PROPER(TRIM([1]RawShipmentData!G292))</f>
        <v>West</v>
      </c>
      <c r="I291" s="2" t="str">
        <f t="shared" si="20"/>
        <v>Yes</v>
      </c>
      <c r="J291" s="2">
        <f>IFERROR(VALUE(TRIM(SUBSTITUTE(UPPER([1]RawShipmentData!I291),"KG",""))),"")</f>
        <v>13.1</v>
      </c>
      <c r="K291" s="2">
        <f>VALUE(SUBSTITUTE(SUBSTITUTE(SUBSTITUTE(TRIM([1]RawShipmentData!J292),"₹",""),"Rs",""),",",""))</f>
        <v>454</v>
      </c>
      <c r="L291" s="2">
        <f>[1]RawShipmentData!K292</f>
        <v>6</v>
      </c>
      <c r="M291" s="3">
        <f>IF(TRIM([1]RawShipmentData!L292)="","",IF(ISNUMBER(SEARCH("/",TRIM([1]RawShipmentData!L292))),DATE(VALUE(RIGHT(TRIM([1]RawShipmentData!L292),4)),VALUE(MID(TRIM([1]RawShipmentData!L292),FIND("/",TRIM([1]RawShipmentData!L292))+1,2)),VALUE(LEFT(TRIM([1]RawShipmentData!L292),FIND("/",TRIM([1]RawShipmentData!L292))-1))),DATEVALUE(TRIM([1]RawShipmentData!L292))))</f>
        <v>45402</v>
      </c>
      <c r="N291" s="2">
        <f t="shared" si="21"/>
        <v>5</v>
      </c>
      <c r="O291" s="2">
        <f t="shared" si="22"/>
        <v>-1</v>
      </c>
      <c r="P291" s="2" t="str">
        <f t="shared" si="23"/>
        <v>On Time</v>
      </c>
      <c r="Q291" s="2" t="str">
        <f>PROPER(SUBSTITUTE(TRIM([1]RawShipmentData!M292)," ","-"))</f>
        <v>Delivered</v>
      </c>
      <c r="R291" s="4">
        <f t="shared" si="24"/>
        <v>34.656488549618324</v>
      </c>
      <c r="S291" s="2">
        <f>[1]RawShipmentData!N292</f>
        <v>5</v>
      </c>
      <c r="T291" s="2" t="str">
        <f>IF(OR(UPPER(TRIM([1]RawShipmentData!O292))="YES",UPPER(TRIM([1]RawShipmentData!O292))="Y"),"Yes","No")</f>
        <v>No</v>
      </c>
    </row>
    <row r="292" spans="1:20" x14ac:dyDescent="0.25">
      <c r="A292" s="2" t="str">
        <f>[1]RawShipmentData!A293</f>
        <v>SHP-100361</v>
      </c>
      <c r="B292" s="3">
        <f>IF(ISNUMBER(SEARCH("/",TRIM([1]RawShipmentData!B293))),DATE(VALUE(RIGHT(TRIM([1]RawShipmentData!B293),4)),VALUE(MID(TRIM([1]RawShipmentData!B293),FIND("/",TRIM([1]RawShipmentData!B293))+1,2)),VALUE(LEFT(TRIM([1]RawShipmentData!B293),FIND("/",TRIM([1]RawShipmentData!B293))-1))),DATEVALUE(TRIM([1]RawShipmentData!B293)))</f>
        <v>45390</v>
      </c>
      <c r="C292" s="2" t="str">
        <f>PROPER(TRIM([1]RawShipmentData!C293))</f>
        <v>Delhi</v>
      </c>
      <c r="D292" s="2" t="str">
        <f>IFERROR(INDEX([1]HubMaster!$B$2:$B$7,MATCH(C292,[1]HubMaster!$A$2:$A$7,0)),"Unknown")</f>
        <v>North</v>
      </c>
      <c r="E292" s="2" t="str">
        <f>PROPER(TRIM(SUBSTITUTE([1]RawShipmentData!D293,"  "," ")))</f>
        <v>Ecom Express</v>
      </c>
      <c r="F292" s="2" t="str">
        <f>PROPER(TRIM([1]RawShipmentData!E293))</f>
        <v>Road</v>
      </c>
      <c r="G292" s="2" t="str">
        <f>PROPER(TRIM(SUBSTITUTE([1]RawShipmentData!F293,"  "," ")))</f>
        <v>Furniture</v>
      </c>
      <c r="H292" s="2" t="str">
        <f>PROPER(TRIM([1]RawShipmentData!G293))</f>
        <v>North</v>
      </c>
      <c r="I292" s="2" t="str">
        <f t="shared" si="20"/>
        <v>No</v>
      </c>
      <c r="J292" s="2">
        <f>IFERROR(VALUE(TRIM(SUBSTITUTE(UPPER([1]RawShipmentData!I292),"KG",""))),"")</f>
        <v>14.1</v>
      </c>
      <c r="K292" s="2">
        <f>VALUE(SUBSTITUTE(SUBSTITUTE(SUBSTITUTE(TRIM([1]RawShipmentData!J293),"₹",""),"Rs",""),",",""))</f>
        <v>702</v>
      </c>
      <c r="L292" s="2">
        <f>[1]RawShipmentData!K293</f>
        <v>6</v>
      </c>
      <c r="M292" s="3">
        <f>IF(TRIM([1]RawShipmentData!L293)="","",IF(ISNUMBER(SEARCH("/",TRIM([1]RawShipmentData!L293))),DATE(VALUE(RIGHT(TRIM([1]RawShipmentData!L293),4)),VALUE(MID(TRIM([1]RawShipmentData!L293),FIND("/",TRIM([1]RawShipmentData!L293))+1,2)),VALUE(LEFT(TRIM([1]RawShipmentData!L293),FIND("/",TRIM([1]RawShipmentData!L293))-1))),DATEVALUE(TRIM([1]RawShipmentData!L293))))</f>
        <v>45397</v>
      </c>
      <c r="N292" s="2">
        <f t="shared" si="21"/>
        <v>7</v>
      </c>
      <c r="O292" s="2">
        <f t="shared" si="22"/>
        <v>1</v>
      </c>
      <c r="P292" s="2" t="str">
        <f t="shared" si="23"/>
        <v>Late</v>
      </c>
      <c r="Q292" s="2" t="str">
        <f>PROPER(SUBSTITUTE(TRIM([1]RawShipmentData!M293)," ","-"))</f>
        <v>Delayed</v>
      </c>
      <c r="R292" s="4">
        <f t="shared" si="24"/>
        <v>49.787234042553195</v>
      </c>
      <c r="S292" s="2">
        <f>[1]RawShipmentData!N293</f>
        <v>5</v>
      </c>
      <c r="T292" s="2" t="str">
        <f>IF(OR(UPPER(TRIM([1]RawShipmentData!O293))="YES",UPPER(TRIM([1]RawShipmentData!O293))="Y"),"Yes","No")</f>
        <v>No</v>
      </c>
    </row>
    <row r="293" spans="1:20" x14ac:dyDescent="0.25">
      <c r="A293" s="2" t="str">
        <f>[1]RawShipmentData!A294</f>
        <v>SHP-100699</v>
      </c>
      <c r="B293" s="3">
        <f>IF(ISNUMBER(SEARCH("/",TRIM([1]RawShipmentData!B294))),DATE(VALUE(RIGHT(TRIM([1]RawShipmentData!B294),4)),VALUE(MID(TRIM([1]RawShipmentData!B294),FIND("/",TRIM([1]RawShipmentData!B294))+1,2)),VALUE(LEFT(TRIM([1]RawShipmentData!B294),FIND("/",TRIM([1]RawShipmentData!B294))-1))),DATEVALUE(TRIM([1]RawShipmentData!B294)))</f>
        <v>45296</v>
      </c>
      <c r="C293" s="2" t="str">
        <f>PROPER(TRIM([1]RawShipmentData!C294))</f>
        <v>Hyderabad</v>
      </c>
      <c r="D293" s="2" t="str">
        <f>IFERROR(INDEX([1]HubMaster!$B$2:$B$7,MATCH(C293,[1]HubMaster!$A$2:$A$7,0)),"Unknown")</f>
        <v>West</v>
      </c>
      <c r="E293" s="2" t="str">
        <f>PROPER(TRIM(SUBSTITUTE([1]RawShipmentData!D294,"  "," ")))</f>
        <v>Delhivery</v>
      </c>
      <c r="F293" s="2" t="str">
        <f>PROPER(TRIM([1]RawShipmentData!E294))</f>
        <v>Road</v>
      </c>
      <c r="G293" s="2" t="str">
        <f>PROPER(TRIM(SUBSTITUTE([1]RawShipmentData!F294,"  "," ")))</f>
        <v>Automotive Parts</v>
      </c>
      <c r="H293" s="2" t="str">
        <f>PROPER(TRIM([1]RawShipmentData!G294))</f>
        <v>East</v>
      </c>
      <c r="I293" s="2" t="str">
        <f t="shared" si="20"/>
        <v>Yes</v>
      </c>
      <c r="J293" s="2">
        <f>IFERROR(VALUE(TRIM(SUBSTITUTE(UPPER([1]RawShipmentData!I293),"KG",""))),"")</f>
        <v>50</v>
      </c>
      <c r="K293" s="2">
        <f>VALUE(SUBSTITUTE(SUBSTITUTE(SUBSTITUTE(TRIM([1]RawShipmentData!J294),"₹",""),"Rs",""),",",""))</f>
        <v>758</v>
      </c>
      <c r="L293" s="2">
        <f>[1]RawShipmentData!K294</f>
        <v>8</v>
      </c>
      <c r="M293" s="3">
        <f>IF(TRIM([1]RawShipmentData!L294)="","",IF(ISNUMBER(SEARCH("/",TRIM([1]RawShipmentData!L294))),DATE(VALUE(RIGHT(TRIM([1]RawShipmentData!L294),4)),VALUE(MID(TRIM([1]RawShipmentData!L294),FIND("/",TRIM([1]RawShipmentData!L294))+1,2)),VALUE(LEFT(TRIM([1]RawShipmentData!L294),FIND("/",TRIM([1]RawShipmentData!L294))-1))),DATEVALUE(TRIM([1]RawShipmentData!L294))))</f>
        <v>45304</v>
      </c>
      <c r="N293" s="2">
        <f t="shared" si="21"/>
        <v>8</v>
      </c>
      <c r="O293" s="2">
        <f t="shared" si="22"/>
        <v>0</v>
      </c>
      <c r="P293" s="2" t="str">
        <f t="shared" si="23"/>
        <v>On Time</v>
      </c>
      <c r="Q293" s="2" t="str">
        <f>PROPER(SUBSTITUTE(TRIM([1]RawShipmentData!M294)," ","-"))</f>
        <v>Returned</v>
      </c>
      <c r="R293" s="4">
        <f t="shared" si="24"/>
        <v>15.16</v>
      </c>
      <c r="S293" s="2">
        <f>[1]RawShipmentData!N294</f>
        <v>0</v>
      </c>
      <c r="T293" s="2" t="str">
        <f>IF(OR(UPPER(TRIM([1]RawShipmentData!O294))="YES",UPPER(TRIM([1]RawShipmentData!O294))="Y"),"Yes","No")</f>
        <v>Yes</v>
      </c>
    </row>
    <row r="294" spans="1:20" x14ac:dyDescent="0.25">
      <c r="A294" s="2" t="str">
        <f>[1]RawShipmentData!A295</f>
        <v>SHP-101157</v>
      </c>
      <c r="B294" s="3">
        <f>IF(ISNUMBER(SEARCH("/",TRIM([1]RawShipmentData!B295))),DATE(VALUE(RIGHT(TRIM([1]RawShipmentData!B295),4)),VALUE(MID(TRIM([1]RawShipmentData!B295),FIND("/",TRIM([1]RawShipmentData!B295))+1,2)),VALUE(LEFT(TRIM([1]RawShipmentData!B295),FIND("/",TRIM([1]RawShipmentData!B295))-1))),DATEVALUE(TRIM([1]RawShipmentData!B295)))</f>
        <v>45460</v>
      </c>
      <c r="C294" s="2" t="str">
        <f>PROPER(TRIM([1]RawShipmentData!C295))</f>
        <v>Mumbai</v>
      </c>
      <c r="D294" s="2" t="str">
        <f>IFERROR(INDEX([1]HubMaster!$B$2:$B$7,MATCH(C294,[1]HubMaster!$A$2:$A$7,0)),"Unknown")</f>
        <v>West</v>
      </c>
      <c r="E294" s="2" t="str">
        <f>PROPER(TRIM(SUBSTITUTE([1]RawShipmentData!D295,"  "," ")))</f>
        <v>Delhivery</v>
      </c>
      <c r="F294" s="2" t="str">
        <f>PROPER(TRIM([1]RawShipmentData!E295))</f>
        <v>Surface</v>
      </c>
      <c r="G294" s="2" t="str">
        <f>PROPER(TRIM(SUBSTITUTE([1]RawShipmentData!F295,"  "," ")))</f>
        <v>Automotive Parts</v>
      </c>
      <c r="H294" s="2" t="str">
        <f>PROPER(TRIM([1]RawShipmentData!G295))</f>
        <v>East</v>
      </c>
      <c r="I294" s="2" t="str">
        <f t="shared" si="20"/>
        <v>Yes</v>
      </c>
      <c r="J294" s="2">
        <f>IFERROR(VALUE(TRIM(SUBSTITUTE(UPPER([1]RawShipmentData!I294),"KG",""))),"")</f>
        <v>39.5</v>
      </c>
      <c r="K294" s="2">
        <f>VALUE(SUBSTITUTE(SUBSTITUTE(SUBSTITUTE(TRIM([1]RawShipmentData!J295),"₹",""),"Rs",""),",",""))</f>
        <v>836</v>
      </c>
      <c r="L294" s="2">
        <f>[1]RawShipmentData!K295</f>
        <v>6</v>
      </c>
      <c r="M294" s="3">
        <f>IF(TRIM([1]RawShipmentData!L295)="","",IF(ISNUMBER(SEARCH("/",TRIM([1]RawShipmentData!L295))),DATE(VALUE(RIGHT(TRIM([1]RawShipmentData!L295),4)),VALUE(MID(TRIM([1]RawShipmentData!L295),FIND("/",TRIM([1]RawShipmentData!L295))+1,2)),VALUE(LEFT(TRIM([1]RawShipmentData!L295),FIND("/",TRIM([1]RawShipmentData!L295))-1))),DATEVALUE(TRIM([1]RawShipmentData!L295))))</f>
        <v>45465</v>
      </c>
      <c r="N294" s="2">
        <f t="shared" si="21"/>
        <v>5</v>
      </c>
      <c r="O294" s="2">
        <f t="shared" si="22"/>
        <v>-1</v>
      </c>
      <c r="P294" s="2" t="str">
        <f t="shared" si="23"/>
        <v>On Time</v>
      </c>
      <c r="Q294" s="2" t="str">
        <f>PROPER(SUBSTITUTE(TRIM([1]RawShipmentData!M295)," ","-"))</f>
        <v>Delivered</v>
      </c>
      <c r="R294" s="4">
        <f t="shared" si="24"/>
        <v>21.164556962025316</v>
      </c>
      <c r="S294" s="2">
        <f>[1]RawShipmentData!N295</f>
        <v>4</v>
      </c>
      <c r="T294" s="2" t="str">
        <f>IF(OR(UPPER(TRIM([1]RawShipmentData!O295))="YES",UPPER(TRIM([1]RawShipmentData!O295))="Y"),"Yes","No")</f>
        <v>No</v>
      </c>
    </row>
    <row r="295" spans="1:20" x14ac:dyDescent="0.25">
      <c r="A295" s="2" t="str">
        <f>[1]RawShipmentData!A296</f>
        <v>SHP-101259</v>
      </c>
      <c r="B295" s="3">
        <f>IF(ISNUMBER(SEARCH("/",TRIM([1]RawShipmentData!B296))),DATE(VALUE(RIGHT(TRIM([1]RawShipmentData!B296),4)),VALUE(MID(TRIM([1]RawShipmentData!B296),FIND("/",TRIM([1]RawShipmentData!B296))+1,2)),VALUE(LEFT(TRIM([1]RawShipmentData!B296),FIND("/",TRIM([1]RawShipmentData!B296))-1))),DATEVALUE(TRIM([1]RawShipmentData!B296)))</f>
        <v>45434</v>
      </c>
      <c r="C295" s="2" t="str">
        <f>PROPER(TRIM([1]RawShipmentData!C296))</f>
        <v>Delhi</v>
      </c>
      <c r="D295" s="2" t="str">
        <f>IFERROR(INDEX([1]HubMaster!$B$2:$B$7,MATCH(C295,[1]HubMaster!$A$2:$A$7,0)),"Unknown")</f>
        <v>North</v>
      </c>
      <c r="E295" s="2" t="str">
        <f>PROPER(TRIM(SUBSTITUTE([1]RawShipmentData!D296,"  "," ")))</f>
        <v>Xpress Bees</v>
      </c>
      <c r="F295" s="2" t="str">
        <f>PROPER(TRIM([1]RawShipmentData!E296))</f>
        <v>Road</v>
      </c>
      <c r="G295" s="2" t="str">
        <f>PROPER(TRIM(SUBSTITUTE([1]RawShipmentData!F296,"  "," ")))</f>
        <v>Furniture</v>
      </c>
      <c r="H295" s="2" t="str">
        <f>PROPER(TRIM([1]RawShipmentData!G296))</f>
        <v>North</v>
      </c>
      <c r="I295" s="2" t="str">
        <f t="shared" si="20"/>
        <v>No</v>
      </c>
      <c r="J295" s="2">
        <f>IFERROR(VALUE(TRIM(SUBSTITUTE(UPPER([1]RawShipmentData!I295),"KG",""))),"")</f>
        <v>30.1</v>
      </c>
      <c r="K295" s="2">
        <f>VALUE(SUBSTITUTE(SUBSTITUTE(SUBSTITUTE(TRIM([1]RawShipmentData!J296),"₹",""),"Rs",""),",",""))</f>
        <v>523</v>
      </c>
      <c r="L295" s="2">
        <f>[1]RawShipmentData!K296</f>
        <v>6</v>
      </c>
      <c r="M295" s="3">
        <f>IF(TRIM([1]RawShipmentData!L296)="","",IF(ISNUMBER(SEARCH("/",TRIM([1]RawShipmentData!L296))),DATE(VALUE(RIGHT(TRIM([1]RawShipmentData!L296),4)),VALUE(MID(TRIM([1]RawShipmentData!L296),FIND("/",TRIM([1]RawShipmentData!L296))+1,2)),VALUE(LEFT(TRIM([1]RawShipmentData!L296),FIND("/",TRIM([1]RawShipmentData!L296))-1))),DATEVALUE(TRIM([1]RawShipmentData!L296))))</f>
        <v>45441</v>
      </c>
      <c r="N295" s="2">
        <f t="shared" si="21"/>
        <v>7</v>
      </c>
      <c r="O295" s="2">
        <f t="shared" si="22"/>
        <v>1</v>
      </c>
      <c r="P295" s="2" t="str">
        <f t="shared" si="23"/>
        <v>Late</v>
      </c>
      <c r="Q295" s="2" t="str">
        <f>PROPER(SUBSTITUTE(TRIM([1]RawShipmentData!M296)," ","-"))</f>
        <v>Delayed</v>
      </c>
      <c r="R295" s="4">
        <f t="shared" si="24"/>
        <v>17.375415282392026</v>
      </c>
      <c r="S295" s="2">
        <f>[1]RawShipmentData!N296</f>
        <v>2</v>
      </c>
      <c r="T295" s="2" t="str">
        <f>IF(OR(UPPER(TRIM([1]RawShipmentData!O296))="YES",UPPER(TRIM([1]RawShipmentData!O296))="Y"),"Yes","No")</f>
        <v>No</v>
      </c>
    </row>
    <row r="296" spans="1:20" x14ac:dyDescent="0.25">
      <c r="A296" s="2" t="str">
        <f>[1]RawShipmentData!A297</f>
        <v>SHP-100324</v>
      </c>
      <c r="B296" s="3">
        <f>IF(ISNUMBER(SEARCH("/",TRIM([1]RawShipmentData!B297))),DATE(VALUE(RIGHT(TRIM([1]RawShipmentData!B297),4)),VALUE(MID(TRIM([1]RawShipmentData!B297),FIND("/",TRIM([1]RawShipmentData!B297))+1,2)),VALUE(LEFT(TRIM([1]RawShipmentData!B297),FIND("/",TRIM([1]RawShipmentData!B297))-1))),DATEVALUE(TRIM([1]RawShipmentData!B297)))</f>
        <v>45407</v>
      </c>
      <c r="C296" s="2" t="str">
        <f>PROPER(TRIM([1]RawShipmentData!C297))</f>
        <v>Mumbai</v>
      </c>
      <c r="D296" s="2" t="str">
        <f>IFERROR(INDEX([1]HubMaster!$B$2:$B$7,MATCH(C296,[1]HubMaster!$A$2:$A$7,0)),"Unknown")</f>
        <v>West</v>
      </c>
      <c r="E296" s="2" t="str">
        <f>PROPER(TRIM(SUBSTITUTE([1]RawShipmentData!D297,"  "," ")))</f>
        <v>Ecom Express</v>
      </c>
      <c r="F296" s="2" t="str">
        <f>PROPER(TRIM([1]RawShipmentData!E297))</f>
        <v>Surface</v>
      </c>
      <c r="G296" s="2" t="str">
        <f>PROPER(TRIM(SUBSTITUTE([1]RawShipmentData!F297,"  "," ")))</f>
        <v>Electronics</v>
      </c>
      <c r="H296" s="2" t="str">
        <f>PROPER(TRIM([1]RawShipmentData!G297))</f>
        <v>North</v>
      </c>
      <c r="I296" s="2" t="str">
        <f t="shared" si="20"/>
        <v>Yes</v>
      </c>
      <c r="J296" s="2">
        <f>IFERROR(VALUE(TRIM(SUBSTITUTE(UPPER([1]RawShipmentData!I296),"KG",""))),"")</f>
        <v>34.4</v>
      </c>
      <c r="K296" s="2">
        <f>VALUE(SUBSTITUTE(SUBSTITUTE(SUBSTITUTE(TRIM([1]RawShipmentData!J297),"₹",""),"Rs",""),",",""))</f>
        <v>283</v>
      </c>
      <c r="L296" s="2">
        <f>[1]RawShipmentData!K297</f>
        <v>6</v>
      </c>
      <c r="M296" s="3">
        <f>IF(TRIM([1]RawShipmentData!L297)="","",IF(ISNUMBER(SEARCH("/",TRIM([1]RawShipmentData!L297))),DATE(VALUE(RIGHT(TRIM([1]RawShipmentData!L297),4)),VALUE(MID(TRIM([1]RawShipmentData!L297),FIND("/",TRIM([1]RawShipmentData!L297))+1,2)),VALUE(LEFT(TRIM([1]RawShipmentData!L297),FIND("/",TRIM([1]RawShipmentData!L297))-1))),DATEVALUE(TRIM([1]RawShipmentData!L297))))</f>
        <v>45412</v>
      </c>
      <c r="N296" s="2">
        <f t="shared" si="21"/>
        <v>5</v>
      </c>
      <c r="O296" s="2">
        <f t="shared" si="22"/>
        <v>-1</v>
      </c>
      <c r="P296" s="2" t="str">
        <f t="shared" si="23"/>
        <v>On Time</v>
      </c>
      <c r="Q296" s="2" t="str">
        <f>PROPER(SUBSTITUTE(TRIM([1]RawShipmentData!M297)," ","-"))</f>
        <v>Delivered</v>
      </c>
      <c r="R296" s="4">
        <f t="shared" si="24"/>
        <v>8.2267441860465116</v>
      </c>
      <c r="S296" s="2">
        <f>[1]RawShipmentData!N297</f>
        <v>5</v>
      </c>
      <c r="T296" s="2" t="str">
        <f>IF(OR(UPPER(TRIM([1]RawShipmentData!O297))="YES",UPPER(TRIM([1]RawShipmentData!O297))="Y"),"Yes","No")</f>
        <v>No</v>
      </c>
    </row>
    <row r="297" spans="1:20" x14ac:dyDescent="0.25">
      <c r="A297" s="2" t="str">
        <f>[1]RawShipmentData!A298</f>
        <v>SHP-100748</v>
      </c>
      <c r="B297" s="3">
        <f>IF(ISNUMBER(SEARCH("/",TRIM([1]RawShipmentData!B298))),DATE(VALUE(RIGHT(TRIM([1]RawShipmentData!B298),4)),VALUE(MID(TRIM([1]RawShipmentData!B298),FIND("/",TRIM([1]RawShipmentData!B298))+1,2)),VALUE(LEFT(TRIM([1]RawShipmentData!B298),FIND("/",TRIM([1]RawShipmentData!B298))-1))),DATEVALUE(TRIM([1]RawShipmentData!B298)))</f>
        <v>45293</v>
      </c>
      <c r="C297" s="2" t="str">
        <f>PROPER(TRIM([1]RawShipmentData!C298))</f>
        <v>Bengaluru</v>
      </c>
      <c r="D297" s="2" t="str">
        <f>IFERROR(INDEX([1]HubMaster!$B$2:$B$7,MATCH(C297,[1]HubMaster!$A$2:$A$7,0)),"Unknown")</f>
        <v>South</v>
      </c>
      <c r="E297" s="2" t="str">
        <f>PROPER(TRIM(SUBSTITUTE([1]RawShipmentData!D298,"  "," ")))</f>
        <v>Ecom Express</v>
      </c>
      <c r="F297" s="2" t="str">
        <f>PROPER(TRIM([1]RawShipmentData!E298))</f>
        <v>Air</v>
      </c>
      <c r="G297" s="2" t="str">
        <f>PROPER(TRIM(SUBSTITUTE([1]RawShipmentData!F298,"  "," ")))</f>
        <v>Grocery &amp; Fmcg</v>
      </c>
      <c r="H297" s="2" t="str">
        <f>PROPER(TRIM([1]RawShipmentData!G298))</f>
        <v>South</v>
      </c>
      <c r="I297" s="2" t="str">
        <f t="shared" si="20"/>
        <v>No</v>
      </c>
      <c r="J297" s="2">
        <f>IFERROR(VALUE(TRIM(SUBSTITUTE(UPPER([1]RawShipmentData!I297),"KG",""))),"")</f>
        <v>6.2</v>
      </c>
      <c r="K297" s="2">
        <f>VALUE(SUBSTITUTE(SUBSTITUTE(SUBSTITUTE(TRIM([1]RawShipmentData!J298),"₹",""),"Rs",""),",",""))</f>
        <v>185</v>
      </c>
      <c r="L297" s="2">
        <f>[1]RawShipmentData!K298</f>
        <v>2</v>
      </c>
      <c r="M297" s="3">
        <f>IF(TRIM([1]RawShipmentData!L298)="","",IF(ISNUMBER(SEARCH("/",TRIM([1]RawShipmentData!L298))),DATE(VALUE(RIGHT(TRIM([1]RawShipmentData!L298),4)),VALUE(MID(TRIM([1]RawShipmentData!L298),FIND("/",TRIM([1]RawShipmentData!L298))+1,2)),VALUE(LEFT(TRIM([1]RawShipmentData!L298),FIND("/",TRIM([1]RawShipmentData!L298))-1))),DATEVALUE(TRIM([1]RawShipmentData!L298))))</f>
        <v>45296</v>
      </c>
      <c r="N297" s="2">
        <f t="shared" si="21"/>
        <v>3</v>
      </c>
      <c r="O297" s="2">
        <f t="shared" si="22"/>
        <v>1</v>
      </c>
      <c r="P297" s="2" t="str">
        <f t="shared" si="23"/>
        <v>Late</v>
      </c>
      <c r="Q297" s="2" t="str">
        <f>PROPER(SUBSTITUTE(TRIM([1]RawShipmentData!M298)," ","-"))</f>
        <v>Delayed</v>
      </c>
      <c r="R297" s="4">
        <f t="shared" si="24"/>
        <v>29.838709677419352</v>
      </c>
      <c r="S297" s="2">
        <f>[1]RawShipmentData!N298</f>
        <v>1</v>
      </c>
      <c r="T297" s="2" t="str">
        <f>IF(OR(UPPER(TRIM([1]RawShipmentData!O298))="YES",UPPER(TRIM([1]RawShipmentData!O298))="Y"),"Yes","No")</f>
        <v>Yes</v>
      </c>
    </row>
    <row r="298" spans="1:20" x14ac:dyDescent="0.25">
      <c r="A298" s="2" t="str">
        <f>[1]RawShipmentData!A299</f>
        <v>SHP-100510</v>
      </c>
      <c r="B298" s="3">
        <f>IF(ISNUMBER(SEARCH("/",TRIM([1]RawShipmentData!B299))),DATE(VALUE(RIGHT(TRIM([1]RawShipmentData!B299),4)),VALUE(MID(TRIM([1]RawShipmentData!B299),FIND("/",TRIM([1]RawShipmentData!B299))+1,2)),VALUE(LEFT(TRIM([1]RawShipmentData!B299),FIND("/",TRIM([1]RawShipmentData!B299))-1))),DATEVALUE(TRIM([1]RawShipmentData!B299)))</f>
        <v>45299</v>
      </c>
      <c r="C298" s="2" t="str">
        <f>PROPER(TRIM([1]RawShipmentData!C299))</f>
        <v>Chennai</v>
      </c>
      <c r="D298" s="2" t="str">
        <f>IFERROR(INDEX([1]HubMaster!$B$2:$B$7,MATCH(C298,[1]HubMaster!$A$2:$A$7,0)),"Unknown")</f>
        <v>South</v>
      </c>
      <c r="E298" s="2" t="str">
        <f>PROPER(TRIM(SUBSTITUTE([1]RawShipmentData!D299,"  "," ")))</f>
        <v>Delhivery</v>
      </c>
      <c r="F298" s="2" t="str">
        <f>PROPER(TRIM([1]RawShipmentData!E299))</f>
        <v>Road</v>
      </c>
      <c r="G298" s="2" t="str">
        <f>PROPER(TRIM(SUBSTITUTE([1]RawShipmentData!F299,"  "," ")))</f>
        <v>Electronics</v>
      </c>
      <c r="H298" s="2" t="str">
        <f>PROPER(TRIM([1]RawShipmentData!G299))</f>
        <v>West</v>
      </c>
      <c r="I298" s="2" t="str">
        <f t="shared" si="20"/>
        <v>Yes</v>
      </c>
      <c r="J298" s="2">
        <f>IFERROR(VALUE(TRIM(SUBSTITUTE(UPPER([1]RawShipmentData!I298),"KG",""))),"")</f>
        <v>3.9</v>
      </c>
      <c r="K298" s="2">
        <f>VALUE(SUBSTITUTE(SUBSTITUTE(SUBSTITUTE(TRIM([1]RawShipmentData!J299),"₹",""),"Rs",""),",",""))</f>
        <v>339</v>
      </c>
      <c r="L298" s="2">
        <f>[1]RawShipmentData!K299</f>
        <v>8</v>
      </c>
      <c r="M298" s="3">
        <f>IF(TRIM([1]RawShipmentData!L299)="","",IF(ISNUMBER(SEARCH("/",TRIM([1]RawShipmentData!L299))),DATE(VALUE(RIGHT(TRIM([1]RawShipmentData!L299),4)),VALUE(MID(TRIM([1]RawShipmentData!L299),FIND("/",TRIM([1]RawShipmentData!L299))+1,2)),VALUE(LEFT(TRIM([1]RawShipmentData!L299),FIND("/",TRIM([1]RawShipmentData!L299))-1))),DATEVALUE(TRIM([1]RawShipmentData!L299))))</f>
        <v>45306</v>
      </c>
      <c r="N298" s="2">
        <f t="shared" si="21"/>
        <v>7</v>
      </c>
      <c r="O298" s="2">
        <f t="shared" si="22"/>
        <v>-1</v>
      </c>
      <c r="P298" s="2" t="str">
        <f t="shared" si="23"/>
        <v>On Time</v>
      </c>
      <c r="Q298" s="2" t="str">
        <f>PROPER(SUBSTITUTE(TRIM([1]RawShipmentData!M299)," ","-"))</f>
        <v>Returned</v>
      </c>
      <c r="R298" s="4">
        <f t="shared" si="24"/>
        <v>86.92307692307692</v>
      </c>
      <c r="S298" s="2">
        <f>[1]RawShipmentData!N299</f>
        <v>0</v>
      </c>
      <c r="T298" s="2" t="str">
        <f>IF(OR(UPPER(TRIM([1]RawShipmentData!O299))="YES",UPPER(TRIM([1]RawShipmentData!O299))="Y"),"Yes","No")</f>
        <v>Yes</v>
      </c>
    </row>
    <row r="299" spans="1:20" x14ac:dyDescent="0.25">
      <c r="A299" s="2" t="str">
        <f>[1]RawShipmentData!A300</f>
        <v>SHP-100999</v>
      </c>
      <c r="B299" s="3">
        <f>IF(ISNUMBER(SEARCH("/",TRIM([1]RawShipmentData!B300))),DATE(VALUE(RIGHT(TRIM([1]RawShipmentData!B300),4)),VALUE(MID(TRIM([1]RawShipmentData!B300),FIND("/",TRIM([1]RawShipmentData!B300))+1,2)),VALUE(LEFT(TRIM([1]RawShipmentData!B300),FIND("/",TRIM([1]RawShipmentData!B300))-1))),DATEVALUE(TRIM([1]RawShipmentData!B300)))</f>
        <v>45390</v>
      </c>
      <c r="C299" s="2" t="str">
        <f>PROPER(TRIM([1]RawShipmentData!C300))</f>
        <v>Mumbai</v>
      </c>
      <c r="D299" s="2" t="str">
        <f>IFERROR(INDEX([1]HubMaster!$B$2:$B$7,MATCH(C299,[1]HubMaster!$A$2:$A$7,0)),"Unknown")</f>
        <v>West</v>
      </c>
      <c r="E299" s="2" t="str">
        <f>PROPER(TRIM(SUBSTITUTE([1]RawShipmentData!D300,"  "," ")))</f>
        <v>Ecom Express</v>
      </c>
      <c r="F299" s="2" t="str">
        <f>PROPER(TRIM([1]RawShipmentData!E300))</f>
        <v>Road</v>
      </c>
      <c r="G299" s="2" t="str">
        <f>PROPER(TRIM(SUBSTITUTE([1]RawShipmentData!F300,"  "," ")))</f>
        <v>Electronics</v>
      </c>
      <c r="H299" s="2" t="str">
        <f>PROPER(TRIM([1]RawShipmentData!G300))</f>
        <v>North</v>
      </c>
      <c r="I299" s="2" t="str">
        <f t="shared" si="20"/>
        <v>Yes</v>
      </c>
      <c r="J299" s="2">
        <f>IFERROR(VALUE(TRIM(SUBSTITUTE(UPPER([1]RawShipmentData!I299),"KG",""))),"")</f>
        <v>10</v>
      </c>
      <c r="K299" s="2">
        <f>VALUE(SUBSTITUTE(SUBSTITUTE(SUBSTITUTE(TRIM([1]RawShipmentData!J300),"₹",""),"Rs",""),",",""))</f>
        <v>270</v>
      </c>
      <c r="L299" s="2">
        <f>[1]RawShipmentData!K300</f>
        <v>8</v>
      </c>
      <c r="M299" s="3">
        <f>IF(TRIM([1]RawShipmentData!L300)="","",IF(ISNUMBER(SEARCH("/",TRIM([1]RawShipmentData!L300))),DATE(VALUE(RIGHT(TRIM([1]RawShipmentData!L300),4)),VALUE(MID(TRIM([1]RawShipmentData!L300),FIND("/",TRIM([1]RawShipmentData!L300))+1,2)),VALUE(LEFT(TRIM([1]RawShipmentData!L300),FIND("/",TRIM([1]RawShipmentData!L300))-1))),DATEVALUE(TRIM([1]RawShipmentData!L300))))</f>
        <v>45403</v>
      </c>
      <c r="N299" s="2">
        <f t="shared" si="21"/>
        <v>13</v>
      </c>
      <c r="O299" s="2">
        <f t="shared" si="22"/>
        <v>5</v>
      </c>
      <c r="P299" s="2" t="str">
        <f t="shared" si="23"/>
        <v>Late</v>
      </c>
      <c r="Q299" s="2" t="str">
        <f>PROPER(SUBSTITUTE(TRIM([1]RawShipmentData!M300)," ","-"))</f>
        <v>Delayed</v>
      </c>
      <c r="R299" s="4">
        <f t="shared" si="24"/>
        <v>27</v>
      </c>
      <c r="S299" s="2">
        <f>[1]RawShipmentData!N300</f>
        <v>4</v>
      </c>
      <c r="T299" s="2" t="str">
        <f>IF(OR(UPPER(TRIM([1]RawShipmentData!O300))="YES",UPPER(TRIM([1]RawShipmentData!O300))="Y"),"Yes","No")</f>
        <v>No</v>
      </c>
    </row>
    <row r="300" spans="1:20" x14ac:dyDescent="0.25">
      <c r="A300" s="2" t="str">
        <f>[1]RawShipmentData!A301</f>
        <v>SHP-101290</v>
      </c>
      <c r="B300" s="3">
        <f>IF(ISNUMBER(SEARCH("/",TRIM([1]RawShipmentData!B301))),DATE(VALUE(RIGHT(TRIM([1]RawShipmentData!B301),4)),VALUE(MID(TRIM([1]RawShipmentData!B301),FIND("/",TRIM([1]RawShipmentData!B301))+1,2)),VALUE(LEFT(TRIM([1]RawShipmentData!B301),FIND("/",TRIM([1]RawShipmentData!B301))-1))),DATEVALUE(TRIM([1]RawShipmentData!B301)))</f>
        <v>45456</v>
      </c>
      <c r="C300" s="2" t="str">
        <f>PROPER(TRIM([1]RawShipmentData!C301))</f>
        <v>Mumbai</v>
      </c>
      <c r="D300" s="2" t="str">
        <f>IFERROR(INDEX([1]HubMaster!$B$2:$B$7,MATCH(C300,[1]HubMaster!$A$2:$A$7,0)),"Unknown")</f>
        <v>West</v>
      </c>
      <c r="E300" s="2" t="str">
        <f>PROPER(TRIM(SUBSTITUTE([1]RawShipmentData!D301,"  "," ")))</f>
        <v>Dtdc</v>
      </c>
      <c r="F300" s="2" t="str">
        <f>PROPER(TRIM([1]RawShipmentData!E301))</f>
        <v>Road</v>
      </c>
      <c r="G300" s="2" t="str">
        <f>PROPER(TRIM(SUBSTITUTE([1]RawShipmentData!F301,"  "," ")))</f>
        <v>Automotive Parts</v>
      </c>
      <c r="H300" s="2" t="str">
        <f>PROPER(TRIM([1]RawShipmentData!G301))</f>
        <v>East</v>
      </c>
      <c r="I300" s="2" t="str">
        <f t="shared" si="20"/>
        <v>Yes</v>
      </c>
      <c r="J300" s="2">
        <f>IFERROR(VALUE(TRIM(SUBSTITUTE(UPPER([1]RawShipmentData!I300),"KG",""))),"")</f>
        <v>7.4</v>
      </c>
      <c r="K300" s="2">
        <f>VALUE(SUBSTITUTE(SUBSTITUTE(SUBSTITUTE(TRIM([1]RawShipmentData!J301),"₹",""),"Rs",""),",",""))</f>
        <v>249</v>
      </c>
      <c r="L300" s="2">
        <f>[1]RawShipmentData!K301</f>
        <v>8</v>
      </c>
      <c r="M300" s="3">
        <f>IF(TRIM([1]RawShipmentData!L301)="","",IF(ISNUMBER(SEARCH("/",TRIM([1]RawShipmentData!L301))),DATE(VALUE(RIGHT(TRIM([1]RawShipmentData!L301),4)),VALUE(MID(TRIM([1]RawShipmentData!L301),FIND("/",TRIM([1]RawShipmentData!L301))+1,2)),VALUE(LEFT(TRIM([1]RawShipmentData!L301),FIND("/",TRIM([1]RawShipmentData!L301))-1))),DATEVALUE(TRIM([1]RawShipmentData!L301))))</f>
        <v>45469</v>
      </c>
      <c r="N300" s="2">
        <f t="shared" si="21"/>
        <v>13</v>
      </c>
      <c r="O300" s="2">
        <f t="shared" si="22"/>
        <v>5</v>
      </c>
      <c r="P300" s="2" t="str">
        <f t="shared" si="23"/>
        <v>Late</v>
      </c>
      <c r="Q300" s="2" t="str">
        <f>PROPER(SUBSTITUTE(TRIM([1]RawShipmentData!M301)," ","-"))</f>
        <v>Delayed</v>
      </c>
      <c r="R300" s="4">
        <f t="shared" si="24"/>
        <v>33.648648648648646</v>
      </c>
      <c r="S300" s="2">
        <f>[1]RawShipmentData!N301</f>
        <v>1</v>
      </c>
      <c r="T300" s="2" t="str">
        <f>IF(OR(UPPER(TRIM([1]RawShipmentData!O301))="YES",UPPER(TRIM([1]RawShipmentData!O301))="Y"),"Yes","No")</f>
        <v>Yes</v>
      </c>
    </row>
    <row r="301" spans="1:20" x14ac:dyDescent="0.25">
      <c r="A301" s="2" t="str">
        <f>[1]RawShipmentData!A302</f>
        <v>SHP-100603</v>
      </c>
      <c r="B301" s="3">
        <f>IF(ISNUMBER(SEARCH("/",TRIM([1]RawShipmentData!B302))),DATE(VALUE(RIGHT(TRIM([1]RawShipmentData!B302),4)),VALUE(MID(TRIM([1]RawShipmentData!B302),FIND("/",TRIM([1]RawShipmentData!B302))+1,2)),VALUE(LEFT(TRIM([1]RawShipmentData!B302),FIND("/",TRIM([1]RawShipmentData!B302))-1))),DATEVALUE(TRIM([1]RawShipmentData!B302)))</f>
        <v>45325</v>
      </c>
      <c r="C301" s="2" t="str">
        <f>PROPER(TRIM([1]RawShipmentData!C302))</f>
        <v>Chennai</v>
      </c>
      <c r="D301" s="2" t="str">
        <f>IFERROR(INDEX([1]HubMaster!$B$2:$B$7,MATCH(C301,[1]HubMaster!$A$2:$A$7,0)),"Unknown")</f>
        <v>South</v>
      </c>
      <c r="E301" s="2" t="str">
        <f>PROPER(TRIM(SUBSTITUTE([1]RawShipmentData!D302,"  "," ")))</f>
        <v>Xpressbees</v>
      </c>
      <c r="F301" s="2" t="str">
        <f>PROPER(TRIM([1]RawShipmentData!E302))</f>
        <v>Air</v>
      </c>
      <c r="G301" s="2" t="str">
        <f>PROPER(TRIM(SUBSTITUTE([1]RawShipmentData!F302,"  "," ")))</f>
        <v>Electronics</v>
      </c>
      <c r="H301" s="2" t="str">
        <f>PROPER(TRIM([1]RawShipmentData!G302))</f>
        <v>West</v>
      </c>
      <c r="I301" s="2" t="str">
        <f t="shared" si="20"/>
        <v>Yes</v>
      </c>
      <c r="J301" s="2">
        <f>IFERROR(VALUE(TRIM(SUBSTITUTE(UPPER([1]RawShipmentData!I301),"KG",""))),"")</f>
        <v>5.6</v>
      </c>
      <c r="K301" s="2">
        <f>VALUE(SUBSTITUTE(SUBSTITUTE(SUBSTITUTE(TRIM([1]RawShipmentData!J302),"₹",""),"Rs",""),",",""))</f>
        <v>260</v>
      </c>
      <c r="L301" s="2">
        <f>[1]RawShipmentData!K302</f>
        <v>4</v>
      </c>
      <c r="M301" s="3">
        <f>IF(TRIM([1]RawShipmentData!L302)="","",IF(ISNUMBER(SEARCH("/",TRIM([1]RawShipmentData!L302))),DATE(VALUE(RIGHT(TRIM([1]RawShipmentData!L302),4)),VALUE(MID(TRIM([1]RawShipmentData!L302),FIND("/",TRIM([1]RawShipmentData!L302))+1,2)),VALUE(LEFT(TRIM([1]RawShipmentData!L302),FIND("/",TRIM([1]RawShipmentData!L302))-1))),DATEVALUE(TRIM([1]RawShipmentData!L302))))</f>
        <v>45328</v>
      </c>
      <c r="N301" s="2">
        <f t="shared" si="21"/>
        <v>3</v>
      </c>
      <c r="O301" s="2">
        <f t="shared" si="22"/>
        <v>-1</v>
      </c>
      <c r="P301" s="2" t="str">
        <f t="shared" si="23"/>
        <v>On Time</v>
      </c>
      <c r="Q301" s="2" t="str">
        <f>PROPER(SUBSTITUTE(TRIM([1]RawShipmentData!M302)," ","-"))</f>
        <v>Damaged</v>
      </c>
      <c r="R301" s="4">
        <f t="shared" si="24"/>
        <v>46.428571428571431</v>
      </c>
      <c r="S301" s="2">
        <f>[1]RawShipmentData!N302</f>
        <v>0</v>
      </c>
      <c r="T301" s="2" t="str">
        <f>IF(OR(UPPER(TRIM([1]RawShipmentData!O302))="YES",UPPER(TRIM([1]RawShipmentData!O302))="Y"),"Yes","No")</f>
        <v>No</v>
      </c>
    </row>
    <row r="302" spans="1:20" x14ac:dyDescent="0.25">
      <c r="A302" s="2" t="str">
        <f>[1]RawShipmentData!A303</f>
        <v>SHP-101255</v>
      </c>
      <c r="B302" s="3">
        <f>IF(ISNUMBER(SEARCH("/",TRIM([1]RawShipmentData!B303))),DATE(VALUE(RIGHT(TRIM([1]RawShipmentData!B303),4)),VALUE(MID(TRIM([1]RawShipmentData!B303),FIND("/",TRIM([1]RawShipmentData!B303))+1,2)),VALUE(LEFT(TRIM([1]RawShipmentData!B303),FIND("/",TRIM([1]RawShipmentData!B303))-1))),DATEVALUE(TRIM([1]RawShipmentData!B303)))</f>
        <v>45315</v>
      </c>
      <c r="C302" s="2" t="str">
        <f>PROPER(TRIM([1]RawShipmentData!C303))</f>
        <v>Bengaluru</v>
      </c>
      <c r="D302" s="2" t="str">
        <f>IFERROR(INDEX([1]HubMaster!$B$2:$B$7,MATCH(C302,[1]HubMaster!$A$2:$A$7,0)),"Unknown")</f>
        <v>South</v>
      </c>
      <c r="E302" s="2" t="str">
        <f>PROPER(TRIM(SUBSTITUTE([1]RawShipmentData!D303,"  "," ")))</f>
        <v>Ecom Express</v>
      </c>
      <c r="F302" s="2" t="str">
        <f>PROPER(TRIM([1]RawShipmentData!E303))</f>
        <v>Surface</v>
      </c>
      <c r="G302" s="2" t="str">
        <f>PROPER(TRIM(SUBSTITUTE([1]RawShipmentData!F303,"  "," ")))</f>
        <v>Furniture</v>
      </c>
      <c r="H302" s="2" t="str">
        <f>PROPER(TRIM([1]RawShipmentData!G303))</f>
        <v>East</v>
      </c>
      <c r="I302" s="2" t="str">
        <f t="shared" si="20"/>
        <v>Yes</v>
      </c>
      <c r="J302" s="2">
        <f>IFERROR(VALUE(TRIM(SUBSTITUTE(UPPER([1]RawShipmentData!I302),"KG",""))),"")</f>
        <v>1.9</v>
      </c>
      <c r="K302" s="2">
        <f>VALUE(SUBSTITUTE(SUBSTITUTE(SUBSTITUTE(TRIM([1]RawShipmentData!J303),"₹",""),"Rs",""),",",""))</f>
        <v>1144</v>
      </c>
      <c r="L302" s="2">
        <f>[1]RawShipmentData!K303</f>
        <v>6</v>
      </c>
      <c r="M302" s="3">
        <f>IF(TRIM([1]RawShipmentData!L303)="","",IF(ISNUMBER(SEARCH("/",TRIM([1]RawShipmentData!L303))),DATE(VALUE(RIGHT(TRIM([1]RawShipmentData!L303),4)),VALUE(MID(TRIM([1]RawShipmentData!L303),FIND("/",TRIM([1]RawShipmentData!L303))+1,2)),VALUE(LEFT(TRIM([1]RawShipmentData!L303),FIND("/",TRIM([1]RawShipmentData!L303))-1))),DATEVALUE(TRIM([1]RawShipmentData!L303))))</f>
        <v>45320</v>
      </c>
      <c r="N302" s="2">
        <f t="shared" si="21"/>
        <v>5</v>
      </c>
      <c r="O302" s="2">
        <f t="shared" si="22"/>
        <v>-1</v>
      </c>
      <c r="P302" s="2" t="str">
        <f t="shared" si="23"/>
        <v>On Time</v>
      </c>
      <c r="Q302" s="2" t="str">
        <f>PROPER(SUBSTITUTE(TRIM([1]RawShipmentData!M303)," ","-"))</f>
        <v>Delivered</v>
      </c>
      <c r="R302" s="4">
        <f t="shared" si="24"/>
        <v>602.1052631578948</v>
      </c>
      <c r="S302" s="2">
        <f>[1]RawShipmentData!N303</f>
        <v>3</v>
      </c>
      <c r="T302" s="2" t="str">
        <f>IF(OR(UPPER(TRIM([1]RawShipmentData!O303))="YES",UPPER(TRIM([1]RawShipmentData!O303))="Y"),"Yes","No")</f>
        <v>Yes</v>
      </c>
    </row>
    <row r="303" spans="1:20" x14ac:dyDescent="0.25">
      <c r="A303" s="2" t="str">
        <f>[1]RawShipmentData!A304</f>
        <v>SHP-100199</v>
      </c>
      <c r="B303" s="3">
        <f>IF(ISNUMBER(SEARCH("/",TRIM([1]RawShipmentData!B304))),DATE(VALUE(RIGHT(TRIM([1]RawShipmentData!B304),4)),VALUE(MID(TRIM([1]RawShipmentData!B304),FIND("/",TRIM([1]RawShipmentData!B304))+1,2)),VALUE(LEFT(TRIM([1]RawShipmentData!B304),FIND("/",TRIM([1]RawShipmentData!B304))-1))),DATEVALUE(TRIM([1]RawShipmentData!B304)))</f>
        <v>45298</v>
      </c>
      <c r="C303" s="2" t="str">
        <f>PROPER(TRIM([1]RawShipmentData!C304))</f>
        <v>Chennai</v>
      </c>
      <c r="D303" s="2" t="str">
        <f>IFERROR(INDEX([1]HubMaster!$B$2:$B$7,MATCH(C303,[1]HubMaster!$A$2:$A$7,0)),"Unknown")</f>
        <v>South</v>
      </c>
      <c r="E303" s="2" t="str">
        <f>PROPER(TRIM(SUBSTITUTE([1]RawShipmentData!D304,"  "," ")))</f>
        <v>Delhivery</v>
      </c>
      <c r="F303" s="2" t="str">
        <f>PROPER(TRIM([1]RawShipmentData!E304))</f>
        <v>Road</v>
      </c>
      <c r="G303" s="2" t="str">
        <f>PROPER(TRIM(SUBSTITUTE([1]RawShipmentData!F304,"  "," ")))</f>
        <v>Apparel</v>
      </c>
      <c r="H303" s="2" t="str">
        <f>PROPER(TRIM([1]RawShipmentData!G304))</f>
        <v>North</v>
      </c>
      <c r="I303" s="2" t="str">
        <f t="shared" si="20"/>
        <v>Yes</v>
      </c>
      <c r="J303" s="2">
        <f>IFERROR(VALUE(TRIM(SUBSTITUTE(UPPER([1]RawShipmentData!I303),"KG",""))),"")</f>
        <v>42.6</v>
      </c>
      <c r="K303" s="2">
        <f>VALUE(SUBSTITUTE(SUBSTITUTE(SUBSTITUTE(TRIM([1]RawShipmentData!J304),"₹",""),"Rs",""),",",""))</f>
        <v>231</v>
      </c>
      <c r="L303" s="2">
        <f>[1]RawShipmentData!K304</f>
        <v>8</v>
      </c>
      <c r="M303" s="3">
        <f>IF(TRIM([1]RawShipmentData!L304)="","",IF(ISNUMBER(SEARCH("/",TRIM([1]RawShipmentData!L304))),DATE(VALUE(RIGHT(TRIM([1]RawShipmentData!L304),4)),VALUE(MID(TRIM([1]RawShipmentData!L304),FIND("/",TRIM([1]RawShipmentData!L304))+1,2)),VALUE(LEFT(TRIM([1]RawShipmentData!L304),FIND("/",TRIM([1]RawShipmentData!L304))-1))),DATEVALUE(TRIM([1]RawShipmentData!L304))))</f>
        <v>45306</v>
      </c>
      <c r="N303" s="2">
        <f t="shared" si="21"/>
        <v>8</v>
      </c>
      <c r="O303" s="2">
        <f t="shared" si="22"/>
        <v>0</v>
      </c>
      <c r="P303" s="2" t="str">
        <f t="shared" si="23"/>
        <v>On Time</v>
      </c>
      <c r="Q303" s="2" t="str">
        <f>PROPER(SUBSTITUTE(TRIM([1]RawShipmentData!M304)," ","-"))</f>
        <v>Returned</v>
      </c>
      <c r="R303" s="4">
        <f t="shared" si="24"/>
        <v>5.4225352112676051</v>
      </c>
      <c r="S303" s="2">
        <f>[1]RawShipmentData!N304</f>
        <v>0</v>
      </c>
      <c r="T303" s="2" t="str">
        <f>IF(OR(UPPER(TRIM([1]RawShipmentData!O304))="YES",UPPER(TRIM([1]RawShipmentData!O304))="Y"),"Yes","No")</f>
        <v>Yes</v>
      </c>
    </row>
    <row r="304" spans="1:20" x14ac:dyDescent="0.25">
      <c r="A304" s="2" t="str">
        <f>[1]RawShipmentData!A305</f>
        <v>SHP-100293</v>
      </c>
      <c r="B304" s="3">
        <f>IF(ISNUMBER(SEARCH("/",TRIM([1]RawShipmentData!B305))),DATE(VALUE(RIGHT(TRIM([1]RawShipmentData!B305),4)),VALUE(MID(TRIM([1]RawShipmentData!B305),FIND("/",TRIM([1]RawShipmentData!B305))+1,2)),VALUE(LEFT(TRIM([1]RawShipmentData!B305),FIND("/",TRIM([1]RawShipmentData!B305))-1))),DATEVALUE(TRIM([1]RawShipmentData!B305)))</f>
        <v>45370</v>
      </c>
      <c r="C304" s="2" t="str">
        <f>PROPER(TRIM([1]RawShipmentData!C305))</f>
        <v>Hyderabad</v>
      </c>
      <c r="D304" s="2" t="str">
        <f>IFERROR(INDEX([1]HubMaster!$B$2:$B$7,MATCH(C304,[1]HubMaster!$A$2:$A$7,0)),"Unknown")</f>
        <v>West</v>
      </c>
      <c r="E304" s="2" t="str">
        <f>PROPER(TRIM(SUBSTITUTE([1]RawShipmentData!D305,"  "," ")))</f>
        <v>Dtdc</v>
      </c>
      <c r="F304" s="2" t="str">
        <f>PROPER(TRIM([1]RawShipmentData!E305))</f>
        <v>Surface</v>
      </c>
      <c r="G304" s="2" t="str">
        <f>PROPER(TRIM(SUBSTITUTE([1]RawShipmentData!F305,"  "," ")))</f>
        <v>Electronics</v>
      </c>
      <c r="H304" s="2" t="str">
        <f>PROPER(TRIM([1]RawShipmentData!G305))</f>
        <v>South</v>
      </c>
      <c r="I304" s="2" t="str">
        <f t="shared" si="20"/>
        <v>Yes</v>
      </c>
      <c r="J304" s="2">
        <f>IFERROR(VALUE(TRIM(SUBSTITUTE(UPPER([1]RawShipmentData!I304),"KG",""))),"")</f>
        <v>6.9</v>
      </c>
      <c r="K304" s="2">
        <f>VALUE(SUBSTITUTE(SUBSTITUTE(SUBSTITUTE(TRIM([1]RawShipmentData!J305),"₹",""),"Rs",""),",",""))</f>
        <v>287</v>
      </c>
      <c r="L304" s="2">
        <f>[1]RawShipmentData!K305</f>
        <v>6</v>
      </c>
      <c r="M304" s="3">
        <f>IF(TRIM([1]RawShipmentData!L305)="","",IF(ISNUMBER(SEARCH("/",TRIM([1]RawShipmentData!L305))),DATE(VALUE(RIGHT(TRIM([1]RawShipmentData!L305),4)),VALUE(MID(TRIM([1]RawShipmentData!L305),FIND("/",TRIM([1]RawShipmentData!L305))+1,2)),VALUE(LEFT(TRIM([1]RawShipmentData!L305),FIND("/",TRIM([1]RawShipmentData!L305))-1))),DATEVALUE(TRIM([1]RawShipmentData!L305))))</f>
        <v>45376</v>
      </c>
      <c r="N304" s="2">
        <f t="shared" si="21"/>
        <v>6</v>
      </c>
      <c r="O304" s="2">
        <f t="shared" si="22"/>
        <v>0</v>
      </c>
      <c r="P304" s="2" t="str">
        <f t="shared" si="23"/>
        <v>On Time</v>
      </c>
      <c r="Q304" s="2" t="str">
        <f>PROPER(SUBSTITUTE(TRIM([1]RawShipmentData!M305)," ","-"))</f>
        <v>Delivered</v>
      </c>
      <c r="R304" s="4">
        <f t="shared" si="24"/>
        <v>41.594202898550719</v>
      </c>
      <c r="S304" s="2">
        <f>[1]RawShipmentData!N305</f>
        <v>5</v>
      </c>
      <c r="T304" s="2" t="str">
        <f>IF(OR(UPPER(TRIM([1]RawShipmentData!O305))="YES",UPPER(TRIM([1]RawShipmentData!O305))="Y"),"Yes","No")</f>
        <v>Yes</v>
      </c>
    </row>
    <row r="305" spans="1:20" x14ac:dyDescent="0.25">
      <c r="A305" s="2" t="str">
        <f>[1]RawShipmentData!A306</f>
        <v>SHP-100429</v>
      </c>
      <c r="B305" s="3">
        <f>IF(ISNUMBER(SEARCH("/",TRIM([1]RawShipmentData!B306))),DATE(VALUE(RIGHT(TRIM([1]RawShipmentData!B306),4)),VALUE(MID(TRIM([1]RawShipmentData!B306),FIND("/",TRIM([1]RawShipmentData!B306))+1,2)),VALUE(LEFT(TRIM([1]RawShipmentData!B306),FIND("/",TRIM([1]RawShipmentData!B306))-1))),DATEVALUE(TRIM([1]RawShipmentData!B306)))</f>
        <v>45464</v>
      </c>
      <c r="C305" s="2" t="str">
        <f>PROPER(TRIM([1]RawShipmentData!C306))</f>
        <v>Kolkata</v>
      </c>
      <c r="D305" s="2" t="str">
        <f>IFERROR(INDEX([1]HubMaster!$B$2:$B$7,MATCH(C305,[1]HubMaster!$A$2:$A$7,0)),"Unknown")</f>
        <v>East</v>
      </c>
      <c r="E305" s="2" t="str">
        <f>PROPER(TRIM(SUBSTITUTE([1]RawShipmentData!D306,"  "," ")))</f>
        <v>Xpressbees</v>
      </c>
      <c r="F305" s="2" t="str">
        <f>PROPER(TRIM([1]RawShipmentData!E306))</f>
        <v>Air</v>
      </c>
      <c r="G305" s="2" t="str">
        <f>PROPER(TRIM(SUBSTITUTE([1]RawShipmentData!F306,"  "," ")))</f>
        <v>Grocery &amp; Fmcg</v>
      </c>
      <c r="H305" s="2" t="str">
        <f>PROPER(TRIM([1]RawShipmentData!G306))</f>
        <v>South</v>
      </c>
      <c r="I305" s="2" t="str">
        <f t="shared" si="20"/>
        <v>Yes</v>
      </c>
      <c r="J305" s="2">
        <f>IFERROR(VALUE(TRIM(SUBSTITUTE(UPPER([1]RawShipmentData!I305),"KG",""))),"")</f>
        <v>5.5</v>
      </c>
      <c r="K305" s="2">
        <f>VALUE(SUBSTITUTE(SUBSTITUTE(SUBSTITUTE(TRIM([1]RawShipmentData!J306),"₹",""),"Rs",""),",",""))</f>
        <v>1026</v>
      </c>
      <c r="L305" s="2">
        <f>[1]RawShipmentData!K306</f>
        <v>4</v>
      </c>
      <c r="M305" s="3">
        <f>IF(TRIM([1]RawShipmentData!L306)="","",IF(ISNUMBER(SEARCH("/",TRIM([1]RawShipmentData!L306))),DATE(VALUE(RIGHT(TRIM([1]RawShipmentData!L306),4)),VALUE(MID(TRIM([1]RawShipmentData!L306),FIND("/",TRIM([1]RawShipmentData!L306))+1,2)),VALUE(LEFT(TRIM([1]RawShipmentData!L306),FIND("/",TRIM([1]RawShipmentData!L306))-1))),DATEVALUE(TRIM([1]RawShipmentData!L306))))</f>
        <v>45470</v>
      </c>
      <c r="N305" s="2">
        <f t="shared" si="21"/>
        <v>6</v>
      </c>
      <c r="O305" s="2">
        <f t="shared" si="22"/>
        <v>2</v>
      </c>
      <c r="P305" s="2" t="str">
        <f t="shared" si="23"/>
        <v>Late</v>
      </c>
      <c r="Q305" s="2" t="str">
        <f>PROPER(SUBSTITUTE(TRIM([1]RawShipmentData!M306)," ","-"))</f>
        <v>Delayed</v>
      </c>
      <c r="R305" s="4">
        <f t="shared" si="24"/>
        <v>186.54545454545453</v>
      </c>
      <c r="S305" s="2">
        <f>[1]RawShipmentData!N306</f>
        <v>5</v>
      </c>
      <c r="T305" s="2" t="str">
        <f>IF(OR(UPPER(TRIM([1]RawShipmentData!O306))="YES",UPPER(TRIM([1]RawShipmentData!O306))="Y"),"Yes","No")</f>
        <v>Yes</v>
      </c>
    </row>
    <row r="306" spans="1:20" x14ac:dyDescent="0.25">
      <c r="A306" s="2" t="str">
        <f>[1]RawShipmentData!A307</f>
        <v>SHP-101285</v>
      </c>
      <c r="B306" s="3">
        <f>IF(ISNUMBER(SEARCH("/",TRIM([1]RawShipmentData!B307))),DATE(VALUE(RIGHT(TRIM([1]RawShipmentData!B307),4)),VALUE(MID(TRIM([1]RawShipmentData!B307),FIND("/",TRIM([1]RawShipmentData!B307))+1,2)),VALUE(LEFT(TRIM([1]RawShipmentData!B307),FIND("/",TRIM([1]RawShipmentData!B307))-1))),DATEVALUE(TRIM([1]RawShipmentData!B307)))</f>
        <v>45437</v>
      </c>
      <c r="C306" s="2" t="str">
        <f>PROPER(TRIM([1]RawShipmentData!C307))</f>
        <v>Bengaluru</v>
      </c>
      <c r="D306" s="2" t="str">
        <f>IFERROR(INDEX([1]HubMaster!$B$2:$B$7,MATCH(C306,[1]HubMaster!$A$2:$A$7,0)),"Unknown")</f>
        <v>South</v>
      </c>
      <c r="E306" s="2" t="str">
        <f>PROPER(TRIM(SUBSTITUTE([1]RawShipmentData!D307,"  "," ")))</f>
        <v>Dtdc</v>
      </c>
      <c r="F306" s="2" t="str">
        <f>PROPER(TRIM([1]RawShipmentData!E307))</f>
        <v>Road</v>
      </c>
      <c r="G306" s="2" t="str">
        <f>PROPER(TRIM(SUBSTITUTE([1]RawShipmentData!F307,"  "," ")))</f>
        <v>Apparel</v>
      </c>
      <c r="H306" s="2" t="str">
        <f>PROPER(TRIM([1]RawShipmentData!G307))</f>
        <v>South</v>
      </c>
      <c r="I306" s="2" t="str">
        <f t="shared" si="20"/>
        <v>No</v>
      </c>
      <c r="J306" s="2">
        <f>IFERROR(VALUE(TRIM(SUBSTITUTE(UPPER([1]RawShipmentData!I306),"KG",""))),"")</f>
        <v>19.8</v>
      </c>
      <c r="K306" s="2">
        <f>VALUE(SUBSTITUTE(SUBSTITUTE(SUBSTITUTE(TRIM([1]RawShipmentData!J307),"₹",""),"Rs",""),",",""))</f>
        <v>80</v>
      </c>
      <c r="L306" s="2">
        <f>[1]RawShipmentData!K307</f>
        <v>6</v>
      </c>
      <c r="M306" s="3">
        <f>IF(TRIM([1]RawShipmentData!L307)="","",IF(ISNUMBER(SEARCH("/",TRIM([1]RawShipmentData!L307))),DATE(VALUE(RIGHT(TRIM([1]RawShipmentData!L307),4)),VALUE(MID(TRIM([1]RawShipmentData!L307),FIND("/",TRIM([1]RawShipmentData!L307))+1,2)),VALUE(LEFT(TRIM([1]RawShipmentData!L307),FIND("/",TRIM([1]RawShipmentData!L307))-1))),DATEVALUE(TRIM([1]RawShipmentData!L307))))</f>
        <v>45444</v>
      </c>
      <c r="N306" s="2">
        <f t="shared" si="21"/>
        <v>7</v>
      </c>
      <c r="O306" s="2">
        <f t="shared" si="22"/>
        <v>1</v>
      </c>
      <c r="P306" s="2" t="str">
        <f t="shared" si="23"/>
        <v>Late</v>
      </c>
      <c r="Q306" s="2" t="str">
        <f>PROPER(SUBSTITUTE(TRIM([1]RawShipmentData!M307)," ","-"))</f>
        <v>Delayed</v>
      </c>
      <c r="R306" s="4">
        <f t="shared" si="24"/>
        <v>4.0404040404040407</v>
      </c>
      <c r="S306" s="2">
        <f>[1]RawShipmentData!N307</f>
        <v>1</v>
      </c>
      <c r="T306" s="2" t="str">
        <f>IF(OR(UPPER(TRIM([1]RawShipmentData!O307))="YES",UPPER(TRIM([1]RawShipmentData!O307))="Y"),"Yes","No")</f>
        <v>No</v>
      </c>
    </row>
    <row r="307" spans="1:20" x14ac:dyDescent="0.25">
      <c r="A307" s="2" t="str">
        <f>[1]RawShipmentData!A308</f>
        <v>SHP-101500</v>
      </c>
      <c r="B307" s="3">
        <f>IF(ISNUMBER(SEARCH("/",TRIM([1]RawShipmentData!B308))),DATE(VALUE(RIGHT(TRIM([1]RawShipmentData!B308),4)),VALUE(MID(TRIM([1]RawShipmentData!B308),FIND("/",TRIM([1]RawShipmentData!B308))+1,2)),VALUE(LEFT(TRIM([1]RawShipmentData!B308),FIND("/",TRIM([1]RawShipmentData!B308))-1))),DATEVALUE(TRIM([1]RawShipmentData!B308)))</f>
        <v>45466</v>
      </c>
      <c r="C307" s="2" t="str">
        <f>PROPER(TRIM([1]RawShipmentData!C308))</f>
        <v>Delhi</v>
      </c>
      <c r="D307" s="2" t="str">
        <f>IFERROR(INDEX([1]HubMaster!$B$2:$B$7,MATCH(C307,[1]HubMaster!$A$2:$A$7,0)),"Unknown")</f>
        <v>North</v>
      </c>
      <c r="E307" s="2" t="str">
        <f>PROPER(TRIM(SUBSTITUTE([1]RawShipmentData!D308,"  "," ")))</f>
        <v>Xpressbees</v>
      </c>
      <c r="F307" s="2" t="str">
        <f>PROPER(TRIM([1]RawShipmentData!E308))</f>
        <v>Air</v>
      </c>
      <c r="G307" s="2" t="str">
        <f>PROPER(TRIM(SUBSTITUTE([1]RawShipmentData!F308,"  "," ")))</f>
        <v>Apparel</v>
      </c>
      <c r="H307" s="2" t="str">
        <f>PROPER(TRIM([1]RawShipmentData!G308))</f>
        <v>West</v>
      </c>
      <c r="I307" s="2" t="str">
        <f t="shared" si="20"/>
        <v>Yes</v>
      </c>
      <c r="J307" s="2">
        <f>IFERROR(VALUE(TRIM(SUBSTITUTE(UPPER([1]RawShipmentData!I307),"KG",""))),"")</f>
        <v>3.9</v>
      </c>
      <c r="K307" s="2">
        <f>VALUE(SUBSTITUTE(SUBSTITUTE(SUBSTITUTE(TRIM([1]RawShipmentData!J308),"₹",""),"Rs",""),",",""))</f>
        <v>385</v>
      </c>
      <c r="L307" s="2">
        <f>[1]RawShipmentData!K308</f>
        <v>4</v>
      </c>
      <c r="M307" s="3">
        <f>IF(TRIM([1]RawShipmentData!L308)="","",IF(ISNUMBER(SEARCH("/",TRIM([1]RawShipmentData!L308))),DATE(VALUE(RIGHT(TRIM([1]RawShipmentData!L308),4)),VALUE(MID(TRIM([1]RawShipmentData!L308),FIND("/",TRIM([1]RawShipmentData!L308))+1,2)),VALUE(LEFT(TRIM([1]RawShipmentData!L308),FIND("/",TRIM([1]RawShipmentData!L308))-1))),DATEVALUE(TRIM([1]RawShipmentData!L308))))</f>
        <v>45473</v>
      </c>
      <c r="N307" s="2">
        <f t="shared" si="21"/>
        <v>7</v>
      </c>
      <c r="O307" s="2">
        <f t="shared" si="22"/>
        <v>3</v>
      </c>
      <c r="P307" s="2" t="str">
        <f t="shared" si="23"/>
        <v>Late</v>
      </c>
      <c r="Q307" s="2" t="str">
        <f>PROPER(SUBSTITUTE(TRIM([1]RawShipmentData!M308)," ","-"))</f>
        <v>Delayed</v>
      </c>
      <c r="R307" s="4">
        <f t="shared" si="24"/>
        <v>98.717948717948715</v>
      </c>
      <c r="S307" s="2">
        <f>[1]RawShipmentData!N308</f>
        <v>3</v>
      </c>
      <c r="T307" s="2" t="str">
        <f>IF(OR(UPPER(TRIM([1]RawShipmentData!O308))="YES",UPPER(TRIM([1]RawShipmentData!O308))="Y"),"Yes","No")</f>
        <v>No</v>
      </c>
    </row>
    <row r="308" spans="1:20" x14ac:dyDescent="0.25">
      <c r="A308" s="2" t="str">
        <f>[1]RawShipmentData!A309</f>
        <v>SHP-100566</v>
      </c>
      <c r="B308" s="3">
        <f>IF(ISNUMBER(SEARCH("/",TRIM([1]RawShipmentData!B309))),DATE(VALUE(RIGHT(TRIM([1]RawShipmentData!B309),4)),VALUE(MID(TRIM([1]RawShipmentData!B309),FIND("/",TRIM([1]RawShipmentData!B309))+1,2)),VALUE(LEFT(TRIM([1]RawShipmentData!B309),FIND("/",TRIM([1]RawShipmentData!B309))-1))),DATEVALUE(TRIM([1]RawShipmentData!B309)))</f>
        <v>45397</v>
      </c>
      <c r="C308" s="2" t="str">
        <f>PROPER(TRIM([1]RawShipmentData!C309))</f>
        <v>Kolkata</v>
      </c>
      <c r="D308" s="2" t="str">
        <f>IFERROR(INDEX([1]HubMaster!$B$2:$B$7,MATCH(C308,[1]HubMaster!$A$2:$A$7,0)),"Unknown")</f>
        <v>East</v>
      </c>
      <c r="E308" s="2" t="str">
        <f>PROPER(TRIM(SUBSTITUTE([1]RawShipmentData!D309,"  "," ")))</f>
        <v>Ecom Express</v>
      </c>
      <c r="F308" s="2" t="str">
        <f>PROPER(TRIM([1]RawShipmentData!E309))</f>
        <v>Air</v>
      </c>
      <c r="G308" s="2" t="str">
        <f>PROPER(TRIM(SUBSTITUTE([1]RawShipmentData!F309,"  "," ")))</f>
        <v>Furniture</v>
      </c>
      <c r="H308" s="2" t="str">
        <f>PROPER(TRIM([1]RawShipmentData!G309))</f>
        <v>West</v>
      </c>
      <c r="I308" s="2" t="str">
        <f t="shared" si="20"/>
        <v>Yes</v>
      </c>
      <c r="J308" s="2">
        <f>IFERROR(VALUE(TRIM(SUBSTITUTE(UPPER([1]RawShipmentData!I308),"KG",""))),"")</f>
        <v>5.2</v>
      </c>
      <c r="K308" s="2">
        <f>VALUE(SUBSTITUTE(SUBSTITUTE(SUBSTITUTE(TRIM([1]RawShipmentData!J309),"₹",""),"Rs",""),",",""))</f>
        <v>2718</v>
      </c>
      <c r="L308" s="2">
        <f>[1]RawShipmentData!K309</f>
        <v>4</v>
      </c>
      <c r="M308" s="3">
        <f>IF(TRIM([1]RawShipmentData!L309)="","",IF(ISNUMBER(SEARCH("/",TRIM([1]RawShipmentData!L309))),DATE(VALUE(RIGHT(TRIM([1]RawShipmentData!L309),4)),VALUE(MID(TRIM([1]RawShipmentData!L309),FIND("/",TRIM([1]RawShipmentData!L309))+1,2)),VALUE(LEFT(TRIM([1]RawShipmentData!L309),FIND("/",TRIM([1]RawShipmentData!L309))-1))),DATEVALUE(TRIM([1]RawShipmentData!L309))))</f>
        <v>45400</v>
      </c>
      <c r="N308" s="2">
        <f t="shared" si="21"/>
        <v>3</v>
      </c>
      <c r="O308" s="2">
        <f t="shared" si="22"/>
        <v>-1</v>
      </c>
      <c r="P308" s="2" t="str">
        <f t="shared" si="23"/>
        <v>On Time</v>
      </c>
      <c r="Q308" s="2" t="str">
        <f>PROPER(SUBSTITUTE(TRIM([1]RawShipmentData!M309)," ","-"))</f>
        <v>Damaged</v>
      </c>
      <c r="R308" s="4">
        <f t="shared" si="24"/>
        <v>522.69230769230762</v>
      </c>
      <c r="S308" s="2">
        <f>[1]RawShipmentData!N309</f>
        <v>0</v>
      </c>
      <c r="T308" s="2" t="str">
        <f>IF(OR(UPPER(TRIM([1]RawShipmentData!O309))="YES",UPPER(TRIM([1]RawShipmentData!O309))="Y"),"Yes","No")</f>
        <v>No</v>
      </c>
    </row>
    <row r="309" spans="1:20" x14ac:dyDescent="0.25">
      <c r="A309" s="2" t="str">
        <f>[1]RawShipmentData!A310</f>
        <v>SHP-101488</v>
      </c>
      <c r="B309" s="3">
        <f>IF(ISNUMBER(SEARCH("/",TRIM([1]RawShipmentData!B310))),DATE(VALUE(RIGHT(TRIM([1]RawShipmentData!B310),4)),VALUE(MID(TRIM([1]RawShipmentData!B310),FIND("/",TRIM([1]RawShipmentData!B310))+1,2)),VALUE(LEFT(TRIM([1]RawShipmentData!B310),FIND("/",TRIM([1]RawShipmentData!B310))-1))),DATEVALUE(TRIM([1]RawShipmentData!B310)))</f>
        <v>45390</v>
      </c>
      <c r="C309" s="2" t="str">
        <f>PROPER(TRIM([1]RawShipmentData!C310))</f>
        <v>Kolkata</v>
      </c>
      <c r="D309" s="2" t="str">
        <f>IFERROR(INDEX([1]HubMaster!$B$2:$B$7,MATCH(C309,[1]HubMaster!$A$2:$A$7,0)),"Unknown")</f>
        <v>East</v>
      </c>
      <c r="E309" s="2" t="str">
        <f>PROPER(TRIM(SUBSTITUTE([1]RawShipmentData!D310,"  "," ")))</f>
        <v>Dtdc</v>
      </c>
      <c r="F309" s="2" t="str">
        <f>PROPER(TRIM([1]RawShipmentData!E310))</f>
        <v>Surface</v>
      </c>
      <c r="G309" s="2" t="str">
        <f>PROPER(TRIM(SUBSTITUTE([1]RawShipmentData!F310,"  "," ")))</f>
        <v>Apparel</v>
      </c>
      <c r="H309" s="2" t="str">
        <f>PROPER(TRIM([1]RawShipmentData!G310))</f>
        <v>West</v>
      </c>
      <c r="I309" s="2" t="str">
        <f t="shared" si="20"/>
        <v>Yes</v>
      </c>
      <c r="J309" s="2">
        <f>IFERROR(VALUE(TRIM(SUBSTITUTE(UPPER([1]RawShipmentData!I309),"KG",""))),"")</f>
        <v>56.7</v>
      </c>
      <c r="K309" s="2">
        <f>VALUE(SUBSTITUTE(SUBSTITUTE(SUBSTITUTE(TRIM([1]RawShipmentData!J310),"₹",""),"Rs",""),",",""))</f>
        <v>247</v>
      </c>
      <c r="L309" s="2">
        <f>[1]RawShipmentData!K310</f>
        <v>6</v>
      </c>
      <c r="M309" s="3">
        <f>IF(TRIM([1]RawShipmentData!L310)="","",IF(ISNUMBER(SEARCH("/",TRIM([1]RawShipmentData!L310))),DATE(VALUE(RIGHT(TRIM([1]RawShipmentData!L310),4)),VALUE(MID(TRIM([1]RawShipmentData!L310),FIND("/",TRIM([1]RawShipmentData!L310))+1,2)),VALUE(LEFT(TRIM([1]RawShipmentData!L310),FIND("/",TRIM([1]RawShipmentData!L310))-1))),DATEVALUE(TRIM([1]RawShipmentData!L310))))</f>
        <v>45396</v>
      </c>
      <c r="N309" s="2">
        <f t="shared" si="21"/>
        <v>6</v>
      </c>
      <c r="O309" s="2">
        <f t="shared" si="22"/>
        <v>0</v>
      </c>
      <c r="P309" s="2" t="str">
        <f t="shared" si="23"/>
        <v>On Time</v>
      </c>
      <c r="Q309" s="2" t="str">
        <f>PROPER(SUBSTITUTE(TRIM([1]RawShipmentData!M310)," ","-"))</f>
        <v>Delivered</v>
      </c>
      <c r="R309" s="4">
        <f t="shared" si="24"/>
        <v>4.356261022927689</v>
      </c>
      <c r="S309" s="2">
        <f>[1]RawShipmentData!N310</f>
        <v>5</v>
      </c>
      <c r="T309" s="2" t="str">
        <f>IF(OR(UPPER(TRIM([1]RawShipmentData!O310))="YES",UPPER(TRIM([1]RawShipmentData!O310))="Y"),"Yes","No")</f>
        <v>No</v>
      </c>
    </row>
    <row r="310" spans="1:20" x14ac:dyDescent="0.25">
      <c r="A310" s="2" t="str">
        <f>[1]RawShipmentData!A311</f>
        <v>SHP-101423</v>
      </c>
      <c r="B310" s="3">
        <f>IF(ISNUMBER(SEARCH("/",TRIM([1]RawShipmentData!B311))),DATE(VALUE(RIGHT(TRIM([1]RawShipmentData!B311),4)),VALUE(MID(TRIM([1]RawShipmentData!B311),FIND("/",TRIM([1]RawShipmentData!B311))+1,2)),VALUE(LEFT(TRIM([1]RawShipmentData!B311),FIND("/",TRIM([1]RawShipmentData!B311))-1))),DATEVALUE(TRIM([1]RawShipmentData!B311)))</f>
        <v>45387</v>
      </c>
      <c r="C310" s="2" t="str">
        <f>PROPER(TRIM([1]RawShipmentData!C311))</f>
        <v>Delhi</v>
      </c>
      <c r="D310" s="2" t="str">
        <f>IFERROR(INDEX([1]HubMaster!$B$2:$B$7,MATCH(C310,[1]HubMaster!$A$2:$A$7,0)),"Unknown")</f>
        <v>North</v>
      </c>
      <c r="E310" s="2" t="str">
        <f>PROPER(TRIM(SUBSTITUTE([1]RawShipmentData!D311,"  "," ")))</f>
        <v>Ecom Express</v>
      </c>
      <c r="F310" s="2" t="str">
        <f>PROPER(TRIM([1]RawShipmentData!E311))</f>
        <v>Air</v>
      </c>
      <c r="G310" s="2" t="str">
        <f>PROPER(TRIM(SUBSTITUTE([1]RawShipmentData!F311,"  "," ")))</f>
        <v>Pharma</v>
      </c>
      <c r="H310" s="2" t="str">
        <f>PROPER(TRIM([1]RawShipmentData!G311))</f>
        <v>East</v>
      </c>
      <c r="I310" s="2" t="str">
        <f t="shared" si="20"/>
        <v>Yes</v>
      </c>
      <c r="J310" s="2">
        <f>IFERROR(VALUE(TRIM(SUBSTITUTE(UPPER([1]RawShipmentData!I310),"KG",""))),"")</f>
        <v>3.8</v>
      </c>
      <c r="K310" s="2">
        <f>VALUE(SUBSTITUTE(SUBSTITUTE(SUBSTITUTE(TRIM([1]RawShipmentData!J311),"₹",""),"Rs",""),",",""))</f>
        <v>278</v>
      </c>
      <c r="L310" s="2">
        <f>[1]RawShipmentData!K311</f>
        <v>4</v>
      </c>
      <c r="M310" s="3">
        <f>IF(TRIM([1]RawShipmentData!L311)="","",IF(ISNUMBER(SEARCH("/",TRIM([1]RawShipmentData!L311))),DATE(VALUE(RIGHT(TRIM([1]RawShipmentData!L311),4)),VALUE(MID(TRIM([1]RawShipmentData!L311),FIND("/",TRIM([1]RawShipmentData!L311))+1,2)),VALUE(LEFT(TRIM([1]RawShipmentData!L311),FIND("/",TRIM([1]RawShipmentData!L311))-1))),DATEVALUE(TRIM([1]RawShipmentData!L311))))</f>
        <v>45392</v>
      </c>
      <c r="N310" s="2">
        <f t="shared" si="21"/>
        <v>5</v>
      </c>
      <c r="O310" s="2">
        <f t="shared" si="22"/>
        <v>1</v>
      </c>
      <c r="P310" s="2" t="str">
        <f t="shared" si="23"/>
        <v>Late</v>
      </c>
      <c r="Q310" s="2" t="str">
        <f>PROPER(SUBSTITUTE(TRIM([1]RawShipmentData!M311)," ","-"))</f>
        <v>Delayed</v>
      </c>
      <c r="R310" s="4">
        <f t="shared" si="24"/>
        <v>73.15789473684211</v>
      </c>
      <c r="S310" s="2">
        <f>[1]RawShipmentData!N311</f>
        <v>4</v>
      </c>
      <c r="T310" s="2" t="str">
        <f>IF(OR(UPPER(TRIM([1]RawShipmentData!O311))="YES",UPPER(TRIM([1]RawShipmentData!O311))="Y"),"Yes","No")</f>
        <v>Yes</v>
      </c>
    </row>
    <row r="311" spans="1:20" x14ac:dyDescent="0.25">
      <c r="A311" s="2" t="str">
        <f>[1]RawShipmentData!A312</f>
        <v>SHP-101269</v>
      </c>
      <c r="B311" s="3">
        <f>IF(ISNUMBER(SEARCH("/",TRIM([1]RawShipmentData!B312))),DATE(VALUE(RIGHT(TRIM([1]RawShipmentData!B312),4)),VALUE(MID(TRIM([1]RawShipmentData!B312),FIND("/",TRIM([1]RawShipmentData!B312))+1,2)),VALUE(LEFT(TRIM([1]RawShipmentData!B312),FIND("/",TRIM([1]RawShipmentData!B312))-1))),DATEVALUE(TRIM([1]RawShipmentData!B312)))</f>
        <v>45433</v>
      </c>
      <c r="C311" s="2" t="str">
        <f>PROPER(TRIM([1]RawShipmentData!C312))</f>
        <v>Mumbai</v>
      </c>
      <c r="D311" s="2" t="str">
        <f>IFERROR(INDEX([1]HubMaster!$B$2:$B$7,MATCH(C311,[1]HubMaster!$A$2:$A$7,0)),"Unknown")</f>
        <v>West</v>
      </c>
      <c r="E311" s="2" t="str">
        <f>PROPER(TRIM(SUBSTITUTE([1]RawShipmentData!D312,"  "," ")))</f>
        <v>Delhivery</v>
      </c>
      <c r="F311" s="2" t="str">
        <f>PROPER(TRIM([1]RawShipmentData!E312))</f>
        <v>Road</v>
      </c>
      <c r="G311" s="2" t="str">
        <f>PROPER(TRIM(SUBSTITUTE([1]RawShipmentData!F312,"  "," ")))</f>
        <v>Grocery &amp; Fmcg</v>
      </c>
      <c r="H311" s="2" t="str">
        <f>PROPER(TRIM([1]RawShipmentData!G312))</f>
        <v>South</v>
      </c>
      <c r="I311" s="2" t="str">
        <f t="shared" si="20"/>
        <v>Yes</v>
      </c>
      <c r="J311" s="2">
        <f>IFERROR(VALUE(TRIM(SUBSTITUTE(UPPER([1]RawShipmentData!I311),"KG",""))),"")</f>
        <v>2.8</v>
      </c>
      <c r="K311" s="2">
        <f>VALUE(SUBSTITUTE(SUBSTITUTE(SUBSTITUTE(TRIM([1]RawShipmentData!J312),"₹",""),"Rs",""),",",""))</f>
        <v>475</v>
      </c>
      <c r="L311" s="2">
        <f>[1]RawShipmentData!K312</f>
        <v>8</v>
      </c>
      <c r="M311" s="3">
        <f>IF(TRIM([1]RawShipmentData!L312)="","",IF(ISNUMBER(SEARCH("/",TRIM([1]RawShipmentData!L312))),DATE(VALUE(RIGHT(TRIM([1]RawShipmentData!L312),4)),VALUE(MID(TRIM([1]RawShipmentData!L312),FIND("/",TRIM([1]RawShipmentData!L312))+1,2)),VALUE(LEFT(TRIM([1]RawShipmentData!L312),FIND("/",TRIM([1]RawShipmentData!L312))-1))),DATEVALUE(TRIM([1]RawShipmentData!L312))))</f>
        <v>45441</v>
      </c>
      <c r="N311" s="2">
        <f t="shared" si="21"/>
        <v>8</v>
      </c>
      <c r="O311" s="2">
        <f t="shared" si="22"/>
        <v>0</v>
      </c>
      <c r="P311" s="2" t="str">
        <f t="shared" si="23"/>
        <v>On Time</v>
      </c>
      <c r="Q311" s="2" t="str">
        <f>PROPER(SUBSTITUTE(TRIM([1]RawShipmentData!M312)," ","-"))</f>
        <v>Delivered</v>
      </c>
      <c r="R311" s="4">
        <f t="shared" si="24"/>
        <v>169.64285714285717</v>
      </c>
      <c r="S311" s="2">
        <f>[1]RawShipmentData!N312</f>
        <v>3</v>
      </c>
      <c r="T311" s="2" t="str">
        <f>IF(OR(UPPER(TRIM([1]RawShipmentData!O312))="YES",UPPER(TRIM([1]RawShipmentData!O312))="Y"),"Yes","No")</f>
        <v>No</v>
      </c>
    </row>
    <row r="312" spans="1:20" x14ac:dyDescent="0.25">
      <c r="A312" s="2" t="str">
        <f>[1]RawShipmentData!A313</f>
        <v>SHP-100933</v>
      </c>
      <c r="B312" s="3">
        <f>IF(ISNUMBER(SEARCH("/",TRIM([1]RawShipmentData!B313))),DATE(VALUE(RIGHT(TRIM([1]RawShipmentData!B313),4)),VALUE(MID(TRIM([1]RawShipmentData!B313),FIND("/",TRIM([1]RawShipmentData!B313))+1,2)),VALUE(LEFT(TRIM([1]RawShipmentData!B313),FIND("/",TRIM([1]RawShipmentData!B313))-1))),DATEVALUE(TRIM([1]RawShipmentData!B313)))</f>
        <v>45397</v>
      </c>
      <c r="C312" s="2" t="str">
        <f>PROPER(TRIM([1]RawShipmentData!C313))</f>
        <v>Chennai</v>
      </c>
      <c r="D312" s="2" t="str">
        <f>IFERROR(INDEX([1]HubMaster!$B$2:$B$7,MATCH(C312,[1]HubMaster!$A$2:$A$7,0)),"Unknown")</f>
        <v>South</v>
      </c>
      <c r="E312" s="2" t="str">
        <f>PROPER(TRIM(SUBSTITUTE([1]RawShipmentData!D313,"  "," ")))</f>
        <v>Delhivery</v>
      </c>
      <c r="F312" s="2" t="str">
        <f>PROPER(TRIM([1]RawShipmentData!E313))</f>
        <v>Air</v>
      </c>
      <c r="G312" s="2" t="str">
        <f>PROPER(TRIM(SUBSTITUTE([1]RawShipmentData!F313,"  "," ")))</f>
        <v/>
      </c>
      <c r="H312" s="2" t="str">
        <f>PROPER(TRIM([1]RawShipmentData!G313))</f>
        <v>East</v>
      </c>
      <c r="I312" s="2" t="str">
        <f t="shared" si="20"/>
        <v>Yes</v>
      </c>
      <c r="J312" s="2">
        <f>IFERROR(VALUE(TRIM(SUBSTITUTE(UPPER([1]RawShipmentData!I312),"KG",""))),"")</f>
        <v>19.3</v>
      </c>
      <c r="K312" s="2">
        <f>VALUE(SUBSTITUTE(SUBSTITUTE(SUBSTITUTE(TRIM([1]RawShipmentData!J313),"₹",""),"Rs",""),",",""))</f>
        <v>2457</v>
      </c>
      <c r="L312" s="2">
        <f>[1]RawShipmentData!K313</f>
        <v>4</v>
      </c>
      <c r="M312" s="3">
        <f>IF(TRIM([1]RawShipmentData!L313)="","",IF(ISNUMBER(SEARCH("/",TRIM([1]RawShipmentData!L313))),DATE(VALUE(RIGHT(TRIM([1]RawShipmentData!L313),4)),VALUE(MID(TRIM([1]RawShipmentData!L313),FIND("/",TRIM([1]RawShipmentData!L313))+1,2)),VALUE(LEFT(TRIM([1]RawShipmentData!L313),FIND("/",TRIM([1]RawShipmentData!L313))-1))),DATEVALUE(TRIM([1]RawShipmentData!L313))))</f>
        <v>45402</v>
      </c>
      <c r="N312" s="2">
        <f t="shared" si="21"/>
        <v>5</v>
      </c>
      <c r="O312" s="2">
        <f t="shared" si="22"/>
        <v>1</v>
      </c>
      <c r="P312" s="2" t="str">
        <f t="shared" si="23"/>
        <v>Late</v>
      </c>
      <c r="Q312" s="2" t="str">
        <f>PROPER(SUBSTITUTE(TRIM([1]RawShipmentData!M313)," ","-"))</f>
        <v>Delayed</v>
      </c>
      <c r="R312" s="4">
        <f t="shared" si="24"/>
        <v>127.30569948186528</v>
      </c>
      <c r="S312" s="2">
        <f>[1]RawShipmentData!N313</f>
        <v>1</v>
      </c>
      <c r="T312" s="2" t="str">
        <f>IF(OR(UPPER(TRIM([1]RawShipmentData!O313))="YES",UPPER(TRIM([1]RawShipmentData!O313))="Y"),"Yes","No")</f>
        <v>Yes</v>
      </c>
    </row>
    <row r="313" spans="1:20" x14ac:dyDescent="0.25">
      <c r="A313" s="2" t="str">
        <f>[1]RawShipmentData!A314</f>
        <v>SHP-100033</v>
      </c>
      <c r="B313" s="3">
        <f>IF(ISNUMBER(SEARCH("/",TRIM([1]RawShipmentData!B314))),DATE(VALUE(RIGHT(TRIM([1]RawShipmentData!B314),4)),VALUE(MID(TRIM([1]RawShipmentData!B314),FIND("/",TRIM([1]RawShipmentData!B314))+1,2)),VALUE(LEFT(TRIM([1]RawShipmentData!B314),FIND("/",TRIM([1]RawShipmentData!B314))-1))),DATEVALUE(TRIM([1]RawShipmentData!B314)))</f>
        <v>45430</v>
      </c>
      <c r="C313" s="2" t="str">
        <f>PROPER(TRIM([1]RawShipmentData!C314))</f>
        <v>Bengaluru</v>
      </c>
      <c r="D313" s="2" t="str">
        <f>IFERROR(INDEX([1]HubMaster!$B$2:$B$7,MATCH(C313,[1]HubMaster!$A$2:$A$7,0)),"Unknown")</f>
        <v>South</v>
      </c>
      <c r="E313" s="2" t="str">
        <f>PROPER(TRIM(SUBSTITUTE([1]RawShipmentData!D314,"  "," ")))</f>
        <v>Xpress Bees</v>
      </c>
      <c r="F313" s="2" t="str">
        <f>PROPER(TRIM([1]RawShipmentData!E314))</f>
        <v>Road</v>
      </c>
      <c r="G313" s="2" t="str">
        <f>PROPER(TRIM(SUBSTITUTE([1]RawShipmentData!F314,"  "," ")))</f>
        <v>Apparel</v>
      </c>
      <c r="H313" s="2" t="str">
        <f>PROPER(TRIM([1]RawShipmentData!G314))</f>
        <v>East</v>
      </c>
      <c r="I313" s="2" t="str">
        <f t="shared" si="20"/>
        <v>Yes</v>
      </c>
      <c r="J313" s="2">
        <f>IFERROR(VALUE(TRIM(SUBSTITUTE(UPPER([1]RawShipmentData!I313),"KG",""))),"")</f>
        <v>50.1</v>
      </c>
      <c r="K313" s="2">
        <f>VALUE(SUBSTITUTE(SUBSTITUTE(SUBSTITUTE(TRIM([1]RawShipmentData!J314),"₹",""),"Rs",""),",",""))</f>
        <v>180</v>
      </c>
      <c r="L313" s="2">
        <f>[1]RawShipmentData!K314</f>
        <v>8</v>
      </c>
      <c r="M313" s="3">
        <f>IF(TRIM([1]RawShipmentData!L314)="","",IF(ISNUMBER(SEARCH("/",TRIM([1]RawShipmentData!L314))),DATE(VALUE(RIGHT(TRIM([1]RawShipmentData!L314),4)),VALUE(MID(TRIM([1]RawShipmentData!L314),FIND("/",TRIM([1]RawShipmentData!L314))+1,2)),VALUE(LEFT(TRIM([1]RawShipmentData!L314),FIND("/",TRIM([1]RawShipmentData!L314))-1))),DATEVALUE(TRIM([1]RawShipmentData!L314))))</f>
        <v>45440</v>
      </c>
      <c r="N313" s="2">
        <f t="shared" si="21"/>
        <v>10</v>
      </c>
      <c r="O313" s="2">
        <f t="shared" si="22"/>
        <v>2</v>
      </c>
      <c r="P313" s="2" t="str">
        <f t="shared" si="23"/>
        <v>Late</v>
      </c>
      <c r="Q313" s="2" t="str">
        <f>PROPER(SUBSTITUTE(TRIM([1]RawShipmentData!M314)," ","-"))</f>
        <v>Delayed</v>
      </c>
      <c r="R313" s="4">
        <f t="shared" si="24"/>
        <v>3.5928143712574849</v>
      </c>
      <c r="S313" s="2">
        <f>[1]RawShipmentData!N314</f>
        <v>5</v>
      </c>
      <c r="T313" s="2" t="str">
        <f>IF(OR(UPPER(TRIM([1]RawShipmentData!O314))="YES",UPPER(TRIM([1]RawShipmentData!O314))="Y"),"Yes","No")</f>
        <v>No</v>
      </c>
    </row>
    <row r="314" spans="1:20" x14ac:dyDescent="0.25">
      <c r="A314" s="2" t="str">
        <f>[1]RawShipmentData!A315</f>
        <v>SHP-100472</v>
      </c>
      <c r="B314" s="3">
        <f>IF(ISNUMBER(SEARCH("/",TRIM([1]RawShipmentData!B315))),DATE(VALUE(RIGHT(TRIM([1]RawShipmentData!B315),4)),VALUE(MID(TRIM([1]RawShipmentData!B315),FIND("/",TRIM([1]RawShipmentData!B315))+1,2)),VALUE(LEFT(TRIM([1]RawShipmentData!B315),FIND("/",TRIM([1]RawShipmentData!B315))-1))),DATEVALUE(TRIM([1]RawShipmentData!B315)))</f>
        <v>45464</v>
      </c>
      <c r="C314" s="2" t="str">
        <f>PROPER(TRIM([1]RawShipmentData!C315))</f>
        <v>Bengaluru</v>
      </c>
      <c r="D314" s="2" t="str">
        <f>IFERROR(INDEX([1]HubMaster!$B$2:$B$7,MATCH(C314,[1]HubMaster!$A$2:$A$7,0)),"Unknown")</f>
        <v>South</v>
      </c>
      <c r="E314" s="2" t="str">
        <f>PROPER(TRIM(SUBSTITUTE([1]RawShipmentData!D315,"  "," ")))</f>
        <v>Xpressbees</v>
      </c>
      <c r="F314" s="2" t="str">
        <f>PROPER(TRIM([1]RawShipmentData!E315))</f>
        <v>Surface</v>
      </c>
      <c r="G314" s="2" t="str">
        <f>PROPER(TRIM(SUBSTITUTE([1]RawShipmentData!F315,"  "," ")))</f>
        <v>Apparel</v>
      </c>
      <c r="H314" s="2" t="str">
        <f>PROPER(TRIM([1]RawShipmentData!G315))</f>
        <v>West</v>
      </c>
      <c r="I314" s="2" t="str">
        <f t="shared" si="20"/>
        <v>Yes</v>
      </c>
      <c r="J314" s="2">
        <f>IFERROR(VALUE(TRIM(SUBSTITUTE(UPPER([1]RawShipmentData!I314),"KG",""))),"")</f>
        <v>2.4</v>
      </c>
      <c r="K314" s="2">
        <f>VALUE(SUBSTITUTE(SUBSTITUTE(SUBSTITUTE(TRIM([1]RawShipmentData!J315),"₹",""),"Rs",""),",",""))</f>
        <v>314</v>
      </c>
      <c r="L314" s="2">
        <f>[1]RawShipmentData!K315</f>
        <v>6</v>
      </c>
      <c r="M314" s="3">
        <f>IF(TRIM([1]RawShipmentData!L315)="","",IF(ISNUMBER(SEARCH("/",TRIM([1]RawShipmentData!L315))),DATE(VALUE(RIGHT(TRIM([1]RawShipmentData!L315),4)),VALUE(MID(TRIM([1]RawShipmentData!L315),FIND("/",TRIM([1]RawShipmentData!L315))+1,2)),VALUE(LEFT(TRIM([1]RawShipmentData!L315),FIND("/",TRIM([1]RawShipmentData!L315))-1))),DATEVALUE(TRIM([1]RawShipmentData!L315))))</f>
        <v>45470</v>
      </c>
      <c r="N314" s="2">
        <f t="shared" si="21"/>
        <v>6</v>
      </c>
      <c r="O314" s="2">
        <f t="shared" si="22"/>
        <v>0</v>
      </c>
      <c r="P314" s="2" t="str">
        <f t="shared" si="23"/>
        <v>On Time</v>
      </c>
      <c r="Q314" s="2" t="str">
        <f>PROPER(SUBSTITUTE(TRIM([1]RawShipmentData!M315)," ","-"))</f>
        <v>Delivered</v>
      </c>
      <c r="R314" s="4">
        <f t="shared" si="24"/>
        <v>130.83333333333334</v>
      </c>
      <c r="S314" s="2">
        <f>[1]RawShipmentData!N315</f>
        <v>5</v>
      </c>
      <c r="T314" s="2" t="str">
        <f>IF(OR(UPPER(TRIM([1]RawShipmentData!O315))="YES",UPPER(TRIM([1]RawShipmentData!O315))="Y"),"Yes","No")</f>
        <v>No</v>
      </c>
    </row>
    <row r="315" spans="1:20" x14ac:dyDescent="0.25">
      <c r="A315" s="2" t="str">
        <f>[1]RawShipmentData!A316</f>
        <v>SHP-100111</v>
      </c>
      <c r="B315" s="3">
        <f>IF(ISNUMBER(SEARCH("/",TRIM([1]RawShipmentData!B316))),DATE(VALUE(RIGHT(TRIM([1]RawShipmentData!B316),4)),VALUE(MID(TRIM([1]RawShipmentData!B316),FIND("/",TRIM([1]RawShipmentData!B316))+1,2)),VALUE(LEFT(TRIM([1]RawShipmentData!B316),FIND("/",TRIM([1]RawShipmentData!B316))-1))),DATEVALUE(TRIM([1]RawShipmentData!B316)))</f>
        <v>45333</v>
      </c>
      <c r="C315" s="2" t="str">
        <f>PROPER(TRIM([1]RawShipmentData!C316))</f>
        <v>Delhi</v>
      </c>
      <c r="D315" s="2" t="str">
        <f>IFERROR(INDEX([1]HubMaster!$B$2:$B$7,MATCH(C315,[1]HubMaster!$A$2:$A$7,0)),"Unknown")</f>
        <v>North</v>
      </c>
      <c r="E315" s="2" t="str">
        <f>PROPER(TRIM(SUBSTITUTE([1]RawShipmentData!D316,"  "," ")))</f>
        <v>Delhivery</v>
      </c>
      <c r="F315" s="2" t="str">
        <f>PROPER(TRIM([1]RawShipmentData!E316))</f>
        <v>Road</v>
      </c>
      <c r="G315" s="2" t="str">
        <f>PROPER(TRIM(SUBSTITUTE([1]RawShipmentData!F316,"  "," ")))</f>
        <v>Electronics</v>
      </c>
      <c r="H315" s="2" t="str">
        <f>PROPER(TRIM([1]RawShipmentData!G316))</f>
        <v>West</v>
      </c>
      <c r="I315" s="2" t="str">
        <f t="shared" si="20"/>
        <v>Yes</v>
      </c>
      <c r="J315" s="2">
        <f>IFERROR(VALUE(TRIM(SUBSTITUTE(UPPER([1]RawShipmentData!I315),"KG",""))),"")</f>
        <v>7.5</v>
      </c>
      <c r="K315" s="2">
        <f>VALUE(SUBSTITUTE(SUBSTITUTE(SUBSTITUTE(TRIM([1]RawShipmentData!J316),"₹",""),"Rs",""),",",""))</f>
        <v>169</v>
      </c>
      <c r="L315" s="2">
        <f>[1]RawShipmentData!K316</f>
        <v>8</v>
      </c>
      <c r="M315" s="3">
        <f>IF(TRIM([1]RawShipmentData!L316)="","",IF(ISNUMBER(SEARCH("/",TRIM([1]RawShipmentData!L316))),DATE(VALUE(RIGHT(TRIM([1]RawShipmentData!L316),4)),VALUE(MID(TRIM([1]RawShipmentData!L316),FIND("/",TRIM([1]RawShipmentData!L316))+1,2)),VALUE(LEFT(TRIM([1]RawShipmentData!L316),FIND("/",TRIM([1]RawShipmentData!L316))-1))),DATEVALUE(TRIM([1]RawShipmentData!L316))))</f>
        <v>45341</v>
      </c>
      <c r="N315" s="2">
        <f t="shared" si="21"/>
        <v>8</v>
      </c>
      <c r="O315" s="2">
        <f t="shared" si="22"/>
        <v>0</v>
      </c>
      <c r="P315" s="2" t="str">
        <f t="shared" si="23"/>
        <v>On Time</v>
      </c>
      <c r="Q315" s="2" t="str">
        <f>PROPER(SUBSTITUTE(TRIM([1]RawShipmentData!M316)," ","-"))</f>
        <v>Delivered</v>
      </c>
      <c r="R315" s="4">
        <f t="shared" si="24"/>
        <v>22.533333333333335</v>
      </c>
      <c r="S315" s="2">
        <f>[1]RawShipmentData!N316</f>
        <v>4</v>
      </c>
      <c r="T315" s="2" t="str">
        <f>IF(OR(UPPER(TRIM([1]RawShipmentData!O316))="YES",UPPER(TRIM([1]RawShipmentData!O316))="Y"),"Yes","No")</f>
        <v>No</v>
      </c>
    </row>
    <row r="316" spans="1:20" x14ac:dyDescent="0.25">
      <c r="A316" s="2" t="str">
        <f>[1]RawShipmentData!A317</f>
        <v>SHP-101555</v>
      </c>
      <c r="B316" s="3">
        <f>IF(ISNUMBER(SEARCH("/",TRIM([1]RawShipmentData!B317))),DATE(VALUE(RIGHT(TRIM([1]RawShipmentData!B317),4)),VALUE(MID(TRIM([1]RawShipmentData!B317),FIND("/",TRIM([1]RawShipmentData!B317))+1,2)),VALUE(LEFT(TRIM([1]RawShipmentData!B317),FIND("/",TRIM([1]RawShipmentData!B317))-1))),DATEVALUE(TRIM([1]RawShipmentData!B317)))</f>
        <v>45339</v>
      </c>
      <c r="C316" s="2" t="str">
        <f>PROPER(TRIM([1]RawShipmentData!C317))</f>
        <v>Bengaluru</v>
      </c>
      <c r="D316" s="2" t="str">
        <f>IFERROR(INDEX([1]HubMaster!$B$2:$B$7,MATCH(C316,[1]HubMaster!$A$2:$A$7,0)),"Unknown")</f>
        <v>South</v>
      </c>
      <c r="E316" s="2" t="str">
        <f>PROPER(TRIM(SUBSTITUTE([1]RawShipmentData!D317,"  "," ")))</f>
        <v>Delhivery</v>
      </c>
      <c r="F316" s="2" t="str">
        <f>PROPER(TRIM([1]RawShipmentData!E317))</f>
        <v>Surface</v>
      </c>
      <c r="G316" s="2" t="str">
        <f>PROPER(TRIM(SUBSTITUTE([1]RawShipmentData!F317,"  "," ")))</f>
        <v>Automotive Parts</v>
      </c>
      <c r="H316" s="2" t="str">
        <f>PROPER(TRIM([1]RawShipmentData!G317))</f>
        <v>East</v>
      </c>
      <c r="I316" s="2" t="str">
        <f t="shared" si="20"/>
        <v>Yes</v>
      </c>
      <c r="J316" s="2">
        <f>IFERROR(VALUE(TRIM(SUBSTITUTE(UPPER([1]RawShipmentData!I316),"KG",""))),"")</f>
        <v>2.1</v>
      </c>
      <c r="K316" s="2">
        <f>VALUE(SUBSTITUTE(SUBSTITUTE(SUBSTITUTE(TRIM([1]RawShipmentData!J317),"₹",""),"Rs",""),",",""))</f>
        <v>400</v>
      </c>
      <c r="L316" s="2">
        <f>[1]RawShipmentData!K317</f>
        <v>6</v>
      </c>
      <c r="M316" s="3">
        <f>IF(TRIM([1]RawShipmentData!L317)="","",IF(ISNUMBER(SEARCH("/",TRIM([1]RawShipmentData!L317))),DATE(VALUE(RIGHT(TRIM([1]RawShipmentData!L317),4)),VALUE(MID(TRIM([1]RawShipmentData!L317),FIND("/",TRIM([1]RawShipmentData!L317))+1,2)),VALUE(LEFT(TRIM([1]RawShipmentData!L317),FIND("/",TRIM([1]RawShipmentData!L317))-1))),DATEVALUE(TRIM([1]RawShipmentData!L317))))</f>
        <v>45346</v>
      </c>
      <c r="N316" s="2">
        <f t="shared" si="21"/>
        <v>7</v>
      </c>
      <c r="O316" s="2">
        <f t="shared" si="22"/>
        <v>1</v>
      </c>
      <c r="P316" s="2" t="str">
        <f t="shared" si="23"/>
        <v>Late</v>
      </c>
      <c r="Q316" s="2" t="str">
        <f>PROPER(SUBSTITUTE(TRIM([1]RawShipmentData!M317)," ","-"))</f>
        <v>Delayed</v>
      </c>
      <c r="R316" s="4">
        <f t="shared" si="24"/>
        <v>190.47619047619048</v>
      </c>
      <c r="S316" s="2">
        <f>[1]RawShipmentData!N317</f>
        <v>4</v>
      </c>
      <c r="T316" s="2" t="str">
        <f>IF(OR(UPPER(TRIM([1]RawShipmentData!O317))="YES",UPPER(TRIM([1]RawShipmentData!O317))="Y"),"Yes","No")</f>
        <v>No</v>
      </c>
    </row>
    <row r="317" spans="1:20" x14ac:dyDescent="0.25">
      <c r="A317" s="2" t="str">
        <f>[1]RawShipmentData!A318</f>
        <v>SHP-101514</v>
      </c>
      <c r="B317" s="3">
        <f>IF(ISNUMBER(SEARCH("/",TRIM([1]RawShipmentData!B318))),DATE(VALUE(RIGHT(TRIM([1]RawShipmentData!B318),4)),VALUE(MID(TRIM([1]RawShipmentData!B318),FIND("/",TRIM([1]RawShipmentData!B318))+1,2)),VALUE(LEFT(TRIM([1]RawShipmentData!B318),FIND("/",TRIM([1]RawShipmentData!B318))-1))),DATEVALUE(TRIM([1]RawShipmentData!B318)))</f>
        <v>45297</v>
      </c>
      <c r="C317" s="2" t="str">
        <f>PROPER(TRIM([1]RawShipmentData!C318))</f>
        <v>Chennai</v>
      </c>
      <c r="D317" s="2" t="str">
        <f>IFERROR(INDEX([1]HubMaster!$B$2:$B$7,MATCH(C317,[1]HubMaster!$A$2:$A$7,0)),"Unknown")</f>
        <v>South</v>
      </c>
      <c r="E317" s="2" t="str">
        <f>PROPER(TRIM(SUBSTITUTE([1]RawShipmentData!D318,"  "," ")))</f>
        <v>Delhivery</v>
      </c>
      <c r="F317" s="2" t="str">
        <f>PROPER(TRIM([1]RawShipmentData!E318))</f>
        <v>Road</v>
      </c>
      <c r="G317" s="2" t="str">
        <f>PROPER(TRIM(SUBSTITUTE([1]RawShipmentData!F318,"  "," ")))</f>
        <v>Apparel</v>
      </c>
      <c r="H317" s="2" t="str">
        <f>PROPER(TRIM([1]RawShipmentData!G318))</f>
        <v>West</v>
      </c>
      <c r="I317" s="2" t="str">
        <f t="shared" si="20"/>
        <v>Yes</v>
      </c>
      <c r="J317" s="2">
        <f>IFERROR(VALUE(TRIM(SUBSTITUTE(UPPER([1]RawShipmentData!I317),"KG",""))),"")</f>
        <v>12.7</v>
      </c>
      <c r="K317" s="2">
        <f>VALUE(SUBSTITUTE(SUBSTITUTE(SUBSTITUTE(TRIM([1]RawShipmentData!J318),"₹",""),"Rs",""),",",""))</f>
        <v>217</v>
      </c>
      <c r="L317" s="2">
        <f>[1]RawShipmentData!K318</f>
        <v>8</v>
      </c>
      <c r="M317" s="3">
        <f>IF(TRIM([1]RawShipmentData!L318)="","",IF(ISNUMBER(SEARCH("/",TRIM([1]RawShipmentData!L318))),DATE(VALUE(RIGHT(TRIM([1]RawShipmentData!L318),4)),VALUE(MID(TRIM([1]RawShipmentData!L318),FIND("/",TRIM([1]RawShipmentData!L318))+1,2)),VALUE(LEFT(TRIM([1]RawShipmentData!L318),FIND("/",TRIM([1]RawShipmentData!L318))-1))),DATEVALUE(TRIM([1]RawShipmentData!L318))))</f>
        <v>45304</v>
      </c>
      <c r="N317" s="2">
        <f t="shared" si="21"/>
        <v>7</v>
      </c>
      <c r="O317" s="2">
        <f t="shared" si="22"/>
        <v>-1</v>
      </c>
      <c r="P317" s="2" t="str">
        <f t="shared" si="23"/>
        <v>On Time</v>
      </c>
      <c r="Q317" s="2" t="str">
        <f>PROPER(SUBSTITUTE(TRIM([1]RawShipmentData!M318)," ","-"))</f>
        <v>Delivered</v>
      </c>
      <c r="R317" s="4">
        <f t="shared" si="24"/>
        <v>17.086614173228348</v>
      </c>
      <c r="S317" s="2">
        <f>[1]RawShipmentData!N318</f>
        <v>3</v>
      </c>
      <c r="T317" s="2" t="str">
        <f>IF(OR(UPPER(TRIM([1]RawShipmentData!O318))="YES",UPPER(TRIM([1]RawShipmentData!O318))="Y"),"Yes","No")</f>
        <v>No</v>
      </c>
    </row>
    <row r="318" spans="1:20" x14ac:dyDescent="0.25">
      <c r="A318" s="2" t="str">
        <f>[1]RawShipmentData!A319</f>
        <v>SHP-101212</v>
      </c>
      <c r="B318" s="3">
        <f>IF(ISNUMBER(SEARCH("/",TRIM([1]RawShipmentData!B319))),DATE(VALUE(RIGHT(TRIM([1]RawShipmentData!B319),4)),VALUE(MID(TRIM([1]RawShipmentData!B319),FIND("/",TRIM([1]RawShipmentData!B319))+1,2)),VALUE(LEFT(TRIM([1]RawShipmentData!B319),FIND("/",TRIM([1]RawShipmentData!B319))-1))),DATEVALUE(TRIM([1]RawShipmentData!B319)))</f>
        <v>45360</v>
      </c>
      <c r="C318" s="2" t="str">
        <f>PROPER(TRIM([1]RawShipmentData!C319))</f>
        <v>Kolkata</v>
      </c>
      <c r="D318" s="2" t="str">
        <f>IFERROR(INDEX([1]HubMaster!$B$2:$B$7,MATCH(C318,[1]HubMaster!$A$2:$A$7,0)),"Unknown")</f>
        <v>East</v>
      </c>
      <c r="E318" s="2" t="str">
        <f>PROPER(TRIM(SUBSTITUTE([1]RawShipmentData!D319,"  "," ")))</f>
        <v>Dtdc</v>
      </c>
      <c r="F318" s="2" t="str">
        <f>PROPER(TRIM([1]RawShipmentData!E319))</f>
        <v>Road</v>
      </c>
      <c r="G318" s="2" t="str">
        <f>PROPER(TRIM(SUBSTITUTE([1]RawShipmentData!F319,"  "," ")))</f>
        <v>Furniture</v>
      </c>
      <c r="H318" s="2" t="str">
        <f>PROPER(TRIM([1]RawShipmentData!G319))</f>
        <v>West</v>
      </c>
      <c r="I318" s="2" t="str">
        <f t="shared" si="20"/>
        <v>Yes</v>
      </c>
      <c r="J318" s="2">
        <f>IFERROR(VALUE(TRIM(SUBSTITUTE(UPPER([1]RawShipmentData!I318),"KG",""))),"")</f>
        <v>5.7</v>
      </c>
      <c r="K318" s="2">
        <f>VALUE(SUBSTITUTE(SUBSTITUTE(SUBSTITUTE(TRIM([1]RawShipmentData!J319),"₹",""),"Rs",""),",",""))</f>
        <v>1080</v>
      </c>
      <c r="L318" s="2">
        <f>[1]RawShipmentData!K319</f>
        <v>8</v>
      </c>
      <c r="M318" s="3">
        <f>IF(TRIM([1]RawShipmentData!L319)="","",IF(ISNUMBER(SEARCH("/",TRIM([1]RawShipmentData!L319))),DATE(VALUE(RIGHT(TRIM([1]RawShipmentData!L319),4)),VALUE(MID(TRIM([1]RawShipmentData!L319),FIND("/",TRIM([1]RawShipmentData!L319))+1,2)),VALUE(LEFT(TRIM([1]RawShipmentData!L319),FIND("/",TRIM([1]RawShipmentData!L319))-1))),DATEVALUE(TRIM([1]RawShipmentData!L319))))</f>
        <v>45376</v>
      </c>
      <c r="N318" s="2">
        <f t="shared" si="21"/>
        <v>16</v>
      </c>
      <c r="O318" s="2">
        <f t="shared" si="22"/>
        <v>8</v>
      </c>
      <c r="P318" s="2" t="str">
        <f t="shared" si="23"/>
        <v>Late</v>
      </c>
      <c r="Q318" s="2" t="str">
        <f>PROPER(SUBSTITUTE(TRIM([1]RawShipmentData!M319)," ","-"))</f>
        <v>Delayed</v>
      </c>
      <c r="R318" s="4">
        <f t="shared" si="24"/>
        <v>189.4736842105263</v>
      </c>
      <c r="S318" s="2">
        <f>[1]RawShipmentData!N319</f>
        <v>3</v>
      </c>
      <c r="T318" s="2" t="str">
        <f>IF(OR(UPPER(TRIM([1]RawShipmentData!O319))="YES",UPPER(TRIM([1]RawShipmentData!O319))="Y"),"Yes","No")</f>
        <v>No</v>
      </c>
    </row>
    <row r="319" spans="1:20" x14ac:dyDescent="0.25">
      <c r="A319" s="2" t="str">
        <f>[1]RawShipmentData!A320</f>
        <v>SHP-101469</v>
      </c>
      <c r="B319" s="3">
        <f>IF(ISNUMBER(SEARCH("/",TRIM([1]RawShipmentData!B320))),DATE(VALUE(RIGHT(TRIM([1]RawShipmentData!B320),4)),VALUE(MID(TRIM([1]RawShipmentData!B320),FIND("/",TRIM([1]RawShipmentData!B320))+1,2)),VALUE(LEFT(TRIM([1]RawShipmentData!B320),FIND("/",TRIM([1]RawShipmentData!B320))-1))),DATEVALUE(TRIM([1]RawShipmentData!B320)))</f>
        <v>45454</v>
      </c>
      <c r="C319" s="2" t="str">
        <f>PROPER(TRIM([1]RawShipmentData!C320))</f>
        <v>Chennai</v>
      </c>
      <c r="D319" s="2" t="str">
        <f>IFERROR(INDEX([1]HubMaster!$B$2:$B$7,MATCH(C319,[1]HubMaster!$A$2:$A$7,0)),"Unknown")</f>
        <v>South</v>
      </c>
      <c r="E319" s="2" t="str">
        <f>PROPER(TRIM(SUBSTITUTE([1]RawShipmentData!D320,"  "," ")))</f>
        <v>Dtdc</v>
      </c>
      <c r="F319" s="2" t="str">
        <f>PROPER(TRIM([1]RawShipmentData!E320))</f>
        <v>Road</v>
      </c>
      <c r="G319" s="2" t="str">
        <f>PROPER(TRIM(SUBSTITUTE([1]RawShipmentData!F320,"  "," ")))</f>
        <v>Apparel</v>
      </c>
      <c r="H319" s="2" t="str">
        <f>PROPER(TRIM([1]RawShipmentData!G320))</f>
        <v>West</v>
      </c>
      <c r="I319" s="2" t="str">
        <f t="shared" si="20"/>
        <v>Yes</v>
      </c>
      <c r="J319" s="2">
        <f>IFERROR(VALUE(TRIM(SUBSTITUTE(UPPER([1]RawShipmentData!I319),"KG",""))),"")</f>
        <v>66</v>
      </c>
      <c r="K319" s="2">
        <f>VALUE(SUBSTITUTE(SUBSTITUTE(SUBSTITUTE(TRIM([1]RawShipmentData!J320),"₹",""),"Rs",""),",",""))</f>
        <v>198</v>
      </c>
      <c r="L319" s="2">
        <f>[1]RawShipmentData!K320</f>
        <v>8</v>
      </c>
      <c r="M319" s="3">
        <f>IF(TRIM([1]RawShipmentData!L320)="","",IF(ISNUMBER(SEARCH("/",TRIM([1]RawShipmentData!L320))),DATE(VALUE(RIGHT(TRIM([1]RawShipmentData!L320),4)),VALUE(MID(TRIM([1]RawShipmentData!L320),FIND("/",TRIM([1]RawShipmentData!L320))+1,2)),VALUE(LEFT(TRIM([1]RawShipmentData!L320),FIND("/",TRIM([1]RawShipmentData!L320))-1))),DATEVALUE(TRIM([1]RawShipmentData!L320))))</f>
        <v>45461</v>
      </c>
      <c r="N319" s="2">
        <f t="shared" si="21"/>
        <v>7</v>
      </c>
      <c r="O319" s="2">
        <f t="shared" si="22"/>
        <v>-1</v>
      </c>
      <c r="P319" s="2" t="str">
        <f t="shared" si="23"/>
        <v>On Time</v>
      </c>
      <c r="Q319" s="2" t="str">
        <f>PROPER(SUBSTITUTE(TRIM([1]RawShipmentData!M320)," ","-"))</f>
        <v>Delivered</v>
      </c>
      <c r="R319" s="4">
        <f t="shared" si="24"/>
        <v>3</v>
      </c>
      <c r="S319" s="2">
        <f>[1]RawShipmentData!N320</f>
        <v>4</v>
      </c>
      <c r="T319" s="2" t="str">
        <f>IF(OR(UPPER(TRIM([1]RawShipmentData!O320))="YES",UPPER(TRIM([1]RawShipmentData!O320))="Y"),"Yes","No")</f>
        <v>No</v>
      </c>
    </row>
    <row r="320" spans="1:20" x14ac:dyDescent="0.25">
      <c r="A320" s="2" t="str">
        <f>[1]RawShipmentData!A321</f>
        <v>SHP-101022</v>
      </c>
      <c r="B320" s="3">
        <f>IF(ISNUMBER(SEARCH("/",TRIM([1]RawShipmentData!B321))),DATE(VALUE(RIGHT(TRIM([1]RawShipmentData!B321),4)),VALUE(MID(TRIM([1]RawShipmentData!B321),FIND("/",TRIM([1]RawShipmentData!B321))+1,2)),VALUE(LEFT(TRIM([1]RawShipmentData!B321),FIND("/",TRIM([1]RawShipmentData!B321))-1))),DATEVALUE(TRIM([1]RawShipmentData!B321)))</f>
        <v>45471</v>
      </c>
      <c r="C320" s="2" t="str">
        <f>PROPER(TRIM([1]RawShipmentData!C321))</f>
        <v>Chennai</v>
      </c>
      <c r="D320" s="2" t="str">
        <f>IFERROR(INDEX([1]HubMaster!$B$2:$B$7,MATCH(C320,[1]HubMaster!$A$2:$A$7,0)),"Unknown")</f>
        <v>South</v>
      </c>
      <c r="E320" s="2" t="str">
        <f>PROPER(TRIM(SUBSTITUTE([1]RawShipmentData!D321,"  "," ")))</f>
        <v>Bluedart</v>
      </c>
      <c r="F320" s="2" t="str">
        <f>PROPER(TRIM([1]RawShipmentData!E321))</f>
        <v>Road</v>
      </c>
      <c r="G320" s="2" t="str">
        <f>PROPER(TRIM(SUBSTITUTE([1]RawShipmentData!F321,"  "," ")))</f>
        <v>Furniture</v>
      </c>
      <c r="H320" s="2" t="str">
        <f>PROPER(TRIM([1]RawShipmentData!G321))</f>
        <v>South</v>
      </c>
      <c r="I320" s="2" t="str">
        <f t="shared" si="20"/>
        <v>No</v>
      </c>
      <c r="J320" s="2">
        <f>IFERROR(VALUE(TRIM(SUBSTITUTE(UPPER([1]RawShipmentData!I320),"KG",""))),"")</f>
        <v>2.6</v>
      </c>
      <c r="K320" s="2">
        <f>VALUE(SUBSTITUTE(SUBSTITUTE(SUBSTITUTE(TRIM([1]RawShipmentData!J321),"₹",""),"Rs",""),",",""))</f>
        <v>670</v>
      </c>
      <c r="L320" s="2">
        <f>[1]RawShipmentData!K321</f>
        <v>6</v>
      </c>
      <c r="M320" s="3" t="str">
        <f>IF(TRIM([1]RawShipmentData!L321)="","",IF(ISNUMBER(SEARCH("/",TRIM([1]RawShipmentData!L321))),DATE(VALUE(RIGHT(TRIM([1]RawShipmentData!L321),4)),VALUE(MID(TRIM([1]RawShipmentData!L321),FIND("/",TRIM([1]RawShipmentData!L321))+1,2)),VALUE(LEFT(TRIM([1]RawShipmentData!L321),FIND("/",TRIM([1]RawShipmentData!L321))-1))),DATEVALUE(TRIM([1]RawShipmentData!L321))))</f>
        <v/>
      </c>
      <c r="N320" s="2" t="str">
        <f t="shared" si="21"/>
        <v/>
      </c>
      <c r="O320" s="2" t="str">
        <f t="shared" si="22"/>
        <v/>
      </c>
      <c r="P320" s="2" t="str">
        <f t="shared" si="23"/>
        <v>N/A</v>
      </c>
      <c r="Q320" s="2" t="str">
        <f>PROPER(SUBSTITUTE(TRIM([1]RawShipmentData!M321)," ","-"))</f>
        <v>In-Transit</v>
      </c>
      <c r="R320" s="4">
        <f t="shared" si="24"/>
        <v>257.69230769230768</v>
      </c>
      <c r="S320" s="2">
        <f>[1]RawShipmentData!N321</f>
        <v>0</v>
      </c>
      <c r="T320" s="2" t="str">
        <f>IF(OR(UPPER(TRIM([1]RawShipmentData!O321))="YES",UPPER(TRIM([1]RawShipmentData!O321))="Y"),"Yes","No")</f>
        <v>No</v>
      </c>
    </row>
    <row r="321" spans="1:20" x14ac:dyDescent="0.25">
      <c r="A321" s="2" t="str">
        <f>[1]RawShipmentData!A322</f>
        <v>SHP-100810</v>
      </c>
      <c r="B321" s="3">
        <f>IF(ISNUMBER(SEARCH("/",TRIM([1]RawShipmentData!B322))),DATE(VALUE(RIGHT(TRIM([1]RawShipmentData!B322),4)),VALUE(MID(TRIM([1]RawShipmentData!B322),FIND("/",TRIM([1]RawShipmentData!B322))+1,2)),VALUE(LEFT(TRIM([1]RawShipmentData!B322),FIND("/",TRIM([1]RawShipmentData!B322))-1))),DATEVALUE(TRIM([1]RawShipmentData!B322)))</f>
        <v>45318</v>
      </c>
      <c r="C321" s="2" t="str">
        <f>PROPER(TRIM([1]RawShipmentData!C322))</f>
        <v>Kolkata</v>
      </c>
      <c r="D321" s="2" t="str">
        <f>IFERROR(INDEX([1]HubMaster!$B$2:$B$7,MATCH(C321,[1]HubMaster!$A$2:$A$7,0)),"Unknown")</f>
        <v>East</v>
      </c>
      <c r="E321" s="2" t="str">
        <f>PROPER(TRIM(SUBSTITUTE([1]RawShipmentData!D322,"  "," ")))</f>
        <v>Bluedart</v>
      </c>
      <c r="F321" s="2" t="str">
        <f>PROPER(TRIM([1]RawShipmentData!E322))</f>
        <v>Air</v>
      </c>
      <c r="G321" s="2" t="str">
        <f>PROPER(TRIM(SUBSTITUTE([1]RawShipmentData!F322,"  "," ")))</f>
        <v>Pharma</v>
      </c>
      <c r="H321" s="2" t="str">
        <f>PROPER(TRIM([1]RawShipmentData!G322))</f>
        <v>North</v>
      </c>
      <c r="I321" s="2" t="str">
        <f t="shared" si="20"/>
        <v>Yes</v>
      </c>
      <c r="J321" s="2">
        <f>IFERROR(VALUE(TRIM(SUBSTITUTE(UPPER([1]RawShipmentData!I321),"KG",""))),"")</f>
        <v>49.2</v>
      </c>
      <c r="K321" s="2">
        <f>VALUE(SUBSTITUTE(SUBSTITUTE(SUBSTITUTE(TRIM([1]RawShipmentData!J322),"₹",""),"Rs",""),",",""))</f>
        <v>285</v>
      </c>
      <c r="L321" s="2">
        <f>[1]RawShipmentData!K322</f>
        <v>4</v>
      </c>
      <c r="M321" s="3">
        <f>IF(TRIM([1]RawShipmentData!L322)="","",IF(ISNUMBER(SEARCH("/",TRIM([1]RawShipmentData!L322))),DATE(VALUE(RIGHT(TRIM([1]RawShipmentData!L322),4)),VALUE(MID(TRIM([1]RawShipmentData!L322),FIND("/",TRIM([1]RawShipmentData!L322))+1,2)),VALUE(LEFT(TRIM([1]RawShipmentData!L322),FIND("/",TRIM([1]RawShipmentData!L322))-1))),DATEVALUE(TRIM([1]RawShipmentData!L322))))</f>
        <v>45322</v>
      </c>
      <c r="N321" s="2">
        <f t="shared" si="21"/>
        <v>4</v>
      </c>
      <c r="O321" s="2">
        <f t="shared" si="22"/>
        <v>0</v>
      </c>
      <c r="P321" s="2" t="str">
        <f t="shared" si="23"/>
        <v>On Time</v>
      </c>
      <c r="Q321" s="2" t="str">
        <f>PROPER(SUBSTITUTE(TRIM([1]RawShipmentData!M322)," ","-"))</f>
        <v>Delivered</v>
      </c>
      <c r="R321" s="4">
        <f t="shared" si="24"/>
        <v>5.7926829268292677</v>
      </c>
      <c r="S321" s="2">
        <f>[1]RawShipmentData!N322</f>
        <v>5</v>
      </c>
      <c r="T321" s="2" t="str">
        <f>IF(OR(UPPER(TRIM([1]RawShipmentData!O322))="YES",UPPER(TRIM([1]RawShipmentData!O322))="Y"),"Yes","No")</f>
        <v>No</v>
      </c>
    </row>
    <row r="322" spans="1:20" x14ac:dyDescent="0.25">
      <c r="A322" s="2" t="str">
        <f>[1]RawShipmentData!A323</f>
        <v>SHP-101204</v>
      </c>
      <c r="B322" s="3">
        <f>IF(ISNUMBER(SEARCH("/",TRIM([1]RawShipmentData!B323))),DATE(VALUE(RIGHT(TRIM([1]RawShipmentData!B323),4)),VALUE(MID(TRIM([1]RawShipmentData!B323),FIND("/",TRIM([1]RawShipmentData!B323))+1,2)),VALUE(LEFT(TRIM([1]RawShipmentData!B323),FIND("/",TRIM([1]RawShipmentData!B323))-1))),DATEVALUE(TRIM([1]RawShipmentData!B323)))</f>
        <v>45348</v>
      </c>
      <c r="C322" s="2" t="str">
        <f>PROPER(TRIM([1]RawShipmentData!C323))</f>
        <v>Bengaluru</v>
      </c>
      <c r="D322" s="2" t="str">
        <f>IFERROR(INDEX([1]HubMaster!$B$2:$B$7,MATCH(C322,[1]HubMaster!$A$2:$A$7,0)),"Unknown")</f>
        <v>South</v>
      </c>
      <c r="E322" s="2" t="str">
        <f>PROPER(TRIM(SUBSTITUTE([1]RawShipmentData!D323,"  "," ")))</f>
        <v>Bluedart</v>
      </c>
      <c r="F322" s="2" t="str">
        <f>PROPER(TRIM([1]RawShipmentData!E323))</f>
        <v>Road</v>
      </c>
      <c r="G322" s="2" t="str">
        <f>PROPER(TRIM(SUBSTITUTE([1]RawShipmentData!F323,"  "," ")))</f>
        <v>Furniture</v>
      </c>
      <c r="H322" s="2" t="str">
        <f>PROPER(TRIM([1]RawShipmentData!G323))</f>
        <v>North</v>
      </c>
      <c r="I322" s="2" t="str">
        <f t="shared" ref="I322:I385" si="25">IF(D322=H322,"No","Yes")</f>
        <v>Yes</v>
      </c>
      <c r="J322" s="2">
        <f>IFERROR(VALUE(TRIM(SUBSTITUTE(UPPER([1]RawShipmentData!I322),"KG",""))),"")</f>
        <v>3.4</v>
      </c>
      <c r="K322" s="2">
        <f>VALUE(SUBSTITUTE(SUBSTITUTE(SUBSTITUTE(TRIM([1]RawShipmentData!J323),"₹",""),"Rs",""),",",""))</f>
        <v>887</v>
      </c>
      <c r="L322" s="2">
        <f>[1]RawShipmentData!K323</f>
        <v>8</v>
      </c>
      <c r="M322" s="3">
        <f>IF(TRIM([1]RawShipmentData!L323)="","",IF(ISNUMBER(SEARCH("/",TRIM([1]RawShipmentData!L323))),DATE(VALUE(RIGHT(TRIM([1]RawShipmentData!L323),4)),VALUE(MID(TRIM([1]RawShipmentData!L323),FIND("/",TRIM([1]RawShipmentData!L323))+1,2)),VALUE(LEFT(TRIM([1]RawShipmentData!L323),FIND("/",TRIM([1]RawShipmentData!L323))-1))),DATEVALUE(TRIM([1]RawShipmentData!L323))))</f>
        <v>45356</v>
      </c>
      <c r="N322" s="2">
        <f t="shared" ref="N322:N385" si="26">IF(M322="","",M322-B322)</f>
        <v>8</v>
      </c>
      <c r="O322" s="2">
        <f t="shared" ref="O322:O385" si="27">IF(N322="","",N322-L322)</f>
        <v>0</v>
      </c>
      <c r="P322" s="2" t="str">
        <f t="shared" ref="P322:P385" si="28">IF(N322="","N/A",IF(N322&lt;=L322,"On Time","Late"))</f>
        <v>On Time</v>
      </c>
      <c r="Q322" s="2" t="str">
        <f>PROPER(SUBSTITUTE(TRIM([1]RawShipmentData!M323)," ","-"))</f>
        <v>Delivered</v>
      </c>
      <c r="R322" s="4">
        <f t="shared" si="24"/>
        <v>260.88235294117646</v>
      </c>
      <c r="S322" s="2">
        <f>[1]RawShipmentData!N323</f>
        <v>4</v>
      </c>
      <c r="T322" s="2" t="str">
        <f>IF(OR(UPPER(TRIM([1]RawShipmentData!O323))="YES",UPPER(TRIM([1]RawShipmentData!O323))="Y"),"Yes","No")</f>
        <v>No</v>
      </c>
    </row>
    <row r="323" spans="1:20" x14ac:dyDescent="0.25">
      <c r="A323" s="2" t="str">
        <f>[1]RawShipmentData!A324</f>
        <v>SHP-101403</v>
      </c>
      <c r="B323" s="3">
        <f>IF(ISNUMBER(SEARCH("/",TRIM([1]RawShipmentData!B324))),DATE(VALUE(RIGHT(TRIM([1]RawShipmentData!B324),4)),VALUE(MID(TRIM([1]RawShipmentData!B324),FIND("/",TRIM([1]RawShipmentData!B324))+1,2)),VALUE(LEFT(TRIM([1]RawShipmentData!B324),FIND("/",TRIM([1]RawShipmentData!B324))-1))),DATEVALUE(TRIM([1]RawShipmentData!B324)))</f>
        <v>45363</v>
      </c>
      <c r="C323" s="2" t="str">
        <f>PROPER(TRIM([1]RawShipmentData!C324))</f>
        <v>Chennai</v>
      </c>
      <c r="D323" s="2" t="str">
        <f>IFERROR(INDEX([1]HubMaster!$B$2:$B$7,MATCH(C323,[1]HubMaster!$A$2:$A$7,0)),"Unknown")</f>
        <v>South</v>
      </c>
      <c r="E323" s="2" t="str">
        <f>PROPER(TRIM(SUBSTITUTE([1]RawShipmentData!D324,"  "," ")))</f>
        <v>Ecom Express</v>
      </c>
      <c r="F323" s="2" t="str">
        <f>PROPER(TRIM([1]RawShipmentData!E324))</f>
        <v>Air</v>
      </c>
      <c r="G323" s="2" t="str">
        <f>PROPER(TRIM(SUBSTITUTE([1]RawShipmentData!F324,"  "," ")))</f>
        <v>Electronics</v>
      </c>
      <c r="H323" s="2" t="str">
        <f>PROPER(TRIM([1]RawShipmentData!G324))</f>
        <v>East</v>
      </c>
      <c r="I323" s="2" t="str">
        <f t="shared" si="25"/>
        <v>Yes</v>
      </c>
      <c r="J323" s="2">
        <f>IFERROR(VALUE(TRIM(SUBSTITUTE(UPPER([1]RawShipmentData!I323),"KG",""))),"")</f>
        <v>49.7</v>
      </c>
      <c r="K323" s="2">
        <f>VALUE(SUBSTITUTE(SUBSTITUTE(SUBSTITUTE(TRIM([1]RawShipmentData!J324),"₹",""),"Rs",""),",",""))</f>
        <v>582</v>
      </c>
      <c r="L323" s="2">
        <f>[1]RawShipmentData!K324</f>
        <v>4</v>
      </c>
      <c r="M323" s="3">
        <f>IF(TRIM([1]RawShipmentData!L324)="","",IF(ISNUMBER(SEARCH("/",TRIM([1]RawShipmentData!L324))),DATE(VALUE(RIGHT(TRIM([1]RawShipmentData!L324),4)),VALUE(MID(TRIM([1]RawShipmentData!L324),FIND("/",TRIM([1]RawShipmentData!L324))+1,2)),VALUE(LEFT(TRIM([1]RawShipmentData!L324),FIND("/",TRIM([1]RawShipmentData!L324))-1))),DATEVALUE(TRIM([1]RawShipmentData!L324))))</f>
        <v>45372</v>
      </c>
      <c r="N323" s="2">
        <f t="shared" si="26"/>
        <v>9</v>
      </c>
      <c r="O323" s="2">
        <f t="shared" si="27"/>
        <v>5</v>
      </c>
      <c r="P323" s="2" t="str">
        <f t="shared" si="28"/>
        <v>Late</v>
      </c>
      <c r="Q323" s="2" t="str">
        <f>PROPER(SUBSTITUTE(TRIM([1]RawShipmentData!M324)," ","-"))</f>
        <v>Delayed</v>
      </c>
      <c r="R323" s="4">
        <f t="shared" ref="R323:R386" si="29">IFERROR(K323/J323,"")</f>
        <v>11.710261569416499</v>
      </c>
      <c r="S323" s="2">
        <f>[1]RawShipmentData!N324</f>
        <v>2</v>
      </c>
      <c r="T323" s="2" t="str">
        <f>IF(OR(UPPER(TRIM([1]RawShipmentData!O324))="YES",UPPER(TRIM([1]RawShipmentData!O324))="Y"),"Yes","No")</f>
        <v>No</v>
      </c>
    </row>
    <row r="324" spans="1:20" x14ac:dyDescent="0.25">
      <c r="A324" s="2" t="str">
        <f>[1]RawShipmentData!A325</f>
        <v>SHP-100125</v>
      </c>
      <c r="B324" s="3">
        <f>IF(ISNUMBER(SEARCH("/",TRIM([1]RawShipmentData!B325))),DATE(VALUE(RIGHT(TRIM([1]RawShipmentData!B325),4)),VALUE(MID(TRIM([1]RawShipmentData!B325),FIND("/",TRIM([1]RawShipmentData!B325))+1,2)),VALUE(LEFT(TRIM([1]RawShipmentData!B325),FIND("/",TRIM([1]RawShipmentData!B325))-1))),DATEVALUE(TRIM([1]RawShipmentData!B325)))</f>
        <v>45422</v>
      </c>
      <c r="C324" s="2" t="str">
        <f>PROPER(TRIM([1]RawShipmentData!C325))</f>
        <v>Hyderabad</v>
      </c>
      <c r="D324" s="2" t="str">
        <f>IFERROR(INDEX([1]HubMaster!$B$2:$B$7,MATCH(C324,[1]HubMaster!$A$2:$A$7,0)),"Unknown")</f>
        <v>West</v>
      </c>
      <c r="E324" s="2" t="str">
        <f>PROPER(TRIM(SUBSTITUTE([1]RawShipmentData!D325,"  "," ")))</f>
        <v>Dtdc</v>
      </c>
      <c r="F324" s="2" t="str">
        <f>PROPER(TRIM([1]RawShipmentData!E325))</f>
        <v>Road</v>
      </c>
      <c r="G324" s="2" t="str">
        <f>PROPER(TRIM(SUBSTITUTE([1]RawShipmentData!F325,"  "," ")))</f>
        <v>Electronics</v>
      </c>
      <c r="H324" s="2" t="str">
        <f>PROPER(TRIM([1]RawShipmentData!G325))</f>
        <v>West</v>
      </c>
      <c r="I324" s="2" t="str">
        <f t="shared" si="25"/>
        <v>No</v>
      </c>
      <c r="J324" s="2">
        <f>IFERROR(VALUE(TRIM(SUBSTITUTE(UPPER([1]RawShipmentData!I324),"KG",""))),"")</f>
        <v>9.5</v>
      </c>
      <c r="K324" s="2">
        <f>VALUE(SUBSTITUTE(SUBSTITUTE(SUBSTITUTE(TRIM([1]RawShipmentData!J325),"₹",""),"Rs",""),",",""))</f>
        <v>80</v>
      </c>
      <c r="L324" s="2">
        <f>[1]RawShipmentData!K325</f>
        <v>6</v>
      </c>
      <c r="M324" s="3">
        <f>IF(TRIM([1]RawShipmentData!L325)="","",IF(ISNUMBER(SEARCH("/",TRIM([1]RawShipmentData!L325))),DATE(VALUE(RIGHT(TRIM([1]RawShipmentData!L325),4)),VALUE(MID(TRIM([1]RawShipmentData!L325),FIND("/",TRIM([1]RawShipmentData!L325))+1,2)),VALUE(LEFT(TRIM([1]RawShipmentData!L325),FIND("/",TRIM([1]RawShipmentData!L325))-1))),DATEVALUE(TRIM([1]RawShipmentData!L325))))</f>
        <v>45433</v>
      </c>
      <c r="N324" s="2">
        <f t="shared" si="26"/>
        <v>11</v>
      </c>
      <c r="O324" s="2">
        <f t="shared" si="27"/>
        <v>5</v>
      </c>
      <c r="P324" s="2" t="str">
        <f t="shared" si="28"/>
        <v>Late</v>
      </c>
      <c r="Q324" s="2" t="str">
        <f>PROPER(SUBSTITUTE(TRIM([1]RawShipmentData!M325)," ","-"))</f>
        <v>Damaged</v>
      </c>
      <c r="R324" s="4">
        <f t="shared" si="29"/>
        <v>8.4210526315789469</v>
      </c>
      <c r="S324" s="2">
        <f>[1]RawShipmentData!N325</f>
        <v>0</v>
      </c>
      <c r="T324" s="2" t="str">
        <f>IF(OR(UPPER(TRIM([1]RawShipmentData!O325))="YES",UPPER(TRIM([1]RawShipmentData!O325))="Y"),"Yes","No")</f>
        <v>Yes</v>
      </c>
    </row>
    <row r="325" spans="1:20" x14ac:dyDescent="0.25">
      <c r="A325" s="2" t="str">
        <f>[1]RawShipmentData!A326</f>
        <v>SHP-100658</v>
      </c>
      <c r="B325" s="3">
        <f>IF(ISNUMBER(SEARCH("/",TRIM([1]RawShipmentData!B326))),DATE(VALUE(RIGHT(TRIM([1]RawShipmentData!B326),4)),VALUE(MID(TRIM([1]RawShipmentData!B326),FIND("/",TRIM([1]RawShipmentData!B326))+1,2)),VALUE(LEFT(TRIM([1]RawShipmentData!B326),FIND("/",TRIM([1]RawShipmentData!B326))-1))),DATEVALUE(TRIM([1]RawShipmentData!B326)))</f>
        <v>45389</v>
      </c>
      <c r="C325" s="2" t="str">
        <f>PROPER(TRIM([1]RawShipmentData!C326))</f>
        <v>Kolkata</v>
      </c>
      <c r="D325" s="2" t="str">
        <f>IFERROR(INDEX([1]HubMaster!$B$2:$B$7,MATCH(C325,[1]HubMaster!$A$2:$A$7,0)),"Unknown")</f>
        <v>East</v>
      </c>
      <c r="E325" s="2" t="str">
        <f>PROPER(TRIM(SUBSTITUTE([1]RawShipmentData!D326,"  "," ")))</f>
        <v>Bluedart</v>
      </c>
      <c r="F325" s="2" t="str">
        <f>PROPER(TRIM([1]RawShipmentData!E326))</f>
        <v>Surface</v>
      </c>
      <c r="G325" s="2" t="str">
        <f>PROPER(TRIM(SUBSTITUTE([1]RawShipmentData!F326,"  "," ")))</f>
        <v>Pharma</v>
      </c>
      <c r="H325" s="2" t="str">
        <f>PROPER(TRIM([1]RawShipmentData!G326))</f>
        <v>North</v>
      </c>
      <c r="I325" s="2" t="str">
        <f t="shared" si="25"/>
        <v>Yes</v>
      </c>
      <c r="J325" s="2">
        <f>IFERROR(VALUE(TRIM(SUBSTITUTE(UPPER([1]RawShipmentData!I325),"KG",""))),"")</f>
        <v>2</v>
      </c>
      <c r="K325" s="2">
        <f>VALUE(SUBSTITUTE(SUBSTITUTE(SUBSTITUTE(TRIM([1]RawShipmentData!J326),"₹",""),"Rs",""),",",""))</f>
        <v>199</v>
      </c>
      <c r="L325" s="2">
        <f>[1]RawShipmentData!K326</f>
        <v>6</v>
      </c>
      <c r="M325" s="3">
        <f>IF(TRIM([1]RawShipmentData!L326)="","",IF(ISNUMBER(SEARCH("/",TRIM([1]RawShipmentData!L326))),DATE(VALUE(RIGHT(TRIM([1]RawShipmentData!L326),4)),VALUE(MID(TRIM([1]RawShipmentData!L326),FIND("/",TRIM([1]RawShipmentData!L326))+1,2)),VALUE(LEFT(TRIM([1]RawShipmentData!L326),FIND("/",TRIM([1]RawShipmentData!L326))-1))),DATEVALUE(TRIM([1]RawShipmentData!L326))))</f>
        <v>45404</v>
      </c>
      <c r="N325" s="2">
        <f t="shared" si="26"/>
        <v>15</v>
      </c>
      <c r="O325" s="2">
        <f t="shared" si="27"/>
        <v>9</v>
      </c>
      <c r="P325" s="2" t="str">
        <f t="shared" si="28"/>
        <v>Late</v>
      </c>
      <c r="Q325" s="2" t="str">
        <f>PROPER(SUBSTITUTE(TRIM([1]RawShipmentData!M326)," ","-"))</f>
        <v>Delayed</v>
      </c>
      <c r="R325" s="4">
        <f t="shared" si="29"/>
        <v>99.5</v>
      </c>
      <c r="S325" s="2">
        <f>[1]RawShipmentData!N326</f>
        <v>1</v>
      </c>
      <c r="T325" s="2" t="str">
        <f>IF(OR(UPPER(TRIM([1]RawShipmentData!O326))="YES",UPPER(TRIM([1]RawShipmentData!O326))="Y"),"Yes","No")</f>
        <v>No</v>
      </c>
    </row>
    <row r="326" spans="1:20" x14ac:dyDescent="0.25">
      <c r="A326" s="2" t="str">
        <f>[1]RawShipmentData!A327</f>
        <v>SHP-100017</v>
      </c>
      <c r="B326" s="3">
        <f>IF(ISNUMBER(SEARCH("/",TRIM([1]RawShipmentData!B327))),DATE(VALUE(RIGHT(TRIM([1]RawShipmentData!B327),4)),VALUE(MID(TRIM([1]RawShipmentData!B327),FIND("/",TRIM([1]RawShipmentData!B327))+1,2)),VALUE(LEFT(TRIM([1]RawShipmentData!B327),FIND("/",TRIM([1]RawShipmentData!B327))-1))),DATEVALUE(TRIM([1]RawShipmentData!B327)))</f>
        <v>45294</v>
      </c>
      <c r="C326" s="2" t="str">
        <f>PROPER(TRIM([1]RawShipmentData!C327))</f>
        <v>Kolkata</v>
      </c>
      <c r="D326" s="2" t="str">
        <f>IFERROR(INDEX([1]HubMaster!$B$2:$B$7,MATCH(C326,[1]HubMaster!$A$2:$A$7,0)),"Unknown")</f>
        <v>East</v>
      </c>
      <c r="E326" s="2" t="str">
        <f>PROPER(TRIM(SUBSTITUTE([1]RawShipmentData!D327,"  "," ")))</f>
        <v>Bluedart</v>
      </c>
      <c r="F326" s="2" t="str">
        <f>PROPER(TRIM([1]RawShipmentData!E327))</f>
        <v>Road</v>
      </c>
      <c r="G326" s="2" t="str">
        <f>PROPER(TRIM(SUBSTITUTE([1]RawShipmentData!F327,"  "," ")))</f>
        <v>Automotive Parts</v>
      </c>
      <c r="H326" s="2" t="str">
        <f>PROPER(TRIM([1]RawShipmentData!G327))</f>
        <v>South</v>
      </c>
      <c r="I326" s="2" t="str">
        <f t="shared" si="25"/>
        <v>Yes</v>
      </c>
      <c r="J326" s="2">
        <f>IFERROR(VALUE(TRIM(SUBSTITUTE(UPPER([1]RawShipmentData!I326),"KG",""))),"")</f>
        <v>1.6</v>
      </c>
      <c r="K326" s="2">
        <f>VALUE(SUBSTITUTE(SUBSTITUTE(SUBSTITUTE(TRIM([1]RawShipmentData!J327),"₹",""),"Rs",""),",",""))</f>
        <v>379</v>
      </c>
      <c r="L326" s="2">
        <f>[1]RawShipmentData!K327</f>
        <v>8</v>
      </c>
      <c r="M326" s="3">
        <f>IF(TRIM([1]RawShipmentData!L327)="","",IF(ISNUMBER(SEARCH("/",TRIM([1]RawShipmentData!L327))),DATE(VALUE(RIGHT(TRIM([1]RawShipmentData!L327),4)),VALUE(MID(TRIM([1]RawShipmentData!L327),FIND("/",TRIM([1]RawShipmentData!L327))+1,2)),VALUE(LEFT(TRIM([1]RawShipmentData!L327),FIND("/",TRIM([1]RawShipmentData!L327))-1))),DATEVALUE(TRIM([1]RawShipmentData!L327))))</f>
        <v>45301</v>
      </c>
      <c r="N326" s="2">
        <f t="shared" si="26"/>
        <v>7</v>
      </c>
      <c r="O326" s="2">
        <f t="shared" si="27"/>
        <v>-1</v>
      </c>
      <c r="P326" s="2" t="str">
        <f t="shared" si="28"/>
        <v>On Time</v>
      </c>
      <c r="Q326" s="2" t="str">
        <f>PROPER(SUBSTITUTE(TRIM([1]RawShipmentData!M327)," ","-"))</f>
        <v>Delivered</v>
      </c>
      <c r="R326" s="4">
        <f t="shared" si="29"/>
        <v>236.875</v>
      </c>
      <c r="S326" s="2">
        <f>[1]RawShipmentData!N327</f>
        <v>5</v>
      </c>
      <c r="T326" s="2" t="str">
        <f>IF(OR(UPPER(TRIM([1]RawShipmentData!O327))="YES",UPPER(TRIM([1]RawShipmentData!O327))="Y"),"Yes","No")</f>
        <v>No</v>
      </c>
    </row>
    <row r="327" spans="1:20" x14ac:dyDescent="0.25">
      <c r="A327" s="2" t="str">
        <f>[1]RawShipmentData!A328</f>
        <v>SHP-100437</v>
      </c>
      <c r="B327" s="3">
        <f>IF(ISNUMBER(SEARCH("/",TRIM([1]RawShipmentData!B328))),DATE(VALUE(RIGHT(TRIM([1]RawShipmentData!B328),4)),VALUE(MID(TRIM([1]RawShipmentData!B328),FIND("/",TRIM([1]RawShipmentData!B328))+1,2)),VALUE(LEFT(TRIM([1]RawShipmentData!B328),FIND("/",TRIM([1]RawShipmentData!B328))-1))),DATEVALUE(TRIM([1]RawShipmentData!B328)))</f>
        <v>45454</v>
      </c>
      <c r="C327" s="2" t="str">
        <f>PROPER(TRIM([1]RawShipmentData!C328))</f>
        <v>Bengaluru</v>
      </c>
      <c r="D327" s="2" t="str">
        <f>IFERROR(INDEX([1]HubMaster!$B$2:$B$7,MATCH(C327,[1]HubMaster!$A$2:$A$7,0)),"Unknown")</f>
        <v>South</v>
      </c>
      <c r="E327" s="2" t="str">
        <f>PROPER(TRIM(SUBSTITUTE([1]RawShipmentData!D328,"  "," ")))</f>
        <v>Xpressbees</v>
      </c>
      <c r="F327" s="2" t="str">
        <f>PROPER(TRIM([1]RawShipmentData!E328))</f>
        <v>Air</v>
      </c>
      <c r="G327" s="2" t="str">
        <f>PROPER(TRIM(SUBSTITUTE([1]RawShipmentData!F328,"  "," ")))</f>
        <v>Automotive Parts</v>
      </c>
      <c r="H327" s="2" t="str">
        <f>PROPER(TRIM([1]RawShipmentData!G328))</f>
        <v>East</v>
      </c>
      <c r="I327" s="2" t="str">
        <f t="shared" si="25"/>
        <v>Yes</v>
      </c>
      <c r="J327" s="2">
        <f>IFERROR(VALUE(TRIM(SUBSTITUTE(UPPER([1]RawShipmentData!I327),"KG",""))),"")</f>
        <v>15.5</v>
      </c>
      <c r="K327" s="2">
        <f>VALUE(SUBSTITUTE(SUBSTITUTE(SUBSTITUTE(TRIM([1]RawShipmentData!J328),"₹",""),"Rs",""),",",""))</f>
        <v>990</v>
      </c>
      <c r="L327" s="2">
        <f>[1]RawShipmentData!K328</f>
        <v>4</v>
      </c>
      <c r="M327" s="3">
        <f>IF(TRIM([1]RawShipmentData!L328)="","",IF(ISNUMBER(SEARCH("/",TRIM([1]RawShipmentData!L328))),DATE(VALUE(RIGHT(TRIM([1]RawShipmentData!L328),4)),VALUE(MID(TRIM([1]RawShipmentData!L328),FIND("/",TRIM([1]RawShipmentData!L328))+1,2)),VALUE(LEFT(TRIM([1]RawShipmentData!L328),FIND("/",TRIM([1]RawShipmentData!L328))-1))),DATEVALUE(TRIM([1]RawShipmentData!L328))))</f>
        <v>45459</v>
      </c>
      <c r="N327" s="2">
        <f t="shared" si="26"/>
        <v>5</v>
      </c>
      <c r="O327" s="2">
        <f t="shared" si="27"/>
        <v>1</v>
      </c>
      <c r="P327" s="2" t="str">
        <f t="shared" si="28"/>
        <v>Late</v>
      </c>
      <c r="Q327" s="2" t="str">
        <f>PROPER(SUBSTITUTE(TRIM([1]RawShipmentData!M328)," ","-"))</f>
        <v>Delayed</v>
      </c>
      <c r="R327" s="4">
        <f t="shared" si="29"/>
        <v>63.87096774193548</v>
      </c>
      <c r="S327" s="2">
        <f>[1]RawShipmentData!N328</f>
        <v>4</v>
      </c>
      <c r="T327" s="2" t="str">
        <f>IF(OR(UPPER(TRIM([1]RawShipmentData!O328))="YES",UPPER(TRIM([1]RawShipmentData!O328))="Y"),"Yes","No")</f>
        <v>Yes</v>
      </c>
    </row>
    <row r="328" spans="1:20" x14ac:dyDescent="0.25">
      <c r="A328" s="2" t="str">
        <f>[1]RawShipmentData!A329</f>
        <v>SHP-100057</v>
      </c>
      <c r="B328" s="3">
        <f>IF(ISNUMBER(SEARCH("/",TRIM([1]RawShipmentData!B329))),DATE(VALUE(RIGHT(TRIM([1]RawShipmentData!B329),4)),VALUE(MID(TRIM([1]RawShipmentData!B329),FIND("/",TRIM([1]RawShipmentData!B329))+1,2)),VALUE(LEFT(TRIM([1]RawShipmentData!B329),FIND("/",TRIM([1]RawShipmentData!B329))-1))),DATEVALUE(TRIM([1]RawShipmentData!B329)))</f>
        <v>45341</v>
      </c>
      <c r="C328" s="2" t="str">
        <f>PROPER(TRIM([1]RawShipmentData!C329))</f>
        <v>Hyderabad</v>
      </c>
      <c r="D328" s="2" t="str">
        <f>IFERROR(INDEX([1]HubMaster!$B$2:$B$7,MATCH(C328,[1]HubMaster!$A$2:$A$7,0)),"Unknown")</f>
        <v>West</v>
      </c>
      <c r="E328" s="2" t="str">
        <f>PROPER(TRIM(SUBSTITUTE([1]RawShipmentData!D329,"  "," ")))</f>
        <v>Bluedart</v>
      </c>
      <c r="F328" s="2" t="str">
        <f>PROPER(TRIM([1]RawShipmentData!E329))</f>
        <v>Surface</v>
      </c>
      <c r="G328" s="2" t="str">
        <f>PROPER(TRIM(SUBSTITUTE([1]RawShipmentData!F329,"  "," ")))</f>
        <v>Grocery &amp; Fmcg</v>
      </c>
      <c r="H328" s="2" t="str">
        <f>PROPER(TRIM([1]RawShipmentData!G329))</f>
        <v>North</v>
      </c>
      <c r="I328" s="2" t="str">
        <f t="shared" si="25"/>
        <v>Yes</v>
      </c>
      <c r="J328" s="2">
        <f>IFERROR(VALUE(TRIM(SUBSTITUTE(UPPER([1]RawShipmentData!I328),"KG",""))),"")</f>
        <v>18</v>
      </c>
      <c r="K328" s="2">
        <f>VALUE(SUBSTITUTE(SUBSTITUTE(SUBSTITUTE(TRIM([1]RawShipmentData!J329),"₹",""),"Rs",""),",",""))</f>
        <v>229</v>
      </c>
      <c r="L328" s="2">
        <f>[1]RawShipmentData!K329</f>
        <v>6</v>
      </c>
      <c r="M328" s="3">
        <f>IF(TRIM([1]RawShipmentData!L329)="","",IF(ISNUMBER(SEARCH("/",TRIM([1]RawShipmentData!L329))),DATE(VALUE(RIGHT(TRIM([1]RawShipmentData!L329),4)),VALUE(MID(TRIM([1]RawShipmentData!L329),FIND("/",TRIM([1]RawShipmentData!L329))+1,2)),VALUE(LEFT(TRIM([1]RawShipmentData!L329),FIND("/",TRIM([1]RawShipmentData!L329))-1))),DATEVALUE(TRIM([1]RawShipmentData!L329))))</f>
        <v>45347</v>
      </c>
      <c r="N328" s="2">
        <f t="shared" si="26"/>
        <v>6</v>
      </c>
      <c r="O328" s="2">
        <f t="shared" si="27"/>
        <v>0</v>
      </c>
      <c r="P328" s="2" t="str">
        <f t="shared" si="28"/>
        <v>On Time</v>
      </c>
      <c r="Q328" s="2" t="str">
        <f>PROPER(SUBSTITUTE(TRIM([1]RawShipmentData!M329)," ","-"))</f>
        <v>Delivered</v>
      </c>
      <c r="R328" s="4">
        <f t="shared" si="29"/>
        <v>12.722222222222221</v>
      </c>
      <c r="S328" s="2">
        <f>[1]RawShipmentData!N329</f>
        <v>5</v>
      </c>
      <c r="T328" s="2" t="str">
        <f>IF(OR(UPPER(TRIM([1]RawShipmentData!O329))="YES",UPPER(TRIM([1]RawShipmentData!O329))="Y"),"Yes","No")</f>
        <v>No</v>
      </c>
    </row>
    <row r="329" spans="1:20" x14ac:dyDescent="0.25">
      <c r="A329" s="2" t="str">
        <f>[1]RawShipmentData!A330</f>
        <v>SHP-100098</v>
      </c>
      <c r="B329" s="3">
        <f>IF(ISNUMBER(SEARCH("/",TRIM([1]RawShipmentData!B330))),DATE(VALUE(RIGHT(TRIM([1]RawShipmentData!B330),4)),VALUE(MID(TRIM([1]RawShipmentData!B330),FIND("/",TRIM([1]RawShipmentData!B330))+1,2)),VALUE(LEFT(TRIM([1]RawShipmentData!B330),FIND("/",TRIM([1]RawShipmentData!B330))-1))),DATEVALUE(TRIM([1]RawShipmentData!B330)))</f>
        <v>45452</v>
      </c>
      <c r="C329" s="2" t="str">
        <f>PROPER(TRIM([1]RawShipmentData!C330))</f>
        <v>Mumbai</v>
      </c>
      <c r="D329" s="2" t="str">
        <f>IFERROR(INDEX([1]HubMaster!$B$2:$B$7,MATCH(C329,[1]HubMaster!$A$2:$A$7,0)),"Unknown")</f>
        <v>West</v>
      </c>
      <c r="E329" s="2" t="str">
        <f>PROPER(TRIM(SUBSTITUTE([1]RawShipmentData!D330,"  "," ")))</f>
        <v>Delhivery</v>
      </c>
      <c r="F329" s="2" t="str">
        <f>PROPER(TRIM([1]RawShipmentData!E330))</f>
        <v>Air</v>
      </c>
      <c r="G329" s="2" t="str">
        <f>PROPER(TRIM(SUBSTITUTE([1]RawShipmentData!F330,"  "," ")))</f>
        <v>Automotive Parts</v>
      </c>
      <c r="H329" s="2" t="str">
        <f>PROPER(TRIM([1]RawShipmentData!G330))</f>
        <v>West</v>
      </c>
      <c r="I329" s="2" t="str">
        <f t="shared" si="25"/>
        <v>No</v>
      </c>
      <c r="J329" s="2">
        <f>IFERROR(VALUE(TRIM(SUBSTITUTE(UPPER([1]RawShipmentData!I329),"KG",""))),"")</f>
        <v>2.1</v>
      </c>
      <c r="K329" s="2">
        <f>VALUE(SUBSTITUTE(SUBSTITUTE(SUBSTITUTE(TRIM([1]RawShipmentData!J330),"₹",""),"Rs",""),",",""))</f>
        <v>745</v>
      </c>
      <c r="L329" s="2">
        <f>[1]RawShipmentData!K330</f>
        <v>2</v>
      </c>
      <c r="M329" s="3">
        <f>IF(TRIM([1]RawShipmentData!L330)="","",IF(ISNUMBER(SEARCH("/",TRIM([1]RawShipmentData!L330))),DATE(VALUE(RIGHT(TRIM([1]RawShipmentData!L330),4)),VALUE(MID(TRIM([1]RawShipmentData!L330),FIND("/",TRIM([1]RawShipmentData!L330))+1,2)),VALUE(LEFT(TRIM([1]RawShipmentData!L330),FIND("/",TRIM([1]RawShipmentData!L330))-1))),DATEVALUE(TRIM([1]RawShipmentData!L330))))</f>
        <v>45454</v>
      </c>
      <c r="N329" s="2">
        <f t="shared" si="26"/>
        <v>2</v>
      </c>
      <c r="O329" s="2">
        <f t="shared" si="27"/>
        <v>0</v>
      </c>
      <c r="P329" s="2" t="str">
        <f t="shared" si="28"/>
        <v>On Time</v>
      </c>
      <c r="Q329" s="2" t="str">
        <f>PROPER(SUBSTITUTE(TRIM([1]RawShipmentData!M330)," ","-"))</f>
        <v>Delivered</v>
      </c>
      <c r="R329" s="4">
        <f t="shared" si="29"/>
        <v>354.76190476190476</v>
      </c>
      <c r="S329" s="2">
        <f>[1]RawShipmentData!N330</f>
        <v>4</v>
      </c>
      <c r="T329" s="2" t="str">
        <f>IF(OR(UPPER(TRIM([1]RawShipmentData!O330))="YES",UPPER(TRIM([1]RawShipmentData!O330))="Y"),"Yes","No")</f>
        <v>Yes</v>
      </c>
    </row>
    <row r="330" spans="1:20" x14ac:dyDescent="0.25">
      <c r="A330" s="2" t="str">
        <f>[1]RawShipmentData!A331</f>
        <v>SHP-101277</v>
      </c>
      <c r="B330" s="3">
        <f>IF(ISNUMBER(SEARCH("/",TRIM([1]RawShipmentData!B331))),DATE(VALUE(RIGHT(TRIM([1]RawShipmentData!B331),4)),VALUE(MID(TRIM([1]RawShipmentData!B331),FIND("/",TRIM([1]RawShipmentData!B331))+1,2)),VALUE(LEFT(TRIM([1]RawShipmentData!B331),FIND("/",TRIM([1]RawShipmentData!B331))-1))),DATEVALUE(TRIM([1]RawShipmentData!B331)))</f>
        <v>45419</v>
      </c>
      <c r="C330" s="2" t="str">
        <f>PROPER(TRIM([1]RawShipmentData!C331))</f>
        <v>Hyderabad</v>
      </c>
      <c r="D330" s="2" t="str">
        <f>IFERROR(INDEX([1]HubMaster!$B$2:$B$7,MATCH(C330,[1]HubMaster!$A$2:$A$7,0)),"Unknown")</f>
        <v>West</v>
      </c>
      <c r="E330" s="2" t="str">
        <f>PROPER(TRIM(SUBSTITUTE([1]RawShipmentData!D331,"  "," ")))</f>
        <v>Xpressbees</v>
      </c>
      <c r="F330" s="2" t="str">
        <f>PROPER(TRIM([1]RawShipmentData!E331))</f>
        <v>Surface</v>
      </c>
      <c r="G330" s="2" t="str">
        <f>PROPER(TRIM(SUBSTITUTE([1]RawShipmentData!F331,"  "," ")))</f>
        <v>Pharma</v>
      </c>
      <c r="H330" s="2" t="str">
        <f>PROPER(TRIM([1]RawShipmentData!G331))</f>
        <v>North</v>
      </c>
      <c r="I330" s="2" t="str">
        <f t="shared" si="25"/>
        <v>Yes</v>
      </c>
      <c r="J330" s="2">
        <f>IFERROR(VALUE(TRIM(SUBSTITUTE(UPPER([1]RawShipmentData!I330),"KG",""))),"")</f>
        <v>16.3</v>
      </c>
      <c r="K330" s="2">
        <f>VALUE(SUBSTITUTE(SUBSTITUTE(SUBSTITUTE(TRIM([1]RawShipmentData!J331),"₹",""),"Rs",""),",",""))</f>
        <v>232</v>
      </c>
      <c r="L330" s="2">
        <f>[1]RawShipmentData!K331</f>
        <v>6</v>
      </c>
      <c r="M330" s="3">
        <f>IF(TRIM([1]RawShipmentData!L331)="","",IF(ISNUMBER(SEARCH("/",TRIM([1]RawShipmentData!L331))),DATE(VALUE(RIGHT(TRIM([1]RawShipmentData!L331),4)),VALUE(MID(TRIM([1]RawShipmentData!L331),FIND("/",TRIM([1]RawShipmentData!L331))+1,2)),VALUE(LEFT(TRIM([1]RawShipmentData!L331),FIND("/",TRIM([1]RawShipmentData!L331))-1))),DATEVALUE(TRIM([1]RawShipmentData!L331))))</f>
        <v>45426</v>
      </c>
      <c r="N330" s="2">
        <f t="shared" si="26"/>
        <v>7</v>
      </c>
      <c r="O330" s="2">
        <f t="shared" si="27"/>
        <v>1</v>
      </c>
      <c r="P330" s="2" t="str">
        <f t="shared" si="28"/>
        <v>Late</v>
      </c>
      <c r="Q330" s="2" t="str">
        <f>PROPER(SUBSTITUTE(TRIM([1]RawShipmentData!M331)," ","-"))</f>
        <v>Delayed</v>
      </c>
      <c r="R330" s="4">
        <f t="shared" si="29"/>
        <v>14.233128834355828</v>
      </c>
      <c r="S330" s="2">
        <f>[1]RawShipmentData!N331</f>
        <v>1</v>
      </c>
      <c r="T330" s="2" t="str">
        <f>IF(OR(UPPER(TRIM([1]RawShipmentData!O331))="YES",UPPER(TRIM([1]RawShipmentData!O331))="Y"),"Yes","No")</f>
        <v>No</v>
      </c>
    </row>
    <row r="331" spans="1:20" x14ac:dyDescent="0.25">
      <c r="A331" s="2" t="str">
        <f>[1]RawShipmentData!A332</f>
        <v>SHP-101189</v>
      </c>
      <c r="B331" s="3">
        <f>IF(ISNUMBER(SEARCH("/",TRIM([1]RawShipmentData!B332))),DATE(VALUE(RIGHT(TRIM([1]RawShipmentData!B332),4)),VALUE(MID(TRIM([1]RawShipmentData!B332),FIND("/",TRIM([1]RawShipmentData!B332))+1,2)),VALUE(LEFT(TRIM([1]RawShipmentData!B332),FIND("/",TRIM([1]RawShipmentData!B332))-1))),DATEVALUE(TRIM([1]RawShipmentData!B332)))</f>
        <v>45378</v>
      </c>
      <c r="C331" s="2" t="str">
        <f>PROPER(TRIM([1]RawShipmentData!C332))</f>
        <v>Hyderabad</v>
      </c>
      <c r="D331" s="2" t="str">
        <f>IFERROR(INDEX([1]HubMaster!$B$2:$B$7,MATCH(C331,[1]HubMaster!$A$2:$A$7,0)),"Unknown")</f>
        <v>West</v>
      </c>
      <c r="E331" s="2" t="str">
        <f>PROPER(TRIM(SUBSTITUTE([1]RawShipmentData!D332,"  "," ")))</f>
        <v>Ecom Express</v>
      </c>
      <c r="F331" s="2" t="str">
        <f>PROPER(TRIM([1]RawShipmentData!E332))</f>
        <v>Surface</v>
      </c>
      <c r="G331" s="2" t="str">
        <f>PROPER(TRIM(SUBSTITUTE([1]RawShipmentData!F332,"  "," ")))</f>
        <v>Automotive Parts</v>
      </c>
      <c r="H331" s="2" t="str">
        <f>PROPER(TRIM([1]RawShipmentData!G332))</f>
        <v>North</v>
      </c>
      <c r="I331" s="2" t="str">
        <f t="shared" si="25"/>
        <v>Yes</v>
      </c>
      <c r="J331" s="2">
        <f>IFERROR(VALUE(TRIM(SUBSTITUTE(UPPER([1]RawShipmentData!I331),"KG",""))),"")</f>
        <v>2.8</v>
      </c>
      <c r="K331" s="2">
        <f>VALUE(SUBSTITUTE(SUBSTITUTE(SUBSTITUTE(TRIM([1]RawShipmentData!J332),"₹",""),"Rs",""),",",""))</f>
        <v>1048</v>
      </c>
      <c r="L331" s="2">
        <f>[1]RawShipmentData!K332</f>
        <v>6</v>
      </c>
      <c r="M331" s="3">
        <f>IF(TRIM([1]RawShipmentData!L332)="","",IF(ISNUMBER(SEARCH("/",TRIM([1]RawShipmentData!L332))),DATE(VALUE(RIGHT(TRIM([1]RawShipmentData!L332),4)),VALUE(MID(TRIM([1]RawShipmentData!L332),FIND("/",TRIM([1]RawShipmentData!L332))+1,2)),VALUE(LEFT(TRIM([1]RawShipmentData!L332),FIND("/",TRIM([1]RawShipmentData!L332))-1))),DATEVALUE(TRIM([1]RawShipmentData!L332))))</f>
        <v>45385</v>
      </c>
      <c r="N331" s="2">
        <f t="shared" si="26"/>
        <v>7</v>
      </c>
      <c r="O331" s="2">
        <f t="shared" si="27"/>
        <v>1</v>
      </c>
      <c r="P331" s="2" t="str">
        <f t="shared" si="28"/>
        <v>Late</v>
      </c>
      <c r="Q331" s="2" t="str">
        <f>PROPER(SUBSTITUTE(TRIM([1]RawShipmentData!M332)," ","-"))</f>
        <v>Delayed</v>
      </c>
      <c r="R331" s="4">
        <f t="shared" si="29"/>
        <v>374.28571428571433</v>
      </c>
      <c r="S331" s="2">
        <f>[1]RawShipmentData!N332</f>
        <v>2</v>
      </c>
      <c r="T331" s="2" t="str">
        <f>IF(OR(UPPER(TRIM([1]RawShipmentData!O332))="YES",UPPER(TRIM([1]RawShipmentData!O332))="Y"),"Yes","No")</f>
        <v>Yes</v>
      </c>
    </row>
    <row r="332" spans="1:20" x14ac:dyDescent="0.25">
      <c r="A332" s="2" t="str">
        <f>[1]RawShipmentData!A333</f>
        <v>SHP-101032</v>
      </c>
      <c r="B332" s="3">
        <f>IF(ISNUMBER(SEARCH("/",TRIM([1]RawShipmentData!B333))),DATE(VALUE(RIGHT(TRIM([1]RawShipmentData!B333),4)),VALUE(MID(TRIM([1]RawShipmentData!B333),FIND("/",TRIM([1]RawShipmentData!B333))+1,2)),VALUE(LEFT(TRIM([1]RawShipmentData!B333),FIND("/",TRIM([1]RawShipmentData!B333))-1))),DATEVALUE(TRIM([1]RawShipmentData!B333)))</f>
        <v>45397</v>
      </c>
      <c r="C332" s="2" t="str">
        <f>PROPER(TRIM([1]RawShipmentData!C333))</f>
        <v>Mumbai</v>
      </c>
      <c r="D332" s="2" t="str">
        <f>IFERROR(INDEX([1]HubMaster!$B$2:$B$7,MATCH(C332,[1]HubMaster!$A$2:$A$7,0)),"Unknown")</f>
        <v>West</v>
      </c>
      <c r="E332" s="2" t="str">
        <f>PROPER(TRIM(SUBSTITUTE([1]RawShipmentData!D333,"  "," ")))</f>
        <v>Delhivery</v>
      </c>
      <c r="F332" s="2" t="str">
        <f>PROPER(TRIM([1]RawShipmentData!E333))</f>
        <v>Surface</v>
      </c>
      <c r="G332" s="2" t="str">
        <f>PROPER(TRIM(SUBSTITUTE([1]RawShipmentData!F333,"  "," ")))</f>
        <v>Grocery &amp; Fmcg</v>
      </c>
      <c r="H332" s="2" t="str">
        <f>PROPER(TRIM([1]RawShipmentData!G333))</f>
        <v>East</v>
      </c>
      <c r="I332" s="2" t="str">
        <f t="shared" si="25"/>
        <v>Yes</v>
      </c>
      <c r="J332" s="2">
        <f>IFERROR(VALUE(TRIM(SUBSTITUTE(UPPER([1]RawShipmentData!I332),"KG",""))),"")</f>
        <v>39.700000000000003</v>
      </c>
      <c r="K332" s="2">
        <f>VALUE(SUBSTITUTE(SUBSTITUTE(SUBSTITUTE(TRIM([1]RawShipmentData!J333),"₹",""),"Rs",""),",",""))</f>
        <v>263</v>
      </c>
      <c r="L332" s="2">
        <f>[1]RawShipmentData!K333</f>
        <v>6</v>
      </c>
      <c r="M332" s="3">
        <f>IF(TRIM([1]RawShipmentData!L333)="","",IF(ISNUMBER(SEARCH("/",TRIM([1]RawShipmentData!L333))),DATE(VALUE(RIGHT(TRIM([1]RawShipmentData!L333),4)),VALUE(MID(TRIM([1]RawShipmentData!L333),FIND("/",TRIM([1]RawShipmentData!L333))+1,2)),VALUE(LEFT(TRIM([1]RawShipmentData!L333),FIND("/",TRIM([1]RawShipmentData!L333))-1))),DATEVALUE(TRIM([1]RawShipmentData!L333))))</f>
        <v>45411</v>
      </c>
      <c r="N332" s="2">
        <f t="shared" si="26"/>
        <v>14</v>
      </c>
      <c r="O332" s="2">
        <f t="shared" si="27"/>
        <v>8</v>
      </c>
      <c r="P332" s="2" t="str">
        <f t="shared" si="28"/>
        <v>Late</v>
      </c>
      <c r="Q332" s="2" t="str">
        <f>PROPER(SUBSTITUTE(TRIM([1]RawShipmentData!M333)," ","-"))</f>
        <v>Delayed</v>
      </c>
      <c r="R332" s="4">
        <f t="shared" si="29"/>
        <v>6.624685138539042</v>
      </c>
      <c r="S332" s="2">
        <f>[1]RawShipmentData!N333</f>
        <v>1</v>
      </c>
      <c r="T332" s="2" t="str">
        <f>IF(OR(UPPER(TRIM([1]RawShipmentData!O333))="YES",UPPER(TRIM([1]RawShipmentData!O333))="Y"),"Yes","No")</f>
        <v>No</v>
      </c>
    </row>
    <row r="333" spans="1:20" x14ac:dyDescent="0.25">
      <c r="A333" s="2" t="str">
        <f>[1]RawShipmentData!A334</f>
        <v>SHP-101085</v>
      </c>
      <c r="B333" s="3">
        <f>IF(ISNUMBER(SEARCH("/",TRIM([1]RawShipmentData!B334))),DATE(VALUE(RIGHT(TRIM([1]RawShipmentData!B334),4)),VALUE(MID(TRIM([1]RawShipmentData!B334),FIND("/",TRIM([1]RawShipmentData!B334))+1,2)),VALUE(LEFT(TRIM([1]RawShipmentData!B334),FIND("/",TRIM([1]RawShipmentData!B334))-1))),DATEVALUE(TRIM([1]RawShipmentData!B334)))</f>
        <v>45360</v>
      </c>
      <c r="C333" s="2" t="str">
        <f>PROPER(TRIM([1]RawShipmentData!C334))</f>
        <v>Hyderabad</v>
      </c>
      <c r="D333" s="2" t="str">
        <f>IFERROR(INDEX([1]HubMaster!$B$2:$B$7,MATCH(C333,[1]HubMaster!$A$2:$A$7,0)),"Unknown")</f>
        <v>West</v>
      </c>
      <c r="E333" s="2" t="str">
        <f>PROPER(TRIM(SUBSTITUTE([1]RawShipmentData!D334,"  "," ")))</f>
        <v>Dtdc</v>
      </c>
      <c r="F333" s="2" t="str">
        <f>PROPER(TRIM([1]RawShipmentData!E334))</f>
        <v>Road</v>
      </c>
      <c r="G333" s="2" t="str">
        <f>PROPER(TRIM(SUBSTITUTE([1]RawShipmentData!F334,"  "," ")))</f>
        <v>Furniture</v>
      </c>
      <c r="H333" s="2" t="str">
        <f>PROPER(TRIM([1]RawShipmentData!G334))</f>
        <v>West</v>
      </c>
      <c r="I333" s="2" t="str">
        <f t="shared" si="25"/>
        <v>No</v>
      </c>
      <c r="J333" s="2">
        <f>IFERROR(VALUE(TRIM(SUBSTITUTE(UPPER([1]RawShipmentData!I333),"KG",""))),"")</f>
        <v>3.7</v>
      </c>
      <c r="K333" s="2">
        <f>VALUE(SUBSTITUTE(SUBSTITUTE(SUBSTITUTE(TRIM([1]RawShipmentData!J334),"₹",""),"Rs",""),",",""))</f>
        <v>227</v>
      </c>
      <c r="L333" s="2">
        <f>[1]RawShipmentData!K334</f>
        <v>6</v>
      </c>
      <c r="M333" s="3">
        <f>IF(TRIM([1]RawShipmentData!L334)="","",IF(ISNUMBER(SEARCH("/",TRIM([1]RawShipmentData!L334))),DATE(VALUE(RIGHT(TRIM([1]RawShipmentData!L334),4)),VALUE(MID(TRIM([1]RawShipmentData!L334),FIND("/",TRIM([1]RawShipmentData!L334))+1,2)),VALUE(LEFT(TRIM([1]RawShipmentData!L334),FIND("/",TRIM([1]RawShipmentData!L334))-1))),DATEVALUE(TRIM([1]RawShipmentData!L334))))</f>
        <v>45375</v>
      </c>
      <c r="N333" s="2">
        <f t="shared" si="26"/>
        <v>15</v>
      </c>
      <c r="O333" s="2">
        <f t="shared" si="27"/>
        <v>9</v>
      </c>
      <c r="P333" s="2" t="str">
        <f t="shared" si="28"/>
        <v>Late</v>
      </c>
      <c r="Q333" s="2" t="str">
        <f>PROPER(SUBSTITUTE(TRIM([1]RawShipmentData!M334)," ","-"))</f>
        <v>Delayed</v>
      </c>
      <c r="R333" s="4">
        <f t="shared" si="29"/>
        <v>61.351351351351347</v>
      </c>
      <c r="S333" s="2">
        <f>[1]RawShipmentData!N334</f>
        <v>2</v>
      </c>
      <c r="T333" s="2" t="str">
        <f>IF(OR(UPPER(TRIM([1]RawShipmentData!O334))="YES",UPPER(TRIM([1]RawShipmentData!O334))="Y"),"Yes","No")</f>
        <v>No</v>
      </c>
    </row>
    <row r="334" spans="1:20" x14ac:dyDescent="0.25">
      <c r="A334" s="2" t="str">
        <f>[1]RawShipmentData!A335</f>
        <v>SHP-100808</v>
      </c>
      <c r="B334" s="3">
        <f>IF(ISNUMBER(SEARCH("/",TRIM([1]RawShipmentData!B335))),DATE(VALUE(RIGHT(TRIM([1]RawShipmentData!B335),4)),VALUE(MID(TRIM([1]RawShipmentData!B335),FIND("/",TRIM([1]RawShipmentData!B335))+1,2)),VALUE(LEFT(TRIM([1]RawShipmentData!B335),FIND("/",TRIM([1]RawShipmentData!B335))-1))),DATEVALUE(TRIM([1]RawShipmentData!B335)))</f>
        <v>45462</v>
      </c>
      <c r="C334" s="2" t="str">
        <f>PROPER(TRIM([1]RawShipmentData!C335))</f>
        <v>Hyderabad</v>
      </c>
      <c r="D334" s="2" t="str">
        <f>IFERROR(INDEX([1]HubMaster!$B$2:$B$7,MATCH(C334,[1]HubMaster!$A$2:$A$7,0)),"Unknown")</f>
        <v>West</v>
      </c>
      <c r="E334" s="2" t="str">
        <f>PROPER(TRIM(SUBSTITUTE([1]RawShipmentData!D335,"  "," ")))</f>
        <v>Dtdc</v>
      </c>
      <c r="F334" s="2" t="str">
        <f>PROPER(TRIM([1]RawShipmentData!E335))</f>
        <v>Air</v>
      </c>
      <c r="G334" s="2" t="str">
        <f>PROPER(TRIM(SUBSTITUTE([1]RawShipmentData!F335,"  "," ")))</f>
        <v>Pharma</v>
      </c>
      <c r="H334" s="2" t="str">
        <f>PROPER(TRIM([1]RawShipmentData!G335))</f>
        <v>South</v>
      </c>
      <c r="I334" s="2" t="str">
        <f t="shared" si="25"/>
        <v>Yes</v>
      </c>
      <c r="J334" s="2">
        <f>IFERROR(VALUE(TRIM(SUBSTITUTE(UPPER([1]RawShipmentData!I334),"KG",""))),"")</f>
        <v>17.5</v>
      </c>
      <c r="K334" s="2">
        <f>VALUE(SUBSTITUTE(SUBSTITUTE(SUBSTITUTE(TRIM([1]RawShipmentData!J335),"₹",""),"Rs",""),",",""))</f>
        <v>360</v>
      </c>
      <c r="L334" s="2">
        <f>[1]RawShipmentData!K335</f>
        <v>4</v>
      </c>
      <c r="M334" s="3">
        <f>IF(TRIM([1]RawShipmentData!L335)="","",IF(ISNUMBER(SEARCH("/",TRIM([1]RawShipmentData!L335))),DATE(VALUE(RIGHT(TRIM([1]RawShipmentData!L335),4)),VALUE(MID(TRIM([1]RawShipmentData!L335),FIND("/",TRIM([1]RawShipmentData!L335))+1,2)),VALUE(LEFT(TRIM([1]RawShipmentData!L335),FIND("/",TRIM([1]RawShipmentData!L335))-1))),DATEVALUE(TRIM([1]RawShipmentData!L335))))</f>
        <v>45467</v>
      </c>
      <c r="N334" s="2">
        <f t="shared" si="26"/>
        <v>5</v>
      </c>
      <c r="O334" s="2">
        <f t="shared" si="27"/>
        <v>1</v>
      </c>
      <c r="P334" s="2" t="str">
        <f t="shared" si="28"/>
        <v>Late</v>
      </c>
      <c r="Q334" s="2" t="str">
        <f>PROPER(SUBSTITUTE(TRIM([1]RawShipmentData!M335)," ","-"))</f>
        <v>Delayed</v>
      </c>
      <c r="R334" s="4">
        <f t="shared" si="29"/>
        <v>20.571428571428573</v>
      </c>
      <c r="S334" s="2">
        <f>[1]RawShipmentData!N335</f>
        <v>2</v>
      </c>
      <c r="T334" s="2" t="str">
        <f>IF(OR(UPPER(TRIM([1]RawShipmentData!O335))="YES",UPPER(TRIM([1]RawShipmentData!O335))="Y"),"Yes","No")</f>
        <v>No</v>
      </c>
    </row>
    <row r="335" spans="1:20" x14ac:dyDescent="0.25">
      <c r="A335" s="2" t="str">
        <f>[1]RawShipmentData!A336</f>
        <v>SHP-101298</v>
      </c>
      <c r="B335" s="3">
        <f>IF(ISNUMBER(SEARCH("/",TRIM([1]RawShipmentData!B336))),DATE(VALUE(RIGHT(TRIM([1]RawShipmentData!B336),4)),VALUE(MID(TRIM([1]RawShipmentData!B336),FIND("/",TRIM([1]RawShipmentData!B336))+1,2)),VALUE(LEFT(TRIM([1]RawShipmentData!B336),FIND("/",TRIM([1]RawShipmentData!B336))-1))),DATEVALUE(TRIM([1]RawShipmentData!B336)))</f>
        <v>45304</v>
      </c>
      <c r="C335" s="2" t="str">
        <f>PROPER(TRIM([1]RawShipmentData!C336))</f>
        <v>Bengaluru</v>
      </c>
      <c r="D335" s="2" t="str">
        <f>IFERROR(INDEX([1]HubMaster!$B$2:$B$7,MATCH(C335,[1]HubMaster!$A$2:$A$7,0)),"Unknown")</f>
        <v>South</v>
      </c>
      <c r="E335" s="2" t="str">
        <f>PROPER(TRIM(SUBSTITUTE([1]RawShipmentData!D336,"  "," ")))</f>
        <v>Dtdc</v>
      </c>
      <c r="F335" s="2" t="str">
        <f>PROPER(TRIM([1]RawShipmentData!E336))</f>
        <v>Surface</v>
      </c>
      <c r="G335" s="2" t="str">
        <f>PROPER(TRIM(SUBSTITUTE([1]RawShipmentData!F336,"  "," ")))</f>
        <v>Automotive Parts</v>
      </c>
      <c r="H335" s="2" t="str">
        <f>PROPER(TRIM([1]RawShipmentData!G336))</f>
        <v>North</v>
      </c>
      <c r="I335" s="2" t="str">
        <f t="shared" si="25"/>
        <v>Yes</v>
      </c>
      <c r="J335" s="2">
        <f>IFERROR(VALUE(TRIM(SUBSTITUTE(UPPER([1]RawShipmentData!I335),"KG",""))),"")</f>
        <v>4.8</v>
      </c>
      <c r="K335" s="2">
        <f>VALUE(SUBSTITUTE(SUBSTITUTE(SUBSTITUTE(TRIM([1]RawShipmentData!J336),"₹",""),"Rs",""),",",""))</f>
        <v>481</v>
      </c>
      <c r="L335" s="2">
        <f>[1]RawShipmentData!K336</f>
        <v>6</v>
      </c>
      <c r="M335" s="3">
        <f>IF(TRIM([1]RawShipmentData!L336)="","",IF(ISNUMBER(SEARCH("/",TRIM([1]RawShipmentData!L336))),DATE(VALUE(RIGHT(TRIM([1]RawShipmentData!L336),4)),VALUE(MID(TRIM([1]RawShipmentData!L336),FIND("/",TRIM([1]RawShipmentData!L336))+1,2)),VALUE(LEFT(TRIM([1]RawShipmentData!L336),FIND("/",TRIM([1]RawShipmentData!L336))-1))),DATEVALUE(TRIM([1]RawShipmentData!L336))))</f>
        <v>45309</v>
      </c>
      <c r="N335" s="2">
        <f t="shared" si="26"/>
        <v>5</v>
      </c>
      <c r="O335" s="2">
        <f t="shared" si="27"/>
        <v>-1</v>
      </c>
      <c r="P335" s="2" t="str">
        <f t="shared" si="28"/>
        <v>On Time</v>
      </c>
      <c r="Q335" s="2" t="str">
        <f>PROPER(SUBSTITUTE(TRIM([1]RawShipmentData!M336)," ","-"))</f>
        <v>Delivered</v>
      </c>
      <c r="R335" s="4">
        <f t="shared" si="29"/>
        <v>100.20833333333334</v>
      </c>
      <c r="S335" s="2">
        <f>[1]RawShipmentData!N336</f>
        <v>4</v>
      </c>
      <c r="T335" s="2" t="str">
        <f>IF(OR(UPPER(TRIM([1]RawShipmentData!O336))="YES",UPPER(TRIM([1]RawShipmentData!O336))="Y"),"Yes","No")</f>
        <v>No</v>
      </c>
    </row>
    <row r="336" spans="1:20" x14ac:dyDescent="0.25">
      <c r="A336" s="2" t="str">
        <f>[1]RawShipmentData!A337</f>
        <v>SHP-100105</v>
      </c>
      <c r="B336" s="3">
        <f>IF(ISNUMBER(SEARCH("/",TRIM([1]RawShipmentData!B337))),DATE(VALUE(RIGHT(TRIM([1]RawShipmentData!B337),4)),VALUE(MID(TRIM([1]RawShipmentData!B337),FIND("/",TRIM([1]RawShipmentData!B337))+1,2)),VALUE(LEFT(TRIM([1]RawShipmentData!B337),FIND("/",TRIM([1]RawShipmentData!B337))-1))),DATEVALUE(TRIM([1]RawShipmentData!B337)))</f>
        <v>45357</v>
      </c>
      <c r="C336" s="2" t="str">
        <f>PROPER(TRIM([1]RawShipmentData!C337))</f>
        <v>Bengaluru</v>
      </c>
      <c r="D336" s="2" t="str">
        <f>IFERROR(INDEX([1]HubMaster!$B$2:$B$7,MATCH(C336,[1]HubMaster!$A$2:$A$7,0)),"Unknown")</f>
        <v>South</v>
      </c>
      <c r="E336" s="2" t="str">
        <f>PROPER(TRIM(SUBSTITUTE([1]RawShipmentData!D337,"  "," ")))</f>
        <v>Dtdc</v>
      </c>
      <c r="F336" s="2" t="str">
        <f>PROPER(TRIM([1]RawShipmentData!E337))</f>
        <v>Road</v>
      </c>
      <c r="G336" s="2" t="str">
        <f>PROPER(TRIM(SUBSTITUTE([1]RawShipmentData!F337,"  "," ")))</f>
        <v>Pharma</v>
      </c>
      <c r="H336" s="2" t="str">
        <f>PROPER(TRIM([1]RawShipmentData!G337))</f>
        <v>West</v>
      </c>
      <c r="I336" s="2" t="str">
        <f t="shared" si="25"/>
        <v>Yes</v>
      </c>
      <c r="J336" s="2">
        <f>IFERROR(VALUE(TRIM(SUBSTITUTE(UPPER([1]RawShipmentData!I336),"KG",""))),"")</f>
        <v>13.3</v>
      </c>
      <c r="K336" s="2">
        <f>VALUE(SUBSTITUTE(SUBSTITUTE(SUBSTITUTE(TRIM([1]RawShipmentData!J337),"₹",""),"Rs",""),",",""))</f>
        <v>221</v>
      </c>
      <c r="L336" s="2">
        <f>[1]RawShipmentData!K337</f>
        <v>8</v>
      </c>
      <c r="M336" s="3">
        <f>IF(TRIM([1]RawShipmentData!L337)="","",IF(ISNUMBER(SEARCH("/",TRIM([1]RawShipmentData!L337))),DATE(VALUE(RIGHT(TRIM([1]RawShipmentData!L337),4)),VALUE(MID(TRIM([1]RawShipmentData!L337),FIND("/",TRIM([1]RawShipmentData!L337))+1,2)),VALUE(LEFT(TRIM([1]RawShipmentData!L337),FIND("/",TRIM([1]RawShipmentData!L337))-1))),DATEVALUE(TRIM([1]RawShipmentData!L337))))</f>
        <v>45369</v>
      </c>
      <c r="N336" s="2">
        <f t="shared" si="26"/>
        <v>12</v>
      </c>
      <c r="O336" s="2">
        <f t="shared" si="27"/>
        <v>4</v>
      </c>
      <c r="P336" s="2" t="str">
        <f t="shared" si="28"/>
        <v>Late</v>
      </c>
      <c r="Q336" s="2" t="str">
        <f>PROPER(SUBSTITUTE(TRIM([1]RawShipmentData!M337)," ","-"))</f>
        <v>Delayed</v>
      </c>
      <c r="R336" s="4">
        <f t="shared" si="29"/>
        <v>16.616541353383457</v>
      </c>
      <c r="S336" s="2">
        <f>[1]RawShipmentData!N337</f>
        <v>1</v>
      </c>
      <c r="T336" s="2" t="str">
        <f>IF(OR(UPPER(TRIM([1]RawShipmentData!O337))="YES",UPPER(TRIM([1]RawShipmentData!O337))="Y"),"Yes","No")</f>
        <v>No</v>
      </c>
    </row>
    <row r="337" spans="1:20" x14ac:dyDescent="0.25">
      <c r="A337" s="2" t="str">
        <f>[1]RawShipmentData!A338</f>
        <v>SHP-100706</v>
      </c>
      <c r="B337" s="3">
        <f>IF(ISNUMBER(SEARCH("/",TRIM([1]RawShipmentData!B338))),DATE(VALUE(RIGHT(TRIM([1]RawShipmentData!B338),4)),VALUE(MID(TRIM([1]RawShipmentData!B338),FIND("/",TRIM([1]RawShipmentData!B338))+1,2)),VALUE(LEFT(TRIM([1]RawShipmentData!B338),FIND("/",TRIM([1]RawShipmentData!B338))-1))),DATEVALUE(TRIM([1]RawShipmentData!B338)))</f>
        <v>45335</v>
      </c>
      <c r="C337" s="2" t="str">
        <f>PROPER(TRIM([1]RawShipmentData!C338))</f>
        <v>Delhi</v>
      </c>
      <c r="D337" s="2" t="str">
        <f>IFERROR(INDEX([1]HubMaster!$B$2:$B$7,MATCH(C337,[1]HubMaster!$A$2:$A$7,0)),"Unknown")</f>
        <v>North</v>
      </c>
      <c r="E337" s="2" t="str">
        <f>PROPER(TRIM(SUBSTITUTE([1]RawShipmentData!D338,"  "," ")))</f>
        <v>Delhivery</v>
      </c>
      <c r="F337" s="2" t="str">
        <f>PROPER(TRIM([1]RawShipmentData!E338))</f>
        <v>Surface</v>
      </c>
      <c r="G337" s="2" t="str">
        <f>PROPER(TRIM(SUBSTITUTE([1]RawShipmentData!F338,"  "," ")))</f>
        <v>Apparel</v>
      </c>
      <c r="H337" s="2" t="str">
        <f>PROPER(TRIM([1]RawShipmentData!G338))</f>
        <v>West</v>
      </c>
      <c r="I337" s="2" t="str">
        <f t="shared" si="25"/>
        <v>Yes</v>
      </c>
      <c r="J337" s="2">
        <f>IFERROR(VALUE(TRIM(SUBSTITUTE(UPPER([1]RawShipmentData!I337),"KG",""))),"")</f>
        <v>4.0999999999999996</v>
      </c>
      <c r="K337" s="2">
        <f>VALUE(SUBSTITUTE(SUBSTITUTE(SUBSTITUTE(TRIM([1]RawShipmentData!J338),"₹",""),"Rs",""),",",""))</f>
        <v>295</v>
      </c>
      <c r="L337" s="2">
        <f>[1]RawShipmentData!K338</f>
        <v>6</v>
      </c>
      <c r="M337" s="3">
        <f>IF(TRIM([1]RawShipmentData!L338)="","",IF(ISNUMBER(SEARCH("/",TRIM([1]RawShipmentData!L338))),DATE(VALUE(RIGHT(TRIM([1]RawShipmentData!L338),4)),VALUE(MID(TRIM([1]RawShipmentData!L338),FIND("/",TRIM([1]RawShipmentData!L338))+1,2)),VALUE(LEFT(TRIM([1]RawShipmentData!L338),FIND("/",TRIM([1]RawShipmentData!L338))-1))),DATEVALUE(TRIM([1]RawShipmentData!L338))))</f>
        <v>45342</v>
      </c>
      <c r="N337" s="2">
        <f t="shared" si="26"/>
        <v>7</v>
      </c>
      <c r="O337" s="2">
        <f t="shared" si="27"/>
        <v>1</v>
      </c>
      <c r="P337" s="2" t="str">
        <f t="shared" si="28"/>
        <v>Late</v>
      </c>
      <c r="Q337" s="2" t="str">
        <f>PROPER(SUBSTITUTE(TRIM([1]RawShipmentData!M338)," ","-"))</f>
        <v>Returned</v>
      </c>
      <c r="R337" s="4">
        <f t="shared" si="29"/>
        <v>71.951219512195124</v>
      </c>
      <c r="S337" s="2">
        <f>[1]RawShipmentData!N338</f>
        <v>0</v>
      </c>
      <c r="T337" s="2" t="str">
        <f>IF(OR(UPPER(TRIM([1]RawShipmentData!O338))="YES",UPPER(TRIM([1]RawShipmentData!O338))="Y"),"Yes","No")</f>
        <v>No</v>
      </c>
    </row>
    <row r="338" spans="1:20" x14ac:dyDescent="0.25">
      <c r="A338" s="2" t="str">
        <f>[1]RawShipmentData!A339</f>
        <v>SHP-101019</v>
      </c>
      <c r="B338" s="3">
        <f>IF(ISNUMBER(SEARCH("/",TRIM([1]RawShipmentData!B339))),DATE(VALUE(RIGHT(TRIM([1]RawShipmentData!B339),4)),VALUE(MID(TRIM([1]RawShipmentData!B339),FIND("/",TRIM([1]RawShipmentData!B339))+1,2)),VALUE(LEFT(TRIM([1]RawShipmentData!B339),FIND("/",TRIM([1]RawShipmentData!B339))-1))),DATEVALUE(TRIM([1]RawShipmentData!B339)))</f>
        <v>45404</v>
      </c>
      <c r="C338" s="2" t="str">
        <f>PROPER(TRIM([1]RawShipmentData!C339))</f>
        <v>Mumbai</v>
      </c>
      <c r="D338" s="2" t="str">
        <f>IFERROR(INDEX([1]HubMaster!$B$2:$B$7,MATCH(C338,[1]HubMaster!$A$2:$A$7,0)),"Unknown")</f>
        <v>West</v>
      </c>
      <c r="E338" s="2" t="str">
        <f>PROPER(TRIM(SUBSTITUTE([1]RawShipmentData!D339,"  "," ")))</f>
        <v>Xpressbees</v>
      </c>
      <c r="F338" s="2" t="str">
        <f>PROPER(TRIM([1]RawShipmentData!E339))</f>
        <v>Surface</v>
      </c>
      <c r="G338" s="2" t="str">
        <f>PROPER(TRIM(SUBSTITUTE([1]RawShipmentData!F339,"  "," ")))</f>
        <v>Furniture</v>
      </c>
      <c r="H338" s="2" t="str">
        <f>PROPER(TRIM([1]RawShipmentData!G339))</f>
        <v>North</v>
      </c>
      <c r="I338" s="2" t="str">
        <f t="shared" si="25"/>
        <v>Yes</v>
      </c>
      <c r="J338" s="2">
        <f>IFERROR(VALUE(TRIM(SUBSTITUTE(UPPER([1]RawShipmentData!I338),"KG",""))),"")</f>
        <v>7.4</v>
      </c>
      <c r="K338" s="2">
        <f>VALUE(SUBSTITUTE(SUBSTITUTE(SUBSTITUTE(TRIM([1]RawShipmentData!J339),"₹",""),"Rs",""),",",""))</f>
        <v>669</v>
      </c>
      <c r="L338" s="2">
        <f>[1]RawShipmentData!K339</f>
        <v>6</v>
      </c>
      <c r="M338" s="3">
        <f>IF(TRIM([1]RawShipmentData!L339)="","",IF(ISNUMBER(SEARCH("/",TRIM([1]RawShipmentData!L339))),DATE(VALUE(RIGHT(TRIM([1]RawShipmentData!L339),4)),VALUE(MID(TRIM([1]RawShipmentData!L339),FIND("/",TRIM([1]RawShipmentData!L339))+1,2)),VALUE(LEFT(TRIM([1]RawShipmentData!L339),FIND("/",TRIM([1]RawShipmentData!L339))-1))),DATEVALUE(TRIM([1]RawShipmentData!L339))))</f>
        <v>45411</v>
      </c>
      <c r="N338" s="2">
        <f t="shared" si="26"/>
        <v>7</v>
      </c>
      <c r="O338" s="2">
        <f t="shared" si="27"/>
        <v>1</v>
      </c>
      <c r="P338" s="2" t="str">
        <f t="shared" si="28"/>
        <v>Late</v>
      </c>
      <c r="Q338" s="2" t="str">
        <f>PROPER(SUBSTITUTE(TRIM([1]RawShipmentData!M339)," ","-"))</f>
        <v>Delayed</v>
      </c>
      <c r="R338" s="4">
        <f t="shared" si="29"/>
        <v>90.405405405405403</v>
      </c>
      <c r="S338" s="2">
        <f>[1]RawShipmentData!N339</f>
        <v>1</v>
      </c>
      <c r="T338" s="2" t="str">
        <f>IF(OR(UPPER(TRIM([1]RawShipmentData!O339))="YES",UPPER(TRIM([1]RawShipmentData!O339))="Y"),"Yes","No")</f>
        <v>No</v>
      </c>
    </row>
    <row r="339" spans="1:20" x14ac:dyDescent="0.25">
      <c r="A339" s="2" t="str">
        <f>[1]RawShipmentData!A340</f>
        <v>SHP-101082</v>
      </c>
      <c r="B339" s="3">
        <f>IF(ISNUMBER(SEARCH("/",TRIM([1]RawShipmentData!B340))),DATE(VALUE(RIGHT(TRIM([1]RawShipmentData!B340),4)),VALUE(MID(TRIM([1]RawShipmentData!B340),FIND("/",TRIM([1]RawShipmentData!B340))+1,2)),VALUE(LEFT(TRIM([1]RawShipmentData!B340),FIND("/",TRIM([1]RawShipmentData!B340))-1))),DATEVALUE(TRIM([1]RawShipmentData!B340)))</f>
        <v>45459</v>
      </c>
      <c r="C339" s="2" t="str">
        <f>PROPER(TRIM([1]RawShipmentData!C340))</f>
        <v>Mumbai</v>
      </c>
      <c r="D339" s="2" t="str">
        <f>IFERROR(INDEX([1]HubMaster!$B$2:$B$7,MATCH(C339,[1]HubMaster!$A$2:$A$7,0)),"Unknown")</f>
        <v>West</v>
      </c>
      <c r="E339" s="2" t="str">
        <f>PROPER(TRIM(SUBSTITUTE([1]RawShipmentData!D340,"  "," ")))</f>
        <v>Delhivery</v>
      </c>
      <c r="F339" s="2" t="str">
        <f>PROPER(TRIM([1]RawShipmentData!E340))</f>
        <v>Surface</v>
      </c>
      <c r="G339" s="2" t="str">
        <f>PROPER(TRIM(SUBSTITUTE([1]RawShipmentData!F340,"  "," ")))</f>
        <v>Grocery &amp; Fmcg</v>
      </c>
      <c r="H339" s="2" t="str">
        <f>PROPER(TRIM([1]RawShipmentData!G340))</f>
        <v>East</v>
      </c>
      <c r="I339" s="2" t="str">
        <f t="shared" si="25"/>
        <v>Yes</v>
      </c>
      <c r="J339" s="2">
        <f>IFERROR(VALUE(TRIM(SUBSTITUTE(UPPER([1]RawShipmentData!I339),"KG",""))),"")</f>
        <v>24.2</v>
      </c>
      <c r="K339" s="2">
        <f>VALUE(SUBSTITUTE(SUBSTITUTE(SUBSTITUTE(TRIM([1]RawShipmentData!J340),"₹",""),"Rs",""),",",""))</f>
        <v>602</v>
      </c>
      <c r="L339" s="2">
        <f>[1]RawShipmentData!K340</f>
        <v>6</v>
      </c>
      <c r="M339" s="3">
        <f>IF(TRIM([1]RawShipmentData!L340)="","",IF(ISNUMBER(SEARCH("/",TRIM([1]RawShipmentData!L340))),DATE(VALUE(RIGHT(TRIM([1]RawShipmentData!L340),4)),VALUE(MID(TRIM([1]RawShipmentData!L340),FIND("/",TRIM([1]RawShipmentData!L340))+1,2)),VALUE(LEFT(TRIM([1]RawShipmentData!L340),FIND("/",TRIM([1]RawShipmentData!L340))-1))),DATEVALUE(TRIM([1]RawShipmentData!L340))))</f>
        <v>45466</v>
      </c>
      <c r="N339" s="2">
        <f t="shared" si="26"/>
        <v>7</v>
      </c>
      <c r="O339" s="2">
        <f t="shared" si="27"/>
        <v>1</v>
      </c>
      <c r="P339" s="2" t="str">
        <f t="shared" si="28"/>
        <v>Late</v>
      </c>
      <c r="Q339" s="2" t="str">
        <f>PROPER(SUBSTITUTE(TRIM([1]RawShipmentData!M340)," ","-"))</f>
        <v>Delayed</v>
      </c>
      <c r="R339" s="4">
        <f t="shared" si="29"/>
        <v>24.876033057851242</v>
      </c>
      <c r="S339" s="2">
        <f>[1]RawShipmentData!N340</f>
        <v>3</v>
      </c>
      <c r="T339" s="2" t="str">
        <f>IF(OR(UPPER(TRIM([1]RawShipmentData!O340))="YES",UPPER(TRIM([1]RawShipmentData!O340))="Y"),"Yes","No")</f>
        <v>No</v>
      </c>
    </row>
    <row r="340" spans="1:20" x14ac:dyDescent="0.25">
      <c r="A340" s="2" t="str">
        <f>[1]RawShipmentData!A341</f>
        <v>SHP-101068</v>
      </c>
      <c r="B340" s="3">
        <f>IF(ISNUMBER(SEARCH("/",TRIM([1]RawShipmentData!B341))),DATE(VALUE(RIGHT(TRIM([1]RawShipmentData!B341),4)),VALUE(MID(TRIM([1]RawShipmentData!B341),FIND("/",TRIM([1]RawShipmentData!B341))+1,2)),VALUE(LEFT(TRIM([1]RawShipmentData!B341),FIND("/",TRIM([1]RawShipmentData!B341))-1))),DATEVALUE(TRIM([1]RawShipmentData!B341)))</f>
        <v>45393</v>
      </c>
      <c r="C340" s="2" t="str">
        <f>PROPER(TRIM([1]RawShipmentData!C341))</f>
        <v>Hyderabad</v>
      </c>
      <c r="D340" s="2" t="str">
        <f>IFERROR(INDEX([1]HubMaster!$B$2:$B$7,MATCH(C340,[1]HubMaster!$A$2:$A$7,0)),"Unknown")</f>
        <v>West</v>
      </c>
      <c r="E340" s="2" t="str">
        <f>PROPER(TRIM(SUBSTITUTE([1]RawShipmentData!D341,"  "," ")))</f>
        <v>Bluedart</v>
      </c>
      <c r="F340" s="2" t="str">
        <f>PROPER(TRIM([1]RawShipmentData!E341))</f>
        <v>Road</v>
      </c>
      <c r="G340" s="2" t="str">
        <f>PROPER(TRIM(SUBSTITUTE([1]RawShipmentData!F341,"  "," ")))</f>
        <v>Grocery &amp; Fmcg</v>
      </c>
      <c r="H340" s="2" t="str">
        <f>PROPER(TRIM([1]RawShipmentData!G341))</f>
        <v>West</v>
      </c>
      <c r="I340" s="2" t="str">
        <f t="shared" si="25"/>
        <v>No</v>
      </c>
      <c r="J340" s="2">
        <f>IFERROR(VALUE(TRIM(SUBSTITUTE(UPPER([1]RawShipmentData!I340),"KG",""))),"")</f>
        <v>19.5</v>
      </c>
      <c r="K340" s="2">
        <f>VALUE(SUBSTITUTE(SUBSTITUTE(SUBSTITUTE(TRIM([1]RawShipmentData!J341),"₹",""),"Rs",""),",",""))</f>
        <v>159</v>
      </c>
      <c r="L340" s="2">
        <f>[1]RawShipmentData!K341</f>
        <v>6</v>
      </c>
      <c r="M340" s="3">
        <f>IF(TRIM([1]RawShipmentData!L341)="","",IF(ISNUMBER(SEARCH("/",TRIM([1]RawShipmentData!L341))),DATE(VALUE(RIGHT(TRIM([1]RawShipmentData!L341),4)),VALUE(MID(TRIM([1]RawShipmentData!L341),FIND("/",TRIM([1]RawShipmentData!L341))+1,2)),VALUE(LEFT(TRIM([1]RawShipmentData!L341),FIND("/",TRIM([1]RawShipmentData!L341))-1))),DATEVALUE(TRIM([1]RawShipmentData!L341))))</f>
        <v>45398</v>
      </c>
      <c r="N340" s="2">
        <f t="shared" si="26"/>
        <v>5</v>
      </c>
      <c r="O340" s="2">
        <f t="shared" si="27"/>
        <v>-1</v>
      </c>
      <c r="P340" s="2" t="str">
        <f t="shared" si="28"/>
        <v>On Time</v>
      </c>
      <c r="Q340" s="2" t="str">
        <f>PROPER(SUBSTITUTE(TRIM([1]RawShipmentData!M341)," ","-"))</f>
        <v>Delivered</v>
      </c>
      <c r="R340" s="4">
        <f t="shared" si="29"/>
        <v>8.1538461538461533</v>
      </c>
      <c r="S340" s="2">
        <f>[1]RawShipmentData!N341</f>
        <v>3</v>
      </c>
      <c r="T340" s="2" t="str">
        <f>IF(OR(UPPER(TRIM([1]RawShipmentData!O341))="YES",UPPER(TRIM([1]RawShipmentData!O341))="Y"),"Yes","No")</f>
        <v>No</v>
      </c>
    </row>
    <row r="341" spans="1:20" x14ac:dyDescent="0.25">
      <c r="A341" s="2" t="str">
        <f>[1]RawShipmentData!A342</f>
        <v>SHP-100072</v>
      </c>
      <c r="B341" s="3">
        <f>IF(ISNUMBER(SEARCH("/",TRIM([1]RawShipmentData!B342))),DATE(VALUE(RIGHT(TRIM([1]RawShipmentData!B342),4)),VALUE(MID(TRIM([1]RawShipmentData!B342),FIND("/",TRIM([1]RawShipmentData!B342))+1,2)),VALUE(LEFT(TRIM([1]RawShipmentData!B342),FIND("/",TRIM([1]RawShipmentData!B342))-1))),DATEVALUE(TRIM([1]RawShipmentData!B342)))</f>
        <v>45466</v>
      </c>
      <c r="C341" s="2" t="str">
        <f>PROPER(TRIM([1]RawShipmentData!C342))</f>
        <v>Hyderabad</v>
      </c>
      <c r="D341" s="2" t="str">
        <f>IFERROR(INDEX([1]HubMaster!$B$2:$B$7,MATCH(C341,[1]HubMaster!$A$2:$A$7,0)),"Unknown")</f>
        <v>West</v>
      </c>
      <c r="E341" s="2" t="str">
        <f>PROPER(TRIM(SUBSTITUTE([1]RawShipmentData!D342,"  "," ")))</f>
        <v>Xpressbees</v>
      </c>
      <c r="F341" s="2" t="str">
        <f>PROPER(TRIM([1]RawShipmentData!E342))</f>
        <v>Air</v>
      </c>
      <c r="G341" s="2" t="str">
        <f>PROPER(TRIM(SUBSTITUTE([1]RawShipmentData!F342,"  "," ")))</f>
        <v>Furniture</v>
      </c>
      <c r="H341" s="2" t="str">
        <f>PROPER(TRIM([1]RawShipmentData!G342))</f>
        <v>South</v>
      </c>
      <c r="I341" s="2" t="str">
        <f t="shared" si="25"/>
        <v>Yes</v>
      </c>
      <c r="J341" s="2">
        <f>IFERROR(VALUE(TRIM(SUBSTITUTE(UPPER([1]RawShipmentData!I341),"KG",""))),"")</f>
        <v>9.5</v>
      </c>
      <c r="K341" s="2">
        <f>VALUE(SUBSTITUTE(SUBSTITUTE(SUBSTITUTE(TRIM([1]RawShipmentData!J342),"₹",""),"Rs",""),",",""))</f>
        <v>2992</v>
      </c>
      <c r="L341" s="2">
        <f>[1]RawShipmentData!K342</f>
        <v>4</v>
      </c>
      <c r="M341" s="3">
        <f>IF(TRIM([1]RawShipmentData!L342)="","",IF(ISNUMBER(SEARCH("/",TRIM([1]RawShipmentData!L342))),DATE(VALUE(RIGHT(TRIM([1]RawShipmentData!L342),4)),VALUE(MID(TRIM([1]RawShipmentData!L342),FIND("/",TRIM([1]RawShipmentData!L342))+1,2)),VALUE(LEFT(TRIM([1]RawShipmentData!L342),FIND("/",TRIM([1]RawShipmentData!L342))-1))),DATEVALUE(TRIM([1]RawShipmentData!L342))))</f>
        <v>45476</v>
      </c>
      <c r="N341" s="2">
        <f t="shared" si="26"/>
        <v>10</v>
      </c>
      <c r="O341" s="2">
        <f t="shared" si="27"/>
        <v>6</v>
      </c>
      <c r="P341" s="2" t="str">
        <f t="shared" si="28"/>
        <v>Late</v>
      </c>
      <c r="Q341" s="2" t="str">
        <f>PROPER(SUBSTITUTE(TRIM([1]RawShipmentData!M342)," ","-"))</f>
        <v>Delayed</v>
      </c>
      <c r="R341" s="4">
        <f t="shared" si="29"/>
        <v>314.94736842105266</v>
      </c>
      <c r="S341" s="2">
        <f>[1]RawShipmentData!N342</f>
        <v>2</v>
      </c>
      <c r="T341" s="2" t="str">
        <f>IF(OR(UPPER(TRIM([1]RawShipmentData!O342))="YES",UPPER(TRIM([1]RawShipmentData!O342))="Y"),"Yes","No")</f>
        <v>Yes</v>
      </c>
    </row>
    <row r="342" spans="1:20" x14ac:dyDescent="0.25">
      <c r="A342" s="2" t="str">
        <f>[1]RawShipmentData!A343</f>
        <v>SHP-101235</v>
      </c>
      <c r="B342" s="3">
        <f>IF(ISNUMBER(SEARCH("/",TRIM([1]RawShipmentData!B343))),DATE(VALUE(RIGHT(TRIM([1]RawShipmentData!B343),4)),VALUE(MID(TRIM([1]RawShipmentData!B343),FIND("/",TRIM([1]RawShipmentData!B343))+1,2)),VALUE(LEFT(TRIM([1]RawShipmentData!B343),FIND("/",TRIM([1]RawShipmentData!B343))-1))),DATEVALUE(TRIM([1]RawShipmentData!B343)))</f>
        <v>45392</v>
      </c>
      <c r="C342" s="2" t="str">
        <f>PROPER(TRIM([1]RawShipmentData!C343))</f>
        <v>Mumbai</v>
      </c>
      <c r="D342" s="2" t="str">
        <f>IFERROR(INDEX([1]HubMaster!$B$2:$B$7,MATCH(C342,[1]HubMaster!$A$2:$A$7,0)),"Unknown")</f>
        <v>West</v>
      </c>
      <c r="E342" s="2" t="str">
        <f>PROPER(TRIM(SUBSTITUTE([1]RawShipmentData!D343,"  "," ")))</f>
        <v/>
      </c>
      <c r="F342" s="2" t="str">
        <f>PROPER(TRIM([1]RawShipmentData!E343))</f>
        <v>Road</v>
      </c>
      <c r="G342" s="2" t="str">
        <f>PROPER(TRIM(SUBSTITUTE([1]RawShipmentData!F343,"  "," ")))</f>
        <v>Electronics</v>
      </c>
      <c r="H342" s="2" t="str">
        <f>PROPER(TRIM([1]RawShipmentData!G343))</f>
        <v>East</v>
      </c>
      <c r="I342" s="2" t="str">
        <f t="shared" si="25"/>
        <v>Yes</v>
      </c>
      <c r="J342" s="2">
        <f>IFERROR(VALUE(TRIM(SUBSTITUTE(UPPER([1]RawShipmentData!I342),"KG",""))),"")</f>
        <v>62.6</v>
      </c>
      <c r="K342" s="2">
        <f>VALUE(SUBSTITUTE(SUBSTITUTE(SUBSTITUTE(TRIM([1]RawShipmentData!J343),"₹",""),"Rs",""),",",""))</f>
        <v>253</v>
      </c>
      <c r="L342" s="2">
        <f>[1]RawShipmentData!K343</f>
        <v>8</v>
      </c>
      <c r="M342" s="3">
        <f>IF(TRIM([1]RawShipmentData!L343)="","",IF(ISNUMBER(SEARCH("/",TRIM([1]RawShipmentData!L343))),DATE(VALUE(RIGHT(TRIM([1]RawShipmentData!L343),4)),VALUE(MID(TRIM([1]RawShipmentData!L343),FIND("/",TRIM([1]RawShipmentData!L343))+1,2)),VALUE(LEFT(TRIM([1]RawShipmentData!L343),FIND("/",TRIM([1]RawShipmentData!L343))-1))),DATEVALUE(TRIM([1]RawShipmentData!L343))))</f>
        <v>45399</v>
      </c>
      <c r="N342" s="2">
        <f t="shared" si="26"/>
        <v>7</v>
      </c>
      <c r="O342" s="2">
        <f t="shared" si="27"/>
        <v>-1</v>
      </c>
      <c r="P342" s="2" t="str">
        <f t="shared" si="28"/>
        <v>On Time</v>
      </c>
      <c r="Q342" s="2" t="str">
        <f>PROPER(SUBSTITUTE(TRIM([1]RawShipmentData!M343)," ","-"))</f>
        <v>Damaged</v>
      </c>
      <c r="R342" s="4">
        <f t="shared" si="29"/>
        <v>4.0415335463258781</v>
      </c>
      <c r="S342" s="2">
        <f>[1]RawShipmentData!N343</f>
        <v>0</v>
      </c>
      <c r="T342" s="2" t="str">
        <f>IF(OR(UPPER(TRIM([1]RawShipmentData!O343))="YES",UPPER(TRIM([1]RawShipmentData!O343))="Y"),"Yes","No")</f>
        <v>No</v>
      </c>
    </row>
    <row r="343" spans="1:20" x14ac:dyDescent="0.25">
      <c r="A343" s="2" t="str">
        <f>[1]RawShipmentData!A344</f>
        <v>SHP-100535</v>
      </c>
      <c r="B343" s="3">
        <f>IF(ISNUMBER(SEARCH("/",TRIM([1]RawShipmentData!B344))),DATE(VALUE(RIGHT(TRIM([1]RawShipmentData!B344),4)),VALUE(MID(TRIM([1]RawShipmentData!B344),FIND("/",TRIM([1]RawShipmentData!B344))+1,2)),VALUE(LEFT(TRIM([1]RawShipmentData!B344),FIND("/",TRIM([1]RawShipmentData!B344))-1))),DATEVALUE(TRIM([1]RawShipmentData!B344)))</f>
        <v>45402</v>
      </c>
      <c r="C343" s="2" t="str">
        <f>PROPER(TRIM([1]RawShipmentData!C344))</f>
        <v>Mumbai</v>
      </c>
      <c r="D343" s="2" t="str">
        <f>IFERROR(INDEX([1]HubMaster!$B$2:$B$7,MATCH(C343,[1]HubMaster!$A$2:$A$7,0)),"Unknown")</f>
        <v>West</v>
      </c>
      <c r="E343" s="2" t="str">
        <f>PROPER(TRIM(SUBSTITUTE([1]RawShipmentData!D344,"  "," ")))</f>
        <v>Ecom Express</v>
      </c>
      <c r="F343" s="2" t="str">
        <f>PROPER(TRIM([1]RawShipmentData!E344))</f>
        <v>Surface</v>
      </c>
      <c r="G343" s="2" t="str">
        <f>PROPER(TRIM(SUBSTITUTE([1]RawShipmentData!F344,"  "," ")))</f>
        <v>Apparel</v>
      </c>
      <c r="H343" s="2" t="str">
        <f>PROPER(TRIM([1]RawShipmentData!G344))</f>
        <v>North</v>
      </c>
      <c r="I343" s="2" t="str">
        <f t="shared" si="25"/>
        <v>Yes</v>
      </c>
      <c r="J343" s="2">
        <f>IFERROR(VALUE(TRIM(SUBSTITUTE(UPPER([1]RawShipmentData!I343),"KG",""))),"")</f>
        <v>8.6</v>
      </c>
      <c r="K343" s="2">
        <f>VALUE(SUBSTITUTE(SUBSTITUTE(SUBSTITUTE(TRIM([1]RawShipmentData!J344),"₹",""),"Rs",""),",",""))</f>
        <v>217</v>
      </c>
      <c r="L343" s="2">
        <f>[1]RawShipmentData!K344</f>
        <v>6</v>
      </c>
      <c r="M343" s="3">
        <f>IF(TRIM([1]RawShipmentData!L344)="","",IF(ISNUMBER(SEARCH("/",TRIM([1]RawShipmentData!L344))),DATE(VALUE(RIGHT(TRIM([1]RawShipmentData!L344),4)),VALUE(MID(TRIM([1]RawShipmentData!L344),FIND("/",TRIM([1]RawShipmentData!L344))+1,2)),VALUE(LEFT(TRIM([1]RawShipmentData!L344),FIND("/",TRIM([1]RawShipmentData!L344))-1))),DATEVALUE(TRIM([1]RawShipmentData!L344))))</f>
        <v>45409</v>
      </c>
      <c r="N343" s="2">
        <f t="shared" si="26"/>
        <v>7</v>
      </c>
      <c r="O343" s="2">
        <f t="shared" si="27"/>
        <v>1</v>
      </c>
      <c r="P343" s="2" t="str">
        <f t="shared" si="28"/>
        <v>Late</v>
      </c>
      <c r="Q343" s="2" t="str">
        <f>PROPER(SUBSTITUTE(TRIM([1]RawShipmentData!M344)," ","-"))</f>
        <v>Delayed</v>
      </c>
      <c r="R343" s="4">
        <f t="shared" si="29"/>
        <v>25.232558139534884</v>
      </c>
      <c r="S343" s="2">
        <f>[1]RawShipmentData!N344</f>
        <v>1</v>
      </c>
      <c r="T343" s="2" t="str">
        <f>IF(OR(UPPER(TRIM([1]RawShipmentData!O344))="YES",UPPER(TRIM([1]RawShipmentData!O344))="Y"),"Yes","No")</f>
        <v>No</v>
      </c>
    </row>
    <row r="344" spans="1:20" x14ac:dyDescent="0.25">
      <c r="A344" s="2" t="str">
        <f>[1]RawShipmentData!A345</f>
        <v>SHP-100153</v>
      </c>
      <c r="B344" s="3">
        <f>IF(ISNUMBER(SEARCH("/",TRIM([1]RawShipmentData!B345))),DATE(VALUE(RIGHT(TRIM([1]RawShipmentData!B345),4)),VALUE(MID(TRIM([1]RawShipmentData!B345),FIND("/",TRIM([1]RawShipmentData!B345))+1,2)),VALUE(LEFT(TRIM([1]RawShipmentData!B345),FIND("/",TRIM([1]RawShipmentData!B345))-1))),DATEVALUE(TRIM([1]RawShipmentData!B345)))</f>
        <v>45456</v>
      </c>
      <c r="C344" s="2" t="str">
        <f>PROPER(TRIM([1]RawShipmentData!C345))</f>
        <v>Delhi</v>
      </c>
      <c r="D344" s="2" t="str">
        <f>IFERROR(INDEX([1]HubMaster!$B$2:$B$7,MATCH(C344,[1]HubMaster!$A$2:$A$7,0)),"Unknown")</f>
        <v>North</v>
      </c>
      <c r="E344" s="2" t="str">
        <f>PROPER(TRIM(SUBSTITUTE([1]RawShipmentData!D345,"  "," ")))</f>
        <v>Dtdc</v>
      </c>
      <c r="F344" s="2" t="str">
        <f>PROPER(TRIM([1]RawShipmentData!E345))</f>
        <v>Surface</v>
      </c>
      <c r="G344" s="2" t="str">
        <f>PROPER(TRIM(SUBSTITUTE([1]RawShipmentData!F345,"  "," ")))</f>
        <v>Electronics</v>
      </c>
      <c r="H344" s="2" t="str">
        <f>PROPER(TRIM([1]RawShipmentData!G345))</f>
        <v>North</v>
      </c>
      <c r="I344" s="2" t="str">
        <f t="shared" si="25"/>
        <v>No</v>
      </c>
      <c r="J344" s="2">
        <f>IFERROR(VALUE(TRIM(SUBSTITUTE(UPPER([1]RawShipmentData!I344),"KG",""))),"")</f>
        <v>1.9</v>
      </c>
      <c r="K344" s="2">
        <f>VALUE(SUBSTITUTE(SUBSTITUTE(SUBSTITUTE(TRIM([1]RawShipmentData!J345),"₹",""),"Rs",""),",",""))</f>
        <v>288</v>
      </c>
      <c r="L344" s="2">
        <f>[1]RawShipmentData!K345</f>
        <v>4</v>
      </c>
      <c r="M344" s="3">
        <f>IF(TRIM([1]RawShipmentData!L345)="","",IF(ISNUMBER(SEARCH("/",TRIM([1]RawShipmentData!L345))),DATE(VALUE(RIGHT(TRIM([1]RawShipmentData!L345),4)),VALUE(MID(TRIM([1]RawShipmentData!L345),FIND("/",TRIM([1]RawShipmentData!L345))+1,2)),VALUE(LEFT(TRIM([1]RawShipmentData!L345),FIND("/",TRIM([1]RawShipmentData!L345))-1))),DATEVALUE(TRIM([1]RawShipmentData!L345))))</f>
        <v>45459</v>
      </c>
      <c r="N344" s="2">
        <f t="shared" si="26"/>
        <v>3</v>
      </c>
      <c r="O344" s="2">
        <f t="shared" si="27"/>
        <v>-1</v>
      </c>
      <c r="P344" s="2" t="str">
        <f t="shared" si="28"/>
        <v>On Time</v>
      </c>
      <c r="Q344" s="2" t="str">
        <f>PROPER(SUBSTITUTE(TRIM([1]RawShipmentData!M345)," ","-"))</f>
        <v>Damaged</v>
      </c>
      <c r="R344" s="4">
        <f t="shared" si="29"/>
        <v>151.57894736842107</v>
      </c>
      <c r="S344" s="2">
        <f>[1]RawShipmentData!N345</f>
        <v>0</v>
      </c>
      <c r="T344" s="2" t="str">
        <f>IF(OR(UPPER(TRIM([1]RawShipmentData!O345))="YES",UPPER(TRIM([1]RawShipmentData!O345))="Y"),"Yes","No")</f>
        <v>No</v>
      </c>
    </row>
    <row r="345" spans="1:20" x14ac:dyDescent="0.25">
      <c r="A345" s="2" t="str">
        <f>[1]RawShipmentData!A346</f>
        <v>SHP-101093</v>
      </c>
      <c r="B345" s="3">
        <f>IF(ISNUMBER(SEARCH("/",TRIM([1]RawShipmentData!B346))),DATE(VALUE(RIGHT(TRIM([1]RawShipmentData!B346),4)),VALUE(MID(TRIM([1]RawShipmentData!B346),FIND("/",TRIM([1]RawShipmentData!B346))+1,2)),VALUE(LEFT(TRIM([1]RawShipmentData!B346),FIND("/",TRIM([1]RawShipmentData!B346))-1))),DATEVALUE(TRIM([1]RawShipmentData!B346)))</f>
        <v>45318</v>
      </c>
      <c r="C345" s="2" t="str">
        <f>PROPER(TRIM([1]RawShipmentData!C346))</f>
        <v>Delhi</v>
      </c>
      <c r="D345" s="2" t="str">
        <f>IFERROR(INDEX([1]HubMaster!$B$2:$B$7,MATCH(C345,[1]HubMaster!$A$2:$A$7,0)),"Unknown")</f>
        <v>North</v>
      </c>
      <c r="E345" s="2" t="str">
        <f>PROPER(TRIM(SUBSTITUTE([1]RawShipmentData!D346,"  "," ")))</f>
        <v>Delhivery</v>
      </c>
      <c r="F345" s="2" t="str">
        <f>PROPER(TRIM([1]RawShipmentData!E346))</f>
        <v>Air</v>
      </c>
      <c r="G345" s="2" t="str">
        <f>PROPER(TRIM(SUBSTITUTE([1]RawShipmentData!F346,"  "," ")))</f>
        <v>Apparel</v>
      </c>
      <c r="H345" s="2" t="str">
        <f>PROPER(TRIM([1]RawShipmentData!G346))</f>
        <v>East</v>
      </c>
      <c r="I345" s="2" t="str">
        <f t="shared" si="25"/>
        <v>Yes</v>
      </c>
      <c r="J345" s="2">
        <f>IFERROR(VALUE(TRIM(SUBSTITUTE(UPPER([1]RawShipmentData!I345),"KG",""))),"")</f>
        <v>12.8</v>
      </c>
      <c r="K345" s="2">
        <f>VALUE(SUBSTITUTE(SUBSTITUTE(SUBSTITUTE(TRIM([1]RawShipmentData!J346),"₹",""),"Rs",""),",",""))</f>
        <v>351</v>
      </c>
      <c r="L345" s="2">
        <f>[1]RawShipmentData!K346</f>
        <v>4</v>
      </c>
      <c r="M345" s="3">
        <f>IF(TRIM([1]RawShipmentData!L346)="","",IF(ISNUMBER(SEARCH("/",TRIM([1]RawShipmentData!L346))),DATE(VALUE(RIGHT(TRIM([1]RawShipmentData!L346),4)),VALUE(MID(TRIM([1]RawShipmentData!L346),FIND("/",TRIM([1]RawShipmentData!L346))+1,2)),VALUE(LEFT(TRIM([1]RawShipmentData!L346),FIND("/",TRIM([1]RawShipmentData!L346))-1))),DATEVALUE(TRIM([1]RawShipmentData!L346))))</f>
        <v>45322</v>
      </c>
      <c r="N345" s="2">
        <f t="shared" si="26"/>
        <v>4</v>
      </c>
      <c r="O345" s="2">
        <f t="shared" si="27"/>
        <v>0</v>
      </c>
      <c r="P345" s="2" t="str">
        <f t="shared" si="28"/>
        <v>On Time</v>
      </c>
      <c r="Q345" s="2" t="str">
        <f>PROPER(SUBSTITUTE(TRIM([1]RawShipmentData!M346)," ","-"))</f>
        <v>Delivered</v>
      </c>
      <c r="R345" s="4">
        <f t="shared" si="29"/>
        <v>27.421875</v>
      </c>
      <c r="S345" s="2">
        <f>[1]RawShipmentData!N346</f>
        <v>4</v>
      </c>
      <c r="T345" s="2" t="str">
        <f>IF(OR(UPPER(TRIM([1]RawShipmentData!O346))="YES",UPPER(TRIM([1]RawShipmentData!O346))="Y"),"Yes","No")</f>
        <v>No</v>
      </c>
    </row>
    <row r="346" spans="1:20" x14ac:dyDescent="0.25">
      <c r="A346" s="2" t="str">
        <f>[1]RawShipmentData!A347</f>
        <v>SHP-100045</v>
      </c>
      <c r="B346" s="3">
        <f>IF(ISNUMBER(SEARCH("/",TRIM([1]RawShipmentData!B347))),DATE(VALUE(RIGHT(TRIM([1]RawShipmentData!B347),4)),VALUE(MID(TRIM([1]RawShipmentData!B347),FIND("/",TRIM([1]RawShipmentData!B347))+1,2)),VALUE(LEFT(TRIM([1]RawShipmentData!B347),FIND("/",TRIM([1]RawShipmentData!B347))-1))),DATEVALUE(TRIM([1]RawShipmentData!B347)))</f>
        <v>45316</v>
      </c>
      <c r="C346" s="2" t="str">
        <f>PROPER(TRIM([1]RawShipmentData!C347))</f>
        <v>Chennai</v>
      </c>
      <c r="D346" s="2" t="str">
        <f>IFERROR(INDEX([1]HubMaster!$B$2:$B$7,MATCH(C346,[1]HubMaster!$A$2:$A$7,0)),"Unknown")</f>
        <v>South</v>
      </c>
      <c r="E346" s="2" t="str">
        <f>PROPER(TRIM(SUBSTITUTE([1]RawShipmentData!D347,"  "," ")))</f>
        <v>Xpress Bees</v>
      </c>
      <c r="F346" s="2" t="str">
        <f>PROPER(TRIM([1]RawShipmentData!E347))</f>
        <v>Road</v>
      </c>
      <c r="G346" s="2" t="str">
        <f>PROPER(TRIM(SUBSTITUTE([1]RawShipmentData!F347,"  "," ")))</f>
        <v>Electronics</v>
      </c>
      <c r="H346" s="2" t="str">
        <f>PROPER(TRIM([1]RawShipmentData!G347))</f>
        <v>North</v>
      </c>
      <c r="I346" s="2" t="str">
        <f t="shared" si="25"/>
        <v>Yes</v>
      </c>
      <c r="J346" s="2">
        <f>IFERROR(VALUE(TRIM(SUBSTITUTE(UPPER([1]RawShipmentData!I346),"KG",""))),"")</f>
        <v>4.7</v>
      </c>
      <c r="K346" s="2">
        <f>VALUE(SUBSTITUTE(SUBSTITUTE(SUBSTITUTE(TRIM([1]RawShipmentData!J347),"₹",""),"Rs",""),",",""))</f>
        <v>343</v>
      </c>
      <c r="L346" s="2">
        <f>[1]RawShipmentData!K347</f>
        <v>8</v>
      </c>
      <c r="M346" s="3">
        <f>IF(TRIM([1]RawShipmentData!L347)="","",IF(ISNUMBER(SEARCH("/",TRIM([1]RawShipmentData!L347))),DATE(VALUE(RIGHT(TRIM([1]RawShipmentData!L347),4)),VALUE(MID(TRIM([1]RawShipmentData!L347),FIND("/",TRIM([1]RawShipmentData!L347))+1,2)),VALUE(LEFT(TRIM([1]RawShipmentData!L347),FIND("/",TRIM([1]RawShipmentData!L347))-1))),DATEVALUE(TRIM([1]RawShipmentData!L347))))</f>
        <v>45323</v>
      </c>
      <c r="N346" s="2">
        <f t="shared" si="26"/>
        <v>7</v>
      </c>
      <c r="O346" s="2">
        <f t="shared" si="27"/>
        <v>-1</v>
      </c>
      <c r="P346" s="2" t="str">
        <f t="shared" si="28"/>
        <v>On Time</v>
      </c>
      <c r="Q346" s="2" t="str">
        <f>PROPER(SUBSTITUTE(TRIM([1]RawShipmentData!M347)," ","-"))</f>
        <v>Delivered</v>
      </c>
      <c r="R346" s="4">
        <f t="shared" si="29"/>
        <v>72.978723404255319</v>
      </c>
      <c r="S346" s="2">
        <f>[1]RawShipmentData!N347</f>
        <v>5</v>
      </c>
      <c r="T346" s="2" t="str">
        <f>IF(OR(UPPER(TRIM([1]RawShipmentData!O347))="YES",UPPER(TRIM([1]RawShipmentData!O347))="Y"),"Yes","No")</f>
        <v>No</v>
      </c>
    </row>
    <row r="347" spans="1:20" x14ac:dyDescent="0.25">
      <c r="A347" s="2" t="str">
        <f>[1]RawShipmentData!A348</f>
        <v>SHP-101448</v>
      </c>
      <c r="B347" s="3">
        <f>IF(ISNUMBER(SEARCH("/",TRIM([1]RawShipmentData!B348))),DATE(VALUE(RIGHT(TRIM([1]RawShipmentData!B348),4)),VALUE(MID(TRIM([1]RawShipmentData!B348),FIND("/",TRIM([1]RawShipmentData!B348))+1,2)),VALUE(LEFT(TRIM([1]RawShipmentData!B348),FIND("/",TRIM([1]RawShipmentData!B348))-1))),DATEVALUE(TRIM([1]RawShipmentData!B348)))</f>
        <v>45352</v>
      </c>
      <c r="C347" s="2" t="str">
        <f>PROPER(TRIM([1]RawShipmentData!C348))</f>
        <v>Mumbai</v>
      </c>
      <c r="D347" s="2" t="str">
        <f>IFERROR(INDEX([1]HubMaster!$B$2:$B$7,MATCH(C347,[1]HubMaster!$A$2:$A$7,0)),"Unknown")</f>
        <v>West</v>
      </c>
      <c r="E347" s="2" t="str">
        <f>PROPER(TRIM(SUBSTITUTE([1]RawShipmentData!D348,"  "," ")))</f>
        <v>Ecom Express</v>
      </c>
      <c r="F347" s="2" t="str">
        <f>PROPER(TRIM([1]RawShipmentData!E348))</f>
        <v>Road</v>
      </c>
      <c r="G347" s="2" t="str">
        <f>PROPER(TRIM(SUBSTITUTE([1]RawShipmentData!F348,"  "," ")))</f>
        <v>Grocery &amp; Fmcg</v>
      </c>
      <c r="H347" s="2" t="str">
        <f>PROPER(TRIM([1]RawShipmentData!G348))</f>
        <v>East</v>
      </c>
      <c r="I347" s="2" t="str">
        <f t="shared" si="25"/>
        <v>Yes</v>
      </c>
      <c r="J347" s="2">
        <f>IFERROR(VALUE(TRIM(SUBSTITUTE(UPPER([1]RawShipmentData!I347),"KG",""))),"")</f>
        <v>13.2</v>
      </c>
      <c r="K347" s="2">
        <f>VALUE(SUBSTITUTE(SUBSTITUTE(SUBSTITUTE(TRIM([1]RawShipmentData!J348),"₹",""),"Rs",""),",",""))</f>
        <v>400</v>
      </c>
      <c r="L347" s="2">
        <f>[1]RawShipmentData!K348</f>
        <v>8</v>
      </c>
      <c r="M347" s="3">
        <f>IF(TRIM([1]RawShipmentData!L348)="","",IF(ISNUMBER(SEARCH("/",TRIM([1]RawShipmentData!L348))),DATE(VALUE(RIGHT(TRIM([1]RawShipmentData!L348),4)),VALUE(MID(TRIM([1]RawShipmentData!L348),FIND("/",TRIM([1]RawShipmentData!L348))+1,2)),VALUE(LEFT(TRIM([1]RawShipmentData!L348),FIND("/",TRIM([1]RawShipmentData!L348))-1))),DATEVALUE(TRIM([1]RawShipmentData!L348))))</f>
        <v>45359</v>
      </c>
      <c r="N347" s="2">
        <f t="shared" si="26"/>
        <v>7</v>
      </c>
      <c r="O347" s="2">
        <f t="shared" si="27"/>
        <v>-1</v>
      </c>
      <c r="P347" s="2" t="str">
        <f t="shared" si="28"/>
        <v>On Time</v>
      </c>
      <c r="Q347" s="2" t="str">
        <f>PROPER(SUBSTITUTE(TRIM([1]RawShipmentData!M348)," ","-"))</f>
        <v>Delivered</v>
      </c>
      <c r="R347" s="4">
        <f t="shared" si="29"/>
        <v>30.303030303030305</v>
      </c>
      <c r="S347" s="2">
        <f>[1]RawShipmentData!N348</f>
        <v>3</v>
      </c>
      <c r="T347" s="2" t="str">
        <f>IF(OR(UPPER(TRIM([1]RawShipmentData!O348))="YES",UPPER(TRIM([1]RawShipmentData!O348))="Y"),"Yes","No")</f>
        <v>Yes</v>
      </c>
    </row>
    <row r="348" spans="1:20" x14ac:dyDescent="0.25">
      <c r="A348" s="2" t="str">
        <f>[1]RawShipmentData!A349</f>
        <v>SHP-100114</v>
      </c>
      <c r="B348" s="3">
        <f>IF(ISNUMBER(SEARCH("/",TRIM([1]RawShipmentData!B349))),DATE(VALUE(RIGHT(TRIM([1]RawShipmentData!B349),4)),VALUE(MID(TRIM([1]RawShipmentData!B349),FIND("/",TRIM([1]RawShipmentData!B349))+1,2)),VALUE(LEFT(TRIM([1]RawShipmentData!B349),FIND("/",TRIM([1]RawShipmentData!B349))-1))),DATEVALUE(TRIM([1]RawShipmentData!B349)))</f>
        <v>45406</v>
      </c>
      <c r="C348" s="2" t="str">
        <f>PROPER(TRIM([1]RawShipmentData!C349))</f>
        <v>Bengaluru</v>
      </c>
      <c r="D348" s="2" t="str">
        <f>IFERROR(INDEX([1]HubMaster!$B$2:$B$7,MATCH(C348,[1]HubMaster!$A$2:$A$7,0)),"Unknown")</f>
        <v>South</v>
      </c>
      <c r="E348" s="2" t="str">
        <f>PROPER(TRIM(SUBSTITUTE([1]RawShipmentData!D349,"  "," ")))</f>
        <v>Delhivery</v>
      </c>
      <c r="F348" s="2" t="str">
        <f>PROPER(TRIM([1]RawShipmentData!E349))</f>
        <v>Road</v>
      </c>
      <c r="G348" s="2" t="str">
        <f>PROPER(TRIM(SUBSTITUTE([1]RawShipmentData!F349,"  "," ")))</f>
        <v>Pharma</v>
      </c>
      <c r="H348" s="2" t="str">
        <f>PROPER(TRIM([1]RawShipmentData!G349))</f>
        <v>East</v>
      </c>
      <c r="I348" s="2" t="str">
        <f t="shared" si="25"/>
        <v>Yes</v>
      </c>
      <c r="J348" s="2">
        <f>IFERROR(VALUE(TRIM(SUBSTITUTE(UPPER([1]RawShipmentData!I348),"KG",""))),"")</f>
        <v>14.7</v>
      </c>
      <c r="K348" s="2">
        <f>VALUE(SUBSTITUTE(SUBSTITUTE(SUBSTITUTE(TRIM([1]RawShipmentData!J349),"₹",""),"Rs",""),",",""))</f>
        <v>213</v>
      </c>
      <c r="L348" s="2">
        <f>[1]RawShipmentData!K349</f>
        <v>8</v>
      </c>
      <c r="M348" s="3">
        <f>IF(TRIM([1]RawShipmentData!L349)="","",IF(ISNUMBER(SEARCH("/",TRIM([1]RawShipmentData!L349))),DATE(VALUE(RIGHT(TRIM([1]RawShipmentData!L349),4)),VALUE(MID(TRIM([1]RawShipmentData!L349),FIND("/",TRIM([1]RawShipmentData!L349))+1,2)),VALUE(LEFT(TRIM([1]RawShipmentData!L349),FIND("/",TRIM([1]RawShipmentData!L349))-1))),DATEVALUE(TRIM([1]RawShipmentData!L349))))</f>
        <v>45413</v>
      </c>
      <c r="N348" s="2">
        <f t="shared" si="26"/>
        <v>7</v>
      </c>
      <c r="O348" s="2">
        <f t="shared" si="27"/>
        <v>-1</v>
      </c>
      <c r="P348" s="2" t="str">
        <f t="shared" si="28"/>
        <v>On Time</v>
      </c>
      <c r="Q348" s="2" t="str">
        <f>PROPER(SUBSTITUTE(TRIM([1]RawShipmentData!M349)," ","-"))</f>
        <v>Delivered</v>
      </c>
      <c r="R348" s="4">
        <f t="shared" si="29"/>
        <v>14.489795918367347</v>
      </c>
      <c r="S348" s="2">
        <f>[1]RawShipmentData!N349</f>
        <v>5</v>
      </c>
      <c r="T348" s="2" t="str">
        <f>IF(OR(UPPER(TRIM([1]RawShipmentData!O349))="YES",UPPER(TRIM([1]RawShipmentData!O349))="Y"),"Yes","No")</f>
        <v>No</v>
      </c>
    </row>
    <row r="349" spans="1:20" x14ac:dyDescent="0.25">
      <c r="A349" s="2" t="str">
        <f>[1]RawShipmentData!A350</f>
        <v>SHP-101359</v>
      </c>
      <c r="B349" s="3">
        <f>IF(ISNUMBER(SEARCH("/",TRIM([1]RawShipmentData!B350))),DATE(VALUE(RIGHT(TRIM([1]RawShipmentData!B350),4)),VALUE(MID(TRIM([1]RawShipmentData!B350),FIND("/",TRIM([1]RawShipmentData!B350))+1,2)),VALUE(LEFT(TRIM([1]RawShipmentData!B350),FIND("/",TRIM([1]RawShipmentData!B350))-1))),DATEVALUE(TRIM([1]RawShipmentData!B350)))</f>
        <v>45365</v>
      </c>
      <c r="C349" s="2" t="str">
        <f>PROPER(TRIM([1]RawShipmentData!C350))</f>
        <v>Bengaluru</v>
      </c>
      <c r="D349" s="2" t="str">
        <f>IFERROR(INDEX([1]HubMaster!$B$2:$B$7,MATCH(C349,[1]HubMaster!$A$2:$A$7,0)),"Unknown")</f>
        <v>South</v>
      </c>
      <c r="E349" s="2" t="str">
        <f>PROPER(TRIM(SUBSTITUTE([1]RawShipmentData!D350,"  "," ")))</f>
        <v>Dtdc</v>
      </c>
      <c r="F349" s="2" t="str">
        <f>PROPER(TRIM([1]RawShipmentData!E350))</f>
        <v>Surface</v>
      </c>
      <c r="G349" s="2" t="str">
        <f>PROPER(TRIM(SUBSTITUTE([1]RawShipmentData!F350,"  "," ")))</f>
        <v>Electronics</v>
      </c>
      <c r="H349" s="2" t="str">
        <f>PROPER(TRIM([1]RawShipmentData!G350))</f>
        <v>West</v>
      </c>
      <c r="I349" s="2" t="str">
        <f t="shared" si="25"/>
        <v>Yes</v>
      </c>
      <c r="J349" s="2">
        <f>IFERROR(VALUE(TRIM(SUBSTITUTE(UPPER([1]RawShipmentData!I349),"KG",""))),"")</f>
        <v>3</v>
      </c>
      <c r="K349" s="2">
        <f>VALUE(SUBSTITUTE(SUBSTITUTE(SUBSTITUTE(TRIM([1]RawShipmentData!J350),"₹",""),"Rs",""),",",""))</f>
        <v>303</v>
      </c>
      <c r="L349" s="2">
        <f>[1]RawShipmentData!K350</f>
        <v>6</v>
      </c>
      <c r="M349" s="3">
        <f>IF(TRIM([1]RawShipmentData!L350)="","",IF(ISNUMBER(SEARCH("/",TRIM([1]RawShipmentData!L350))),DATE(VALUE(RIGHT(TRIM([1]RawShipmentData!L350),4)),VALUE(MID(TRIM([1]RawShipmentData!L350),FIND("/",TRIM([1]RawShipmentData!L350))+1,2)),VALUE(LEFT(TRIM([1]RawShipmentData!L350),FIND("/",TRIM([1]RawShipmentData!L350))-1))),DATEVALUE(TRIM([1]RawShipmentData!L350))))</f>
        <v>45370</v>
      </c>
      <c r="N349" s="2">
        <f t="shared" si="26"/>
        <v>5</v>
      </c>
      <c r="O349" s="2">
        <f t="shared" si="27"/>
        <v>-1</v>
      </c>
      <c r="P349" s="2" t="str">
        <f t="shared" si="28"/>
        <v>On Time</v>
      </c>
      <c r="Q349" s="2" t="str">
        <f>PROPER(SUBSTITUTE(TRIM([1]RawShipmentData!M350)," ","-"))</f>
        <v>Delivered</v>
      </c>
      <c r="R349" s="4">
        <f t="shared" si="29"/>
        <v>101</v>
      </c>
      <c r="S349" s="2">
        <f>[1]RawShipmentData!N350</f>
        <v>4</v>
      </c>
      <c r="T349" s="2" t="str">
        <f>IF(OR(UPPER(TRIM([1]RawShipmentData!O350))="YES",UPPER(TRIM([1]RawShipmentData!O350))="Y"),"Yes","No")</f>
        <v>No</v>
      </c>
    </row>
    <row r="350" spans="1:20" x14ac:dyDescent="0.25">
      <c r="A350" s="2" t="str">
        <f>[1]RawShipmentData!A351</f>
        <v>SHP-101303</v>
      </c>
      <c r="B350" s="3">
        <f>IF(ISNUMBER(SEARCH("/",TRIM([1]RawShipmentData!B351))),DATE(VALUE(RIGHT(TRIM([1]RawShipmentData!B351),4)),VALUE(MID(TRIM([1]RawShipmentData!B351),FIND("/",TRIM([1]RawShipmentData!B351))+1,2)),VALUE(LEFT(TRIM([1]RawShipmentData!B351),FIND("/",TRIM([1]RawShipmentData!B351))-1))),DATEVALUE(TRIM([1]RawShipmentData!B351)))</f>
        <v>45304</v>
      </c>
      <c r="C350" s="2" t="str">
        <f>PROPER(TRIM([1]RawShipmentData!C351))</f>
        <v>Chennai</v>
      </c>
      <c r="D350" s="2" t="str">
        <f>IFERROR(INDEX([1]HubMaster!$B$2:$B$7,MATCH(C350,[1]HubMaster!$A$2:$A$7,0)),"Unknown")</f>
        <v>South</v>
      </c>
      <c r="E350" s="2" t="str">
        <f>PROPER(TRIM(SUBSTITUTE([1]RawShipmentData!D351,"  "," ")))</f>
        <v>Delhivery</v>
      </c>
      <c r="F350" s="2" t="str">
        <f>PROPER(TRIM([1]RawShipmentData!E351))</f>
        <v>Surface</v>
      </c>
      <c r="G350" s="2" t="str">
        <f>PROPER(TRIM(SUBSTITUTE([1]RawShipmentData!F351,"  "," ")))</f>
        <v>Apparel</v>
      </c>
      <c r="H350" s="2" t="str">
        <f>PROPER(TRIM([1]RawShipmentData!G351))</f>
        <v>South</v>
      </c>
      <c r="I350" s="2" t="str">
        <f t="shared" si="25"/>
        <v>No</v>
      </c>
      <c r="J350" s="2">
        <f>IFERROR(VALUE(TRIM(SUBSTITUTE(UPPER([1]RawShipmentData!I350),"KG",""))),"")</f>
        <v>5.7</v>
      </c>
      <c r="K350" s="2">
        <f>VALUE(SUBSTITUTE(SUBSTITUTE(SUBSTITUTE(TRIM([1]RawShipmentData!J351),"₹",""),"Rs",""),",",""))</f>
        <v>181</v>
      </c>
      <c r="L350" s="2">
        <f>[1]RawShipmentData!K351</f>
        <v>4</v>
      </c>
      <c r="M350" s="3">
        <f>IF(TRIM([1]RawShipmentData!L351)="","",IF(ISNUMBER(SEARCH("/",TRIM([1]RawShipmentData!L351))),DATE(VALUE(RIGHT(TRIM([1]RawShipmentData!L351),4)),VALUE(MID(TRIM([1]RawShipmentData!L351),FIND("/",TRIM([1]RawShipmentData!L351))+1,2)),VALUE(LEFT(TRIM([1]RawShipmentData!L351),FIND("/",TRIM([1]RawShipmentData!L351))-1))),DATEVALUE(TRIM([1]RawShipmentData!L351))))</f>
        <v>45310</v>
      </c>
      <c r="N350" s="2">
        <f t="shared" si="26"/>
        <v>6</v>
      </c>
      <c r="O350" s="2">
        <f t="shared" si="27"/>
        <v>2</v>
      </c>
      <c r="P350" s="2" t="str">
        <f t="shared" si="28"/>
        <v>Late</v>
      </c>
      <c r="Q350" s="2" t="str">
        <f>PROPER(SUBSTITUTE(TRIM([1]RawShipmentData!M351)," ","-"))</f>
        <v>Delayed</v>
      </c>
      <c r="R350" s="4">
        <f t="shared" si="29"/>
        <v>31.754385964912281</v>
      </c>
      <c r="S350" s="2">
        <f>[1]RawShipmentData!N351</f>
        <v>4</v>
      </c>
      <c r="T350" s="2" t="str">
        <f>IF(OR(UPPER(TRIM([1]RawShipmentData!O351))="YES",UPPER(TRIM([1]RawShipmentData!O351))="Y"),"Yes","No")</f>
        <v>Yes</v>
      </c>
    </row>
    <row r="351" spans="1:20" x14ac:dyDescent="0.25">
      <c r="A351" s="2" t="str">
        <f>[1]RawShipmentData!A352</f>
        <v>SHP-101198</v>
      </c>
      <c r="B351" s="3">
        <f>IF(ISNUMBER(SEARCH("/",TRIM([1]RawShipmentData!B352))),DATE(VALUE(RIGHT(TRIM([1]RawShipmentData!B352),4)),VALUE(MID(TRIM([1]RawShipmentData!B352),FIND("/",TRIM([1]RawShipmentData!B352))+1,2)),VALUE(LEFT(TRIM([1]RawShipmentData!B352),FIND("/",TRIM([1]RawShipmentData!B352))-1))),DATEVALUE(TRIM([1]RawShipmentData!B352)))</f>
        <v>45462</v>
      </c>
      <c r="C351" s="2" t="str">
        <f>PROPER(TRIM([1]RawShipmentData!C352))</f>
        <v>Mumbai</v>
      </c>
      <c r="D351" s="2" t="str">
        <f>IFERROR(INDEX([1]HubMaster!$B$2:$B$7,MATCH(C351,[1]HubMaster!$A$2:$A$7,0)),"Unknown")</f>
        <v>West</v>
      </c>
      <c r="E351" s="2" t="str">
        <f>PROPER(TRIM(SUBSTITUTE([1]RawShipmentData!D352,"  "," ")))</f>
        <v>Dtdc</v>
      </c>
      <c r="F351" s="2" t="str">
        <f>PROPER(TRIM([1]RawShipmentData!E352))</f>
        <v>Road</v>
      </c>
      <c r="G351" s="2" t="str">
        <f>PROPER(TRIM(SUBSTITUTE([1]RawShipmentData!F352,"  "," ")))</f>
        <v>Pharma</v>
      </c>
      <c r="H351" s="2" t="str">
        <f>PROPER(TRIM([1]RawShipmentData!G352))</f>
        <v>East</v>
      </c>
      <c r="I351" s="2" t="str">
        <f t="shared" si="25"/>
        <v>Yes</v>
      </c>
      <c r="J351" s="2">
        <f>IFERROR(VALUE(TRIM(SUBSTITUTE(UPPER([1]RawShipmentData!I351),"KG",""))),"")</f>
        <v>6.8</v>
      </c>
      <c r="K351" s="2">
        <f>VALUE(SUBSTITUTE(SUBSTITUTE(SUBSTITUTE(TRIM([1]RawShipmentData!J352),"₹",""),"Rs",""),",",""))</f>
        <v>176</v>
      </c>
      <c r="L351" s="2">
        <f>[1]RawShipmentData!K352</f>
        <v>8</v>
      </c>
      <c r="M351" s="3">
        <f>IF(TRIM([1]RawShipmentData!L352)="","",IF(ISNUMBER(SEARCH("/",TRIM([1]RawShipmentData!L352))),DATE(VALUE(RIGHT(TRIM([1]RawShipmentData!L352),4)),VALUE(MID(TRIM([1]RawShipmentData!L352),FIND("/",TRIM([1]RawShipmentData!L352))+1,2)),VALUE(LEFT(TRIM([1]RawShipmentData!L352),FIND("/",TRIM([1]RawShipmentData!L352))-1))),DATEVALUE(TRIM([1]RawShipmentData!L352))))</f>
        <v>45470</v>
      </c>
      <c r="N351" s="2">
        <f t="shared" si="26"/>
        <v>8</v>
      </c>
      <c r="O351" s="2">
        <f t="shared" si="27"/>
        <v>0</v>
      </c>
      <c r="P351" s="2" t="str">
        <f t="shared" si="28"/>
        <v>On Time</v>
      </c>
      <c r="Q351" s="2" t="str">
        <f>PROPER(SUBSTITUTE(TRIM([1]RawShipmentData!M352)," ","-"))</f>
        <v>Delivered</v>
      </c>
      <c r="R351" s="4">
        <f t="shared" si="29"/>
        <v>25.882352941176471</v>
      </c>
      <c r="S351" s="2">
        <f>[1]RawShipmentData!N352</f>
        <v>4</v>
      </c>
      <c r="T351" s="2" t="str">
        <f>IF(OR(UPPER(TRIM([1]RawShipmentData!O352))="YES",UPPER(TRIM([1]RawShipmentData!O352))="Y"),"Yes","No")</f>
        <v>Yes</v>
      </c>
    </row>
    <row r="352" spans="1:20" x14ac:dyDescent="0.25">
      <c r="A352" s="2" t="str">
        <f>[1]RawShipmentData!A353</f>
        <v>SHP-100742</v>
      </c>
      <c r="B352" s="3">
        <f>IF(ISNUMBER(SEARCH("/",TRIM([1]RawShipmentData!B353))),DATE(VALUE(RIGHT(TRIM([1]RawShipmentData!B353),4)),VALUE(MID(TRIM([1]RawShipmentData!B353),FIND("/",TRIM([1]RawShipmentData!B353))+1,2)),VALUE(LEFT(TRIM([1]RawShipmentData!B353),FIND("/",TRIM([1]RawShipmentData!B353))-1))),DATEVALUE(TRIM([1]RawShipmentData!B353)))</f>
        <v>45414</v>
      </c>
      <c r="C352" s="2" t="str">
        <f>PROPER(TRIM([1]RawShipmentData!C353))</f>
        <v>Chennai</v>
      </c>
      <c r="D352" s="2" t="str">
        <f>IFERROR(INDEX([1]HubMaster!$B$2:$B$7,MATCH(C352,[1]HubMaster!$A$2:$A$7,0)),"Unknown")</f>
        <v>South</v>
      </c>
      <c r="E352" s="2" t="str">
        <f>PROPER(TRIM(SUBSTITUTE([1]RawShipmentData!D353,"  "," ")))</f>
        <v>Xpress Bees</v>
      </c>
      <c r="F352" s="2" t="str">
        <f>PROPER(TRIM([1]RawShipmentData!E353))</f>
        <v>Road</v>
      </c>
      <c r="G352" s="2" t="str">
        <f>PROPER(TRIM(SUBSTITUTE([1]RawShipmentData!F353,"  "," ")))</f>
        <v>Electronics</v>
      </c>
      <c r="H352" s="2" t="str">
        <f>PROPER(TRIM([1]RawShipmentData!G353))</f>
        <v>North</v>
      </c>
      <c r="I352" s="2" t="str">
        <f t="shared" si="25"/>
        <v>Yes</v>
      </c>
      <c r="J352" s="2">
        <f>IFERROR(VALUE(TRIM(SUBSTITUTE(UPPER([1]RawShipmentData!I352),"KG",""))),"")</f>
        <v>3</v>
      </c>
      <c r="K352" s="2">
        <f>VALUE(SUBSTITUTE(SUBSTITUTE(SUBSTITUTE(TRIM([1]RawShipmentData!J353),"₹",""),"Rs",""),",",""))</f>
        <v>346</v>
      </c>
      <c r="L352" s="2">
        <f>[1]RawShipmentData!K353</f>
        <v>8</v>
      </c>
      <c r="M352" s="3">
        <f>IF(TRIM([1]RawShipmentData!L353)="","",IF(ISNUMBER(SEARCH("/",TRIM([1]RawShipmentData!L353))),DATE(VALUE(RIGHT(TRIM([1]RawShipmentData!L353),4)),VALUE(MID(TRIM([1]RawShipmentData!L353),FIND("/",TRIM([1]RawShipmentData!L353))+1,2)),VALUE(LEFT(TRIM([1]RawShipmentData!L353),FIND("/",TRIM([1]RawShipmentData!L353))-1))),DATEVALUE(TRIM([1]RawShipmentData!L353))))</f>
        <v>45422</v>
      </c>
      <c r="N352" s="2">
        <f t="shared" si="26"/>
        <v>8</v>
      </c>
      <c r="O352" s="2">
        <f t="shared" si="27"/>
        <v>0</v>
      </c>
      <c r="P352" s="2" t="str">
        <f t="shared" si="28"/>
        <v>On Time</v>
      </c>
      <c r="Q352" s="2" t="str">
        <f>PROPER(SUBSTITUTE(TRIM([1]RawShipmentData!M353)," ","-"))</f>
        <v>Delivered</v>
      </c>
      <c r="R352" s="4">
        <f t="shared" si="29"/>
        <v>115.33333333333333</v>
      </c>
      <c r="S352" s="2">
        <f>[1]RawShipmentData!N353</f>
        <v>5</v>
      </c>
      <c r="T352" s="2" t="str">
        <f>IF(OR(UPPER(TRIM([1]RawShipmentData!O353))="YES",UPPER(TRIM([1]RawShipmentData!O353))="Y"),"Yes","No")</f>
        <v>No</v>
      </c>
    </row>
    <row r="353" spans="1:20" x14ac:dyDescent="0.25">
      <c r="A353" s="2" t="str">
        <f>[1]RawShipmentData!A354</f>
        <v>SHP-101326</v>
      </c>
      <c r="B353" s="3">
        <f>IF(ISNUMBER(SEARCH("/",TRIM([1]RawShipmentData!B354))),DATE(VALUE(RIGHT(TRIM([1]RawShipmentData!B354),4)),VALUE(MID(TRIM([1]RawShipmentData!B354),FIND("/",TRIM([1]RawShipmentData!B354))+1,2)),VALUE(LEFT(TRIM([1]RawShipmentData!B354),FIND("/",TRIM([1]RawShipmentData!B354))-1))),DATEVALUE(TRIM([1]RawShipmentData!B354)))</f>
        <v>45470</v>
      </c>
      <c r="C353" s="2" t="str">
        <f>PROPER(TRIM([1]RawShipmentData!C354))</f>
        <v>Chennai</v>
      </c>
      <c r="D353" s="2" t="str">
        <f>IFERROR(INDEX([1]HubMaster!$B$2:$B$7,MATCH(C353,[1]HubMaster!$A$2:$A$7,0)),"Unknown")</f>
        <v>South</v>
      </c>
      <c r="E353" s="2" t="str">
        <f>PROPER(TRIM(SUBSTITUTE([1]RawShipmentData!D354,"  "," ")))</f>
        <v>Delhivery</v>
      </c>
      <c r="F353" s="2" t="str">
        <f>PROPER(TRIM([1]RawShipmentData!E354))</f>
        <v>Surface</v>
      </c>
      <c r="G353" s="2" t="str">
        <f>PROPER(TRIM(SUBSTITUTE([1]RawShipmentData!F354,"  "," ")))</f>
        <v>Pharma</v>
      </c>
      <c r="H353" s="2" t="str">
        <f>PROPER(TRIM([1]RawShipmentData!G354))</f>
        <v>West</v>
      </c>
      <c r="I353" s="2" t="str">
        <f t="shared" si="25"/>
        <v>Yes</v>
      </c>
      <c r="J353" s="2">
        <f>IFERROR(VALUE(TRIM(SUBSTITUTE(UPPER([1]RawShipmentData!I353),"KG",""))),"")</f>
        <v>10.5</v>
      </c>
      <c r="K353" s="2">
        <f>VALUE(SUBSTITUTE(SUBSTITUTE(SUBSTITUTE(TRIM([1]RawShipmentData!J354),"₹",""),"Rs",""),",",""))</f>
        <v>176</v>
      </c>
      <c r="L353" s="2">
        <f>[1]RawShipmentData!K354</f>
        <v>6</v>
      </c>
      <c r="M353" s="3">
        <f>IF(TRIM([1]RawShipmentData!L354)="","",IF(ISNUMBER(SEARCH("/",TRIM([1]RawShipmentData!L354))),DATE(VALUE(RIGHT(TRIM([1]RawShipmentData!L354),4)),VALUE(MID(TRIM([1]RawShipmentData!L354),FIND("/",TRIM([1]RawShipmentData!L354))+1,2)),VALUE(LEFT(TRIM([1]RawShipmentData!L354),FIND("/",TRIM([1]RawShipmentData!L354))-1))),DATEVALUE(TRIM([1]RawShipmentData!L354))))</f>
        <v>45476</v>
      </c>
      <c r="N353" s="2">
        <f t="shared" si="26"/>
        <v>6</v>
      </c>
      <c r="O353" s="2">
        <f t="shared" si="27"/>
        <v>0</v>
      </c>
      <c r="P353" s="2" t="str">
        <f t="shared" si="28"/>
        <v>On Time</v>
      </c>
      <c r="Q353" s="2" t="str">
        <f>PROPER(SUBSTITUTE(TRIM([1]RawShipmentData!M354)," ","-"))</f>
        <v>Delivered</v>
      </c>
      <c r="R353" s="4">
        <f t="shared" si="29"/>
        <v>16.761904761904763</v>
      </c>
      <c r="S353" s="2">
        <f>[1]RawShipmentData!N354</f>
        <v>4</v>
      </c>
      <c r="T353" s="2" t="str">
        <f>IF(OR(UPPER(TRIM([1]RawShipmentData!O354))="YES",UPPER(TRIM([1]RawShipmentData!O354))="Y"),"Yes","No")</f>
        <v>No</v>
      </c>
    </row>
    <row r="354" spans="1:20" x14ac:dyDescent="0.25">
      <c r="A354" s="2" t="str">
        <f>[1]RawShipmentData!A355</f>
        <v>SHP-101498</v>
      </c>
      <c r="B354" s="3">
        <f>IF(ISNUMBER(SEARCH("/",TRIM([1]RawShipmentData!B355))),DATE(VALUE(RIGHT(TRIM([1]RawShipmentData!B355),4)),VALUE(MID(TRIM([1]RawShipmentData!B355),FIND("/",TRIM([1]RawShipmentData!B355))+1,2)),VALUE(LEFT(TRIM([1]RawShipmentData!B355),FIND("/",TRIM([1]RawShipmentData!B355))-1))),DATEVALUE(TRIM([1]RawShipmentData!B355)))</f>
        <v>45426</v>
      </c>
      <c r="C354" s="2" t="str">
        <f>PROPER(TRIM([1]RawShipmentData!C355))</f>
        <v>Mumbai</v>
      </c>
      <c r="D354" s="2" t="str">
        <f>IFERROR(INDEX([1]HubMaster!$B$2:$B$7,MATCH(C354,[1]HubMaster!$A$2:$A$7,0)),"Unknown")</f>
        <v>West</v>
      </c>
      <c r="E354" s="2" t="str">
        <f>PROPER(TRIM(SUBSTITUTE([1]RawShipmentData!D355,"  "," ")))</f>
        <v>Delhivery</v>
      </c>
      <c r="F354" s="2" t="str">
        <f>PROPER(TRIM([1]RawShipmentData!E355))</f>
        <v>Road</v>
      </c>
      <c r="G354" s="2" t="str">
        <f>PROPER(TRIM(SUBSTITUTE([1]RawShipmentData!F355,"  "," ")))</f>
        <v>Automotive Parts</v>
      </c>
      <c r="H354" s="2" t="str">
        <f>PROPER(TRIM([1]RawShipmentData!G355))</f>
        <v>East</v>
      </c>
      <c r="I354" s="2" t="str">
        <f t="shared" si="25"/>
        <v>Yes</v>
      </c>
      <c r="J354" s="2">
        <f>IFERROR(VALUE(TRIM(SUBSTITUTE(UPPER([1]RawShipmentData!I354),"KG",""))),"")</f>
        <v>2.1</v>
      </c>
      <c r="K354" s="2">
        <f>VALUE(SUBSTITUTE(SUBSTITUTE(SUBSTITUTE(TRIM([1]RawShipmentData!J355),"₹",""),"Rs",""),",",""))</f>
        <v>297</v>
      </c>
      <c r="L354" s="2">
        <f>[1]RawShipmentData!K355</f>
        <v>8</v>
      </c>
      <c r="M354" s="3">
        <f>IF(TRIM([1]RawShipmentData!L355)="","",IF(ISNUMBER(SEARCH("/",TRIM([1]RawShipmentData!L355))),DATE(VALUE(RIGHT(TRIM([1]RawShipmentData!L355),4)),VALUE(MID(TRIM([1]RawShipmentData!L355),FIND("/",TRIM([1]RawShipmentData!L355))+1,2)),VALUE(LEFT(TRIM([1]RawShipmentData!L355),FIND("/",TRIM([1]RawShipmentData!L355))-1))),DATEVALUE(TRIM([1]RawShipmentData!L355))))</f>
        <v>45433</v>
      </c>
      <c r="N354" s="2">
        <f t="shared" si="26"/>
        <v>7</v>
      </c>
      <c r="O354" s="2">
        <f t="shared" si="27"/>
        <v>-1</v>
      </c>
      <c r="P354" s="2" t="str">
        <f t="shared" si="28"/>
        <v>On Time</v>
      </c>
      <c r="Q354" s="2" t="str">
        <f>PROPER(SUBSTITUTE(TRIM([1]RawShipmentData!M355)," ","-"))</f>
        <v>Delivered</v>
      </c>
      <c r="R354" s="4">
        <f t="shared" si="29"/>
        <v>141.42857142857142</v>
      </c>
      <c r="S354" s="2">
        <f>[1]RawShipmentData!N355</f>
        <v>4</v>
      </c>
      <c r="T354" s="2" t="str">
        <f>IF(OR(UPPER(TRIM([1]RawShipmentData!O355))="YES",UPPER(TRIM([1]RawShipmentData!O355))="Y"),"Yes","No")</f>
        <v>Yes</v>
      </c>
    </row>
    <row r="355" spans="1:20" x14ac:dyDescent="0.25">
      <c r="A355" s="2" t="str">
        <f>[1]RawShipmentData!A356</f>
        <v>SHP-101591</v>
      </c>
      <c r="B355" s="3">
        <f>IF(ISNUMBER(SEARCH("/",TRIM([1]RawShipmentData!B356))),DATE(VALUE(RIGHT(TRIM([1]RawShipmentData!B356),4)),VALUE(MID(TRIM([1]RawShipmentData!B356),FIND("/",TRIM([1]RawShipmentData!B356))+1,2)),VALUE(LEFT(TRIM([1]RawShipmentData!B356),FIND("/",TRIM([1]RawShipmentData!B356))-1))),DATEVALUE(TRIM([1]RawShipmentData!B356)))</f>
        <v>45376</v>
      </c>
      <c r="C355" s="2" t="str">
        <f>PROPER(TRIM([1]RawShipmentData!C356))</f>
        <v>Kolkata</v>
      </c>
      <c r="D355" s="2" t="str">
        <f>IFERROR(INDEX([1]HubMaster!$B$2:$B$7,MATCH(C355,[1]HubMaster!$A$2:$A$7,0)),"Unknown")</f>
        <v>East</v>
      </c>
      <c r="E355" s="2" t="str">
        <f>PROPER(TRIM(SUBSTITUTE([1]RawShipmentData!D356,"  "," ")))</f>
        <v>Dtdc</v>
      </c>
      <c r="F355" s="2" t="str">
        <f>PROPER(TRIM([1]RawShipmentData!E356))</f>
        <v>Surface</v>
      </c>
      <c r="G355" s="2" t="str">
        <f>PROPER(TRIM(SUBSTITUTE([1]RawShipmentData!F356,"  "," ")))</f>
        <v>Automotive Parts</v>
      </c>
      <c r="H355" s="2" t="str">
        <f>PROPER(TRIM([1]RawShipmentData!G356))</f>
        <v>North</v>
      </c>
      <c r="I355" s="2" t="str">
        <f t="shared" si="25"/>
        <v>Yes</v>
      </c>
      <c r="J355" s="2">
        <f>IFERROR(VALUE(TRIM(SUBSTITUTE(UPPER([1]RawShipmentData!I355),"KG",""))),"")</f>
        <v>8.1999999999999993</v>
      </c>
      <c r="K355" s="2">
        <f>VALUE(SUBSTITUTE(SUBSTITUTE(SUBSTITUTE(TRIM([1]RawShipmentData!J356),"₹",""),"Rs",""),",",""))</f>
        <v>914</v>
      </c>
      <c r="L355" s="2">
        <f>[1]RawShipmentData!K356</f>
        <v>6</v>
      </c>
      <c r="M355" s="3">
        <f>IF(TRIM([1]RawShipmentData!L356)="","",IF(ISNUMBER(SEARCH("/",TRIM([1]RawShipmentData!L356))),DATE(VALUE(RIGHT(TRIM([1]RawShipmentData!L356),4)),VALUE(MID(TRIM([1]RawShipmentData!L356),FIND("/",TRIM([1]RawShipmentData!L356))+1,2)),VALUE(LEFT(TRIM([1]RawShipmentData!L356),FIND("/",TRIM([1]RawShipmentData!L356))-1))),DATEVALUE(TRIM([1]RawShipmentData!L356))))</f>
        <v>45385</v>
      </c>
      <c r="N355" s="2">
        <f t="shared" si="26"/>
        <v>9</v>
      </c>
      <c r="O355" s="2">
        <f t="shared" si="27"/>
        <v>3</v>
      </c>
      <c r="P355" s="2" t="str">
        <f t="shared" si="28"/>
        <v>Late</v>
      </c>
      <c r="Q355" s="2" t="str">
        <f>PROPER(SUBSTITUTE(TRIM([1]RawShipmentData!M356)," ","-"))</f>
        <v>Delayed</v>
      </c>
      <c r="R355" s="4">
        <f t="shared" si="29"/>
        <v>111.46341463414635</v>
      </c>
      <c r="S355" s="2">
        <f>[1]RawShipmentData!N356</f>
        <v>4</v>
      </c>
      <c r="T355" s="2" t="str">
        <f>IF(OR(UPPER(TRIM([1]RawShipmentData!O356))="YES",UPPER(TRIM([1]RawShipmentData!O356))="Y"),"Yes","No")</f>
        <v>Yes</v>
      </c>
    </row>
    <row r="356" spans="1:20" x14ac:dyDescent="0.25">
      <c r="A356" s="2" t="str">
        <f>[1]RawShipmentData!A357</f>
        <v>SHP-101067</v>
      </c>
      <c r="B356" s="3">
        <f>IF(ISNUMBER(SEARCH("/",TRIM([1]RawShipmentData!B357))),DATE(VALUE(RIGHT(TRIM([1]RawShipmentData!B357),4)),VALUE(MID(TRIM([1]RawShipmentData!B357),FIND("/",TRIM([1]RawShipmentData!B357))+1,2)),VALUE(LEFT(TRIM([1]RawShipmentData!B357),FIND("/",TRIM([1]RawShipmentData!B357))-1))),DATEVALUE(TRIM([1]RawShipmentData!B357)))</f>
        <v>45387</v>
      </c>
      <c r="C356" s="2" t="str">
        <f>PROPER(TRIM([1]RawShipmentData!C357))</f>
        <v>Chennai</v>
      </c>
      <c r="D356" s="2" t="str">
        <f>IFERROR(INDEX([1]HubMaster!$B$2:$B$7,MATCH(C356,[1]HubMaster!$A$2:$A$7,0)),"Unknown")</f>
        <v>South</v>
      </c>
      <c r="E356" s="2" t="str">
        <f>PROPER(TRIM(SUBSTITUTE([1]RawShipmentData!D357,"  "," ")))</f>
        <v>Dtdc</v>
      </c>
      <c r="F356" s="2" t="str">
        <f>PROPER(TRIM([1]RawShipmentData!E357))</f>
        <v>Surface</v>
      </c>
      <c r="G356" s="2" t="str">
        <f>PROPER(TRIM(SUBSTITUTE([1]RawShipmentData!F357,"  "," ")))</f>
        <v>Apparel</v>
      </c>
      <c r="H356" s="2" t="str">
        <f>PROPER(TRIM([1]RawShipmentData!G357))</f>
        <v>North</v>
      </c>
      <c r="I356" s="2" t="str">
        <f t="shared" si="25"/>
        <v>Yes</v>
      </c>
      <c r="J356" s="2">
        <f>IFERROR(VALUE(TRIM(SUBSTITUTE(UPPER([1]RawShipmentData!I356),"KG",""))),"")</f>
        <v>33.9</v>
      </c>
      <c r="K356" s="2">
        <f>VALUE(SUBSTITUTE(SUBSTITUTE(SUBSTITUTE(TRIM([1]RawShipmentData!J357),"₹",""),"Rs",""),",",""))</f>
        <v>268</v>
      </c>
      <c r="L356" s="2">
        <f>[1]RawShipmentData!K357</f>
        <v>6</v>
      </c>
      <c r="M356" s="3">
        <f>IF(TRIM([1]RawShipmentData!L357)="","",IF(ISNUMBER(SEARCH("/",TRIM([1]RawShipmentData!L357))),DATE(VALUE(RIGHT(TRIM([1]RawShipmentData!L357),4)),VALUE(MID(TRIM([1]RawShipmentData!L357),FIND("/",TRIM([1]RawShipmentData!L357))+1,2)),VALUE(LEFT(TRIM([1]RawShipmentData!L357),FIND("/",TRIM([1]RawShipmentData!L357))-1))),DATEVALUE(TRIM([1]RawShipmentData!L357))))</f>
        <v>45395</v>
      </c>
      <c r="N356" s="2">
        <f t="shared" si="26"/>
        <v>8</v>
      </c>
      <c r="O356" s="2">
        <f t="shared" si="27"/>
        <v>2</v>
      </c>
      <c r="P356" s="2" t="str">
        <f t="shared" si="28"/>
        <v>Late</v>
      </c>
      <c r="Q356" s="2" t="str">
        <f>PROPER(SUBSTITUTE(TRIM([1]RawShipmentData!M357)," ","-"))</f>
        <v>Delayed</v>
      </c>
      <c r="R356" s="4">
        <f t="shared" si="29"/>
        <v>7.9056047197640122</v>
      </c>
      <c r="S356" s="2">
        <f>[1]RawShipmentData!N357</f>
        <v>2</v>
      </c>
      <c r="T356" s="2" t="str">
        <f>IF(OR(UPPER(TRIM([1]RawShipmentData!O357))="YES",UPPER(TRIM([1]RawShipmentData!O357))="Y"),"Yes","No")</f>
        <v>Yes</v>
      </c>
    </row>
    <row r="357" spans="1:20" x14ac:dyDescent="0.25">
      <c r="A357" s="2" t="str">
        <f>[1]RawShipmentData!A358</f>
        <v>SHP-101142</v>
      </c>
      <c r="B357" s="3">
        <f>IF(ISNUMBER(SEARCH("/",TRIM([1]RawShipmentData!B358))),DATE(VALUE(RIGHT(TRIM([1]RawShipmentData!B358),4)),VALUE(MID(TRIM([1]RawShipmentData!B358),FIND("/",TRIM([1]RawShipmentData!B358))+1,2)),VALUE(LEFT(TRIM([1]RawShipmentData!B358),FIND("/",TRIM([1]RawShipmentData!B358))-1))),DATEVALUE(TRIM([1]RawShipmentData!B358)))</f>
        <v>45458</v>
      </c>
      <c r="C357" s="2" t="str">
        <f>PROPER(TRIM([1]RawShipmentData!C358))</f>
        <v>Chennai</v>
      </c>
      <c r="D357" s="2" t="str">
        <f>IFERROR(INDEX([1]HubMaster!$B$2:$B$7,MATCH(C357,[1]HubMaster!$A$2:$A$7,0)),"Unknown")</f>
        <v>South</v>
      </c>
      <c r="E357" s="2" t="str">
        <f>PROPER(TRIM(SUBSTITUTE([1]RawShipmentData!D358,"  "," ")))</f>
        <v>Xpress Bees</v>
      </c>
      <c r="F357" s="2" t="str">
        <f>PROPER(TRIM([1]RawShipmentData!E358))</f>
        <v>Air</v>
      </c>
      <c r="G357" s="2" t="str">
        <f>PROPER(TRIM(SUBSTITUTE([1]RawShipmentData!F358,"  "," ")))</f>
        <v>Pharma</v>
      </c>
      <c r="H357" s="2" t="str">
        <f>PROPER(TRIM([1]RawShipmentData!G358))</f>
        <v>South</v>
      </c>
      <c r="I357" s="2" t="str">
        <f t="shared" si="25"/>
        <v>No</v>
      </c>
      <c r="J357" s="2">
        <f>IFERROR(VALUE(TRIM(SUBSTITUTE(UPPER([1]RawShipmentData!I357),"KG",""))),"")</f>
        <v>5</v>
      </c>
      <c r="K357" s="2">
        <f>VALUE(SUBSTITUTE(SUBSTITUTE(SUBSTITUTE(TRIM([1]RawShipmentData!J358),"₹",""),"Rs",""),",",""))</f>
        <v>264</v>
      </c>
      <c r="L357" s="2">
        <f>[1]RawShipmentData!K358</f>
        <v>2</v>
      </c>
      <c r="M357" s="3">
        <f>IF(TRIM([1]RawShipmentData!L358)="","",IF(ISNUMBER(SEARCH("/",TRIM([1]RawShipmentData!L358))),DATE(VALUE(RIGHT(TRIM([1]RawShipmentData!L358),4)),VALUE(MID(TRIM([1]RawShipmentData!L358),FIND("/",TRIM([1]RawShipmentData!L358))+1,2)),VALUE(LEFT(TRIM([1]RawShipmentData!L358),FIND("/",TRIM([1]RawShipmentData!L358))-1))),DATEVALUE(TRIM([1]RawShipmentData!L358))))</f>
        <v>45461</v>
      </c>
      <c r="N357" s="2">
        <f t="shared" si="26"/>
        <v>3</v>
      </c>
      <c r="O357" s="2">
        <f t="shared" si="27"/>
        <v>1</v>
      </c>
      <c r="P357" s="2" t="str">
        <f t="shared" si="28"/>
        <v>Late</v>
      </c>
      <c r="Q357" s="2" t="str">
        <f>PROPER(SUBSTITUTE(TRIM([1]RawShipmentData!M358)," ","-"))</f>
        <v>Delayed</v>
      </c>
      <c r="R357" s="4">
        <f t="shared" si="29"/>
        <v>52.8</v>
      </c>
      <c r="S357" s="2">
        <f>[1]RawShipmentData!N358</f>
        <v>2</v>
      </c>
      <c r="T357" s="2" t="str">
        <f>IF(OR(UPPER(TRIM([1]RawShipmentData!O358))="YES",UPPER(TRIM([1]RawShipmentData!O358))="Y"),"Yes","No")</f>
        <v>Yes</v>
      </c>
    </row>
    <row r="358" spans="1:20" x14ac:dyDescent="0.25">
      <c r="A358" s="2" t="str">
        <f>[1]RawShipmentData!A359</f>
        <v>SHP-100712</v>
      </c>
      <c r="B358" s="3">
        <f>IF(ISNUMBER(SEARCH("/",TRIM([1]RawShipmentData!B359))),DATE(VALUE(RIGHT(TRIM([1]RawShipmentData!B359),4)),VALUE(MID(TRIM([1]RawShipmentData!B359),FIND("/",TRIM([1]RawShipmentData!B359))+1,2)),VALUE(LEFT(TRIM([1]RawShipmentData!B359),FIND("/",TRIM([1]RawShipmentData!B359))-1))),DATEVALUE(TRIM([1]RawShipmentData!B359)))</f>
        <v>45323</v>
      </c>
      <c r="C358" s="2" t="str">
        <f>PROPER(TRIM([1]RawShipmentData!C359))</f>
        <v>Kolkata</v>
      </c>
      <c r="D358" s="2" t="str">
        <f>IFERROR(INDEX([1]HubMaster!$B$2:$B$7,MATCH(C358,[1]HubMaster!$A$2:$A$7,0)),"Unknown")</f>
        <v>East</v>
      </c>
      <c r="E358" s="2" t="str">
        <f>PROPER(TRIM(SUBSTITUTE([1]RawShipmentData!D359,"  "," ")))</f>
        <v>Dtdc</v>
      </c>
      <c r="F358" s="2" t="str">
        <f>PROPER(TRIM([1]RawShipmentData!E359))</f>
        <v>Road</v>
      </c>
      <c r="G358" s="2" t="str">
        <f>PROPER(TRIM(SUBSTITUTE([1]RawShipmentData!F359,"  "," ")))</f>
        <v>Automotive Parts</v>
      </c>
      <c r="H358" s="2" t="str">
        <f>PROPER(TRIM([1]RawShipmentData!G359))</f>
        <v>South</v>
      </c>
      <c r="I358" s="2" t="str">
        <f t="shared" si="25"/>
        <v>Yes</v>
      </c>
      <c r="J358" s="2">
        <f>IFERROR(VALUE(TRIM(SUBSTITUTE(UPPER([1]RawShipmentData!I358),"KG",""))),"")</f>
        <v>4.7</v>
      </c>
      <c r="K358" s="2">
        <f>VALUE(SUBSTITUTE(SUBSTITUTE(SUBSTITUTE(TRIM([1]RawShipmentData!J359),"₹",""),"Rs",""),",",""))</f>
        <v>649</v>
      </c>
      <c r="L358" s="2">
        <f>[1]RawShipmentData!K359</f>
        <v>8</v>
      </c>
      <c r="M358" s="3">
        <f>IF(TRIM([1]RawShipmentData!L359)="","",IF(ISNUMBER(SEARCH("/",TRIM([1]RawShipmentData!L359))),DATE(VALUE(RIGHT(TRIM([1]RawShipmentData!L359),4)),VALUE(MID(TRIM([1]RawShipmentData!L359),FIND("/",TRIM([1]RawShipmentData!L359))+1,2)),VALUE(LEFT(TRIM([1]RawShipmentData!L359),FIND("/",TRIM([1]RawShipmentData!L359))-1))),DATEVALUE(TRIM([1]RawShipmentData!L359))))</f>
        <v>45330</v>
      </c>
      <c r="N358" s="2">
        <f t="shared" si="26"/>
        <v>7</v>
      </c>
      <c r="O358" s="2">
        <f t="shared" si="27"/>
        <v>-1</v>
      </c>
      <c r="P358" s="2" t="str">
        <f t="shared" si="28"/>
        <v>On Time</v>
      </c>
      <c r="Q358" s="2" t="str">
        <f>PROPER(SUBSTITUTE(TRIM([1]RawShipmentData!M359)," ","-"))</f>
        <v>Delivered</v>
      </c>
      <c r="R358" s="4">
        <f t="shared" si="29"/>
        <v>138.08510638297872</v>
      </c>
      <c r="S358" s="2">
        <f>[1]RawShipmentData!N359</f>
        <v>2</v>
      </c>
      <c r="T358" s="2" t="str">
        <f>IF(OR(UPPER(TRIM([1]RawShipmentData!O359))="YES",UPPER(TRIM([1]RawShipmentData!O359))="Y"),"Yes","No")</f>
        <v>Yes</v>
      </c>
    </row>
    <row r="359" spans="1:20" x14ac:dyDescent="0.25">
      <c r="A359" s="2" t="str">
        <f>[1]RawShipmentData!A360</f>
        <v>SHP-101007</v>
      </c>
      <c r="B359" s="3">
        <f>IF(ISNUMBER(SEARCH("/",TRIM([1]RawShipmentData!B360))),DATE(VALUE(RIGHT(TRIM([1]RawShipmentData!B360),4)),VALUE(MID(TRIM([1]RawShipmentData!B360),FIND("/",TRIM([1]RawShipmentData!B360))+1,2)),VALUE(LEFT(TRIM([1]RawShipmentData!B360),FIND("/",TRIM([1]RawShipmentData!B360))-1))),DATEVALUE(TRIM([1]RawShipmentData!B360)))</f>
        <v>45297</v>
      </c>
      <c r="C359" s="2" t="str">
        <f>PROPER(TRIM([1]RawShipmentData!C360))</f>
        <v>Kolkata</v>
      </c>
      <c r="D359" s="2" t="str">
        <f>IFERROR(INDEX([1]HubMaster!$B$2:$B$7,MATCH(C359,[1]HubMaster!$A$2:$A$7,0)),"Unknown")</f>
        <v>East</v>
      </c>
      <c r="E359" s="2" t="str">
        <f>PROPER(TRIM(SUBSTITUTE([1]RawShipmentData!D360,"  "," ")))</f>
        <v>Bluedart</v>
      </c>
      <c r="F359" s="2" t="str">
        <f>PROPER(TRIM([1]RawShipmentData!E360))</f>
        <v>Surface</v>
      </c>
      <c r="G359" s="2" t="str">
        <f>PROPER(TRIM(SUBSTITUTE([1]RawShipmentData!F360,"  "," ")))</f>
        <v>Furniture</v>
      </c>
      <c r="H359" s="2" t="str">
        <f>PROPER(TRIM([1]RawShipmentData!G360))</f>
        <v>North</v>
      </c>
      <c r="I359" s="2" t="str">
        <f t="shared" si="25"/>
        <v>Yes</v>
      </c>
      <c r="J359" s="2">
        <f>IFERROR(VALUE(TRIM(SUBSTITUTE(UPPER([1]RawShipmentData!I359),"KG",""))),"")</f>
        <v>32.799999999999997</v>
      </c>
      <c r="K359" s="2">
        <f>VALUE(SUBSTITUTE(SUBSTITUTE(SUBSTITUTE(TRIM([1]RawShipmentData!J360),"₹",""),"Rs",""),",",""))</f>
        <v>1433</v>
      </c>
      <c r="L359" s="2">
        <f>[1]RawShipmentData!K360</f>
        <v>6</v>
      </c>
      <c r="M359" s="3">
        <f>IF(TRIM([1]RawShipmentData!L360)="","",IF(ISNUMBER(SEARCH("/",TRIM([1]RawShipmentData!L360))),DATE(VALUE(RIGHT(TRIM([1]RawShipmentData!L360),4)),VALUE(MID(TRIM([1]RawShipmentData!L360),FIND("/",TRIM([1]RawShipmentData!L360))+1,2)),VALUE(LEFT(TRIM([1]RawShipmentData!L360),FIND("/",TRIM([1]RawShipmentData!L360))-1))),DATEVALUE(TRIM([1]RawShipmentData!L360))))</f>
        <v>45303</v>
      </c>
      <c r="N359" s="2">
        <f t="shared" si="26"/>
        <v>6</v>
      </c>
      <c r="O359" s="2">
        <f t="shared" si="27"/>
        <v>0</v>
      </c>
      <c r="P359" s="2" t="str">
        <f t="shared" si="28"/>
        <v>On Time</v>
      </c>
      <c r="Q359" s="2" t="str">
        <f>PROPER(SUBSTITUTE(TRIM([1]RawShipmentData!M360)," ","-"))</f>
        <v>Delivered</v>
      </c>
      <c r="R359" s="4">
        <f t="shared" si="29"/>
        <v>43.689024390243908</v>
      </c>
      <c r="S359" s="2">
        <f>[1]RawShipmentData!N360</f>
        <v>4</v>
      </c>
      <c r="T359" s="2" t="str">
        <f>IF(OR(UPPER(TRIM([1]RawShipmentData!O360))="YES",UPPER(TRIM([1]RawShipmentData!O360))="Y"),"Yes","No")</f>
        <v>No</v>
      </c>
    </row>
    <row r="360" spans="1:20" x14ac:dyDescent="0.25">
      <c r="A360" s="2" t="str">
        <f>[1]RawShipmentData!A361</f>
        <v>SHP-101501</v>
      </c>
      <c r="B360" s="3">
        <f>IF(ISNUMBER(SEARCH("/",TRIM([1]RawShipmentData!B361))),DATE(VALUE(RIGHT(TRIM([1]RawShipmentData!B361),4)),VALUE(MID(TRIM([1]RawShipmentData!B361),FIND("/",TRIM([1]RawShipmentData!B361))+1,2)),VALUE(LEFT(TRIM([1]RawShipmentData!B361),FIND("/",TRIM([1]RawShipmentData!B361))-1))),DATEVALUE(TRIM([1]RawShipmentData!B361)))</f>
        <v>45451</v>
      </c>
      <c r="C360" s="2" t="str">
        <f>PROPER(TRIM([1]RawShipmentData!C361))</f>
        <v>Chennai</v>
      </c>
      <c r="D360" s="2" t="str">
        <f>IFERROR(INDEX([1]HubMaster!$B$2:$B$7,MATCH(C360,[1]HubMaster!$A$2:$A$7,0)),"Unknown")</f>
        <v>South</v>
      </c>
      <c r="E360" s="2" t="str">
        <f>PROPER(TRIM(SUBSTITUTE([1]RawShipmentData!D361,"  "," ")))</f>
        <v>Dtdc</v>
      </c>
      <c r="F360" s="2" t="str">
        <f>PROPER(TRIM([1]RawShipmentData!E361))</f>
        <v>Road</v>
      </c>
      <c r="G360" s="2" t="str">
        <f>PROPER(TRIM(SUBSTITUTE([1]RawShipmentData!F361,"  "," ")))</f>
        <v>Grocery &amp; Fmcg</v>
      </c>
      <c r="H360" s="2" t="str">
        <f>PROPER(TRIM([1]RawShipmentData!G361))</f>
        <v>East</v>
      </c>
      <c r="I360" s="2" t="str">
        <f t="shared" si="25"/>
        <v>Yes</v>
      </c>
      <c r="J360" s="2">
        <f>IFERROR(VALUE(TRIM(SUBSTITUTE(UPPER([1]RawShipmentData!I360),"KG",""))),"")</f>
        <v>59</v>
      </c>
      <c r="K360" s="2">
        <f>VALUE(SUBSTITUTE(SUBSTITUTE(SUBSTITUTE(TRIM([1]RawShipmentData!J361),"₹",""),"Rs",""),",",""))</f>
        <v>236</v>
      </c>
      <c r="L360" s="2">
        <f>[1]RawShipmentData!K361</f>
        <v>8</v>
      </c>
      <c r="M360" s="3">
        <f>IF(TRIM([1]RawShipmentData!L361)="","",IF(ISNUMBER(SEARCH("/",TRIM([1]RawShipmentData!L361))),DATE(VALUE(RIGHT(TRIM([1]RawShipmentData!L361),4)),VALUE(MID(TRIM([1]RawShipmentData!L361),FIND("/",TRIM([1]RawShipmentData!L361))+1,2)),VALUE(LEFT(TRIM([1]RawShipmentData!L361),FIND("/",TRIM([1]RawShipmentData!L361))-1))),DATEVALUE(TRIM([1]RawShipmentData!L361))))</f>
        <v>45460</v>
      </c>
      <c r="N360" s="2">
        <f t="shared" si="26"/>
        <v>9</v>
      </c>
      <c r="O360" s="2">
        <f t="shared" si="27"/>
        <v>1</v>
      </c>
      <c r="P360" s="2" t="str">
        <f t="shared" si="28"/>
        <v>Late</v>
      </c>
      <c r="Q360" s="2" t="str">
        <f>PROPER(SUBSTITUTE(TRIM([1]RawShipmentData!M361)," ","-"))</f>
        <v>Delayed</v>
      </c>
      <c r="R360" s="4">
        <f t="shared" si="29"/>
        <v>4</v>
      </c>
      <c r="S360" s="2">
        <f>[1]RawShipmentData!N361</f>
        <v>3</v>
      </c>
      <c r="T360" s="2" t="str">
        <f>IF(OR(UPPER(TRIM([1]RawShipmentData!O361))="YES",UPPER(TRIM([1]RawShipmentData!O361))="Y"),"Yes","No")</f>
        <v>No</v>
      </c>
    </row>
    <row r="361" spans="1:20" x14ac:dyDescent="0.25">
      <c r="A361" s="2" t="str">
        <f>[1]RawShipmentData!A362</f>
        <v>SHP-100753</v>
      </c>
      <c r="B361" s="3">
        <f>IF(ISNUMBER(SEARCH("/",TRIM([1]RawShipmentData!B362))),DATE(VALUE(RIGHT(TRIM([1]RawShipmentData!B362),4)),VALUE(MID(TRIM([1]RawShipmentData!B362),FIND("/",TRIM([1]RawShipmentData!B362))+1,2)),VALUE(LEFT(TRIM([1]RawShipmentData!B362),FIND("/",TRIM([1]RawShipmentData!B362))-1))),DATEVALUE(TRIM([1]RawShipmentData!B362)))</f>
        <v>45418</v>
      </c>
      <c r="C361" s="2" t="str">
        <f>PROPER(TRIM([1]RawShipmentData!C362))</f>
        <v>Mumbai</v>
      </c>
      <c r="D361" s="2" t="str">
        <f>IFERROR(INDEX([1]HubMaster!$B$2:$B$7,MATCH(C361,[1]HubMaster!$A$2:$A$7,0)),"Unknown")</f>
        <v>West</v>
      </c>
      <c r="E361" s="2" t="str">
        <f>PROPER(TRIM(SUBSTITUTE([1]RawShipmentData!D362,"  "," ")))</f>
        <v>Xpress Bees</v>
      </c>
      <c r="F361" s="2" t="str">
        <f>PROPER(TRIM([1]RawShipmentData!E362))</f>
        <v>Surface</v>
      </c>
      <c r="G361" s="2" t="str">
        <f>PROPER(TRIM(SUBSTITUTE([1]RawShipmentData!F362,"  "," ")))</f>
        <v>Automotive Parts</v>
      </c>
      <c r="H361" s="2" t="str">
        <f>PROPER(TRIM([1]RawShipmentData!G362))</f>
        <v>East</v>
      </c>
      <c r="I361" s="2" t="str">
        <f t="shared" si="25"/>
        <v>Yes</v>
      </c>
      <c r="J361" s="2">
        <f>IFERROR(VALUE(TRIM(SUBSTITUTE(UPPER([1]RawShipmentData!I361),"KG",""))),"")</f>
        <v>7.8</v>
      </c>
      <c r="K361" s="2">
        <f>VALUE(SUBSTITUTE(SUBSTITUTE(SUBSTITUTE(TRIM([1]RawShipmentData!J362),"₹",""),"Rs",""),",",""))</f>
        <v>327</v>
      </c>
      <c r="L361" s="2">
        <f>[1]RawShipmentData!K362</f>
        <v>6</v>
      </c>
      <c r="M361" s="3">
        <f>IF(TRIM([1]RawShipmentData!L362)="","",IF(ISNUMBER(SEARCH("/",TRIM([1]RawShipmentData!L362))),DATE(VALUE(RIGHT(TRIM([1]RawShipmentData!L362),4)),VALUE(MID(TRIM([1]RawShipmentData!L362),FIND("/",TRIM([1]RawShipmentData!L362))+1,2)),VALUE(LEFT(TRIM([1]RawShipmentData!L362),FIND("/",TRIM([1]RawShipmentData!L362))-1))),DATEVALUE(TRIM([1]RawShipmentData!L362))))</f>
        <v>45424</v>
      </c>
      <c r="N361" s="2">
        <f t="shared" si="26"/>
        <v>6</v>
      </c>
      <c r="O361" s="2">
        <f t="shared" si="27"/>
        <v>0</v>
      </c>
      <c r="P361" s="2" t="str">
        <f t="shared" si="28"/>
        <v>On Time</v>
      </c>
      <c r="Q361" s="2" t="str">
        <f>PROPER(SUBSTITUTE(TRIM([1]RawShipmentData!M362)," ","-"))</f>
        <v>Delivered</v>
      </c>
      <c r="R361" s="4">
        <f t="shared" si="29"/>
        <v>41.923076923076927</v>
      </c>
      <c r="S361" s="2">
        <f>[1]RawShipmentData!N362</f>
        <v>4</v>
      </c>
      <c r="T361" s="2" t="str">
        <f>IF(OR(UPPER(TRIM([1]RawShipmentData!O362))="YES",UPPER(TRIM([1]RawShipmentData!O362))="Y"),"Yes","No")</f>
        <v>No</v>
      </c>
    </row>
    <row r="362" spans="1:20" x14ac:dyDescent="0.25">
      <c r="A362" s="2" t="str">
        <f>[1]RawShipmentData!A363</f>
        <v>SHP-101482</v>
      </c>
      <c r="B362" s="3">
        <f>IF(ISNUMBER(SEARCH("/",TRIM([1]RawShipmentData!B363))),DATE(VALUE(RIGHT(TRIM([1]RawShipmentData!B363),4)),VALUE(MID(TRIM([1]RawShipmentData!B363),FIND("/",TRIM([1]RawShipmentData!B363))+1,2)),VALUE(LEFT(TRIM([1]RawShipmentData!B363),FIND("/",TRIM([1]RawShipmentData!B363))-1))),DATEVALUE(TRIM([1]RawShipmentData!B363)))</f>
        <v>45420</v>
      </c>
      <c r="C362" s="2" t="str">
        <f>PROPER(TRIM([1]RawShipmentData!C363))</f>
        <v>Mumbai</v>
      </c>
      <c r="D362" s="2" t="str">
        <f>IFERROR(INDEX([1]HubMaster!$B$2:$B$7,MATCH(C362,[1]HubMaster!$A$2:$A$7,0)),"Unknown")</f>
        <v>West</v>
      </c>
      <c r="E362" s="2" t="str">
        <f>PROPER(TRIM(SUBSTITUTE([1]RawShipmentData!D363,"  "," ")))</f>
        <v>Ecom Express</v>
      </c>
      <c r="F362" s="2" t="str">
        <f>PROPER(TRIM([1]RawShipmentData!E363))</f>
        <v>Air</v>
      </c>
      <c r="G362" s="2" t="str">
        <f>PROPER(TRIM(SUBSTITUTE([1]RawShipmentData!F363,"  "," ")))</f>
        <v>Apparel</v>
      </c>
      <c r="H362" s="2" t="str">
        <f>PROPER(TRIM([1]RawShipmentData!G363))</f>
        <v>South</v>
      </c>
      <c r="I362" s="2" t="str">
        <f t="shared" si="25"/>
        <v>Yes</v>
      </c>
      <c r="J362" s="2">
        <f>IFERROR(VALUE(TRIM(SUBSTITUTE(UPPER([1]RawShipmentData!I362),"KG",""))),"")</f>
        <v>6.4</v>
      </c>
      <c r="K362" s="2">
        <f>VALUE(SUBSTITUTE(SUBSTITUTE(SUBSTITUTE(TRIM([1]RawShipmentData!J363),"₹",""),"Rs",""),",",""))</f>
        <v>405</v>
      </c>
      <c r="L362" s="2">
        <f>[1]RawShipmentData!K363</f>
        <v>4</v>
      </c>
      <c r="M362" s="3">
        <f>IF(TRIM([1]RawShipmentData!L363)="","",IF(ISNUMBER(SEARCH("/",TRIM([1]RawShipmentData!L363))),DATE(VALUE(RIGHT(TRIM([1]RawShipmentData!L363),4)),VALUE(MID(TRIM([1]RawShipmentData!L363),FIND("/",TRIM([1]RawShipmentData!L363))+1,2)),VALUE(LEFT(TRIM([1]RawShipmentData!L363),FIND("/",TRIM([1]RawShipmentData!L363))-1))),DATEVALUE(TRIM([1]RawShipmentData!L363))))</f>
        <v>45423</v>
      </c>
      <c r="N362" s="2">
        <f t="shared" si="26"/>
        <v>3</v>
      </c>
      <c r="O362" s="2">
        <f t="shared" si="27"/>
        <v>-1</v>
      </c>
      <c r="P362" s="2" t="str">
        <f t="shared" si="28"/>
        <v>On Time</v>
      </c>
      <c r="Q362" s="2" t="str">
        <f>PROPER(SUBSTITUTE(TRIM([1]RawShipmentData!M363)," ","-"))</f>
        <v>Delivered</v>
      </c>
      <c r="R362" s="4">
        <f t="shared" si="29"/>
        <v>63.28125</v>
      </c>
      <c r="S362" s="2">
        <f>[1]RawShipmentData!N363</f>
        <v>4</v>
      </c>
      <c r="T362" s="2" t="str">
        <f>IF(OR(UPPER(TRIM([1]RawShipmentData!O363))="YES",UPPER(TRIM([1]RawShipmentData!O363))="Y"),"Yes","No")</f>
        <v>Yes</v>
      </c>
    </row>
    <row r="363" spans="1:20" x14ac:dyDescent="0.25">
      <c r="A363" s="2" t="str">
        <f>[1]RawShipmentData!A364</f>
        <v>SHP-101021</v>
      </c>
      <c r="B363" s="3">
        <f>IF(ISNUMBER(SEARCH("/",TRIM([1]RawShipmentData!B364))),DATE(VALUE(RIGHT(TRIM([1]RawShipmentData!B364),4)),VALUE(MID(TRIM([1]RawShipmentData!B364),FIND("/",TRIM([1]RawShipmentData!B364))+1,2)),VALUE(LEFT(TRIM([1]RawShipmentData!B364),FIND("/",TRIM([1]RawShipmentData!B364))-1))),DATEVALUE(TRIM([1]RawShipmentData!B364)))</f>
        <v>45311</v>
      </c>
      <c r="C363" s="2" t="str">
        <f>PROPER(TRIM([1]RawShipmentData!C364))</f>
        <v>Kolkata</v>
      </c>
      <c r="D363" s="2" t="str">
        <f>IFERROR(INDEX([1]HubMaster!$B$2:$B$7,MATCH(C363,[1]HubMaster!$A$2:$A$7,0)),"Unknown")</f>
        <v>East</v>
      </c>
      <c r="E363" s="2" t="str">
        <f>PROPER(TRIM(SUBSTITUTE([1]RawShipmentData!D364,"  "," ")))</f>
        <v>Ecom Express</v>
      </c>
      <c r="F363" s="2" t="str">
        <f>PROPER(TRIM([1]RawShipmentData!E364))</f>
        <v>Air</v>
      </c>
      <c r="G363" s="2" t="str">
        <f>PROPER(TRIM(SUBSTITUTE([1]RawShipmentData!F364,"  "," ")))</f>
        <v>Apparel</v>
      </c>
      <c r="H363" s="2" t="str">
        <f>PROPER(TRIM([1]RawShipmentData!G364))</f>
        <v>North</v>
      </c>
      <c r="I363" s="2" t="str">
        <f t="shared" si="25"/>
        <v>Yes</v>
      </c>
      <c r="J363" s="2">
        <f>IFERROR(VALUE(TRIM(SUBSTITUTE(UPPER([1]RawShipmentData!I363),"KG",""))),"")</f>
        <v>6</v>
      </c>
      <c r="K363" s="2">
        <f>VALUE(SUBSTITUTE(SUBSTITUTE(SUBSTITUTE(TRIM([1]RawShipmentData!J364),"₹",""),"Rs",""),",",""))</f>
        <v>485</v>
      </c>
      <c r="L363" s="2">
        <f>[1]RawShipmentData!K364</f>
        <v>4</v>
      </c>
      <c r="M363" s="3">
        <f>IF(TRIM([1]RawShipmentData!L364)="","",IF(ISNUMBER(SEARCH("/",TRIM([1]RawShipmentData!L364))),DATE(VALUE(RIGHT(TRIM([1]RawShipmentData!L364),4)),VALUE(MID(TRIM([1]RawShipmentData!L364),FIND("/",TRIM([1]RawShipmentData!L364))+1,2)),VALUE(LEFT(TRIM([1]RawShipmentData!L364),FIND("/",TRIM([1]RawShipmentData!L364))-1))),DATEVALUE(TRIM([1]RawShipmentData!L364))))</f>
        <v>45314</v>
      </c>
      <c r="N363" s="2">
        <f t="shared" si="26"/>
        <v>3</v>
      </c>
      <c r="O363" s="2">
        <f t="shared" si="27"/>
        <v>-1</v>
      </c>
      <c r="P363" s="2" t="str">
        <f t="shared" si="28"/>
        <v>On Time</v>
      </c>
      <c r="Q363" s="2" t="str">
        <f>PROPER(SUBSTITUTE(TRIM([1]RawShipmentData!M364)," ","-"))</f>
        <v>Delivered</v>
      </c>
      <c r="R363" s="4">
        <f t="shared" si="29"/>
        <v>80.833333333333329</v>
      </c>
      <c r="S363" s="2">
        <f>[1]RawShipmentData!N364</f>
        <v>5</v>
      </c>
      <c r="T363" s="2" t="str">
        <f>IF(OR(UPPER(TRIM([1]RawShipmentData!O364))="YES",UPPER(TRIM([1]RawShipmentData!O364))="Y"),"Yes","No")</f>
        <v>No</v>
      </c>
    </row>
    <row r="364" spans="1:20" x14ac:dyDescent="0.25">
      <c r="A364" s="2" t="str">
        <f>[1]RawShipmentData!A365</f>
        <v>SHP-100909</v>
      </c>
      <c r="B364" s="3">
        <f>IF(ISNUMBER(SEARCH("/",TRIM([1]RawShipmentData!B365))),DATE(VALUE(RIGHT(TRIM([1]RawShipmentData!B365),4)),VALUE(MID(TRIM([1]RawShipmentData!B365),FIND("/",TRIM([1]RawShipmentData!B365))+1,2)),VALUE(LEFT(TRIM([1]RawShipmentData!B365),FIND("/",TRIM([1]RawShipmentData!B365))-1))),DATEVALUE(TRIM([1]RawShipmentData!B365)))</f>
        <v>45402</v>
      </c>
      <c r="C364" s="2" t="str">
        <f>PROPER(TRIM([1]RawShipmentData!C365))</f>
        <v>Hyderabad</v>
      </c>
      <c r="D364" s="2" t="str">
        <f>IFERROR(INDEX([1]HubMaster!$B$2:$B$7,MATCH(C364,[1]HubMaster!$A$2:$A$7,0)),"Unknown")</f>
        <v>West</v>
      </c>
      <c r="E364" s="2" t="str">
        <f>PROPER(TRIM(SUBSTITUTE([1]RawShipmentData!D365,"  "," ")))</f>
        <v>Xpressbees</v>
      </c>
      <c r="F364" s="2" t="str">
        <f>PROPER(TRIM([1]RawShipmentData!E365))</f>
        <v>Surface</v>
      </c>
      <c r="G364" s="2" t="str">
        <f>PROPER(TRIM(SUBSTITUTE([1]RawShipmentData!F365,"  "," ")))</f>
        <v>Grocery &amp; Fmcg</v>
      </c>
      <c r="H364" s="2" t="str">
        <f>PROPER(TRIM([1]RawShipmentData!G365))</f>
        <v>North</v>
      </c>
      <c r="I364" s="2" t="str">
        <f t="shared" si="25"/>
        <v>Yes</v>
      </c>
      <c r="J364" s="2">
        <f>IFERROR(VALUE(TRIM(SUBSTITUTE(UPPER([1]RawShipmentData!I364),"KG",""))),"")</f>
        <v>6.5</v>
      </c>
      <c r="K364" s="2">
        <f>VALUE(SUBSTITUTE(SUBSTITUTE(SUBSTITUTE(TRIM([1]RawShipmentData!J365),"₹",""),"Rs",""),",",""))</f>
        <v>312</v>
      </c>
      <c r="L364" s="2">
        <f>[1]RawShipmentData!K365</f>
        <v>6</v>
      </c>
      <c r="M364" s="3">
        <f>IF(TRIM([1]RawShipmentData!L365)="","",IF(ISNUMBER(SEARCH("/",TRIM([1]RawShipmentData!L365))),DATE(VALUE(RIGHT(TRIM([1]RawShipmentData!L365),4)),VALUE(MID(TRIM([1]RawShipmentData!L365),FIND("/",TRIM([1]RawShipmentData!L365))+1,2)),VALUE(LEFT(TRIM([1]RawShipmentData!L365),FIND("/",TRIM([1]RawShipmentData!L365))-1))),DATEVALUE(TRIM([1]RawShipmentData!L365))))</f>
        <v>45408</v>
      </c>
      <c r="N364" s="2">
        <f t="shared" si="26"/>
        <v>6</v>
      </c>
      <c r="O364" s="2">
        <f t="shared" si="27"/>
        <v>0</v>
      </c>
      <c r="P364" s="2" t="str">
        <f t="shared" si="28"/>
        <v>On Time</v>
      </c>
      <c r="Q364" s="2" t="str">
        <f>PROPER(SUBSTITUTE(TRIM([1]RawShipmentData!M365)," ","-"))</f>
        <v>Delivered</v>
      </c>
      <c r="R364" s="4">
        <f t="shared" si="29"/>
        <v>48</v>
      </c>
      <c r="S364" s="2">
        <f>[1]RawShipmentData!N365</f>
        <v>5</v>
      </c>
      <c r="T364" s="2" t="str">
        <f>IF(OR(UPPER(TRIM([1]RawShipmentData!O365))="YES",UPPER(TRIM([1]RawShipmentData!O365))="Y"),"Yes","No")</f>
        <v>Yes</v>
      </c>
    </row>
    <row r="365" spans="1:20" x14ac:dyDescent="0.25">
      <c r="A365" s="2" t="str">
        <f>[1]RawShipmentData!A366</f>
        <v>SHP-101336</v>
      </c>
      <c r="B365" s="3">
        <f>IF(ISNUMBER(SEARCH("/",TRIM([1]RawShipmentData!B366))),DATE(VALUE(RIGHT(TRIM([1]RawShipmentData!B366),4)),VALUE(MID(TRIM([1]RawShipmentData!B366),FIND("/",TRIM([1]RawShipmentData!B366))+1,2)),VALUE(LEFT(TRIM([1]RawShipmentData!B366),FIND("/",TRIM([1]RawShipmentData!B366))-1))),DATEVALUE(TRIM([1]RawShipmentData!B366)))</f>
        <v>45306</v>
      </c>
      <c r="C365" s="2" t="str">
        <f>PROPER(TRIM([1]RawShipmentData!C366))</f>
        <v>Kolkata</v>
      </c>
      <c r="D365" s="2" t="str">
        <f>IFERROR(INDEX([1]HubMaster!$B$2:$B$7,MATCH(C365,[1]HubMaster!$A$2:$A$7,0)),"Unknown")</f>
        <v>East</v>
      </c>
      <c r="E365" s="2" t="str">
        <f>PROPER(TRIM(SUBSTITUTE([1]RawShipmentData!D366,"  "," ")))</f>
        <v>Ecom Express</v>
      </c>
      <c r="F365" s="2" t="str">
        <f>PROPER(TRIM([1]RawShipmentData!E366))</f>
        <v>Surface</v>
      </c>
      <c r="G365" s="2" t="str">
        <f>PROPER(TRIM(SUBSTITUTE([1]RawShipmentData!F366,"  "," ")))</f>
        <v>Grocery &amp; Fmcg</v>
      </c>
      <c r="H365" s="2" t="str">
        <f>PROPER(TRIM([1]RawShipmentData!G366))</f>
        <v>South</v>
      </c>
      <c r="I365" s="2" t="str">
        <f t="shared" si="25"/>
        <v>Yes</v>
      </c>
      <c r="J365" s="2">
        <f>IFERROR(VALUE(TRIM(SUBSTITUTE(UPPER([1]RawShipmentData!I365),"KG",""))),"")</f>
        <v>7.6</v>
      </c>
      <c r="K365" s="2">
        <f>VALUE(SUBSTITUTE(SUBSTITUTE(SUBSTITUTE(TRIM([1]RawShipmentData!J366),"₹",""),"Rs",""),",",""))</f>
        <v>358</v>
      </c>
      <c r="L365" s="2">
        <f>[1]RawShipmentData!K366</f>
        <v>6</v>
      </c>
      <c r="M365" s="3">
        <f>IF(TRIM([1]RawShipmentData!L366)="","",IF(ISNUMBER(SEARCH("/",TRIM([1]RawShipmentData!L366))),DATE(VALUE(RIGHT(TRIM([1]RawShipmentData!L366),4)),VALUE(MID(TRIM([1]RawShipmentData!L366),FIND("/",TRIM([1]RawShipmentData!L366))+1,2)),VALUE(LEFT(TRIM([1]RawShipmentData!L366),FIND("/",TRIM([1]RawShipmentData!L366))-1))),DATEVALUE(TRIM([1]RawShipmentData!L366))))</f>
        <v>45312</v>
      </c>
      <c r="N365" s="2">
        <f t="shared" si="26"/>
        <v>6</v>
      </c>
      <c r="O365" s="2">
        <f t="shared" si="27"/>
        <v>0</v>
      </c>
      <c r="P365" s="2" t="str">
        <f t="shared" si="28"/>
        <v>On Time</v>
      </c>
      <c r="Q365" s="2" t="str">
        <f>PROPER(SUBSTITUTE(TRIM([1]RawShipmentData!M366)," ","-"))</f>
        <v>Delivered</v>
      </c>
      <c r="R365" s="4">
        <f t="shared" si="29"/>
        <v>47.10526315789474</v>
      </c>
      <c r="S365" s="2">
        <f>[1]RawShipmentData!N366</f>
        <v>4</v>
      </c>
      <c r="T365" s="2" t="str">
        <f>IF(OR(UPPER(TRIM([1]RawShipmentData!O366))="YES",UPPER(TRIM([1]RawShipmentData!O366))="Y"),"Yes","No")</f>
        <v>No</v>
      </c>
    </row>
    <row r="366" spans="1:20" x14ac:dyDescent="0.25">
      <c r="A366" s="2" t="str">
        <f>[1]RawShipmentData!A367</f>
        <v>SHP-100637</v>
      </c>
      <c r="B366" s="3">
        <f>IF(ISNUMBER(SEARCH("/",TRIM([1]RawShipmentData!B367))),DATE(VALUE(RIGHT(TRIM([1]RawShipmentData!B367),4)),VALUE(MID(TRIM([1]RawShipmentData!B367),FIND("/",TRIM([1]RawShipmentData!B367))+1,2)),VALUE(LEFT(TRIM([1]RawShipmentData!B367),FIND("/",TRIM([1]RawShipmentData!B367))-1))),DATEVALUE(TRIM([1]RawShipmentData!B367)))</f>
        <v>45448</v>
      </c>
      <c r="C366" s="2" t="str">
        <f>PROPER(TRIM([1]RawShipmentData!C367))</f>
        <v>Bengaluru</v>
      </c>
      <c r="D366" s="2" t="str">
        <f>IFERROR(INDEX([1]HubMaster!$B$2:$B$7,MATCH(C366,[1]HubMaster!$A$2:$A$7,0)),"Unknown")</f>
        <v>South</v>
      </c>
      <c r="E366" s="2" t="str">
        <f>PROPER(TRIM(SUBSTITUTE([1]RawShipmentData!D367,"  "," ")))</f>
        <v>Ecom Express</v>
      </c>
      <c r="F366" s="2" t="str">
        <f>PROPER(TRIM([1]RawShipmentData!E367))</f>
        <v>Surface</v>
      </c>
      <c r="G366" s="2" t="str">
        <f>PROPER(TRIM(SUBSTITUTE([1]RawShipmentData!F367,"  "," ")))</f>
        <v>Grocery &amp; Fmcg</v>
      </c>
      <c r="H366" s="2" t="str">
        <f>PROPER(TRIM([1]RawShipmentData!G367))</f>
        <v>West</v>
      </c>
      <c r="I366" s="2" t="str">
        <f t="shared" si="25"/>
        <v>Yes</v>
      </c>
      <c r="J366" s="2">
        <f>IFERROR(VALUE(TRIM(SUBSTITUTE(UPPER([1]RawShipmentData!I366),"KG",""))),"")</f>
        <v>7.8</v>
      </c>
      <c r="K366" s="2">
        <f>VALUE(SUBSTITUTE(SUBSTITUTE(SUBSTITUTE(TRIM([1]RawShipmentData!J367),"₹",""),"Rs",""),",",""))</f>
        <v>276</v>
      </c>
      <c r="L366" s="2">
        <f>[1]RawShipmentData!K367</f>
        <v>6</v>
      </c>
      <c r="M366" s="3">
        <f>IF(TRIM([1]RawShipmentData!L367)="","",IF(ISNUMBER(SEARCH("/",TRIM([1]RawShipmentData!L367))),DATE(VALUE(RIGHT(TRIM([1]RawShipmentData!L367),4)),VALUE(MID(TRIM([1]RawShipmentData!L367),FIND("/",TRIM([1]RawShipmentData!L367))+1,2)),VALUE(LEFT(TRIM([1]RawShipmentData!L367),FIND("/",TRIM([1]RawShipmentData!L367))-1))),DATEVALUE(TRIM([1]RawShipmentData!L367))))</f>
        <v>45458</v>
      </c>
      <c r="N366" s="2">
        <f t="shared" si="26"/>
        <v>10</v>
      </c>
      <c r="O366" s="2">
        <f t="shared" si="27"/>
        <v>4</v>
      </c>
      <c r="P366" s="2" t="str">
        <f t="shared" si="28"/>
        <v>Late</v>
      </c>
      <c r="Q366" s="2" t="str">
        <f>PROPER(SUBSTITUTE(TRIM([1]RawShipmentData!M367)," ","-"))</f>
        <v>Delayed</v>
      </c>
      <c r="R366" s="4">
        <f t="shared" si="29"/>
        <v>35.384615384615387</v>
      </c>
      <c r="S366" s="2">
        <f>[1]RawShipmentData!N367</f>
        <v>2</v>
      </c>
      <c r="T366" s="2" t="str">
        <f>IF(OR(UPPER(TRIM([1]RawShipmentData!O367))="YES",UPPER(TRIM([1]RawShipmentData!O367))="Y"),"Yes","No")</f>
        <v>No</v>
      </c>
    </row>
    <row r="367" spans="1:20" x14ac:dyDescent="0.25">
      <c r="A367" s="2" t="str">
        <f>[1]RawShipmentData!A368</f>
        <v>SHP-100891</v>
      </c>
      <c r="B367" s="3">
        <f>IF(ISNUMBER(SEARCH("/",TRIM([1]RawShipmentData!B368))),DATE(VALUE(RIGHT(TRIM([1]RawShipmentData!B368),4)),VALUE(MID(TRIM([1]RawShipmentData!B368),FIND("/",TRIM([1]RawShipmentData!B368))+1,2)),VALUE(LEFT(TRIM([1]RawShipmentData!B368),FIND("/",TRIM([1]RawShipmentData!B368))-1))),DATEVALUE(TRIM([1]RawShipmentData!B368)))</f>
        <v>45301</v>
      </c>
      <c r="C367" s="2" t="str">
        <f>PROPER(TRIM([1]RawShipmentData!C368))</f>
        <v>Chennai</v>
      </c>
      <c r="D367" s="2" t="str">
        <f>IFERROR(INDEX([1]HubMaster!$B$2:$B$7,MATCH(C367,[1]HubMaster!$A$2:$A$7,0)),"Unknown")</f>
        <v>South</v>
      </c>
      <c r="E367" s="2" t="str">
        <f>PROPER(TRIM(SUBSTITUTE([1]RawShipmentData!D368,"  "," ")))</f>
        <v>Ecom Express</v>
      </c>
      <c r="F367" s="2" t="str">
        <f>PROPER(TRIM([1]RawShipmentData!E368))</f>
        <v>Air</v>
      </c>
      <c r="G367" s="2" t="str">
        <f>PROPER(TRIM(SUBSTITUTE([1]RawShipmentData!F368,"  "," ")))</f>
        <v>Automotive Parts</v>
      </c>
      <c r="H367" s="2" t="str">
        <f>PROPER(TRIM([1]RawShipmentData!G368))</f>
        <v>East</v>
      </c>
      <c r="I367" s="2" t="str">
        <f t="shared" si="25"/>
        <v>Yes</v>
      </c>
      <c r="J367" s="2">
        <f>IFERROR(VALUE(TRIM(SUBSTITUTE(UPPER([1]RawShipmentData!I367),"KG",""))),"")</f>
        <v>6.3</v>
      </c>
      <c r="K367" s="2">
        <f>VALUE(SUBSTITUTE(SUBSTITUTE(SUBSTITUTE(TRIM([1]RawShipmentData!J368),"₹",""),"Rs",""),",",""))</f>
        <v>1932</v>
      </c>
      <c r="L367" s="2">
        <f>[1]RawShipmentData!K368</f>
        <v>4</v>
      </c>
      <c r="M367" s="3">
        <f>IF(TRIM([1]RawShipmentData!L368)="","",IF(ISNUMBER(SEARCH("/",TRIM([1]RawShipmentData!L368))),DATE(VALUE(RIGHT(TRIM([1]RawShipmentData!L368),4)),VALUE(MID(TRIM([1]RawShipmentData!L368),FIND("/",TRIM([1]RawShipmentData!L368))+1,2)),VALUE(LEFT(TRIM([1]RawShipmentData!L368),FIND("/",TRIM([1]RawShipmentData!L368))-1))),DATEVALUE(TRIM([1]RawShipmentData!L368))))</f>
        <v>45309</v>
      </c>
      <c r="N367" s="2">
        <f t="shared" si="26"/>
        <v>8</v>
      </c>
      <c r="O367" s="2">
        <f t="shared" si="27"/>
        <v>4</v>
      </c>
      <c r="P367" s="2" t="str">
        <f t="shared" si="28"/>
        <v>Late</v>
      </c>
      <c r="Q367" s="2" t="str">
        <f>PROPER(SUBSTITUTE(TRIM([1]RawShipmentData!M368)," ","-"))</f>
        <v>Delayed</v>
      </c>
      <c r="R367" s="4">
        <f t="shared" si="29"/>
        <v>306.66666666666669</v>
      </c>
      <c r="S367" s="2">
        <f>[1]RawShipmentData!N368</f>
        <v>2</v>
      </c>
      <c r="T367" s="2" t="str">
        <f>IF(OR(UPPER(TRIM([1]RawShipmentData!O368))="YES",UPPER(TRIM([1]RawShipmentData!O368))="Y"),"Yes","No")</f>
        <v>No</v>
      </c>
    </row>
    <row r="368" spans="1:20" x14ac:dyDescent="0.25">
      <c r="A368" s="2" t="str">
        <f>[1]RawShipmentData!A369</f>
        <v>SHP-100765</v>
      </c>
      <c r="B368" s="3">
        <f>IF(ISNUMBER(SEARCH("/",TRIM([1]RawShipmentData!B369))),DATE(VALUE(RIGHT(TRIM([1]RawShipmentData!B369),4)),VALUE(MID(TRIM([1]RawShipmentData!B369),FIND("/",TRIM([1]RawShipmentData!B369))+1,2)),VALUE(LEFT(TRIM([1]RawShipmentData!B369),FIND("/",TRIM([1]RawShipmentData!B369))-1))),DATEVALUE(TRIM([1]RawShipmentData!B369)))</f>
        <v>45422</v>
      </c>
      <c r="C368" s="2" t="str">
        <f>PROPER(TRIM([1]RawShipmentData!C369))</f>
        <v>Chennai</v>
      </c>
      <c r="D368" s="2" t="str">
        <f>IFERROR(INDEX([1]HubMaster!$B$2:$B$7,MATCH(C368,[1]HubMaster!$A$2:$A$7,0)),"Unknown")</f>
        <v>South</v>
      </c>
      <c r="E368" s="2" t="str">
        <f>PROPER(TRIM(SUBSTITUTE([1]RawShipmentData!D369,"  "," ")))</f>
        <v>Bluedart</v>
      </c>
      <c r="F368" s="2" t="str">
        <f>PROPER(TRIM([1]RawShipmentData!E369))</f>
        <v>Air</v>
      </c>
      <c r="G368" s="2" t="str">
        <f>PROPER(TRIM(SUBSTITUTE([1]RawShipmentData!F369,"  "," ")))</f>
        <v>Automotive Parts</v>
      </c>
      <c r="H368" s="2" t="str">
        <f>PROPER(TRIM([1]RawShipmentData!G369))</f>
        <v>East</v>
      </c>
      <c r="I368" s="2" t="str">
        <f t="shared" si="25"/>
        <v>Yes</v>
      </c>
      <c r="J368" s="2">
        <f>IFERROR(VALUE(TRIM(SUBSTITUTE(UPPER([1]RawShipmentData!I368),"KG",""))),"")</f>
        <v>39.799999999999997</v>
      </c>
      <c r="K368" s="2">
        <f>VALUE(SUBSTITUTE(SUBSTITUTE(SUBSTITUTE(TRIM([1]RawShipmentData!J369),"₹",""),"Rs",""),",",""))</f>
        <v>1480</v>
      </c>
      <c r="L368" s="2">
        <f>[1]RawShipmentData!K369</f>
        <v>4</v>
      </c>
      <c r="M368" s="3">
        <f>IF(TRIM([1]RawShipmentData!L369)="","",IF(ISNUMBER(SEARCH("/",TRIM([1]RawShipmentData!L369))),DATE(VALUE(RIGHT(TRIM([1]RawShipmentData!L369),4)),VALUE(MID(TRIM([1]RawShipmentData!L369),FIND("/",TRIM([1]RawShipmentData!L369))+1,2)),VALUE(LEFT(TRIM([1]RawShipmentData!L369),FIND("/",TRIM([1]RawShipmentData!L369))-1))),DATEVALUE(TRIM([1]RawShipmentData!L369))))</f>
        <v>45426</v>
      </c>
      <c r="N368" s="2">
        <f t="shared" si="26"/>
        <v>4</v>
      </c>
      <c r="O368" s="2">
        <f t="shared" si="27"/>
        <v>0</v>
      </c>
      <c r="P368" s="2" t="str">
        <f t="shared" si="28"/>
        <v>On Time</v>
      </c>
      <c r="Q368" s="2" t="str">
        <f>PROPER(SUBSTITUTE(TRIM([1]RawShipmentData!M369)," ","-"))</f>
        <v>Delivered</v>
      </c>
      <c r="R368" s="4">
        <f t="shared" si="29"/>
        <v>37.185929648241206</v>
      </c>
      <c r="S368" s="2">
        <f>[1]RawShipmentData!N369</f>
        <v>4</v>
      </c>
      <c r="T368" s="2" t="str">
        <f>IF(OR(UPPER(TRIM([1]RawShipmentData!O369))="YES",UPPER(TRIM([1]RawShipmentData!O369))="Y"),"Yes","No")</f>
        <v>Yes</v>
      </c>
    </row>
    <row r="369" spans="1:20" x14ac:dyDescent="0.25">
      <c r="A369" s="2" t="str">
        <f>[1]RawShipmentData!A370</f>
        <v>SHP-101105</v>
      </c>
      <c r="B369" s="3">
        <f>IF(ISNUMBER(SEARCH("/",TRIM([1]RawShipmentData!B370))),DATE(VALUE(RIGHT(TRIM([1]RawShipmentData!B370),4)),VALUE(MID(TRIM([1]RawShipmentData!B370),FIND("/",TRIM([1]RawShipmentData!B370))+1,2)),VALUE(LEFT(TRIM([1]RawShipmentData!B370),FIND("/",TRIM([1]RawShipmentData!B370))-1))),DATEVALUE(TRIM([1]RawShipmentData!B370)))</f>
        <v>45417</v>
      </c>
      <c r="C369" s="2" t="str">
        <f>PROPER(TRIM([1]RawShipmentData!C370))</f>
        <v>Hyderabad</v>
      </c>
      <c r="D369" s="2" t="str">
        <f>IFERROR(INDEX([1]HubMaster!$B$2:$B$7,MATCH(C369,[1]HubMaster!$A$2:$A$7,0)),"Unknown")</f>
        <v>West</v>
      </c>
      <c r="E369" s="2" t="str">
        <f>PROPER(TRIM(SUBSTITUTE([1]RawShipmentData!D370,"  "," ")))</f>
        <v>Xpressbees</v>
      </c>
      <c r="F369" s="2" t="str">
        <f>PROPER(TRIM([1]RawShipmentData!E370))</f>
        <v>Surface</v>
      </c>
      <c r="G369" s="2" t="str">
        <f>PROPER(TRIM(SUBSTITUTE([1]RawShipmentData!F370,"  "," ")))</f>
        <v>Automotive Parts</v>
      </c>
      <c r="H369" s="2" t="str">
        <f>PROPER(TRIM([1]RawShipmentData!G370))</f>
        <v>South</v>
      </c>
      <c r="I369" s="2" t="str">
        <f t="shared" si="25"/>
        <v>Yes</v>
      </c>
      <c r="J369" s="2">
        <f>IFERROR(VALUE(TRIM(SUBSTITUTE(UPPER([1]RawShipmentData!I369),"KG",""))),"")</f>
        <v>29.5</v>
      </c>
      <c r="K369" s="2">
        <f>VALUE(SUBSTITUTE(SUBSTITUTE(SUBSTITUTE(TRIM([1]RawShipmentData!J370),"₹",""),"Rs",""),",",""))</f>
        <v>800</v>
      </c>
      <c r="L369" s="2">
        <f>[1]RawShipmentData!K370</f>
        <v>6</v>
      </c>
      <c r="M369" s="3">
        <f>IF(TRIM([1]RawShipmentData!L370)="","",IF(ISNUMBER(SEARCH("/",TRIM([1]RawShipmentData!L370))),DATE(VALUE(RIGHT(TRIM([1]RawShipmentData!L370),4)),VALUE(MID(TRIM([1]RawShipmentData!L370),FIND("/",TRIM([1]RawShipmentData!L370))+1,2)),VALUE(LEFT(TRIM([1]RawShipmentData!L370),FIND("/",TRIM([1]RawShipmentData!L370))-1))),DATEVALUE(TRIM([1]RawShipmentData!L370))))</f>
        <v>45424</v>
      </c>
      <c r="N369" s="2">
        <f t="shared" si="26"/>
        <v>7</v>
      </c>
      <c r="O369" s="2">
        <f t="shared" si="27"/>
        <v>1</v>
      </c>
      <c r="P369" s="2" t="str">
        <f t="shared" si="28"/>
        <v>Late</v>
      </c>
      <c r="Q369" s="2" t="str">
        <f>PROPER(SUBSTITUTE(TRIM([1]RawShipmentData!M370)," ","-"))</f>
        <v>Delayed</v>
      </c>
      <c r="R369" s="4">
        <f t="shared" si="29"/>
        <v>27.118644067796609</v>
      </c>
      <c r="S369" s="2">
        <f>[1]RawShipmentData!N370</f>
        <v>3</v>
      </c>
      <c r="T369" s="2" t="str">
        <f>IF(OR(UPPER(TRIM([1]RawShipmentData!O370))="YES",UPPER(TRIM([1]RawShipmentData!O370))="Y"),"Yes","No")</f>
        <v>Yes</v>
      </c>
    </row>
    <row r="370" spans="1:20" x14ac:dyDescent="0.25">
      <c r="A370" s="2" t="str">
        <f>[1]RawShipmentData!A371</f>
        <v>SHP-100564</v>
      </c>
      <c r="B370" s="3">
        <f>IF(ISNUMBER(SEARCH("/",TRIM([1]RawShipmentData!B371))),DATE(VALUE(RIGHT(TRIM([1]RawShipmentData!B371),4)),VALUE(MID(TRIM([1]RawShipmentData!B371),FIND("/",TRIM([1]RawShipmentData!B371))+1,2)),VALUE(LEFT(TRIM([1]RawShipmentData!B371),FIND("/",TRIM([1]RawShipmentData!B371))-1))),DATEVALUE(TRIM([1]RawShipmentData!B371)))</f>
        <v>45301</v>
      </c>
      <c r="C370" s="2" t="str">
        <f>PROPER(TRIM([1]RawShipmentData!C371))</f>
        <v>Hyderabad</v>
      </c>
      <c r="D370" s="2" t="str">
        <f>IFERROR(INDEX([1]HubMaster!$B$2:$B$7,MATCH(C370,[1]HubMaster!$A$2:$A$7,0)),"Unknown")</f>
        <v>West</v>
      </c>
      <c r="E370" s="2" t="str">
        <f>PROPER(TRIM(SUBSTITUTE([1]RawShipmentData!D371,"  "," ")))</f>
        <v>Delhivery</v>
      </c>
      <c r="F370" s="2" t="str">
        <f>PROPER(TRIM([1]RawShipmentData!E371))</f>
        <v>Surface</v>
      </c>
      <c r="G370" s="2" t="str">
        <f>PROPER(TRIM(SUBSTITUTE([1]RawShipmentData!F371,"  "," ")))</f>
        <v>Automotive Parts</v>
      </c>
      <c r="H370" s="2" t="str">
        <f>PROPER(TRIM([1]RawShipmentData!G371))</f>
        <v>West</v>
      </c>
      <c r="I370" s="2" t="str">
        <f t="shared" si="25"/>
        <v>No</v>
      </c>
      <c r="J370" s="2">
        <f>IFERROR(VALUE(TRIM(SUBSTITUTE(UPPER([1]RawShipmentData!I370),"KG",""))),"")</f>
        <v>29.8</v>
      </c>
      <c r="K370" s="2">
        <f>VALUE(SUBSTITUTE(SUBSTITUTE(SUBSTITUTE(TRIM([1]RawShipmentData!J371),"₹",""),"Rs",""),",",""))</f>
        <v>131</v>
      </c>
      <c r="L370" s="2">
        <f>[1]RawShipmentData!K371</f>
        <v>4</v>
      </c>
      <c r="M370" s="3">
        <f>IF(TRIM([1]RawShipmentData!L371)="","",IF(ISNUMBER(SEARCH("/",TRIM([1]RawShipmentData!L371))),DATE(VALUE(RIGHT(TRIM([1]RawShipmentData!L371),4)),VALUE(MID(TRIM([1]RawShipmentData!L371),FIND("/",TRIM([1]RawShipmentData!L371))+1,2)),VALUE(LEFT(TRIM([1]RawShipmentData!L371),FIND("/",TRIM([1]RawShipmentData!L371))-1))),DATEVALUE(TRIM([1]RawShipmentData!L371))))</f>
        <v>45304</v>
      </c>
      <c r="N370" s="2">
        <f t="shared" si="26"/>
        <v>3</v>
      </c>
      <c r="O370" s="2">
        <f t="shared" si="27"/>
        <v>-1</v>
      </c>
      <c r="P370" s="2" t="str">
        <f t="shared" si="28"/>
        <v>On Time</v>
      </c>
      <c r="Q370" s="2" t="str">
        <f>PROPER(SUBSTITUTE(TRIM([1]RawShipmentData!M371)," ","-"))</f>
        <v>Delivered</v>
      </c>
      <c r="R370" s="4">
        <f t="shared" si="29"/>
        <v>4.3959731543624159</v>
      </c>
      <c r="S370" s="2">
        <f>[1]RawShipmentData!N371</f>
        <v>5</v>
      </c>
      <c r="T370" s="2" t="str">
        <f>IF(OR(UPPER(TRIM([1]RawShipmentData!O371))="YES",UPPER(TRIM([1]RawShipmentData!O371))="Y"),"Yes","No")</f>
        <v>No</v>
      </c>
    </row>
    <row r="371" spans="1:20" x14ac:dyDescent="0.25">
      <c r="A371" s="2" t="str">
        <f>[1]RawShipmentData!A372</f>
        <v>SHP-100927</v>
      </c>
      <c r="B371" s="3">
        <f>IF(ISNUMBER(SEARCH("/",TRIM([1]RawShipmentData!B372))),DATE(VALUE(RIGHT(TRIM([1]RawShipmentData!B372),4)),VALUE(MID(TRIM([1]RawShipmentData!B372),FIND("/",TRIM([1]RawShipmentData!B372))+1,2)),VALUE(LEFT(TRIM([1]RawShipmentData!B372),FIND("/",TRIM([1]RawShipmentData!B372))-1))),DATEVALUE(TRIM([1]RawShipmentData!B372)))</f>
        <v>45356</v>
      </c>
      <c r="C371" s="2" t="str">
        <f>PROPER(TRIM([1]RawShipmentData!C372))</f>
        <v>Hyderabad</v>
      </c>
      <c r="D371" s="2" t="str">
        <f>IFERROR(INDEX([1]HubMaster!$B$2:$B$7,MATCH(C371,[1]HubMaster!$A$2:$A$7,0)),"Unknown")</f>
        <v>West</v>
      </c>
      <c r="E371" s="2" t="str">
        <f>PROPER(TRIM(SUBSTITUTE([1]RawShipmentData!D372,"  "," ")))</f>
        <v>Bluedart</v>
      </c>
      <c r="F371" s="2" t="str">
        <f>PROPER(TRIM([1]RawShipmentData!E372))</f>
        <v>Road</v>
      </c>
      <c r="G371" s="2" t="str">
        <f>PROPER(TRIM(SUBSTITUTE([1]RawShipmentData!F372,"  "," ")))</f>
        <v>Electronics</v>
      </c>
      <c r="H371" s="2" t="str">
        <f>PROPER(TRIM([1]RawShipmentData!G372))</f>
        <v>North</v>
      </c>
      <c r="I371" s="2" t="str">
        <f t="shared" si="25"/>
        <v>Yes</v>
      </c>
      <c r="J371" s="2">
        <f>IFERROR(VALUE(TRIM(SUBSTITUTE(UPPER([1]RawShipmentData!I371),"KG",""))),"")</f>
        <v>7.2</v>
      </c>
      <c r="K371" s="2">
        <f>VALUE(SUBSTITUTE(SUBSTITUTE(SUBSTITUTE(TRIM([1]RawShipmentData!J372),"₹",""),"Rs",""),",",""))</f>
        <v>207</v>
      </c>
      <c r="L371" s="2">
        <f>[1]RawShipmentData!K372</f>
        <v>8</v>
      </c>
      <c r="M371" s="3">
        <f>IF(TRIM([1]RawShipmentData!L372)="","",IF(ISNUMBER(SEARCH("/",TRIM([1]RawShipmentData!L372))),DATE(VALUE(RIGHT(TRIM([1]RawShipmentData!L372),4)),VALUE(MID(TRIM([1]RawShipmentData!L372),FIND("/",TRIM([1]RawShipmentData!L372))+1,2)),VALUE(LEFT(TRIM([1]RawShipmentData!L372),FIND("/",TRIM([1]RawShipmentData!L372))-1))),DATEVALUE(TRIM([1]RawShipmentData!L372))))</f>
        <v>45365</v>
      </c>
      <c r="N371" s="2">
        <f t="shared" si="26"/>
        <v>9</v>
      </c>
      <c r="O371" s="2">
        <f t="shared" si="27"/>
        <v>1</v>
      </c>
      <c r="P371" s="2" t="str">
        <f t="shared" si="28"/>
        <v>Late</v>
      </c>
      <c r="Q371" s="2" t="str">
        <f>PROPER(SUBSTITUTE(TRIM([1]RawShipmentData!M372)," ","-"))</f>
        <v>Delayed</v>
      </c>
      <c r="R371" s="4">
        <f t="shared" si="29"/>
        <v>28.75</v>
      </c>
      <c r="S371" s="2">
        <f>[1]RawShipmentData!N372</f>
        <v>2</v>
      </c>
      <c r="T371" s="2" t="str">
        <f>IF(OR(UPPER(TRIM([1]RawShipmentData!O372))="YES",UPPER(TRIM([1]RawShipmentData!O372))="Y"),"Yes","No")</f>
        <v>Yes</v>
      </c>
    </row>
    <row r="372" spans="1:20" x14ac:dyDescent="0.25">
      <c r="A372" s="2" t="str">
        <f>[1]RawShipmentData!A373</f>
        <v>SHP-100750</v>
      </c>
      <c r="B372" s="3">
        <f>IF(ISNUMBER(SEARCH("/",TRIM([1]RawShipmentData!B373))),DATE(VALUE(RIGHT(TRIM([1]RawShipmentData!B373),4)),VALUE(MID(TRIM([1]RawShipmentData!B373),FIND("/",TRIM([1]RawShipmentData!B373))+1,2)),VALUE(LEFT(TRIM([1]RawShipmentData!B373),FIND("/",TRIM([1]RawShipmentData!B373))-1))),DATEVALUE(TRIM([1]RawShipmentData!B373)))</f>
        <v>45431</v>
      </c>
      <c r="C372" s="2" t="str">
        <f>PROPER(TRIM([1]RawShipmentData!C373))</f>
        <v>Bengaluru</v>
      </c>
      <c r="D372" s="2" t="str">
        <f>IFERROR(INDEX([1]HubMaster!$B$2:$B$7,MATCH(C372,[1]HubMaster!$A$2:$A$7,0)),"Unknown")</f>
        <v>South</v>
      </c>
      <c r="E372" s="2" t="str">
        <f>PROPER(TRIM(SUBSTITUTE([1]RawShipmentData!D373,"  "," ")))</f>
        <v>Delhivery</v>
      </c>
      <c r="F372" s="2" t="str">
        <f>PROPER(TRIM([1]RawShipmentData!E373))</f>
        <v>Air</v>
      </c>
      <c r="G372" s="2" t="str">
        <f>PROPER(TRIM(SUBSTITUTE([1]RawShipmentData!F373,"  "," ")))</f>
        <v>Furniture</v>
      </c>
      <c r="H372" s="2" t="str">
        <f>PROPER(TRIM([1]RawShipmentData!G373))</f>
        <v>West</v>
      </c>
      <c r="I372" s="2" t="str">
        <f t="shared" si="25"/>
        <v>Yes</v>
      </c>
      <c r="J372" s="2">
        <f>IFERROR(VALUE(TRIM(SUBSTITUTE(UPPER([1]RawShipmentData!I372),"KG",""))),"")</f>
        <v>1.1000000000000001</v>
      </c>
      <c r="K372" s="2">
        <f>VALUE(SUBSTITUTE(SUBSTITUTE(SUBSTITUTE(TRIM([1]RawShipmentData!J373),"₹",""),"Rs",""),",",""))</f>
        <v>3654</v>
      </c>
      <c r="L372" s="2">
        <f>[1]RawShipmentData!K373</f>
        <v>4</v>
      </c>
      <c r="M372" s="3">
        <f>IF(TRIM([1]RawShipmentData!L373)="","",IF(ISNUMBER(SEARCH("/",TRIM([1]RawShipmentData!L373))),DATE(VALUE(RIGHT(TRIM([1]RawShipmentData!L373),4)),VALUE(MID(TRIM([1]RawShipmentData!L373),FIND("/",TRIM([1]RawShipmentData!L373))+1,2)),VALUE(LEFT(TRIM([1]RawShipmentData!L373),FIND("/",TRIM([1]RawShipmentData!L373))-1))),DATEVALUE(TRIM([1]RawShipmentData!L373))))</f>
        <v>45444</v>
      </c>
      <c r="N372" s="2">
        <f t="shared" si="26"/>
        <v>13</v>
      </c>
      <c r="O372" s="2">
        <f t="shared" si="27"/>
        <v>9</v>
      </c>
      <c r="P372" s="2" t="str">
        <f t="shared" si="28"/>
        <v>Late</v>
      </c>
      <c r="Q372" s="2" t="str">
        <f>PROPER(SUBSTITUTE(TRIM([1]RawShipmentData!M373)," ","-"))</f>
        <v>Delayed</v>
      </c>
      <c r="R372" s="4">
        <f t="shared" si="29"/>
        <v>3321.8181818181815</v>
      </c>
      <c r="S372" s="2">
        <f>[1]RawShipmentData!N373</f>
        <v>3</v>
      </c>
      <c r="T372" s="2" t="str">
        <f>IF(OR(UPPER(TRIM([1]RawShipmentData!O373))="YES",UPPER(TRIM([1]RawShipmentData!O373))="Y"),"Yes","No")</f>
        <v>No</v>
      </c>
    </row>
    <row r="373" spans="1:20" x14ac:dyDescent="0.25">
      <c r="A373" s="2" t="str">
        <f>[1]RawShipmentData!A374</f>
        <v>SHP-101131</v>
      </c>
      <c r="B373" s="3">
        <f>IF(ISNUMBER(SEARCH("/",TRIM([1]RawShipmentData!B374))),DATE(VALUE(RIGHT(TRIM([1]RawShipmentData!B374),4)),VALUE(MID(TRIM([1]RawShipmentData!B374),FIND("/",TRIM([1]RawShipmentData!B374))+1,2)),VALUE(LEFT(TRIM([1]RawShipmentData!B374),FIND("/",TRIM([1]RawShipmentData!B374))-1))),DATEVALUE(TRIM([1]RawShipmentData!B374)))</f>
        <v>45431</v>
      </c>
      <c r="C373" s="2" t="str">
        <f>PROPER(TRIM([1]RawShipmentData!C374))</f>
        <v>Hyderabad</v>
      </c>
      <c r="D373" s="2" t="str">
        <f>IFERROR(INDEX([1]HubMaster!$B$2:$B$7,MATCH(C373,[1]HubMaster!$A$2:$A$7,0)),"Unknown")</f>
        <v>West</v>
      </c>
      <c r="E373" s="2" t="str">
        <f>PROPER(TRIM(SUBSTITUTE([1]RawShipmentData!D374,"  "," ")))</f>
        <v>Dtdc</v>
      </c>
      <c r="F373" s="2" t="str">
        <f>PROPER(TRIM([1]RawShipmentData!E374))</f>
        <v>Surface</v>
      </c>
      <c r="G373" s="2" t="str">
        <f>PROPER(TRIM(SUBSTITUTE([1]RawShipmentData!F374,"  "," ")))</f>
        <v>Pharma</v>
      </c>
      <c r="H373" s="2" t="str">
        <f>PROPER(TRIM([1]RawShipmentData!G374))</f>
        <v>North</v>
      </c>
      <c r="I373" s="2" t="str">
        <f t="shared" si="25"/>
        <v>Yes</v>
      </c>
      <c r="J373" s="2">
        <f>IFERROR(VALUE(TRIM(SUBSTITUTE(UPPER([1]RawShipmentData!I373),"KG",""))),"")</f>
        <v>78.5</v>
      </c>
      <c r="K373" s="2">
        <f>VALUE(SUBSTITUTE(SUBSTITUTE(SUBSTITUTE(TRIM([1]RawShipmentData!J374),"₹",""),"Rs",""),",",""))</f>
        <v>206</v>
      </c>
      <c r="L373" s="2">
        <f>[1]RawShipmentData!K374</f>
        <v>6</v>
      </c>
      <c r="M373" s="3">
        <f>IF(TRIM([1]RawShipmentData!L374)="","",IF(ISNUMBER(SEARCH("/",TRIM([1]RawShipmentData!L374))),DATE(VALUE(RIGHT(TRIM([1]RawShipmentData!L374),4)),VALUE(MID(TRIM([1]RawShipmentData!L374),FIND("/",TRIM([1]RawShipmentData!L374))+1,2)),VALUE(LEFT(TRIM([1]RawShipmentData!L374),FIND("/",TRIM([1]RawShipmentData!L374))-1))),DATEVALUE(TRIM([1]RawShipmentData!L374))))</f>
        <v>45442</v>
      </c>
      <c r="N373" s="2">
        <f t="shared" si="26"/>
        <v>11</v>
      </c>
      <c r="O373" s="2">
        <f t="shared" si="27"/>
        <v>5</v>
      </c>
      <c r="P373" s="2" t="str">
        <f t="shared" si="28"/>
        <v>Late</v>
      </c>
      <c r="Q373" s="2" t="str">
        <f>PROPER(SUBSTITUTE(TRIM([1]RawShipmentData!M374)," ","-"))</f>
        <v>Delayed</v>
      </c>
      <c r="R373" s="4">
        <f t="shared" si="29"/>
        <v>2.6242038216560508</v>
      </c>
      <c r="S373" s="2">
        <f>[1]RawShipmentData!N374</f>
        <v>2</v>
      </c>
      <c r="T373" s="2" t="str">
        <f>IF(OR(UPPER(TRIM([1]RawShipmentData!O374))="YES",UPPER(TRIM([1]RawShipmentData!O374))="Y"),"Yes","No")</f>
        <v>Yes</v>
      </c>
    </row>
    <row r="374" spans="1:20" x14ac:dyDescent="0.25">
      <c r="A374" s="2" t="str">
        <f>[1]RawShipmentData!A375</f>
        <v>SHP-100551</v>
      </c>
      <c r="B374" s="3">
        <f>IF(ISNUMBER(SEARCH("/",TRIM([1]RawShipmentData!B375))),DATE(VALUE(RIGHT(TRIM([1]RawShipmentData!B375),4)),VALUE(MID(TRIM([1]RawShipmentData!B375),FIND("/",TRIM([1]RawShipmentData!B375))+1,2)),VALUE(LEFT(TRIM([1]RawShipmentData!B375),FIND("/",TRIM([1]RawShipmentData!B375))-1))),DATEVALUE(TRIM([1]RawShipmentData!B375)))</f>
        <v>45370</v>
      </c>
      <c r="C374" s="2" t="str">
        <f>PROPER(TRIM([1]RawShipmentData!C375))</f>
        <v>Chennai</v>
      </c>
      <c r="D374" s="2" t="str">
        <f>IFERROR(INDEX([1]HubMaster!$B$2:$B$7,MATCH(C374,[1]HubMaster!$A$2:$A$7,0)),"Unknown")</f>
        <v>South</v>
      </c>
      <c r="E374" s="2" t="str">
        <f>PROPER(TRIM(SUBSTITUTE([1]RawShipmentData!D375,"  "," ")))</f>
        <v>Dtdc</v>
      </c>
      <c r="F374" s="2" t="str">
        <f>PROPER(TRIM([1]RawShipmentData!E375))</f>
        <v>Road</v>
      </c>
      <c r="G374" s="2" t="str">
        <f>PROPER(TRIM(SUBSTITUTE([1]RawShipmentData!F375,"  "," ")))</f>
        <v>Automotive Parts</v>
      </c>
      <c r="H374" s="2" t="str">
        <f>PROPER(TRIM([1]RawShipmentData!G375))</f>
        <v>West</v>
      </c>
      <c r="I374" s="2" t="str">
        <f t="shared" si="25"/>
        <v>Yes</v>
      </c>
      <c r="J374" s="2">
        <f>IFERROR(VALUE(TRIM(SUBSTITUTE(UPPER([1]RawShipmentData!I374),"KG",""))),"")</f>
        <v>2.2000000000000002</v>
      </c>
      <c r="K374" s="2">
        <f>VALUE(SUBSTITUTE(SUBSTITUTE(SUBSTITUTE(TRIM([1]RawShipmentData!J375),"₹",""),"Rs",""),",",""))</f>
        <v>249</v>
      </c>
      <c r="L374" s="2">
        <f>[1]RawShipmentData!K375</f>
        <v>8</v>
      </c>
      <c r="M374" s="3">
        <f>IF(TRIM([1]RawShipmentData!L375)="","",IF(ISNUMBER(SEARCH("/",TRIM([1]RawShipmentData!L375))),DATE(VALUE(RIGHT(TRIM([1]RawShipmentData!L375),4)),VALUE(MID(TRIM([1]RawShipmentData!L375),FIND("/",TRIM([1]RawShipmentData!L375))+1,2)),VALUE(LEFT(TRIM([1]RawShipmentData!L375),FIND("/",TRIM([1]RawShipmentData!L375))-1))),DATEVALUE(TRIM([1]RawShipmentData!L375))))</f>
        <v>45383</v>
      </c>
      <c r="N374" s="2">
        <f t="shared" si="26"/>
        <v>13</v>
      </c>
      <c r="O374" s="2">
        <f t="shared" si="27"/>
        <v>5</v>
      </c>
      <c r="P374" s="2" t="str">
        <f t="shared" si="28"/>
        <v>Late</v>
      </c>
      <c r="Q374" s="2" t="str">
        <f>PROPER(SUBSTITUTE(TRIM([1]RawShipmentData!M375)," ","-"))</f>
        <v>Delayed</v>
      </c>
      <c r="R374" s="4">
        <f t="shared" si="29"/>
        <v>113.18181818181817</v>
      </c>
      <c r="S374" s="2">
        <f>[1]RawShipmentData!N375</f>
        <v>3</v>
      </c>
      <c r="T374" s="2" t="str">
        <f>IF(OR(UPPER(TRIM([1]RawShipmentData!O375))="YES",UPPER(TRIM([1]RawShipmentData!O375))="Y"),"Yes","No")</f>
        <v>No</v>
      </c>
    </row>
    <row r="375" spans="1:20" x14ac:dyDescent="0.25">
      <c r="A375" s="2" t="str">
        <f>[1]RawShipmentData!A376</f>
        <v>SHP-100058</v>
      </c>
      <c r="B375" s="3">
        <f>IF(ISNUMBER(SEARCH("/",TRIM([1]RawShipmentData!B376))),DATE(VALUE(RIGHT(TRIM([1]RawShipmentData!B376),4)),VALUE(MID(TRIM([1]RawShipmentData!B376),FIND("/",TRIM([1]RawShipmentData!B376))+1,2)),VALUE(LEFT(TRIM([1]RawShipmentData!B376),FIND("/",TRIM([1]RawShipmentData!B376))-1))),DATEVALUE(TRIM([1]RawShipmentData!B376)))</f>
        <v>45388</v>
      </c>
      <c r="C375" s="2" t="str">
        <f>PROPER(TRIM([1]RawShipmentData!C376))</f>
        <v>Kolkata</v>
      </c>
      <c r="D375" s="2" t="str">
        <f>IFERROR(INDEX([1]HubMaster!$B$2:$B$7,MATCH(C375,[1]HubMaster!$A$2:$A$7,0)),"Unknown")</f>
        <v>East</v>
      </c>
      <c r="E375" s="2" t="str">
        <f>PROPER(TRIM(SUBSTITUTE([1]RawShipmentData!D376,"  "," ")))</f>
        <v>Xpressbees</v>
      </c>
      <c r="F375" s="2" t="str">
        <f>PROPER(TRIM([1]RawShipmentData!E376))</f>
        <v>Air</v>
      </c>
      <c r="G375" s="2" t="str">
        <f>PROPER(TRIM(SUBSTITUTE([1]RawShipmentData!F376,"  "," ")))</f>
        <v>Furniture</v>
      </c>
      <c r="H375" s="2" t="str">
        <f>PROPER(TRIM([1]RawShipmentData!G376))</f>
        <v>West</v>
      </c>
      <c r="I375" s="2" t="str">
        <f t="shared" si="25"/>
        <v>Yes</v>
      </c>
      <c r="J375" s="2">
        <f>IFERROR(VALUE(TRIM(SUBSTITUTE(UPPER([1]RawShipmentData!I375),"KG",""))),"")</f>
        <v>6.3</v>
      </c>
      <c r="K375" s="2">
        <f>VALUE(SUBSTITUTE(SUBSTITUTE(SUBSTITUTE(TRIM([1]RawShipmentData!J376),"₹",""),"Rs",""),",",""))</f>
        <v>2215</v>
      </c>
      <c r="L375" s="2">
        <f>[1]RawShipmentData!K376</f>
        <v>4</v>
      </c>
      <c r="M375" s="3">
        <f>IF(TRIM([1]RawShipmentData!L376)="","",IF(ISNUMBER(SEARCH("/",TRIM([1]RawShipmentData!L376))),DATE(VALUE(RIGHT(TRIM([1]RawShipmentData!L376),4)),VALUE(MID(TRIM([1]RawShipmentData!L376),FIND("/",TRIM([1]RawShipmentData!L376))+1,2)),VALUE(LEFT(TRIM([1]RawShipmentData!L376),FIND("/",TRIM([1]RawShipmentData!L376))-1))),DATEVALUE(TRIM([1]RawShipmentData!L376))))</f>
        <v>45392</v>
      </c>
      <c r="N375" s="2">
        <f t="shared" si="26"/>
        <v>4</v>
      </c>
      <c r="O375" s="2">
        <f t="shared" si="27"/>
        <v>0</v>
      </c>
      <c r="P375" s="2" t="str">
        <f t="shared" si="28"/>
        <v>On Time</v>
      </c>
      <c r="Q375" s="2" t="str">
        <f>PROPER(SUBSTITUTE(TRIM([1]RawShipmentData!M376)," ","-"))</f>
        <v>Delivered</v>
      </c>
      <c r="R375" s="4">
        <f t="shared" si="29"/>
        <v>351.58730158730162</v>
      </c>
      <c r="S375" s="2">
        <f>[1]RawShipmentData!N376</f>
        <v>5</v>
      </c>
      <c r="T375" s="2" t="str">
        <f>IF(OR(UPPER(TRIM([1]RawShipmentData!O376))="YES",UPPER(TRIM([1]RawShipmentData!O376))="Y"),"Yes","No")</f>
        <v>No</v>
      </c>
    </row>
    <row r="376" spans="1:20" x14ac:dyDescent="0.25">
      <c r="A376" s="2" t="str">
        <f>[1]RawShipmentData!A377</f>
        <v>SHP-101134</v>
      </c>
      <c r="B376" s="3">
        <f>IF(ISNUMBER(SEARCH("/",TRIM([1]RawShipmentData!B377))),DATE(VALUE(RIGHT(TRIM([1]RawShipmentData!B377),4)),VALUE(MID(TRIM([1]RawShipmentData!B377),FIND("/",TRIM([1]RawShipmentData!B377))+1,2)),VALUE(LEFT(TRIM([1]RawShipmentData!B377),FIND("/",TRIM([1]RawShipmentData!B377))-1))),DATEVALUE(TRIM([1]RawShipmentData!B377)))</f>
        <v>45367</v>
      </c>
      <c r="C376" s="2" t="str">
        <f>PROPER(TRIM([1]RawShipmentData!C377))</f>
        <v>Hyderabad</v>
      </c>
      <c r="D376" s="2" t="str">
        <f>IFERROR(INDEX([1]HubMaster!$B$2:$B$7,MATCH(C376,[1]HubMaster!$A$2:$A$7,0)),"Unknown")</f>
        <v>West</v>
      </c>
      <c r="E376" s="2" t="str">
        <f>PROPER(TRIM(SUBSTITUTE([1]RawShipmentData!D377,"  "," ")))</f>
        <v>Delhivery</v>
      </c>
      <c r="F376" s="2" t="str">
        <f>PROPER(TRIM([1]RawShipmentData!E377))</f>
        <v>Air</v>
      </c>
      <c r="G376" s="2" t="str">
        <f>PROPER(TRIM(SUBSTITUTE([1]RawShipmentData!F377,"  "," ")))</f>
        <v>Pharma</v>
      </c>
      <c r="H376" s="2" t="str">
        <f>PROPER(TRIM([1]RawShipmentData!G377))</f>
        <v>North</v>
      </c>
      <c r="I376" s="2" t="str">
        <f t="shared" si="25"/>
        <v>Yes</v>
      </c>
      <c r="J376" s="2">
        <f>IFERROR(VALUE(TRIM(SUBSTITUTE(UPPER([1]RawShipmentData!I376),"KG",""))),"")</f>
        <v>45.8</v>
      </c>
      <c r="K376" s="2">
        <f>VALUE(SUBSTITUTE(SUBSTITUTE(SUBSTITUTE(TRIM([1]RawShipmentData!J377),"₹",""),"Rs",""),",",""))</f>
        <v>302</v>
      </c>
      <c r="L376" s="2">
        <f>[1]RawShipmentData!K377</f>
        <v>4</v>
      </c>
      <c r="M376" s="3">
        <f>IF(TRIM([1]RawShipmentData!L377)="","",IF(ISNUMBER(SEARCH("/",TRIM([1]RawShipmentData!L377))),DATE(VALUE(RIGHT(TRIM([1]RawShipmentData!L377),4)),VALUE(MID(TRIM([1]RawShipmentData!L377),FIND("/",TRIM([1]RawShipmentData!L377))+1,2)),VALUE(LEFT(TRIM([1]RawShipmentData!L377),FIND("/",TRIM([1]RawShipmentData!L377))-1))),DATEVALUE(TRIM([1]RawShipmentData!L377))))</f>
        <v>45377</v>
      </c>
      <c r="N376" s="2">
        <f t="shared" si="26"/>
        <v>10</v>
      </c>
      <c r="O376" s="2">
        <f t="shared" si="27"/>
        <v>6</v>
      </c>
      <c r="P376" s="2" t="str">
        <f t="shared" si="28"/>
        <v>Late</v>
      </c>
      <c r="Q376" s="2" t="str">
        <f>PROPER(SUBSTITUTE(TRIM([1]RawShipmentData!M377)," ","-"))</f>
        <v>Delayed</v>
      </c>
      <c r="R376" s="4">
        <f t="shared" si="29"/>
        <v>6.5938864628820966</v>
      </c>
      <c r="S376" s="2">
        <f>[1]RawShipmentData!N377</f>
        <v>2</v>
      </c>
      <c r="T376" s="2" t="str">
        <f>IF(OR(UPPER(TRIM([1]RawShipmentData!O377))="YES",UPPER(TRIM([1]RawShipmentData!O377))="Y"),"Yes","No")</f>
        <v>No</v>
      </c>
    </row>
    <row r="377" spans="1:20" x14ac:dyDescent="0.25">
      <c r="A377" s="2" t="str">
        <f>[1]RawShipmentData!A378</f>
        <v>SHP-100623</v>
      </c>
      <c r="B377" s="3">
        <f>IF(ISNUMBER(SEARCH("/",TRIM([1]RawShipmentData!B378))),DATE(VALUE(RIGHT(TRIM([1]RawShipmentData!B378),4)),VALUE(MID(TRIM([1]RawShipmentData!B378),FIND("/",TRIM([1]RawShipmentData!B378))+1,2)),VALUE(LEFT(TRIM([1]RawShipmentData!B378),FIND("/",TRIM([1]RawShipmentData!B378))-1))),DATEVALUE(TRIM([1]RawShipmentData!B378)))</f>
        <v>45432</v>
      </c>
      <c r="C377" s="2" t="str">
        <f>PROPER(TRIM([1]RawShipmentData!C378))</f>
        <v>Bengaluru</v>
      </c>
      <c r="D377" s="2" t="str">
        <f>IFERROR(INDEX([1]HubMaster!$B$2:$B$7,MATCH(C377,[1]HubMaster!$A$2:$A$7,0)),"Unknown")</f>
        <v>South</v>
      </c>
      <c r="E377" s="2" t="str">
        <f>PROPER(TRIM(SUBSTITUTE([1]RawShipmentData!D378,"  "," ")))</f>
        <v>Ecom Express</v>
      </c>
      <c r="F377" s="2" t="str">
        <f>PROPER(TRIM([1]RawShipmentData!E378))</f>
        <v>Surface</v>
      </c>
      <c r="G377" s="2" t="str">
        <f>PROPER(TRIM(SUBSTITUTE([1]RawShipmentData!F378,"  "," ")))</f>
        <v>Automotive Parts</v>
      </c>
      <c r="H377" s="2" t="str">
        <f>PROPER(TRIM([1]RawShipmentData!G378))</f>
        <v>East</v>
      </c>
      <c r="I377" s="2" t="str">
        <f t="shared" si="25"/>
        <v>Yes</v>
      </c>
      <c r="J377" s="2">
        <f>IFERROR(VALUE(TRIM(SUBSTITUTE(UPPER([1]RawShipmentData!I377),"KG",""))),"")</f>
        <v>2.5</v>
      </c>
      <c r="K377" s="2">
        <f>VALUE(SUBSTITUTE(SUBSTITUTE(SUBSTITUTE(TRIM([1]RawShipmentData!J378),"₹",""),"Rs",""),",",""))</f>
        <v>844</v>
      </c>
      <c r="L377" s="2">
        <f>[1]RawShipmentData!K378</f>
        <v>6</v>
      </c>
      <c r="M377" s="3">
        <f>IF(TRIM([1]RawShipmentData!L378)="","",IF(ISNUMBER(SEARCH("/",TRIM([1]RawShipmentData!L378))),DATE(VALUE(RIGHT(TRIM([1]RawShipmentData!L378),4)),VALUE(MID(TRIM([1]RawShipmentData!L378),FIND("/",TRIM([1]RawShipmentData!L378))+1,2)),VALUE(LEFT(TRIM([1]RawShipmentData!L378),FIND("/",TRIM([1]RawShipmentData!L378))-1))),DATEVALUE(TRIM([1]RawShipmentData!L378))))</f>
        <v>45439</v>
      </c>
      <c r="N377" s="2">
        <f t="shared" si="26"/>
        <v>7</v>
      </c>
      <c r="O377" s="2">
        <f t="shared" si="27"/>
        <v>1</v>
      </c>
      <c r="P377" s="2" t="str">
        <f t="shared" si="28"/>
        <v>Late</v>
      </c>
      <c r="Q377" s="2" t="str">
        <f>PROPER(SUBSTITUTE(TRIM([1]RawShipmentData!M378)," ","-"))</f>
        <v>Delayed</v>
      </c>
      <c r="R377" s="4">
        <f t="shared" si="29"/>
        <v>337.6</v>
      </c>
      <c r="S377" s="2">
        <f>[1]RawShipmentData!N378</f>
        <v>1</v>
      </c>
      <c r="T377" s="2" t="str">
        <f>IF(OR(UPPER(TRIM([1]RawShipmentData!O378))="YES",UPPER(TRIM([1]RawShipmentData!O378))="Y"),"Yes","No")</f>
        <v>Yes</v>
      </c>
    </row>
    <row r="378" spans="1:20" x14ac:dyDescent="0.25">
      <c r="A378" s="2" t="str">
        <f>[1]RawShipmentData!A379</f>
        <v>SHP-100253</v>
      </c>
      <c r="B378" s="3">
        <f>IF(ISNUMBER(SEARCH("/",TRIM([1]RawShipmentData!B379))),DATE(VALUE(RIGHT(TRIM([1]RawShipmentData!B379),4)),VALUE(MID(TRIM([1]RawShipmentData!B379),FIND("/",TRIM([1]RawShipmentData!B379))+1,2)),VALUE(LEFT(TRIM([1]RawShipmentData!B379),FIND("/",TRIM([1]RawShipmentData!B379))-1))),DATEVALUE(TRIM([1]RawShipmentData!B379)))</f>
        <v>45311</v>
      </c>
      <c r="C378" s="2" t="str">
        <f>PROPER(TRIM([1]RawShipmentData!C379))</f>
        <v>Kolkata</v>
      </c>
      <c r="D378" s="2" t="str">
        <f>IFERROR(INDEX([1]HubMaster!$B$2:$B$7,MATCH(C378,[1]HubMaster!$A$2:$A$7,0)),"Unknown")</f>
        <v>East</v>
      </c>
      <c r="E378" s="2" t="str">
        <f>PROPER(TRIM(SUBSTITUTE([1]RawShipmentData!D379,"  "," ")))</f>
        <v>Delhivery</v>
      </c>
      <c r="F378" s="2" t="str">
        <f>PROPER(TRIM([1]RawShipmentData!E379))</f>
        <v>Road</v>
      </c>
      <c r="G378" s="2" t="str">
        <f>PROPER(TRIM(SUBSTITUTE([1]RawShipmentData!F379,"  "," ")))</f>
        <v>Automotive Parts</v>
      </c>
      <c r="H378" s="2" t="str">
        <f>PROPER(TRIM([1]RawShipmentData!G379))</f>
        <v>South</v>
      </c>
      <c r="I378" s="2" t="str">
        <f t="shared" si="25"/>
        <v>Yes</v>
      </c>
      <c r="J378" s="2">
        <f>IFERROR(VALUE(TRIM(SUBSTITUTE(UPPER([1]RawShipmentData!I378),"KG",""))),"")</f>
        <v>29.9</v>
      </c>
      <c r="K378" s="2">
        <f>VALUE(SUBSTITUTE(SUBSTITUTE(SUBSTITUTE(TRIM([1]RawShipmentData!J379),"₹",""),"Rs",""),",",""))</f>
        <v>597</v>
      </c>
      <c r="L378" s="2">
        <f>[1]RawShipmentData!K379</f>
        <v>8</v>
      </c>
      <c r="M378" s="3">
        <f>IF(TRIM([1]RawShipmentData!L379)="","",IF(ISNUMBER(SEARCH("/",TRIM([1]RawShipmentData!L379))),DATE(VALUE(RIGHT(TRIM([1]RawShipmentData!L379),4)),VALUE(MID(TRIM([1]RawShipmentData!L379),FIND("/",TRIM([1]RawShipmentData!L379))+1,2)),VALUE(LEFT(TRIM([1]RawShipmentData!L379),FIND("/",TRIM([1]RawShipmentData!L379))-1))),DATEVALUE(TRIM([1]RawShipmentData!L379))))</f>
        <v>45319</v>
      </c>
      <c r="N378" s="2">
        <f t="shared" si="26"/>
        <v>8</v>
      </c>
      <c r="O378" s="2">
        <f t="shared" si="27"/>
        <v>0</v>
      </c>
      <c r="P378" s="2" t="str">
        <f t="shared" si="28"/>
        <v>On Time</v>
      </c>
      <c r="Q378" s="2" t="str">
        <f>PROPER(SUBSTITUTE(TRIM([1]RawShipmentData!M379)," ","-"))</f>
        <v>Delivered</v>
      </c>
      <c r="R378" s="4">
        <f t="shared" si="29"/>
        <v>19.96655518394649</v>
      </c>
      <c r="S378" s="2">
        <f>[1]RawShipmentData!N379</f>
        <v>3</v>
      </c>
      <c r="T378" s="2" t="str">
        <f>IF(OR(UPPER(TRIM([1]RawShipmentData!O379))="YES",UPPER(TRIM([1]RawShipmentData!O379))="Y"),"Yes","No")</f>
        <v>No</v>
      </c>
    </row>
    <row r="379" spans="1:20" x14ac:dyDescent="0.25">
      <c r="A379" s="2" t="str">
        <f>[1]RawShipmentData!A380</f>
        <v>SHP-100593</v>
      </c>
      <c r="B379" s="3">
        <f>IF(ISNUMBER(SEARCH("/",TRIM([1]RawShipmentData!B380))),DATE(VALUE(RIGHT(TRIM([1]RawShipmentData!B380),4)),VALUE(MID(TRIM([1]RawShipmentData!B380),FIND("/",TRIM([1]RawShipmentData!B380))+1,2)),VALUE(LEFT(TRIM([1]RawShipmentData!B380),FIND("/",TRIM([1]RawShipmentData!B380))-1))),DATEVALUE(TRIM([1]RawShipmentData!B380)))</f>
        <v>45415</v>
      </c>
      <c r="C379" s="2" t="str">
        <f>PROPER(TRIM([1]RawShipmentData!C380))</f>
        <v>Delhi</v>
      </c>
      <c r="D379" s="2" t="str">
        <f>IFERROR(INDEX([1]HubMaster!$B$2:$B$7,MATCH(C379,[1]HubMaster!$A$2:$A$7,0)),"Unknown")</f>
        <v>North</v>
      </c>
      <c r="E379" s="2" t="str">
        <f>PROPER(TRIM(SUBSTITUTE([1]RawShipmentData!D380,"  "," ")))</f>
        <v>Xpressbees</v>
      </c>
      <c r="F379" s="2" t="str">
        <f>PROPER(TRIM([1]RawShipmentData!E380))</f>
        <v>Air</v>
      </c>
      <c r="G379" s="2" t="str">
        <f>PROPER(TRIM(SUBSTITUTE([1]RawShipmentData!F380,"  "," ")))</f>
        <v>Grocery &amp; Fmcg</v>
      </c>
      <c r="H379" s="2" t="str">
        <f>PROPER(TRIM([1]RawShipmentData!G380))</f>
        <v>South</v>
      </c>
      <c r="I379" s="2" t="str">
        <f t="shared" si="25"/>
        <v>Yes</v>
      </c>
      <c r="J379" s="2">
        <f>IFERROR(VALUE(TRIM(SUBSTITUTE(UPPER([1]RawShipmentData!I379),"KG",""))),"")</f>
        <v>33.700000000000003</v>
      </c>
      <c r="K379" s="2">
        <f>VALUE(SUBSTITUTE(SUBSTITUTE(SUBSTITUTE(TRIM([1]RawShipmentData!J380),"₹",""),"Rs",""),",",""))</f>
        <v>822</v>
      </c>
      <c r="L379" s="2">
        <f>[1]RawShipmentData!K380</f>
        <v>4</v>
      </c>
      <c r="M379" s="3">
        <f>IF(TRIM([1]RawShipmentData!L380)="","",IF(ISNUMBER(SEARCH("/",TRIM([1]RawShipmentData!L380))),DATE(VALUE(RIGHT(TRIM([1]RawShipmentData!L380),4)),VALUE(MID(TRIM([1]RawShipmentData!L380),FIND("/",TRIM([1]RawShipmentData!L380))+1,2)),VALUE(LEFT(TRIM([1]RawShipmentData!L380),FIND("/",TRIM([1]RawShipmentData!L380))-1))),DATEVALUE(TRIM([1]RawShipmentData!L380))))</f>
        <v>45422</v>
      </c>
      <c r="N379" s="2">
        <f t="shared" si="26"/>
        <v>7</v>
      </c>
      <c r="O379" s="2">
        <f t="shared" si="27"/>
        <v>3</v>
      </c>
      <c r="P379" s="2" t="str">
        <f t="shared" si="28"/>
        <v>Late</v>
      </c>
      <c r="Q379" s="2" t="str">
        <f>PROPER(SUBSTITUTE(TRIM([1]RawShipmentData!M380)," ","-"))</f>
        <v>Delayed</v>
      </c>
      <c r="R379" s="4">
        <f t="shared" si="29"/>
        <v>24.39169139465875</v>
      </c>
      <c r="S379" s="2">
        <f>[1]RawShipmentData!N380</f>
        <v>2</v>
      </c>
      <c r="T379" s="2" t="str">
        <f>IF(OR(UPPER(TRIM([1]RawShipmentData!O380))="YES",UPPER(TRIM([1]RawShipmentData!O380))="Y"),"Yes","No")</f>
        <v>No</v>
      </c>
    </row>
    <row r="380" spans="1:20" x14ac:dyDescent="0.25">
      <c r="A380" s="2" t="str">
        <f>[1]RawShipmentData!A381</f>
        <v>SHP-100021</v>
      </c>
      <c r="B380" s="3">
        <f>IF(ISNUMBER(SEARCH("/",TRIM([1]RawShipmentData!B381))),DATE(VALUE(RIGHT(TRIM([1]RawShipmentData!B381),4)),VALUE(MID(TRIM([1]RawShipmentData!B381),FIND("/",TRIM([1]RawShipmentData!B381))+1,2)),VALUE(LEFT(TRIM([1]RawShipmentData!B381),FIND("/",TRIM([1]RawShipmentData!B381))-1))),DATEVALUE(TRIM([1]RawShipmentData!B381)))</f>
        <v>45375</v>
      </c>
      <c r="C380" s="2" t="str">
        <f>PROPER(TRIM([1]RawShipmentData!C381))</f>
        <v>Kolkata</v>
      </c>
      <c r="D380" s="2" t="str">
        <f>IFERROR(INDEX([1]HubMaster!$B$2:$B$7,MATCH(C380,[1]HubMaster!$A$2:$A$7,0)),"Unknown")</f>
        <v>East</v>
      </c>
      <c r="E380" s="2" t="str">
        <f>PROPER(TRIM(SUBSTITUTE([1]RawShipmentData!D381,"  "," ")))</f>
        <v>Bluedart</v>
      </c>
      <c r="F380" s="2" t="str">
        <f>PROPER(TRIM([1]RawShipmentData!E381))</f>
        <v>Road</v>
      </c>
      <c r="G380" s="2" t="str">
        <f>PROPER(TRIM(SUBSTITUTE([1]RawShipmentData!F381,"  "," ")))</f>
        <v>Automotive Parts</v>
      </c>
      <c r="H380" s="2" t="str">
        <f>PROPER(TRIM([1]RawShipmentData!G381))</f>
        <v>South</v>
      </c>
      <c r="I380" s="2" t="str">
        <f t="shared" si="25"/>
        <v>Yes</v>
      </c>
      <c r="J380" s="2">
        <f>IFERROR(VALUE(TRIM(SUBSTITUTE(UPPER([1]RawShipmentData!I380),"KG",""))),"")</f>
        <v>14.5</v>
      </c>
      <c r="K380" s="2">
        <f>VALUE(SUBSTITUTE(SUBSTITUTE(SUBSTITUTE(TRIM([1]RawShipmentData!J381),"₹",""),"Rs",""),",",""))</f>
        <v>477</v>
      </c>
      <c r="L380" s="2">
        <f>[1]RawShipmentData!K381</f>
        <v>8</v>
      </c>
      <c r="M380" s="3">
        <f>IF(TRIM([1]RawShipmentData!L381)="","",IF(ISNUMBER(SEARCH("/",TRIM([1]RawShipmentData!L381))),DATE(VALUE(RIGHT(TRIM([1]RawShipmentData!L381),4)),VALUE(MID(TRIM([1]RawShipmentData!L381),FIND("/",TRIM([1]RawShipmentData!L381))+1,2)),VALUE(LEFT(TRIM([1]RawShipmentData!L381),FIND("/",TRIM([1]RawShipmentData!L381))-1))),DATEVALUE(TRIM([1]RawShipmentData!L381))))</f>
        <v>45387</v>
      </c>
      <c r="N380" s="2">
        <f t="shared" si="26"/>
        <v>12</v>
      </c>
      <c r="O380" s="2">
        <f t="shared" si="27"/>
        <v>4</v>
      </c>
      <c r="P380" s="2" t="str">
        <f t="shared" si="28"/>
        <v>Late</v>
      </c>
      <c r="Q380" s="2" t="str">
        <f>PROPER(SUBSTITUTE(TRIM([1]RawShipmentData!M381)," ","-"))</f>
        <v>Delayed</v>
      </c>
      <c r="R380" s="4">
        <f t="shared" si="29"/>
        <v>32.896551724137929</v>
      </c>
      <c r="S380" s="2">
        <f>[1]RawShipmentData!N381</f>
        <v>3</v>
      </c>
      <c r="T380" s="2" t="str">
        <f>IF(OR(UPPER(TRIM([1]RawShipmentData!O381))="YES",UPPER(TRIM([1]RawShipmentData!O381))="Y"),"Yes","No")</f>
        <v>No</v>
      </c>
    </row>
    <row r="381" spans="1:20" x14ac:dyDescent="0.25">
      <c r="A381" s="2" t="str">
        <f>[1]RawShipmentData!A382</f>
        <v>SHP-100486</v>
      </c>
      <c r="B381" s="3">
        <f>IF(ISNUMBER(SEARCH("/",TRIM([1]RawShipmentData!B382))),DATE(VALUE(RIGHT(TRIM([1]RawShipmentData!B382),4)),VALUE(MID(TRIM([1]RawShipmentData!B382),FIND("/",TRIM([1]RawShipmentData!B382))+1,2)),VALUE(LEFT(TRIM([1]RawShipmentData!B382),FIND("/",TRIM([1]RawShipmentData!B382))-1))),DATEVALUE(TRIM([1]RawShipmentData!B382)))</f>
        <v>45417</v>
      </c>
      <c r="C381" s="2" t="str">
        <f>PROPER(TRIM([1]RawShipmentData!C382))</f>
        <v>Mumbai</v>
      </c>
      <c r="D381" s="2" t="str">
        <f>IFERROR(INDEX([1]HubMaster!$B$2:$B$7,MATCH(C381,[1]HubMaster!$A$2:$A$7,0)),"Unknown")</f>
        <v>West</v>
      </c>
      <c r="E381" s="2" t="str">
        <f>PROPER(TRIM(SUBSTITUTE([1]RawShipmentData!D382,"  "," ")))</f>
        <v>Bluedart</v>
      </c>
      <c r="F381" s="2" t="str">
        <f>PROPER(TRIM([1]RawShipmentData!E382))</f>
        <v>Surface</v>
      </c>
      <c r="G381" s="2" t="str">
        <f>PROPER(TRIM(SUBSTITUTE([1]RawShipmentData!F382,"  "," ")))</f>
        <v>Furniture</v>
      </c>
      <c r="H381" s="2" t="str">
        <f>PROPER(TRIM([1]RawShipmentData!G382))</f>
        <v>South</v>
      </c>
      <c r="I381" s="2" t="str">
        <f t="shared" si="25"/>
        <v>Yes</v>
      </c>
      <c r="J381" s="2">
        <f>IFERROR(VALUE(TRIM(SUBSTITUTE(UPPER([1]RawShipmentData!I381),"KG",""))),"")</f>
        <v>21.5</v>
      </c>
      <c r="K381" s="2">
        <f>VALUE(SUBSTITUTE(SUBSTITUTE(SUBSTITUTE(TRIM([1]RawShipmentData!J382),"₹",""),"Rs",""),",",""))</f>
        <v>1341</v>
      </c>
      <c r="L381" s="2">
        <f>[1]RawShipmentData!K382</f>
        <v>6</v>
      </c>
      <c r="M381" s="3">
        <f>IF(TRIM([1]RawShipmentData!L382)="","",IF(ISNUMBER(SEARCH("/",TRIM([1]RawShipmentData!L382))),DATE(VALUE(RIGHT(TRIM([1]RawShipmentData!L382),4)),VALUE(MID(TRIM([1]RawShipmentData!L382),FIND("/",TRIM([1]RawShipmentData!L382))+1,2)),VALUE(LEFT(TRIM([1]RawShipmentData!L382),FIND("/",TRIM([1]RawShipmentData!L382))-1))),DATEVALUE(TRIM([1]RawShipmentData!L382))))</f>
        <v>45422</v>
      </c>
      <c r="N381" s="2">
        <f t="shared" si="26"/>
        <v>5</v>
      </c>
      <c r="O381" s="2">
        <f t="shared" si="27"/>
        <v>-1</v>
      </c>
      <c r="P381" s="2" t="str">
        <f t="shared" si="28"/>
        <v>On Time</v>
      </c>
      <c r="Q381" s="2" t="str">
        <f>PROPER(SUBSTITUTE(TRIM([1]RawShipmentData!M382)," ","-"))</f>
        <v>Delivered</v>
      </c>
      <c r="R381" s="4">
        <f t="shared" si="29"/>
        <v>62.372093023255815</v>
      </c>
      <c r="S381" s="2">
        <f>[1]RawShipmentData!N382</f>
        <v>5</v>
      </c>
      <c r="T381" s="2" t="str">
        <f>IF(OR(UPPER(TRIM([1]RawShipmentData!O382))="YES",UPPER(TRIM([1]RawShipmentData!O382))="Y"),"Yes","No")</f>
        <v>No</v>
      </c>
    </row>
    <row r="382" spans="1:20" x14ac:dyDescent="0.25">
      <c r="A382" s="2" t="str">
        <f>[1]RawShipmentData!A383</f>
        <v>SHP-100323</v>
      </c>
      <c r="B382" s="3">
        <f>IF(ISNUMBER(SEARCH("/",TRIM([1]RawShipmentData!B383))),DATE(VALUE(RIGHT(TRIM([1]RawShipmentData!B383),4)),VALUE(MID(TRIM([1]RawShipmentData!B383),FIND("/",TRIM([1]RawShipmentData!B383))+1,2)),VALUE(LEFT(TRIM([1]RawShipmentData!B383),FIND("/",TRIM([1]RawShipmentData!B383))-1))),DATEVALUE(TRIM([1]RawShipmentData!B383)))</f>
        <v>45301</v>
      </c>
      <c r="C382" s="2" t="str">
        <f>PROPER(TRIM([1]RawShipmentData!C383))</f>
        <v>Bengaluru</v>
      </c>
      <c r="D382" s="2" t="str">
        <f>IFERROR(INDEX([1]HubMaster!$B$2:$B$7,MATCH(C382,[1]HubMaster!$A$2:$A$7,0)),"Unknown")</f>
        <v>South</v>
      </c>
      <c r="E382" s="2" t="str">
        <f>PROPER(TRIM(SUBSTITUTE([1]RawShipmentData!D383,"  "," ")))</f>
        <v>Bluedart</v>
      </c>
      <c r="F382" s="2" t="str">
        <f>PROPER(TRIM([1]RawShipmentData!E383))</f>
        <v>Road</v>
      </c>
      <c r="G382" s="2" t="str">
        <f>PROPER(TRIM(SUBSTITUTE([1]RawShipmentData!F383,"  "," ")))</f>
        <v>Grocery &amp; Fmcg</v>
      </c>
      <c r="H382" s="2" t="str">
        <f>PROPER(TRIM([1]RawShipmentData!G383))</f>
        <v>South</v>
      </c>
      <c r="I382" s="2" t="str">
        <f t="shared" si="25"/>
        <v>No</v>
      </c>
      <c r="J382" s="2">
        <f>IFERROR(VALUE(TRIM(SUBSTITUTE(UPPER([1]RawShipmentData!I382),"KG",""))),"")</f>
        <v>53.1</v>
      </c>
      <c r="K382" s="2">
        <f>VALUE(SUBSTITUTE(SUBSTITUTE(SUBSTITUTE(TRIM([1]RawShipmentData!J383),"₹",""),"Rs",""),",",""))</f>
        <v>80</v>
      </c>
      <c r="L382" s="2">
        <f>[1]RawShipmentData!K383</f>
        <v>6</v>
      </c>
      <c r="M382" s="3">
        <f>IF(TRIM([1]RawShipmentData!L383)="","",IF(ISNUMBER(SEARCH("/",TRIM([1]RawShipmentData!L383))),DATE(VALUE(RIGHT(TRIM([1]RawShipmentData!L383),4)),VALUE(MID(TRIM([1]RawShipmentData!L383),FIND("/",TRIM([1]RawShipmentData!L383))+1,2)),VALUE(LEFT(TRIM([1]RawShipmentData!L383),FIND("/",TRIM([1]RawShipmentData!L383))-1))),DATEVALUE(TRIM([1]RawShipmentData!L383))))</f>
        <v>45307</v>
      </c>
      <c r="N382" s="2">
        <f t="shared" si="26"/>
        <v>6</v>
      </c>
      <c r="O382" s="2">
        <f t="shared" si="27"/>
        <v>0</v>
      </c>
      <c r="P382" s="2" t="str">
        <f t="shared" si="28"/>
        <v>On Time</v>
      </c>
      <c r="Q382" s="2" t="str">
        <f>PROPER(SUBSTITUTE(TRIM([1]RawShipmentData!M383)," ","-"))</f>
        <v>Delivered</v>
      </c>
      <c r="R382" s="4">
        <f t="shared" si="29"/>
        <v>1.5065913370998116</v>
      </c>
      <c r="S382" s="2">
        <f>[1]RawShipmentData!N383</f>
        <v>4</v>
      </c>
      <c r="T382" s="2" t="str">
        <f>IF(OR(UPPER(TRIM([1]RawShipmentData!O383))="YES",UPPER(TRIM([1]RawShipmentData!O383))="Y"),"Yes","No")</f>
        <v>No</v>
      </c>
    </row>
    <row r="383" spans="1:20" x14ac:dyDescent="0.25">
      <c r="A383" s="2" t="str">
        <f>[1]RawShipmentData!A384</f>
        <v>SHP-101216</v>
      </c>
      <c r="B383" s="3">
        <f>IF(ISNUMBER(SEARCH("/",TRIM([1]RawShipmentData!B384))),DATE(VALUE(RIGHT(TRIM([1]RawShipmentData!B384),4)),VALUE(MID(TRIM([1]RawShipmentData!B384),FIND("/",TRIM([1]RawShipmentData!B384))+1,2)),VALUE(LEFT(TRIM([1]RawShipmentData!B384),FIND("/",TRIM([1]RawShipmentData!B384))-1))),DATEVALUE(TRIM([1]RawShipmentData!B384)))</f>
        <v>45384</v>
      </c>
      <c r="C383" s="2" t="str">
        <f>PROPER(TRIM([1]RawShipmentData!C384))</f>
        <v>Bengaluru</v>
      </c>
      <c r="D383" s="2" t="str">
        <f>IFERROR(INDEX([1]HubMaster!$B$2:$B$7,MATCH(C383,[1]HubMaster!$A$2:$A$7,0)),"Unknown")</f>
        <v>South</v>
      </c>
      <c r="E383" s="2" t="str">
        <f>PROPER(TRIM(SUBSTITUTE([1]RawShipmentData!D384,"  "," ")))</f>
        <v>Delhivery</v>
      </c>
      <c r="F383" s="2" t="str">
        <f>PROPER(TRIM([1]RawShipmentData!E384))</f>
        <v>Air</v>
      </c>
      <c r="G383" s="2" t="str">
        <f>PROPER(TRIM(SUBSTITUTE([1]RawShipmentData!F384,"  "," ")))</f>
        <v>Grocery &amp; Fmcg</v>
      </c>
      <c r="H383" s="2" t="str">
        <f>PROPER(TRIM([1]RawShipmentData!G384))</f>
        <v>South</v>
      </c>
      <c r="I383" s="2" t="str">
        <f t="shared" si="25"/>
        <v>No</v>
      </c>
      <c r="J383" s="2">
        <f>IFERROR(VALUE(TRIM(SUBSTITUTE(UPPER([1]RawShipmentData!I383),"KG",""))),"")</f>
        <v>4.2</v>
      </c>
      <c r="K383" s="2">
        <f>VALUE(SUBSTITUTE(SUBSTITUTE(SUBSTITUTE(TRIM([1]RawShipmentData!J384),"₹",""),"Rs",""),",",""))</f>
        <v>815</v>
      </c>
      <c r="L383" s="2">
        <f>[1]RawShipmentData!K384</f>
        <v>2</v>
      </c>
      <c r="M383" s="3">
        <f>IF(TRIM([1]RawShipmentData!L384)="","",IF(ISNUMBER(SEARCH("/",TRIM([1]RawShipmentData!L384))),DATE(VALUE(RIGHT(TRIM([1]RawShipmentData!L384),4)),VALUE(MID(TRIM([1]RawShipmentData!L384),FIND("/",TRIM([1]RawShipmentData!L384))+1,2)),VALUE(LEFT(TRIM([1]RawShipmentData!L384),FIND("/",TRIM([1]RawShipmentData!L384))-1))),DATEVALUE(TRIM([1]RawShipmentData!L384))))</f>
        <v>45386</v>
      </c>
      <c r="N383" s="2">
        <f t="shared" si="26"/>
        <v>2</v>
      </c>
      <c r="O383" s="2">
        <f t="shared" si="27"/>
        <v>0</v>
      </c>
      <c r="P383" s="2" t="str">
        <f t="shared" si="28"/>
        <v>On Time</v>
      </c>
      <c r="Q383" s="2" t="str">
        <f>PROPER(SUBSTITUTE(TRIM([1]RawShipmentData!M384)," ","-"))</f>
        <v>Delivered</v>
      </c>
      <c r="R383" s="4">
        <f t="shared" si="29"/>
        <v>194.04761904761904</v>
      </c>
      <c r="S383" s="2">
        <f>[1]RawShipmentData!N384</f>
        <v>5</v>
      </c>
      <c r="T383" s="2" t="str">
        <f>IF(OR(UPPER(TRIM([1]RawShipmentData!O384))="YES",UPPER(TRIM([1]RawShipmentData!O384))="Y"),"Yes","No")</f>
        <v>No</v>
      </c>
    </row>
    <row r="384" spans="1:20" x14ac:dyDescent="0.25">
      <c r="A384" s="2" t="str">
        <f>[1]RawShipmentData!A385</f>
        <v>SHP-101405</v>
      </c>
      <c r="B384" s="3">
        <f>IF(ISNUMBER(SEARCH("/",TRIM([1]RawShipmentData!B385))),DATE(VALUE(RIGHT(TRIM([1]RawShipmentData!B385),4)),VALUE(MID(TRIM([1]RawShipmentData!B385),FIND("/",TRIM([1]RawShipmentData!B385))+1,2)),VALUE(LEFT(TRIM([1]RawShipmentData!B385),FIND("/",TRIM([1]RawShipmentData!B385))-1))),DATEVALUE(TRIM([1]RawShipmentData!B385)))</f>
        <v>45448</v>
      </c>
      <c r="C384" s="2" t="str">
        <f>PROPER(TRIM([1]RawShipmentData!C385))</f>
        <v>Chennai</v>
      </c>
      <c r="D384" s="2" t="str">
        <f>IFERROR(INDEX([1]HubMaster!$B$2:$B$7,MATCH(C384,[1]HubMaster!$A$2:$A$7,0)),"Unknown")</f>
        <v>South</v>
      </c>
      <c r="E384" s="2" t="str">
        <f>PROPER(TRIM(SUBSTITUTE([1]RawShipmentData!D385,"  "," ")))</f>
        <v>Xpressbees</v>
      </c>
      <c r="F384" s="2" t="str">
        <f>PROPER(TRIM([1]RawShipmentData!E385))</f>
        <v>Air</v>
      </c>
      <c r="G384" s="2" t="str">
        <f>PROPER(TRIM(SUBSTITUTE([1]RawShipmentData!F385,"  "," ")))</f>
        <v>Grocery &amp; Fmcg</v>
      </c>
      <c r="H384" s="2" t="str">
        <f>PROPER(TRIM([1]RawShipmentData!G385))</f>
        <v>North</v>
      </c>
      <c r="I384" s="2" t="str">
        <f t="shared" si="25"/>
        <v>Yes</v>
      </c>
      <c r="J384" s="2">
        <f>IFERROR(VALUE(TRIM(SUBSTITUTE(UPPER([1]RawShipmentData!I384),"KG",""))),"")</f>
        <v>18.3</v>
      </c>
      <c r="K384" s="2">
        <f>VALUE(SUBSTITUTE(SUBSTITUTE(SUBSTITUTE(TRIM([1]RawShipmentData!J385),"₹",""),"Rs",""),",",""))</f>
        <v>916</v>
      </c>
      <c r="L384" s="2">
        <f>[1]RawShipmentData!K385</f>
        <v>4</v>
      </c>
      <c r="M384" s="3">
        <f>IF(TRIM([1]RawShipmentData!L385)="","",IF(ISNUMBER(SEARCH("/",TRIM([1]RawShipmentData!L385))),DATE(VALUE(RIGHT(TRIM([1]RawShipmentData!L385),4)),VALUE(MID(TRIM([1]RawShipmentData!L385),FIND("/",TRIM([1]RawShipmentData!L385))+1,2)),VALUE(LEFT(TRIM([1]RawShipmentData!L385),FIND("/",TRIM([1]RawShipmentData!L385))-1))),DATEVALUE(TRIM([1]RawShipmentData!L385))))</f>
        <v>45454</v>
      </c>
      <c r="N384" s="2">
        <f t="shared" si="26"/>
        <v>6</v>
      </c>
      <c r="O384" s="2">
        <f t="shared" si="27"/>
        <v>2</v>
      </c>
      <c r="P384" s="2" t="str">
        <f t="shared" si="28"/>
        <v>Late</v>
      </c>
      <c r="Q384" s="2" t="str">
        <f>PROPER(SUBSTITUTE(TRIM([1]RawShipmentData!M385)," ","-"))</f>
        <v>Delayed</v>
      </c>
      <c r="R384" s="4">
        <f t="shared" si="29"/>
        <v>50.05464480874317</v>
      </c>
      <c r="S384" s="2">
        <f>[1]RawShipmentData!N385</f>
        <v>3</v>
      </c>
      <c r="T384" s="2" t="str">
        <f>IF(OR(UPPER(TRIM([1]RawShipmentData!O385))="YES",UPPER(TRIM([1]RawShipmentData!O385))="Y"),"Yes","No")</f>
        <v>Yes</v>
      </c>
    </row>
    <row r="385" spans="1:20" x14ac:dyDescent="0.25">
      <c r="A385" s="2" t="str">
        <f>[1]RawShipmentData!A386</f>
        <v>SHP-100326</v>
      </c>
      <c r="B385" s="3">
        <f>IF(ISNUMBER(SEARCH("/",TRIM([1]RawShipmentData!B386))),DATE(VALUE(RIGHT(TRIM([1]RawShipmentData!B386),4)),VALUE(MID(TRIM([1]RawShipmentData!B386),FIND("/",TRIM([1]RawShipmentData!B386))+1,2)),VALUE(LEFT(TRIM([1]RawShipmentData!B386),FIND("/",TRIM([1]RawShipmentData!B386))-1))),DATEVALUE(TRIM([1]RawShipmentData!B386)))</f>
        <v>45438</v>
      </c>
      <c r="C385" s="2" t="str">
        <f>PROPER(TRIM([1]RawShipmentData!C386))</f>
        <v>Kolkata</v>
      </c>
      <c r="D385" s="2" t="str">
        <f>IFERROR(INDEX([1]HubMaster!$B$2:$B$7,MATCH(C385,[1]HubMaster!$A$2:$A$7,0)),"Unknown")</f>
        <v>East</v>
      </c>
      <c r="E385" s="2" t="str">
        <f>PROPER(TRIM(SUBSTITUTE([1]RawShipmentData!D386,"  "," ")))</f>
        <v>Dtdc</v>
      </c>
      <c r="F385" s="2" t="str">
        <f>PROPER(TRIM([1]RawShipmentData!E386))</f>
        <v>Air</v>
      </c>
      <c r="G385" s="2" t="str">
        <f>PROPER(TRIM(SUBSTITUTE([1]RawShipmentData!F386,"  "," ")))</f>
        <v>Furniture</v>
      </c>
      <c r="H385" s="2" t="str">
        <f>PROPER(TRIM([1]RawShipmentData!G386))</f>
        <v>West</v>
      </c>
      <c r="I385" s="2" t="str">
        <f t="shared" si="25"/>
        <v>Yes</v>
      </c>
      <c r="J385" s="2">
        <f>IFERROR(VALUE(TRIM(SUBSTITUTE(UPPER([1]RawShipmentData!I385),"KG",""))),"")</f>
        <v>16.899999999999999</v>
      </c>
      <c r="K385" s="2">
        <f>VALUE(SUBSTITUTE(SUBSTITUTE(SUBSTITUTE(TRIM([1]RawShipmentData!J386),"₹",""),"Rs",""),",",""))</f>
        <v>1945</v>
      </c>
      <c r="L385" s="2">
        <f>[1]RawShipmentData!K386</f>
        <v>4</v>
      </c>
      <c r="M385" s="3">
        <f>IF(TRIM([1]RawShipmentData!L386)="","",IF(ISNUMBER(SEARCH("/",TRIM([1]RawShipmentData!L386))),DATE(VALUE(RIGHT(TRIM([1]RawShipmentData!L386),4)),VALUE(MID(TRIM([1]RawShipmentData!L386),FIND("/",TRIM([1]RawShipmentData!L386))+1,2)),VALUE(LEFT(TRIM([1]RawShipmentData!L386),FIND("/",TRIM([1]RawShipmentData!L386))-1))),DATEVALUE(TRIM([1]RawShipmentData!L386))))</f>
        <v>45443</v>
      </c>
      <c r="N385" s="2">
        <f t="shared" si="26"/>
        <v>5</v>
      </c>
      <c r="O385" s="2">
        <f t="shared" si="27"/>
        <v>1</v>
      </c>
      <c r="P385" s="2" t="str">
        <f t="shared" si="28"/>
        <v>Late</v>
      </c>
      <c r="Q385" s="2" t="str">
        <f>PROPER(SUBSTITUTE(TRIM([1]RawShipmentData!M386)," ","-"))</f>
        <v>Delayed</v>
      </c>
      <c r="R385" s="4">
        <f t="shared" si="29"/>
        <v>115.08875739644971</v>
      </c>
      <c r="S385" s="2">
        <f>[1]RawShipmentData!N386</f>
        <v>5</v>
      </c>
      <c r="T385" s="2" t="str">
        <f>IF(OR(UPPER(TRIM([1]RawShipmentData!O386))="YES",UPPER(TRIM([1]RawShipmentData!O386))="Y"),"Yes","No")</f>
        <v>No</v>
      </c>
    </row>
    <row r="386" spans="1:20" x14ac:dyDescent="0.25">
      <c r="A386" s="2" t="str">
        <f>[1]RawShipmentData!A387</f>
        <v>SHP-101020</v>
      </c>
      <c r="B386" s="3">
        <f>IF(ISNUMBER(SEARCH("/",TRIM([1]RawShipmentData!B387))),DATE(VALUE(RIGHT(TRIM([1]RawShipmentData!B387),4)),VALUE(MID(TRIM([1]RawShipmentData!B387),FIND("/",TRIM([1]RawShipmentData!B387))+1,2)),VALUE(LEFT(TRIM([1]RawShipmentData!B387),FIND("/",TRIM([1]RawShipmentData!B387))-1))),DATEVALUE(TRIM([1]RawShipmentData!B387)))</f>
        <v>45398</v>
      </c>
      <c r="C386" s="2" t="str">
        <f>PROPER(TRIM([1]RawShipmentData!C387))</f>
        <v>Delhi</v>
      </c>
      <c r="D386" s="2" t="str">
        <f>IFERROR(INDEX([1]HubMaster!$B$2:$B$7,MATCH(C386,[1]HubMaster!$A$2:$A$7,0)),"Unknown")</f>
        <v>North</v>
      </c>
      <c r="E386" s="2" t="str">
        <f>PROPER(TRIM(SUBSTITUTE([1]RawShipmentData!D387,"  "," ")))</f>
        <v>Xpressbees</v>
      </c>
      <c r="F386" s="2" t="str">
        <f>PROPER(TRIM([1]RawShipmentData!E387))</f>
        <v>Air</v>
      </c>
      <c r="G386" s="2" t="str">
        <f>PROPER(TRIM(SUBSTITUTE([1]RawShipmentData!F387,"  "," ")))</f>
        <v>Electronics</v>
      </c>
      <c r="H386" s="2" t="str">
        <f>PROPER(TRIM([1]RawShipmentData!G387))</f>
        <v>North</v>
      </c>
      <c r="I386" s="2" t="str">
        <f t="shared" ref="I386:I449" si="30">IF(D386=H386,"No","Yes")</f>
        <v>No</v>
      </c>
      <c r="J386" s="2">
        <f>IFERROR(VALUE(TRIM(SUBSTITUTE(UPPER([1]RawShipmentData!I386),"KG",""))),"")</f>
        <v>39.299999999999997</v>
      </c>
      <c r="K386" s="2">
        <f>VALUE(SUBSTITUTE(SUBSTITUTE(SUBSTITUTE(TRIM([1]RawShipmentData!J387),"₹",""),"Rs",""),",",""))</f>
        <v>390</v>
      </c>
      <c r="L386" s="2">
        <f>[1]RawShipmentData!K387</f>
        <v>2</v>
      </c>
      <c r="M386" s="3">
        <f>IF(TRIM([1]RawShipmentData!L387)="","",IF(ISNUMBER(SEARCH("/",TRIM([1]RawShipmentData!L387))),DATE(VALUE(RIGHT(TRIM([1]RawShipmentData!L387),4)),VALUE(MID(TRIM([1]RawShipmentData!L387),FIND("/",TRIM([1]RawShipmentData!L387))+1,2)),VALUE(LEFT(TRIM([1]RawShipmentData!L387),FIND("/",TRIM([1]RawShipmentData!L387))-1))),DATEVALUE(TRIM([1]RawShipmentData!L387))))</f>
        <v>45402</v>
      </c>
      <c r="N386" s="2">
        <f t="shared" ref="N386:N449" si="31">IF(M386="","",M386-B386)</f>
        <v>4</v>
      </c>
      <c r="O386" s="2">
        <f t="shared" ref="O386:O449" si="32">IF(N386="","",N386-L386)</f>
        <v>2</v>
      </c>
      <c r="P386" s="2" t="str">
        <f t="shared" ref="P386:P449" si="33">IF(N386="","N/A",IF(N386&lt;=L386,"On Time","Late"))</f>
        <v>Late</v>
      </c>
      <c r="Q386" s="2" t="str">
        <f>PROPER(SUBSTITUTE(TRIM([1]RawShipmentData!M387)," ","-"))</f>
        <v>Delayed</v>
      </c>
      <c r="R386" s="4">
        <f t="shared" si="29"/>
        <v>9.9236641221374047</v>
      </c>
      <c r="S386" s="2">
        <f>[1]RawShipmentData!N387</f>
        <v>3</v>
      </c>
      <c r="T386" s="2" t="str">
        <f>IF(OR(UPPER(TRIM([1]RawShipmentData!O387))="YES",UPPER(TRIM([1]RawShipmentData!O387))="Y"),"Yes","No")</f>
        <v>No</v>
      </c>
    </row>
    <row r="387" spans="1:20" x14ac:dyDescent="0.25">
      <c r="A387" s="2" t="str">
        <f>[1]RawShipmentData!A388</f>
        <v>SHP-101175</v>
      </c>
      <c r="B387" s="3">
        <f>IF(ISNUMBER(SEARCH("/",TRIM([1]RawShipmentData!B388))),DATE(VALUE(RIGHT(TRIM([1]RawShipmentData!B388),4)),VALUE(MID(TRIM([1]RawShipmentData!B388),FIND("/",TRIM([1]RawShipmentData!B388))+1,2)),VALUE(LEFT(TRIM([1]RawShipmentData!B388),FIND("/",TRIM([1]RawShipmentData!B388))-1))),DATEVALUE(TRIM([1]RawShipmentData!B388)))</f>
        <v>45400</v>
      </c>
      <c r="C387" s="2" t="str">
        <f>PROPER(TRIM([1]RawShipmentData!C388))</f>
        <v>Mumbai</v>
      </c>
      <c r="D387" s="2" t="str">
        <f>IFERROR(INDEX([1]HubMaster!$B$2:$B$7,MATCH(C387,[1]HubMaster!$A$2:$A$7,0)),"Unknown")</f>
        <v>West</v>
      </c>
      <c r="E387" s="2" t="str">
        <f>PROPER(TRIM(SUBSTITUTE([1]RawShipmentData!D388,"  "," ")))</f>
        <v>Delhivery</v>
      </c>
      <c r="F387" s="2" t="str">
        <f>PROPER(TRIM([1]RawShipmentData!E388))</f>
        <v>Surface</v>
      </c>
      <c r="G387" s="2" t="str">
        <f>PROPER(TRIM(SUBSTITUTE([1]RawShipmentData!F388,"  "," ")))</f>
        <v>Apparel</v>
      </c>
      <c r="H387" s="2" t="str">
        <f>PROPER(TRIM([1]RawShipmentData!G388))</f>
        <v>South</v>
      </c>
      <c r="I387" s="2" t="str">
        <f t="shared" si="30"/>
        <v>Yes</v>
      </c>
      <c r="J387" s="2">
        <f>IFERROR(VALUE(TRIM(SUBSTITUTE(UPPER([1]RawShipmentData!I387),"KG",""))),"")</f>
        <v>8.6999999999999993</v>
      </c>
      <c r="K387" s="2">
        <f>VALUE(SUBSTITUTE(SUBSTITUTE(SUBSTITUTE(TRIM([1]RawShipmentData!J388),"₹",""),"Rs",""),",",""))</f>
        <v>147</v>
      </c>
      <c r="L387" s="2">
        <f>[1]RawShipmentData!K388</f>
        <v>6</v>
      </c>
      <c r="M387" s="3">
        <f>IF(TRIM([1]RawShipmentData!L388)="","",IF(ISNUMBER(SEARCH("/",TRIM([1]RawShipmentData!L388))),DATE(VALUE(RIGHT(TRIM([1]RawShipmentData!L388),4)),VALUE(MID(TRIM([1]RawShipmentData!L388),FIND("/",TRIM([1]RawShipmentData!L388))+1,2)),VALUE(LEFT(TRIM([1]RawShipmentData!L388),FIND("/",TRIM([1]RawShipmentData!L388))-1))),DATEVALUE(TRIM([1]RawShipmentData!L388))))</f>
        <v>45406</v>
      </c>
      <c r="N387" s="2">
        <f t="shared" si="31"/>
        <v>6</v>
      </c>
      <c r="O387" s="2">
        <f t="shared" si="32"/>
        <v>0</v>
      </c>
      <c r="P387" s="2" t="str">
        <f t="shared" si="33"/>
        <v>On Time</v>
      </c>
      <c r="Q387" s="2" t="str">
        <f>PROPER(SUBSTITUTE(TRIM([1]RawShipmentData!M388)," ","-"))</f>
        <v>Delivered</v>
      </c>
      <c r="R387" s="4">
        <f t="shared" ref="R387:R450" si="34">IFERROR(K387/J387,"")</f>
        <v>16.896551724137932</v>
      </c>
      <c r="S387" s="2">
        <f>[1]RawShipmentData!N388</f>
        <v>2</v>
      </c>
      <c r="T387" s="2" t="str">
        <f>IF(OR(UPPER(TRIM([1]RawShipmentData!O388))="YES",UPPER(TRIM([1]RawShipmentData!O388))="Y"),"Yes","No")</f>
        <v>Yes</v>
      </c>
    </row>
    <row r="388" spans="1:20" x14ac:dyDescent="0.25">
      <c r="A388" s="2" t="str">
        <f>[1]RawShipmentData!A389</f>
        <v>SHP-100560</v>
      </c>
      <c r="B388" s="3">
        <f>IF(ISNUMBER(SEARCH("/",TRIM([1]RawShipmentData!B389))),DATE(VALUE(RIGHT(TRIM([1]RawShipmentData!B389),4)),VALUE(MID(TRIM([1]RawShipmentData!B389),FIND("/",TRIM([1]RawShipmentData!B389))+1,2)),VALUE(LEFT(TRIM([1]RawShipmentData!B389),FIND("/",TRIM([1]RawShipmentData!B389))-1))),DATEVALUE(TRIM([1]RawShipmentData!B389)))</f>
        <v>45306</v>
      </c>
      <c r="C388" s="2" t="str">
        <f>PROPER(TRIM([1]RawShipmentData!C389))</f>
        <v>Delhi</v>
      </c>
      <c r="D388" s="2" t="str">
        <f>IFERROR(INDEX([1]HubMaster!$B$2:$B$7,MATCH(C388,[1]HubMaster!$A$2:$A$7,0)),"Unknown")</f>
        <v>North</v>
      </c>
      <c r="E388" s="2" t="str">
        <f>PROPER(TRIM(SUBSTITUTE([1]RawShipmentData!D389,"  "," ")))</f>
        <v>Xpressbees</v>
      </c>
      <c r="F388" s="2" t="str">
        <f>PROPER(TRIM([1]RawShipmentData!E389))</f>
        <v>Air</v>
      </c>
      <c r="G388" s="2" t="str">
        <f>PROPER(TRIM(SUBSTITUTE([1]RawShipmentData!F389,"  "," ")))</f>
        <v>Grocery &amp; Fmcg</v>
      </c>
      <c r="H388" s="2" t="str">
        <f>PROPER(TRIM([1]RawShipmentData!G389))</f>
        <v>West</v>
      </c>
      <c r="I388" s="2" t="str">
        <f t="shared" si="30"/>
        <v>Yes</v>
      </c>
      <c r="J388" s="2">
        <f>IFERROR(VALUE(TRIM(SUBSTITUTE(UPPER([1]RawShipmentData!I388),"KG",""))),"")</f>
        <v>0.9</v>
      </c>
      <c r="K388" s="2">
        <f>VALUE(SUBSTITUTE(SUBSTITUTE(SUBSTITUTE(TRIM([1]RawShipmentData!J389),"₹",""),"Rs",""),",",""))</f>
        <v>325</v>
      </c>
      <c r="L388" s="2">
        <f>[1]RawShipmentData!K389</f>
        <v>4</v>
      </c>
      <c r="M388" s="3">
        <f>IF(TRIM([1]RawShipmentData!L389)="","",IF(ISNUMBER(SEARCH("/",TRIM([1]RawShipmentData!L389))),DATE(VALUE(RIGHT(TRIM([1]RawShipmentData!L389),4)),VALUE(MID(TRIM([1]RawShipmentData!L389),FIND("/",TRIM([1]RawShipmentData!L389))+1,2)),VALUE(LEFT(TRIM([1]RawShipmentData!L389),FIND("/",TRIM([1]RawShipmentData!L389))-1))),DATEVALUE(TRIM([1]RawShipmentData!L389))))</f>
        <v>45310</v>
      </c>
      <c r="N388" s="2">
        <f t="shared" si="31"/>
        <v>4</v>
      </c>
      <c r="O388" s="2">
        <f t="shared" si="32"/>
        <v>0</v>
      </c>
      <c r="P388" s="2" t="str">
        <f t="shared" si="33"/>
        <v>On Time</v>
      </c>
      <c r="Q388" s="2" t="str">
        <f>PROPER(SUBSTITUTE(TRIM([1]RawShipmentData!M389)," ","-"))</f>
        <v>Delivered</v>
      </c>
      <c r="R388" s="4">
        <f t="shared" si="34"/>
        <v>361.11111111111109</v>
      </c>
      <c r="S388" s="2">
        <f>[1]RawShipmentData!N389</f>
        <v>4</v>
      </c>
      <c r="T388" s="2" t="str">
        <f>IF(OR(UPPER(TRIM([1]RawShipmentData!O389))="YES",UPPER(TRIM([1]RawShipmentData!O389))="Y"),"Yes","No")</f>
        <v>Yes</v>
      </c>
    </row>
    <row r="389" spans="1:20" x14ac:dyDescent="0.25">
      <c r="A389" s="2" t="str">
        <f>[1]RawShipmentData!A390</f>
        <v>SHP-100707</v>
      </c>
      <c r="B389" s="3">
        <f>IF(ISNUMBER(SEARCH("/",TRIM([1]RawShipmentData!B390))),DATE(VALUE(RIGHT(TRIM([1]RawShipmentData!B390),4)),VALUE(MID(TRIM([1]RawShipmentData!B390),FIND("/",TRIM([1]RawShipmentData!B390))+1,2)),VALUE(LEFT(TRIM([1]RawShipmentData!B390),FIND("/",TRIM([1]RawShipmentData!B390))-1))),DATEVALUE(TRIM([1]RawShipmentData!B390)))</f>
        <v>45374</v>
      </c>
      <c r="C389" s="2" t="str">
        <f>PROPER(TRIM([1]RawShipmentData!C390))</f>
        <v>Chennai</v>
      </c>
      <c r="D389" s="2" t="str">
        <f>IFERROR(INDEX([1]HubMaster!$B$2:$B$7,MATCH(C389,[1]HubMaster!$A$2:$A$7,0)),"Unknown")</f>
        <v>South</v>
      </c>
      <c r="E389" s="2" t="str">
        <f>PROPER(TRIM(SUBSTITUTE([1]RawShipmentData!D390,"  "," ")))</f>
        <v>Delhivery</v>
      </c>
      <c r="F389" s="2" t="str">
        <f>PROPER(TRIM([1]RawShipmentData!E390))</f>
        <v>Road</v>
      </c>
      <c r="G389" s="2" t="str">
        <f>PROPER(TRIM(SUBSTITUTE([1]RawShipmentData!F390,"  "," ")))</f>
        <v>Automotive Parts</v>
      </c>
      <c r="H389" s="2" t="str">
        <f>PROPER(TRIM([1]RawShipmentData!G390))</f>
        <v>South</v>
      </c>
      <c r="I389" s="2" t="str">
        <f t="shared" si="30"/>
        <v>No</v>
      </c>
      <c r="J389" s="2">
        <f>IFERROR(VALUE(TRIM(SUBSTITUTE(UPPER([1]RawShipmentData!I389),"KG",""))),"")</f>
        <v>3.1</v>
      </c>
      <c r="K389" s="2">
        <f>VALUE(SUBSTITUTE(SUBSTITUTE(SUBSTITUTE(TRIM([1]RawShipmentData!J390),"₹",""),"Rs",""),",",""))</f>
        <v>301</v>
      </c>
      <c r="L389" s="2">
        <f>[1]RawShipmentData!K390</f>
        <v>6</v>
      </c>
      <c r="M389" s="3">
        <f>IF(TRIM([1]RawShipmentData!L390)="","",IF(ISNUMBER(SEARCH("/",TRIM([1]RawShipmentData!L390))),DATE(VALUE(RIGHT(TRIM([1]RawShipmentData!L390),4)),VALUE(MID(TRIM([1]RawShipmentData!L390),FIND("/",TRIM([1]RawShipmentData!L390))+1,2)),VALUE(LEFT(TRIM([1]RawShipmentData!L390),FIND("/",TRIM([1]RawShipmentData!L390))-1))),DATEVALUE(TRIM([1]RawShipmentData!L390))))</f>
        <v>45389</v>
      </c>
      <c r="N389" s="2">
        <f t="shared" si="31"/>
        <v>15</v>
      </c>
      <c r="O389" s="2">
        <f t="shared" si="32"/>
        <v>9</v>
      </c>
      <c r="P389" s="2" t="str">
        <f t="shared" si="33"/>
        <v>Late</v>
      </c>
      <c r="Q389" s="2" t="str">
        <f>PROPER(SUBSTITUTE(TRIM([1]RawShipmentData!M390)," ","-"))</f>
        <v>Delayed</v>
      </c>
      <c r="R389" s="4">
        <f t="shared" si="34"/>
        <v>97.096774193548384</v>
      </c>
      <c r="S389" s="2">
        <f>[1]RawShipmentData!N390</f>
        <v>2</v>
      </c>
      <c r="T389" s="2" t="str">
        <f>IF(OR(UPPER(TRIM([1]RawShipmentData!O390))="YES",UPPER(TRIM([1]RawShipmentData!O390))="Y"),"Yes","No")</f>
        <v>No</v>
      </c>
    </row>
    <row r="390" spans="1:20" x14ac:dyDescent="0.25">
      <c r="A390" s="2" t="str">
        <f>[1]RawShipmentData!A391</f>
        <v>SHP-100359</v>
      </c>
      <c r="B390" s="3">
        <f>IF(ISNUMBER(SEARCH("/",TRIM([1]RawShipmentData!B391))),DATE(VALUE(RIGHT(TRIM([1]RawShipmentData!B391),4)),VALUE(MID(TRIM([1]RawShipmentData!B391),FIND("/",TRIM([1]RawShipmentData!B391))+1,2)),VALUE(LEFT(TRIM([1]RawShipmentData!B391),FIND("/",TRIM([1]RawShipmentData!B391))-1))),DATEVALUE(TRIM([1]RawShipmentData!B391)))</f>
        <v>45462</v>
      </c>
      <c r="C390" s="2" t="str">
        <f>PROPER(TRIM([1]RawShipmentData!C391))</f>
        <v>Mumbai</v>
      </c>
      <c r="D390" s="2" t="str">
        <f>IFERROR(INDEX([1]HubMaster!$B$2:$B$7,MATCH(C390,[1]HubMaster!$A$2:$A$7,0)),"Unknown")</f>
        <v>West</v>
      </c>
      <c r="E390" s="2" t="str">
        <f>PROPER(TRIM(SUBSTITUTE([1]RawShipmentData!D391,"  "," ")))</f>
        <v>Delhivery</v>
      </c>
      <c r="F390" s="2" t="str">
        <f>PROPER(TRIM([1]RawShipmentData!E391))</f>
        <v>Road</v>
      </c>
      <c r="G390" s="2" t="str">
        <f>PROPER(TRIM(SUBSTITUTE([1]RawShipmentData!F391,"  "," ")))</f>
        <v>Apparel</v>
      </c>
      <c r="H390" s="2" t="str">
        <f>PROPER(TRIM([1]RawShipmentData!G391))</f>
        <v>North</v>
      </c>
      <c r="I390" s="2" t="str">
        <f t="shared" si="30"/>
        <v>Yes</v>
      </c>
      <c r="J390" s="2">
        <f>IFERROR(VALUE(TRIM(SUBSTITUTE(UPPER([1]RawShipmentData!I390),"KG",""))),"")</f>
        <v>19.5</v>
      </c>
      <c r="K390" s="2">
        <f>VALUE(SUBSTITUTE(SUBSTITUTE(SUBSTITUTE(TRIM([1]RawShipmentData!J391),"₹",""),"Rs",""),",",""))</f>
        <v>221</v>
      </c>
      <c r="L390" s="2">
        <f>[1]RawShipmentData!K391</f>
        <v>8</v>
      </c>
      <c r="M390" s="3">
        <f>IF(TRIM([1]RawShipmentData!L391)="","",IF(ISNUMBER(SEARCH("/",TRIM([1]RawShipmentData!L391))),DATE(VALUE(RIGHT(TRIM([1]RawShipmentData!L391),4)),VALUE(MID(TRIM([1]RawShipmentData!L391),FIND("/",TRIM([1]RawShipmentData!L391))+1,2)),VALUE(LEFT(TRIM([1]RawShipmentData!L391),FIND("/",TRIM([1]RawShipmentData!L391))-1))),DATEVALUE(TRIM([1]RawShipmentData!L391))))</f>
        <v>45469</v>
      </c>
      <c r="N390" s="2">
        <f t="shared" si="31"/>
        <v>7</v>
      </c>
      <c r="O390" s="2">
        <f t="shared" si="32"/>
        <v>-1</v>
      </c>
      <c r="P390" s="2" t="str">
        <f t="shared" si="33"/>
        <v>On Time</v>
      </c>
      <c r="Q390" s="2" t="str">
        <f>PROPER(SUBSTITUTE(TRIM([1]RawShipmentData!M391)," ","-"))</f>
        <v>Delivered</v>
      </c>
      <c r="R390" s="4">
        <f t="shared" si="34"/>
        <v>11.333333333333334</v>
      </c>
      <c r="S390" s="2">
        <f>[1]RawShipmentData!N391</f>
        <v>5</v>
      </c>
      <c r="T390" s="2" t="str">
        <f>IF(OR(UPPER(TRIM([1]RawShipmentData!O391))="YES",UPPER(TRIM([1]RawShipmentData!O391))="Y"),"Yes","No")</f>
        <v>No</v>
      </c>
    </row>
    <row r="391" spans="1:20" x14ac:dyDescent="0.25">
      <c r="A391" s="2" t="str">
        <f>[1]RawShipmentData!A392</f>
        <v>SHP-100234</v>
      </c>
      <c r="B391" s="3">
        <f>IF(ISNUMBER(SEARCH("/",TRIM([1]RawShipmentData!B392))),DATE(VALUE(RIGHT(TRIM([1]RawShipmentData!B392),4)),VALUE(MID(TRIM([1]RawShipmentData!B392),FIND("/",TRIM([1]RawShipmentData!B392))+1,2)),VALUE(LEFT(TRIM([1]RawShipmentData!B392),FIND("/",TRIM([1]RawShipmentData!B392))-1))),DATEVALUE(TRIM([1]RawShipmentData!B392)))</f>
        <v>45391</v>
      </c>
      <c r="C391" s="2" t="str">
        <f>PROPER(TRIM([1]RawShipmentData!C392))</f>
        <v>Kolkata</v>
      </c>
      <c r="D391" s="2" t="str">
        <f>IFERROR(INDEX([1]HubMaster!$B$2:$B$7,MATCH(C391,[1]HubMaster!$A$2:$A$7,0)),"Unknown")</f>
        <v>East</v>
      </c>
      <c r="E391" s="2" t="str">
        <f>PROPER(TRIM(SUBSTITUTE([1]RawShipmentData!D392,"  "," ")))</f>
        <v>Xpressbees</v>
      </c>
      <c r="F391" s="2" t="str">
        <f>PROPER(TRIM([1]RawShipmentData!E392))</f>
        <v>Air</v>
      </c>
      <c r="G391" s="2" t="str">
        <f>PROPER(TRIM(SUBSTITUTE([1]RawShipmentData!F392,"  "," ")))</f>
        <v>Pharma</v>
      </c>
      <c r="H391" s="2" t="str">
        <f>PROPER(TRIM([1]RawShipmentData!G392))</f>
        <v>South</v>
      </c>
      <c r="I391" s="2" t="str">
        <f t="shared" si="30"/>
        <v>Yes</v>
      </c>
      <c r="J391" s="2">
        <f>IFERROR(VALUE(TRIM(SUBSTITUTE(UPPER([1]RawShipmentData!I391),"KG",""))),"")</f>
        <v>1.6</v>
      </c>
      <c r="K391" s="2">
        <f>VALUE(SUBSTITUTE(SUBSTITUTE(SUBSTITUTE(TRIM([1]RawShipmentData!J392),"₹",""),"Rs",""),",",""))</f>
        <v>179</v>
      </c>
      <c r="L391" s="2">
        <f>[1]RawShipmentData!K392</f>
        <v>4</v>
      </c>
      <c r="M391" s="3">
        <f>IF(TRIM([1]RawShipmentData!L392)="","",IF(ISNUMBER(SEARCH("/",TRIM([1]RawShipmentData!L392))),DATE(VALUE(RIGHT(TRIM([1]RawShipmentData!L392),4)),VALUE(MID(TRIM([1]RawShipmentData!L392),FIND("/",TRIM([1]RawShipmentData!L392))+1,2)),VALUE(LEFT(TRIM([1]RawShipmentData!L392),FIND("/",TRIM([1]RawShipmentData!L392))-1))),DATEVALUE(TRIM([1]RawShipmentData!L392))))</f>
        <v>45402</v>
      </c>
      <c r="N391" s="2">
        <f t="shared" si="31"/>
        <v>11</v>
      </c>
      <c r="O391" s="2">
        <f t="shared" si="32"/>
        <v>7</v>
      </c>
      <c r="P391" s="2" t="str">
        <f t="shared" si="33"/>
        <v>Late</v>
      </c>
      <c r="Q391" s="2" t="str">
        <f>PROPER(SUBSTITUTE(TRIM([1]RawShipmentData!M392)," ","-"))</f>
        <v>Delayed</v>
      </c>
      <c r="R391" s="4">
        <f t="shared" si="34"/>
        <v>111.875</v>
      </c>
      <c r="S391" s="2">
        <f>[1]RawShipmentData!N392</f>
        <v>1</v>
      </c>
      <c r="T391" s="2" t="str">
        <f>IF(OR(UPPER(TRIM([1]RawShipmentData!O392))="YES",UPPER(TRIM([1]RawShipmentData!O392))="Y"),"Yes","No")</f>
        <v>Yes</v>
      </c>
    </row>
    <row r="392" spans="1:20" x14ac:dyDescent="0.25">
      <c r="A392" s="2" t="str">
        <f>[1]RawShipmentData!A393</f>
        <v>SHP-100470</v>
      </c>
      <c r="B392" s="3">
        <f>IF(ISNUMBER(SEARCH("/",TRIM([1]RawShipmentData!B393))),DATE(VALUE(RIGHT(TRIM([1]RawShipmentData!B393),4)),VALUE(MID(TRIM([1]RawShipmentData!B393),FIND("/",TRIM([1]RawShipmentData!B393))+1,2)),VALUE(LEFT(TRIM([1]RawShipmentData!B393),FIND("/",TRIM([1]RawShipmentData!B393))-1))),DATEVALUE(TRIM([1]RawShipmentData!B393)))</f>
        <v>45316</v>
      </c>
      <c r="C392" s="2" t="str">
        <f>PROPER(TRIM([1]RawShipmentData!C393))</f>
        <v>Kolkata</v>
      </c>
      <c r="D392" s="2" t="str">
        <f>IFERROR(INDEX([1]HubMaster!$B$2:$B$7,MATCH(C392,[1]HubMaster!$A$2:$A$7,0)),"Unknown")</f>
        <v>East</v>
      </c>
      <c r="E392" s="2" t="str">
        <f>PROPER(TRIM(SUBSTITUTE([1]RawShipmentData!D393,"  "," ")))</f>
        <v>Delhivery</v>
      </c>
      <c r="F392" s="2" t="str">
        <f>PROPER(TRIM([1]RawShipmentData!E393))</f>
        <v>Road</v>
      </c>
      <c r="G392" s="2" t="str">
        <f>PROPER(TRIM(SUBSTITUTE([1]RawShipmentData!F393,"  "," ")))</f>
        <v>Grocery &amp; Fmcg</v>
      </c>
      <c r="H392" s="2" t="str">
        <f>PROPER(TRIM([1]RawShipmentData!G393))</f>
        <v>North</v>
      </c>
      <c r="I392" s="2" t="str">
        <f t="shared" si="30"/>
        <v>Yes</v>
      </c>
      <c r="J392" s="2">
        <f>IFERROR(VALUE(TRIM(SUBSTITUTE(UPPER([1]RawShipmentData!I392),"KG",""))),"")</f>
        <v>0.7</v>
      </c>
      <c r="K392" s="2">
        <f>VALUE(SUBSTITUTE(SUBSTITUTE(SUBSTITUTE(TRIM([1]RawShipmentData!J393),"₹",""),"Rs",""),",",""))</f>
        <v>448</v>
      </c>
      <c r="L392" s="2">
        <f>[1]RawShipmentData!K393</f>
        <v>8</v>
      </c>
      <c r="M392" s="3">
        <f>IF(TRIM([1]RawShipmentData!L393)="","",IF(ISNUMBER(SEARCH("/",TRIM([1]RawShipmentData!L393))),DATE(VALUE(RIGHT(TRIM([1]RawShipmentData!L393),4)),VALUE(MID(TRIM([1]RawShipmentData!L393),FIND("/",TRIM([1]RawShipmentData!L393))+1,2)),VALUE(LEFT(TRIM([1]RawShipmentData!L393),FIND("/",TRIM([1]RawShipmentData!L393))-1))),DATEVALUE(TRIM([1]RawShipmentData!L393))))</f>
        <v>45325</v>
      </c>
      <c r="N392" s="2">
        <f t="shared" si="31"/>
        <v>9</v>
      </c>
      <c r="O392" s="2">
        <f t="shared" si="32"/>
        <v>1</v>
      </c>
      <c r="P392" s="2" t="str">
        <f t="shared" si="33"/>
        <v>Late</v>
      </c>
      <c r="Q392" s="2" t="str">
        <f>PROPER(SUBSTITUTE(TRIM([1]RawShipmentData!M393)," ","-"))</f>
        <v>Delayed</v>
      </c>
      <c r="R392" s="4">
        <f t="shared" si="34"/>
        <v>640</v>
      </c>
      <c r="S392" s="2">
        <f>[1]RawShipmentData!N393</f>
        <v>1</v>
      </c>
      <c r="T392" s="2" t="str">
        <f>IF(OR(UPPER(TRIM([1]RawShipmentData!O393))="YES",UPPER(TRIM([1]RawShipmentData!O393))="Y"),"Yes","No")</f>
        <v>Yes</v>
      </c>
    </row>
    <row r="393" spans="1:20" x14ac:dyDescent="0.25">
      <c r="A393" s="2" t="str">
        <f>[1]RawShipmentData!A394</f>
        <v>SHP-100717</v>
      </c>
      <c r="B393" s="3">
        <f>IF(ISNUMBER(SEARCH("/",TRIM([1]RawShipmentData!B394))),DATE(VALUE(RIGHT(TRIM([1]RawShipmentData!B394),4)),VALUE(MID(TRIM([1]RawShipmentData!B394),FIND("/",TRIM([1]RawShipmentData!B394))+1,2)),VALUE(LEFT(TRIM([1]RawShipmentData!B394),FIND("/",TRIM([1]RawShipmentData!B394))-1))),DATEVALUE(TRIM([1]RawShipmentData!B394)))</f>
        <v>45429</v>
      </c>
      <c r="C393" s="2" t="str">
        <f>PROPER(TRIM([1]RawShipmentData!C394))</f>
        <v>Delhi</v>
      </c>
      <c r="D393" s="2" t="str">
        <f>IFERROR(INDEX([1]HubMaster!$B$2:$B$7,MATCH(C393,[1]HubMaster!$A$2:$A$7,0)),"Unknown")</f>
        <v>North</v>
      </c>
      <c r="E393" s="2" t="str">
        <f>PROPER(TRIM(SUBSTITUTE([1]RawShipmentData!D394,"  "," ")))</f>
        <v>Delhivery</v>
      </c>
      <c r="F393" s="2" t="str">
        <f>PROPER(TRIM([1]RawShipmentData!E394))</f>
        <v>Road</v>
      </c>
      <c r="G393" s="2" t="str">
        <f>PROPER(TRIM(SUBSTITUTE([1]RawShipmentData!F394,"  "," ")))</f>
        <v>Grocery &amp; Fmcg</v>
      </c>
      <c r="H393" s="2" t="str">
        <f>PROPER(TRIM([1]RawShipmentData!G394))</f>
        <v>West</v>
      </c>
      <c r="I393" s="2" t="str">
        <f t="shared" si="30"/>
        <v>Yes</v>
      </c>
      <c r="J393" s="2">
        <f>IFERROR(VALUE(TRIM(SUBSTITUTE(UPPER([1]RawShipmentData!I393),"KG",""))),"")</f>
        <v>20</v>
      </c>
      <c r="K393" s="2">
        <f>VALUE(SUBSTITUTE(SUBSTITUTE(SUBSTITUTE(TRIM([1]RawShipmentData!J394),"₹",""),"Rs",""),",",""))</f>
        <v>248</v>
      </c>
      <c r="L393" s="2">
        <f>[1]RawShipmentData!K394</f>
        <v>8</v>
      </c>
      <c r="M393" s="3">
        <f>IF(TRIM([1]RawShipmentData!L394)="","",IF(ISNUMBER(SEARCH("/",TRIM([1]RawShipmentData!L394))),DATE(VALUE(RIGHT(TRIM([1]RawShipmentData!L394),4)),VALUE(MID(TRIM([1]RawShipmentData!L394),FIND("/",TRIM([1]RawShipmentData!L394))+1,2)),VALUE(LEFT(TRIM([1]RawShipmentData!L394),FIND("/",TRIM([1]RawShipmentData!L394))-1))),DATEVALUE(TRIM([1]RawShipmentData!L394))))</f>
        <v>45436</v>
      </c>
      <c r="N393" s="2">
        <f t="shared" si="31"/>
        <v>7</v>
      </c>
      <c r="O393" s="2">
        <f t="shared" si="32"/>
        <v>-1</v>
      </c>
      <c r="P393" s="2" t="str">
        <f t="shared" si="33"/>
        <v>On Time</v>
      </c>
      <c r="Q393" s="2" t="str">
        <f>PROPER(SUBSTITUTE(TRIM([1]RawShipmentData!M394)," ","-"))</f>
        <v>Delivered</v>
      </c>
      <c r="R393" s="4">
        <f t="shared" si="34"/>
        <v>12.4</v>
      </c>
      <c r="S393" s="2">
        <f>[1]RawShipmentData!N394</f>
        <v>4</v>
      </c>
      <c r="T393" s="2" t="str">
        <f>IF(OR(UPPER(TRIM([1]RawShipmentData!O394))="YES",UPPER(TRIM([1]RawShipmentData!O394))="Y"),"Yes","No")</f>
        <v>Yes</v>
      </c>
    </row>
    <row r="394" spans="1:20" x14ac:dyDescent="0.25">
      <c r="A394" s="2" t="str">
        <f>[1]RawShipmentData!A395</f>
        <v>SHP-101480</v>
      </c>
      <c r="B394" s="3">
        <f>IF(ISNUMBER(SEARCH("/",TRIM([1]RawShipmentData!B395))),DATE(VALUE(RIGHT(TRIM([1]RawShipmentData!B395),4)),VALUE(MID(TRIM([1]RawShipmentData!B395),FIND("/",TRIM([1]RawShipmentData!B395))+1,2)),VALUE(LEFT(TRIM([1]RawShipmentData!B395),FIND("/",TRIM([1]RawShipmentData!B395))-1))),DATEVALUE(TRIM([1]RawShipmentData!B395)))</f>
        <v>45354</v>
      </c>
      <c r="C394" s="2" t="str">
        <f>PROPER(TRIM([1]RawShipmentData!C395))</f>
        <v>Hyderabad</v>
      </c>
      <c r="D394" s="2" t="str">
        <f>IFERROR(INDEX([1]HubMaster!$B$2:$B$7,MATCH(C394,[1]HubMaster!$A$2:$A$7,0)),"Unknown")</f>
        <v>West</v>
      </c>
      <c r="E394" s="2" t="str">
        <f>PROPER(TRIM(SUBSTITUTE([1]RawShipmentData!D395,"  "," ")))</f>
        <v>Xpress Bees</v>
      </c>
      <c r="F394" s="2" t="str">
        <f>PROPER(TRIM([1]RawShipmentData!E395))</f>
        <v>Road</v>
      </c>
      <c r="G394" s="2" t="str">
        <f>PROPER(TRIM(SUBSTITUTE([1]RawShipmentData!F395,"  "," ")))</f>
        <v>Electronics</v>
      </c>
      <c r="H394" s="2" t="str">
        <f>PROPER(TRIM([1]RawShipmentData!G395))</f>
        <v>South</v>
      </c>
      <c r="I394" s="2" t="str">
        <f t="shared" si="30"/>
        <v>Yes</v>
      </c>
      <c r="J394" s="2">
        <f>IFERROR(VALUE(TRIM(SUBSTITUTE(UPPER([1]RawShipmentData!I394),"KG",""))),"")</f>
        <v>5.6</v>
      </c>
      <c r="K394" s="2">
        <f>VALUE(SUBSTITUTE(SUBSTITUTE(SUBSTITUTE(TRIM([1]RawShipmentData!J395),"₹",""),"Rs",""),",",""))</f>
        <v>326</v>
      </c>
      <c r="L394" s="2">
        <f>[1]RawShipmentData!K395</f>
        <v>8</v>
      </c>
      <c r="M394" s="3">
        <f>IF(TRIM([1]RawShipmentData!L395)="","",IF(ISNUMBER(SEARCH("/",TRIM([1]RawShipmentData!L395))),DATE(VALUE(RIGHT(TRIM([1]RawShipmentData!L395),4)),VALUE(MID(TRIM([1]RawShipmentData!L395),FIND("/",TRIM([1]RawShipmentData!L395))+1,2)),VALUE(LEFT(TRIM([1]RawShipmentData!L395),FIND("/",TRIM([1]RawShipmentData!L395))-1))),DATEVALUE(TRIM([1]RawShipmentData!L395))))</f>
        <v>45363</v>
      </c>
      <c r="N394" s="2">
        <f t="shared" si="31"/>
        <v>9</v>
      </c>
      <c r="O394" s="2">
        <f t="shared" si="32"/>
        <v>1</v>
      </c>
      <c r="P394" s="2" t="str">
        <f t="shared" si="33"/>
        <v>Late</v>
      </c>
      <c r="Q394" s="2" t="str">
        <f>PROPER(SUBSTITUTE(TRIM([1]RawShipmentData!M395)," ","-"))</f>
        <v>Delayed</v>
      </c>
      <c r="R394" s="4">
        <f t="shared" si="34"/>
        <v>58.214285714285715</v>
      </c>
      <c r="S394" s="2">
        <f>[1]RawShipmentData!N395</f>
        <v>2</v>
      </c>
      <c r="T394" s="2" t="str">
        <f>IF(OR(UPPER(TRIM([1]RawShipmentData!O395))="YES",UPPER(TRIM([1]RawShipmentData!O395))="Y"),"Yes","No")</f>
        <v>Yes</v>
      </c>
    </row>
    <row r="395" spans="1:20" x14ac:dyDescent="0.25">
      <c r="A395" s="2" t="str">
        <f>[1]RawShipmentData!A396</f>
        <v>SHP-100442</v>
      </c>
      <c r="B395" s="3">
        <f>IF(ISNUMBER(SEARCH("/",TRIM([1]RawShipmentData!B396))),DATE(VALUE(RIGHT(TRIM([1]RawShipmentData!B396),4)),VALUE(MID(TRIM([1]RawShipmentData!B396),FIND("/",TRIM([1]RawShipmentData!B396))+1,2)),VALUE(LEFT(TRIM([1]RawShipmentData!B396),FIND("/",TRIM([1]RawShipmentData!B396))-1))),DATEVALUE(TRIM([1]RawShipmentData!B396)))</f>
        <v>45418</v>
      </c>
      <c r="C395" s="2" t="str">
        <f>PROPER(TRIM([1]RawShipmentData!C396))</f>
        <v>Mumbai</v>
      </c>
      <c r="D395" s="2" t="str">
        <f>IFERROR(INDEX([1]HubMaster!$B$2:$B$7,MATCH(C395,[1]HubMaster!$A$2:$A$7,0)),"Unknown")</f>
        <v>West</v>
      </c>
      <c r="E395" s="2" t="str">
        <f>PROPER(TRIM(SUBSTITUTE([1]RawShipmentData!D396,"  "," ")))</f>
        <v>Ecom Express</v>
      </c>
      <c r="F395" s="2" t="str">
        <f>PROPER(TRIM([1]RawShipmentData!E396))</f>
        <v>Surface</v>
      </c>
      <c r="G395" s="2" t="str">
        <f>PROPER(TRIM(SUBSTITUTE([1]RawShipmentData!F396,"  "," ")))</f>
        <v>Electronics</v>
      </c>
      <c r="H395" s="2" t="str">
        <f>PROPER(TRIM([1]RawShipmentData!G396))</f>
        <v>North</v>
      </c>
      <c r="I395" s="2" t="str">
        <f t="shared" si="30"/>
        <v>Yes</v>
      </c>
      <c r="J395" s="2">
        <f>IFERROR(VALUE(TRIM(SUBSTITUTE(UPPER([1]RawShipmentData!I395),"KG",""))),"")</f>
        <v>14.5</v>
      </c>
      <c r="K395" s="2">
        <f>VALUE(SUBSTITUTE(SUBSTITUTE(SUBSTITUTE(TRIM([1]RawShipmentData!J396),"₹",""),"Rs",""),",",""))</f>
        <v>235</v>
      </c>
      <c r="L395" s="2">
        <f>[1]RawShipmentData!K396</f>
        <v>6</v>
      </c>
      <c r="M395" s="3">
        <f>IF(TRIM([1]RawShipmentData!L396)="","",IF(ISNUMBER(SEARCH("/",TRIM([1]RawShipmentData!L396))),DATE(VALUE(RIGHT(TRIM([1]RawShipmentData!L396),4)),VALUE(MID(TRIM([1]RawShipmentData!L396),FIND("/",TRIM([1]RawShipmentData!L396))+1,2)),VALUE(LEFT(TRIM([1]RawShipmentData!L396),FIND("/",TRIM([1]RawShipmentData!L396))-1))),DATEVALUE(TRIM([1]RawShipmentData!L396))))</f>
        <v>45425</v>
      </c>
      <c r="N395" s="2">
        <f t="shared" si="31"/>
        <v>7</v>
      </c>
      <c r="O395" s="2">
        <f t="shared" si="32"/>
        <v>1</v>
      </c>
      <c r="P395" s="2" t="str">
        <f t="shared" si="33"/>
        <v>Late</v>
      </c>
      <c r="Q395" s="2" t="str">
        <f>PROPER(SUBSTITUTE(TRIM([1]RawShipmentData!M396)," ","-"))</f>
        <v>Delayed</v>
      </c>
      <c r="R395" s="4">
        <f t="shared" si="34"/>
        <v>16.206896551724139</v>
      </c>
      <c r="S395" s="2">
        <f>[1]RawShipmentData!N396</f>
        <v>2</v>
      </c>
      <c r="T395" s="2" t="str">
        <f>IF(OR(UPPER(TRIM([1]RawShipmentData!O396))="YES",UPPER(TRIM([1]RawShipmentData!O396))="Y"),"Yes","No")</f>
        <v>Yes</v>
      </c>
    </row>
    <row r="396" spans="1:20" x14ac:dyDescent="0.25">
      <c r="A396" s="2" t="str">
        <f>[1]RawShipmentData!A397</f>
        <v>SHP-100664</v>
      </c>
      <c r="B396" s="3">
        <f>IF(ISNUMBER(SEARCH("/",TRIM([1]RawShipmentData!B397))),DATE(VALUE(RIGHT(TRIM([1]RawShipmentData!B397),4)),VALUE(MID(TRIM([1]RawShipmentData!B397),FIND("/",TRIM([1]RawShipmentData!B397))+1,2)),VALUE(LEFT(TRIM([1]RawShipmentData!B397),FIND("/",TRIM([1]RawShipmentData!B397))-1))),DATEVALUE(TRIM([1]RawShipmentData!B397)))</f>
        <v>45349</v>
      </c>
      <c r="C396" s="2" t="str">
        <f>PROPER(TRIM([1]RawShipmentData!C397))</f>
        <v>Mumbai</v>
      </c>
      <c r="D396" s="2" t="str">
        <f>IFERROR(INDEX([1]HubMaster!$B$2:$B$7,MATCH(C396,[1]HubMaster!$A$2:$A$7,0)),"Unknown")</f>
        <v>West</v>
      </c>
      <c r="E396" s="2" t="str">
        <f>PROPER(TRIM(SUBSTITUTE([1]RawShipmentData!D397,"  "," ")))</f>
        <v>Xpressbees</v>
      </c>
      <c r="F396" s="2" t="str">
        <f>PROPER(TRIM([1]RawShipmentData!E397))</f>
        <v>Surface</v>
      </c>
      <c r="G396" s="2" t="str">
        <f>PROPER(TRIM(SUBSTITUTE([1]RawShipmentData!F397,"  "," ")))</f>
        <v>Grocery &amp; Fmcg</v>
      </c>
      <c r="H396" s="2" t="str">
        <f>PROPER(TRIM([1]RawShipmentData!G397))</f>
        <v>North</v>
      </c>
      <c r="I396" s="2" t="str">
        <f t="shared" si="30"/>
        <v>Yes</v>
      </c>
      <c r="J396" s="2">
        <f>IFERROR(VALUE(TRIM(SUBSTITUTE(UPPER([1]RawShipmentData!I396),"KG",""))),"")</f>
        <v>3.2</v>
      </c>
      <c r="K396" s="2">
        <f>VALUE(SUBSTITUTE(SUBSTITUTE(SUBSTITUTE(TRIM([1]RawShipmentData!J397),"₹",""),"Rs",""),",",""))</f>
        <v>369</v>
      </c>
      <c r="L396" s="2">
        <f>[1]RawShipmentData!K397</f>
        <v>6</v>
      </c>
      <c r="M396" s="3">
        <f>IF(TRIM([1]RawShipmentData!L397)="","",IF(ISNUMBER(SEARCH("/",TRIM([1]RawShipmentData!L397))),DATE(VALUE(RIGHT(TRIM([1]RawShipmentData!L397),4)),VALUE(MID(TRIM([1]RawShipmentData!L397),FIND("/",TRIM([1]RawShipmentData!L397))+1,2)),VALUE(LEFT(TRIM([1]RawShipmentData!L397),FIND("/",TRIM([1]RawShipmentData!L397))-1))),DATEVALUE(TRIM([1]RawShipmentData!L397))))</f>
        <v>45356</v>
      </c>
      <c r="N396" s="2">
        <f t="shared" si="31"/>
        <v>7</v>
      </c>
      <c r="O396" s="2">
        <f t="shared" si="32"/>
        <v>1</v>
      </c>
      <c r="P396" s="2" t="str">
        <f t="shared" si="33"/>
        <v>Late</v>
      </c>
      <c r="Q396" s="2" t="str">
        <f>PROPER(SUBSTITUTE(TRIM([1]RawShipmentData!M397)," ","-"))</f>
        <v>Returned</v>
      </c>
      <c r="R396" s="4">
        <f t="shared" si="34"/>
        <v>115.3125</v>
      </c>
      <c r="S396" s="2">
        <f>[1]RawShipmentData!N397</f>
        <v>0</v>
      </c>
      <c r="T396" s="2" t="str">
        <f>IF(OR(UPPER(TRIM([1]RawShipmentData!O397))="YES",UPPER(TRIM([1]RawShipmentData!O397))="Y"),"Yes","No")</f>
        <v>No</v>
      </c>
    </row>
    <row r="397" spans="1:20" x14ac:dyDescent="0.25">
      <c r="A397" s="2" t="str">
        <f>[1]RawShipmentData!A398</f>
        <v>SHP-100408</v>
      </c>
      <c r="B397" s="3">
        <f>IF(ISNUMBER(SEARCH("/",TRIM([1]RawShipmentData!B398))),DATE(VALUE(RIGHT(TRIM([1]RawShipmentData!B398),4)),VALUE(MID(TRIM([1]RawShipmentData!B398),FIND("/",TRIM([1]RawShipmentData!B398))+1,2)),VALUE(LEFT(TRIM([1]RawShipmentData!B398),FIND("/",TRIM([1]RawShipmentData!B398))-1))),DATEVALUE(TRIM([1]RawShipmentData!B398)))</f>
        <v>45471</v>
      </c>
      <c r="C397" s="2" t="str">
        <f>PROPER(TRIM([1]RawShipmentData!C398))</f>
        <v>Bengaluru</v>
      </c>
      <c r="D397" s="2" t="str">
        <f>IFERROR(INDEX([1]HubMaster!$B$2:$B$7,MATCH(C397,[1]HubMaster!$A$2:$A$7,0)),"Unknown")</f>
        <v>South</v>
      </c>
      <c r="E397" s="2" t="str">
        <f>PROPER(TRIM(SUBSTITUTE([1]RawShipmentData!D398,"  "," ")))</f>
        <v>Xpressbees</v>
      </c>
      <c r="F397" s="2" t="str">
        <f>PROPER(TRIM([1]RawShipmentData!E398))</f>
        <v>Road</v>
      </c>
      <c r="G397" s="2" t="str">
        <f>PROPER(TRIM(SUBSTITUTE([1]RawShipmentData!F398,"  "," ")))</f>
        <v>Furniture</v>
      </c>
      <c r="H397" s="2" t="str">
        <f>PROPER(TRIM([1]RawShipmentData!G398))</f>
        <v>South</v>
      </c>
      <c r="I397" s="2" t="str">
        <f t="shared" si="30"/>
        <v>No</v>
      </c>
      <c r="J397" s="2">
        <f>IFERROR(VALUE(TRIM(SUBSTITUTE(UPPER([1]RawShipmentData!I397),"KG",""))),"")</f>
        <v>11.3</v>
      </c>
      <c r="K397" s="2">
        <f>VALUE(SUBSTITUTE(SUBSTITUTE(SUBSTITUTE(TRIM([1]RawShipmentData!J398),"₹",""),"Rs",""),",",""))</f>
        <v>271</v>
      </c>
      <c r="L397" s="2">
        <f>[1]RawShipmentData!K398</f>
        <v>6</v>
      </c>
      <c r="M397" s="3" t="str">
        <f>IF(TRIM([1]RawShipmentData!L398)="","",IF(ISNUMBER(SEARCH("/",TRIM([1]RawShipmentData!L398))),DATE(VALUE(RIGHT(TRIM([1]RawShipmentData!L398),4)),VALUE(MID(TRIM([1]RawShipmentData!L398),FIND("/",TRIM([1]RawShipmentData!L398))+1,2)),VALUE(LEFT(TRIM([1]RawShipmentData!L398),FIND("/",TRIM([1]RawShipmentData!L398))-1))),DATEVALUE(TRIM([1]RawShipmentData!L398))))</f>
        <v/>
      </c>
      <c r="N397" s="2" t="str">
        <f t="shared" si="31"/>
        <v/>
      </c>
      <c r="O397" s="2" t="str">
        <f t="shared" si="32"/>
        <v/>
      </c>
      <c r="P397" s="2" t="str">
        <f t="shared" si="33"/>
        <v>N/A</v>
      </c>
      <c r="Q397" s="2" t="str">
        <f>PROPER(SUBSTITUTE(TRIM([1]RawShipmentData!M398)," ","-"))</f>
        <v>In-Transit</v>
      </c>
      <c r="R397" s="4">
        <f t="shared" si="34"/>
        <v>23.982300884955752</v>
      </c>
      <c r="S397" s="2">
        <f>[1]RawShipmentData!N398</f>
        <v>0</v>
      </c>
      <c r="T397" s="2" t="str">
        <f>IF(OR(UPPER(TRIM([1]RawShipmentData!O398))="YES",UPPER(TRIM([1]RawShipmentData!O398))="Y"),"Yes","No")</f>
        <v>Yes</v>
      </c>
    </row>
    <row r="398" spans="1:20" x14ac:dyDescent="0.25">
      <c r="A398" s="2" t="str">
        <f>[1]RawShipmentData!A399</f>
        <v>SHP-101292</v>
      </c>
      <c r="B398" s="3">
        <f>IF(ISNUMBER(SEARCH("/",TRIM([1]RawShipmentData!B399))),DATE(VALUE(RIGHT(TRIM([1]RawShipmentData!B399),4)),VALUE(MID(TRIM([1]RawShipmentData!B399),FIND("/",TRIM([1]RawShipmentData!B399))+1,2)),VALUE(LEFT(TRIM([1]RawShipmentData!B399),FIND("/",TRIM([1]RawShipmentData!B399))-1))),DATEVALUE(TRIM([1]RawShipmentData!B399)))</f>
        <v>45452</v>
      </c>
      <c r="C398" s="2" t="str">
        <f>PROPER(TRIM([1]RawShipmentData!C399))</f>
        <v>Mumbai</v>
      </c>
      <c r="D398" s="2" t="str">
        <f>IFERROR(INDEX([1]HubMaster!$B$2:$B$7,MATCH(C398,[1]HubMaster!$A$2:$A$7,0)),"Unknown")</f>
        <v>West</v>
      </c>
      <c r="E398" s="2" t="str">
        <f>PROPER(TRIM(SUBSTITUTE([1]RawShipmentData!D399,"  "," ")))</f>
        <v>Bluedart</v>
      </c>
      <c r="F398" s="2" t="str">
        <f>PROPER(TRIM([1]RawShipmentData!E399))</f>
        <v>Surface</v>
      </c>
      <c r="G398" s="2" t="str">
        <f>PROPER(TRIM(SUBSTITUTE([1]RawShipmentData!F399,"  "," ")))</f>
        <v>Electronics</v>
      </c>
      <c r="H398" s="2" t="str">
        <f>PROPER(TRIM([1]RawShipmentData!G399))</f>
        <v>North</v>
      </c>
      <c r="I398" s="2" t="str">
        <f t="shared" si="30"/>
        <v>Yes</v>
      </c>
      <c r="J398" s="2">
        <f>IFERROR(VALUE(TRIM(SUBSTITUTE(UPPER([1]RawShipmentData!I398),"KG",""))),"")</f>
        <v>16.5</v>
      </c>
      <c r="K398" s="2">
        <f>VALUE(SUBSTITUTE(SUBSTITUTE(SUBSTITUTE(TRIM([1]RawShipmentData!J399),"₹",""),"Rs",""),",",""))</f>
        <v>454</v>
      </c>
      <c r="L398" s="2">
        <f>[1]RawShipmentData!K399</f>
        <v>6</v>
      </c>
      <c r="M398" s="3">
        <f>IF(TRIM([1]RawShipmentData!L399)="","",IF(ISNUMBER(SEARCH("/",TRIM([1]RawShipmentData!L399))),DATE(VALUE(RIGHT(TRIM([1]RawShipmentData!L399),4)),VALUE(MID(TRIM([1]RawShipmentData!L399),FIND("/",TRIM([1]RawShipmentData!L399))+1,2)),VALUE(LEFT(TRIM([1]RawShipmentData!L399),FIND("/",TRIM([1]RawShipmentData!L399))-1))),DATEVALUE(TRIM([1]RawShipmentData!L399))))</f>
        <v>45458</v>
      </c>
      <c r="N398" s="2">
        <f t="shared" si="31"/>
        <v>6</v>
      </c>
      <c r="O398" s="2">
        <f t="shared" si="32"/>
        <v>0</v>
      </c>
      <c r="P398" s="2" t="str">
        <f t="shared" si="33"/>
        <v>On Time</v>
      </c>
      <c r="Q398" s="2" t="str">
        <f>PROPER(SUBSTITUTE(TRIM([1]RawShipmentData!M399)," ","-"))</f>
        <v>Delivered</v>
      </c>
      <c r="R398" s="4">
        <f t="shared" si="34"/>
        <v>27.515151515151516</v>
      </c>
      <c r="S398" s="2">
        <f>[1]RawShipmentData!N399</f>
        <v>5</v>
      </c>
      <c r="T398" s="2" t="str">
        <f>IF(OR(UPPER(TRIM([1]RawShipmentData!O399))="YES",UPPER(TRIM([1]RawShipmentData!O399))="Y"),"Yes","No")</f>
        <v>Yes</v>
      </c>
    </row>
    <row r="399" spans="1:20" x14ac:dyDescent="0.25">
      <c r="A399" s="2" t="str">
        <f>[1]RawShipmentData!A400</f>
        <v>SHP-100050</v>
      </c>
      <c r="B399" s="3">
        <f>IF(ISNUMBER(SEARCH("/",TRIM([1]RawShipmentData!B400))),DATE(VALUE(RIGHT(TRIM([1]RawShipmentData!B400),4)),VALUE(MID(TRIM([1]RawShipmentData!B400),FIND("/",TRIM([1]RawShipmentData!B400))+1,2)),VALUE(LEFT(TRIM([1]RawShipmentData!B400),FIND("/",TRIM([1]RawShipmentData!B400))-1))),DATEVALUE(TRIM([1]RawShipmentData!B400)))</f>
        <v>45368</v>
      </c>
      <c r="C399" s="2" t="str">
        <f>PROPER(TRIM([1]RawShipmentData!C400))</f>
        <v>Mumbai</v>
      </c>
      <c r="D399" s="2" t="str">
        <f>IFERROR(INDEX([1]HubMaster!$B$2:$B$7,MATCH(C399,[1]HubMaster!$A$2:$A$7,0)),"Unknown")</f>
        <v>West</v>
      </c>
      <c r="E399" s="2" t="str">
        <f>PROPER(TRIM(SUBSTITUTE([1]RawShipmentData!D400,"  "," ")))</f>
        <v>Bluedart</v>
      </c>
      <c r="F399" s="2" t="str">
        <f>PROPER(TRIM([1]RawShipmentData!E400))</f>
        <v>Air</v>
      </c>
      <c r="G399" s="2" t="str">
        <f>PROPER(TRIM(SUBSTITUTE([1]RawShipmentData!F400,"  "," ")))</f>
        <v>Apparel</v>
      </c>
      <c r="H399" s="2" t="str">
        <f>PROPER(TRIM([1]RawShipmentData!G400))</f>
        <v>West</v>
      </c>
      <c r="I399" s="2" t="str">
        <f t="shared" si="30"/>
        <v>No</v>
      </c>
      <c r="J399" s="2">
        <f>IFERROR(VALUE(TRIM(SUBSTITUTE(UPPER([1]RawShipmentData!I399),"KG",""))),"")</f>
        <v>12</v>
      </c>
      <c r="K399" s="2">
        <f>VALUE(SUBSTITUTE(SUBSTITUTE(SUBSTITUTE(TRIM([1]RawShipmentData!J400),"₹",""),"Rs",""),",",""))</f>
        <v>169</v>
      </c>
      <c r="L399" s="2">
        <f>[1]RawShipmentData!K400</f>
        <v>2</v>
      </c>
      <c r="M399" s="3">
        <f>IF(TRIM([1]RawShipmentData!L400)="","",IF(ISNUMBER(SEARCH("/",TRIM([1]RawShipmentData!L400))),DATE(VALUE(RIGHT(TRIM([1]RawShipmentData!L400),4)),VALUE(MID(TRIM([1]RawShipmentData!L400),FIND("/",TRIM([1]RawShipmentData!L400))+1,2)),VALUE(LEFT(TRIM([1]RawShipmentData!L400),FIND("/",TRIM([1]RawShipmentData!L400))-1))),DATEVALUE(TRIM([1]RawShipmentData!L400))))</f>
        <v>45371</v>
      </c>
      <c r="N399" s="2">
        <f t="shared" si="31"/>
        <v>3</v>
      </c>
      <c r="O399" s="2">
        <f t="shared" si="32"/>
        <v>1</v>
      </c>
      <c r="P399" s="2" t="str">
        <f t="shared" si="33"/>
        <v>Late</v>
      </c>
      <c r="Q399" s="2" t="str">
        <f>PROPER(SUBSTITUTE(TRIM([1]RawShipmentData!M400)," ","-"))</f>
        <v>Delayed</v>
      </c>
      <c r="R399" s="4">
        <f t="shared" si="34"/>
        <v>14.083333333333334</v>
      </c>
      <c r="S399" s="2">
        <f>[1]RawShipmentData!N400</f>
        <v>3</v>
      </c>
      <c r="T399" s="2" t="str">
        <f>IF(OR(UPPER(TRIM([1]RawShipmentData!O400))="YES",UPPER(TRIM([1]RawShipmentData!O400))="Y"),"Yes","No")</f>
        <v>No</v>
      </c>
    </row>
    <row r="400" spans="1:20" x14ac:dyDescent="0.25">
      <c r="A400" s="2" t="str">
        <f>[1]RawShipmentData!A401</f>
        <v>SHP-100776</v>
      </c>
      <c r="B400" s="3">
        <f>IF(ISNUMBER(SEARCH("/",TRIM([1]RawShipmentData!B401))),DATE(VALUE(RIGHT(TRIM([1]RawShipmentData!B401),4)),VALUE(MID(TRIM([1]RawShipmentData!B401),FIND("/",TRIM([1]RawShipmentData!B401))+1,2)),VALUE(LEFT(TRIM([1]RawShipmentData!B401),FIND("/",TRIM([1]RawShipmentData!B401))-1))),DATEVALUE(TRIM([1]RawShipmentData!B401)))</f>
        <v>45340</v>
      </c>
      <c r="C400" s="2" t="str">
        <f>PROPER(TRIM([1]RawShipmentData!C401))</f>
        <v>Chennai</v>
      </c>
      <c r="D400" s="2" t="str">
        <f>IFERROR(INDEX([1]HubMaster!$B$2:$B$7,MATCH(C400,[1]HubMaster!$A$2:$A$7,0)),"Unknown")</f>
        <v>South</v>
      </c>
      <c r="E400" s="2" t="str">
        <f>PROPER(TRIM(SUBSTITUTE([1]RawShipmentData!D401,"  "," ")))</f>
        <v>Dtdc</v>
      </c>
      <c r="F400" s="2" t="str">
        <f>PROPER(TRIM([1]RawShipmentData!E401))</f>
        <v>Air</v>
      </c>
      <c r="G400" s="2" t="str">
        <f>PROPER(TRIM(SUBSTITUTE([1]RawShipmentData!F401,"  "," ")))</f>
        <v>Automotive Parts</v>
      </c>
      <c r="H400" s="2" t="str">
        <f>PROPER(TRIM([1]RawShipmentData!G401))</f>
        <v>South</v>
      </c>
      <c r="I400" s="2" t="str">
        <f t="shared" si="30"/>
        <v>No</v>
      </c>
      <c r="J400" s="2">
        <f>IFERROR(VALUE(TRIM(SUBSTITUTE(UPPER([1]RawShipmentData!I400),"KG",""))),"")</f>
        <v>4.4000000000000004</v>
      </c>
      <c r="K400" s="2">
        <f>VALUE(SUBSTITUTE(SUBSTITUTE(SUBSTITUTE(TRIM([1]RawShipmentData!J401),"₹",""),"Rs",""),",",""))</f>
        <v>1540</v>
      </c>
      <c r="L400" s="2">
        <f>[1]RawShipmentData!K401</f>
        <v>2</v>
      </c>
      <c r="M400" s="3">
        <f>IF(TRIM([1]RawShipmentData!L401)="","",IF(ISNUMBER(SEARCH("/",TRIM([1]RawShipmentData!L401))),DATE(VALUE(RIGHT(TRIM([1]RawShipmentData!L401),4)),VALUE(MID(TRIM([1]RawShipmentData!L401),FIND("/",TRIM([1]RawShipmentData!L401))+1,2)),VALUE(LEFT(TRIM([1]RawShipmentData!L401),FIND("/",TRIM([1]RawShipmentData!L401))-1))),DATEVALUE(TRIM([1]RawShipmentData!L401))))</f>
        <v>45342</v>
      </c>
      <c r="N400" s="2">
        <f t="shared" si="31"/>
        <v>2</v>
      </c>
      <c r="O400" s="2">
        <f t="shared" si="32"/>
        <v>0</v>
      </c>
      <c r="P400" s="2" t="str">
        <f t="shared" si="33"/>
        <v>On Time</v>
      </c>
      <c r="Q400" s="2" t="str">
        <f>PROPER(SUBSTITUTE(TRIM([1]RawShipmentData!M401)," ","-"))</f>
        <v>Delivered</v>
      </c>
      <c r="R400" s="4">
        <f t="shared" si="34"/>
        <v>350</v>
      </c>
      <c r="S400" s="2">
        <f>[1]RawShipmentData!N401</f>
        <v>3</v>
      </c>
      <c r="T400" s="2" t="str">
        <f>IF(OR(UPPER(TRIM([1]RawShipmentData!O401))="YES",UPPER(TRIM([1]RawShipmentData!O401))="Y"),"Yes","No")</f>
        <v>Yes</v>
      </c>
    </row>
    <row r="401" spans="1:20" x14ac:dyDescent="0.25">
      <c r="A401" s="2" t="str">
        <f>[1]RawShipmentData!A402</f>
        <v>SHP-100896</v>
      </c>
      <c r="B401" s="3">
        <f>IF(ISNUMBER(SEARCH("/",TRIM([1]RawShipmentData!B402))),DATE(VALUE(RIGHT(TRIM([1]RawShipmentData!B402),4)),VALUE(MID(TRIM([1]RawShipmentData!B402),FIND("/",TRIM([1]RawShipmentData!B402))+1,2)),VALUE(LEFT(TRIM([1]RawShipmentData!B402),FIND("/",TRIM([1]RawShipmentData!B402))-1))),DATEVALUE(TRIM([1]RawShipmentData!B402)))</f>
        <v>45332</v>
      </c>
      <c r="C401" s="2" t="str">
        <f>PROPER(TRIM([1]RawShipmentData!C402))</f>
        <v>Bengaluru</v>
      </c>
      <c r="D401" s="2" t="str">
        <f>IFERROR(INDEX([1]HubMaster!$B$2:$B$7,MATCH(C401,[1]HubMaster!$A$2:$A$7,0)),"Unknown")</f>
        <v>South</v>
      </c>
      <c r="E401" s="2" t="str">
        <f>PROPER(TRIM(SUBSTITUTE([1]RawShipmentData!D402,"  "," ")))</f>
        <v>Bluedart</v>
      </c>
      <c r="F401" s="2" t="str">
        <f>PROPER(TRIM([1]RawShipmentData!E402))</f>
        <v>Surface</v>
      </c>
      <c r="G401" s="2" t="str">
        <f>PROPER(TRIM(SUBSTITUTE([1]RawShipmentData!F402,"  "," ")))</f>
        <v>Grocery &amp; Fmcg</v>
      </c>
      <c r="H401" s="2" t="str">
        <f>PROPER(TRIM([1]RawShipmentData!G402))</f>
        <v>West</v>
      </c>
      <c r="I401" s="2" t="str">
        <f t="shared" si="30"/>
        <v>Yes</v>
      </c>
      <c r="J401" s="2">
        <f>IFERROR(VALUE(TRIM(SUBSTITUTE(UPPER([1]RawShipmentData!I401),"KG",""))),"")</f>
        <v>34.6</v>
      </c>
      <c r="K401" s="2">
        <f>VALUE(SUBSTITUTE(SUBSTITUTE(SUBSTITUTE(TRIM([1]RawShipmentData!J402),"₹",""),"Rs",""),",",""))</f>
        <v>596</v>
      </c>
      <c r="L401" s="2">
        <f>[1]RawShipmentData!K402</f>
        <v>6</v>
      </c>
      <c r="M401" s="3">
        <f>IF(TRIM([1]RawShipmentData!L402)="","",IF(ISNUMBER(SEARCH("/",TRIM([1]RawShipmentData!L402))),DATE(VALUE(RIGHT(TRIM([1]RawShipmentData!L402),4)),VALUE(MID(TRIM([1]RawShipmentData!L402),FIND("/",TRIM([1]RawShipmentData!L402))+1,2)),VALUE(LEFT(TRIM([1]RawShipmentData!L402),FIND("/",TRIM([1]RawShipmentData!L402))-1))),DATEVALUE(TRIM([1]RawShipmentData!L402))))</f>
        <v>45338</v>
      </c>
      <c r="N401" s="2">
        <f t="shared" si="31"/>
        <v>6</v>
      </c>
      <c r="O401" s="2">
        <f t="shared" si="32"/>
        <v>0</v>
      </c>
      <c r="P401" s="2" t="str">
        <f t="shared" si="33"/>
        <v>On Time</v>
      </c>
      <c r="Q401" s="2" t="str">
        <f>PROPER(SUBSTITUTE(TRIM([1]RawShipmentData!M402)," ","-"))</f>
        <v>Delivered</v>
      </c>
      <c r="R401" s="4">
        <f t="shared" si="34"/>
        <v>17.22543352601156</v>
      </c>
      <c r="S401" s="2">
        <f>[1]RawShipmentData!N402</f>
        <v>4</v>
      </c>
      <c r="T401" s="2" t="str">
        <f>IF(OR(UPPER(TRIM([1]RawShipmentData!O402))="YES",UPPER(TRIM([1]RawShipmentData!O402))="Y"),"Yes","No")</f>
        <v>No</v>
      </c>
    </row>
    <row r="402" spans="1:20" x14ac:dyDescent="0.25">
      <c r="A402" s="2" t="str">
        <f>[1]RawShipmentData!A403</f>
        <v>SHP-100304</v>
      </c>
      <c r="B402" s="3">
        <f>IF(ISNUMBER(SEARCH("/",TRIM([1]RawShipmentData!B403))),DATE(VALUE(RIGHT(TRIM([1]RawShipmentData!B403),4)),VALUE(MID(TRIM([1]RawShipmentData!B403),FIND("/",TRIM([1]RawShipmentData!B403))+1,2)),VALUE(LEFT(TRIM([1]RawShipmentData!B403),FIND("/",TRIM([1]RawShipmentData!B403))-1))),DATEVALUE(TRIM([1]RawShipmentData!B403)))</f>
        <v>45440</v>
      </c>
      <c r="C402" s="2" t="str">
        <f>PROPER(TRIM([1]RawShipmentData!C403))</f>
        <v>Mumbai</v>
      </c>
      <c r="D402" s="2" t="str">
        <f>IFERROR(INDEX([1]HubMaster!$B$2:$B$7,MATCH(C402,[1]HubMaster!$A$2:$A$7,0)),"Unknown")</f>
        <v>West</v>
      </c>
      <c r="E402" s="2" t="str">
        <f>PROPER(TRIM(SUBSTITUTE([1]RawShipmentData!D403,"  "," ")))</f>
        <v>Ecom Express</v>
      </c>
      <c r="F402" s="2" t="str">
        <f>PROPER(TRIM([1]RawShipmentData!E403))</f>
        <v>Road</v>
      </c>
      <c r="G402" s="2" t="str">
        <f>PROPER(TRIM(SUBSTITUTE([1]RawShipmentData!F403,"  "," ")))</f>
        <v>Apparel</v>
      </c>
      <c r="H402" s="2" t="str">
        <f>PROPER(TRIM([1]RawShipmentData!G403))</f>
        <v>East</v>
      </c>
      <c r="I402" s="2" t="str">
        <f t="shared" si="30"/>
        <v>Yes</v>
      </c>
      <c r="J402" s="2">
        <f>IFERROR(VALUE(TRIM(SUBSTITUTE(UPPER([1]RawShipmentData!I402),"KG",""))),"")</f>
        <v>18</v>
      </c>
      <c r="K402" s="2">
        <f>VALUE(SUBSTITUTE(SUBSTITUTE(SUBSTITUTE(TRIM([1]RawShipmentData!J403),"₹",""),"Rs",""),",",""))</f>
        <v>290</v>
      </c>
      <c r="L402" s="2">
        <f>[1]RawShipmentData!K403</f>
        <v>8</v>
      </c>
      <c r="M402" s="3">
        <f>IF(TRIM([1]RawShipmentData!L403)="","",IF(ISNUMBER(SEARCH("/",TRIM([1]RawShipmentData!L403))),DATE(VALUE(RIGHT(TRIM([1]RawShipmentData!L403),4)),VALUE(MID(TRIM([1]RawShipmentData!L403),FIND("/",TRIM([1]RawShipmentData!L403))+1,2)),VALUE(LEFT(TRIM([1]RawShipmentData!L403),FIND("/",TRIM([1]RawShipmentData!L403))-1))),DATEVALUE(TRIM([1]RawShipmentData!L403))))</f>
        <v>45448</v>
      </c>
      <c r="N402" s="2">
        <f t="shared" si="31"/>
        <v>8</v>
      </c>
      <c r="O402" s="2">
        <f t="shared" si="32"/>
        <v>0</v>
      </c>
      <c r="P402" s="2" t="str">
        <f t="shared" si="33"/>
        <v>On Time</v>
      </c>
      <c r="Q402" s="2" t="str">
        <f>PROPER(SUBSTITUTE(TRIM([1]RawShipmentData!M403)," ","-"))</f>
        <v>Delivered</v>
      </c>
      <c r="R402" s="4">
        <f t="shared" si="34"/>
        <v>16.111111111111111</v>
      </c>
      <c r="S402" s="2">
        <f>[1]RawShipmentData!N403</f>
        <v>4</v>
      </c>
      <c r="T402" s="2" t="str">
        <f>IF(OR(UPPER(TRIM([1]RawShipmentData!O403))="YES",UPPER(TRIM([1]RawShipmentData!O403))="Y"),"Yes","No")</f>
        <v>No</v>
      </c>
    </row>
    <row r="403" spans="1:20" x14ac:dyDescent="0.25">
      <c r="A403" s="2" t="str">
        <f>[1]RawShipmentData!A404</f>
        <v>SHP-100555</v>
      </c>
      <c r="B403" s="3">
        <f>IF(ISNUMBER(SEARCH("/",TRIM([1]RawShipmentData!B404))),DATE(VALUE(RIGHT(TRIM([1]RawShipmentData!B404),4)),VALUE(MID(TRIM([1]RawShipmentData!B404),FIND("/",TRIM([1]RawShipmentData!B404))+1,2)),VALUE(LEFT(TRIM([1]RawShipmentData!B404),FIND("/",TRIM([1]RawShipmentData!B404))-1))),DATEVALUE(TRIM([1]RawShipmentData!B404)))</f>
        <v>45391</v>
      </c>
      <c r="C403" s="2" t="str">
        <f>PROPER(TRIM([1]RawShipmentData!C404))</f>
        <v>Bengaluru</v>
      </c>
      <c r="D403" s="2" t="str">
        <f>IFERROR(INDEX([1]HubMaster!$B$2:$B$7,MATCH(C403,[1]HubMaster!$A$2:$A$7,0)),"Unknown")</f>
        <v>South</v>
      </c>
      <c r="E403" s="2" t="str">
        <f>PROPER(TRIM(SUBSTITUTE([1]RawShipmentData!D404,"  "," ")))</f>
        <v>Bluedart</v>
      </c>
      <c r="F403" s="2" t="str">
        <f>PROPER(TRIM([1]RawShipmentData!E404))</f>
        <v>Road</v>
      </c>
      <c r="G403" s="2" t="str">
        <f>PROPER(TRIM(SUBSTITUTE([1]RawShipmentData!F404,"  "," ")))</f>
        <v>Furniture</v>
      </c>
      <c r="H403" s="2" t="str">
        <f>PROPER(TRIM([1]RawShipmentData!G404))</f>
        <v>West</v>
      </c>
      <c r="I403" s="2" t="str">
        <f t="shared" si="30"/>
        <v>Yes</v>
      </c>
      <c r="J403" s="2">
        <f>IFERROR(VALUE(TRIM(SUBSTITUTE(UPPER([1]RawShipmentData!I403),"KG",""))),"")</f>
        <v>5.8</v>
      </c>
      <c r="K403" s="2">
        <f>VALUE(SUBSTITUTE(SUBSTITUTE(SUBSTITUTE(TRIM([1]RawShipmentData!J404),"₹",""),"Rs",""),",",""))</f>
        <v>506</v>
      </c>
      <c r="L403" s="2">
        <f>[1]RawShipmentData!K404</f>
        <v>8</v>
      </c>
      <c r="M403" s="3">
        <f>IF(TRIM([1]RawShipmentData!L404)="","",IF(ISNUMBER(SEARCH("/",TRIM([1]RawShipmentData!L404))),DATE(VALUE(RIGHT(TRIM([1]RawShipmentData!L404),4)),VALUE(MID(TRIM([1]RawShipmentData!L404),FIND("/",TRIM([1]RawShipmentData!L404))+1,2)),VALUE(LEFT(TRIM([1]RawShipmentData!L404),FIND("/",TRIM([1]RawShipmentData!L404))-1))),DATEVALUE(TRIM([1]RawShipmentData!L404))))</f>
        <v>45400</v>
      </c>
      <c r="N403" s="2">
        <f t="shared" si="31"/>
        <v>9</v>
      </c>
      <c r="O403" s="2">
        <f t="shared" si="32"/>
        <v>1</v>
      </c>
      <c r="P403" s="2" t="str">
        <f t="shared" si="33"/>
        <v>Late</v>
      </c>
      <c r="Q403" s="2" t="str">
        <f>PROPER(SUBSTITUTE(TRIM([1]RawShipmentData!M404)," ","-"))</f>
        <v>Delayed</v>
      </c>
      <c r="R403" s="4">
        <f t="shared" si="34"/>
        <v>87.241379310344826</v>
      </c>
      <c r="S403" s="2">
        <f>[1]RawShipmentData!N404</f>
        <v>4</v>
      </c>
      <c r="T403" s="2" t="str">
        <f>IF(OR(UPPER(TRIM([1]RawShipmentData!O404))="YES",UPPER(TRIM([1]RawShipmentData!O404))="Y"),"Yes","No")</f>
        <v>Yes</v>
      </c>
    </row>
    <row r="404" spans="1:20" x14ac:dyDescent="0.25">
      <c r="A404" s="2" t="str">
        <f>[1]RawShipmentData!A405</f>
        <v>SHP-100286</v>
      </c>
      <c r="B404" s="3">
        <f>IF(ISNUMBER(SEARCH("/",TRIM([1]RawShipmentData!B405))),DATE(VALUE(RIGHT(TRIM([1]RawShipmentData!B405),4)),VALUE(MID(TRIM([1]RawShipmentData!B405),FIND("/",TRIM([1]RawShipmentData!B405))+1,2)),VALUE(LEFT(TRIM([1]RawShipmentData!B405),FIND("/",TRIM([1]RawShipmentData!B405))-1))),DATEVALUE(TRIM([1]RawShipmentData!B405)))</f>
        <v>45389</v>
      </c>
      <c r="C404" s="2" t="str">
        <f>PROPER(TRIM([1]RawShipmentData!C405))</f>
        <v>Kolkata</v>
      </c>
      <c r="D404" s="2" t="str">
        <f>IFERROR(INDEX([1]HubMaster!$B$2:$B$7,MATCH(C404,[1]HubMaster!$A$2:$A$7,0)),"Unknown")</f>
        <v>East</v>
      </c>
      <c r="E404" s="2" t="str">
        <f>PROPER(TRIM(SUBSTITUTE([1]RawShipmentData!D405,"  "," ")))</f>
        <v>Delhivery</v>
      </c>
      <c r="F404" s="2" t="str">
        <f>PROPER(TRIM([1]RawShipmentData!E405))</f>
        <v>Air</v>
      </c>
      <c r="G404" s="2" t="str">
        <f>PROPER(TRIM(SUBSTITUTE([1]RawShipmentData!F405,"  "," ")))</f>
        <v>Automotive Parts</v>
      </c>
      <c r="H404" s="2" t="str">
        <f>PROPER(TRIM([1]RawShipmentData!G405))</f>
        <v>East</v>
      </c>
      <c r="I404" s="2" t="str">
        <f t="shared" si="30"/>
        <v>No</v>
      </c>
      <c r="J404" s="2">
        <f>IFERROR(VALUE(TRIM(SUBSTITUTE(UPPER([1]RawShipmentData!I404),"KG",""))),"")</f>
        <v>23.6</v>
      </c>
      <c r="K404" s="2">
        <f>VALUE(SUBSTITUTE(SUBSTITUTE(SUBSTITUTE(TRIM([1]RawShipmentData!J405),"₹",""),"Rs",""),",",""))</f>
        <v>1149</v>
      </c>
      <c r="L404" s="2">
        <f>[1]RawShipmentData!K405</f>
        <v>2</v>
      </c>
      <c r="M404" s="3">
        <f>IF(TRIM([1]RawShipmentData!L405)="","",IF(ISNUMBER(SEARCH("/",TRIM([1]RawShipmentData!L405))),DATE(VALUE(RIGHT(TRIM([1]RawShipmentData!L405),4)),VALUE(MID(TRIM([1]RawShipmentData!L405),FIND("/",TRIM([1]RawShipmentData!L405))+1,2)),VALUE(LEFT(TRIM([1]RawShipmentData!L405),FIND("/",TRIM([1]RawShipmentData!L405))-1))),DATEVALUE(TRIM([1]RawShipmentData!L405))))</f>
        <v>45390</v>
      </c>
      <c r="N404" s="2">
        <f t="shared" si="31"/>
        <v>1</v>
      </c>
      <c r="O404" s="2">
        <f t="shared" si="32"/>
        <v>-1</v>
      </c>
      <c r="P404" s="2" t="str">
        <f t="shared" si="33"/>
        <v>On Time</v>
      </c>
      <c r="Q404" s="2" t="str">
        <f>PROPER(SUBSTITUTE(TRIM([1]RawShipmentData!M405)," ","-"))</f>
        <v>Delivered</v>
      </c>
      <c r="R404" s="4">
        <f t="shared" si="34"/>
        <v>48.686440677966097</v>
      </c>
      <c r="S404" s="2">
        <f>[1]RawShipmentData!N405</f>
        <v>5</v>
      </c>
      <c r="T404" s="2" t="str">
        <f>IF(OR(UPPER(TRIM([1]RawShipmentData!O405))="YES",UPPER(TRIM([1]RawShipmentData!O405))="Y"),"Yes","No")</f>
        <v>No</v>
      </c>
    </row>
    <row r="405" spans="1:20" x14ac:dyDescent="0.25">
      <c r="A405" s="2" t="str">
        <f>[1]RawShipmentData!A406</f>
        <v>SHP-101445</v>
      </c>
      <c r="B405" s="3">
        <f>IF(ISNUMBER(SEARCH("/",TRIM([1]RawShipmentData!B406))),DATE(VALUE(RIGHT(TRIM([1]RawShipmentData!B406),4)),VALUE(MID(TRIM([1]RawShipmentData!B406),FIND("/",TRIM([1]RawShipmentData!B406))+1,2)),VALUE(LEFT(TRIM([1]RawShipmentData!B406),FIND("/",TRIM([1]RawShipmentData!B406))-1))),DATEVALUE(TRIM([1]RawShipmentData!B406)))</f>
        <v>45362</v>
      </c>
      <c r="C405" s="2" t="str">
        <f>PROPER(TRIM([1]RawShipmentData!C406))</f>
        <v>Chennai</v>
      </c>
      <c r="D405" s="2" t="str">
        <f>IFERROR(INDEX([1]HubMaster!$B$2:$B$7,MATCH(C405,[1]HubMaster!$A$2:$A$7,0)),"Unknown")</f>
        <v>South</v>
      </c>
      <c r="E405" s="2" t="str">
        <f>PROPER(TRIM(SUBSTITUTE([1]RawShipmentData!D406,"  "," ")))</f>
        <v>Dtdc</v>
      </c>
      <c r="F405" s="2" t="str">
        <f>PROPER(TRIM([1]RawShipmentData!E406))</f>
        <v>Air</v>
      </c>
      <c r="G405" s="2" t="str">
        <f>PROPER(TRIM(SUBSTITUTE([1]RawShipmentData!F406,"  "," ")))</f>
        <v>Electronics</v>
      </c>
      <c r="H405" s="2" t="str">
        <f>PROPER(TRIM([1]RawShipmentData!G406))</f>
        <v>South</v>
      </c>
      <c r="I405" s="2" t="str">
        <f t="shared" si="30"/>
        <v>No</v>
      </c>
      <c r="J405" s="2">
        <f>IFERROR(VALUE(TRIM(SUBSTITUTE(UPPER([1]RawShipmentData!I405),"KG",""))),"")</f>
        <v>26.1</v>
      </c>
      <c r="K405" s="2">
        <f>VALUE(SUBSTITUTE(SUBSTITUTE(SUBSTITUTE(TRIM([1]RawShipmentData!J406),"₹",""),"Rs",""),",",""))</f>
        <v>484</v>
      </c>
      <c r="L405" s="2">
        <f>[1]RawShipmentData!K406</f>
        <v>2</v>
      </c>
      <c r="M405" s="3">
        <f>IF(TRIM([1]RawShipmentData!L406)="","",IF(ISNUMBER(SEARCH("/",TRIM([1]RawShipmentData!L406))),DATE(VALUE(RIGHT(TRIM([1]RawShipmentData!L406),4)),VALUE(MID(TRIM([1]RawShipmentData!L406),FIND("/",TRIM([1]RawShipmentData!L406))+1,2)),VALUE(LEFT(TRIM([1]RawShipmentData!L406),FIND("/",TRIM([1]RawShipmentData!L406))-1))),DATEVALUE(TRIM([1]RawShipmentData!L406))))</f>
        <v>45364</v>
      </c>
      <c r="N405" s="2">
        <f t="shared" si="31"/>
        <v>2</v>
      </c>
      <c r="O405" s="2">
        <f t="shared" si="32"/>
        <v>0</v>
      </c>
      <c r="P405" s="2" t="str">
        <f t="shared" si="33"/>
        <v>On Time</v>
      </c>
      <c r="Q405" s="2" t="str">
        <f>PROPER(SUBSTITUTE(TRIM([1]RawShipmentData!M406)," ","-"))</f>
        <v>Delivered</v>
      </c>
      <c r="R405" s="4">
        <f t="shared" si="34"/>
        <v>18.544061302681992</v>
      </c>
      <c r="S405" s="2">
        <f>[1]RawShipmentData!N406</f>
        <v>3</v>
      </c>
      <c r="T405" s="2" t="str">
        <f>IF(OR(UPPER(TRIM([1]RawShipmentData!O406))="YES",UPPER(TRIM([1]RawShipmentData!O406))="Y"),"Yes","No")</f>
        <v>No</v>
      </c>
    </row>
    <row r="406" spans="1:20" x14ac:dyDescent="0.25">
      <c r="A406" s="2" t="str">
        <f>[1]RawShipmentData!A407</f>
        <v>SHP-100241</v>
      </c>
      <c r="B406" s="3">
        <f>IF(ISNUMBER(SEARCH("/",TRIM([1]RawShipmentData!B407))),DATE(VALUE(RIGHT(TRIM([1]RawShipmentData!B407),4)),VALUE(MID(TRIM([1]RawShipmentData!B407),FIND("/",TRIM([1]RawShipmentData!B407))+1,2)),VALUE(LEFT(TRIM([1]RawShipmentData!B407),FIND("/",TRIM([1]RawShipmentData!B407))-1))),DATEVALUE(TRIM([1]RawShipmentData!B407)))</f>
        <v>45364</v>
      </c>
      <c r="C406" s="2" t="str">
        <f>PROPER(TRIM([1]RawShipmentData!C407))</f>
        <v>Bengaluru</v>
      </c>
      <c r="D406" s="2" t="str">
        <f>IFERROR(INDEX([1]HubMaster!$B$2:$B$7,MATCH(C406,[1]HubMaster!$A$2:$A$7,0)),"Unknown")</f>
        <v>South</v>
      </c>
      <c r="E406" s="2" t="str">
        <f>PROPER(TRIM(SUBSTITUTE([1]RawShipmentData!D407,"  "," ")))</f>
        <v>Bluedart</v>
      </c>
      <c r="F406" s="2" t="str">
        <f>PROPER(TRIM([1]RawShipmentData!E407))</f>
        <v>Surface</v>
      </c>
      <c r="G406" s="2" t="str">
        <f>PROPER(TRIM(SUBSTITUTE([1]RawShipmentData!F407,"  "," ")))</f>
        <v>Electronics</v>
      </c>
      <c r="H406" s="2" t="str">
        <f>PROPER(TRIM([1]RawShipmentData!G407))</f>
        <v>North</v>
      </c>
      <c r="I406" s="2" t="str">
        <f t="shared" si="30"/>
        <v>Yes</v>
      </c>
      <c r="J406" s="2">
        <f>IFERROR(VALUE(TRIM(SUBSTITUTE(UPPER([1]RawShipmentData!I406),"KG",""))),"")</f>
        <v>10.199999999999999</v>
      </c>
      <c r="K406" s="2">
        <f>VALUE(SUBSTITUTE(SUBSTITUTE(SUBSTITUTE(TRIM([1]RawShipmentData!J407),"₹",""),"Rs",""),",",""))</f>
        <v>282</v>
      </c>
      <c r="L406" s="2">
        <f>[1]RawShipmentData!K407</f>
        <v>6</v>
      </c>
      <c r="M406" s="3">
        <f>IF(TRIM([1]RawShipmentData!L407)="","",IF(ISNUMBER(SEARCH("/",TRIM([1]RawShipmentData!L407))),DATE(VALUE(RIGHT(TRIM([1]RawShipmentData!L407),4)),VALUE(MID(TRIM([1]RawShipmentData!L407),FIND("/",TRIM([1]RawShipmentData!L407))+1,2)),VALUE(LEFT(TRIM([1]RawShipmentData!L407),FIND("/",TRIM([1]RawShipmentData!L407))-1))),DATEVALUE(TRIM([1]RawShipmentData!L407))))</f>
        <v>45370</v>
      </c>
      <c r="N406" s="2">
        <f t="shared" si="31"/>
        <v>6</v>
      </c>
      <c r="O406" s="2">
        <f t="shared" si="32"/>
        <v>0</v>
      </c>
      <c r="P406" s="2" t="str">
        <f t="shared" si="33"/>
        <v>On Time</v>
      </c>
      <c r="Q406" s="2" t="str">
        <f>PROPER(SUBSTITUTE(TRIM([1]RawShipmentData!M407)," ","-"))</f>
        <v>Delivered</v>
      </c>
      <c r="R406" s="4">
        <f t="shared" si="34"/>
        <v>27.647058823529413</v>
      </c>
      <c r="S406" s="2">
        <f>[1]RawShipmentData!N407</f>
        <v>5</v>
      </c>
      <c r="T406" s="2" t="str">
        <f>IF(OR(UPPER(TRIM([1]RawShipmentData!O407))="YES",UPPER(TRIM([1]RawShipmentData!O407))="Y"),"Yes","No")</f>
        <v>No</v>
      </c>
    </row>
    <row r="407" spans="1:20" x14ac:dyDescent="0.25">
      <c r="A407" s="2" t="str">
        <f>[1]RawShipmentData!A408</f>
        <v>SHP-100150</v>
      </c>
      <c r="B407" s="3">
        <f>IF(ISNUMBER(SEARCH("/",TRIM([1]RawShipmentData!B408))),DATE(VALUE(RIGHT(TRIM([1]RawShipmentData!B408),4)),VALUE(MID(TRIM([1]RawShipmentData!B408),FIND("/",TRIM([1]RawShipmentData!B408))+1,2)),VALUE(LEFT(TRIM([1]RawShipmentData!B408),FIND("/",TRIM([1]RawShipmentData!B408))-1))),DATEVALUE(TRIM([1]RawShipmentData!B408)))</f>
        <v>45358</v>
      </c>
      <c r="C407" s="2" t="str">
        <f>PROPER(TRIM([1]RawShipmentData!C408))</f>
        <v>Kolkata</v>
      </c>
      <c r="D407" s="2" t="str">
        <f>IFERROR(INDEX([1]HubMaster!$B$2:$B$7,MATCH(C407,[1]HubMaster!$A$2:$A$7,0)),"Unknown")</f>
        <v>East</v>
      </c>
      <c r="E407" s="2" t="str">
        <f>PROPER(TRIM(SUBSTITUTE([1]RawShipmentData!D408,"  "," ")))</f>
        <v>Ecom Express</v>
      </c>
      <c r="F407" s="2" t="str">
        <f>PROPER(TRIM([1]RawShipmentData!E408))</f>
        <v>Air</v>
      </c>
      <c r="G407" s="2" t="str">
        <f>PROPER(TRIM(SUBSTITUTE([1]RawShipmentData!F408,"  "," ")))</f>
        <v>Electronics</v>
      </c>
      <c r="H407" s="2" t="str">
        <f>PROPER(TRIM([1]RawShipmentData!G408))</f>
        <v>East</v>
      </c>
      <c r="I407" s="2" t="str">
        <f t="shared" si="30"/>
        <v>No</v>
      </c>
      <c r="J407" s="2" t="str">
        <f>IFERROR(VALUE(TRIM(SUBSTITUTE(UPPER([1]RawShipmentData!I407),"KG",""))),"")</f>
        <v/>
      </c>
      <c r="K407" s="2">
        <f>VALUE(SUBSTITUTE(SUBSTITUTE(SUBSTITUTE(TRIM([1]RawShipmentData!J408),"₹",""),"Rs",""),",",""))</f>
        <v>358</v>
      </c>
      <c r="L407" s="2">
        <f>[1]RawShipmentData!K408</f>
        <v>2</v>
      </c>
      <c r="M407" s="3">
        <f>IF(TRIM([1]RawShipmentData!L408)="","",IF(ISNUMBER(SEARCH("/",TRIM([1]RawShipmentData!L408))),DATE(VALUE(RIGHT(TRIM([1]RawShipmentData!L408),4)),VALUE(MID(TRIM([1]RawShipmentData!L408),FIND("/",TRIM([1]RawShipmentData!L408))+1,2)),VALUE(LEFT(TRIM([1]RawShipmentData!L408),FIND("/",TRIM([1]RawShipmentData!L408))-1))),DATEVALUE(TRIM([1]RawShipmentData!L408))))</f>
        <v>45365</v>
      </c>
      <c r="N407" s="2">
        <f t="shared" si="31"/>
        <v>7</v>
      </c>
      <c r="O407" s="2">
        <f t="shared" si="32"/>
        <v>5</v>
      </c>
      <c r="P407" s="2" t="str">
        <f t="shared" si="33"/>
        <v>Late</v>
      </c>
      <c r="Q407" s="2" t="str">
        <f>PROPER(SUBSTITUTE(TRIM([1]RawShipmentData!M408)," ","-"))</f>
        <v>Delayed</v>
      </c>
      <c r="R407" s="4" t="str">
        <f t="shared" si="34"/>
        <v/>
      </c>
      <c r="S407" s="2">
        <f>[1]RawShipmentData!N408</f>
        <v>4</v>
      </c>
      <c r="T407" s="2" t="str">
        <f>IF(OR(UPPER(TRIM([1]RawShipmentData!O408))="YES",UPPER(TRIM([1]RawShipmentData!O408))="Y"),"Yes","No")</f>
        <v>No</v>
      </c>
    </row>
    <row r="408" spans="1:20" x14ac:dyDescent="0.25">
      <c r="A408" s="2" t="str">
        <f>[1]RawShipmentData!A409</f>
        <v>SHP-100029</v>
      </c>
      <c r="B408" s="3">
        <f>IF(ISNUMBER(SEARCH("/",TRIM([1]RawShipmentData!B409))),DATE(VALUE(RIGHT(TRIM([1]RawShipmentData!B409),4)),VALUE(MID(TRIM([1]RawShipmentData!B409),FIND("/",TRIM([1]RawShipmentData!B409))+1,2)),VALUE(LEFT(TRIM([1]RawShipmentData!B409),FIND("/",TRIM([1]RawShipmentData!B409))-1))),DATEVALUE(TRIM([1]RawShipmentData!B409)))</f>
        <v>45446</v>
      </c>
      <c r="C408" s="2" t="str">
        <f>PROPER(TRIM([1]RawShipmentData!C409))</f>
        <v>Hyderabad</v>
      </c>
      <c r="D408" s="2" t="str">
        <f>IFERROR(INDEX([1]HubMaster!$B$2:$B$7,MATCH(C408,[1]HubMaster!$A$2:$A$7,0)),"Unknown")</f>
        <v>West</v>
      </c>
      <c r="E408" s="2" t="str">
        <f>PROPER(TRIM(SUBSTITUTE([1]RawShipmentData!D409,"  "," ")))</f>
        <v>Delhivery</v>
      </c>
      <c r="F408" s="2" t="str">
        <f>PROPER(TRIM([1]RawShipmentData!E409))</f>
        <v>Road</v>
      </c>
      <c r="G408" s="2" t="str">
        <f>PROPER(TRIM(SUBSTITUTE([1]RawShipmentData!F409,"  "," ")))</f>
        <v>Grocery &amp; Fmcg</v>
      </c>
      <c r="H408" s="2" t="str">
        <f>PROPER(TRIM([1]RawShipmentData!G409))</f>
        <v>West</v>
      </c>
      <c r="I408" s="2" t="str">
        <f t="shared" si="30"/>
        <v>No</v>
      </c>
      <c r="J408" s="2">
        <f>IFERROR(VALUE(TRIM(SUBSTITUTE(UPPER([1]RawShipmentData!I408),"KG",""))),"")</f>
        <v>7</v>
      </c>
      <c r="K408" s="2">
        <f>VALUE(SUBSTITUTE(SUBSTITUTE(SUBSTITUTE(TRIM([1]RawShipmentData!J409),"₹",""),"Rs",""),",",""))</f>
        <v>173</v>
      </c>
      <c r="L408" s="2">
        <f>[1]RawShipmentData!K409</f>
        <v>6</v>
      </c>
      <c r="M408" s="3">
        <f>IF(TRIM([1]RawShipmentData!L409)="","",IF(ISNUMBER(SEARCH("/",TRIM([1]RawShipmentData!L409))),DATE(VALUE(RIGHT(TRIM([1]RawShipmentData!L409),4)),VALUE(MID(TRIM([1]RawShipmentData!L409),FIND("/",TRIM([1]RawShipmentData!L409))+1,2)),VALUE(LEFT(TRIM([1]RawShipmentData!L409),FIND("/",TRIM([1]RawShipmentData!L409))-1))),DATEVALUE(TRIM([1]RawShipmentData!L409))))</f>
        <v>45452</v>
      </c>
      <c r="N408" s="2">
        <f t="shared" si="31"/>
        <v>6</v>
      </c>
      <c r="O408" s="2">
        <f t="shared" si="32"/>
        <v>0</v>
      </c>
      <c r="P408" s="2" t="str">
        <f t="shared" si="33"/>
        <v>On Time</v>
      </c>
      <c r="Q408" s="2" t="str">
        <f>PROPER(SUBSTITUTE(TRIM([1]RawShipmentData!M409)," ","-"))</f>
        <v>Delivered</v>
      </c>
      <c r="R408" s="4">
        <f t="shared" si="34"/>
        <v>24.714285714285715</v>
      </c>
      <c r="S408" s="2">
        <f>[1]RawShipmentData!N409</f>
        <v>4</v>
      </c>
      <c r="T408" s="2" t="str">
        <f>IF(OR(UPPER(TRIM([1]RawShipmentData!O409))="YES",UPPER(TRIM([1]RawShipmentData!O409))="Y"),"Yes","No")</f>
        <v>Yes</v>
      </c>
    </row>
    <row r="409" spans="1:20" x14ac:dyDescent="0.25">
      <c r="A409" s="2" t="str">
        <f>[1]RawShipmentData!A410</f>
        <v>SHP-100139</v>
      </c>
      <c r="B409" s="3">
        <f>IF(ISNUMBER(SEARCH("/",TRIM([1]RawShipmentData!B410))),DATE(VALUE(RIGHT(TRIM([1]RawShipmentData!B410),4)),VALUE(MID(TRIM([1]RawShipmentData!B410),FIND("/",TRIM([1]RawShipmentData!B410))+1,2)),VALUE(LEFT(TRIM([1]RawShipmentData!B410),FIND("/",TRIM([1]RawShipmentData!B410))-1))),DATEVALUE(TRIM([1]RawShipmentData!B410)))</f>
        <v>45308</v>
      </c>
      <c r="C409" s="2" t="str">
        <f>PROPER(TRIM([1]RawShipmentData!C410))</f>
        <v>Delhi</v>
      </c>
      <c r="D409" s="2" t="str">
        <f>IFERROR(INDEX([1]HubMaster!$B$2:$B$7,MATCH(C409,[1]HubMaster!$A$2:$A$7,0)),"Unknown")</f>
        <v>North</v>
      </c>
      <c r="E409" s="2" t="str">
        <f>PROPER(TRIM(SUBSTITUTE([1]RawShipmentData!D410,"  "," ")))</f>
        <v>Bluedart</v>
      </c>
      <c r="F409" s="2" t="str">
        <f>PROPER(TRIM([1]RawShipmentData!E410))</f>
        <v>Road</v>
      </c>
      <c r="G409" s="2" t="str">
        <f>PROPER(TRIM(SUBSTITUTE([1]RawShipmentData!F410,"  "," ")))</f>
        <v>Automotive Parts</v>
      </c>
      <c r="H409" s="2" t="str">
        <f>PROPER(TRIM([1]RawShipmentData!G410))</f>
        <v>South</v>
      </c>
      <c r="I409" s="2" t="str">
        <f t="shared" si="30"/>
        <v>Yes</v>
      </c>
      <c r="J409" s="2">
        <f>IFERROR(VALUE(TRIM(SUBSTITUTE(UPPER([1]RawShipmentData!I409),"KG",""))),"")</f>
        <v>11.5</v>
      </c>
      <c r="K409" s="2">
        <f>VALUE(SUBSTITUTE(SUBSTITUTE(SUBSTITUTE(TRIM([1]RawShipmentData!J410),"₹",""),"Rs",""),",",""))</f>
        <v>517</v>
      </c>
      <c r="L409" s="2">
        <f>[1]RawShipmentData!K410</f>
        <v>8</v>
      </c>
      <c r="M409" s="3">
        <f>IF(TRIM([1]RawShipmentData!L410)="","",IF(ISNUMBER(SEARCH("/",TRIM([1]RawShipmentData!L410))),DATE(VALUE(RIGHT(TRIM([1]RawShipmentData!L410),4)),VALUE(MID(TRIM([1]RawShipmentData!L410),FIND("/",TRIM([1]RawShipmentData!L410))+1,2)),VALUE(LEFT(TRIM([1]RawShipmentData!L410),FIND("/",TRIM([1]RawShipmentData!L410))-1))),DATEVALUE(TRIM([1]RawShipmentData!L410))))</f>
        <v>45316</v>
      </c>
      <c r="N409" s="2">
        <f t="shared" si="31"/>
        <v>8</v>
      </c>
      <c r="O409" s="2">
        <f t="shared" si="32"/>
        <v>0</v>
      </c>
      <c r="P409" s="2" t="str">
        <f t="shared" si="33"/>
        <v>On Time</v>
      </c>
      <c r="Q409" s="2" t="str">
        <f>PROPER(SUBSTITUTE(TRIM([1]RawShipmentData!M410)," ","-"))</f>
        <v>Delivered</v>
      </c>
      <c r="R409" s="4">
        <f t="shared" si="34"/>
        <v>44.956521739130437</v>
      </c>
      <c r="S409" s="2">
        <f>[1]RawShipmentData!N410</f>
        <v>5</v>
      </c>
      <c r="T409" s="2" t="str">
        <f>IF(OR(UPPER(TRIM([1]RawShipmentData!O410))="YES",UPPER(TRIM([1]RawShipmentData!O410))="Y"),"Yes","No")</f>
        <v>No</v>
      </c>
    </row>
    <row r="410" spans="1:20" x14ac:dyDescent="0.25">
      <c r="A410" s="2" t="str">
        <f>[1]RawShipmentData!A411</f>
        <v>SHP-101106</v>
      </c>
      <c r="B410" s="3">
        <f>IF(ISNUMBER(SEARCH("/",TRIM([1]RawShipmentData!B411))),DATE(VALUE(RIGHT(TRIM([1]RawShipmentData!B411),4)),VALUE(MID(TRIM([1]RawShipmentData!B411),FIND("/",TRIM([1]RawShipmentData!B411))+1,2)),VALUE(LEFT(TRIM([1]RawShipmentData!B411),FIND("/",TRIM([1]RawShipmentData!B411))-1))),DATEVALUE(TRIM([1]RawShipmentData!B411)))</f>
        <v>45356</v>
      </c>
      <c r="C410" s="2" t="str">
        <f>PROPER(TRIM([1]RawShipmentData!C411))</f>
        <v>Mumbai</v>
      </c>
      <c r="D410" s="2" t="str">
        <f>IFERROR(INDEX([1]HubMaster!$B$2:$B$7,MATCH(C410,[1]HubMaster!$A$2:$A$7,0)),"Unknown")</f>
        <v>West</v>
      </c>
      <c r="E410" s="2" t="str">
        <f>PROPER(TRIM(SUBSTITUTE([1]RawShipmentData!D411,"  "," ")))</f>
        <v>Bluedart</v>
      </c>
      <c r="F410" s="2" t="str">
        <f>PROPER(TRIM([1]RawShipmentData!E411))</f>
        <v>Surface</v>
      </c>
      <c r="G410" s="2" t="str">
        <f>PROPER(TRIM(SUBSTITUTE([1]RawShipmentData!F411,"  "," ")))</f>
        <v>Furniture</v>
      </c>
      <c r="H410" s="2" t="str">
        <f>PROPER(TRIM([1]RawShipmentData!G411))</f>
        <v>East</v>
      </c>
      <c r="I410" s="2" t="str">
        <f t="shared" si="30"/>
        <v>Yes</v>
      </c>
      <c r="J410" s="2">
        <f>IFERROR(VALUE(TRIM(SUBSTITUTE(UPPER([1]RawShipmentData!I410),"KG",""))),"")</f>
        <v>27.1</v>
      </c>
      <c r="K410" s="2">
        <f>VALUE(SUBSTITUTE(SUBSTITUTE(SUBSTITUTE(TRIM([1]RawShipmentData!J411),"₹",""),"Rs",""),",",""))</f>
        <v>947</v>
      </c>
      <c r="L410" s="2">
        <f>[1]RawShipmentData!K411</f>
        <v>6</v>
      </c>
      <c r="M410" s="3">
        <f>IF(TRIM([1]RawShipmentData!L411)="","",IF(ISNUMBER(SEARCH("/",TRIM([1]RawShipmentData!L411))),DATE(VALUE(RIGHT(TRIM([1]RawShipmentData!L411),4)),VALUE(MID(TRIM([1]RawShipmentData!L411),FIND("/",TRIM([1]RawShipmentData!L411))+1,2)),VALUE(LEFT(TRIM([1]RawShipmentData!L411),FIND("/",TRIM([1]RawShipmentData!L411))-1))),DATEVALUE(TRIM([1]RawShipmentData!L411))))</f>
        <v>45362</v>
      </c>
      <c r="N410" s="2">
        <f t="shared" si="31"/>
        <v>6</v>
      </c>
      <c r="O410" s="2">
        <f t="shared" si="32"/>
        <v>0</v>
      </c>
      <c r="P410" s="2" t="str">
        <f t="shared" si="33"/>
        <v>On Time</v>
      </c>
      <c r="Q410" s="2" t="str">
        <f>PROPER(SUBSTITUTE(TRIM([1]RawShipmentData!M411)," ","-"))</f>
        <v>Delivered</v>
      </c>
      <c r="R410" s="4">
        <f t="shared" si="34"/>
        <v>34.944649446494466</v>
      </c>
      <c r="S410" s="2">
        <f>[1]RawShipmentData!N411</f>
        <v>5</v>
      </c>
      <c r="T410" s="2" t="str">
        <f>IF(OR(UPPER(TRIM([1]RawShipmentData!O411))="YES",UPPER(TRIM([1]RawShipmentData!O411))="Y"),"Yes","No")</f>
        <v>No</v>
      </c>
    </row>
    <row r="411" spans="1:20" x14ac:dyDescent="0.25">
      <c r="A411" s="2" t="str">
        <f>[1]RawShipmentData!A412</f>
        <v>SHP-100446</v>
      </c>
      <c r="B411" s="3">
        <f>IF(ISNUMBER(SEARCH("/",TRIM([1]RawShipmentData!B412))),DATE(VALUE(RIGHT(TRIM([1]RawShipmentData!B412),4)),VALUE(MID(TRIM([1]RawShipmentData!B412),FIND("/",TRIM([1]RawShipmentData!B412))+1,2)),VALUE(LEFT(TRIM([1]RawShipmentData!B412),FIND("/",TRIM([1]RawShipmentData!B412))-1))),DATEVALUE(TRIM([1]RawShipmentData!B412)))</f>
        <v>45313</v>
      </c>
      <c r="C411" s="2" t="str">
        <f>PROPER(TRIM([1]RawShipmentData!C412))</f>
        <v>Kolkata</v>
      </c>
      <c r="D411" s="2" t="str">
        <f>IFERROR(INDEX([1]HubMaster!$B$2:$B$7,MATCH(C411,[1]HubMaster!$A$2:$A$7,0)),"Unknown")</f>
        <v>East</v>
      </c>
      <c r="E411" s="2" t="str">
        <f>PROPER(TRIM(SUBSTITUTE([1]RawShipmentData!D412,"  "," ")))</f>
        <v>Ecom Express</v>
      </c>
      <c r="F411" s="2" t="str">
        <f>PROPER(TRIM([1]RawShipmentData!E412))</f>
        <v>Surface</v>
      </c>
      <c r="G411" s="2" t="str">
        <f>PROPER(TRIM(SUBSTITUTE([1]RawShipmentData!F412,"  "," ")))</f>
        <v>Grocery &amp; Fmcg</v>
      </c>
      <c r="H411" s="2" t="str">
        <f>PROPER(TRIM([1]RawShipmentData!G412))</f>
        <v>North</v>
      </c>
      <c r="I411" s="2" t="str">
        <f t="shared" si="30"/>
        <v>Yes</v>
      </c>
      <c r="J411" s="2">
        <f>IFERROR(VALUE(TRIM(SUBSTITUTE(UPPER([1]RawShipmentData!I411),"KG",""))),"")</f>
        <v>35</v>
      </c>
      <c r="K411" s="2">
        <f>VALUE(SUBSTITUTE(SUBSTITUTE(SUBSTITUTE(TRIM([1]RawShipmentData!J412),"₹",""),"Rs",""),",",""))</f>
        <v>574</v>
      </c>
      <c r="L411" s="2">
        <f>[1]RawShipmentData!K412</f>
        <v>6</v>
      </c>
      <c r="M411" s="3">
        <f>IF(TRIM([1]RawShipmentData!L412)="","",IF(ISNUMBER(SEARCH("/",TRIM([1]RawShipmentData!L412))),DATE(VALUE(RIGHT(TRIM([1]RawShipmentData!L412),4)),VALUE(MID(TRIM([1]RawShipmentData!L412),FIND("/",TRIM([1]RawShipmentData!L412))+1,2)),VALUE(LEFT(TRIM([1]RawShipmentData!L412),FIND("/",TRIM([1]RawShipmentData!L412))-1))),DATEVALUE(TRIM([1]RawShipmentData!L412))))</f>
        <v>45319</v>
      </c>
      <c r="N411" s="2">
        <f t="shared" si="31"/>
        <v>6</v>
      </c>
      <c r="O411" s="2">
        <f t="shared" si="32"/>
        <v>0</v>
      </c>
      <c r="P411" s="2" t="str">
        <f t="shared" si="33"/>
        <v>On Time</v>
      </c>
      <c r="Q411" s="2" t="str">
        <f>PROPER(SUBSTITUTE(TRIM([1]RawShipmentData!M412)," ","-"))</f>
        <v>Delivered</v>
      </c>
      <c r="R411" s="4">
        <f t="shared" si="34"/>
        <v>16.399999999999999</v>
      </c>
      <c r="S411" s="2">
        <f>[1]RawShipmentData!N412</f>
        <v>5</v>
      </c>
      <c r="T411" s="2" t="str">
        <f>IF(OR(UPPER(TRIM([1]RawShipmentData!O412))="YES",UPPER(TRIM([1]RawShipmentData!O412))="Y"),"Yes","No")</f>
        <v>No</v>
      </c>
    </row>
    <row r="412" spans="1:20" x14ac:dyDescent="0.25">
      <c r="A412" s="2" t="str">
        <f>[1]RawShipmentData!A413</f>
        <v>SHP-100157</v>
      </c>
      <c r="B412" s="3">
        <f>IF(ISNUMBER(SEARCH("/",TRIM([1]RawShipmentData!B413))),DATE(VALUE(RIGHT(TRIM([1]RawShipmentData!B413),4)),VALUE(MID(TRIM([1]RawShipmentData!B413),FIND("/",TRIM([1]RawShipmentData!B413))+1,2)),VALUE(LEFT(TRIM([1]RawShipmentData!B413),FIND("/",TRIM([1]RawShipmentData!B413))-1))),DATEVALUE(TRIM([1]RawShipmentData!B413)))</f>
        <v>45448</v>
      </c>
      <c r="C412" s="2" t="str">
        <f>PROPER(TRIM([1]RawShipmentData!C413))</f>
        <v>Bengaluru</v>
      </c>
      <c r="D412" s="2" t="str">
        <f>IFERROR(INDEX([1]HubMaster!$B$2:$B$7,MATCH(C412,[1]HubMaster!$A$2:$A$7,0)),"Unknown")</f>
        <v>South</v>
      </c>
      <c r="E412" s="2" t="str">
        <f>PROPER(TRIM(SUBSTITUTE([1]RawShipmentData!D413,"  "," ")))</f>
        <v>Bluedart</v>
      </c>
      <c r="F412" s="2" t="str">
        <f>PROPER(TRIM([1]RawShipmentData!E413))</f>
        <v>Road</v>
      </c>
      <c r="G412" s="2" t="str">
        <f>PROPER(TRIM(SUBSTITUTE([1]RawShipmentData!F413,"  "," ")))</f>
        <v>Grocery &amp; Fmcg</v>
      </c>
      <c r="H412" s="2" t="str">
        <f>PROPER(TRIM([1]RawShipmentData!G413))</f>
        <v>North</v>
      </c>
      <c r="I412" s="2" t="str">
        <f t="shared" si="30"/>
        <v>Yes</v>
      </c>
      <c r="J412" s="2">
        <f>IFERROR(VALUE(TRIM(SUBSTITUTE(UPPER([1]RawShipmentData!I412),"KG",""))),"")</f>
        <v>19.3</v>
      </c>
      <c r="K412" s="2">
        <f>VALUE(SUBSTITUTE(SUBSTITUTE(SUBSTITUTE(TRIM([1]RawShipmentData!J413),"₹",""),"Rs",""),",",""))</f>
        <v>388</v>
      </c>
      <c r="L412" s="2">
        <f>[1]RawShipmentData!K413</f>
        <v>8</v>
      </c>
      <c r="M412" s="3">
        <f>IF(TRIM([1]RawShipmentData!L413)="","",IF(ISNUMBER(SEARCH("/",TRIM([1]RawShipmentData!L413))),DATE(VALUE(RIGHT(TRIM([1]RawShipmentData!L413),4)),VALUE(MID(TRIM([1]RawShipmentData!L413),FIND("/",TRIM([1]RawShipmentData!L413))+1,2)),VALUE(LEFT(TRIM([1]RawShipmentData!L413),FIND("/",TRIM([1]RawShipmentData!L413))-1))),DATEVALUE(TRIM([1]RawShipmentData!L413))))</f>
        <v>45455</v>
      </c>
      <c r="N412" s="2">
        <f t="shared" si="31"/>
        <v>7</v>
      </c>
      <c r="O412" s="2">
        <f t="shared" si="32"/>
        <v>-1</v>
      </c>
      <c r="P412" s="2" t="str">
        <f t="shared" si="33"/>
        <v>On Time</v>
      </c>
      <c r="Q412" s="2" t="str">
        <f>PROPER(SUBSTITUTE(TRIM([1]RawShipmentData!M413)," ","-"))</f>
        <v>Returned</v>
      </c>
      <c r="R412" s="4">
        <f t="shared" si="34"/>
        <v>20.103626943005182</v>
      </c>
      <c r="S412" s="2">
        <f>[1]RawShipmentData!N413</f>
        <v>0</v>
      </c>
      <c r="T412" s="2" t="str">
        <f>IF(OR(UPPER(TRIM([1]RawShipmentData!O413))="YES",UPPER(TRIM([1]RawShipmentData!O413))="Y"),"Yes","No")</f>
        <v>No</v>
      </c>
    </row>
    <row r="413" spans="1:20" x14ac:dyDescent="0.25">
      <c r="A413" s="2" t="str">
        <f>[1]RawShipmentData!A414</f>
        <v>SHP-100158</v>
      </c>
      <c r="B413" s="3">
        <f>IF(ISNUMBER(SEARCH("/",TRIM([1]RawShipmentData!B414))),DATE(VALUE(RIGHT(TRIM([1]RawShipmentData!B414),4)),VALUE(MID(TRIM([1]RawShipmentData!B414),FIND("/",TRIM([1]RawShipmentData!B414))+1,2)),VALUE(LEFT(TRIM([1]RawShipmentData!B414),FIND("/",TRIM([1]RawShipmentData!B414))-1))),DATEVALUE(TRIM([1]RawShipmentData!B414)))</f>
        <v>45336</v>
      </c>
      <c r="C413" s="2" t="str">
        <f>PROPER(TRIM([1]RawShipmentData!C414))</f>
        <v>Mumbai</v>
      </c>
      <c r="D413" s="2" t="str">
        <f>IFERROR(INDEX([1]HubMaster!$B$2:$B$7,MATCH(C413,[1]HubMaster!$A$2:$A$7,0)),"Unknown")</f>
        <v>West</v>
      </c>
      <c r="E413" s="2" t="str">
        <f>PROPER(TRIM(SUBSTITUTE([1]RawShipmentData!D414,"  "," ")))</f>
        <v>Xpressbees</v>
      </c>
      <c r="F413" s="2" t="str">
        <f>PROPER(TRIM([1]RawShipmentData!E414))</f>
        <v>Road</v>
      </c>
      <c r="G413" s="2" t="str">
        <f>PROPER(TRIM(SUBSTITUTE([1]RawShipmentData!F414,"  "," ")))</f>
        <v>Furniture</v>
      </c>
      <c r="H413" s="2" t="str">
        <f>PROPER(TRIM([1]RawShipmentData!G414))</f>
        <v>East</v>
      </c>
      <c r="I413" s="2" t="str">
        <f t="shared" si="30"/>
        <v>Yes</v>
      </c>
      <c r="J413" s="2">
        <f>IFERROR(VALUE(TRIM(SUBSTITUTE(UPPER([1]RawShipmentData!I413),"KG",""))),"")</f>
        <v>14.4</v>
      </c>
      <c r="K413" s="2">
        <f>VALUE(SUBSTITUTE(SUBSTITUTE(SUBSTITUTE(TRIM([1]RawShipmentData!J414),"₹",""),"Rs",""),",",""))</f>
        <v>841</v>
      </c>
      <c r="L413" s="2">
        <f>[1]RawShipmentData!K414</f>
        <v>8</v>
      </c>
      <c r="M413" s="3">
        <f>IF(TRIM([1]RawShipmentData!L414)="","",IF(ISNUMBER(SEARCH("/",TRIM([1]RawShipmentData!L414))),DATE(VALUE(RIGHT(TRIM([1]RawShipmentData!L414),4)),VALUE(MID(TRIM([1]RawShipmentData!L414),FIND("/",TRIM([1]RawShipmentData!L414))+1,2)),VALUE(LEFT(TRIM([1]RawShipmentData!L414),FIND("/",TRIM([1]RawShipmentData!L414))-1))),DATEVALUE(TRIM([1]RawShipmentData!L414))))</f>
        <v>45343</v>
      </c>
      <c r="N413" s="2">
        <f t="shared" si="31"/>
        <v>7</v>
      </c>
      <c r="O413" s="2">
        <f t="shared" si="32"/>
        <v>-1</v>
      </c>
      <c r="P413" s="2" t="str">
        <f t="shared" si="33"/>
        <v>On Time</v>
      </c>
      <c r="Q413" s="2" t="str">
        <f>PROPER(SUBSTITUTE(TRIM([1]RawShipmentData!M414)," ","-"))</f>
        <v>Delivered</v>
      </c>
      <c r="R413" s="4">
        <f t="shared" si="34"/>
        <v>58.402777777777779</v>
      </c>
      <c r="S413" s="2">
        <f>[1]RawShipmentData!N414</f>
        <v>4</v>
      </c>
      <c r="T413" s="2" t="str">
        <f>IF(OR(UPPER(TRIM([1]RawShipmentData!O414))="YES",UPPER(TRIM([1]RawShipmentData!O414))="Y"),"Yes","No")</f>
        <v>Yes</v>
      </c>
    </row>
    <row r="414" spans="1:20" x14ac:dyDescent="0.25">
      <c r="A414" s="2" t="str">
        <f>[1]RawShipmentData!A415</f>
        <v>SHP-101321</v>
      </c>
      <c r="B414" s="3">
        <f>IF(ISNUMBER(SEARCH("/",TRIM([1]RawShipmentData!B415))),DATE(VALUE(RIGHT(TRIM([1]RawShipmentData!B415),4)),VALUE(MID(TRIM([1]RawShipmentData!B415),FIND("/",TRIM([1]RawShipmentData!B415))+1,2)),VALUE(LEFT(TRIM([1]RawShipmentData!B415),FIND("/",TRIM([1]RawShipmentData!B415))-1))),DATEVALUE(TRIM([1]RawShipmentData!B415)))</f>
        <v>45393</v>
      </c>
      <c r="C414" s="2" t="str">
        <f>PROPER(TRIM([1]RawShipmentData!C415))</f>
        <v>Kolkata</v>
      </c>
      <c r="D414" s="2" t="str">
        <f>IFERROR(INDEX([1]HubMaster!$B$2:$B$7,MATCH(C414,[1]HubMaster!$A$2:$A$7,0)),"Unknown")</f>
        <v>East</v>
      </c>
      <c r="E414" s="2" t="str">
        <f>PROPER(TRIM(SUBSTITUTE([1]RawShipmentData!D415,"  "," ")))</f>
        <v>Ecom Express</v>
      </c>
      <c r="F414" s="2" t="str">
        <f>PROPER(TRIM([1]RawShipmentData!E415))</f>
        <v>Air</v>
      </c>
      <c r="G414" s="2" t="str">
        <f>PROPER(TRIM(SUBSTITUTE([1]RawShipmentData!F415,"  "," ")))</f>
        <v>Pharma</v>
      </c>
      <c r="H414" s="2" t="str">
        <f>PROPER(TRIM([1]RawShipmentData!G415))</f>
        <v>South</v>
      </c>
      <c r="I414" s="2" t="str">
        <f t="shared" si="30"/>
        <v>Yes</v>
      </c>
      <c r="J414" s="2">
        <f>IFERROR(VALUE(TRIM(SUBSTITUTE(UPPER([1]RawShipmentData!I414),"KG",""))),"")</f>
        <v>48.1</v>
      </c>
      <c r="K414" s="2">
        <f>VALUE(SUBSTITUTE(SUBSTITUTE(SUBSTITUTE(TRIM([1]RawShipmentData!J415),"₹",""),"Rs",""),",",""))</f>
        <v>179</v>
      </c>
      <c r="L414" s="2">
        <f>[1]RawShipmentData!K415</f>
        <v>4</v>
      </c>
      <c r="M414" s="3">
        <f>IF(TRIM([1]RawShipmentData!L415)="","",IF(ISNUMBER(SEARCH("/",TRIM([1]RawShipmentData!L415))),DATE(VALUE(RIGHT(TRIM([1]RawShipmentData!L415),4)),VALUE(MID(TRIM([1]RawShipmentData!L415),FIND("/",TRIM([1]RawShipmentData!L415))+1,2)),VALUE(LEFT(TRIM([1]RawShipmentData!L415),FIND("/",TRIM([1]RawShipmentData!L415))-1))),DATEVALUE(TRIM([1]RawShipmentData!L415))))</f>
        <v>45400</v>
      </c>
      <c r="N414" s="2">
        <f t="shared" si="31"/>
        <v>7</v>
      </c>
      <c r="O414" s="2">
        <f t="shared" si="32"/>
        <v>3</v>
      </c>
      <c r="P414" s="2" t="str">
        <f t="shared" si="33"/>
        <v>Late</v>
      </c>
      <c r="Q414" s="2" t="str">
        <f>PROPER(SUBSTITUTE(TRIM([1]RawShipmentData!M415)," ","-"))</f>
        <v>Delayed</v>
      </c>
      <c r="R414" s="4">
        <f t="shared" si="34"/>
        <v>3.7214137214137213</v>
      </c>
      <c r="S414" s="2">
        <f>[1]RawShipmentData!N415</f>
        <v>4</v>
      </c>
      <c r="T414" s="2" t="str">
        <f>IF(OR(UPPER(TRIM([1]RawShipmentData!O415))="YES",UPPER(TRIM([1]RawShipmentData!O415))="Y"),"Yes","No")</f>
        <v>Yes</v>
      </c>
    </row>
    <row r="415" spans="1:20" x14ac:dyDescent="0.25">
      <c r="A415" s="2" t="str">
        <f>[1]RawShipmentData!A416</f>
        <v>SHP-100692</v>
      </c>
      <c r="B415" s="3">
        <f>IF(ISNUMBER(SEARCH("/",TRIM([1]RawShipmentData!B416))),DATE(VALUE(RIGHT(TRIM([1]RawShipmentData!B416),4)),VALUE(MID(TRIM([1]RawShipmentData!B416),FIND("/",TRIM([1]RawShipmentData!B416))+1,2)),VALUE(LEFT(TRIM([1]RawShipmentData!B416),FIND("/",TRIM([1]RawShipmentData!B416))-1))),DATEVALUE(TRIM([1]RawShipmentData!B416)))</f>
        <v>45357</v>
      </c>
      <c r="C415" s="2" t="str">
        <f>PROPER(TRIM([1]RawShipmentData!C416))</f>
        <v>Mumbai</v>
      </c>
      <c r="D415" s="2" t="str">
        <f>IFERROR(INDEX([1]HubMaster!$B$2:$B$7,MATCH(C415,[1]HubMaster!$A$2:$A$7,0)),"Unknown")</f>
        <v>West</v>
      </c>
      <c r="E415" s="2" t="str">
        <f>PROPER(TRIM(SUBSTITUTE([1]RawShipmentData!D416,"  "," ")))</f>
        <v>Delhivery</v>
      </c>
      <c r="F415" s="2" t="str">
        <f>PROPER(TRIM([1]RawShipmentData!E416))</f>
        <v>Road</v>
      </c>
      <c r="G415" s="2" t="str">
        <f>PROPER(TRIM(SUBSTITUTE([1]RawShipmentData!F416,"  "," ")))</f>
        <v>Furniture</v>
      </c>
      <c r="H415" s="2" t="str">
        <f>PROPER(TRIM([1]RawShipmentData!G416))</f>
        <v>West</v>
      </c>
      <c r="I415" s="2" t="str">
        <f t="shared" si="30"/>
        <v>No</v>
      </c>
      <c r="J415" s="2">
        <f>IFERROR(VALUE(TRIM(SUBSTITUTE(UPPER([1]RawShipmentData!I415),"KG",""))),"")</f>
        <v>1</v>
      </c>
      <c r="K415" s="2">
        <f>VALUE(SUBSTITUTE(SUBSTITUTE(SUBSTITUTE(TRIM([1]RawShipmentData!J416),"₹",""),"Rs",""),",",""))</f>
        <v>456</v>
      </c>
      <c r="L415" s="2">
        <f>[1]RawShipmentData!K416</f>
        <v>6</v>
      </c>
      <c r="M415" s="3">
        <f>IF(TRIM([1]RawShipmentData!L416)="","",IF(ISNUMBER(SEARCH("/",TRIM([1]RawShipmentData!L416))),DATE(VALUE(RIGHT(TRIM([1]RawShipmentData!L416),4)),VALUE(MID(TRIM([1]RawShipmentData!L416),FIND("/",TRIM([1]RawShipmentData!L416))+1,2)),VALUE(LEFT(TRIM([1]RawShipmentData!L416),FIND("/",TRIM([1]RawShipmentData!L416))-1))),DATEVALUE(TRIM([1]RawShipmentData!L416))))</f>
        <v>45362</v>
      </c>
      <c r="N415" s="2">
        <f t="shared" si="31"/>
        <v>5</v>
      </c>
      <c r="O415" s="2">
        <f t="shared" si="32"/>
        <v>-1</v>
      </c>
      <c r="P415" s="2" t="str">
        <f t="shared" si="33"/>
        <v>On Time</v>
      </c>
      <c r="Q415" s="2" t="str">
        <f>PROPER(SUBSTITUTE(TRIM([1]RawShipmentData!M416)," ","-"))</f>
        <v>Delivered</v>
      </c>
      <c r="R415" s="4">
        <f t="shared" si="34"/>
        <v>456</v>
      </c>
      <c r="S415" s="2">
        <f>[1]RawShipmentData!N416</f>
        <v>5</v>
      </c>
      <c r="T415" s="2" t="str">
        <f>IF(OR(UPPER(TRIM([1]RawShipmentData!O416))="YES",UPPER(TRIM([1]RawShipmentData!O416))="Y"),"Yes","No")</f>
        <v>No</v>
      </c>
    </row>
    <row r="416" spans="1:20" x14ac:dyDescent="0.25">
      <c r="A416" s="2" t="str">
        <f>[1]RawShipmentData!A417</f>
        <v>SHP-101013</v>
      </c>
      <c r="B416" s="3">
        <f>IF(ISNUMBER(SEARCH("/",TRIM([1]RawShipmentData!B417))),DATE(VALUE(RIGHT(TRIM([1]RawShipmentData!B417),4)),VALUE(MID(TRIM([1]RawShipmentData!B417),FIND("/",TRIM([1]RawShipmentData!B417))+1,2)),VALUE(LEFT(TRIM([1]RawShipmentData!B417),FIND("/",TRIM([1]RawShipmentData!B417))-1))),DATEVALUE(TRIM([1]RawShipmentData!B417)))</f>
        <v>45454</v>
      </c>
      <c r="C416" s="2" t="str">
        <f>PROPER(TRIM([1]RawShipmentData!C417))</f>
        <v>Chennai</v>
      </c>
      <c r="D416" s="2" t="str">
        <f>IFERROR(INDEX([1]HubMaster!$B$2:$B$7,MATCH(C416,[1]HubMaster!$A$2:$A$7,0)),"Unknown")</f>
        <v>South</v>
      </c>
      <c r="E416" s="2" t="str">
        <f>PROPER(TRIM(SUBSTITUTE([1]RawShipmentData!D417,"  "," ")))</f>
        <v>Bluedart</v>
      </c>
      <c r="F416" s="2" t="str">
        <f>PROPER(TRIM([1]RawShipmentData!E417))</f>
        <v>Air</v>
      </c>
      <c r="G416" s="2" t="str">
        <f>PROPER(TRIM(SUBSTITUTE([1]RawShipmentData!F417,"  "," ")))</f>
        <v>Electronics</v>
      </c>
      <c r="H416" s="2" t="str">
        <f>PROPER(TRIM([1]RawShipmentData!G417))</f>
        <v>South</v>
      </c>
      <c r="I416" s="2" t="str">
        <f t="shared" si="30"/>
        <v>No</v>
      </c>
      <c r="J416" s="2">
        <f>IFERROR(VALUE(TRIM(SUBSTITUTE(UPPER([1]RawShipmentData!I416),"KG",""))),"")</f>
        <v>28.4</v>
      </c>
      <c r="K416" s="2">
        <f>VALUE(SUBSTITUTE(SUBSTITUTE(SUBSTITUTE(TRIM([1]RawShipmentData!J417),"₹",""),"Rs",""),",",""))</f>
        <v>119</v>
      </c>
      <c r="L416" s="2">
        <f>[1]RawShipmentData!K417</f>
        <v>2</v>
      </c>
      <c r="M416" s="3">
        <f>IF(TRIM([1]RawShipmentData!L417)="","",IF(ISNUMBER(SEARCH("/",TRIM([1]RawShipmentData!L417))),DATE(VALUE(RIGHT(TRIM([1]RawShipmentData!L417),4)),VALUE(MID(TRIM([1]RawShipmentData!L417),FIND("/",TRIM([1]RawShipmentData!L417))+1,2)),VALUE(LEFT(TRIM([1]RawShipmentData!L417),FIND("/",TRIM([1]RawShipmentData!L417))-1))),DATEVALUE(TRIM([1]RawShipmentData!L417))))</f>
        <v>45456</v>
      </c>
      <c r="N416" s="2">
        <f t="shared" si="31"/>
        <v>2</v>
      </c>
      <c r="O416" s="2">
        <f t="shared" si="32"/>
        <v>0</v>
      </c>
      <c r="P416" s="2" t="str">
        <f t="shared" si="33"/>
        <v>On Time</v>
      </c>
      <c r="Q416" s="2" t="str">
        <f>PROPER(SUBSTITUTE(TRIM([1]RawShipmentData!M417)," ","-"))</f>
        <v>Delivered</v>
      </c>
      <c r="R416" s="4">
        <f t="shared" si="34"/>
        <v>4.1901408450704229</v>
      </c>
      <c r="S416" s="2">
        <f>[1]RawShipmentData!N417</f>
        <v>5</v>
      </c>
      <c r="T416" s="2" t="str">
        <f>IF(OR(UPPER(TRIM([1]RawShipmentData!O417))="YES",UPPER(TRIM([1]RawShipmentData!O417))="Y"),"Yes","No")</f>
        <v>No</v>
      </c>
    </row>
    <row r="417" spans="1:20" x14ac:dyDescent="0.25">
      <c r="A417" s="2" t="str">
        <f>[1]RawShipmentData!A418</f>
        <v>SHP-100221</v>
      </c>
      <c r="B417" s="3">
        <f>IF(ISNUMBER(SEARCH("/",TRIM([1]RawShipmentData!B418))),DATE(VALUE(RIGHT(TRIM([1]RawShipmentData!B418),4)),VALUE(MID(TRIM([1]RawShipmentData!B418),FIND("/",TRIM([1]RawShipmentData!B418))+1,2)),VALUE(LEFT(TRIM([1]RawShipmentData!B418),FIND("/",TRIM([1]RawShipmentData!B418))-1))),DATEVALUE(TRIM([1]RawShipmentData!B418)))</f>
        <v>45316</v>
      </c>
      <c r="C417" s="2" t="str">
        <f>PROPER(TRIM([1]RawShipmentData!C418))</f>
        <v>Hyderabad</v>
      </c>
      <c r="D417" s="2" t="str">
        <f>IFERROR(INDEX([1]HubMaster!$B$2:$B$7,MATCH(C417,[1]HubMaster!$A$2:$A$7,0)),"Unknown")</f>
        <v>West</v>
      </c>
      <c r="E417" s="2" t="str">
        <f>PROPER(TRIM(SUBSTITUTE([1]RawShipmentData!D418,"  "," ")))</f>
        <v>Xpressbees</v>
      </c>
      <c r="F417" s="2" t="str">
        <f>PROPER(TRIM([1]RawShipmentData!E418))</f>
        <v>Surface</v>
      </c>
      <c r="G417" s="2" t="str">
        <f>PROPER(TRIM(SUBSTITUTE([1]RawShipmentData!F418,"  "," ")))</f>
        <v>Electronics</v>
      </c>
      <c r="H417" s="2" t="str">
        <f>PROPER(TRIM([1]RawShipmentData!G418))</f>
        <v>South</v>
      </c>
      <c r="I417" s="2" t="str">
        <f t="shared" si="30"/>
        <v>Yes</v>
      </c>
      <c r="J417" s="2">
        <f>IFERROR(VALUE(TRIM(SUBSTITUTE(UPPER([1]RawShipmentData!I417),"KG",""))),"")</f>
        <v>1.5</v>
      </c>
      <c r="K417" s="2">
        <f>VALUE(SUBSTITUTE(SUBSTITUTE(SUBSTITUTE(TRIM([1]RawShipmentData!J418),"₹",""),"Rs",""),",",""))</f>
        <v>270</v>
      </c>
      <c r="L417" s="2">
        <f>[1]RawShipmentData!K418</f>
        <v>6</v>
      </c>
      <c r="M417" s="3">
        <f>IF(TRIM([1]RawShipmentData!L418)="","",IF(ISNUMBER(SEARCH("/",TRIM([1]RawShipmentData!L418))),DATE(VALUE(RIGHT(TRIM([1]RawShipmentData!L418),4)),VALUE(MID(TRIM([1]RawShipmentData!L418),FIND("/",TRIM([1]RawShipmentData!L418))+1,2)),VALUE(LEFT(TRIM([1]RawShipmentData!L418),FIND("/",TRIM([1]RawShipmentData!L418))-1))),DATEVALUE(TRIM([1]RawShipmentData!L418))))</f>
        <v>45327</v>
      </c>
      <c r="N417" s="2">
        <f t="shared" si="31"/>
        <v>11</v>
      </c>
      <c r="O417" s="2">
        <f t="shared" si="32"/>
        <v>5</v>
      </c>
      <c r="P417" s="2" t="str">
        <f t="shared" si="33"/>
        <v>Late</v>
      </c>
      <c r="Q417" s="2" t="str">
        <f>PROPER(SUBSTITUTE(TRIM([1]RawShipmentData!M418)," ","-"))</f>
        <v>Delayed</v>
      </c>
      <c r="R417" s="4">
        <f t="shared" si="34"/>
        <v>180</v>
      </c>
      <c r="S417" s="2">
        <f>[1]RawShipmentData!N418</f>
        <v>5</v>
      </c>
      <c r="T417" s="2" t="str">
        <f>IF(OR(UPPER(TRIM([1]RawShipmentData!O418))="YES",UPPER(TRIM([1]RawShipmentData!O418))="Y"),"Yes","No")</f>
        <v>No</v>
      </c>
    </row>
    <row r="418" spans="1:20" x14ac:dyDescent="0.25">
      <c r="A418" s="2" t="str">
        <f>[1]RawShipmentData!A419</f>
        <v>SHP-100705</v>
      </c>
      <c r="B418" s="3">
        <f>IF(ISNUMBER(SEARCH("/",TRIM([1]RawShipmentData!B419))),DATE(VALUE(RIGHT(TRIM([1]RawShipmentData!B419),4)),VALUE(MID(TRIM([1]RawShipmentData!B419),FIND("/",TRIM([1]RawShipmentData!B419))+1,2)),VALUE(LEFT(TRIM([1]RawShipmentData!B419),FIND("/",TRIM([1]RawShipmentData!B419))-1))),DATEVALUE(TRIM([1]RawShipmentData!B419)))</f>
        <v>45465</v>
      </c>
      <c r="C418" s="2" t="str">
        <f>PROPER(TRIM([1]RawShipmentData!C419))</f>
        <v>Delhi</v>
      </c>
      <c r="D418" s="2" t="str">
        <f>IFERROR(INDEX([1]HubMaster!$B$2:$B$7,MATCH(C418,[1]HubMaster!$A$2:$A$7,0)),"Unknown")</f>
        <v>North</v>
      </c>
      <c r="E418" s="2" t="str">
        <f>PROPER(TRIM(SUBSTITUTE([1]RawShipmentData!D419,"  "," ")))</f>
        <v>Xpressbees</v>
      </c>
      <c r="F418" s="2" t="str">
        <f>PROPER(TRIM([1]RawShipmentData!E419))</f>
        <v>Surface</v>
      </c>
      <c r="G418" s="2" t="str">
        <f>PROPER(TRIM(SUBSTITUTE([1]RawShipmentData!F419,"  "," ")))</f>
        <v>Pharma</v>
      </c>
      <c r="H418" s="2" t="str">
        <f>PROPER(TRIM([1]RawShipmentData!G419))</f>
        <v>West</v>
      </c>
      <c r="I418" s="2" t="str">
        <f t="shared" si="30"/>
        <v>Yes</v>
      </c>
      <c r="J418" s="2">
        <f>IFERROR(VALUE(TRIM(SUBSTITUTE(UPPER([1]RawShipmentData!I418),"KG",""))),"")</f>
        <v>6.7</v>
      </c>
      <c r="K418" s="2">
        <f>VALUE(SUBSTITUTE(SUBSTITUTE(SUBSTITUTE(TRIM([1]RawShipmentData!J419),"₹",""),"Rs",""),",",""))</f>
        <v>169</v>
      </c>
      <c r="L418" s="2">
        <f>[1]RawShipmentData!K419</f>
        <v>6</v>
      </c>
      <c r="M418" s="3">
        <f>IF(TRIM([1]RawShipmentData!L419)="","",IF(ISNUMBER(SEARCH("/",TRIM([1]RawShipmentData!L419))),DATE(VALUE(RIGHT(TRIM([1]RawShipmentData!L419),4)),VALUE(MID(TRIM([1]RawShipmentData!L419),FIND("/",TRIM([1]RawShipmentData!L419))+1,2)),VALUE(LEFT(TRIM([1]RawShipmentData!L419),FIND("/",TRIM([1]RawShipmentData!L419))-1))),DATEVALUE(TRIM([1]RawShipmentData!L419))))</f>
        <v>45470</v>
      </c>
      <c r="N418" s="2">
        <f t="shared" si="31"/>
        <v>5</v>
      </c>
      <c r="O418" s="2">
        <f t="shared" si="32"/>
        <v>-1</v>
      </c>
      <c r="P418" s="2" t="str">
        <f t="shared" si="33"/>
        <v>On Time</v>
      </c>
      <c r="Q418" s="2" t="str">
        <f>PROPER(SUBSTITUTE(TRIM([1]RawShipmentData!M419)," ","-"))</f>
        <v>Delivered</v>
      </c>
      <c r="R418" s="4">
        <f t="shared" si="34"/>
        <v>25.223880597014926</v>
      </c>
      <c r="S418" s="2">
        <f>[1]RawShipmentData!N419</f>
        <v>3</v>
      </c>
      <c r="T418" s="2" t="str">
        <f>IF(OR(UPPER(TRIM([1]RawShipmentData!O419))="YES",UPPER(TRIM([1]RawShipmentData!O419))="Y"),"Yes","No")</f>
        <v>Yes</v>
      </c>
    </row>
    <row r="419" spans="1:20" x14ac:dyDescent="0.25">
      <c r="A419" s="2" t="str">
        <f>[1]RawShipmentData!A420</f>
        <v>SHP-100541</v>
      </c>
      <c r="B419" s="3">
        <f>IF(ISNUMBER(SEARCH("/",TRIM([1]RawShipmentData!B420))),DATE(VALUE(RIGHT(TRIM([1]RawShipmentData!B420),4)),VALUE(MID(TRIM([1]RawShipmentData!B420),FIND("/",TRIM([1]RawShipmentData!B420))+1,2)),VALUE(LEFT(TRIM([1]RawShipmentData!B420),FIND("/",TRIM([1]RawShipmentData!B420))-1))),DATEVALUE(TRIM([1]RawShipmentData!B420)))</f>
        <v>45379</v>
      </c>
      <c r="C419" s="2" t="str">
        <f>PROPER(TRIM([1]RawShipmentData!C420))</f>
        <v>Mumbai</v>
      </c>
      <c r="D419" s="2" t="str">
        <f>IFERROR(INDEX([1]HubMaster!$B$2:$B$7,MATCH(C419,[1]HubMaster!$A$2:$A$7,0)),"Unknown")</f>
        <v>West</v>
      </c>
      <c r="E419" s="2" t="str">
        <f>PROPER(TRIM(SUBSTITUTE([1]RawShipmentData!D420,"  "," ")))</f>
        <v>Xpress Bees</v>
      </c>
      <c r="F419" s="2" t="str">
        <f>PROPER(TRIM([1]RawShipmentData!E420))</f>
        <v>Surface</v>
      </c>
      <c r="G419" s="2" t="str">
        <f>PROPER(TRIM(SUBSTITUTE([1]RawShipmentData!F420,"  "," ")))</f>
        <v>Automotive Parts</v>
      </c>
      <c r="H419" s="2" t="str">
        <f>PROPER(TRIM([1]RawShipmentData!G420))</f>
        <v>North</v>
      </c>
      <c r="I419" s="2" t="str">
        <f t="shared" si="30"/>
        <v>Yes</v>
      </c>
      <c r="J419" s="2">
        <f>IFERROR(VALUE(TRIM(SUBSTITUTE(UPPER([1]RawShipmentData!I419),"KG",""))),"")</f>
        <v>1.7</v>
      </c>
      <c r="K419" s="2">
        <f>VALUE(SUBSTITUTE(SUBSTITUTE(SUBSTITUTE(TRIM([1]RawShipmentData!J420),"₹",""),"Rs",""),",",""))</f>
        <v>824</v>
      </c>
      <c r="L419" s="2">
        <f>[1]RawShipmentData!K420</f>
        <v>6</v>
      </c>
      <c r="M419" s="3">
        <f>IF(TRIM([1]RawShipmentData!L420)="","",IF(ISNUMBER(SEARCH("/",TRIM([1]RawShipmentData!L420))),DATE(VALUE(RIGHT(TRIM([1]RawShipmentData!L420),4)),VALUE(MID(TRIM([1]RawShipmentData!L420),FIND("/",TRIM([1]RawShipmentData!L420))+1,2)),VALUE(LEFT(TRIM([1]RawShipmentData!L420),FIND("/",TRIM([1]RawShipmentData!L420))-1))),DATEVALUE(TRIM([1]RawShipmentData!L420))))</f>
        <v>45388</v>
      </c>
      <c r="N419" s="2">
        <f t="shared" si="31"/>
        <v>9</v>
      </c>
      <c r="O419" s="2">
        <f t="shared" si="32"/>
        <v>3</v>
      </c>
      <c r="P419" s="2" t="str">
        <f t="shared" si="33"/>
        <v>Late</v>
      </c>
      <c r="Q419" s="2" t="str">
        <f>PROPER(SUBSTITUTE(TRIM([1]RawShipmentData!M420)," ","-"))</f>
        <v>Delayed</v>
      </c>
      <c r="R419" s="4">
        <f t="shared" si="34"/>
        <v>484.70588235294122</v>
      </c>
      <c r="S419" s="2">
        <f>[1]RawShipmentData!N420</f>
        <v>2</v>
      </c>
      <c r="T419" s="2" t="str">
        <f>IF(OR(UPPER(TRIM([1]RawShipmentData!O420))="YES",UPPER(TRIM([1]RawShipmentData!O420))="Y"),"Yes","No")</f>
        <v>Yes</v>
      </c>
    </row>
    <row r="420" spans="1:20" x14ac:dyDescent="0.25">
      <c r="A420" s="2" t="str">
        <f>[1]RawShipmentData!A421</f>
        <v>SHP-100988</v>
      </c>
      <c r="B420" s="3">
        <f>IF(ISNUMBER(SEARCH("/",TRIM([1]RawShipmentData!B421))),DATE(VALUE(RIGHT(TRIM([1]RawShipmentData!B421),4)),VALUE(MID(TRIM([1]RawShipmentData!B421),FIND("/",TRIM([1]RawShipmentData!B421))+1,2)),VALUE(LEFT(TRIM([1]RawShipmentData!B421),FIND("/",TRIM([1]RawShipmentData!B421))-1))),DATEVALUE(TRIM([1]RawShipmentData!B421)))</f>
        <v>45451</v>
      </c>
      <c r="C420" s="2" t="str">
        <f>PROPER(TRIM([1]RawShipmentData!C421))</f>
        <v>Bengaluru</v>
      </c>
      <c r="D420" s="2" t="str">
        <f>IFERROR(INDEX([1]HubMaster!$B$2:$B$7,MATCH(C420,[1]HubMaster!$A$2:$A$7,0)),"Unknown")</f>
        <v>South</v>
      </c>
      <c r="E420" s="2" t="str">
        <f>PROPER(TRIM(SUBSTITUTE([1]RawShipmentData!D421,"  "," ")))</f>
        <v>Dtdc</v>
      </c>
      <c r="F420" s="2" t="str">
        <f>PROPER(TRIM([1]RawShipmentData!E421))</f>
        <v>Surface</v>
      </c>
      <c r="G420" s="2" t="str">
        <f>PROPER(TRIM(SUBSTITUTE([1]RawShipmentData!F421,"  "," ")))</f>
        <v>Pharma</v>
      </c>
      <c r="H420" s="2" t="str">
        <f>PROPER(TRIM([1]RawShipmentData!G421))</f>
        <v>North</v>
      </c>
      <c r="I420" s="2" t="str">
        <f t="shared" si="30"/>
        <v>Yes</v>
      </c>
      <c r="J420" s="2">
        <f>IFERROR(VALUE(TRIM(SUBSTITUTE(UPPER([1]RawShipmentData!I420),"KG",""))),"")</f>
        <v>31.8</v>
      </c>
      <c r="K420" s="2">
        <f>VALUE(SUBSTITUTE(SUBSTITUTE(SUBSTITUTE(TRIM([1]RawShipmentData!J421),"₹",""),"Rs",""),",",""))</f>
        <v>236</v>
      </c>
      <c r="L420" s="2">
        <f>[1]RawShipmentData!K421</f>
        <v>6</v>
      </c>
      <c r="M420" s="3">
        <f>IF(TRIM([1]RawShipmentData!L421)="","",IF(ISNUMBER(SEARCH("/",TRIM([1]RawShipmentData!L421))),DATE(VALUE(RIGHT(TRIM([1]RawShipmentData!L421),4)),VALUE(MID(TRIM([1]RawShipmentData!L421),FIND("/",TRIM([1]RawShipmentData!L421))+1,2)),VALUE(LEFT(TRIM([1]RawShipmentData!L421),FIND("/",TRIM([1]RawShipmentData!L421))-1))),DATEVALUE(TRIM([1]RawShipmentData!L421))))</f>
        <v>45456</v>
      </c>
      <c r="N420" s="2">
        <f t="shared" si="31"/>
        <v>5</v>
      </c>
      <c r="O420" s="2">
        <f t="shared" si="32"/>
        <v>-1</v>
      </c>
      <c r="P420" s="2" t="str">
        <f t="shared" si="33"/>
        <v>On Time</v>
      </c>
      <c r="Q420" s="2" t="str">
        <f>PROPER(SUBSTITUTE(TRIM([1]RawShipmentData!M421)," ","-"))</f>
        <v>Delivered</v>
      </c>
      <c r="R420" s="4">
        <f t="shared" si="34"/>
        <v>7.4213836477987423</v>
      </c>
      <c r="S420" s="2">
        <f>[1]RawShipmentData!N421</f>
        <v>4</v>
      </c>
      <c r="T420" s="2" t="str">
        <f>IF(OR(UPPER(TRIM([1]RawShipmentData!O421))="YES",UPPER(TRIM([1]RawShipmentData!O421))="Y"),"Yes","No")</f>
        <v>No</v>
      </c>
    </row>
    <row r="421" spans="1:20" x14ac:dyDescent="0.25">
      <c r="A421" s="2" t="str">
        <f>[1]RawShipmentData!A422</f>
        <v>SHP-100144</v>
      </c>
      <c r="B421" s="3">
        <f>IF(ISNUMBER(SEARCH("/",TRIM([1]RawShipmentData!B422))),DATE(VALUE(RIGHT(TRIM([1]RawShipmentData!B422),4)),VALUE(MID(TRIM([1]RawShipmentData!B422),FIND("/",TRIM([1]RawShipmentData!B422))+1,2)),VALUE(LEFT(TRIM([1]RawShipmentData!B422),FIND("/",TRIM([1]RawShipmentData!B422))-1))),DATEVALUE(TRIM([1]RawShipmentData!B422)))</f>
        <v>45299</v>
      </c>
      <c r="C421" s="2" t="str">
        <f>PROPER(TRIM([1]RawShipmentData!C422))</f>
        <v>Bengaluru</v>
      </c>
      <c r="D421" s="2" t="str">
        <f>IFERROR(INDEX([1]HubMaster!$B$2:$B$7,MATCH(C421,[1]HubMaster!$A$2:$A$7,0)),"Unknown")</f>
        <v>South</v>
      </c>
      <c r="E421" s="2" t="str">
        <f>PROPER(TRIM(SUBSTITUTE([1]RawShipmentData!D422,"  "," ")))</f>
        <v>Delhivery</v>
      </c>
      <c r="F421" s="2" t="str">
        <f>PROPER(TRIM([1]RawShipmentData!E422))</f>
        <v>Air</v>
      </c>
      <c r="G421" s="2" t="str">
        <f>PROPER(TRIM(SUBSTITUTE([1]RawShipmentData!F422,"  "," ")))</f>
        <v>Automotive Parts</v>
      </c>
      <c r="H421" s="2" t="str">
        <f>PROPER(TRIM([1]RawShipmentData!G422))</f>
        <v>East</v>
      </c>
      <c r="I421" s="2" t="str">
        <f t="shared" si="30"/>
        <v>Yes</v>
      </c>
      <c r="J421" s="2">
        <f>IFERROR(VALUE(TRIM(SUBSTITUTE(UPPER([1]RawShipmentData!I421),"KG",""))),"")</f>
        <v>3.1</v>
      </c>
      <c r="K421" s="2">
        <f>VALUE(SUBSTITUTE(SUBSTITUTE(SUBSTITUTE(TRIM([1]RawShipmentData!J422),"₹",""),"Rs",""),",",""))</f>
        <v>847</v>
      </c>
      <c r="L421" s="2">
        <f>[1]RawShipmentData!K422</f>
        <v>4</v>
      </c>
      <c r="M421" s="3">
        <f>IF(TRIM([1]RawShipmentData!L422)="","",IF(ISNUMBER(SEARCH("/",TRIM([1]RawShipmentData!L422))),DATE(VALUE(RIGHT(TRIM([1]RawShipmentData!L422),4)),VALUE(MID(TRIM([1]RawShipmentData!L422),FIND("/",TRIM([1]RawShipmentData!L422))+1,2)),VALUE(LEFT(TRIM([1]RawShipmentData!L422),FIND("/",TRIM([1]RawShipmentData!L422))-1))),DATEVALUE(TRIM([1]RawShipmentData!L422))))</f>
        <v>45304</v>
      </c>
      <c r="N421" s="2">
        <f t="shared" si="31"/>
        <v>5</v>
      </c>
      <c r="O421" s="2">
        <f t="shared" si="32"/>
        <v>1</v>
      </c>
      <c r="P421" s="2" t="str">
        <f t="shared" si="33"/>
        <v>Late</v>
      </c>
      <c r="Q421" s="2" t="str">
        <f>PROPER(SUBSTITUTE(TRIM([1]RawShipmentData!M422)," ","-"))</f>
        <v>Delayed</v>
      </c>
      <c r="R421" s="4">
        <f t="shared" si="34"/>
        <v>273.22580645161287</v>
      </c>
      <c r="S421" s="2">
        <f>[1]RawShipmentData!N422</f>
        <v>5</v>
      </c>
      <c r="T421" s="2" t="str">
        <f>IF(OR(UPPER(TRIM([1]RawShipmentData!O422))="YES",UPPER(TRIM([1]RawShipmentData!O422))="Y"),"Yes","No")</f>
        <v>No</v>
      </c>
    </row>
    <row r="422" spans="1:20" x14ac:dyDescent="0.25">
      <c r="A422" s="2" t="str">
        <f>[1]RawShipmentData!A423</f>
        <v>SHP-100632</v>
      </c>
      <c r="B422" s="3">
        <f>IF(ISNUMBER(SEARCH("/",TRIM([1]RawShipmentData!B423))),DATE(VALUE(RIGHT(TRIM([1]RawShipmentData!B423),4)),VALUE(MID(TRIM([1]RawShipmentData!B423),FIND("/",TRIM([1]RawShipmentData!B423))+1,2)),VALUE(LEFT(TRIM([1]RawShipmentData!B423),FIND("/",TRIM([1]RawShipmentData!B423))-1))),DATEVALUE(TRIM([1]RawShipmentData!B423)))</f>
        <v>45368</v>
      </c>
      <c r="C422" s="2" t="str">
        <f>PROPER(TRIM([1]RawShipmentData!C423))</f>
        <v>Delhi</v>
      </c>
      <c r="D422" s="2" t="str">
        <f>IFERROR(INDEX([1]HubMaster!$B$2:$B$7,MATCH(C422,[1]HubMaster!$A$2:$A$7,0)),"Unknown")</f>
        <v>North</v>
      </c>
      <c r="E422" s="2" t="str">
        <f>PROPER(TRIM(SUBSTITUTE([1]RawShipmentData!D423,"  "," ")))</f>
        <v>Delhivery</v>
      </c>
      <c r="F422" s="2" t="str">
        <f>PROPER(TRIM([1]RawShipmentData!E423))</f>
        <v>Air</v>
      </c>
      <c r="G422" s="2" t="str">
        <f>PROPER(TRIM(SUBSTITUTE([1]RawShipmentData!F423,"  "," ")))</f>
        <v>Pharma</v>
      </c>
      <c r="H422" s="2" t="str">
        <f>PROPER(TRIM([1]RawShipmentData!G423))</f>
        <v>South</v>
      </c>
      <c r="I422" s="2" t="str">
        <f t="shared" si="30"/>
        <v>Yes</v>
      </c>
      <c r="J422" s="2">
        <f>IFERROR(VALUE(TRIM(SUBSTITUTE(UPPER([1]RawShipmentData!I422),"KG",""))),"")</f>
        <v>14.9</v>
      </c>
      <c r="K422" s="2">
        <f>VALUE(SUBSTITUTE(SUBSTITUTE(SUBSTITUTE(TRIM([1]RawShipmentData!J423),"₹",""),"Rs",""),",",""))</f>
        <v>350</v>
      </c>
      <c r="L422" s="2">
        <f>[1]RawShipmentData!K423</f>
        <v>4</v>
      </c>
      <c r="M422" s="3">
        <f>IF(TRIM([1]RawShipmentData!L423)="","",IF(ISNUMBER(SEARCH("/",TRIM([1]RawShipmentData!L423))),DATE(VALUE(RIGHT(TRIM([1]RawShipmentData!L423),4)),VALUE(MID(TRIM([1]RawShipmentData!L423),FIND("/",TRIM([1]RawShipmentData!L423))+1,2)),VALUE(LEFT(TRIM([1]RawShipmentData!L423),FIND("/",TRIM([1]RawShipmentData!L423))-1))),DATEVALUE(TRIM([1]RawShipmentData!L423))))</f>
        <v>45378</v>
      </c>
      <c r="N422" s="2">
        <f t="shared" si="31"/>
        <v>10</v>
      </c>
      <c r="O422" s="2">
        <f t="shared" si="32"/>
        <v>6</v>
      </c>
      <c r="P422" s="2" t="str">
        <f t="shared" si="33"/>
        <v>Late</v>
      </c>
      <c r="Q422" s="2" t="str">
        <f>PROPER(SUBSTITUTE(TRIM([1]RawShipmentData!M423)," ","-"))</f>
        <v>Delayed</v>
      </c>
      <c r="R422" s="4">
        <f t="shared" si="34"/>
        <v>23.48993288590604</v>
      </c>
      <c r="S422" s="2">
        <f>[1]RawShipmentData!N423</f>
        <v>2</v>
      </c>
      <c r="T422" s="2" t="str">
        <f>IF(OR(UPPER(TRIM([1]RawShipmentData!O423))="YES",UPPER(TRIM([1]RawShipmentData!O423))="Y"),"Yes","No")</f>
        <v>No</v>
      </c>
    </row>
    <row r="423" spans="1:20" x14ac:dyDescent="0.25">
      <c r="A423" s="2" t="str">
        <f>[1]RawShipmentData!A424</f>
        <v>SHP-100701</v>
      </c>
      <c r="B423" s="3">
        <f>IF(ISNUMBER(SEARCH("/",TRIM([1]RawShipmentData!B424))),DATE(VALUE(RIGHT(TRIM([1]RawShipmentData!B424),4)),VALUE(MID(TRIM([1]RawShipmentData!B424),FIND("/",TRIM([1]RawShipmentData!B424))+1,2)),VALUE(LEFT(TRIM([1]RawShipmentData!B424),FIND("/",TRIM([1]RawShipmentData!B424))-1))),DATEVALUE(TRIM([1]RawShipmentData!B424)))</f>
        <v>45354</v>
      </c>
      <c r="C423" s="2" t="str">
        <f>PROPER(TRIM([1]RawShipmentData!C424))</f>
        <v>Chennai</v>
      </c>
      <c r="D423" s="2" t="str">
        <f>IFERROR(INDEX([1]HubMaster!$B$2:$B$7,MATCH(C423,[1]HubMaster!$A$2:$A$7,0)),"Unknown")</f>
        <v>South</v>
      </c>
      <c r="E423" s="2" t="str">
        <f>PROPER(TRIM(SUBSTITUTE([1]RawShipmentData!D424,"  "," ")))</f>
        <v>Dtdc</v>
      </c>
      <c r="F423" s="2" t="str">
        <f>PROPER(TRIM([1]RawShipmentData!E424))</f>
        <v>Air</v>
      </c>
      <c r="G423" s="2" t="str">
        <f>PROPER(TRIM(SUBSTITUTE([1]RawShipmentData!F424,"  "," ")))</f>
        <v>Electronics</v>
      </c>
      <c r="H423" s="2" t="str">
        <f>PROPER(TRIM([1]RawShipmentData!G424))</f>
        <v>West</v>
      </c>
      <c r="I423" s="2" t="str">
        <f t="shared" si="30"/>
        <v>Yes</v>
      </c>
      <c r="J423" s="2">
        <f>IFERROR(VALUE(TRIM(SUBSTITUTE(UPPER([1]RawShipmentData!I423),"KG",""))),"")</f>
        <v>4</v>
      </c>
      <c r="K423" s="2">
        <f>VALUE(SUBSTITUTE(SUBSTITUTE(SUBSTITUTE(TRIM([1]RawShipmentData!J424),"₹",""),"Rs",""),",",""))</f>
        <v>339</v>
      </c>
      <c r="L423" s="2">
        <f>[1]RawShipmentData!K424</f>
        <v>4</v>
      </c>
      <c r="M423" s="3">
        <f>IF(TRIM([1]RawShipmentData!L424)="","",IF(ISNUMBER(SEARCH("/",TRIM([1]RawShipmentData!L424))),DATE(VALUE(RIGHT(TRIM([1]RawShipmentData!L424),4)),VALUE(MID(TRIM([1]RawShipmentData!L424),FIND("/",TRIM([1]RawShipmentData!L424))+1,2)),VALUE(LEFT(TRIM([1]RawShipmentData!L424),FIND("/",TRIM([1]RawShipmentData!L424))-1))),DATEVALUE(TRIM([1]RawShipmentData!L424))))</f>
        <v>45366</v>
      </c>
      <c r="N423" s="2">
        <f t="shared" si="31"/>
        <v>12</v>
      </c>
      <c r="O423" s="2">
        <f t="shared" si="32"/>
        <v>8</v>
      </c>
      <c r="P423" s="2" t="str">
        <f t="shared" si="33"/>
        <v>Late</v>
      </c>
      <c r="Q423" s="2" t="str">
        <f>PROPER(SUBSTITUTE(TRIM([1]RawShipmentData!M424)," ","-"))</f>
        <v>Returned</v>
      </c>
      <c r="R423" s="4">
        <f t="shared" si="34"/>
        <v>84.75</v>
      </c>
      <c r="S423" s="2">
        <f>[1]RawShipmentData!N424</f>
        <v>0</v>
      </c>
      <c r="T423" s="2" t="str">
        <f>IF(OR(UPPER(TRIM([1]RawShipmentData!O424))="YES",UPPER(TRIM([1]RawShipmentData!O424))="Y"),"Yes","No")</f>
        <v>Yes</v>
      </c>
    </row>
    <row r="424" spans="1:20" x14ac:dyDescent="0.25">
      <c r="A424" s="2" t="str">
        <f>[1]RawShipmentData!A425</f>
        <v>SHP-100191</v>
      </c>
      <c r="B424" s="3">
        <f>IF(ISNUMBER(SEARCH("/",TRIM([1]RawShipmentData!B425))),DATE(VALUE(RIGHT(TRIM([1]RawShipmentData!B425),4)),VALUE(MID(TRIM([1]RawShipmentData!B425),FIND("/",TRIM([1]RawShipmentData!B425))+1,2)),VALUE(LEFT(TRIM([1]RawShipmentData!B425),FIND("/",TRIM([1]RawShipmentData!B425))-1))),DATEVALUE(TRIM([1]RawShipmentData!B425)))</f>
        <v>45399</v>
      </c>
      <c r="C424" s="2" t="str">
        <f>PROPER(TRIM([1]RawShipmentData!C425))</f>
        <v>Mumbai</v>
      </c>
      <c r="D424" s="2" t="str">
        <f>IFERROR(INDEX([1]HubMaster!$B$2:$B$7,MATCH(C424,[1]HubMaster!$A$2:$A$7,0)),"Unknown")</f>
        <v>West</v>
      </c>
      <c r="E424" s="2" t="str">
        <f>PROPER(TRIM(SUBSTITUTE([1]RawShipmentData!D425,"  "," ")))</f>
        <v>Dtdc</v>
      </c>
      <c r="F424" s="2" t="str">
        <f>PROPER(TRIM([1]RawShipmentData!E425))</f>
        <v>Surface</v>
      </c>
      <c r="G424" s="2" t="str">
        <f>PROPER(TRIM(SUBSTITUTE([1]RawShipmentData!F425,"  "," ")))</f>
        <v>Apparel</v>
      </c>
      <c r="H424" s="2" t="str">
        <f>PROPER(TRIM([1]RawShipmentData!G425))</f>
        <v>East</v>
      </c>
      <c r="I424" s="2" t="str">
        <f t="shared" si="30"/>
        <v>Yes</v>
      </c>
      <c r="J424" s="2" t="str">
        <f>IFERROR(VALUE(TRIM(SUBSTITUTE(UPPER([1]RawShipmentData!I424),"KG",""))),"")</f>
        <v/>
      </c>
      <c r="K424" s="2">
        <f>VALUE(SUBSTITUTE(SUBSTITUTE(SUBSTITUTE(TRIM([1]RawShipmentData!J425),"₹",""),"Rs",""),",",""))</f>
        <v>285</v>
      </c>
      <c r="L424" s="2">
        <f>[1]RawShipmentData!K425</f>
        <v>6</v>
      </c>
      <c r="M424" s="3">
        <f>IF(TRIM([1]RawShipmentData!L425)="","",IF(ISNUMBER(SEARCH("/",TRIM([1]RawShipmentData!L425))),DATE(VALUE(RIGHT(TRIM([1]RawShipmentData!L425),4)),VALUE(MID(TRIM([1]RawShipmentData!L425),FIND("/",TRIM([1]RawShipmentData!L425))+1,2)),VALUE(LEFT(TRIM([1]RawShipmentData!L425),FIND("/",TRIM([1]RawShipmentData!L425))-1))),DATEVALUE(TRIM([1]RawShipmentData!L425))))</f>
        <v>45413</v>
      </c>
      <c r="N424" s="2">
        <f t="shared" si="31"/>
        <v>14</v>
      </c>
      <c r="O424" s="2">
        <f t="shared" si="32"/>
        <v>8</v>
      </c>
      <c r="P424" s="2" t="str">
        <f t="shared" si="33"/>
        <v>Late</v>
      </c>
      <c r="Q424" s="2" t="str">
        <f>PROPER(SUBSTITUTE(TRIM([1]RawShipmentData!M425)," ","-"))</f>
        <v>Delayed</v>
      </c>
      <c r="R424" s="4" t="str">
        <f t="shared" si="34"/>
        <v/>
      </c>
      <c r="S424" s="2">
        <f>[1]RawShipmentData!N425</f>
        <v>1</v>
      </c>
      <c r="T424" s="2" t="str">
        <f>IF(OR(UPPER(TRIM([1]RawShipmentData!O425))="YES",UPPER(TRIM([1]RawShipmentData!O425))="Y"),"Yes","No")</f>
        <v>No</v>
      </c>
    </row>
    <row r="425" spans="1:20" x14ac:dyDescent="0.25">
      <c r="A425" s="2" t="str">
        <f>[1]RawShipmentData!A426</f>
        <v>SHP-100212</v>
      </c>
      <c r="B425" s="3">
        <f>IF(ISNUMBER(SEARCH("/",TRIM([1]RawShipmentData!B426))),DATE(VALUE(RIGHT(TRIM([1]RawShipmentData!B426),4)),VALUE(MID(TRIM([1]RawShipmentData!B426),FIND("/",TRIM([1]RawShipmentData!B426))+1,2)),VALUE(LEFT(TRIM([1]RawShipmentData!B426),FIND("/",TRIM([1]RawShipmentData!B426))-1))),DATEVALUE(TRIM([1]RawShipmentData!B426)))</f>
        <v>45422</v>
      </c>
      <c r="C425" s="2" t="str">
        <f>PROPER(TRIM([1]RawShipmentData!C426))</f>
        <v>Kolkata</v>
      </c>
      <c r="D425" s="2" t="str">
        <f>IFERROR(INDEX([1]HubMaster!$B$2:$B$7,MATCH(C425,[1]HubMaster!$A$2:$A$7,0)),"Unknown")</f>
        <v>East</v>
      </c>
      <c r="E425" s="2" t="str">
        <f>PROPER(TRIM(SUBSTITUTE([1]RawShipmentData!D426,"  "," ")))</f>
        <v>Xpressbees</v>
      </c>
      <c r="F425" s="2" t="str">
        <f>PROPER(TRIM([1]RawShipmentData!E426))</f>
        <v>Road</v>
      </c>
      <c r="G425" s="2" t="str">
        <f>PROPER(TRIM(SUBSTITUTE([1]RawShipmentData!F426,"  "," ")))</f>
        <v>Grocery &amp; Fmcg</v>
      </c>
      <c r="H425" s="2" t="str">
        <f>PROPER(TRIM([1]RawShipmentData!G426))</f>
        <v>West</v>
      </c>
      <c r="I425" s="2" t="str">
        <f t="shared" si="30"/>
        <v>Yes</v>
      </c>
      <c r="J425" s="2">
        <f>IFERROR(VALUE(TRIM(SUBSTITUTE(UPPER([1]RawShipmentData!I425),"KG",""))),"")</f>
        <v>5.6</v>
      </c>
      <c r="K425" s="2">
        <f>VALUE(SUBSTITUTE(SUBSTITUTE(SUBSTITUTE(TRIM([1]RawShipmentData!J426),"₹",""),"Rs",""),",",""))</f>
        <v>275</v>
      </c>
      <c r="L425" s="2">
        <f>[1]RawShipmentData!K426</f>
        <v>8</v>
      </c>
      <c r="M425" s="3">
        <f>IF(TRIM([1]RawShipmentData!L426)="","",IF(ISNUMBER(SEARCH("/",TRIM([1]RawShipmentData!L426))),DATE(VALUE(RIGHT(TRIM([1]RawShipmentData!L426),4)),VALUE(MID(TRIM([1]RawShipmentData!L426),FIND("/",TRIM([1]RawShipmentData!L426))+1,2)),VALUE(LEFT(TRIM([1]RawShipmentData!L426),FIND("/",TRIM([1]RawShipmentData!L426))-1))),DATEVALUE(TRIM([1]RawShipmentData!L426))))</f>
        <v>45429</v>
      </c>
      <c r="N425" s="2">
        <f t="shared" si="31"/>
        <v>7</v>
      </c>
      <c r="O425" s="2">
        <f t="shared" si="32"/>
        <v>-1</v>
      </c>
      <c r="P425" s="2" t="str">
        <f t="shared" si="33"/>
        <v>On Time</v>
      </c>
      <c r="Q425" s="2" t="str">
        <f>PROPER(SUBSTITUTE(TRIM([1]RawShipmentData!M426)," ","-"))</f>
        <v>Delivered</v>
      </c>
      <c r="R425" s="4">
        <f t="shared" si="34"/>
        <v>49.107142857142861</v>
      </c>
      <c r="S425" s="2">
        <f>[1]RawShipmentData!N426</f>
        <v>2</v>
      </c>
      <c r="T425" s="2" t="str">
        <f>IF(OR(UPPER(TRIM([1]RawShipmentData!O426))="YES",UPPER(TRIM([1]RawShipmentData!O426))="Y"),"Yes","No")</f>
        <v>Yes</v>
      </c>
    </row>
    <row r="426" spans="1:20" x14ac:dyDescent="0.25">
      <c r="A426" s="2" t="str">
        <f>[1]RawShipmentData!A427</f>
        <v>SHP-100698</v>
      </c>
      <c r="B426" s="3">
        <f>IF(ISNUMBER(SEARCH("/",TRIM([1]RawShipmentData!B427))),DATE(VALUE(RIGHT(TRIM([1]RawShipmentData!B427),4)),VALUE(MID(TRIM([1]RawShipmentData!B427),FIND("/",TRIM([1]RawShipmentData!B427))+1,2)),VALUE(LEFT(TRIM([1]RawShipmentData!B427),FIND("/",TRIM([1]RawShipmentData!B427))-1))),DATEVALUE(TRIM([1]RawShipmentData!B427)))</f>
        <v>45318</v>
      </c>
      <c r="C426" s="2" t="str">
        <f>PROPER(TRIM([1]RawShipmentData!C427))</f>
        <v>Kolkata</v>
      </c>
      <c r="D426" s="2" t="str">
        <f>IFERROR(INDEX([1]HubMaster!$B$2:$B$7,MATCH(C426,[1]HubMaster!$A$2:$A$7,0)),"Unknown")</f>
        <v>East</v>
      </c>
      <c r="E426" s="2" t="str">
        <f>PROPER(TRIM(SUBSTITUTE([1]RawShipmentData!D427,"  "," ")))</f>
        <v>Delhivery</v>
      </c>
      <c r="F426" s="2" t="str">
        <f>PROPER(TRIM([1]RawShipmentData!E427))</f>
        <v>Road</v>
      </c>
      <c r="G426" s="2" t="str">
        <f>PROPER(TRIM(SUBSTITUTE([1]RawShipmentData!F427,"  "," ")))</f>
        <v>Electronics</v>
      </c>
      <c r="H426" s="2" t="str">
        <f>PROPER(TRIM([1]RawShipmentData!G427))</f>
        <v>East</v>
      </c>
      <c r="I426" s="2" t="str">
        <f t="shared" si="30"/>
        <v>No</v>
      </c>
      <c r="J426" s="2">
        <f>IFERROR(VALUE(TRIM(SUBSTITUTE(UPPER([1]RawShipmentData!I426),"KG",""))),"")</f>
        <v>5</v>
      </c>
      <c r="K426" s="2">
        <f>VALUE(SUBSTITUTE(SUBSTITUTE(SUBSTITUTE(TRIM([1]RawShipmentData!J427),"₹",""),"Rs",""),",",""))</f>
        <v>96</v>
      </c>
      <c r="L426" s="2">
        <f>[1]RawShipmentData!K427</f>
        <v>6</v>
      </c>
      <c r="M426" s="3">
        <f>IF(TRIM([1]RawShipmentData!L427)="","",IF(ISNUMBER(SEARCH("/",TRIM([1]RawShipmentData!L427))),DATE(VALUE(RIGHT(TRIM([1]RawShipmentData!L427),4)),VALUE(MID(TRIM([1]RawShipmentData!L427),FIND("/",TRIM([1]RawShipmentData!L427))+1,2)),VALUE(LEFT(TRIM([1]RawShipmentData!L427),FIND("/",TRIM([1]RawShipmentData!L427))-1))),DATEVALUE(TRIM([1]RawShipmentData!L427))))</f>
        <v>45326</v>
      </c>
      <c r="N426" s="2">
        <f t="shared" si="31"/>
        <v>8</v>
      </c>
      <c r="O426" s="2">
        <f t="shared" si="32"/>
        <v>2</v>
      </c>
      <c r="P426" s="2" t="str">
        <f t="shared" si="33"/>
        <v>Late</v>
      </c>
      <c r="Q426" s="2" t="str">
        <f>PROPER(SUBSTITUTE(TRIM([1]RawShipmentData!M427)," ","-"))</f>
        <v>Delayed</v>
      </c>
      <c r="R426" s="4">
        <f t="shared" si="34"/>
        <v>19.2</v>
      </c>
      <c r="S426" s="2">
        <f>[1]RawShipmentData!N427</f>
        <v>5</v>
      </c>
      <c r="T426" s="2" t="str">
        <f>IF(OR(UPPER(TRIM([1]RawShipmentData!O427))="YES",UPPER(TRIM([1]RawShipmentData!O427))="Y"),"Yes","No")</f>
        <v>No</v>
      </c>
    </row>
    <row r="427" spans="1:20" x14ac:dyDescent="0.25">
      <c r="A427" s="2" t="str">
        <f>[1]RawShipmentData!A428</f>
        <v>SHP-100520</v>
      </c>
      <c r="B427" s="3">
        <f>IF(ISNUMBER(SEARCH("/",TRIM([1]RawShipmentData!B428))),DATE(VALUE(RIGHT(TRIM([1]RawShipmentData!B428),4)),VALUE(MID(TRIM([1]RawShipmentData!B428),FIND("/",TRIM([1]RawShipmentData!B428))+1,2)),VALUE(LEFT(TRIM([1]RawShipmentData!B428),FIND("/",TRIM([1]RawShipmentData!B428))-1))),DATEVALUE(TRIM([1]RawShipmentData!B428)))</f>
        <v>45423</v>
      </c>
      <c r="C427" s="2" t="str">
        <f>PROPER(TRIM([1]RawShipmentData!C428))</f>
        <v>Mumbai</v>
      </c>
      <c r="D427" s="2" t="str">
        <f>IFERROR(INDEX([1]HubMaster!$B$2:$B$7,MATCH(C427,[1]HubMaster!$A$2:$A$7,0)),"Unknown")</f>
        <v>West</v>
      </c>
      <c r="E427" s="2" t="str">
        <f>PROPER(TRIM(SUBSTITUTE([1]RawShipmentData!D428,"  "," ")))</f>
        <v>Delhivery</v>
      </c>
      <c r="F427" s="2" t="str">
        <f>PROPER(TRIM([1]RawShipmentData!E428))</f>
        <v>Road</v>
      </c>
      <c r="G427" s="2" t="str">
        <f>PROPER(TRIM(SUBSTITUTE([1]RawShipmentData!F428,"  "," ")))</f>
        <v>Electronics</v>
      </c>
      <c r="H427" s="2" t="str">
        <f>PROPER(TRIM([1]RawShipmentData!G428))</f>
        <v>North</v>
      </c>
      <c r="I427" s="2" t="str">
        <f t="shared" si="30"/>
        <v>Yes</v>
      </c>
      <c r="J427" s="2">
        <f>IFERROR(VALUE(TRIM(SUBSTITUTE(UPPER([1]RawShipmentData!I427),"KG",""))),"")</f>
        <v>2.9</v>
      </c>
      <c r="K427" s="2">
        <f>VALUE(SUBSTITUTE(SUBSTITUTE(SUBSTITUTE(TRIM([1]RawShipmentData!J428),"₹",""),"Rs",""),",",""))</f>
        <v>159</v>
      </c>
      <c r="L427" s="2">
        <f>[1]RawShipmentData!K428</f>
        <v>8</v>
      </c>
      <c r="M427" s="3">
        <f>IF(TRIM([1]RawShipmentData!L428)="","",IF(ISNUMBER(SEARCH("/",TRIM([1]RawShipmentData!L428))),DATE(VALUE(RIGHT(TRIM([1]RawShipmentData!L428),4)),VALUE(MID(TRIM([1]RawShipmentData!L428),FIND("/",TRIM([1]RawShipmentData!L428))+1,2)),VALUE(LEFT(TRIM([1]RawShipmentData!L428),FIND("/",TRIM([1]RawShipmentData!L428))-1))),DATEVALUE(TRIM([1]RawShipmentData!L428))))</f>
        <v>45432</v>
      </c>
      <c r="N427" s="2">
        <f t="shared" si="31"/>
        <v>9</v>
      </c>
      <c r="O427" s="2">
        <f t="shared" si="32"/>
        <v>1</v>
      </c>
      <c r="P427" s="2" t="str">
        <f t="shared" si="33"/>
        <v>Late</v>
      </c>
      <c r="Q427" s="2" t="str">
        <f>PROPER(SUBSTITUTE(TRIM([1]RawShipmentData!M428)," ","-"))</f>
        <v>Delayed</v>
      </c>
      <c r="R427" s="4">
        <f t="shared" si="34"/>
        <v>54.827586206896555</v>
      </c>
      <c r="S427" s="2">
        <f>[1]RawShipmentData!N428</f>
        <v>3</v>
      </c>
      <c r="T427" s="2" t="str">
        <f>IF(OR(UPPER(TRIM([1]RawShipmentData!O428))="YES",UPPER(TRIM([1]RawShipmentData!O428))="Y"),"Yes","No")</f>
        <v>No</v>
      </c>
    </row>
    <row r="428" spans="1:20" x14ac:dyDescent="0.25">
      <c r="A428" s="2" t="str">
        <f>[1]RawShipmentData!A429</f>
        <v>SHP-100762</v>
      </c>
      <c r="B428" s="3">
        <f>IF(ISNUMBER(SEARCH("/",TRIM([1]RawShipmentData!B429))),DATE(VALUE(RIGHT(TRIM([1]RawShipmentData!B429),4)),VALUE(MID(TRIM([1]RawShipmentData!B429),FIND("/",TRIM([1]RawShipmentData!B429))+1,2)),VALUE(LEFT(TRIM([1]RawShipmentData!B429),FIND("/",TRIM([1]RawShipmentData!B429))-1))),DATEVALUE(TRIM([1]RawShipmentData!B429)))</f>
        <v>45446</v>
      </c>
      <c r="C428" s="2" t="str">
        <f>PROPER(TRIM([1]RawShipmentData!C429))</f>
        <v>Hyderabad</v>
      </c>
      <c r="D428" s="2" t="str">
        <f>IFERROR(INDEX([1]HubMaster!$B$2:$B$7,MATCH(C428,[1]HubMaster!$A$2:$A$7,0)),"Unknown")</f>
        <v>West</v>
      </c>
      <c r="E428" s="2" t="str">
        <f>PROPER(TRIM(SUBSTITUTE([1]RawShipmentData!D429,"  "," ")))</f>
        <v>Ecom Express</v>
      </c>
      <c r="F428" s="2" t="str">
        <f>PROPER(TRIM([1]RawShipmentData!E429))</f>
        <v>Air</v>
      </c>
      <c r="G428" s="2" t="str">
        <f>PROPER(TRIM(SUBSTITUTE([1]RawShipmentData!F429,"  "," ")))</f>
        <v>Electronics</v>
      </c>
      <c r="H428" s="2" t="str">
        <f>PROPER(TRIM([1]RawShipmentData!G429))</f>
        <v>North</v>
      </c>
      <c r="I428" s="2" t="str">
        <f t="shared" si="30"/>
        <v>Yes</v>
      </c>
      <c r="J428" s="2">
        <f>IFERROR(VALUE(TRIM(SUBSTITUTE(UPPER([1]RawShipmentData!I428),"KG",""))),"")</f>
        <v>2.1</v>
      </c>
      <c r="K428" s="2">
        <f>VALUE(SUBSTITUTE(SUBSTITUTE(SUBSTITUTE(TRIM([1]RawShipmentData!J429),"₹",""),"Rs",""),",",""))</f>
        <v>511</v>
      </c>
      <c r="L428" s="2">
        <f>[1]RawShipmentData!K429</f>
        <v>4</v>
      </c>
      <c r="M428" s="3">
        <f>IF(TRIM([1]RawShipmentData!L429)="","",IF(ISNUMBER(SEARCH("/",TRIM([1]RawShipmentData!L429))),DATE(VALUE(RIGHT(TRIM([1]RawShipmentData!L429),4)),VALUE(MID(TRIM([1]RawShipmentData!L429),FIND("/",TRIM([1]RawShipmentData!L429))+1,2)),VALUE(LEFT(TRIM([1]RawShipmentData!L429),FIND("/",TRIM([1]RawShipmentData!L429))-1))),DATEVALUE(TRIM([1]RawShipmentData!L429))))</f>
        <v>45451</v>
      </c>
      <c r="N428" s="2">
        <f t="shared" si="31"/>
        <v>5</v>
      </c>
      <c r="O428" s="2">
        <f t="shared" si="32"/>
        <v>1</v>
      </c>
      <c r="P428" s="2" t="str">
        <f t="shared" si="33"/>
        <v>Late</v>
      </c>
      <c r="Q428" s="2" t="str">
        <f>PROPER(SUBSTITUTE(TRIM([1]RawShipmentData!M429)," ","-"))</f>
        <v>Delayed</v>
      </c>
      <c r="R428" s="4">
        <f t="shared" si="34"/>
        <v>243.33333333333331</v>
      </c>
      <c r="S428" s="2">
        <f>[1]RawShipmentData!N429</f>
        <v>1</v>
      </c>
      <c r="T428" s="2" t="str">
        <f>IF(OR(UPPER(TRIM([1]RawShipmentData!O429))="YES",UPPER(TRIM([1]RawShipmentData!O429))="Y"),"Yes","No")</f>
        <v>Yes</v>
      </c>
    </row>
    <row r="429" spans="1:20" x14ac:dyDescent="0.25">
      <c r="A429" s="2" t="str">
        <f>[1]RawShipmentData!A430</f>
        <v>SHP-100904</v>
      </c>
      <c r="B429" s="3">
        <f>IF(ISNUMBER(SEARCH("/",TRIM([1]RawShipmentData!B430))),DATE(VALUE(RIGHT(TRIM([1]RawShipmentData!B430),4)),VALUE(MID(TRIM([1]RawShipmentData!B430),FIND("/",TRIM([1]RawShipmentData!B430))+1,2)),VALUE(LEFT(TRIM([1]RawShipmentData!B430),FIND("/",TRIM([1]RawShipmentData!B430))-1))),DATEVALUE(TRIM([1]RawShipmentData!B430)))</f>
        <v>45364</v>
      </c>
      <c r="C429" s="2" t="str">
        <f>PROPER(TRIM([1]RawShipmentData!C430))</f>
        <v>Delhi</v>
      </c>
      <c r="D429" s="2" t="str">
        <f>IFERROR(INDEX([1]HubMaster!$B$2:$B$7,MATCH(C429,[1]HubMaster!$A$2:$A$7,0)),"Unknown")</f>
        <v>North</v>
      </c>
      <c r="E429" s="2" t="str">
        <f>PROPER(TRIM(SUBSTITUTE([1]RawShipmentData!D430,"  "," ")))</f>
        <v>Ecom Express</v>
      </c>
      <c r="F429" s="2" t="str">
        <f>PROPER(TRIM([1]RawShipmentData!E430))</f>
        <v>Surface</v>
      </c>
      <c r="G429" s="2" t="str">
        <f>PROPER(TRIM(SUBSTITUTE([1]RawShipmentData!F430,"  "," ")))</f>
        <v>Furniture</v>
      </c>
      <c r="H429" s="2" t="str">
        <f>PROPER(TRIM([1]RawShipmentData!G430))</f>
        <v>South</v>
      </c>
      <c r="I429" s="2" t="str">
        <f t="shared" si="30"/>
        <v>Yes</v>
      </c>
      <c r="J429" s="2">
        <f>IFERROR(VALUE(TRIM(SUBSTITUTE(UPPER([1]RawShipmentData!I429),"KG",""))),"")</f>
        <v>8.1</v>
      </c>
      <c r="K429" s="2">
        <f>VALUE(SUBSTITUTE(SUBSTITUTE(SUBSTITUTE(TRIM([1]RawShipmentData!J430),"₹",""),"Rs",""),",",""))</f>
        <v>715</v>
      </c>
      <c r="L429" s="2">
        <f>[1]RawShipmentData!K430</f>
        <v>6</v>
      </c>
      <c r="M429" s="3">
        <f>IF(TRIM([1]RawShipmentData!L430)="","",IF(ISNUMBER(SEARCH("/",TRIM([1]RawShipmentData!L430))),DATE(VALUE(RIGHT(TRIM([1]RawShipmentData!L430),4)),VALUE(MID(TRIM([1]RawShipmentData!L430),FIND("/",TRIM([1]RawShipmentData!L430))+1,2)),VALUE(LEFT(TRIM([1]RawShipmentData!L430),FIND("/",TRIM([1]RawShipmentData!L430))-1))),DATEVALUE(TRIM([1]RawShipmentData!L430))))</f>
        <v>45378</v>
      </c>
      <c r="N429" s="2">
        <f t="shared" si="31"/>
        <v>14</v>
      </c>
      <c r="O429" s="2">
        <f t="shared" si="32"/>
        <v>8</v>
      </c>
      <c r="P429" s="2" t="str">
        <f t="shared" si="33"/>
        <v>Late</v>
      </c>
      <c r="Q429" s="2" t="str">
        <f>PROPER(SUBSTITUTE(TRIM([1]RawShipmentData!M430)," ","-"))</f>
        <v>Delayed</v>
      </c>
      <c r="R429" s="4">
        <f t="shared" si="34"/>
        <v>88.271604938271608</v>
      </c>
      <c r="S429" s="2">
        <f>[1]RawShipmentData!N430</f>
        <v>3</v>
      </c>
      <c r="T429" s="2" t="str">
        <f>IF(OR(UPPER(TRIM([1]RawShipmentData!O430))="YES",UPPER(TRIM([1]RawShipmentData!O430))="Y"),"Yes","No")</f>
        <v>No</v>
      </c>
    </row>
    <row r="430" spans="1:20" x14ac:dyDescent="0.25">
      <c r="A430" s="2" t="str">
        <f>[1]RawShipmentData!A431</f>
        <v>SHP-100307</v>
      </c>
      <c r="B430" s="3">
        <f>IF(ISNUMBER(SEARCH("/",TRIM([1]RawShipmentData!B431))),DATE(VALUE(RIGHT(TRIM([1]RawShipmentData!B431),4)),VALUE(MID(TRIM([1]RawShipmentData!B431),FIND("/",TRIM([1]RawShipmentData!B431))+1,2)),VALUE(LEFT(TRIM([1]RawShipmentData!B431),FIND("/",TRIM([1]RawShipmentData!B431))-1))),DATEVALUE(TRIM([1]RawShipmentData!B431)))</f>
        <v>45342</v>
      </c>
      <c r="C430" s="2" t="str">
        <f>PROPER(TRIM([1]RawShipmentData!C431))</f>
        <v>Kolkata</v>
      </c>
      <c r="D430" s="2" t="str">
        <f>IFERROR(INDEX([1]HubMaster!$B$2:$B$7,MATCH(C430,[1]HubMaster!$A$2:$A$7,0)),"Unknown")</f>
        <v>East</v>
      </c>
      <c r="E430" s="2" t="str">
        <f>PROPER(TRIM(SUBSTITUTE([1]RawShipmentData!D431,"  "," ")))</f>
        <v>Delhivery</v>
      </c>
      <c r="F430" s="2" t="str">
        <f>PROPER(TRIM([1]RawShipmentData!E431))</f>
        <v>Road</v>
      </c>
      <c r="G430" s="2" t="str">
        <f>PROPER(TRIM(SUBSTITUTE([1]RawShipmentData!F431,"  "," ")))</f>
        <v>Electronics</v>
      </c>
      <c r="H430" s="2" t="str">
        <f>PROPER(TRIM([1]RawShipmentData!G431))</f>
        <v>East</v>
      </c>
      <c r="I430" s="2" t="str">
        <f t="shared" si="30"/>
        <v>No</v>
      </c>
      <c r="J430" s="2">
        <f>IFERROR(VALUE(TRIM(SUBSTITUTE(UPPER([1]RawShipmentData!I430),"KG",""))),"")</f>
        <v>23.8</v>
      </c>
      <c r="K430" s="2">
        <f>VALUE(SUBSTITUTE(SUBSTITUTE(SUBSTITUTE(TRIM([1]RawShipmentData!J431),"₹",""),"Rs",""),",",""))</f>
        <v>145</v>
      </c>
      <c r="L430" s="2">
        <f>[1]RawShipmentData!K431</f>
        <v>6</v>
      </c>
      <c r="M430" s="3">
        <f>IF(TRIM([1]RawShipmentData!L431)="","",IF(ISNUMBER(SEARCH("/",TRIM([1]RawShipmentData!L431))),DATE(VALUE(RIGHT(TRIM([1]RawShipmentData!L431),4)),VALUE(MID(TRIM([1]RawShipmentData!L431),FIND("/",TRIM([1]RawShipmentData!L431))+1,2)),VALUE(LEFT(TRIM([1]RawShipmentData!L431),FIND("/",TRIM([1]RawShipmentData!L431))-1))),DATEVALUE(TRIM([1]RawShipmentData!L431))))</f>
        <v>45353</v>
      </c>
      <c r="N430" s="2">
        <f t="shared" si="31"/>
        <v>11</v>
      </c>
      <c r="O430" s="2">
        <f t="shared" si="32"/>
        <v>5</v>
      </c>
      <c r="P430" s="2" t="str">
        <f t="shared" si="33"/>
        <v>Late</v>
      </c>
      <c r="Q430" s="2" t="str">
        <f>PROPER(SUBSTITUTE(TRIM([1]RawShipmentData!M431)," ","-"))</f>
        <v>Delayed</v>
      </c>
      <c r="R430" s="4">
        <f t="shared" si="34"/>
        <v>6.0924369747899156</v>
      </c>
      <c r="S430" s="2">
        <f>[1]RawShipmentData!N431</f>
        <v>3</v>
      </c>
      <c r="T430" s="2" t="str">
        <f>IF(OR(UPPER(TRIM([1]RawShipmentData!O431))="YES",UPPER(TRIM([1]RawShipmentData!O431))="Y"),"Yes","No")</f>
        <v>No</v>
      </c>
    </row>
    <row r="431" spans="1:20" x14ac:dyDescent="0.25">
      <c r="A431" s="2" t="str">
        <f>[1]RawShipmentData!A432</f>
        <v>SHP-101337</v>
      </c>
      <c r="B431" s="3">
        <f>IF(ISNUMBER(SEARCH("/",TRIM([1]RawShipmentData!B432))),DATE(VALUE(RIGHT(TRIM([1]RawShipmentData!B432),4)),VALUE(MID(TRIM([1]RawShipmentData!B432),FIND("/",TRIM([1]RawShipmentData!B432))+1,2)),VALUE(LEFT(TRIM([1]RawShipmentData!B432),FIND("/",TRIM([1]RawShipmentData!B432))-1))),DATEVALUE(TRIM([1]RawShipmentData!B432)))</f>
        <v>45328</v>
      </c>
      <c r="C431" s="2" t="str">
        <f>PROPER(TRIM([1]RawShipmentData!C432))</f>
        <v>Mumbai</v>
      </c>
      <c r="D431" s="2" t="str">
        <f>IFERROR(INDEX([1]HubMaster!$B$2:$B$7,MATCH(C431,[1]HubMaster!$A$2:$A$7,0)),"Unknown")</f>
        <v>West</v>
      </c>
      <c r="E431" s="2" t="str">
        <f>PROPER(TRIM(SUBSTITUTE([1]RawShipmentData!D432,"  "," ")))</f>
        <v>Ecom Express</v>
      </c>
      <c r="F431" s="2" t="str">
        <f>PROPER(TRIM([1]RawShipmentData!E432))</f>
        <v>Surface</v>
      </c>
      <c r="G431" s="2" t="str">
        <f>PROPER(TRIM(SUBSTITUTE([1]RawShipmentData!F432,"  "," ")))</f>
        <v>Grocery &amp; Fmcg</v>
      </c>
      <c r="H431" s="2" t="str">
        <f>PROPER(TRIM([1]RawShipmentData!G432))</f>
        <v>North</v>
      </c>
      <c r="I431" s="2" t="str">
        <f t="shared" si="30"/>
        <v>Yes</v>
      </c>
      <c r="J431" s="2">
        <f>IFERROR(VALUE(TRIM(SUBSTITUTE(UPPER([1]RawShipmentData!I431),"KG",""))),"")</f>
        <v>10.6</v>
      </c>
      <c r="K431" s="2">
        <f>VALUE(SUBSTITUTE(SUBSTITUTE(SUBSTITUTE(TRIM([1]RawShipmentData!J432),"₹",""),"Rs",""),",",""))</f>
        <v>328</v>
      </c>
      <c r="L431" s="2">
        <f>[1]RawShipmentData!K432</f>
        <v>6</v>
      </c>
      <c r="M431" s="3">
        <f>IF(TRIM([1]RawShipmentData!L432)="","",IF(ISNUMBER(SEARCH("/",TRIM([1]RawShipmentData!L432))),DATE(VALUE(RIGHT(TRIM([1]RawShipmentData!L432),4)),VALUE(MID(TRIM([1]RawShipmentData!L432),FIND("/",TRIM([1]RawShipmentData!L432))+1,2)),VALUE(LEFT(TRIM([1]RawShipmentData!L432),FIND("/",TRIM([1]RawShipmentData!L432))-1))),DATEVALUE(TRIM([1]RawShipmentData!L432))))</f>
        <v>45334</v>
      </c>
      <c r="N431" s="2">
        <f t="shared" si="31"/>
        <v>6</v>
      </c>
      <c r="O431" s="2">
        <f t="shared" si="32"/>
        <v>0</v>
      </c>
      <c r="P431" s="2" t="str">
        <f t="shared" si="33"/>
        <v>On Time</v>
      </c>
      <c r="Q431" s="2" t="str">
        <f>PROPER(SUBSTITUTE(TRIM([1]RawShipmentData!M432)," ","-"))</f>
        <v>Delivered</v>
      </c>
      <c r="R431" s="4">
        <f t="shared" si="34"/>
        <v>30.943396226415096</v>
      </c>
      <c r="S431" s="2">
        <f>[1]RawShipmentData!N432</f>
        <v>5</v>
      </c>
      <c r="T431" s="2" t="str">
        <f>IF(OR(UPPER(TRIM([1]RawShipmentData!O432))="YES",UPPER(TRIM([1]RawShipmentData!O432))="Y"),"Yes","No")</f>
        <v>No</v>
      </c>
    </row>
    <row r="432" spans="1:20" x14ac:dyDescent="0.25">
      <c r="A432" s="2" t="str">
        <f>[1]RawShipmentData!A433</f>
        <v>SHP-100906</v>
      </c>
      <c r="B432" s="3">
        <f>IF(ISNUMBER(SEARCH("/",TRIM([1]RawShipmentData!B433))),DATE(VALUE(RIGHT(TRIM([1]RawShipmentData!B433),4)),VALUE(MID(TRIM([1]RawShipmentData!B433),FIND("/",TRIM([1]RawShipmentData!B433))+1,2)),VALUE(LEFT(TRIM([1]RawShipmentData!B433),FIND("/",TRIM([1]RawShipmentData!B433))-1))),DATEVALUE(TRIM([1]RawShipmentData!B433)))</f>
        <v>45456</v>
      </c>
      <c r="C432" s="2" t="str">
        <f>PROPER(TRIM([1]RawShipmentData!C433))</f>
        <v>Kolkata</v>
      </c>
      <c r="D432" s="2" t="str">
        <f>IFERROR(INDEX([1]HubMaster!$B$2:$B$7,MATCH(C432,[1]HubMaster!$A$2:$A$7,0)),"Unknown")</f>
        <v>East</v>
      </c>
      <c r="E432" s="2" t="str">
        <f>PROPER(TRIM(SUBSTITUTE([1]RawShipmentData!D433,"  "," ")))</f>
        <v>Delhivery</v>
      </c>
      <c r="F432" s="2" t="str">
        <f>PROPER(TRIM([1]RawShipmentData!E433))</f>
        <v>Air</v>
      </c>
      <c r="G432" s="2" t="str">
        <f>PROPER(TRIM(SUBSTITUTE([1]RawShipmentData!F433,"  "," ")))</f>
        <v>Grocery &amp; Fmcg</v>
      </c>
      <c r="H432" s="2" t="str">
        <f>PROPER(TRIM([1]RawShipmentData!G433))</f>
        <v>North</v>
      </c>
      <c r="I432" s="2" t="str">
        <f t="shared" si="30"/>
        <v>Yes</v>
      </c>
      <c r="J432" s="2">
        <f>IFERROR(VALUE(TRIM(SUBSTITUTE(UPPER([1]RawShipmentData!I432),"KG",""))),"")</f>
        <v>6.1</v>
      </c>
      <c r="K432" s="2">
        <f>VALUE(SUBSTITUTE(SUBSTITUTE(SUBSTITUTE(TRIM([1]RawShipmentData!J433),"₹",""),"Rs",""),",",""))</f>
        <v>719</v>
      </c>
      <c r="L432" s="2">
        <f>[1]RawShipmentData!K433</f>
        <v>4</v>
      </c>
      <c r="M432" s="3">
        <f>IF(TRIM([1]RawShipmentData!L433)="","",IF(ISNUMBER(SEARCH("/",TRIM([1]RawShipmentData!L433))),DATE(VALUE(RIGHT(TRIM([1]RawShipmentData!L433),4)),VALUE(MID(TRIM([1]RawShipmentData!L433),FIND("/",TRIM([1]RawShipmentData!L433))+1,2)),VALUE(LEFT(TRIM([1]RawShipmentData!L433),FIND("/",TRIM([1]RawShipmentData!L433))-1))),DATEVALUE(TRIM([1]RawShipmentData!L433))))</f>
        <v>45460</v>
      </c>
      <c r="N432" s="2">
        <f t="shared" si="31"/>
        <v>4</v>
      </c>
      <c r="O432" s="2">
        <f t="shared" si="32"/>
        <v>0</v>
      </c>
      <c r="P432" s="2" t="str">
        <f t="shared" si="33"/>
        <v>On Time</v>
      </c>
      <c r="Q432" s="2" t="str">
        <f>PROPER(SUBSTITUTE(TRIM([1]RawShipmentData!M433)," ","-"))</f>
        <v>Delivered</v>
      </c>
      <c r="R432" s="4">
        <f t="shared" si="34"/>
        <v>117.8688524590164</v>
      </c>
      <c r="S432" s="2">
        <f>[1]RawShipmentData!N433</f>
        <v>5</v>
      </c>
      <c r="T432" s="2" t="str">
        <f>IF(OR(UPPER(TRIM([1]RawShipmentData!O433))="YES",UPPER(TRIM([1]RawShipmentData!O433))="Y"),"Yes","No")</f>
        <v>No</v>
      </c>
    </row>
    <row r="433" spans="1:20" x14ac:dyDescent="0.25">
      <c r="A433" s="2" t="str">
        <f>[1]RawShipmentData!A434</f>
        <v>SHP-100899</v>
      </c>
      <c r="B433" s="3">
        <f>IF(ISNUMBER(SEARCH("/",TRIM([1]RawShipmentData!B434))),DATE(VALUE(RIGHT(TRIM([1]RawShipmentData!B434),4)),VALUE(MID(TRIM([1]RawShipmentData!B434),FIND("/",TRIM([1]RawShipmentData!B434))+1,2)),VALUE(LEFT(TRIM([1]RawShipmentData!B434),FIND("/",TRIM([1]RawShipmentData!B434))-1))),DATEVALUE(TRIM([1]RawShipmentData!B434)))</f>
        <v>45339</v>
      </c>
      <c r="C433" s="2" t="str">
        <f>PROPER(TRIM([1]RawShipmentData!C434))</f>
        <v>Chennai</v>
      </c>
      <c r="D433" s="2" t="str">
        <f>IFERROR(INDEX([1]HubMaster!$B$2:$B$7,MATCH(C433,[1]HubMaster!$A$2:$A$7,0)),"Unknown")</f>
        <v>South</v>
      </c>
      <c r="E433" s="2" t="str">
        <f>PROPER(TRIM(SUBSTITUTE([1]RawShipmentData!D434,"  "," ")))</f>
        <v>Bluedart</v>
      </c>
      <c r="F433" s="2" t="str">
        <f>PROPER(TRIM([1]RawShipmentData!E434))</f>
        <v>Road</v>
      </c>
      <c r="G433" s="2" t="str">
        <f>PROPER(TRIM(SUBSTITUTE([1]RawShipmentData!F434,"  "," ")))</f>
        <v>Automotive Parts</v>
      </c>
      <c r="H433" s="2" t="str">
        <f>PROPER(TRIM([1]RawShipmentData!G434))</f>
        <v>West</v>
      </c>
      <c r="I433" s="2" t="str">
        <f t="shared" si="30"/>
        <v>Yes</v>
      </c>
      <c r="J433" s="2">
        <f>IFERROR(VALUE(TRIM(SUBSTITUTE(UPPER([1]RawShipmentData!I433),"KG",""))),"")</f>
        <v>11.9</v>
      </c>
      <c r="K433" s="2">
        <f>VALUE(SUBSTITUTE(SUBSTITUTE(SUBSTITUTE(TRIM([1]RawShipmentData!J434),"₹",""),"Rs",""),",",""))</f>
        <v>361</v>
      </c>
      <c r="L433" s="2">
        <f>[1]RawShipmentData!K434</f>
        <v>8</v>
      </c>
      <c r="M433" s="3">
        <f>IF(TRIM([1]RawShipmentData!L434)="","",IF(ISNUMBER(SEARCH("/",TRIM([1]RawShipmentData!L434))),DATE(VALUE(RIGHT(TRIM([1]RawShipmentData!L434),4)),VALUE(MID(TRIM([1]RawShipmentData!L434),FIND("/",TRIM([1]RawShipmentData!L434))+1,2)),VALUE(LEFT(TRIM([1]RawShipmentData!L434),FIND("/",TRIM([1]RawShipmentData!L434))-1))),DATEVALUE(TRIM([1]RawShipmentData!L434))))</f>
        <v>45348</v>
      </c>
      <c r="N433" s="2">
        <f t="shared" si="31"/>
        <v>9</v>
      </c>
      <c r="O433" s="2">
        <f t="shared" si="32"/>
        <v>1</v>
      </c>
      <c r="P433" s="2" t="str">
        <f t="shared" si="33"/>
        <v>Late</v>
      </c>
      <c r="Q433" s="2" t="str">
        <f>PROPER(SUBSTITUTE(TRIM([1]RawShipmentData!M434)," ","-"))</f>
        <v>Delayed</v>
      </c>
      <c r="R433" s="4">
        <f t="shared" si="34"/>
        <v>30.336134453781511</v>
      </c>
      <c r="S433" s="2">
        <f>[1]RawShipmentData!N434</f>
        <v>2</v>
      </c>
      <c r="T433" s="2" t="str">
        <f>IF(OR(UPPER(TRIM([1]RawShipmentData!O434))="YES",UPPER(TRIM([1]RawShipmentData!O434))="Y"),"Yes","No")</f>
        <v>Yes</v>
      </c>
    </row>
    <row r="434" spans="1:20" x14ac:dyDescent="0.25">
      <c r="A434" s="2" t="str">
        <f>[1]RawShipmentData!A435</f>
        <v>SHP-100259</v>
      </c>
      <c r="B434" s="3">
        <f>IF(ISNUMBER(SEARCH("/",TRIM([1]RawShipmentData!B435))),DATE(VALUE(RIGHT(TRIM([1]RawShipmentData!B435),4)),VALUE(MID(TRIM([1]RawShipmentData!B435),FIND("/",TRIM([1]RawShipmentData!B435))+1,2)),VALUE(LEFT(TRIM([1]RawShipmentData!B435),FIND("/",TRIM([1]RawShipmentData!B435))-1))),DATEVALUE(TRIM([1]RawShipmentData!B435)))</f>
        <v>45326</v>
      </c>
      <c r="C434" s="2" t="str">
        <f>PROPER(TRIM([1]RawShipmentData!C435))</f>
        <v>Bengaluru</v>
      </c>
      <c r="D434" s="2" t="str">
        <f>IFERROR(INDEX([1]HubMaster!$B$2:$B$7,MATCH(C434,[1]HubMaster!$A$2:$A$7,0)),"Unknown")</f>
        <v>South</v>
      </c>
      <c r="E434" s="2" t="str">
        <f>PROPER(TRIM(SUBSTITUTE([1]RawShipmentData!D435,"  "," ")))</f>
        <v>Blue Dart</v>
      </c>
      <c r="F434" s="2" t="str">
        <f>PROPER(TRIM([1]RawShipmentData!E435))</f>
        <v>Road</v>
      </c>
      <c r="G434" s="2" t="str">
        <f>PROPER(TRIM(SUBSTITUTE([1]RawShipmentData!F435,"  "," ")))</f>
        <v>Electronics</v>
      </c>
      <c r="H434" s="2" t="str">
        <f>PROPER(TRIM([1]RawShipmentData!G435))</f>
        <v>East</v>
      </c>
      <c r="I434" s="2" t="str">
        <f t="shared" si="30"/>
        <v>Yes</v>
      </c>
      <c r="J434" s="2">
        <f>IFERROR(VALUE(TRIM(SUBSTITUTE(UPPER([1]RawShipmentData!I434),"KG",""))),"")</f>
        <v>16.2</v>
      </c>
      <c r="K434" s="2">
        <f>VALUE(SUBSTITUTE(SUBSTITUTE(SUBSTITUTE(TRIM([1]RawShipmentData!J435),"₹",""),"Rs",""),",",""))</f>
        <v>371</v>
      </c>
      <c r="L434" s="2">
        <f>[1]RawShipmentData!K435</f>
        <v>8</v>
      </c>
      <c r="M434" s="3">
        <f>IF(TRIM([1]RawShipmentData!L435)="","",IF(ISNUMBER(SEARCH("/",TRIM([1]RawShipmentData!L435))),DATE(VALUE(RIGHT(TRIM([1]RawShipmentData!L435),4)),VALUE(MID(TRIM([1]RawShipmentData!L435),FIND("/",TRIM([1]RawShipmentData!L435))+1,2)),VALUE(LEFT(TRIM([1]RawShipmentData!L435),FIND("/",TRIM([1]RawShipmentData!L435))-1))),DATEVALUE(TRIM([1]RawShipmentData!L435))))</f>
        <v>45334</v>
      </c>
      <c r="N434" s="2">
        <f t="shared" si="31"/>
        <v>8</v>
      </c>
      <c r="O434" s="2">
        <f t="shared" si="32"/>
        <v>0</v>
      </c>
      <c r="P434" s="2" t="str">
        <f t="shared" si="33"/>
        <v>On Time</v>
      </c>
      <c r="Q434" s="2" t="str">
        <f>PROPER(SUBSTITUTE(TRIM([1]RawShipmentData!M435)," ","-"))</f>
        <v>Delivered</v>
      </c>
      <c r="R434" s="4">
        <f t="shared" si="34"/>
        <v>22.901234567901234</v>
      </c>
      <c r="S434" s="2">
        <f>[1]RawShipmentData!N435</f>
        <v>5</v>
      </c>
      <c r="T434" s="2" t="str">
        <f>IF(OR(UPPER(TRIM([1]RawShipmentData!O435))="YES",UPPER(TRIM([1]RawShipmentData!O435))="Y"),"Yes","No")</f>
        <v>No</v>
      </c>
    </row>
    <row r="435" spans="1:20" x14ac:dyDescent="0.25">
      <c r="A435" s="2" t="str">
        <f>[1]RawShipmentData!A436</f>
        <v>SHP-101489</v>
      </c>
      <c r="B435" s="3">
        <f>IF(ISNUMBER(SEARCH("/",TRIM([1]RawShipmentData!B436))),DATE(VALUE(RIGHT(TRIM([1]RawShipmentData!B436),4)),VALUE(MID(TRIM([1]RawShipmentData!B436),FIND("/",TRIM([1]RawShipmentData!B436))+1,2)),VALUE(LEFT(TRIM([1]RawShipmentData!B436),FIND("/",TRIM([1]RawShipmentData!B436))-1))),DATEVALUE(TRIM([1]RawShipmentData!B436)))</f>
        <v>45463</v>
      </c>
      <c r="C435" s="2" t="str">
        <f>PROPER(TRIM([1]RawShipmentData!C436))</f>
        <v>Delhi</v>
      </c>
      <c r="D435" s="2" t="str">
        <f>IFERROR(INDEX([1]HubMaster!$B$2:$B$7,MATCH(C435,[1]HubMaster!$A$2:$A$7,0)),"Unknown")</f>
        <v>North</v>
      </c>
      <c r="E435" s="2" t="str">
        <f>PROPER(TRIM(SUBSTITUTE([1]RawShipmentData!D436,"  "," ")))</f>
        <v>Ecom Express</v>
      </c>
      <c r="F435" s="2" t="str">
        <f>PROPER(TRIM([1]RawShipmentData!E436))</f>
        <v>Surface</v>
      </c>
      <c r="G435" s="2" t="str">
        <f>PROPER(TRIM(SUBSTITUTE([1]RawShipmentData!F436,"  "," ")))</f>
        <v>Furniture</v>
      </c>
      <c r="H435" s="2" t="str">
        <f>PROPER(TRIM([1]RawShipmentData!G436))</f>
        <v>West</v>
      </c>
      <c r="I435" s="2" t="str">
        <f t="shared" si="30"/>
        <v>Yes</v>
      </c>
      <c r="J435" s="2">
        <f>IFERROR(VALUE(TRIM(SUBSTITUTE(UPPER([1]RawShipmentData!I435),"KG",""))),"")</f>
        <v>14.8</v>
      </c>
      <c r="K435" s="2">
        <f>VALUE(SUBSTITUTE(SUBSTITUTE(SUBSTITUTE(TRIM([1]RawShipmentData!J436),"₹",""),"Rs",""),",",""))</f>
        <v>1422</v>
      </c>
      <c r="L435" s="2">
        <f>[1]RawShipmentData!K436</f>
        <v>6</v>
      </c>
      <c r="M435" s="3">
        <f>IF(TRIM([1]RawShipmentData!L436)="","",IF(ISNUMBER(SEARCH("/",TRIM([1]RawShipmentData!L436))),DATE(VALUE(RIGHT(TRIM([1]RawShipmentData!L436),4)),VALUE(MID(TRIM([1]RawShipmentData!L436),FIND("/",TRIM([1]RawShipmentData!L436))+1,2)),VALUE(LEFT(TRIM([1]RawShipmentData!L436),FIND("/",TRIM([1]RawShipmentData!L436))-1))),DATEVALUE(TRIM([1]RawShipmentData!L436))))</f>
        <v>45476</v>
      </c>
      <c r="N435" s="2">
        <f t="shared" si="31"/>
        <v>13</v>
      </c>
      <c r="O435" s="2">
        <f t="shared" si="32"/>
        <v>7</v>
      </c>
      <c r="P435" s="2" t="str">
        <f t="shared" si="33"/>
        <v>Late</v>
      </c>
      <c r="Q435" s="2" t="str">
        <f>PROPER(SUBSTITUTE(TRIM([1]RawShipmentData!M436)," ","-"))</f>
        <v>Delayed</v>
      </c>
      <c r="R435" s="4">
        <f t="shared" si="34"/>
        <v>96.081081081081081</v>
      </c>
      <c r="S435" s="2">
        <f>[1]RawShipmentData!N436</f>
        <v>4</v>
      </c>
      <c r="T435" s="2" t="str">
        <f>IF(OR(UPPER(TRIM([1]RawShipmentData!O436))="YES",UPPER(TRIM([1]RawShipmentData!O436))="Y"),"Yes","No")</f>
        <v>No</v>
      </c>
    </row>
    <row r="436" spans="1:20" x14ac:dyDescent="0.25">
      <c r="A436" s="2" t="str">
        <f>[1]RawShipmentData!A437</f>
        <v>SHP-100427</v>
      </c>
      <c r="B436" s="3">
        <f>IF(ISNUMBER(SEARCH("/",TRIM([1]RawShipmentData!B437))),DATE(VALUE(RIGHT(TRIM([1]RawShipmentData!B437),4)),VALUE(MID(TRIM([1]RawShipmentData!B437),FIND("/",TRIM([1]RawShipmentData!B437))+1,2)),VALUE(LEFT(TRIM([1]RawShipmentData!B437),FIND("/",TRIM([1]RawShipmentData!B437))-1))),DATEVALUE(TRIM([1]RawShipmentData!B437)))</f>
        <v>45408</v>
      </c>
      <c r="C436" s="2" t="str">
        <f>PROPER(TRIM([1]RawShipmentData!C437))</f>
        <v>Chennai</v>
      </c>
      <c r="D436" s="2" t="str">
        <f>IFERROR(INDEX([1]HubMaster!$B$2:$B$7,MATCH(C436,[1]HubMaster!$A$2:$A$7,0)),"Unknown")</f>
        <v>South</v>
      </c>
      <c r="E436" s="2" t="str">
        <f>PROPER(TRIM(SUBSTITUTE([1]RawShipmentData!D437,"  "," ")))</f>
        <v>Ecom Express</v>
      </c>
      <c r="F436" s="2" t="str">
        <f>PROPER(TRIM([1]RawShipmentData!E437))</f>
        <v>Road</v>
      </c>
      <c r="G436" s="2" t="str">
        <f>PROPER(TRIM(SUBSTITUTE([1]RawShipmentData!F437,"  "," ")))</f>
        <v>Automotive Parts</v>
      </c>
      <c r="H436" s="2" t="str">
        <f>PROPER(TRIM([1]RawShipmentData!G437))</f>
        <v>North</v>
      </c>
      <c r="I436" s="2" t="str">
        <f t="shared" si="30"/>
        <v>Yes</v>
      </c>
      <c r="J436" s="2">
        <f>IFERROR(VALUE(TRIM(SUBSTITUTE(UPPER([1]RawShipmentData!I436),"KG",""))),"")</f>
        <v>56</v>
      </c>
      <c r="K436" s="2">
        <f>VALUE(SUBSTITUTE(SUBSTITUTE(SUBSTITUTE(TRIM([1]RawShipmentData!J437),"₹",""),"Rs",""),",",""))</f>
        <v>440</v>
      </c>
      <c r="L436" s="2">
        <f>[1]RawShipmentData!K437</f>
        <v>8</v>
      </c>
      <c r="M436" s="3">
        <f>IF(TRIM([1]RawShipmentData!L437)="","",IF(ISNUMBER(SEARCH("/",TRIM([1]RawShipmentData!L437))),DATE(VALUE(RIGHT(TRIM([1]RawShipmentData!L437),4)),VALUE(MID(TRIM([1]RawShipmentData!L437),FIND("/",TRIM([1]RawShipmentData!L437))+1,2)),VALUE(LEFT(TRIM([1]RawShipmentData!L437),FIND("/",TRIM([1]RawShipmentData!L437))-1))),DATEVALUE(TRIM([1]RawShipmentData!L437))))</f>
        <v>45421</v>
      </c>
      <c r="N436" s="2">
        <f t="shared" si="31"/>
        <v>13</v>
      </c>
      <c r="O436" s="2">
        <f t="shared" si="32"/>
        <v>5</v>
      </c>
      <c r="P436" s="2" t="str">
        <f t="shared" si="33"/>
        <v>Late</v>
      </c>
      <c r="Q436" s="2" t="str">
        <f>PROPER(SUBSTITUTE(TRIM([1]RawShipmentData!M437)," ","-"))</f>
        <v>Delayed</v>
      </c>
      <c r="R436" s="4">
        <f t="shared" si="34"/>
        <v>7.8571428571428568</v>
      </c>
      <c r="S436" s="2">
        <f>[1]RawShipmentData!N437</f>
        <v>2</v>
      </c>
      <c r="T436" s="2" t="str">
        <f>IF(OR(UPPER(TRIM([1]RawShipmentData!O437))="YES",UPPER(TRIM([1]RawShipmentData!O437))="Y"),"Yes","No")</f>
        <v>Yes</v>
      </c>
    </row>
    <row r="437" spans="1:20" x14ac:dyDescent="0.25">
      <c r="A437" s="2" t="str">
        <f>[1]RawShipmentData!A438</f>
        <v>SHP-100677</v>
      </c>
      <c r="B437" s="3">
        <f>IF(ISNUMBER(SEARCH("/",TRIM([1]RawShipmentData!B438))),DATE(VALUE(RIGHT(TRIM([1]RawShipmentData!B438),4)),VALUE(MID(TRIM([1]RawShipmentData!B438),FIND("/",TRIM([1]RawShipmentData!B438))+1,2)),VALUE(LEFT(TRIM([1]RawShipmentData!B438),FIND("/",TRIM([1]RawShipmentData!B438))-1))),DATEVALUE(TRIM([1]RawShipmentData!B438)))</f>
        <v>45374</v>
      </c>
      <c r="C437" s="2" t="str">
        <f>PROPER(TRIM([1]RawShipmentData!C438))</f>
        <v>Hyderabad</v>
      </c>
      <c r="D437" s="2" t="str">
        <f>IFERROR(INDEX([1]HubMaster!$B$2:$B$7,MATCH(C437,[1]HubMaster!$A$2:$A$7,0)),"Unknown")</f>
        <v>West</v>
      </c>
      <c r="E437" s="2" t="str">
        <f>PROPER(TRIM(SUBSTITUTE([1]RawShipmentData!D438,"  "," ")))</f>
        <v>Bluedart</v>
      </c>
      <c r="F437" s="2" t="str">
        <f>PROPER(TRIM([1]RawShipmentData!E438))</f>
        <v>Air</v>
      </c>
      <c r="G437" s="2" t="str">
        <f>PROPER(TRIM(SUBSTITUTE([1]RawShipmentData!F438,"  "," ")))</f>
        <v>Automotive Parts</v>
      </c>
      <c r="H437" s="2" t="str">
        <f>PROPER(TRIM([1]RawShipmentData!G438))</f>
        <v>West</v>
      </c>
      <c r="I437" s="2" t="str">
        <f t="shared" si="30"/>
        <v>No</v>
      </c>
      <c r="J437" s="2">
        <f>IFERROR(VALUE(TRIM(SUBSTITUTE(UPPER([1]RawShipmentData!I437),"KG",""))),"")</f>
        <v>17.899999999999999</v>
      </c>
      <c r="K437" s="2">
        <f>VALUE(SUBSTITUTE(SUBSTITUTE(SUBSTITUTE(TRIM([1]RawShipmentData!J438),"₹",""),"Rs",""),",",""))</f>
        <v>281</v>
      </c>
      <c r="L437" s="2">
        <f>[1]RawShipmentData!K438</f>
        <v>2</v>
      </c>
      <c r="M437" s="3">
        <f>IF(TRIM([1]RawShipmentData!L438)="","",IF(ISNUMBER(SEARCH("/",TRIM([1]RawShipmentData!L438))),DATE(VALUE(RIGHT(TRIM([1]RawShipmentData!L438),4)),VALUE(MID(TRIM([1]RawShipmentData!L438),FIND("/",TRIM([1]RawShipmentData!L438))+1,2)),VALUE(LEFT(TRIM([1]RawShipmentData!L438),FIND("/",TRIM([1]RawShipmentData!L438))-1))),DATEVALUE(TRIM([1]RawShipmentData!L438))))</f>
        <v>45377</v>
      </c>
      <c r="N437" s="2">
        <f t="shared" si="31"/>
        <v>3</v>
      </c>
      <c r="O437" s="2">
        <f t="shared" si="32"/>
        <v>1</v>
      </c>
      <c r="P437" s="2" t="str">
        <f t="shared" si="33"/>
        <v>Late</v>
      </c>
      <c r="Q437" s="2" t="str">
        <f>PROPER(SUBSTITUTE(TRIM([1]RawShipmentData!M438)," ","-"))</f>
        <v>Delayed</v>
      </c>
      <c r="R437" s="4">
        <f t="shared" si="34"/>
        <v>15.69832402234637</v>
      </c>
      <c r="S437" s="2">
        <f>[1]RawShipmentData!N438</f>
        <v>4</v>
      </c>
      <c r="T437" s="2" t="str">
        <f>IF(OR(UPPER(TRIM([1]RawShipmentData!O438))="YES",UPPER(TRIM([1]RawShipmentData!O438))="Y"),"Yes","No")</f>
        <v>Yes</v>
      </c>
    </row>
    <row r="438" spans="1:20" x14ac:dyDescent="0.25">
      <c r="A438" s="2" t="str">
        <f>[1]RawShipmentData!A439</f>
        <v>SHP-100239</v>
      </c>
      <c r="B438" s="3">
        <f>IF(ISNUMBER(SEARCH("/",TRIM([1]RawShipmentData!B439))),DATE(VALUE(RIGHT(TRIM([1]RawShipmentData!B439),4)),VALUE(MID(TRIM([1]RawShipmentData!B439),FIND("/",TRIM([1]RawShipmentData!B439))+1,2)),VALUE(LEFT(TRIM([1]RawShipmentData!B439),FIND("/",TRIM([1]RawShipmentData!B439))-1))),DATEVALUE(TRIM([1]RawShipmentData!B439)))</f>
        <v>45356</v>
      </c>
      <c r="C438" s="2" t="str">
        <f>PROPER(TRIM([1]RawShipmentData!C439))</f>
        <v>Bengaluru</v>
      </c>
      <c r="D438" s="2" t="str">
        <f>IFERROR(INDEX([1]HubMaster!$B$2:$B$7,MATCH(C438,[1]HubMaster!$A$2:$A$7,0)),"Unknown")</f>
        <v>South</v>
      </c>
      <c r="E438" s="2" t="str">
        <f>PROPER(TRIM(SUBSTITUTE([1]RawShipmentData!D439,"  "," ")))</f>
        <v>Bluedart</v>
      </c>
      <c r="F438" s="2" t="str">
        <f>PROPER(TRIM([1]RawShipmentData!E439))</f>
        <v>Air</v>
      </c>
      <c r="G438" s="2" t="str">
        <f>PROPER(TRIM(SUBSTITUTE([1]RawShipmentData!F439,"  "," ")))</f>
        <v>Pharma</v>
      </c>
      <c r="H438" s="2" t="str">
        <f>PROPER(TRIM([1]RawShipmentData!G439))</f>
        <v>South</v>
      </c>
      <c r="I438" s="2" t="str">
        <f t="shared" si="30"/>
        <v>No</v>
      </c>
      <c r="J438" s="2">
        <f>IFERROR(VALUE(TRIM(SUBSTITUTE(UPPER([1]RawShipmentData!I438),"KG",""))),"")</f>
        <v>6.4</v>
      </c>
      <c r="K438" s="2">
        <f>VALUE(SUBSTITUTE(SUBSTITUTE(SUBSTITUTE(TRIM([1]RawShipmentData!J439),"₹",""),"Rs",""),",",""))</f>
        <v>120</v>
      </c>
      <c r="L438" s="2">
        <f>[1]RawShipmentData!K439</f>
        <v>2</v>
      </c>
      <c r="M438" s="3">
        <f>IF(TRIM([1]RawShipmentData!L439)="","",IF(ISNUMBER(SEARCH("/",TRIM([1]RawShipmentData!L439))),DATE(VALUE(RIGHT(TRIM([1]RawShipmentData!L439),4)),VALUE(MID(TRIM([1]RawShipmentData!L439),FIND("/",TRIM([1]RawShipmentData!L439))+1,2)),VALUE(LEFT(TRIM([1]RawShipmentData!L439),FIND("/",TRIM([1]RawShipmentData!L439))-1))),DATEVALUE(TRIM([1]RawShipmentData!L439))))</f>
        <v>45357</v>
      </c>
      <c r="N438" s="2">
        <f t="shared" si="31"/>
        <v>1</v>
      </c>
      <c r="O438" s="2">
        <f t="shared" si="32"/>
        <v>-1</v>
      </c>
      <c r="P438" s="2" t="str">
        <f t="shared" si="33"/>
        <v>On Time</v>
      </c>
      <c r="Q438" s="2" t="str">
        <f>PROPER(SUBSTITUTE(TRIM([1]RawShipmentData!M439)," ","-"))</f>
        <v>Delivered</v>
      </c>
      <c r="R438" s="4">
        <f t="shared" si="34"/>
        <v>18.75</v>
      </c>
      <c r="S438" s="2">
        <f>[1]RawShipmentData!N439</f>
        <v>5</v>
      </c>
      <c r="T438" s="2" t="str">
        <f>IF(OR(UPPER(TRIM([1]RawShipmentData!O439))="YES",UPPER(TRIM([1]RawShipmentData!O439))="Y"),"Yes","No")</f>
        <v>Yes</v>
      </c>
    </row>
    <row r="439" spans="1:20" x14ac:dyDescent="0.25">
      <c r="A439" s="2" t="str">
        <f>[1]RawShipmentData!A440</f>
        <v>SHP-100852</v>
      </c>
      <c r="B439" s="3">
        <f>IF(ISNUMBER(SEARCH("/",TRIM([1]RawShipmentData!B440))),DATE(VALUE(RIGHT(TRIM([1]RawShipmentData!B440),4)),VALUE(MID(TRIM([1]RawShipmentData!B440),FIND("/",TRIM([1]RawShipmentData!B440))+1,2)),VALUE(LEFT(TRIM([1]RawShipmentData!B440),FIND("/",TRIM([1]RawShipmentData!B440))-1))),DATEVALUE(TRIM([1]RawShipmentData!B440)))</f>
        <v>45353</v>
      </c>
      <c r="C439" s="2" t="str">
        <f>PROPER(TRIM([1]RawShipmentData!C440))</f>
        <v>Kolkata</v>
      </c>
      <c r="D439" s="2" t="str">
        <f>IFERROR(INDEX([1]HubMaster!$B$2:$B$7,MATCH(C439,[1]HubMaster!$A$2:$A$7,0)),"Unknown")</f>
        <v>East</v>
      </c>
      <c r="E439" s="2" t="str">
        <f>PROPER(TRIM(SUBSTITUTE([1]RawShipmentData!D440,"  "," ")))</f>
        <v>Ecom Express</v>
      </c>
      <c r="F439" s="2" t="str">
        <f>PROPER(TRIM([1]RawShipmentData!E440))</f>
        <v>Surface</v>
      </c>
      <c r="G439" s="2" t="str">
        <f>PROPER(TRIM(SUBSTITUTE([1]RawShipmentData!F440,"  "," ")))</f>
        <v>Grocery &amp; Fmcg</v>
      </c>
      <c r="H439" s="2" t="str">
        <f>PROPER(TRIM([1]RawShipmentData!G440))</f>
        <v>East</v>
      </c>
      <c r="I439" s="2" t="str">
        <f t="shared" si="30"/>
        <v>No</v>
      </c>
      <c r="J439" s="2">
        <f>IFERROR(VALUE(TRIM(SUBSTITUTE(UPPER([1]RawShipmentData!I439),"KG",""))),"")</f>
        <v>2</v>
      </c>
      <c r="K439" s="2">
        <f>VALUE(SUBSTITUTE(SUBSTITUTE(SUBSTITUTE(TRIM([1]RawShipmentData!J440),"₹",""),"Rs",""),",",""))</f>
        <v>93</v>
      </c>
      <c r="L439" s="2">
        <f>[1]RawShipmentData!K440</f>
        <v>4</v>
      </c>
      <c r="M439" s="3">
        <f>IF(TRIM([1]RawShipmentData!L440)="","",IF(ISNUMBER(SEARCH("/",TRIM([1]RawShipmentData!L440))),DATE(VALUE(RIGHT(TRIM([1]RawShipmentData!L440),4)),VALUE(MID(TRIM([1]RawShipmentData!L440),FIND("/",TRIM([1]RawShipmentData!L440))+1,2)),VALUE(LEFT(TRIM([1]RawShipmentData!L440),FIND("/",TRIM([1]RawShipmentData!L440))-1))),DATEVALUE(TRIM([1]RawShipmentData!L440))))</f>
        <v>45359</v>
      </c>
      <c r="N439" s="2">
        <f t="shared" si="31"/>
        <v>6</v>
      </c>
      <c r="O439" s="2">
        <f t="shared" si="32"/>
        <v>2</v>
      </c>
      <c r="P439" s="2" t="str">
        <f t="shared" si="33"/>
        <v>Late</v>
      </c>
      <c r="Q439" s="2" t="str">
        <f>PROPER(SUBSTITUTE(TRIM([1]RawShipmentData!M440)," ","-"))</f>
        <v>Delayed</v>
      </c>
      <c r="R439" s="4">
        <f t="shared" si="34"/>
        <v>46.5</v>
      </c>
      <c r="S439" s="2">
        <f>[1]RawShipmentData!N440</f>
        <v>5</v>
      </c>
      <c r="T439" s="2" t="str">
        <f>IF(OR(UPPER(TRIM([1]RawShipmentData!O440))="YES",UPPER(TRIM([1]RawShipmentData!O440))="Y"),"Yes","No")</f>
        <v>Yes</v>
      </c>
    </row>
    <row r="440" spans="1:20" x14ac:dyDescent="0.25">
      <c r="A440" s="2" t="str">
        <f>[1]RawShipmentData!A441</f>
        <v>SHP-100377</v>
      </c>
      <c r="B440" s="3">
        <f>IF(ISNUMBER(SEARCH("/",TRIM([1]RawShipmentData!B441))),DATE(VALUE(RIGHT(TRIM([1]RawShipmentData!B441),4)),VALUE(MID(TRIM([1]RawShipmentData!B441),FIND("/",TRIM([1]RawShipmentData!B441))+1,2)),VALUE(LEFT(TRIM([1]RawShipmentData!B441),FIND("/",TRIM([1]RawShipmentData!B441))-1))),DATEVALUE(TRIM([1]RawShipmentData!B441)))</f>
        <v>45335</v>
      </c>
      <c r="C440" s="2" t="str">
        <f>PROPER(TRIM([1]RawShipmentData!C441))</f>
        <v>Hyderabad</v>
      </c>
      <c r="D440" s="2" t="str">
        <f>IFERROR(INDEX([1]HubMaster!$B$2:$B$7,MATCH(C440,[1]HubMaster!$A$2:$A$7,0)),"Unknown")</f>
        <v>West</v>
      </c>
      <c r="E440" s="2" t="str">
        <f>PROPER(TRIM(SUBSTITUTE([1]RawShipmentData!D441,"  "," ")))</f>
        <v>Xpressbees</v>
      </c>
      <c r="F440" s="2" t="str">
        <f>PROPER(TRIM([1]RawShipmentData!E441))</f>
        <v>Air</v>
      </c>
      <c r="G440" s="2" t="str">
        <f>PROPER(TRIM(SUBSTITUTE([1]RawShipmentData!F441,"  "," ")))</f>
        <v>Electronics</v>
      </c>
      <c r="H440" s="2" t="str">
        <f>PROPER(TRIM([1]RawShipmentData!G441))</f>
        <v>North</v>
      </c>
      <c r="I440" s="2" t="str">
        <f t="shared" si="30"/>
        <v>Yes</v>
      </c>
      <c r="J440" s="2">
        <f>IFERROR(VALUE(TRIM(SUBSTITUTE(UPPER([1]RawShipmentData!I440),"KG",""))),"")</f>
        <v>3.9</v>
      </c>
      <c r="K440" s="2">
        <f>VALUE(SUBSTITUTE(SUBSTITUTE(SUBSTITUTE(TRIM([1]RawShipmentData!J441),"₹",""),"Rs",""),",",""))</f>
        <v>537</v>
      </c>
      <c r="L440" s="2">
        <f>[1]RawShipmentData!K441</f>
        <v>4</v>
      </c>
      <c r="M440" s="3">
        <f>IF(TRIM([1]RawShipmentData!L441)="","",IF(ISNUMBER(SEARCH("/",TRIM([1]RawShipmentData!L441))),DATE(VALUE(RIGHT(TRIM([1]RawShipmentData!L441),4)),VALUE(MID(TRIM([1]RawShipmentData!L441),FIND("/",TRIM([1]RawShipmentData!L441))+1,2)),VALUE(LEFT(TRIM([1]RawShipmentData!L441),FIND("/",TRIM([1]RawShipmentData!L441))-1))),DATEVALUE(TRIM([1]RawShipmentData!L441))))</f>
        <v>45339</v>
      </c>
      <c r="N440" s="2">
        <f t="shared" si="31"/>
        <v>4</v>
      </c>
      <c r="O440" s="2">
        <f t="shared" si="32"/>
        <v>0</v>
      </c>
      <c r="P440" s="2" t="str">
        <f t="shared" si="33"/>
        <v>On Time</v>
      </c>
      <c r="Q440" s="2" t="str">
        <f>PROPER(SUBSTITUTE(TRIM([1]RawShipmentData!M441)," ","-"))</f>
        <v>Delivered</v>
      </c>
      <c r="R440" s="4">
        <f t="shared" si="34"/>
        <v>137.69230769230771</v>
      </c>
      <c r="S440" s="2">
        <f>[1]RawShipmentData!N441</f>
        <v>2</v>
      </c>
      <c r="T440" s="2" t="str">
        <f>IF(OR(UPPER(TRIM([1]RawShipmentData!O441))="YES",UPPER(TRIM([1]RawShipmentData!O441))="Y"),"Yes","No")</f>
        <v>No</v>
      </c>
    </row>
    <row r="441" spans="1:20" x14ac:dyDescent="0.25">
      <c r="A441" s="2" t="str">
        <f>[1]RawShipmentData!A442</f>
        <v>SHP-101317</v>
      </c>
      <c r="B441" s="3">
        <f>IF(ISNUMBER(SEARCH("/",TRIM([1]RawShipmentData!B442))),DATE(VALUE(RIGHT(TRIM([1]RawShipmentData!B442),4)),VALUE(MID(TRIM([1]RawShipmentData!B442),FIND("/",TRIM([1]RawShipmentData!B442))+1,2)),VALUE(LEFT(TRIM([1]RawShipmentData!B442),FIND("/",TRIM([1]RawShipmentData!B442))-1))),DATEVALUE(TRIM([1]RawShipmentData!B442)))</f>
        <v>45360</v>
      </c>
      <c r="C441" s="2" t="str">
        <f>PROPER(TRIM([1]RawShipmentData!C442))</f>
        <v>Kolkata</v>
      </c>
      <c r="D441" s="2" t="str">
        <f>IFERROR(INDEX([1]HubMaster!$B$2:$B$7,MATCH(C441,[1]HubMaster!$A$2:$A$7,0)),"Unknown")</f>
        <v>East</v>
      </c>
      <c r="E441" s="2" t="str">
        <f>PROPER(TRIM(SUBSTITUTE([1]RawShipmentData!D442,"  "," ")))</f>
        <v>Xpressbees</v>
      </c>
      <c r="F441" s="2" t="str">
        <f>PROPER(TRIM([1]RawShipmentData!E442))</f>
        <v>Air</v>
      </c>
      <c r="G441" s="2" t="str">
        <f>PROPER(TRIM(SUBSTITUTE([1]RawShipmentData!F442,"  "," ")))</f>
        <v>Pharma</v>
      </c>
      <c r="H441" s="2" t="str">
        <f>PROPER(TRIM([1]RawShipmentData!G442))</f>
        <v>South</v>
      </c>
      <c r="I441" s="2" t="str">
        <f t="shared" si="30"/>
        <v>Yes</v>
      </c>
      <c r="J441" s="2">
        <f>IFERROR(VALUE(TRIM(SUBSTITUTE(UPPER([1]RawShipmentData!I441),"KG",""))),"")</f>
        <v>8</v>
      </c>
      <c r="K441" s="2">
        <f>VALUE(SUBSTITUTE(SUBSTITUTE(SUBSTITUTE(TRIM([1]RawShipmentData!J442),"₹",""),"Rs",""),",",""))</f>
        <v>353</v>
      </c>
      <c r="L441" s="2">
        <f>[1]RawShipmentData!K442</f>
        <v>4</v>
      </c>
      <c r="M441" s="3">
        <f>IF(TRIM([1]RawShipmentData!L442)="","",IF(ISNUMBER(SEARCH("/",TRIM([1]RawShipmentData!L442))),DATE(VALUE(RIGHT(TRIM([1]RawShipmentData!L442),4)),VALUE(MID(TRIM([1]RawShipmentData!L442),FIND("/",TRIM([1]RawShipmentData!L442))+1,2)),VALUE(LEFT(TRIM([1]RawShipmentData!L442),FIND("/",TRIM([1]RawShipmentData!L442))-1))),DATEVALUE(TRIM([1]RawShipmentData!L442))))</f>
        <v>45364</v>
      </c>
      <c r="N441" s="2">
        <f t="shared" si="31"/>
        <v>4</v>
      </c>
      <c r="O441" s="2">
        <f t="shared" si="32"/>
        <v>0</v>
      </c>
      <c r="P441" s="2" t="str">
        <f t="shared" si="33"/>
        <v>On Time</v>
      </c>
      <c r="Q441" s="2" t="str">
        <f>PROPER(SUBSTITUTE(TRIM([1]RawShipmentData!M442)," ","-"))</f>
        <v>Delivered</v>
      </c>
      <c r="R441" s="4">
        <f t="shared" si="34"/>
        <v>44.125</v>
      </c>
      <c r="S441" s="2">
        <f>[1]RawShipmentData!N442</f>
        <v>3</v>
      </c>
      <c r="T441" s="2" t="str">
        <f>IF(OR(UPPER(TRIM([1]RawShipmentData!O442))="YES",UPPER(TRIM([1]RawShipmentData!O442))="Y"),"Yes","No")</f>
        <v>Yes</v>
      </c>
    </row>
    <row r="442" spans="1:20" x14ac:dyDescent="0.25">
      <c r="A442" s="2" t="str">
        <f>[1]RawShipmentData!A443</f>
        <v>SHP-101416</v>
      </c>
      <c r="B442" s="3">
        <f>IF(ISNUMBER(SEARCH("/",TRIM([1]RawShipmentData!B443))),DATE(VALUE(RIGHT(TRIM([1]RawShipmentData!B443),4)),VALUE(MID(TRIM([1]RawShipmentData!B443),FIND("/",TRIM([1]RawShipmentData!B443))+1,2)),VALUE(LEFT(TRIM([1]RawShipmentData!B443),FIND("/",TRIM([1]RawShipmentData!B443))-1))),DATEVALUE(TRIM([1]RawShipmentData!B443)))</f>
        <v>45408</v>
      </c>
      <c r="C442" s="2" t="str">
        <f>PROPER(TRIM([1]RawShipmentData!C443))</f>
        <v>Kolkata</v>
      </c>
      <c r="D442" s="2" t="str">
        <f>IFERROR(INDEX([1]HubMaster!$B$2:$B$7,MATCH(C442,[1]HubMaster!$A$2:$A$7,0)),"Unknown")</f>
        <v>East</v>
      </c>
      <c r="E442" s="2" t="str">
        <f>PROPER(TRIM(SUBSTITUTE([1]RawShipmentData!D443,"  "," ")))</f>
        <v>Dtdc</v>
      </c>
      <c r="F442" s="2" t="str">
        <f>PROPER(TRIM([1]RawShipmentData!E443))</f>
        <v>Surface</v>
      </c>
      <c r="G442" s="2" t="str">
        <f>PROPER(TRIM(SUBSTITUTE([1]RawShipmentData!F443,"  "," ")))</f>
        <v>Electronics</v>
      </c>
      <c r="H442" s="2" t="str">
        <f>PROPER(TRIM([1]RawShipmentData!G443))</f>
        <v>East</v>
      </c>
      <c r="I442" s="2" t="str">
        <f t="shared" si="30"/>
        <v>No</v>
      </c>
      <c r="J442" s="2">
        <f>IFERROR(VALUE(TRIM(SUBSTITUTE(UPPER([1]RawShipmentData!I442),"KG",""))),"")</f>
        <v>3.7</v>
      </c>
      <c r="K442" s="2">
        <f>VALUE(SUBSTITUTE(SUBSTITUTE(SUBSTITUTE(TRIM([1]RawShipmentData!J443),"₹",""),"Rs",""),",",""))</f>
        <v>201</v>
      </c>
      <c r="L442" s="2">
        <f>[1]RawShipmentData!K443</f>
        <v>4</v>
      </c>
      <c r="M442" s="3">
        <f>IF(TRIM([1]RawShipmentData!L443)="","",IF(ISNUMBER(SEARCH("/",TRIM([1]RawShipmentData!L443))),DATE(VALUE(RIGHT(TRIM([1]RawShipmentData!L443),4)),VALUE(MID(TRIM([1]RawShipmentData!L443),FIND("/",TRIM([1]RawShipmentData!L443))+1,2)),VALUE(LEFT(TRIM([1]RawShipmentData!L443),FIND("/",TRIM([1]RawShipmentData!L443))-1))),DATEVALUE(TRIM([1]RawShipmentData!L443))))</f>
        <v>45412</v>
      </c>
      <c r="N442" s="2">
        <f t="shared" si="31"/>
        <v>4</v>
      </c>
      <c r="O442" s="2">
        <f t="shared" si="32"/>
        <v>0</v>
      </c>
      <c r="P442" s="2" t="str">
        <f t="shared" si="33"/>
        <v>On Time</v>
      </c>
      <c r="Q442" s="2" t="str">
        <f>PROPER(SUBSTITUTE(TRIM([1]RawShipmentData!M443)," ","-"))</f>
        <v>Delivered</v>
      </c>
      <c r="R442" s="4">
        <f t="shared" si="34"/>
        <v>54.324324324324323</v>
      </c>
      <c r="S442" s="2">
        <f>[1]RawShipmentData!N443</f>
        <v>3</v>
      </c>
      <c r="T442" s="2" t="str">
        <f>IF(OR(UPPER(TRIM([1]RawShipmentData!O443))="YES",UPPER(TRIM([1]RawShipmentData!O443))="Y"),"Yes","No")</f>
        <v>No</v>
      </c>
    </row>
    <row r="443" spans="1:20" x14ac:dyDescent="0.25">
      <c r="A443" s="2" t="str">
        <f>[1]RawShipmentData!A444</f>
        <v>SHP-100378</v>
      </c>
      <c r="B443" s="3">
        <f>IF(ISNUMBER(SEARCH("/",TRIM([1]RawShipmentData!B444))),DATE(VALUE(RIGHT(TRIM([1]RawShipmentData!B444),4)),VALUE(MID(TRIM([1]RawShipmentData!B444),FIND("/",TRIM([1]RawShipmentData!B444))+1,2)),VALUE(LEFT(TRIM([1]RawShipmentData!B444),FIND("/",TRIM([1]RawShipmentData!B444))-1))),DATEVALUE(TRIM([1]RawShipmentData!B444)))</f>
        <v>45343</v>
      </c>
      <c r="C443" s="2" t="str">
        <f>PROPER(TRIM([1]RawShipmentData!C444))</f>
        <v>Bengaluru</v>
      </c>
      <c r="D443" s="2" t="str">
        <f>IFERROR(INDEX([1]HubMaster!$B$2:$B$7,MATCH(C443,[1]HubMaster!$A$2:$A$7,0)),"Unknown")</f>
        <v>South</v>
      </c>
      <c r="E443" s="2" t="str">
        <f>PROPER(TRIM(SUBSTITUTE([1]RawShipmentData!D444,"  "," ")))</f>
        <v>Xpressbees</v>
      </c>
      <c r="F443" s="2" t="str">
        <f>PROPER(TRIM([1]RawShipmentData!E444))</f>
        <v>Surface</v>
      </c>
      <c r="G443" s="2" t="str">
        <f>PROPER(TRIM(SUBSTITUTE([1]RawShipmentData!F444,"  "," ")))</f>
        <v>Electronics</v>
      </c>
      <c r="H443" s="2" t="str">
        <f>PROPER(TRIM([1]RawShipmentData!G444))</f>
        <v>North</v>
      </c>
      <c r="I443" s="2" t="str">
        <f t="shared" si="30"/>
        <v>Yes</v>
      </c>
      <c r="J443" s="2">
        <f>IFERROR(VALUE(TRIM(SUBSTITUTE(UPPER([1]RawShipmentData!I443),"KG",""))),"")</f>
        <v>8.9</v>
      </c>
      <c r="K443" s="2">
        <f>VALUE(SUBSTITUTE(SUBSTITUTE(SUBSTITUTE(TRIM([1]RawShipmentData!J444),"₹",""),"Rs",""),",",""))</f>
        <v>258</v>
      </c>
      <c r="L443" s="2">
        <f>[1]RawShipmentData!K444</f>
        <v>6</v>
      </c>
      <c r="M443" s="3">
        <f>IF(TRIM([1]RawShipmentData!L444)="","",IF(ISNUMBER(SEARCH("/",TRIM([1]RawShipmentData!L444))),DATE(VALUE(RIGHT(TRIM([1]RawShipmentData!L444),4)),VALUE(MID(TRIM([1]RawShipmentData!L444),FIND("/",TRIM([1]RawShipmentData!L444))+1,2)),VALUE(LEFT(TRIM([1]RawShipmentData!L444),FIND("/",TRIM([1]RawShipmentData!L444))-1))),DATEVALUE(TRIM([1]RawShipmentData!L444))))</f>
        <v>45350</v>
      </c>
      <c r="N443" s="2">
        <f t="shared" si="31"/>
        <v>7</v>
      </c>
      <c r="O443" s="2">
        <f t="shared" si="32"/>
        <v>1</v>
      </c>
      <c r="P443" s="2" t="str">
        <f t="shared" si="33"/>
        <v>Late</v>
      </c>
      <c r="Q443" s="2" t="str">
        <f>PROPER(SUBSTITUTE(TRIM([1]RawShipmentData!M444)," ","-"))</f>
        <v>Damaged</v>
      </c>
      <c r="R443" s="4">
        <f t="shared" si="34"/>
        <v>28.988764044943817</v>
      </c>
      <c r="S443" s="2">
        <f>[1]RawShipmentData!N444</f>
        <v>0</v>
      </c>
      <c r="T443" s="2" t="str">
        <f>IF(OR(UPPER(TRIM([1]RawShipmentData!O444))="YES",UPPER(TRIM([1]RawShipmentData!O444))="Y"),"Yes","No")</f>
        <v>Yes</v>
      </c>
    </row>
    <row r="444" spans="1:20" x14ac:dyDescent="0.25">
      <c r="A444" s="2" t="str">
        <f>[1]RawShipmentData!A445</f>
        <v>SHP-101455</v>
      </c>
      <c r="B444" s="3">
        <f>IF(ISNUMBER(SEARCH("/",TRIM([1]RawShipmentData!B445))),DATE(VALUE(RIGHT(TRIM([1]RawShipmentData!B445),4)),VALUE(MID(TRIM([1]RawShipmentData!B445),FIND("/",TRIM([1]RawShipmentData!B445))+1,2)),VALUE(LEFT(TRIM([1]RawShipmentData!B445),FIND("/",TRIM([1]RawShipmentData!B445))-1))),DATEVALUE(TRIM([1]RawShipmentData!B445)))</f>
        <v>45310</v>
      </c>
      <c r="C444" s="2" t="str">
        <f>PROPER(TRIM([1]RawShipmentData!C445))</f>
        <v>Delhi</v>
      </c>
      <c r="D444" s="2" t="str">
        <f>IFERROR(INDEX([1]HubMaster!$B$2:$B$7,MATCH(C444,[1]HubMaster!$A$2:$A$7,0)),"Unknown")</f>
        <v>North</v>
      </c>
      <c r="E444" s="2" t="str">
        <f>PROPER(TRIM(SUBSTITUTE([1]RawShipmentData!D445,"  "," ")))</f>
        <v>Dtdc</v>
      </c>
      <c r="F444" s="2" t="str">
        <f>PROPER(TRIM([1]RawShipmentData!E445))</f>
        <v>Surface</v>
      </c>
      <c r="G444" s="2" t="str">
        <f>PROPER(TRIM(SUBSTITUTE([1]RawShipmentData!F445,"  "," ")))</f>
        <v>Electronics</v>
      </c>
      <c r="H444" s="2" t="str">
        <f>PROPER(TRIM([1]RawShipmentData!G445))</f>
        <v>South</v>
      </c>
      <c r="I444" s="2" t="str">
        <f t="shared" si="30"/>
        <v>Yes</v>
      </c>
      <c r="J444" s="2">
        <f>IFERROR(VALUE(TRIM(SUBSTITUTE(UPPER([1]RawShipmentData!I444),"KG",""))),"")</f>
        <v>3.6</v>
      </c>
      <c r="K444" s="2">
        <f>VALUE(SUBSTITUTE(SUBSTITUTE(SUBSTITUTE(TRIM([1]RawShipmentData!J445),"₹",""),"Rs",""),",",""))</f>
        <v>247</v>
      </c>
      <c r="L444" s="2">
        <f>[1]RawShipmentData!K445</f>
        <v>6</v>
      </c>
      <c r="M444" s="3">
        <f>IF(TRIM([1]RawShipmentData!L445)="","",IF(ISNUMBER(SEARCH("/",TRIM([1]RawShipmentData!L445))),DATE(VALUE(RIGHT(TRIM([1]RawShipmentData!L445),4)),VALUE(MID(TRIM([1]RawShipmentData!L445),FIND("/",TRIM([1]RawShipmentData!L445))+1,2)),VALUE(LEFT(TRIM([1]RawShipmentData!L445),FIND("/",TRIM([1]RawShipmentData!L445))-1))),DATEVALUE(TRIM([1]RawShipmentData!L445))))</f>
        <v>45318</v>
      </c>
      <c r="N444" s="2">
        <f t="shared" si="31"/>
        <v>8</v>
      </c>
      <c r="O444" s="2">
        <f t="shared" si="32"/>
        <v>2</v>
      </c>
      <c r="P444" s="2" t="str">
        <f t="shared" si="33"/>
        <v>Late</v>
      </c>
      <c r="Q444" s="2" t="str">
        <f>PROPER(SUBSTITUTE(TRIM([1]RawShipmentData!M445)," ","-"))</f>
        <v>Delayed</v>
      </c>
      <c r="R444" s="4">
        <f t="shared" si="34"/>
        <v>68.611111111111114</v>
      </c>
      <c r="S444" s="2">
        <f>[1]RawShipmentData!N445</f>
        <v>5</v>
      </c>
      <c r="T444" s="2" t="str">
        <f>IF(OR(UPPER(TRIM([1]RawShipmentData!O445))="YES",UPPER(TRIM([1]RawShipmentData!O445))="Y"),"Yes","No")</f>
        <v>Yes</v>
      </c>
    </row>
    <row r="445" spans="1:20" x14ac:dyDescent="0.25">
      <c r="A445" s="2" t="str">
        <f>[1]RawShipmentData!A446</f>
        <v>SHP-100609</v>
      </c>
      <c r="B445" s="3">
        <f>IF(ISNUMBER(SEARCH("/",TRIM([1]RawShipmentData!B446))),DATE(VALUE(RIGHT(TRIM([1]RawShipmentData!B446),4)),VALUE(MID(TRIM([1]RawShipmentData!B446),FIND("/",TRIM([1]RawShipmentData!B446))+1,2)),VALUE(LEFT(TRIM([1]RawShipmentData!B446),FIND("/",TRIM([1]RawShipmentData!B446))-1))),DATEVALUE(TRIM([1]RawShipmentData!B446)))</f>
        <v>45435</v>
      </c>
      <c r="C445" s="2" t="str">
        <f>PROPER(TRIM([1]RawShipmentData!C446))</f>
        <v>Bengaluru</v>
      </c>
      <c r="D445" s="2" t="str">
        <f>IFERROR(INDEX([1]HubMaster!$B$2:$B$7,MATCH(C445,[1]HubMaster!$A$2:$A$7,0)),"Unknown")</f>
        <v>South</v>
      </c>
      <c r="E445" s="2" t="str">
        <f>PROPER(TRIM(SUBSTITUTE([1]RawShipmentData!D446,"  "," ")))</f>
        <v>Dtdc</v>
      </c>
      <c r="F445" s="2" t="str">
        <f>PROPER(TRIM([1]RawShipmentData!E446))</f>
        <v>Surface</v>
      </c>
      <c r="G445" s="2" t="str">
        <f>PROPER(TRIM(SUBSTITUTE([1]RawShipmentData!F446,"  "," ")))</f>
        <v>Apparel</v>
      </c>
      <c r="H445" s="2" t="str">
        <f>PROPER(TRIM([1]RawShipmentData!G446))</f>
        <v>North</v>
      </c>
      <c r="I445" s="2" t="str">
        <f t="shared" si="30"/>
        <v>Yes</v>
      </c>
      <c r="J445" s="2">
        <f>IFERROR(VALUE(TRIM(SUBSTITUTE(UPPER([1]RawShipmentData!I445),"KG",""))),"")</f>
        <v>3.8</v>
      </c>
      <c r="K445" s="2">
        <f>VALUE(SUBSTITUTE(SUBSTITUTE(SUBSTITUTE(TRIM([1]RawShipmentData!J446),"₹",""),"Rs",""),",",""))</f>
        <v>237</v>
      </c>
      <c r="L445" s="2">
        <f>[1]RawShipmentData!K446</f>
        <v>6</v>
      </c>
      <c r="M445" s="3">
        <f>IF(TRIM([1]RawShipmentData!L446)="","",IF(ISNUMBER(SEARCH("/",TRIM([1]RawShipmentData!L446))),DATE(VALUE(RIGHT(TRIM([1]RawShipmentData!L446),4)),VALUE(MID(TRIM([1]RawShipmentData!L446),FIND("/",TRIM([1]RawShipmentData!L446))+1,2)),VALUE(LEFT(TRIM([1]RawShipmentData!L446),FIND("/",TRIM([1]RawShipmentData!L446))-1))),DATEVALUE(TRIM([1]RawShipmentData!L446))))</f>
        <v>45442</v>
      </c>
      <c r="N445" s="2">
        <f t="shared" si="31"/>
        <v>7</v>
      </c>
      <c r="O445" s="2">
        <f t="shared" si="32"/>
        <v>1</v>
      </c>
      <c r="P445" s="2" t="str">
        <f t="shared" si="33"/>
        <v>Late</v>
      </c>
      <c r="Q445" s="2" t="str">
        <f>PROPER(SUBSTITUTE(TRIM([1]RawShipmentData!M446)," ","-"))</f>
        <v>Returned</v>
      </c>
      <c r="R445" s="4">
        <f t="shared" si="34"/>
        <v>62.368421052631582</v>
      </c>
      <c r="S445" s="2">
        <f>[1]RawShipmentData!N446</f>
        <v>0</v>
      </c>
      <c r="T445" s="2" t="str">
        <f>IF(OR(UPPER(TRIM([1]RawShipmentData!O446))="YES",UPPER(TRIM([1]RawShipmentData!O446))="Y"),"Yes","No")</f>
        <v>No</v>
      </c>
    </row>
    <row r="446" spans="1:20" x14ac:dyDescent="0.25">
      <c r="A446" s="2" t="str">
        <f>[1]RawShipmentData!A447</f>
        <v>SHP-100873</v>
      </c>
      <c r="B446" s="3">
        <f>IF(ISNUMBER(SEARCH("/",TRIM([1]RawShipmentData!B447))),DATE(VALUE(RIGHT(TRIM([1]RawShipmentData!B447),4)),VALUE(MID(TRIM([1]RawShipmentData!B447),FIND("/",TRIM([1]RawShipmentData!B447))+1,2)),VALUE(LEFT(TRIM([1]RawShipmentData!B447),FIND("/",TRIM([1]RawShipmentData!B447))-1))),DATEVALUE(TRIM([1]RawShipmentData!B447)))</f>
        <v>45455</v>
      </c>
      <c r="C446" s="2" t="str">
        <f>PROPER(TRIM([1]RawShipmentData!C447))</f>
        <v>Chennai</v>
      </c>
      <c r="D446" s="2" t="str">
        <f>IFERROR(INDEX([1]HubMaster!$B$2:$B$7,MATCH(C446,[1]HubMaster!$A$2:$A$7,0)),"Unknown")</f>
        <v>South</v>
      </c>
      <c r="E446" s="2" t="str">
        <f>PROPER(TRIM(SUBSTITUTE([1]RawShipmentData!D447,"  "," ")))</f>
        <v>Ecom Express</v>
      </c>
      <c r="F446" s="2" t="str">
        <f>PROPER(TRIM([1]RawShipmentData!E447))</f>
        <v>Air</v>
      </c>
      <c r="G446" s="2" t="str">
        <f>PROPER(TRIM(SUBSTITUTE([1]RawShipmentData!F447,"  "," ")))</f>
        <v>Electronics</v>
      </c>
      <c r="H446" s="2" t="str">
        <f>PROPER(TRIM([1]RawShipmentData!G447))</f>
        <v>South</v>
      </c>
      <c r="I446" s="2" t="str">
        <f t="shared" si="30"/>
        <v>No</v>
      </c>
      <c r="J446" s="2">
        <f>IFERROR(VALUE(TRIM(SUBSTITUTE(UPPER([1]RawShipmentData!I446),"KG",""))),"")</f>
        <v>4.5</v>
      </c>
      <c r="K446" s="2">
        <f>VALUE(SUBSTITUTE(SUBSTITUTE(SUBSTITUTE(TRIM([1]RawShipmentData!J447),"₹",""),"Rs",""),",",""))</f>
        <v>685</v>
      </c>
      <c r="L446" s="2">
        <f>[1]RawShipmentData!K447</f>
        <v>2</v>
      </c>
      <c r="M446" s="3">
        <f>IF(TRIM([1]RawShipmentData!L447)="","",IF(ISNUMBER(SEARCH("/",TRIM([1]RawShipmentData!L447))),DATE(VALUE(RIGHT(TRIM([1]RawShipmentData!L447),4)),VALUE(MID(TRIM([1]RawShipmentData!L447),FIND("/",TRIM([1]RawShipmentData!L447))+1,2)),VALUE(LEFT(TRIM([1]RawShipmentData!L447),FIND("/",TRIM([1]RawShipmentData!L447))-1))),DATEVALUE(TRIM([1]RawShipmentData!L447))))</f>
        <v>45457</v>
      </c>
      <c r="N446" s="2">
        <f t="shared" si="31"/>
        <v>2</v>
      </c>
      <c r="O446" s="2">
        <f t="shared" si="32"/>
        <v>0</v>
      </c>
      <c r="P446" s="2" t="str">
        <f t="shared" si="33"/>
        <v>On Time</v>
      </c>
      <c r="Q446" s="2" t="str">
        <f>PROPER(SUBSTITUTE(TRIM([1]RawShipmentData!M447)," ","-"))</f>
        <v>Damaged</v>
      </c>
      <c r="R446" s="4">
        <f t="shared" si="34"/>
        <v>152.22222222222223</v>
      </c>
      <c r="S446" s="2">
        <f>[1]RawShipmentData!N447</f>
        <v>0</v>
      </c>
      <c r="T446" s="2" t="str">
        <f>IF(OR(UPPER(TRIM([1]RawShipmentData!O447))="YES",UPPER(TRIM([1]RawShipmentData!O447))="Y"),"Yes","No")</f>
        <v>No</v>
      </c>
    </row>
    <row r="447" spans="1:20" x14ac:dyDescent="0.25">
      <c r="A447" s="2" t="str">
        <f>[1]RawShipmentData!A448</f>
        <v>SHP-100985</v>
      </c>
      <c r="B447" s="3">
        <f>IF(ISNUMBER(SEARCH("/",TRIM([1]RawShipmentData!B448))),DATE(VALUE(RIGHT(TRIM([1]RawShipmentData!B448),4)),VALUE(MID(TRIM([1]RawShipmentData!B448),FIND("/",TRIM([1]RawShipmentData!B448))+1,2)),VALUE(LEFT(TRIM([1]RawShipmentData!B448),FIND("/",TRIM([1]RawShipmentData!B448))-1))),DATEVALUE(TRIM([1]RawShipmentData!B448)))</f>
        <v>45339</v>
      </c>
      <c r="C447" s="2" t="str">
        <f>PROPER(TRIM([1]RawShipmentData!C448))</f>
        <v>Hyderabad</v>
      </c>
      <c r="D447" s="2" t="str">
        <f>IFERROR(INDEX([1]HubMaster!$B$2:$B$7,MATCH(C447,[1]HubMaster!$A$2:$A$7,0)),"Unknown")</f>
        <v>West</v>
      </c>
      <c r="E447" s="2" t="str">
        <f>PROPER(TRIM(SUBSTITUTE([1]RawShipmentData!D448,"  "," ")))</f>
        <v>Ecom Express</v>
      </c>
      <c r="F447" s="2" t="str">
        <f>PROPER(TRIM([1]RawShipmentData!E448))</f>
        <v>Road</v>
      </c>
      <c r="G447" s="2" t="str">
        <f>PROPER(TRIM(SUBSTITUTE([1]RawShipmentData!F448,"  "," ")))</f>
        <v>Automotive Parts</v>
      </c>
      <c r="H447" s="2" t="str">
        <f>PROPER(TRIM([1]RawShipmentData!G448))</f>
        <v>West</v>
      </c>
      <c r="I447" s="2" t="str">
        <f t="shared" si="30"/>
        <v>No</v>
      </c>
      <c r="J447" s="2">
        <f>IFERROR(VALUE(TRIM(SUBSTITUTE(UPPER([1]RawShipmentData!I447),"KG",""))),"")</f>
        <v>14.6</v>
      </c>
      <c r="K447" s="2">
        <f>VALUE(SUBSTITUTE(SUBSTITUTE(SUBSTITUTE(TRIM([1]RawShipmentData!J448),"₹",""),"Rs",""),",",""))</f>
        <v>312</v>
      </c>
      <c r="L447" s="2">
        <f>[1]RawShipmentData!K448</f>
        <v>6</v>
      </c>
      <c r="M447" s="3">
        <f>IF(TRIM([1]RawShipmentData!L448)="","",IF(ISNUMBER(SEARCH("/",TRIM([1]RawShipmentData!L448))),DATE(VALUE(RIGHT(TRIM([1]RawShipmentData!L448),4)),VALUE(MID(TRIM([1]RawShipmentData!L448),FIND("/",TRIM([1]RawShipmentData!L448))+1,2)),VALUE(LEFT(TRIM([1]RawShipmentData!L448),FIND("/",TRIM([1]RawShipmentData!L448))-1))),DATEVALUE(TRIM([1]RawShipmentData!L448))))</f>
        <v>45346</v>
      </c>
      <c r="N447" s="2">
        <f t="shared" si="31"/>
        <v>7</v>
      </c>
      <c r="O447" s="2">
        <f t="shared" si="32"/>
        <v>1</v>
      </c>
      <c r="P447" s="2" t="str">
        <f t="shared" si="33"/>
        <v>Late</v>
      </c>
      <c r="Q447" s="2" t="str">
        <f>PROPER(SUBSTITUTE(TRIM([1]RawShipmentData!M448)," ","-"))</f>
        <v>Delayed</v>
      </c>
      <c r="R447" s="4">
        <f t="shared" si="34"/>
        <v>21.36986301369863</v>
      </c>
      <c r="S447" s="2">
        <f>[1]RawShipmentData!N448</f>
        <v>2</v>
      </c>
      <c r="T447" s="2" t="str">
        <f>IF(OR(UPPER(TRIM([1]RawShipmentData!O448))="YES",UPPER(TRIM([1]RawShipmentData!O448))="Y"),"Yes","No")</f>
        <v>Yes</v>
      </c>
    </row>
    <row r="448" spans="1:20" x14ac:dyDescent="0.25">
      <c r="A448" s="2" t="str">
        <f>[1]RawShipmentData!A449</f>
        <v>SHP-100395</v>
      </c>
      <c r="B448" s="3">
        <f>IF(ISNUMBER(SEARCH("/",TRIM([1]RawShipmentData!B449))),DATE(VALUE(RIGHT(TRIM([1]RawShipmentData!B449),4)),VALUE(MID(TRIM([1]RawShipmentData!B449),FIND("/",TRIM([1]RawShipmentData!B449))+1,2)),VALUE(LEFT(TRIM([1]RawShipmentData!B449),FIND("/",TRIM([1]RawShipmentData!B449))-1))),DATEVALUE(TRIM([1]RawShipmentData!B449)))</f>
        <v>45317</v>
      </c>
      <c r="C448" s="2" t="str">
        <f>PROPER(TRIM([1]RawShipmentData!C449))</f>
        <v>Hyderabad</v>
      </c>
      <c r="D448" s="2" t="str">
        <f>IFERROR(INDEX([1]HubMaster!$B$2:$B$7,MATCH(C448,[1]HubMaster!$A$2:$A$7,0)),"Unknown")</f>
        <v>West</v>
      </c>
      <c r="E448" s="2" t="str">
        <f>PROPER(TRIM(SUBSTITUTE([1]RawShipmentData!D449,"  "," ")))</f>
        <v>Delhivery</v>
      </c>
      <c r="F448" s="2" t="str">
        <f>PROPER(TRIM([1]RawShipmentData!E449))</f>
        <v>Road</v>
      </c>
      <c r="G448" s="2" t="str">
        <f>PROPER(TRIM(SUBSTITUTE([1]RawShipmentData!F449,"  "," ")))</f>
        <v>Automotive Parts</v>
      </c>
      <c r="H448" s="2" t="str">
        <f>PROPER(TRIM([1]RawShipmentData!G449))</f>
        <v>West</v>
      </c>
      <c r="I448" s="2" t="str">
        <f t="shared" si="30"/>
        <v>No</v>
      </c>
      <c r="J448" s="2">
        <f>IFERROR(VALUE(TRIM(SUBSTITUTE(UPPER([1]RawShipmentData!I448),"KG",""))),"")</f>
        <v>22</v>
      </c>
      <c r="K448" s="2">
        <f>VALUE(SUBSTITUTE(SUBSTITUTE(SUBSTITUTE(TRIM([1]RawShipmentData!J449),"₹",""),"Rs",""),",",""))</f>
        <v>325</v>
      </c>
      <c r="L448" s="2">
        <f>[1]RawShipmentData!K449</f>
        <v>6</v>
      </c>
      <c r="M448" s="3">
        <f>IF(TRIM([1]RawShipmentData!L449)="","",IF(ISNUMBER(SEARCH("/",TRIM([1]RawShipmentData!L449))),DATE(VALUE(RIGHT(TRIM([1]RawShipmentData!L449),4)),VALUE(MID(TRIM([1]RawShipmentData!L449),FIND("/",TRIM([1]RawShipmentData!L449))+1,2)),VALUE(LEFT(TRIM([1]RawShipmentData!L449),FIND("/",TRIM([1]RawShipmentData!L449))-1))),DATEVALUE(TRIM([1]RawShipmentData!L449))))</f>
        <v>45329</v>
      </c>
      <c r="N448" s="2">
        <f t="shared" si="31"/>
        <v>12</v>
      </c>
      <c r="O448" s="2">
        <f t="shared" si="32"/>
        <v>6</v>
      </c>
      <c r="P448" s="2" t="str">
        <f t="shared" si="33"/>
        <v>Late</v>
      </c>
      <c r="Q448" s="2" t="str">
        <f>PROPER(SUBSTITUTE(TRIM([1]RawShipmentData!M449)," ","-"))</f>
        <v>Delayed</v>
      </c>
      <c r="R448" s="4">
        <f t="shared" si="34"/>
        <v>14.772727272727273</v>
      </c>
      <c r="S448" s="2">
        <f>[1]RawShipmentData!N449</f>
        <v>5</v>
      </c>
      <c r="T448" s="2" t="str">
        <f>IF(OR(UPPER(TRIM([1]RawShipmentData!O449))="YES",UPPER(TRIM([1]RawShipmentData!O449))="Y"),"Yes","No")</f>
        <v>No</v>
      </c>
    </row>
    <row r="449" spans="1:20" x14ac:dyDescent="0.25">
      <c r="A449" s="2" t="str">
        <f>[1]RawShipmentData!A450</f>
        <v>SHP-101312</v>
      </c>
      <c r="B449" s="3">
        <f>IF(ISNUMBER(SEARCH("/",TRIM([1]RawShipmentData!B450))),DATE(VALUE(RIGHT(TRIM([1]RawShipmentData!B450),4)),VALUE(MID(TRIM([1]RawShipmentData!B450),FIND("/",TRIM([1]RawShipmentData!B450))+1,2)),VALUE(LEFT(TRIM([1]RawShipmentData!B450),FIND("/",TRIM([1]RawShipmentData!B450))-1))),DATEVALUE(TRIM([1]RawShipmentData!B450)))</f>
        <v>45409</v>
      </c>
      <c r="C449" s="2" t="str">
        <f>PROPER(TRIM([1]RawShipmentData!C450))</f>
        <v>Kolkata</v>
      </c>
      <c r="D449" s="2" t="str">
        <f>IFERROR(INDEX([1]HubMaster!$B$2:$B$7,MATCH(C449,[1]HubMaster!$A$2:$A$7,0)),"Unknown")</f>
        <v>East</v>
      </c>
      <c r="E449" s="2" t="str">
        <f>PROPER(TRIM(SUBSTITUTE([1]RawShipmentData!D450,"  "," ")))</f>
        <v>Ecom Express</v>
      </c>
      <c r="F449" s="2" t="str">
        <f>PROPER(TRIM([1]RawShipmentData!E450))</f>
        <v>Surface</v>
      </c>
      <c r="G449" s="2" t="str">
        <f>PROPER(TRIM(SUBSTITUTE([1]RawShipmentData!F450,"  "," ")))</f>
        <v>Furniture</v>
      </c>
      <c r="H449" s="2" t="str">
        <f>PROPER(TRIM([1]RawShipmentData!G450))</f>
        <v>South</v>
      </c>
      <c r="I449" s="2" t="str">
        <f t="shared" si="30"/>
        <v>Yes</v>
      </c>
      <c r="J449" s="2">
        <f>IFERROR(VALUE(TRIM(SUBSTITUTE(UPPER([1]RawShipmentData!I449),"KG",""))),"")</f>
        <v>19.2</v>
      </c>
      <c r="K449" s="2">
        <f>VALUE(SUBSTITUTE(SUBSTITUTE(SUBSTITUTE(TRIM([1]RawShipmentData!J450),"₹",""),"Rs",""),",",""))</f>
        <v>545</v>
      </c>
      <c r="L449" s="2">
        <f>[1]RawShipmentData!K450</f>
        <v>6</v>
      </c>
      <c r="M449" s="3">
        <f>IF(TRIM([1]RawShipmentData!L450)="","",IF(ISNUMBER(SEARCH("/",TRIM([1]RawShipmentData!L450))),DATE(VALUE(RIGHT(TRIM([1]RawShipmentData!L450),4)),VALUE(MID(TRIM([1]RawShipmentData!L450),FIND("/",TRIM([1]RawShipmentData!L450))+1,2)),VALUE(LEFT(TRIM([1]RawShipmentData!L450),FIND("/",TRIM([1]RawShipmentData!L450))-1))),DATEVALUE(TRIM([1]RawShipmentData!L450))))</f>
        <v>45416</v>
      </c>
      <c r="N449" s="2">
        <f t="shared" si="31"/>
        <v>7</v>
      </c>
      <c r="O449" s="2">
        <f t="shared" si="32"/>
        <v>1</v>
      </c>
      <c r="P449" s="2" t="str">
        <f t="shared" si="33"/>
        <v>Late</v>
      </c>
      <c r="Q449" s="2" t="str">
        <f>PROPER(SUBSTITUTE(TRIM([1]RawShipmentData!M450)," ","-"))</f>
        <v>Delayed</v>
      </c>
      <c r="R449" s="4">
        <f t="shared" si="34"/>
        <v>28.385416666666668</v>
      </c>
      <c r="S449" s="2">
        <f>[1]RawShipmentData!N450</f>
        <v>3</v>
      </c>
      <c r="T449" s="2" t="str">
        <f>IF(OR(UPPER(TRIM([1]RawShipmentData!O450))="YES",UPPER(TRIM([1]RawShipmentData!O450))="Y"),"Yes","No")</f>
        <v>Yes</v>
      </c>
    </row>
    <row r="450" spans="1:20" x14ac:dyDescent="0.25">
      <c r="A450" s="2" t="str">
        <f>[1]RawShipmentData!A451</f>
        <v>SHP-101331</v>
      </c>
      <c r="B450" s="3">
        <f>IF(ISNUMBER(SEARCH("/",TRIM([1]RawShipmentData!B451))),DATE(VALUE(RIGHT(TRIM([1]RawShipmentData!B451),4)),VALUE(MID(TRIM([1]RawShipmentData!B451),FIND("/",TRIM([1]RawShipmentData!B451))+1,2)),VALUE(LEFT(TRIM([1]RawShipmentData!B451),FIND("/",TRIM([1]RawShipmentData!B451))-1))),DATEVALUE(TRIM([1]RawShipmentData!B451)))</f>
        <v>45335</v>
      </c>
      <c r="C450" s="2" t="str">
        <f>PROPER(TRIM([1]RawShipmentData!C451))</f>
        <v>Chennai</v>
      </c>
      <c r="D450" s="2" t="str">
        <f>IFERROR(INDEX([1]HubMaster!$B$2:$B$7,MATCH(C450,[1]HubMaster!$A$2:$A$7,0)),"Unknown")</f>
        <v>South</v>
      </c>
      <c r="E450" s="2" t="str">
        <f>PROPER(TRIM(SUBSTITUTE([1]RawShipmentData!D451,"  "," ")))</f>
        <v>Bluedart</v>
      </c>
      <c r="F450" s="2" t="str">
        <f>PROPER(TRIM([1]RawShipmentData!E451))</f>
        <v>Road</v>
      </c>
      <c r="G450" s="2" t="str">
        <f>PROPER(TRIM(SUBSTITUTE([1]RawShipmentData!F451,"  "," ")))</f>
        <v>Furniture</v>
      </c>
      <c r="H450" s="2" t="str">
        <f>PROPER(TRIM([1]RawShipmentData!G451))</f>
        <v>West</v>
      </c>
      <c r="I450" s="2" t="str">
        <f t="shared" ref="I450:I513" si="35">IF(D450=H450,"No","Yes")</f>
        <v>Yes</v>
      </c>
      <c r="J450" s="2">
        <f>IFERROR(VALUE(TRIM(SUBSTITUTE(UPPER([1]RawShipmentData!I450),"KG",""))),"")</f>
        <v>16.3</v>
      </c>
      <c r="K450" s="2">
        <f>VALUE(SUBSTITUTE(SUBSTITUTE(SUBSTITUTE(TRIM([1]RawShipmentData!J451),"₹",""),"Rs",""),",",""))</f>
        <v>743</v>
      </c>
      <c r="L450" s="2">
        <f>[1]RawShipmentData!K451</f>
        <v>8</v>
      </c>
      <c r="M450" s="3">
        <f>IF(TRIM([1]RawShipmentData!L451)="","",IF(ISNUMBER(SEARCH("/",TRIM([1]RawShipmentData!L451))),DATE(VALUE(RIGHT(TRIM([1]RawShipmentData!L451),4)),VALUE(MID(TRIM([1]RawShipmentData!L451),FIND("/",TRIM([1]RawShipmentData!L451))+1,2)),VALUE(LEFT(TRIM([1]RawShipmentData!L451),FIND("/",TRIM([1]RawShipmentData!L451))-1))),DATEVALUE(TRIM([1]RawShipmentData!L451))))</f>
        <v>45343</v>
      </c>
      <c r="N450" s="2">
        <f t="shared" ref="N450:N513" si="36">IF(M450="","",M450-B450)</f>
        <v>8</v>
      </c>
      <c r="O450" s="2">
        <f t="shared" ref="O450:O513" si="37">IF(N450="","",N450-L450)</f>
        <v>0</v>
      </c>
      <c r="P450" s="2" t="str">
        <f t="shared" ref="P450:P513" si="38">IF(N450="","N/A",IF(N450&lt;=L450,"On Time","Late"))</f>
        <v>On Time</v>
      </c>
      <c r="Q450" s="2" t="str">
        <f>PROPER(SUBSTITUTE(TRIM([1]RawShipmentData!M451)," ","-"))</f>
        <v>Delivered</v>
      </c>
      <c r="R450" s="4">
        <f t="shared" si="34"/>
        <v>45.582822085889568</v>
      </c>
      <c r="S450" s="2">
        <f>[1]RawShipmentData!N451</f>
        <v>4</v>
      </c>
      <c r="T450" s="2" t="str">
        <f>IF(OR(UPPER(TRIM([1]RawShipmentData!O451))="YES",UPPER(TRIM([1]RawShipmentData!O451))="Y"),"Yes","No")</f>
        <v>No</v>
      </c>
    </row>
    <row r="451" spans="1:20" x14ac:dyDescent="0.25">
      <c r="A451" s="2" t="str">
        <f>[1]RawShipmentData!A452</f>
        <v>SHP-101239</v>
      </c>
      <c r="B451" s="3">
        <f>IF(ISNUMBER(SEARCH("/",TRIM([1]RawShipmentData!B452))),DATE(VALUE(RIGHT(TRIM([1]RawShipmentData!B452),4)),VALUE(MID(TRIM([1]RawShipmentData!B452),FIND("/",TRIM([1]RawShipmentData!B452))+1,2)),VALUE(LEFT(TRIM([1]RawShipmentData!B452),FIND("/",TRIM([1]RawShipmentData!B452))-1))),DATEVALUE(TRIM([1]RawShipmentData!B452)))</f>
        <v>45438</v>
      </c>
      <c r="C451" s="2" t="str">
        <f>PROPER(TRIM([1]RawShipmentData!C452))</f>
        <v>Mumbai</v>
      </c>
      <c r="D451" s="2" t="str">
        <f>IFERROR(INDEX([1]HubMaster!$B$2:$B$7,MATCH(C451,[1]HubMaster!$A$2:$A$7,0)),"Unknown")</f>
        <v>West</v>
      </c>
      <c r="E451" s="2" t="str">
        <f>PROPER(TRIM(SUBSTITUTE([1]RawShipmentData!D452,"  "," ")))</f>
        <v>Xpressbees</v>
      </c>
      <c r="F451" s="2" t="str">
        <f>PROPER(TRIM([1]RawShipmentData!E452))</f>
        <v>Air</v>
      </c>
      <c r="G451" s="2" t="str">
        <f>PROPER(TRIM(SUBSTITUTE([1]RawShipmentData!F452,"  "," ")))</f>
        <v>Apparel</v>
      </c>
      <c r="H451" s="2" t="str">
        <f>PROPER(TRIM([1]RawShipmentData!G452))</f>
        <v>North</v>
      </c>
      <c r="I451" s="2" t="str">
        <f t="shared" si="35"/>
        <v>Yes</v>
      </c>
      <c r="J451" s="2">
        <f>IFERROR(VALUE(TRIM(SUBSTITUTE(UPPER([1]RawShipmentData!I451),"KG",""))),"")</f>
        <v>42.3</v>
      </c>
      <c r="K451" s="2">
        <f>VALUE(SUBSTITUTE(SUBSTITUTE(SUBSTITUTE(TRIM([1]RawShipmentData!J452),"₹",""),"Rs",""),",",""))</f>
        <v>486</v>
      </c>
      <c r="L451" s="2">
        <f>[1]RawShipmentData!K452</f>
        <v>4</v>
      </c>
      <c r="M451" s="3">
        <f>IF(TRIM([1]RawShipmentData!L452)="","",IF(ISNUMBER(SEARCH("/",TRIM([1]RawShipmentData!L452))),DATE(VALUE(RIGHT(TRIM([1]RawShipmentData!L452),4)),VALUE(MID(TRIM([1]RawShipmentData!L452),FIND("/",TRIM([1]RawShipmentData!L452))+1,2)),VALUE(LEFT(TRIM([1]RawShipmentData!L452),FIND("/",TRIM([1]RawShipmentData!L452))-1))),DATEVALUE(TRIM([1]RawShipmentData!L452))))</f>
        <v>45442</v>
      </c>
      <c r="N451" s="2">
        <f t="shared" si="36"/>
        <v>4</v>
      </c>
      <c r="O451" s="2">
        <f t="shared" si="37"/>
        <v>0</v>
      </c>
      <c r="P451" s="2" t="str">
        <f t="shared" si="38"/>
        <v>On Time</v>
      </c>
      <c r="Q451" s="2" t="str">
        <f>PROPER(SUBSTITUTE(TRIM([1]RawShipmentData!M452)," ","-"))</f>
        <v>Delivered</v>
      </c>
      <c r="R451" s="4">
        <f t="shared" ref="R451:R514" si="39">IFERROR(K451/J451,"")</f>
        <v>11.48936170212766</v>
      </c>
      <c r="S451" s="2">
        <f>[1]RawShipmentData!N452</f>
        <v>5</v>
      </c>
      <c r="T451" s="2" t="str">
        <f>IF(OR(UPPER(TRIM([1]RawShipmentData!O452))="YES",UPPER(TRIM([1]RawShipmentData!O452))="Y"),"Yes","No")</f>
        <v>Yes</v>
      </c>
    </row>
    <row r="452" spans="1:20" x14ac:dyDescent="0.25">
      <c r="A452" s="2" t="str">
        <f>[1]RawShipmentData!A453</f>
        <v>SHP-100020</v>
      </c>
      <c r="B452" s="3">
        <f>IF(ISNUMBER(SEARCH("/",TRIM([1]RawShipmentData!B453))),DATE(VALUE(RIGHT(TRIM([1]RawShipmentData!B453),4)),VALUE(MID(TRIM([1]RawShipmentData!B453),FIND("/",TRIM([1]RawShipmentData!B453))+1,2)),VALUE(LEFT(TRIM([1]RawShipmentData!B453),FIND("/",TRIM([1]RawShipmentData!B453))-1))),DATEVALUE(TRIM([1]RawShipmentData!B453)))</f>
        <v>45307</v>
      </c>
      <c r="C452" s="2" t="str">
        <f>PROPER(TRIM([1]RawShipmentData!C453))</f>
        <v>Kolkata</v>
      </c>
      <c r="D452" s="2" t="str">
        <f>IFERROR(INDEX([1]HubMaster!$B$2:$B$7,MATCH(C452,[1]HubMaster!$A$2:$A$7,0)),"Unknown")</f>
        <v>East</v>
      </c>
      <c r="E452" s="2" t="str">
        <f>PROPER(TRIM(SUBSTITUTE([1]RawShipmentData!D453,"  "," ")))</f>
        <v>Xpressbees</v>
      </c>
      <c r="F452" s="2" t="str">
        <f>PROPER(TRIM([1]RawShipmentData!E453))</f>
        <v>Air</v>
      </c>
      <c r="G452" s="2" t="str">
        <f>PROPER(TRIM(SUBSTITUTE([1]RawShipmentData!F453,"  "," ")))</f>
        <v>Furniture</v>
      </c>
      <c r="H452" s="2" t="str">
        <f>PROPER(TRIM([1]RawShipmentData!G453))</f>
        <v>North</v>
      </c>
      <c r="I452" s="2" t="str">
        <f t="shared" si="35"/>
        <v>Yes</v>
      </c>
      <c r="J452" s="2">
        <f>IFERROR(VALUE(TRIM(SUBSTITUTE(UPPER([1]RawShipmentData!I452),"KG",""))),"")</f>
        <v>6.3</v>
      </c>
      <c r="K452" s="2">
        <f>VALUE(SUBSTITUTE(SUBSTITUTE(SUBSTITUTE(TRIM([1]RawShipmentData!J453),"₹",""),"Rs",""),",",""))</f>
        <v>2769</v>
      </c>
      <c r="L452" s="2">
        <f>[1]RawShipmentData!K453</f>
        <v>4</v>
      </c>
      <c r="M452" s="3">
        <f>IF(TRIM([1]RawShipmentData!L453)="","",IF(ISNUMBER(SEARCH("/",TRIM([1]RawShipmentData!L453))),DATE(VALUE(RIGHT(TRIM([1]RawShipmentData!L453),4)),VALUE(MID(TRIM([1]RawShipmentData!L453),FIND("/",TRIM([1]RawShipmentData!L453))+1,2)),VALUE(LEFT(TRIM([1]RawShipmentData!L453),FIND("/",TRIM([1]RawShipmentData!L453))-1))),DATEVALUE(TRIM([1]RawShipmentData!L453))))</f>
        <v>45311</v>
      </c>
      <c r="N452" s="2">
        <f t="shared" si="36"/>
        <v>4</v>
      </c>
      <c r="O452" s="2">
        <f t="shared" si="37"/>
        <v>0</v>
      </c>
      <c r="P452" s="2" t="str">
        <f t="shared" si="38"/>
        <v>On Time</v>
      </c>
      <c r="Q452" s="2" t="str">
        <f>PROPER(SUBSTITUTE(TRIM([1]RawShipmentData!M453)," ","-"))</f>
        <v>Delivered</v>
      </c>
      <c r="R452" s="4">
        <f t="shared" si="39"/>
        <v>439.52380952380952</v>
      </c>
      <c r="S452" s="2">
        <f>[1]RawShipmentData!N453</f>
        <v>4</v>
      </c>
      <c r="T452" s="2" t="str">
        <f>IF(OR(UPPER(TRIM([1]RawShipmentData!O453))="YES",UPPER(TRIM([1]RawShipmentData!O453))="Y"),"Yes","No")</f>
        <v>Yes</v>
      </c>
    </row>
    <row r="453" spans="1:20" x14ac:dyDescent="0.25">
      <c r="A453" s="2" t="str">
        <f>[1]RawShipmentData!A454</f>
        <v>SHP-100656</v>
      </c>
      <c r="B453" s="3">
        <f>IF(ISNUMBER(SEARCH("/",TRIM([1]RawShipmentData!B454))),DATE(VALUE(RIGHT(TRIM([1]RawShipmentData!B454),4)),VALUE(MID(TRIM([1]RawShipmentData!B454),FIND("/",TRIM([1]RawShipmentData!B454))+1,2)),VALUE(LEFT(TRIM([1]RawShipmentData!B454),FIND("/",TRIM([1]RawShipmentData!B454))-1))),DATEVALUE(TRIM([1]RawShipmentData!B454)))</f>
        <v>45455</v>
      </c>
      <c r="C453" s="2" t="str">
        <f>PROPER(TRIM([1]RawShipmentData!C454))</f>
        <v>Bengaluru</v>
      </c>
      <c r="D453" s="2" t="str">
        <f>IFERROR(INDEX([1]HubMaster!$B$2:$B$7,MATCH(C453,[1]HubMaster!$A$2:$A$7,0)),"Unknown")</f>
        <v>South</v>
      </c>
      <c r="E453" s="2" t="str">
        <f>PROPER(TRIM(SUBSTITUTE([1]RawShipmentData!D454,"  "," ")))</f>
        <v>Bluedart</v>
      </c>
      <c r="F453" s="2" t="str">
        <f>PROPER(TRIM([1]RawShipmentData!E454))</f>
        <v>Road</v>
      </c>
      <c r="G453" s="2" t="str">
        <f>PROPER(TRIM(SUBSTITUTE([1]RawShipmentData!F454,"  "," ")))</f>
        <v>Pharma</v>
      </c>
      <c r="H453" s="2" t="str">
        <f>PROPER(TRIM([1]RawShipmentData!G454))</f>
        <v>North</v>
      </c>
      <c r="I453" s="2" t="str">
        <f t="shared" si="35"/>
        <v>Yes</v>
      </c>
      <c r="J453" s="2">
        <f>IFERROR(VALUE(TRIM(SUBSTITUTE(UPPER([1]RawShipmentData!I453),"KG",""))),"")</f>
        <v>58</v>
      </c>
      <c r="K453" s="2">
        <f>VALUE(SUBSTITUTE(SUBSTITUTE(SUBSTITUTE(TRIM([1]RawShipmentData!J454),"₹",""),"Rs",""),",",""))</f>
        <v>222</v>
      </c>
      <c r="L453" s="2">
        <f>[1]RawShipmentData!K454</f>
        <v>8</v>
      </c>
      <c r="M453" s="3">
        <f>IF(TRIM([1]RawShipmentData!L454)="","",IF(ISNUMBER(SEARCH("/",TRIM([1]RawShipmentData!L454))),DATE(VALUE(RIGHT(TRIM([1]RawShipmentData!L454),4)),VALUE(MID(TRIM([1]RawShipmentData!L454),FIND("/",TRIM([1]RawShipmentData!L454))+1,2)),VALUE(LEFT(TRIM([1]RawShipmentData!L454),FIND("/",TRIM([1]RawShipmentData!L454))-1))),DATEVALUE(TRIM([1]RawShipmentData!L454))))</f>
        <v>45463</v>
      </c>
      <c r="N453" s="2">
        <f t="shared" si="36"/>
        <v>8</v>
      </c>
      <c r="O453" s="2">
        <f t="shared" si="37"/>
        <v>0</v>
      </c>
      <c r="P453" s="2" t="str">
        <f t="shared" si="38"/>
        <v>On Time</v>
      </c>
      <c r="Q453" s="2" t="str">
        <f>PROPER(SUBSTITUTE(TRIM([1]RawShipmentData!M454)," ","-"))</f>
        <v>Delivered</v>
      </c>
      <c r="R453" s="4">
        <f t="shared" si="39"/>
        <v>3.8275862068965516</v>
      </c>
      <c r="S453" s="2">
        <f>[1]RawShipmentData!N454</f>
        <v>4</v>
      </c>
      <c r="T453" s="2" t="str">
        <f>IF(OR(UPPER(TRIM([1]RawShipmentData!O454))="YES",UPPER(TRIM([1]RawShipmentData!O454))="Y"),"Yes","No")</f>
        <v>Yes</v>
      </c>
    </row>
    <row r="454" spans="1:20" x14ac:dyDescent="0.25">
      <c r="A454" s="2" t="str">
        <f>[1]RawShipmentData!A455</f>
        <v>SHP-100531</v>
      </c>
      <c r="B454" s="3">
        <f>IF(ISNUMBER(SEARCH("/",TRIM([1]RawShipmentData!B455))),DATE(VALUE(RIGHT(TRIM([1]RawShipmentData!B455),4)),VALUE(MID(TRIM([1]RawShipmentData!B455),FIND("/",TRIM([1]RawShipmentData!B455))+1,2)),VALUE(LEFT(TRIM([1]RawShipmentData!B455),FIND("/",TRIM([1]RawShipmentData!B455))-1))),DATEVALUE(TRIM([1]RawShipmentData!B455)))</f>
        <v>45306</v>
      </c>
      <c r="C454" s="2" t="str">
        <f>PROPER(TRIM([1]RawShipmentData!C455))</f>
        <v>Mumbai</v>
      </c>
      <c r="D454" s="2" t="str">
        <f>IFERROR(INDEX([1]HubMaster!$B$2:$B$7,MATCH(C454,[1]HubMaster!$A$2:$A$7,0)),"Unknown")</f>
        <v>West</v>
      </c>
      <c r="E454" s="2" t="str">
        <f>PROPER(TRIM(SUBSTITUTE([1]RawShipmentData!D455,"  "," ")))</f>
        <v>Xpress Bees</v>
      </c>
      <c r="F454" s="2" t="str">
        <f>PROPER(TRIM([1]RawShipmentData!E455))</f>
        <v>Surface</v>
      </c>
      <c r="G454" s="2" t="str">
        <f>PROPER(TRIM(SUBSTITUTE([1]RawShipmentData!F455,"  "," ")))</f>
        <v>Apparel</v>
      </c>
      <c r="H454" s="2" t="str">
        <f>PROPER(TRIM([1]RawShipmentData!G455))</f>
        <v>South</v>
      </c>
      <c r="I454" s="2" t="str">
        <f t="shared" si="35"/>
        <v>Yes</v>
      </c>
      <c r="J454" s="2">
        <f>IFERROR(VALUE(TRIM(SUBSTITUTE(UPPER([1]RawShipmentData!I454),"KG",""))),"")</f>
        <v>3.3</v>
      </c>
      <c r="K454" s="2">
        <f>VALUE(SUBSTITUTE(SUBSTITUTE(SUBSTITUTE(TRIM([1]RawShipmentData!J455),"₹",""),"Rs",""),",",""))</f>
        <v>185</v>
      </c>
      <c r="L454" s="2">
        <f>[1]RawShipmentData!K455</f>
        <v>6</v>
      </c>
      <c r="M454" s="3">
        <f>IF(TRIM([1]RawShipmentData!L455)="","",IF(ISNUMBER(SEARCH("/",TRIM([1]RawShipmentData!L455))),DATE(VALUE(RIGHT(TRIM([1]RawShipmentData!L455),4)),VALUE(MID(TRIM([1]RawShipmentData!L455),FIND("/",TRIM([1]RawShipmentData!L455))+1,2)),VALUE(LEFT(TRIM([1]RawShipmentData!L455),FIND("/",TRIM([1]RawShipmentData!L455))-1))),DATEVALUE(TRIM([1]RawShipmentData!L455))))</f>
        <v>45313</v>
      </c>
      <c r="N454" s="2">
        <f t="shared" si="36"/>
        <v>7</v>
      </c>
      <c r="O454" s="2">
        <f t="shared" si="37"/>
        <v>1</v>
      </c>
      <c r="P454" s="2" t="str">
        <f t="shared" si="38"/>
        <v>Late</v>
      </c>
      <c r="Q454" s="2" t="str">
        <f>PROPER(SUBSTITUTE(TRIM([1]RawShipmentData!M455)," ","-"))</f>
        <v>Delayed</v>
      </c>
      <c r="R454" s="4">
        <f t="shared" si="39"/>
        <v>56.060606060606062</v>
      </c>
      <c r="S454" s="2">
        <f>[1]RawShipmentData!N455</f>
        <v>4</v>
      </c>
      <c r="T454" s="2" t="str">
        <f>IF(OR(UPPER(TRIM([1]RawShipmentData!O455))="YES",UPPER(TRIM([1]RawShipmentData!O455))="Y"),"Yes","No")</f>
        <v>No</v>
      </c>
    </row>
    <row r="455" spans="1:20" x14ac:dyDescent="0.25">
      <c r="A455" s="2" t="str">
        <f>[1]RawShipmentData!A456</f>
        <v>SHP-100571</v>
      </c>
      <c r="B455" s="3">
        <f>IF(ISNUMBER(SEARCH("/",TRIM([1]RawShipmentData!B456))),DATE(VALUE(RIGHT(TRIM([1]RawShipmentData!B456),4)),VALUE(MID(TRIM([1]RawShipmentData!B456),FIND("/",TRIM([1]RawShipmentData!B456))+1,2)),VALUE(LEFT(TRIM([1]RawShipmentData!B456),FIND("/",TRIM([1]RawShipmentData!B456))-1))),DATEVALUE(TRIM([1]RawShipmentData!B456)))</f>
        <v>45294</v>
      </c>
      <c r="C455" s="2" t="str">
        <f>PROPER(TRIM([1]RawShipmentData!C456))</f>
        <v>Mumbai</v>
      </c>
      <c r="D455" s="2" t="str">
        <f>IFERROR(INDEX([1]HubMaster!$B$2:$B$7,MATCH(C455,[1]HubMaster!$A$2:$A$7,0)),"Unknown")</f>
        <v>West</v>
      </c>
      <c r="E455" s="2" t="str">
        <f>PROPER(TRIM(SUBSTITUTE([1]RawShipmentData!D456,"  "," ")))</f>
        <v>Bluedart</v>
      </c>
      <c r="F455" s="2" t="str">
        <f>PROPER(TRIM([1]RawShipmentData!E456))</f>
        <v>Road</v>
      </c>
      <c r="G455" s="2" t="str">
        <f>PROPER(TRIM(SUBSTITUTE([1]RawShipmentData!F456,"  "," ")))</f>
        <v>Grocery &amp; Fmcg</v>
      </c>
      <c r="H455" s="2" t="str">
        <f>PROPER(TRIM([1]RawShipmentData!G456))</f>
        <v>North</v>
      </c>
      <c r="I455" s="2" t="str">
        <f t="shared" si="35"/>
        <v>Yes</v>
      </c>
      <c r="J455" s="2">
        <f>IFERROR(VALUE(TRIM(SUBSTITUTE(UPPER([1]RawShipmentData!I455),"KG",""))),"")</f>
        <v>1.7</v>
      </c>
      <c r="K455" s="2">
        <f>VALUE(SUBSTITUTE(SUBSTITUTE(SUBSTITUTE(TRIM([1]RawShipmentData!J456),"₹",""),"Rs",""),",",""))</f>
        <v>364</v>
      </c>
      <c r="L455" s="2">
        <f>[1]RawShipmentData!K456</f>
        <v>8</v>
      </c>
      <c r="M455" s="3">
        <f>IF(TRIM([1]RawShipmentData!L456)="","",IF(ISNUMBER(SEARCH("/",TRIM([1]RawShipmentData!L456))),DATE(VALUE(RIGHT(TRIM([1]RawShipmentData!L456),4)),VALUE(MID(TRIM([1]RawShipmentData!L456),FIND("/",TRIM([1]RawShipmentData!L456))+1,2)),VALUE(LEFT(TRIM([1]RawShipmentData!L456),FIND("/",TRIM([1]RawShipmentData!L456))-1))),DATEVALUE(TRIM([1]RawShipmentData!L456))))</f>
        <v>45302</v>
      </c>
      <c r="N455" s="2">
        <f t="shared" si="36"/>
        <v>8</v>
      </c>
      <c r="O455" s="2">
        <f t="shared" si="37"/>
        <v>0</v>
      </c>
      <c r="P455" s="2" t="str">
        <f t="shared" si="38"/>
        <v>On Time</v>
      </c>
      <c r="Q455" s="2" t="str">
        <f>PROPER(SUBSTITUTE(TRIM([1]RawShipmentData!M456)," ","-"))</f>
        <v>Delivered</v>
      </c>
      <c r="R455" s="4">
        <f t="shared" si="39"/>
        <v>214.11764705882354</v>
      </c>
      <c r="S455" s="2">
        <f>[1]RawShipmentData!N456</f>
        <v>4</v>
      </c>
      <c r="T455" s="2" t="str">
        <f>IF(OR(UPPER(TRIM([1]RawShipmentData!O456))="YES",UPPER(TRIM([1]RawShipmentData!O456))="Y"),"Yes","No")</f>
        <v>No</v>
      </c>
    </row>
    <row r="456" spans="1:20" x14ac:dyDescent="0.25">
      <c r="A456" s="2" t="str">
        <f>[1]RawShipmentData!A457</f>
        <v>SHP-100893</v>
      </c>
      <c r="B456" s="3">
        <f>IF(ISNUMBER(SEARCH("/",TRIM([1]RawShipmentData!B457))),DATE(VALUE(RIGHT(TRIM([1]RawShipmentData!B457),4)),VALUE(MID(TRIM([1]RawShipmentData!B457),FIND("/",TRIM([1]RawShipmentData!B457))+1,2)),VALUE(LEFT(TRIM([1]RawShipmentData!B457),FIND("/",TRIM([1]RawShipmentData!B457))-1))),DATEVALUE(TRIM([1]RawShipmentData!B457)))</f>
        <v>45296</v>
      </c>
      <c r="C456" s="2" t="str">
        <f>PROPER(TRIM([1]RawShipmentData!C457))</f>
        <v>Hyderabad</v>
      </c>
      <c r="D456" s="2" t="str">
        <f>IFERROR(INDEX([1]HubMaster!$B$2:$B$7,MATCH(C456,[1]HubMaster!$A$2:$A$7,0)),"Unknown")</f>
        <v>West</v>
      </c>
      <c r="E456" s="2" t="str">
        <f>PROPER(TRIM(SUBSTITUTE([1]RawShipmentData!D457,"  "," ")))</f>
        <v>Bluedart</v>
      </c>
      <c r="F456" s="2" t="str">
        <f>PROPER(TRIM([1]RawShipmentData!E457))</f>
        <v>Road</v>
      </c>
      <c r="G456" s="2" t="str">
        <f>PROPER(TRIM(SUBSTITUTE([1]RawShipmentData!F457,"  "," ")))</f>
        <v>Pharma</v>
      </c>
      <c r="H456" s="2" t="str">
        <f>PROPER(TRIM([1]RawShipmentData!G457))</f>
        <v>East</v>
      </c>
      <c r="I456" s="2" t="str">
        <f t="shared" si="35"/>
        <v>Yes</v>
      </c>
      <c r="J456" s="2">
        <f>IFERROR(VALUE(TRIM(SUBSTITUTE(UPPER([1]RawShipmentData!I456),"KG",""))),"")</f>
        <v>15.4</v>
      </c>
      <c r="K456" s="2">
        <f>VALUE(SUBSTITUTE(SUBSTITUTE(SUBSTITUTE(TRIM([1]RawShipmentData!J457),"₹",""),"Rs",""),",",""))</f>
        <v>163</v>
      </c>
      <c r="L456" s="2">
        <f>[1]RawShipmentData!K457</f>
        <v>8</v>
      </c>
      <c r="M456" s="3">
        <f>IF(TRIM([1]RawShipmentData!L457)="","",IF(ISNUMBER(SEARCH("/",TRIM([1]RawShipmentData!L457))),DATE(VALUE(RIGHT(TRIM([1]RawShipmentData!L457),4)),VALUE(MID(TRIM([1]RawShipmentData!L457),FIND("/",TRIM([1]RawShipmentData!L457))+1,2)),VALUE(LEFT(TRIM([1]RawShipmentData!L457),FIND("/",TRIM([1]RawShipmentData!L457))-1))),DATEVALUE(TRIM([1]RawShipmentData!L457))))</f>
        <v>45313</v>
      </c>
      <c r="N456" s="2">
        <f t="shared" si="36"/>
        <v>17</v>
      </c>
      <c r="O456" s="2">
        <f t="shared" si="37"/>
        <v>9</v>
      </c>
      <c r="P456" s="2" t="str">
        <f t="shared" si="38"/>
        <v>Late</v>
      </c>
      <c r="Q456" s="2" t="str">
        <f>PROPER(SUBSTITUTE(TRIM([1]RawShipmentData!M457)," ","-"))</f>
        <v>Delayed</v>
      </c>
      <c r="R456" s="4">
        <f t="shared" si="39"/>
        <v>10.584415584415584</v>
      </c>
      <c r="S456" s="2">
        <f>[1]RawShipmentData!N457</f>
        <v>3</v>
      </c>
      <c r="T456" s="2" t="str">
        <f>IF(OR(UPPER(TRIM([1]RawShipmentData!O457))="YES",UPPER(TRIM([1]RawShipmentData!O457))="Y"),"Yes","No")</f>
        <v>No</v>
      </c>
    </row>
    <row r="457" spans="1:20" x14ac:dyDescent="0.25">
      <c r="A457" s="2" t="str">
        <f>[1]RawShipmentData!A458</f>
        <v>SHP-101111</v>
      </c>
      <c r="B457" s="3">
        <f>IF(ISNUMBER(SEARCH("/",TRIM([1]RawShipmentData!B458))),DATE(VALUE(RIGHT(TRIM([1]RawShipmentData!B458),4)),VALUE(MID(TRIM([1]RawShipmentData!B458),FIND("/",TRIM([1]RawShipmentData!B458))+1,2)),VALUE(LEFT(TRIM([1]RawShipmentData!B458),FIND("/",TRIM([1]RawShipmentData!B458))-1))),DATEVALUE(TRIM([1]RawShipmentData!B458)))</f>
        <v>45366</v>
      </c>
      <c r="C457" s="2" t="str">
        <f>PROPER(TRIM([1]RawShipmentData!C458))</f>
        <v>Bengaluru</v>
      </c>
      <c r="D457" s="2" t="str">
        <f>IFERROR(INDEX([1]HubMaster!$B$2:$B$7,MATCH(C457,[1]HubMaster!$A$2:$A$7,0)),"Unknown")</f>
        <v>South</v>
      </c>
      <c r="E457" s="2" t="str">
        <f>PROPER(TRIM(SUBSTITUTE([1]RawShipmentData!D458,"  "," ")))</f>
        <v>Ecom Express</v>
      </c>
      <c r="F457" s="2" t="str">
        <f>PROPER(TRIM([1]RawShipmentData!E458))</f>
        <v>Surface</v>
      </c>
      <c r="G457" s="2" t="str">
        <f>PROPER(TRIM(SUBSTITUTE([1]RawShipmentData!F458,"  "," ")))</f>
        <v>Grocery &amp; Fmcg</v>
      </c>
      <c r="H457" s="2" t="str">
        <f>PROPER(TRIM([1]RawShipmentData!G458))</f>
        <v>West</v>
      </c>
      <c r="I457" s="2" t="str">
        <f t="shared" si="35"/>
        <v>Yes</v>
      </c>
      <c r="J457" s="2">
        <f>IFERROR(VALUE(TRIM(SUBSTITUTE(UPPER([1]RawShipmentData!I457),"KG",""))),"")</f>
        <v>2.2000000000000002</v>
      </c>
      <c r="K457" s="2">
        <f>VALUE(SUBSTITUTE(SUBSTITUTE(SUBSTITUTE(TRIM([1]RawShipmentData!J458),"₹",""),"Rs",""),",",""))</f>
        <v>417</v>
      </c>
      <c r="L457" s="2">
        <f>[1]RawShipmentData!K458</f>
        <v>6</v>
      </c>
      <c r="M457" s="3">
        <f>IF(TRIM([1]RawShipmentData!L458)="","",IF(ISNUMBER(SEARCH("/",TRIM([1]RawShipmentData!L458))),DATE(VALUE(RIGHT(TRIM([1]RawShipmentData!L458),4)),VALUE(MID(TRIM([1]RawShipmentData!L458),FIND("/",TRIM([1]RawShipmentData!L458))+1,2)),VALUE(LEFT(TRIM([1]RawShipmentData!L458),FIND("/",TRIM([1]RawShipmentData!L458))-1))),DATEVALUE(TRIM([1]RawShipmentData!L458))))</f>
        <v>45371</v>
      </c>
      <c r="N457" s="2">
        <f t="shared" si="36"/>
        <v>5</v>
      </c>
      <c r="O457" s="2">
        <f t="shared" si="37"/>
        <v>-1</v>
      </c>
      <c r="P457" s="2" t="str">
        <f t="shared" si="38"/>
        <v>On Time</v>
      </c>
      <c r="Q457" s="2" t="str">
        <f>PROPER(SUBSTITUTE(TRIM([1]RawShipmentData!M458)," ","-"))</f>
        <v>Delivered</v>
      </c>
      <c r="R457" s="4">
        <f t="shared" si="39"/>
        <v>189.54545454545453</v>
      </c>
      <c r="S457" s="2">
        <f>[1]RawShipmentData!N458</f>
        <v>3</v>
      </c>
      <c r="T457" s="2" t="str">
        <f>IF(OR(UPPER(TRIM([1]RawShipmentData!O458))="YES",UPPER(TRIM([1]RawShipmentData!O458))="Y"),"Yes","No")</f>
        <v>No</v>
      </c>
    </row>
    <row r="458" spans="1:20" x14ac:dyDescent="0.25">
      <c r="A458" s="2" t="str">
        <f>[1]RawShipmentData!A459</f>
        <v>SHP-101372</v>
      </c>
      <c r="B458" s="3">
        <f>IF(ISNUMBER(SEARCH("/",TRIM([1]RawShipmentData!B459))),DATE(VALUE(RIGHT(TRIM([1]RawShipmentData!B459),4)),VALUE(MID(TRIM([1]RawShipmentData!B459),FIND("/",TRIM([1]RawShipmentData!B459))+1,2)),VALUE(LEFT(TRIM([1]RawShipmentData!B459),FIND("/",TRIM([1]RawShipmentData!B459))-1))),DATEVALUE(TRIM([1]RawShipmentData!B459)))</f>
        <v>45406</v>
      </c>
      <c r="C458" s="2" t="str">
        <f>PROPER(TRIM([1]RawShipmentData!C459))</f>
        <v>Bengaluru</v>
      </c>
      <c r="D458" s="2" t="str">
        <f>IFERROR(INDEX([1]HubMaster!$B$2:$B$7,MATCH(C458,[1]HubMaster!$A$2:$A$7,0)),"Unknown")</f>
        <v>South</v>
      </c>
      <c r="E458" s="2" t="str">
        <f>PROPER(TRIM(SUBSTITUTE([1]RawShipmentData!D459,"  "," ")))</f>
        <v>Delhivery</v>
      </c>
      <c r="F458" s="2" t="str">
        <f>PROPER(TRIM([1]RawShipmentData!E459))</f>
        <v>Air</v>
      </c>
      <c r="G458" s="2" t="str">
        <f>PROPER(TRIM(SUBSTITUTE([1]RawShipmentData!F459,"  "," ")))</f>
        <v>Electronics</v>
      </c>
      <c r="H458" s="2" t="str">
        <f>PROPER(TRIM([1]RawShipmentData!G459))</f>
        <v>South</v>
      </c>
      <c r="I458" s="2" t="str">
        <f t="shared" si="35"/>
        <v>No</v>
      </c>
      <c r="J458" s="2">
        <f>IFERROR(VALUE(TRIM(SUBSTITUTE(UPPER([1]RawShipmentData!I458),"KG",""))),"")</f>
        <v>12.5</v>
      </c>
      <c r="K458" s="2">
        <f>VALUE(SUBSTITUTE(SUBSTITUTE(SUBSTITUTE(TRIM([1]RawShipmentData!J459),"₹",""),"Rs",""),",",""))</f>
        <v>671</v>
      </c>
      <c r="L458" s="2">
        <f>[1]RawShipmentData!K459</f>
        <v>2</v>
      </c>
      <c r="M458" s="3">
        <f>IF(TRIM([1]RawShipmentData!L459)="","",IF(ISNUMBER(SEARCH("/",TRIM([1]RawShipmentData!L459))),DATE(VALUE(RIGHT(TRIM([1]RawShipmentData!L459),4)),VALUE(MID(TRIM([1]RawShipmentData!L459),FIND("/",TRIM([1]RawShipmentData!L459))+1,2)),VALUE(LEFT(TRIM([1]RawShipmentData!L459),FIND("/",TRIM([1]RawShipmentData!L459))-1))),DATEVALUE(TRIM([1]RawShipmentData!L459))))</f>
        <v>45409</v>
      </c>
      <c r="N458" s="2">
        <f t="shared" si="36"/>
        <v>3</v>
      </c>
      <c r="O458" s="2">
        <f t="shared" si="37"/>
        <v>1</v>
      </c>
      <c r="P458" s="2" t="str">
        <f t="shared" si="38"/>
        <v>Late</v>
      </c>
      <c r="Q458" s="2" t="str">
        <f>PROPER(SUBSTITUTE(TRIM([1]RawShipmentData!M459)," ","-"))</f>
        <v>Returned</v>
      </c>
      <c r="R458" s="4">
        <f t="shared" si="39"/>
        <v>53.68</v>
      </c>
      <c r="S458" s="2">
        <f>[1]RawShipmentData!N459</f>
        <v>0</v>
      </c>
      <c r="T458" s="2" t="str">
        <f>IF(OR(UPPER(TRIM([1]RawShipmentData!O459))="YES",UPPER(TRIM([1]RawShipmentData!O459))="Y"),"Yes","No")</f>
        <v>Yes</v>
      </c>
    </row>
    <row r="459" spans="1:20" x14ac:dyDescent="0.25">
      <c r="A459" s="2" t="str">
        <f>[1]RawShipmentData!A460</f>
        <v>SHP-100185</v>
      </c>
      <c r="B459" s="3">
        <f>IF(ISNUMBER(SEARCH("/",TRIM([1]RawShipmentData!B460))),DATE(VALUE(RIGHT(TRIM([1]RawShipmentData!B460),4)),VALUE(MID(TRIM([1]RawShipmentData!B460),FIND("/",TRIM([1]RawShipmentData!B460))+1,2)),VALUE(LEFT(TRIM([1]RawShipmentData!B460),FIND("/",TRIM([1]RawShipmentData!B460))-1))),DATEVALUE(TRIM([1]RawShipmentData!B460)))</f>
        <v>45378</v>
      </c>
      <c r="C459" s="2" t="str">
        <f>PROPER(TRIM([1]RawShipmentData!C460))</f>
        <v>Chennai</v>
      </c>
      <c r="D459" s="2" t="str">
        <f>IFERROR(INDEX([1]HubMaster!$B$2:$B$7,MATCH(C459,[1]HubMaster!$A$2:$A$7,0)),"Unknown")</f>
        <v>South</v>
      </c>
      <c r="E459" s="2" t="str">
        <f>PROPER(TRIM(SUBSTITUTE([1]RawShipmentData!D460,"  "," ")))</f>
        <v>Xpress Bees</v>
      </c>
      <c r="F459" s="2" t="str">
        <f>PROPER(TRIM([1]RawShipmentData!E460))</f>
        <v>Surface</v>
      </c>
      <c r="G459" s="2" t="str">
        <f>PROPER(TRIM(SUBSTITUTE([1]RawShipmentData!F460,"  "," ")))</f>
        <v>Grocery &amp; Fmcg</v>
      </c>
      <c r="H459" s="2" t="str">
        <f>PROPER(TRIM([1]RawShipmentData!G460))</f>
        <v>West</v>
      </c>
      <c r="I459" s="2" t="str">
        <f t="shared" si="35"/>
        <v>Yes</v>
      </c>
      <c r="J459" s="2">
        <f>IFERROR(VALUE(TRIM(SUBSTITUTE(UPPER([1]RawShipmentData!I459),"KG",""))),"")</f>
        <v>14.3</v>
      </c>
      <c r="K459" s="2">
        <f>VALUE(SUBSTITUTE(SUBSTITUTE(SUBSTITUTE(TRIM([1]RawShipmentData!J460),"₹",""),"Rs",""),",",""))</f>
        <v>190</v>
      </c>
      <c r="L459" s="2">
        <f>[1]RawShipmentData!K460</f>
        <v>6</v>
      </c>
      <c r="M459" s="3">
        <f>IF(TRIM([1]RawShipmentData!L460)="","",IF(ISNUMBER(SEARCH("/",TRIM([1]RawShipmentData!L460))),DATE(VALUE(RIGHT(TRIM([1]RawShipmentData!L460),4)),VALUE(MID(TRIM([1]RawShipmentData!L460),FIND("/",TRIM([1]RawShipmentData!L460))+1,2)),VALUE(LEFT(TRIM([1]RawShipmentData!L460),FIND("/",TRIM([1]RawShipmentData!L460))-1))),DATEVALUE(TRIM([1]RawShipmentData!L460))))</f>
        <v>45383</v>
      </c>
      <c r="N459" s="2">
        <f t="shared" si="36"/>
        <v>5</v>
      </c>
      <c r="O459" s="2">
        <f t="shared" si="37"/>
        <v>-1</v>
      </c>
      <c r="P459" s="2" t="str">
        <f t="shared" si="38"/>
        <v>On Time</v>
      </c>
      <c r="Q459" s="2" t="str">
        <f>PROPER(SUBSTITUTE(TRIM([1]RawShipmentData!M460)," ","-"))</f>
        <v>Delivered</v>
      </c>
      <c r="R459" s="4">
        <f t="shared" si="39"/>
        <v>13.286713286713287</v>
      </c>
      <c r="S459" s="2">
        <f>[1]RawShipmentData!N460</f>
        <v>4</v>
      </c>
      <c r="T459" s="2" t="str">
        <f>IF(OR(UPPER(TRIM([1]RawShipmentData!O460))="YES",UPPER(TRIM([1]RawShipmentData!O460))="Y"),"Yes","No")</f>
        <v>No</v>
      </c>
    </row>
    <row r="460" spans="1:20" x14ac:dyDescent="0.25">
      <c r="A460" s="2" t="str">
        <f>[1]RawShipmentData!A461</f>
        <v>SHP-101313</v>
      </c>
      <c r="B460" s="3">
        <f>IF(ISNUMBER(SEARCH("/",TRIM([1]RawShipmentData!B461))),DATE(VALUE(RIGHT(TRIM([1]RawShipmentData!B461),4)),VALUE(MID(TRIM([1]RawShipmentData!B461),FIND("/",TRIM([1]RawShipmentData!B461))+1,2)),VALUE(LEFT(TRIM([1]RawShipmentData!B461),FIND("/",TRIM([1]RawShipmentData!B461))-1))),DATEVALUE(TRIM([1]RawShipmentData!B461)))</f>
        <v>45356</v>
      </c>
      <c r="C460" s="2" t="str">
        <f>PROPER(TRIM([1]RawShipmentData!C461))</f>
        <v>Kolkata</v>
      </c>
      <c r="D460" s="2" t="str">
        <f>IFERROR(INDEX([1]HubMaster!$B$2:$B$7,MATCH(C460,[1]HubMaster!$A$2:$A$7,0)),"Unknown")</f>
        <v>East</v>
      </c>
      <c r="E460" s="2" t="str">
        <f>PROPER(TRIM(SUBSTITUTE([1]RawShipmentData!D461,"  "," ")))</f>
        <v>Delhivery</v>
      </c>
      <c r="F460" s="2" t="str">
        <f>PROPER(TRIM([1]RawShipmentData!E461))</f>
        <v>Surface</v>
      </c>
      <c r="G460" s="2" t="str">
        <f>PROPER(TRIM(SUBSTITUTE([1]RawShipmentData!F461,"  "," ")))</f>
        <v>Electronics</v>
      </c>
      <c r="H460" s="2" t="str">
        <f>PROPER(TRIM([1]RawShipmentData!G461))</f>
        <v>North</v>
      </c>
      <c r="I460" s="2" t="str">
        <f t="shared" si="35"/>
        <v>Yes</v>
      </c>
      <c r="J460" s="2">
        <f>IFERROR(VALUE(TRIM(SUBSTITUTE(UPPER([1]RawShipmentData!I460),"KG",""))),"")</f>
        <v>2.9</v>
      </c>
      <c r="K460" s="2">
        <f>VALUE(SUBSTITUTE(SUBSTITUTE(SUBSTITUTE(TRIM([1]RawShipmentData!J461),"₹",""),"Rs",""),",",""))</f>
        <v>201</v>
      </c>
      <c r="L460" s="2">
        <f>[1]RawShipmentData!K461</f>
        <v>6</v>
      </c>
      <c r="M460" s="3">
        <f>IF(TRIM([1]RawShipmentData!L461)="","",IF(ISNUMBER(SEARCH("/",TRIM([1]RawShipmentData!L461))),DATE(VALUE(RIGHT(TRIM([1]RawShipmentData!L461),4)),VALUE(MID(TRIM([1]RawShipmentData!L461),FIND("/",TRIM([1]RawShipmentData!L461))+1,2)),VALUE(LEFT(TRIM([1]RawShipmentData!L461),FIND("/",TRIM([1]RawShipmentData!L461))-1))),DATEVALUE(TRIM([1]RawShipmentData!L461))))</f>
        <v>45363</v>
      </c>
      <c r="N460" s="2">
        <f t="shared" si="36"/>
        <v>7</v>
      </c>
      <c r="O460" s="2">
        <f t="shared" si="37"/>
        <v>1</v>
      </c>
      <c r="P460" s="2" t="str">
        <f t="shared" si="38"/>
        <v>Late</v>
      </c>
      <c r="Q460" s="2" t="str">
        <f>PROPER(SUBSTITUTE(TRIM([1]RawShipmentData!M461)," ","-"))</f>
        <v>Damaged</v>
      </c>
      <c r="R460" s="4">
        <f t="shared" si="39"/>
        <v>69.310344827586206</v>
      </c>
      <c r="S460" s="2">
        <f>[1]RawShipmentData!N461</f>
        <v>0</v>
      </c>
      <c r="T460" s="2" t="str">
        <f>IF(OR(UPPER(TRIM([1]RawShipmentData!O461))="YES",UPPER(TRIM([1]RawShipmentData!O461))="Y"),"Yes","No")</f>
        <v>No</v>
      </c>
    </row>
    <row r="461" spans="1:20" x14ac:dyDescent="0.25">
      <c r="A461" s="2" t="str">
        <f>[1]RawShipmentData!A462</f>
        <v>SHP-100160</v>
      </c>
      <c r="B461" s="3">
        <f>IF(ISNUMBER(SEARCH("/",TRIM([1]RawShipmentData!B462))),DATE(VALUE(RIGHT(TRIM([1]RawShipmentData!B462),4)),VALUE(MID(TRIM([1]RawShipmentData!B462),FIND("/",TRIM([1]RawShipmentData!B462))+1,2)),VALUE(LEFT(TRIM([1]RawShipmentData!B462),FIND("/",TRIM([1]RawShipmentData!B462))-1))),DATEVALUE(TRIM([1]RawShipmentData!B462)))</f>
        <v>45328</v>
      </c>
      <c r="C461" s="2" t="str">
        <f>PROPER(TRIM([1]RawShipmentData!C462))</f>
        <v>Mumbai</v>
      </c>
      <c r="D461" s="2" t="str">
        <f>IFERROR(INDEX([1]HubMaster!$B$2:$B$7,MATCH(C461,[1]HubMaster!$A$2:$A$7,0)),"Unknown")</f>
        <v>West</v>
      </c>
      <c r="E461" s="2" t="str">
        <f>PROPER(TRIM(SUBSTITUTE([1]RawShipmentData!D462,"  "," ")))</f>
        <v>Bluedart</v>
      </c>
      <c r="F461" s="2" t="str">
        <f>PROPER(TRIM([1]RawShipmentData!E462))</f>
        <v>Road</v>
      </c>
      <c r="G461" s="2" t="str">
        <f>PROPER(TRIM(SUBSTITUTE([1]RawShipmentData!F462,"  "," ")))</f>
        <v>Apparel</v>
      </c>
      <c r="H461" s="2" t="str">
        <f>PROPER(TRIM([1]RawShipmentData!G462))</f>
        <v>West</v>
      </c>
      <c r="I461" s="2" t="str">
        <f t="shared" si="35"/>
        <v>No</v>
      </c>
      <c r="J461" s="2">
        <f>IFERROR(VALUE(TRIM(SUBSTITUTE(UPPER([1]RawShipmentData!I461),"KG",""))),"")</f>
        <v>1.4</v>
      </c>
      <c r="K461" s="2">
        <f>VALUE(SUBSTITUTE(SUBSTITUTE(SUBSTITUTE(TRIM([1]RawShipmentData!J462),"₹",""),"Rs",""),",",""))</f>
        <v>80</v>
      </c>
      <c r="L461" s="2">
        <f>[1]RawShipmentData!K462</f>
        <v>6</v>
      </c>
      <c r="M461" s="3">
        <f>IF(TRIM([1]RawShipmentData!L462)="","",IF(ISNUMBER(SEARCH("/",TRIM([1]RawShipmentData!L462))),DATE(VALUE(RIGHT(TRIM([1]RawShipmentData!L462),4)),VALUE(MID(TRIM([1]RawShipmentData!L462),FIND("/",TRIM([1]RawShipmentData!L462))+1,2)),VALUE(LEFT(TRIM([1]RawShipmentData!L462),FIND("/",TRIM([1]RawShipmentData!L462))-1))),DATEVALUE(TRIM([1]RawShipmentData!L462))))</f>
        <v>45335</v>
      </c>
      <c r="N461" s="2">
        <f t="shared" si="36"/>
        <v>7</v>
      </c>
      <c r="O461" s="2">
        <f t="shared" si="37"/>
        <v>1</v>
      </c>
      <c r="P461" s="2" t="str">
        <f t="shared" si="38"/>
        <v>Late</v>
      </c>
      <c r="Q461" s="2" t="str">
        <f>PROPER(SUBSTITUTE(TRIM([1]RawShipmentData!M462)," ","-"))</f>
        <v>Delayed</v>
      </c>
      <c r="R461" s="4">
        <f t="shared" si="39"/>
        <v>57.142857142857146</v>
      </c>
      <c r="S461" s="2">
        <f>[1]RawShipmentData!N462</f>
        <v>4</v>
      </c>
      <c r="T461" s="2" t="str">
        <f>IF(OR(UPPER(TRIM([1]RawShipmentData!O462))="YES",UPPER(TRIM([1]RawShipmentData!O462))="Y"),"Yes","No")</f>
        <v>No</v>
      </c>
    </row>
    <row r="462" spans="1:20" x14ac:dyDescent="0.25">
      <c r="A462" s="2" t="str">
        <f>[1]RawShipmentData!A463</f>
        <v>SHP-100871</v>
      </c>
      <c r="B462" s="3">
        <f>IF(ISNUMBER(SEARCH("/",TRIM([1]RawShipmentData!B463))),DATE(VALUE(RIGHT(TRIM([1]RawShipmentData!B463),4)),VALUE(MID(TRIM([1]RawShipmentData!B463),FIND("/",TRIM([1]RawShipmentData!B463))+1,2)),VALUE(LEFT(TRIM([1]RawShipmentData!B463),FIND("/",TRIM([1]RawShipmentData!B463))-1))),DATEVALUE(TRIM([1]RawShipmentData!B463)))</f>
        <v>45329</v>
      </c>
      <c r="C462" s="2" t="str">
        <f>PROPER(TRIM([1]RawShipmentData!C463))</f>
        <v>Hyderabad</v>
      </c>
      <c r="D462" s="2" t="str">
        <f>IFERROR(INDEX([1]HubMaster!$B$2:$B$7,MATCH(C462,[1]HubMaster!$A$2:$A$7,0)),"Unknown")</f>
        <v>West</v>
      </c>
      <c r="E462" s="2" t="str">
        <f>PROPER(TRIM(SUBSTITUTE([1]RawShipmentData!D463,"  "," ")))</f>
        <v>Dtdc</v>
      </c>
      <c r="F462" s="2" t="str">
        <f>PROPER(TRIM([1]RawShipmentData!E463))</f>
        <v>Road</v>
      </c>
      <c r="G462" s="2" t="str">
        <f>PROPER(TRIM(SUBSTITUTE([1]RawShipmentData!F463,"  "," ")))</f>
        <v>Pharma</v>
      </c>
      <c r="H462" s="2" t="str">
        <f>PROPER(TRIM([1]RawShipmentData!G463))</f>
        <v>East</v>
      </c>
      <c r="I462" s="2" t="str">
        <f t="shared" si="35"/>
        <v>Yes</v>
      </c>
      <c r="J462" s="2">
        <f>IFERROR(VALUE(TRIM(SUBSTITUTE(UPPER([1]RawShipmentData!I462),"KG",""))),"")</f>
        <v>4.0999999999999996</v>
      </c>
      <c r="K462" s="2">
        <f>VALUE(SUBSTITUTE(SUBSTITUTE(SUBSTITUTE(TRIM([1]RawShipmentData!J463),"₹",""),"Rs",""),",",""))</f>
        <v>192</v>
      </c>
      <c r="L462" s="2">
        <f>[1]RawShipmentData!K463</f>
        <v>8</v>
      </c>
      <c r="M462" s="3">
        <f>IF(TRIM([1]RawShipmentData!L463)="","",IF(ISNUMBER(SEARCH("/",TRIM([1]RawShipmentData!L463))),DATE(VALUE(RIGHT(TRIM([1]RawShipmentData!L463),4)),VALUE(MID(TRIM([1]RawShipmentData!L463),FIND("/",TRIM([1]RawShipmentData!L463))+1,2)),VALUE(LEFT(TRIM([1]RawShipmentData!L463),FIND("/",TRIM([1]RawShipmentData!L463))-1))),DATEVALUE(TRIM([1]RawShipmentData!L463))))</f>
        <v>45336</v>
      </c>
      <c r="N462" s="2">
        <f t="shared" si="36"/>
        <v>7</v>
      </c>
      <c r="O462" s="2">
        <f t="shared" si="37"/>
        <v>-1</v>
      </c>
      <c r="P462" s="2" t="str">
        <f t="shared" si="38"/>
        <v>On Time</v>
      </c>
      <c r="Q462" s="2" t="str">
        <f>PROPER(SUBSTITUTE(TRIM([1]RawShipmentData!M463)," ","-"))</f>
        <v>Delivered</v>
      </c>
      <c r="R462" s="4">
        <f t="shared" si="39"/>
        <v>46.829268292682933</v>
      </c>
      <c r="S462" s="2">
        <f>[1]RawShipmentData!N463</f>
        <v>5</v>
      </c>
      <c r="T462" s="2" t="str">
        <f>IF(OR(UPPER(TRIM([1]RawShipmentData!O463))="YES",UPPER(TRIM([1]RawShipmentData!O463))="Y"),"Yes","No")</f>
        <v>Yes</v>
      </c>
    </row>
    <row r="463" spans="1:20" x14ac:dyDescent="0.25">
      <c r="A463" s="2" t="str">
        <f>[1]RawShipmentData!A464</f>
        <v>SHP-100997</v>
      </c>
      <c r="B463" s="3">
        <f>IF(ISNUMBER(SEARCH("/",TRIM([1]RawShipmentData!B464))),DATE(VALUE(RIGHT(TRIM([1]RawShipmentData!B464),4)),VALUE(MID(TRIM([1]RawShipmentData!B464),FIND("/",TRIM([1]RawShipmentData!B464))+1,2)),VALUE(LEFT(TRIM([1]RawShipmentData!B464),FIND("/",TRIM([1]RawShipmentData!B464))-1))),DATEVALUE(TRIM([1]RawShipmentData!B464)))</f>
        <v>45467</v>
      </c>
      <c r="C463" s="2" t="str">
        <f>PROPER(TRIM([1]RawShipmentData!C464))</f>
        <v>Kolkata</v>
      </c>
      <c r="D463" s="2" t="str">
        <f>IFERROR(INDEX([1]HubMaster!$B$2:$B$7,MATCH(C463,[1]HubMaster!$A$2:$A$7,0)),"Unknown")</f>
        <v>East</v>
      </c>
      <c r="E463" s="2" t="str">
        <f>PROPER(TRIM(SUBSTITUTE([1]RawShipmentData!D464,"  "," ")))</f>
        <v>Bluedart</v>
      </c>
      <c r="F463" s="2" t="str">
        <f>PROPER(TRIM([1]RawShipmentData!E464))</f>
        <v>Surface</v>
      </c>
      <c r="G463" s="2" t="str">
        <f>PROPER(TRIM(SUBSTITUTE([1]RawShipmentData!F464,"  "," ")))</f>
        <v>Automotive Parts</v>
      </c>
      <c r="H463" s="2" t="str">
        <f>PROPER(TRIM([1]RawShipmentData!G464))</f>
        <v>East</v>
      </c>
      <c r="I463" s="2" t="str">
        <f t="shared" si="35"/>
        <v>No</v>
      </c>
      <c r="J463" s="2">
        <f>IFERROR(VALUE(TRIM(SUBSTITUTE(UPPER([1]RawShipmentData!I463),"KG",""))),"")</f>
        <v>1.9</v>
      </c>
      <c r="K463" s="2">
        <f>VALUE(SUBSTITUTE(SUBSTITUTE(SUBSTITUTE(TRIM([1]RawShipmentData!J464),"₹",""),"Rs",""),",",""))</f>
        <v>462</v>
      </c>
      <c r="L463" s="2">
        <f>[1]RawShipmentData!K464</f>
        <v>4</v>
      </c>
      <c r="M463" s="3">
        <f>IF(TRIM([1]RawShipmentData!L464)="","",IF(ISNUMBER(SEARCH("/",TRIM([1]RawShipmentData!L464))),DATE(VALUE(RIGHT(TRIM([1]RawShipmentData!L464),4)),VALUE(MID(TRIM([1]RawShipmentData!L464),FIND("/",TRIM([1]RawShipmentData!L464))+1,2)),VALUE(LEFT(TRIM([1]RawShipmentData!L464),FIND("/",TRIM([1]RawShipmentData!L464))-1))),DATEVALUE(TRIM([1]RawShipmentData!L464))))</f>
        <v>45473</v>
      </c>
      <c r="N463" s="2">
        <f t="shared" si="36"/>
        <v>6</v>
      </c>
      <c r="O463" s="2">
        <f t="shared" si="37"/>
        <v>2</v>
      </c>
      <c r="P463" s="2" t="str">
        <f t="shared" si="38"/>
        <v>Late</v>
      </c>
      <c r="Q463" s="2" t="str">
        <f>PROPER(SUBSTITUTE(TRIM([1]RawShipmentData!M464)," ","-"))</f>
        <v>Delayed</v>
      </c>
      <c r="R463" s="4">
        <f t="shared" si="39"/>
        <v>243.15789473684211</v>
      </c>
      <c r="S463" s="2">
        <f>[1]RawShipmentData!N464</f>
        <v>2</v>
      </c>
      <c r="T463" s="2" t="str">
        <f>IF(OR(UPPER(TRIM([1]RawShipmentData!O464))="YES",UPPER(TRIM([1]RawShipmentData!O464))="Y"),"Yes","No")</f>
        <v>No</v>
      </c>
    </row>
    <row r="464" spans="1:20" x14ac:dyDescent="0.25">
      <c r="A464" s="2" t="str">
        <f>[1]RawShipmentData!A465</f>
        <v>SHP-101384</v>
      </c>
      <c r="B464" s="3">
        <f>IF(ISNUMBER(SEARCH("/",TRIM([1]RawShipmentData!B465))),DATE(VALUE(RIGHT(TRIM([1]RawShipmentData!B465),4)),VALUE(MID(TRIM([1]RawShipmentData!B465),FIND("/",TRIM([1]RawShipmentData!B465))+1,2)),VALUE(LEFT(TRIM([1]RawShipmentData!B465),FIND("/",TRIM([1]RawShipmentData!B465))-1))),DATEVALUE(TRIM([1]RawShipmentData!B465)))</f>
        <v>45394</v>
      </c>
      <c r="C464" s="2" t="str">
        <f>PROPER(TRIM([1]RawShipmentData!C465))</f>
        <v>Chennai</v>
      </c>
      <c r="D464" s="2" t="str">
        <f>IFERROR(INDEX([1]HubMaster!$B$2:$B$7,MATCH(C464,[1]HubMaster!$A$2:$A$7,0)),"Unknown")</f>
        <v>South</v>
      </c>
      <c r="E464" s="2" t="str">
        <f>PROPER(TRIM(SUBSTITUTE([1]RawShipmentData!D465,"  "," ")))</f>
        <v>Delhivery</v>
      </c>
      <c r="F464" s="2" t="str">
        <f>PROPER(TRIM([1]RawShipmentData!E465))</f>
        <v>Road</v>
      </c>
      <c r="G464" s="2" t="str">
        <f>PROPER(TRIM(SUBSTITUTE([1]RawShipmentData!F465,"  "," ")))</f>
        <v>Grocery &amp; Fmcg</v>
      </c>
      <c r="H464" s="2" t="str">
        <f>PROPER(TRIM([1]RawShipmentData!G465))</f>
        <v>West</v>
      </c>
      <c r="I464" s="2" t="str">
        <f t="shared" si="35"/>
        <v>Yes</v>
      </c>
      <c r="J464" s="2">
        <f>IFERROR(VALUE(TRIM(SUBSTITUTE(UPPER([1]RawShipmentData!I464),"KG",""))),"")</f>
        <v>21.9</v>
      </c>
      <c r="K464" s="2">
        <f>VALUE(SUBSTITUTE(SUBSTITUTE(SUBSTITUTE(TRIM([1]RawShipmentData!J465),"₹",""),"Rs",""),",",""))</f>
        <v>434</v>
      </c>
      <c r="L464" s="2">
        <f>[1]RawShipmentData!K465</f>
        <v>8</v>
      </c>
      <c r="M464" s="3">
        <f>IF(TRIM([1]RawShipmentData!L465)="","",IF(ISNUMBER(SEARCH("/",TRIM([1]RawShipmentData!L465))),DATE(VALUE(RIGHT(TRIM([1]RawShipmentData!L465),4)),VALUE(MID(TRIM([1]RawShipmentData!L465),FIND("/",TRIM([1]RawShipmentData!L465))+1,2)),VALUE(LEFT(TRIM([1]RawShipmentData!L465),FIND("/",TRIM([1]RawShipmentData!L465))-1))),DATEVALUE(TRIM([1]RawShipmentData!L465))))</f>
        <v>45402</v>
      </c>
      <c r="N464" s="2">
        <f t="shared" si="36"/>
        <v>8</v>
      </c>
      <c r="O464" s="2">
        <f t="shared" si="37"/>
        <v>0</v>
      </c>
      <c r="P464" s="2" t="str">
        <f t="shared" si="38"/>
        <v>On Time</v>
      </c>
      <c r="Q464" s="2" t="str">
        <f>PROPER(SUBSTITUTE(TRIM([1]RawShipmentData!M465)," ","-"))</f>
        <v>Delivered</v>
      </c>
      <c r="R464" s="4">
        <f t="shared" si="39"/>
        <v>19.817351598173516</v>
      </c>
      <c r="S464" s="2">
        <f>[1]RawShipmentData!N465</f>
        <v>5</v>
      </c>
      <c r="T464" s="2" t="str">
        <f>IF(OR(UPPER(TRIM([1]RawShipmentData!O465))="YES",UPPER(TRIM([1]RawShipmentData!O465))="Y"),"Yes","No")</f>
        <v>No</v>
      </c>
    </row>
    <row r="465" spans="1:20" x14ac:dyDescent="0.25">
      <c r="A465" s="2" t="str">
        <f>[1]RawShipmentData!A466</f>
        <v>SHP-101536</v>
      </c>
      <c r="B465" s="3">
        <f>IF(ISNUMBER(SEARCH("/",TRIM([1]RawShipmentData!B466))),DATE(VALUE(RIGHT(TRIM([1]RawShipmentData!B466),4)),VALUE(MID(TRIM([1]RawShipmentData!B466),FIND("/",TRIM([1]RawShipmentData!B466))+1,2)),VALUE(LEFT(TRIM([1]RawShipmentData!B466),FIND("/",TRIM([1]RawShipmentData!B466))-1))),DATEVALUE(TRIM([1]RawShipmentData!B466)))</f>
        <v>45430</v>
      </c>
      <c r="C465" s="2" t="str">
        <f>PROPER(TRIM([1]RawShipmentData!C466))</f>
        <v>Delhi</v>
      </c>
      <c r="D465" s="2" t="str">
        <f>IFERROR(INDEX([1]HubMaster!$B$2:$B$7,MATCH(C465,[1]HubMaster!$A$2:$A$7,0)),"Unknown")</f>
        <v>North</v>
      </c>
      <c r="E465" s="2" t="str">
        <f>PROPER(TRIM(SUBSTITUTE([1]RawShipmentData!D466,"  "," ")))</f>
        <v>Ecom Express</v>
      </c>
      <c r="F465" s="2" t="str">
        <f>PROPER(TRIM([1]RawShipmentData!E466))</f>
        <v>Surface</v>
      </c>
      <c r="G465" s="2" t="str">
        <f>PROPER(TRIM(SUBSTITUTE([1]RawShipmentData!F466,"  "," ")))</f>
        <v>Grocery &amp; Fmcg</v>
      </c>
      <c r="H465" s="2" t="str">
        <f>PROPER(TRIM([1]RawShipmentData!G466))</f>
        <v>East</v>
      </c>
      <c r="I465" s="2" t="str">
        <f t="shared" si="35"/>
        <v>Yes</v>
      </c>
      <c r="J465" s="2">
        <f>IFERROR(VALUE(TRIM(SUBSTITUTE(UPPER([1]RawShipmentData!I465),"KG",""))),"")</f>
        <v>19.3</v>
      </c>
      <c r="K465" s="2">
        <f>VALUE(SUBSTITUTE(SUBSTITUTE(SUBSTITUTE(TRIM([1]RawShipmentData!J466),"₹",""),"Rs",""),",",""))</f>
        <v>335</v>
      </c>
      <c r="L465" s="2">
        <f>[1]RawShipmentData!K466</f>
        <v>6</v>
      </c>
      <c r="M465" s="3">
        <f>IF(TRIM([1]RawShipmentData!L466)="","",IF(ISNUMBER(SEARCH("/",TRIM([1]RawShipmentData!L466))),DATE(VALUE(RIGHT(TRIM([1]RawShipmentData!L466),4)),VALUE(MID(TRIM([1]RawShipmentData!L466),FIND("/",TRIM([1]RawShipmentData!L466))+1,2)),VALUE(LEFT(TRIM([1]RawShipmentData!L466),FIND("/",TRIM([1]RawShipmentData!L466))-1))),DATEVALUE(TRIM([1]RawShipmentData!L466))))</f>
        <v>45436</v>
      </c>
      <c r="N465" s="2">
        <f t="shared" si="36"/>
        <v>6</v>
      </c>
      <c r="O465" s="2">
        <f t="shared" si="37"/>
        <v>0</v>
      </c>
      <c r="P465" s="2" t="str">
        <f t="shared" si="38"/>
        <v>On Time</v>
      </c>
      <c r="Q465" s="2" t="str">
        <f>PROPER(SUBSTITUTE(TRIM([1]RawShipmentData!M466)," ","-"))</f>
        <v>Returned</v>
      </c>
      <c r="R465" s="4">
        <f t="shared" si="39"/>
        <v>17.357512953367873</v>
      </c>
      <c r="S465" s="2">
        <f>[1]RawShipmentData!N466</f>
        <v>0</v>
      </c>
      <c r="T465" s="2" t="str">
        <f>IF(OR(UPPER(TRIM([1]RawShipmentData!O466))="YES",UPPER(TRIM([1]RawShipmentData!O466))="Y"),"Yes","No")</f>
        <v>Yes</v>
      </c>
    </row>
    <row r="466" spans="1:20" x14ac:dyDescent="0.25">
      <c r="A466" s="2" t="str">
        <f>[1]RawShipmentData!A467</f>
        <v>SHP-101520</v>
      </c>
      <c r="B466" s="3">
        <f>IF(ISNUMBER(SEARCH("/",TRIM([1]RawShipmentData!B467))),DATE(VALUE(RIGHT(TRIM([1]RawShipmentData!B467),4)),VALUE(MID(TRIM([1]RawShipmentData!B467),FIND("/",TRIM([1]RawShipmentData!B467))+1,2)),VALUE(LEFT(TRIM([1]RawShipmentData!B467),FIND("/",TRIM([1]RawShipmentData!B467))-1))),DATEVALUE(TRIM([1]RawShipmentData!B467)))</f>
        <v>45453</v>
      </c>
      <c r="C466" s="2" t="str">
        <f>PROPER(TRIM([1]RawShipmentData!C467))</f>
        <v>Mumbai</v>
      </c>
      <c r="D466" s="2" t="str">
        <f>IFERROR(INDEX([1]HubMaster!$B$2:$B$7,MATCH(C466,[1]HubMaster!$A$2:$A$7,0)),"Unknown")</f>
        <v>West</v>
      </c>
      <c r="E466" s="2" t="str">
        <f>PROPER(TRIM(SUBSTITUTE([1]RawShipmentData!D467,"  "," ")))</f>
        <v>Xpressbees</v>
      </c>
      <c r="F466" s="2" t="str">
        <f>PROPER(TRIM([1]RawShipmentData!E467))</f>
        <v>Surface</v>
      </c>
      <c r="G466" s="2" t="str">
        <f>PROPER(TRIM(SUBSTITUTE([1]RawShipmentData!F467,"  "," ")))</f>
        <v>Electronics</v>
      </c>
      <c r="H466" s="2" t="str">
        <f>PROPER(TRIM([1]RawShipmentData!G467))</f>
        <v>East</v>
      </c>
      <c r="I466" s="2" t="str">
        <f t="shared" si="35"/>
        <v>Yes</v>
      </c>
      <c r="J466" s="2">
        <f>IFERROR(VALUE(TRIM(SUBSTITUTE(UPPER([1]RawShipmentData!I466),"KG",""))),"")</f>
        <v>5.7</v>
      </c>
      <c r="K466" s="2">
        <f>VALUE(SUBSTITUTE(SUBSTITUTE(SUBSTITUTE(TRIM([1]RawShipmentData!J467),"₹",""),"Rs",""),",",""))</f>
        <v>275</v>
      </c>
      <c r="L466" s="2">
        <f>[1]RawShipmentData!K467</f>
        <v>6</v>
      </c>
      <c r="M466" s="3">
        <f>IF(TRIM([1]RawShipmentData!L467)="","",IF(ISNUMBER(SEARCH("/",TRIM([1]RawShipmentData!L467))),DATE(VALUE(RIGHT(TRIM([1]RawShipmentData!L467),4)),VALUE(MID(TRIM([1]RawShipmentData!L467),FIND("/",TRIM([1]RawShipmentData!L467))+1,2)),VALUE(LEFT(TRIM([1]RawShipmentData!L467),FIND("/",TRIM([1]RawShipmentData!L467))-1))),DATEVALUE(TRIM([1]RawShipmentData!L467))))</f>
        <v>45460</v>
      </c>
      <c r="N466" s="2">
        <f t="shared" si="36"/>
        <v>7</v>
      </c>
      <c r="O466" s="2">
        <f t="shared" si="37"/>
        <v>1</v>
      </c>
      <c r="P466" s="2" t="str">
        <f t="shared" si="38"/>
        <v>Late</v>
      </c>
      <c r="Q466" s="2" t="str">
        <f>PROPER(SUBSTITUTE(TRIM([1]RawShipmentData!M467)," ","-"))</f>
        <v>Delayed</v>
      </c>
      <c r="R466" s="4">
        <f t="shared" si="39"/>
        <v>48.245614035087719</v>
      </c>
      <c r="S466" s="2">
        <f>[1]RawShipmentData!N467</f>
        <v>1</v>
      </c>
      <c r="T466" s="2" t="str">
        <f>IF(OR(UPPER(TRIM([1]RawShipmentData!O467))="YES",UPPER(TRIM([1]RawShipmentData!O467))="Y"),"Yes","No")</f>
        <v>No</v>
      </c>
    </row>
    <row r="467" spans="1:20" x14ac:dyDescent="0.25">
      <c r="A467" s="2" t="str">
        <f>[1]RawShipmentData!A468</f>
        <v>SHP-101505</v>
      </c>
      <c r="B467" s="3">
        <f>IF(ISNUMBER(SEARCH("/",TRIM([1]RawShipmentData!B468))),DATE(VALUE(RIGHT(TRIM([1]RawShipmentData!B468),4)),VALUE(MID(TRIM([1]RawShipmentData!B468),FIND("/",TRIM([1]RawShipmentData!B468))+1,2)),VALUE(LEFT(TRIM([1]RawShipmentData!B468),FIND("/",TRIM([1]RawShipmentData!B468))-1))),DATEVALUE(TRIM([1]RawShipmentData!B468)))</f>
        <v>45470</v>
      </c>
      <c r="C467" s="2" t="str">
        <f>PROPER(TRIM([1]RawShipmentData!C468))</f>
        <v>Bengaluru</v>
      </c>
      <c r="D467" s="2" t="str">
        <f>IFERROR(INDEX([1]HubMaster!$B$2:$B$7,MATCH(C467,[1]HubMaster!$A$2:$A$7,0)),"Unknown")</f>
        <v>South</v>
      </c>
      <c r="E467" s="2" t="str">
        <f>PROPER(TRIM(SUBSTITUTE([1]RawShipmentData!D468,"  "," ")))</f>
        <v>Ecom Express</v>
      </c>
      <c r="F467" s="2" t="str">
        <f>PROPER(TRIM([1]RawShipmentData!E468))</f>
        <v>Air</v>
      </c>
      <c r="G467" s="2" t="str">
        <f>PROPER(TRIM(SUBSTITUTE([1]RawShipmentData!F468,"  "," ")))</f>
        <v>Pharma</v>
      </c>
      <c r="H467" s="2" t="str">
        <f>PROPER(TRIM([1]RawShipmentData!G468))</f>
        <v>West</v>
      </c>
      <c r="I467" s="2" t="str">
        <f t="shared" si="35"/>
        <v>Yes</v>
      </c>
      <c r="J467" s="2">
        <f>IFERROR(VALUE(TRIM(SUBSTITUTE(UPPER([1]RawShipmentData!I467),"KG",""))),"")</f>
        <v>3</v>
      </c>
      <c r="K467" s="2">
        <f>VALUE(SUBSTITUTE(SUBSTITUTE(SUBSTITUTE(TRIM([1]RawShipmentData!J468),"₹",""),"Rs",""),",",""))</f>
        <v>315</v>
      </c>
      <c r="L467" s="2">
        <f>[1]RawShipmentData!K468</f>
        <v>4</v>
      </c>
      <c r="M467" s="3">
        <f>IF(TRIM([1]RawShipmentData!L468)="","",IF(ISNUMBER(SEARCH("/",TRIM([1]RawShipmentData!L468))),DATE(VALUE(RIGHT(TRIM([1]RawShipmentData!L468),4)),VALUE(MID(TRIM([1]RawShipmentData!L468),FIND("/",TRIM([1]RawShipmentData!L468))+1,2)),VALUE(LEFT(TRIM([1]RawShipmentData!L468),FIND("/",TRIM([1]RawShipmentData!L468))-1))),DATEVALUE(TRIM([1]RawShipmentData!L468))))</f>
        <v>45474</v>
      </c>
      <c r="N467" s="2">
        <f t="shared" si="36"/>
        <v>4</v>
      </c>
      <c r="O467" s="2">
        <f t="shared" si="37"/>
        <v>0</v>
      </c>
      <c r="P467" s="2" t="str">
        <f t="shared" si="38"/>
        <v>On Time</v>
      </c>
      <c r="Q467" s="2" t="str">
        <f>PROPER(SUBSTITUTE(TRIM([1]RawShipmentData!M468)," ","-"))</f>
        <v>Delivered</v>
      </c>
      <c r="R467" s="4">
        <f t="shared" si="39"/>
        <v>105</v>
      </c>
      <c r="S467" s="2">
        <f>[1]RawShipmentData!N468</f>
        <v>4</v>
      </c>
      <c r="T467" s="2" t="str">
        <f>IF(OR(UPPER(TRIM([1]RawShipmentData!O468))="YES",UPPER(TRIM([1]RawShipmentData!O468))="Y"),"Yes","No")</f>
        <v>No</v>
      </c>
    </row>
    <row r="468" spans="1:20" x14ac:dyDescent="0.25">
      <c r="A468" s="2" t="str">
        <f>[1]RawShipmentData!A469</f>
        <v>SHP-101005</v>
      </c>
      <c r="B468" s="3">
        <f>IF(ISNUMBER(SEARCH("/",TRIM([1]RawShipmentData!B469))),DATE(VALUE(RIGHT(TRIM([1]RawShipmentData!B469),4)),VALUE(MID(TRIM([1]RawShipmentData!B469),FIND("/",TRIM([1]RawShipmentData!B469))+1,2)),VALUE(LEFT(TRIM([1]RawShipmentData!B469),FIND("/",TRIM([1]RawShipmentData!B469))-1))),DATEVALUE(TRIM([1]RawShipmentData!B469)))</f>
        <v>45331</v>
      </c>
      <c r="C468" s="2" t="str">
        <f>PROPER(TRIM([1]RawShipmentData!C469))</f>
        <v>Delhi</v>
      </c>
      <c r="D468" s="2" t="str">
        <f>IFERROR(INDEX([1]HubMaster!$B$2:$B$7,MATCH(C468,[1]HubMaster!$A$2:$A$7,0)),"Unknown")</f>
        <v>North</v>
      </c>
      <c r="E468" s="2" t="str">
        <f>PROPER(TRIM(SUBSTITUTE([1]RawShipmentData!D469,"  "," ")))</f>
        <v>Ecom Express</v>
      </c>
      <c r="F468" s="2" t="str">
        <f>PROPER(TRIM([1]RawShipmentData!E469))</f>
        <v>Surface</v>
      </c>
      <c r="G468" s="2" t="str">
        <f>PROPER(TRIM(SUBSTITUTE([1]RawShipmentData!F469,"  "," ")))</f>
        <v>Furniture</v>
      </c>
      <c r="H468" s="2" t="str">
        <f>PROPER(TRIM([1]RawShipmentData!G469))</f>
        <v>West</v>
      </c>
      <c r="I468" s="2" t="str">
        <f t="shared" si="35"/>
        <v>Yes</v>
      </c>
      <c r="J468" s="2">
        <f>IFERROR(VALUE(TRIM(SUBSTITUTE(UPPER([1]RawShipmentData!I468),"KG",""))),"")</f>
        <v>3.7</v>
      </c>
      <c r="K468" s="2">
        <f>VALUE(SUBSTITUTE(SUBSTITUTE(SUBSTITUTE(TRIM([1]RawShipmentData!J469),"₹",""),"Rs",""),",",""))</f>
        <v>974</v>
      </c>
      <c r="L468" s="2">
        <f>[1]RawShipmentData!K469</f>
        <v>6</v>
      </c>
      <c r="M468" s="3">
        <f>IF(TRIM([1]RawShipmentData!L469)="","",IF(ISNUMBER(SEARCH("/",TRIM([1]RawShipmentData!L469))),DATE(VALUE(RIGHT(TRIM([1]RawShipmentData!L469),4)),VALUE(MID(TRIM([1]RawShipmentData!L469),FIND("/",TRIM([1]RawShipmentData!L469))+1,2)),VALUE(LEFT(TRIM([1]RawShipmentData!L469),FIND("/",TRIM([1]RawShipmentData!L469))-1))),DATEVALUE(TRIM([1]RawShipmentData!L469))))</f>
        <v>45338</v>
      </c>
      <c r="N468" s="2">
        <f t="shared" si="36"/>
        <v>7</v>
      </c>
      <c r="O468" s="2">
        <f t="shared" si="37"/>
        <v>1</v>
      </c>
      <c r="P468" s="2" t="str">
        <f t="shared" si="38"/>
        <v>Late</v>
      </c>
      <c r="Q468" s="2" t="str">
        <f>PROPER(SUBSTITUTE(TRIM([1]RawShipmentData!M469)," ","-"))</f>
        <v>Delayed</v>
      </c>
      <c r="R468" s="4">
        <f t="shared" si="39"/>
        <v>263.24324324324323</v>
      </c>
      <c r="S468" s="2">
        <f>[1]RawShipmentData!N469</f>
        <v>3</v>
      </c>
      <c r="T468" s="2" t="str">
        <f>IF(OR(UPPER(TRIM([1]RawShipmentData!O469))="YES",UPPER(TRIM([1]RawShipmentData!O469))="Y"),"Yes","No")</f>
        <v>No</v>
      </c>
    </row>
    <row r="469" spans="1:20" x14ac:dyDescent="0.25">
      <c r="A469" s="2" t="str">
        <f>[1]RawShipmentData!A470</f>
        <v>SHP-100127</v>
      </c>
      <c r="B469" s="3">
        <f>IF(ISNUMBER(SEARCH("/",TRIM([1]RawShipmentData!B470))),DATE(VALUE(RIGHT(TRIM([1]RawShipmentData!B470),4)),VALUE(MID(TRIM([1]RawShipmentData!B470),FIND("/",TRIM([1]RawShipmentData!B470))+1,2)),VALUE(LEFT(TRIM([1]RawShipmentData!B470),FIND("/",TRIM([1]RawShipmentData!B470))-1))),DATEVALUE(TRIM([1]RawShipmentData!B470)))</f>
        <v>45358</v>
      </c>
      <c r="C469" s="2" t="str">
        <f>PROPER(TRIM([1]RawShipmentData!C470))</f>
        <v>Hyderabad</v>
      </c>
      <c r="D469" s="2" t="str">
        <f>IFERROR(INDEX([1]HubMaster!$B$2:$B$7,MATCH(C469,[1]HubMaster!$A$2:$A$7,0)),"Unknown")</f>
        <v>West</v>
      </c>
      <c r="E469" s="2" t="str">
        <f>PROPER(TRIM(SUBSTITUTE([1]RawShipmentData!D470,"  "," ")))</f>
        <v>Ecom Express</v>
      </c>
      <c r="F469" s="2" t="str">
        <f>PROPER(TRIM([1]RawShipmentData!E470))</f>
        <v>Surface</v>
      </c>
      <c r="G469" s="2" t="str">
        <f>PROPER(TRIM(SUBSTITUTE([1]RawShipmentData!F470,"  "," ")))</f>
        <v>Electronics</v>
      </c>
      <c r="H469" s="2" t="str">
        <f>PROPER(TRIM([1]RawShipmentData!G470))</f>
        <v>North</v>
      </c>
      <c r="I469" s="2" t="str">
        <f t="shared" si="35"/>
        <v>Yes</v>
      </c>
      <c r="J469" s="2">
        <f>IFERROR(VALUE(TRIM(SUBSTITUTE(UPPER([1]RawShipmentData!I469),"KG",""))),"")</f>
        <v>36</v>
      </c>
      <c r="K469" s="2">
        <f>VALUE(SUBSTITUTE(SUBSTITUTE(SUBSTITUTE(TRIM([1]RawShipmentData!J470),"₹",""),"Rs",""),",",""))</f>
        <v>337</v>
      </c>
      <c r="L469" s="2">
        <f>[1]RawShipmentData!K470</f>
        <v>6</v>
      </c>
      <c r="M469" s="3">
        <f>IF(TRIM([1]RawShipmentData!L470)="","",IF(ISNUMBER(SEARCH("/",TRIM([1]RawShipmentData!L470))),DATE(VALUE(RIGHT(TRIM([1]RawShipmentData!L470),4)),VALUE(MID(TRIM([1]RawShipmentData!L470),FIND("/",TRIM([1]RawShipmentData!L470))+1,2)),VALUE(LEFT(TRIM([1]RawShipmentData!L470),FIND("/",TRIM([1]RawShipmentData!L470))-1))),DATEVALUE(TRIM([1]RawShipmentData!L470))))</f>
        <v>45365</v>
      </c>
      <c r="N469" s="2">
        <f t="shared" si="36"/>
        <v>7</v>
      </c>
      <c r="O469" s="2">
        <f t="shared" si="37"/>
        <v>1</v>
      </c>
      <c r="P469" s="2" t="str">
        <f t="shared" si="38"/>
        <v>Late</v>
      </c>
      <c r="Q469" s="2" t="str">
        <f>PROPER(SUBSTITUTE(TRIM([1]RawShipmentData!M470)," ","-"))</f>
        <v>Delayed</v>
      </c>
      <c r="R469" s="4">
        <f t="shared" si="39"/>
        <v>9.3611111111111107</v>
      </c>
      <c r="S469" s="2">
        <f>[1]RawShipmentData!N470</f>
        <v>4</v>
      </c>
      <c r="T469" s="2" t="str">
        <f>IF(OR(UPPER(TRIM([1]RawShipmentData!O470))="YES",UPPER(TRIM([1]RawShipmentData!O470))="Y"),"Yes","No")</f>
        <v>No</v>
      </c>
    </row>
    <row r="470" spans="1:20" x14ac:dyDescent="0.25">
      <c r="A470" s="2" t="str">
        <f>[1]RawShipmentData!A471</f>
        <v>SHP-101319</v>
      </c>
      <c r="B470" s="3">
        <f>IF(ISNUMBER(SEARCH("/",TRIM([1]RawShipmentData!B471))),DATE(VALUE(RIGHT(TRIM([1]RawShipmentData!B471),4)),VALUE(MID(TRIM([1]RawShipmentData!B471),FIND("/",TRIM([1]RawShipmentData!B471))+1,2)),VALUE(LEFT(TRIM([1]RawShipmentData!B471),FIND("/",TRIM([1]RawShipmentData!B471))-1))),DATEVALUE(TRIM([1]RawShipmentData!B471)))</f>
        <v>45414</v>
      </c>
      <c r="C470" s="2" t="str">
        <f>PROPER(TRIM([1]RawShipmentData!C471))</f>
        <v>Hyderabad</v>
      </c>
      <c r="D470" s="2" t="str">
        <f>IFERROR(INDEX([1]HubMaster!$B$2:$B$7,MATCH(C470,[1]HubMaster!$A$2:$A$7,0)),"Unknown")</f>
        <v>West</v>
      </c>
      <c r="E470" s="2" t="str">
        <f>PROPER(TRIM(SUBSTITUTE([1]RawShipmentData!D471,"  "," ")))</f>
        <v>Bluedart</v>
      </c>
      <c r="F470" s="2" t="str">
        <f>PROPER(TRIM([1]RawShipmentData!E471))</f>
        <v>Air</v>
      </c>
      <c r="G470" s="2" t="str">
        <f>PROPER(TRIM(SUBSTITUTE([1]RawShipmentData!F471,"  "," ")))</f>
        <v>Apparel</v>
      </c>
      <c r="H470" s="2" t="str">
        <f>PROPER(TRIM([1]RawShipmentData!G471))</f>
        <v>East</v>
      </c>
      <c r="I470" s="2" t="str">
        <f t="shared" si="35"/>
        <v>Yes</v>
      </c>
      <c r="J470" s="2">
        <f>IFERROR(VALUE(TRIM(SUBSTITUTE(UPPER([1]RawShipmentData!I470),"KG",""))),"")</f>
        <v>5.8</v>
      </c>
      <c r="K470" s="2">
        <f>VALUE(SUBSTITUTE(SUBSTITUTE(SUBSTITUTE(TRIM([1]RawShipmentData!J471),"₹",""),"Rs",""),",",""))</f>
        <v>386</v>
      </c>
      <c r="L470" s="2">
        <f>[1]RawShipmentData!K471</f>
        <v>4</v>
      </c>
      <c r="M470" s="3">
        <f>IF(TRIM([1]RawShipmentData!L471)="","",IF(ISNUMBER(SEARCH("/",TRIM([1]RawShipmentData!L471))),DATE(VALUE(RIGHT(TRIM([1]RawShipmentData!L471),4)),VALUE(MID(TRIM([1]RawShipmentData!L471),FIND("/",TRIM([1]RawShipmentData!L471))+1,2)),VALUE(LEFT(TRIM([1]RawShipmentData!L471),FIND("/",TRIM([1]RawShipmentData!L471))-1))),DATEVALUE(TRIM([1]RawShipmentData!L471))))</f>
        <v>45419</v>
      </c>
      <c r="N470" s="2">
        <f t="shared" si="36"/>
        <v>5</v>
      </c>
      <c r="O470" s="2">
        <f t="shared" si="37"/>
        <v>1</v>
      </c>
      <c r="P470" s="2" t="str">
        <f t="shared" si="38"/>
        <v>Late</v>
      </c>
      <c r="Q470" s="2" t="str">
        <f>PROPER(SUBSTITUTE(TRIM([1]RawShipmentData!M471)," ","-"))</f>
        <v>Delayed</v>
      </c>
      <c r="R470" s="4">
        <f t="shared" si="39"/>
        <v>66.551724137931032</v>
      </c>
      <c r="S470" s="2">
        <f>[1]RawShipmentData!N471</f>
        <v>4</v>
      </c>
      <c r="T470" s="2" t="str">
        <f>IF(OR(UPPER(TRIM([1]RawShipmentData!O471))="YES",UPPER(TRIM([1]RawShipmentData!O471))="Y"),"Yes","No")</f>
        <v>No</v>
      </c>
    </row>
    <row r="471" spans="1:20" x14ac:dyDescent="0.25">
      <c r="A471" s="2" t="str">
        <f>[1]RawShipmentData!A472</f>
        <v>SHP-100943</v>
      </c>
      <c r="B471" s="3">
        <f>IF(ISNUMBER(SEARCH("/",TRIM([1]RawShipmentData!B472))),DATE(VALUE(RIGHT(TRIM([1]RawShipmentData!B472),4)),VALUE(MID(TRIM([1]RawShipmentData!B472),FIND("/",TRIM([1]RawShipmentData!B472))+1,2)),VALUE(LEFT(TRIM([1]RawShipmentData!B472),FIND("/",TRIM([1]RawShipmentData!B472))-1))),DATEVALUE(TRIM([1]RawShipmentData!B472)))</f>
        <v>45376</v>
      </c>
      <c r="C471" s="2" t="str">
        <f>PROPER(TRIM([1]RawShipmentData!C472))</f>
        <v>Kolkata</v>
      </c>
      <c r="D471" s="2" t="str">
        <f>IFERROR(INDEX([1]HubMaster!$B$2:$B$7,MATCH(C471,[1]HubMaster!$A$2:$A$7,0)),"Unknown")</f>
        <v>East</v>
      </c>
      <c r="E471" s="2" t="str">
        <f>PROPER(TRIM(SUBSTITUTE([1]RawShipmentData!D472,"  "," ")))</f>
        <v>Ecom Express</v>
      </c>
      <c r="F471" s="2" t="str">
        <f>PROPER(TRIM([1]RawShipmentData!E472))</f>
        <v>Air</v>
      </c>
      <c r="G471" s="2" t="str">
        <f>PROPER(TRIM(SUBSTITUTE([1]RawShipmentData!F472,"  "," ")))</f>
        <v>Apparel</v>
      </c>
      <c r="H471" s="2" t="str">
        <f>PROPER(TRIM([1]RawShipmentData!G472))</f>
        <v>West</v>
      </c>
      <c r="I471" s="2" t="str">
        <f t="shared" si="35"/>
        <v>Yes</v>
      </c>
      <c r="J471" s="2">
        <f>IFERROR(VALUE(TRIM(SUBSTITUTE(UPPER([1]RawShipmentData!I471),"KG",""))),"")</f>
        <v>5.2</v>
      </c>
      <c r="K471" s="2">
        <f>VALUE(SUBSTITUTE(SUBSTITUTE(SUBSTITUTE(TRIM([1]RawShipmentData!J472),"₹",""),"Rs",""),",",""))</f>
        <v>253</v>
      </c>
      <c r="L471" s="2">
        <f>[1]RawShipmentData!K472</f>
        <v>4</v>
      </c>
      <c r="M471" s="3">
        <f>IF(TRIM([1]RawShipmentData!L472)="","",IF(ISNUMBER(SEARCH("/",TRIM([1]RawShipmentData!L472))),DATE(VALUE(RIGHT(TRIM([1]RawShipmentData!L472),4)),VALUE(MID(TRIM([1]RawShipmentData!L472),FIND("/",TRIM([1]RawShipmentData!L472))+1,2)),VALUE(LEFT(TRIM([1]RawShipmentData!L472),FIND("/",TRIM([1]RawShipmentData!L472))-1))),DATEVALUE(TRIM([1]RawShipmentData!L472))))</f>
        <v>45385</v>
      </c>
      <c r="N471" s="2">
        <f t="shared" si="36"/>
        <v>9</v>
      </c>
      <c r="O471" s="2">
        <f t="shared" si="37"/>
        <v>5</v>
      </c>
      <c r="P471" s="2" t="str">
        <f t="shared" si="38"/>
        <v>Late</v>
      </c>
      <c r="Q471" s="2" t="str">
        <f>PROPER(SUBSTITUTE(TRIM([1]RawShipmentData!M472)," ","-"))</f>
        <v>Delayed</v>
      </c>
      <c r="R471" s="4">
        <f t="shared" si="39"/>
        <v>48.653846153846153</v>
      </c>
      <c r="S471" s="2">
        <f>[1]RawShipmentData!N472</f>
        <v>2</v>
      </c>
      <c r="T471" s="2" t="str">
        <f>IF(OR(UPPER(TRIM([1]RawShipmentData!O472))="YES",UPPER(TRIM([1]RawShipmentData!O472))="Y"),"Yes","No")</f>
        <v>Yes</v>
      </c>
    </row>
    <row r="472" spans="1:20" x14ac:dyDescent="0.25">
      <c r="A472" s="2" t="str">
        <f>[1]RawShipmentData!A473</f>
        <v>SHP-101507</v>
      </c>
      <c r="B472" s="3">
        <f>IF(ISNUMBER(SEARCH("/",TRIM([1]RawShipmentData!B473))),DATE(VALUE(RIGHT(TRIM([1]RawShipmentData!B473),4)),VALUE(MID(TRIM([1]RawShipmentData!B473),FIND("/",TRIM([1]RawShipmentData!B473))+1,2)),VALUE(LEFT(TRIM([1]RawShipmentData!B473),FIND("/",TRIM([1]RawShipmentData!B473))-1))),DATEVALUE(TRIM([1]RawShipmentData!B473)))</f>
        <v>45329</v>
      </c>
      <c r="C472" s="2" t="str">
        <f>PROPER(TRIM([1]RawShipmentData!C473))</f>
        <v>Delhi</v>
      </c>
      <c r="D472" s="2" t="str">
        <f>IFERROR(INDEX([1]HubMaster!$B$2:$B$7,MATCH(C472,[1]HubMaster!$A$2:$A$7,0)),"Unknown")</f>
        <v>North</v>
      </c>
      <c r="E472" s="2" t="str">
        <f>PROPER(TRIM(SUBSTITUTE([1]RawShipmentData!D473,"  "," ")))</f>
        <v>Xpressbees</v>
      </c>
      <c r="F472" s="2" t="str">
        <f>PROPER(TRIM([1]RawShipmentData!E473))</f>
        <v>Surface</v>
      </c>
      <c r="G472" s="2" t="str">
        <f>PROPER(TRIM(SUBSTITUTE([1]RawShipmentData!F473,"  "," ")))</f>
        <v>Automotive Parts</v>
      </c>
      <c r="H472" s="2" t="str">
        <f>PROPER(TRIM([1]RawShipmentData!G473))</f>
        <v>North</v>
      </c>
      <c r="I472" s="2" t="str">
        <f t="shared" si="35"/>
        <v>No</v>
      </c>
      <c r="J472" s="2">
        <f>IFERROR(VALUE(TRIM(SUBSTITUTE(UPPER([1]RawShipmentData!I472),"KG",""))),"")</f>
        <v>1.7</v>
      </c>
      <c r="K472" s="2">
        <f>VALUE(SUBSTITUTE(SUBSTITUTE(SUBSTITUTE(TRIM([1]RawShipmentData!J473),"₹",""),"Rs",""),",",""))</f>
        <v>341</v>
      </c>
      <c r="L472" s="2">
        <f>[1]RawShipmentData!K473</f>
        <v>4</v>
      </c>
      <c r="M472" s="3">
        <f>IF(TRIM([1]RawShipmentData!L473)="","",IF(ISNUMBER(SEARCH("/",TRIM([1]RawShipmentData!L473))),DATE(VALUE(RIGHT(TRIM([1]RawShipmentData!L473),4)),VALUE(MID(TRIM([1]RawShipmentData!L473),FIND("/",TRIM([1]RawShipmentData!L473))+1,2)),VALUE(LEFT(TRIM([1]RawShipmentData!L473),FIND("/",TRIM([1]RawShipmentData!L473))-1))),DATEVALUE(TRIM([1]RawShipmentData!L473))))</f>
        <v>45339</v>
      </c>
      <c r="N472" s="2">
        <f t="shared" si="36"/>
        <v>10</v>
      </c>
      <c r="O472" s="2">
        <f t="shared" si="37"/>
        <v>6</v>
      </c>
      <c r="P472" s="2" t="str">
        <f t="shared" si="38"/>
        <v>Late</v>
      </c>
      <c r="Q472" s="2" t="str">
        <f>PROPER(SUBSTITUTE(TRIM([1]RawShipmentData!M473)," ","-"))</f>
        <v>Delayed</v>
      </c>
      <c r="R472" s="4">
        <f t="shared" si="39"/>
        <v>200.58823529411765</v>
      </c>
      <c r="S472" s="2">
        <f>[1]RawShipmentData!N473</f>
        <v>1</v>
      </c>
      <c r="T472" s="2" t="str">
        <f>IF(OR(UPPER(TRIM([1]RawShipmentData!O473))="YES",UPPER(TRIM([1]RawShipmentData!O473))="Y"),"Yes","No")</f>
        <v>No</v>
      </c>
    </row>
    <row r="473" spans="1:20" x14ac:dyDescent="0.25">
      <c r="A473" s="2" t="str">
        <f>[1]RawShipmentData!A474</f>
        <v>SHP-100341</v>
      </c>
      <c r="B473" s="3">
        <f>IF(ISNUMBER(SEARCH("/",TRIM([1]RawShipmentData!B474))),DATE(VALUE(RIGHT(TRIM([1]RawShipmentData!B474),4)),VALUE(MID(TRIM([1]RawShipmentData!B474),FIND("/",TRIM([1]RawShipmentData!B474))+1,2)),VALUE(LEFT(TRIM([1]RawShipmentData!B474),FIND("/",TRIM([1]RawShipmentData!B474))-1))),DATEVALUE(TRIM([1]RawShipmentData!B474)))</f>
        <v>45447</v>
      </c>
      <c r="C473" s="2" t="str">
        <f>PROPER(TRIM([1]RawShipmentData!C474))</f>
        <v>Kolkata</v>
      </c>
      <c r="D473" s="2" t="str">
        <f>IFERROR(INDEX([1]HubMaster!$B$2:$B$7,MATCH(C473,[1]HubMaster!$A$2:$A$7,0)),"Unknown")</f>
        <v>East</v>
      </c>
      <c r="E473" s="2" t="str">
        <f>PROPER(TRIM(SUBSTITUTE([1]RawShipmentData!D474,"  "," ")))</f>
        <v>Xpressbees</v>
      </c>
      <c r="F473" s="2" t="str">
        <f>PROPER(TRIM([1]RawShipmentData!E474))</f>
        <v>Surface</v>
      </c>
      <c r="G473" s="2" t="str">
        <f>PROPER(TRIM(SUBSTITUTE([1]RawShipmentData!F474,"  "," ")))</f>
        <v>Grocery &amp; Fmcg</v>
      </c>
      <c r="H473" s="2" t="str">
        <f>PROPER(TRIM([1]RawShipmentData!G474))</f>
        <v>East</v>
      </c>
      <c r="I473" s="2" t="str">
        <f t="shared" si="35"/>
        <v>No</v>
      </c>
      <c r="J473" s="2">
        <f>IFERROR(VALUE(TRIM(SUBSTITUTE(UPPER([1]RawShipmentData!I473),"KG",""))),"")</f>
        <v>14.3</v>
      </c>
      <c r="K473" s="2">
        <f>VALUE(SUBSTITUTE(SUBSTITUTE(SUBSTITUTE(TRIM([1]RawShipmentData!J474),"₹",""),"Rs",""),",",""))</f>
        <v>174</v>
      </c>
      <c r="L473" s="2">
        <f>[1]RawShipmentData!K474</f>
        <v>4</v>
      </c>
      <c r="M473" s="3">
        <f>IF(TRIM([1]RawShipmentData!L474)="","",IF(ISNUMBER(SEARCH("/",TRIM([1]RawShipmentData!L474))),DATE(VALUE(RIGHT(TRIM([1]RawShipmentData!L474),4)),VALUE(MID(TRIM([1]RawShipmentData!L474),FIND("/",TRIM([1]RawShipmentData!L474))+1,2)),VALUE(LEFT(TRIM([1]RawShipmentData!L474),FIND("/",TRIM([1]RawShipmentData!L474))-1))),DATEVALUE(TRIM([1]RawShipmentData!L474))))</f>
        <v>45450</v>
      </c>
      <c r="N473" s="2">
        <f t="shared" si="36"/>
        <v>3</v>
      </c>
      <c r="O473" s="2">
        <f t="shared" si="37"/>
        <v>-1</v>
      </c>
      <c r="P473" s="2" t="str">
        <f t="shared" si="38"/>
        <v>On Time</v>
      </c>
      <c r="Q473" s="2" t="str">
        <f>PROPER(SUBSTITUTE(TRIM([1]RawShipmentData!M474)," ","-"))</f>
        <v>Delivered</v>
      </c>
      <c r="R473" s="4">
        <f t="shared" si="39"/>
        <v>12.167832167832167</v>
      </c>
      <c r="S473" s="2">
        <f>[1]RawShipmentData!N474</f>
        <v>4</v>
      </c>
      <c r="T473" s="2" t="str">
        <f>IF(OR(UPPER(TRIM([1]RawShipmentData!O474))="YES",UPPER(TRIM([1]RawShipmentData!O474))="Y"),"Yes","No")</f>
        <v>No</v>
      </c>
    </row>
    <row r="474" spans="1:20" x14ac:dyDescent="0.25">
      <c r="A474" s="2" t="str">
        <f>[1]RawShipmentData!A475</f>
        <v>SHP-100014</v>
      </c>
      <c r="B474" s="3">
        <f>IF(ISNUMBER(SEARCH("/",TRIM([1]RawShipmentData!B475))),DATE(VALUE(RIGHT(TRIM([1]RawShipmentData!B475),4)),VALUE(MID(TRIM([1]RawShipmentData!B475),FIND("/",TRIM([1]RawShipmentData!B475))+1,2)),VALUE(LEFT(TRIM([1]RawShipmentData!B475),FIND("/",TRIM([1]RawShipmentData!B475))-1))),DATEVALUE(TRIM([1]RawShipmentData!B475)))</f>
        <v>45297</v>
      </c>
      <c r="C474" s="2" t="str">
        <f>PROPER(TRIM([1]RawShipmentData!C475))</f>
        <v>Bengaluru</v>
      </c>
      <c r="D474" s="2" t="str">
        <f>IFERROR(INDEX([1]HubMaster!$B$2:$B$7,MATCH(C474,[1]HubMaster!$A$2:$A$7,0)),"Unknown")</f>
        <v>South</v>
      </c>
      <c r="E474" s="2" t="str">
        <f>PROPER(TRIM(SUBSTITUTE([1]RawShipmentData!D475,"  "," ")))</f>
        <v>Xpressbees</v>
      </c>
      <c r="F474" s="2" t="str">
        <f>PROPER(TRIM([1]RawShipmentData!E475))</f>
        <v>Road</v>
      </c>
      <c r="G474" s="2" t="str">
        <f>PROPER(TRIM(SUBSTITUTE([1]RawShipmentData!F475,"  "," ")))</f>
        <v>Grocery &amp; Fmcg</v>
      </c>
      <c r="H474" s="2" t="str">
        <f>PROPER(TRIM([1]RawShipmentData!G475))</f>
        <v>East</v>
      </c>
      <c r="I474" s="2" t="str">
        <f t="shared" si="35"/>
        <v>Yes</v>
      </c>
      <c r="J474" s="2">
        <f>IFERROR(VALUE(TRIM(SUBSTITUTE(UPPER([1]RawShipmentData!I474),"KG",""))),"")</f>
        <v>5.3</v>
      </c>
      <c r="K474" s="2">
        <f>VALUE(SUBSTITUTE(SUBSTITUTE(SUBSTITUTE(TRIM([1]RawShipmentData!J475),"₹",""),"Rs",""),",",""))</f>
        <v>287</v>
      </c>
      <c r="L474" s="2">
        <f>[1]RawShipmentData!K475</f>
        <v>8</v>
      </c>
      <c r="M474" s="3">
        <f>IF(TRIM([1]RawShipmentData!L475)="","",IF(ISNUMBER(SEARCH("/",TRIM([1]RawShipmentData!L475))),DATE(VALUE(RIGHT(TRIM([1]RawShipmentData!L475),4)),VALUE(MID(TRIM([1]RawShipmentData!L475),FIND("/",TRIM([1]RawShipmentData!L475))+1,2)),VALUE(LEFT(TRIM([1]RawShipmentData!L475),FIND("/",TRIM([1]RawShipmentData!L475))-1))),DATEVALUE(TRIM([1]RawShipmentData!L475))))</f>
        <v>45311</v>
      </c>
      <c r="N474" s="2">
        <f t="shared" si="36"/>
        <v>14</v>
      </c>
      <c r="O474" s="2">
        <f t="shared" si="37"/>
        <v>6</v>
      </c>
      <c r="P474" s="2" t="str">
        <f t="shared" si="38"/>
        <v>Late</v>
      </c>
      <c r="Q474" s="2" t="str">
        <f>PROPER(SUBSTITUTE(TRIM([1]RawShipmentData!M475)," ","-"))</f>
        <v>Delayed</v>
      </c>
      <c r="R474" s="4">
        <f t="shared" si="39"/>
        <v>54.150943396226417</v>
      </c>
      <c r="S474" s="2">
        <f>[1]RawShipmentData!N475</f>
        <v>3</v>
      </c>
      <c r="T474" s="2" t="str">
        <f>IF(OR(UPPER(TRIM([1]RawShipmentData!O475))="YES",UPPER(TRIM([1]RawShipmentData!O475))="Y"),"Yes","No")</f>
        <v>No</v>
      </c>
    </row>
    <row r="475" spans="1:20" x14ac:dyDescent="0.25">
      <c r="A475" s="2" t="str">
        <f>[1]RawShipmentData!A476</f>
        <v>SHP-100984</v>
      </c>
      <c r="B475" s="3">
        <f>IF(ISNUMBER(SEARCH("/",TRIM([1]RawShipmentData!B476))),DATE(VALUE(RIGHT(TRIM([1]RawShipmentData!B476),4)),VALUE(MID(TRIM([1]RawShipmentData!B476),FIND("/",TRIM([1]RawShipmentData!B476))+1,2)),VALUE(LEFT(TRIM([1]RawShipmentData!B476),FIND("/",TRIM([1]RawShipmentData!B476))-1))),DATEVALUE(TRIM([1]RawShipmentData!B476)))</f>
        <v>45394</v>
      </c>
      <c r="C475" s="2" t="str">
        <f>PROPER(TRIM([1]RawShipmentData!C476))</f>
        <v>Hyderabad</v>
      </c>
      <c r="D475" s="2" t="str">
        <f>IFERROR(INDEX([1]HubMaster!$B$2:$B$7,MATCH(C475,[1]HubMaster!$A$2:$A$7,0)),"Unknown")</f>
        <v>West</v>
      </c>
      <c r="E475" s="2" t="str">
        <f>PROPER(TRIM(SUBSTITUTE([1]RawShipmentData!D476,"  "," ")))</f>
        <v>Xpress Bees</v>
      </c>
      <c r="F475" s="2" t="str">
        <f>PROPER(TRIM([1]RawShipmentData!E476))</f>
        <v>Air</v>
      </c>
      <c r="G475" s="2" t="str">
        <f>PROPER(TRIM(SUBSTITUTE([1]RawShipmentData!F476,"  "," ")))</f>
        <v>Electronics</v>
      </c>
      <c r="H475" s="2" t="str">
        <f>PROPER(TRIM([1]RawShipmentData!G476))</f>
        <v>South</v>
      </c>
      <c r="I475" s="2" t="str">
        <f t="shared" si="35"/>
        <v>Yes</v>
      </c>
      <c r="J475" s="2">
        <f>IFERROR(VALUE(TRIM(SUBSTITUTE(UPPER([1]RawShipmentData!I475),"KG",""))),"")</f>
        <v>8.6999999999999993</v>
      </c>
      <c r="K475" s="2">
        <f>VALUE(SUBSTITUTE(SUBSTITUTE(SUBSTITUTE(TRIM([1]RawShipmentData!J476),"₹",""),"Rs",""),",",""))</f>
        <v>435</v>
      </c>
      <c r="L475" s="2">
        <f>[1]RawShipmentData!K476</f>
        <v>4</v>
      </c>
      <c r="M475" s="3">
        <f>IF(TRIM([1]RawShipmentData!L476)="","",IF(ISNUMBER(SEARCH("/",TRIM([1]RawShipmentData!L476))),DATE(VALUE(RIGHT(TRIM([1]RawShipmentData!L476),4)),VALUE(MID(TRIM([1]RawShipmentData!L476),FIND("/",TRIM([1]RawShipmentData!L476))+1,2)),VALUE(LEFT(TRIM([1]RawShipmentData!L476),FIND("/",TRIM([1]RawShipmentData!L476))-1))),DATEVALUE(TRIM([1]RawShipmentData!L476))))</f>
        <v>45398</v>
      </c>
      <c r="N475" s="2">
        <f t="shared" si="36"/>
        <v>4</v>
      </c>
      <c r="O475" s="2">
        <f t="shared" si="37"/>
        <v>0</v>
      </c>
      <c r="P475" s="2" t="str">
        <f t="shared" si="38"/>
        <v>On Time</v>
      </c>
      <c r="Q475" s="2" t="str">
        <f>PROPER(SUBSTITUTE(TRIM([1]RawShipmentData!M476)," ","-"))</f>
        <v>Returned</v>
      </c>
      <c r="R475" s="4">
        <f t="shared" si="39"/>
        <v>50.000000000000007</v>
      </c>
      <c r="S475" s="2">
        <f>[1]RawShipmentData!N476</f>
        <v>0</v>
      </c>
      <c r="T475" s="2" t="str">
        <f>IF(OR(UPPER(TRIM([1]RawShipmentData!O476))="YES",UPPER(TRIM([1]RawShipmentData!O476))="Y"),"Yes","No")</f>
        <v>Yes</v>
      </c>
    </row>
    <row r="476" spans="1:20" x14ac:dyDescent="0.25">
      <c r="A476" s="2" t="str">
        <f>[1]RawShipmentData!A477</f>
        <v>SHP-100194</v>
      </c>
      <c r="B476" s="3">
        <f>IF(ISNUMBER(SEARCH("/",TRIM([1]RawShipmentData!B477))),DATE(VALUE(RIGHT(TRIM([1]RawShipmentData!B477),4)),VALUE(MID(TRIM([1]RawShipmentData!B477),FIND("/",TRIM([1]RawShipmentData!B477))+1,2)),VALUE(LEFT(TRIM([1]RawShipmentData!B477),FIND("/",TRIM([1]RawShipmentData!B477))-1))),DATEVALUE(TRIM([1]RawShipmentData!B477)))</f>
        <v>45391</v>
      </c>
      <c r="C476" s="2" t="str">
        <f>PROPER(TRIM([1]RawShipmentData!C477))</f>
        <v>Hyderabad</v>
      </c>
      <c r="D476" s="2" t="str">
        <f>IFERROR(INDEX([1]HubMaster!$B$2:$B$7,MATCH(C476,[1]HubMaster!$A$2:$A$7,0)),"Unknown")</f>
        <v>West</v>
      </c>
      <c r="E476" s="2" t="str">
        <f>PROPER(TRIM(SUBSTITUTE([1]RawShipmentData!D477,"  "," ")))</f>
        <v>Ecom Express</v>
      </c>
      <c r="F476" s="2" t="str">
        <f>PROPER(TRIM([1]RawShipmentData!E477))</f>
        <v>Road</v>
      </c>
      <c r="G476" s="2" t="str">
        <f>PROPER(TRIM(SUBSTITUTE([1]RawShipmentData!F477,"  "," ")))</f>
        <v>Furniture</v>
      </c>
      <c r="H476" s="2" t="str">
        <f>PROPER(TRIM([1]RawShipmentData!G477))</f>
        <v>South</v>
      </c>
      <c r="I476" s="2" t="str">
        <f t="shared" si="35"/>
        <v>Yes</v>
      </c>
      <c r="J476" s="2">
        <f>IFERROR(VALUE(TRIM(SUBSTITUTE(UPPER([1]RawShipmentData!I476),"KG",""))),"")</f>
        <v>6.6</v>
      </c>
      <c r="K476" s="2">
        <f>VALUE(SUBSTITUTE(SUBSTITUTE(SUBSTITUTE(TRIM([1]RawShipmentData!J477),"₹",""),"Rs",""),",",""))</f>
        <v>1176</v>
      </c>
      <c r="L476" s="2">
        <f>[1]RawShipmentData!K477</f>
        <v>8</v>
      </c>
      <c r="M476" s="3">
        <f>IF(TRIM([1]RawShipmentData!L477)="","",IF(ISNUMBER(SEARCH("/",TRIM([1]RawShipmentData!L477))),DATE(VALUE(RIGHT(TRIM([1]RawShipmentData!L477),4)),VALUE(MID(TRIM([1]RawShipmentData!L477),FIND("/",TRIM([1]RawShipmentData!L477))+1,2)),VALUE(LEFT(TRIM([1]RawShipmentData!L477),FIND("/",TRIM([1]RawShipmentData!L477))-1))),DATEVALUE(TRIM([1]RawShipmentData!L477))))</f>
        <v>45400</v>
      </c>
      <c r="N476" s="2">
        <f t="shared" si="36"/>
        <v>9</v>
      </c>
      <c r="O476" s="2">
        <f t="shared" si="37"/>
        <v>1</v>
      </c>
      <c r="P476" s="2" t="str">
        <f t="shared" si="38"/>
        <v>Late</v>
      </c>
      <c r="Q476" s="2" t="str">
        <f>PROPER(SUBSTITUTE(TRIM([1]RawShipmentData!M477)," ","-"))</f>
        <v>Delayed</v>
      </c>
      <c r="R476" s="4">
        <f t="shared" si="39"/>
        <v>178.18181818181819</v>
      </c>
      <c r="S476" s="2">
        <f>[1]RawShipmentData!N477</f>
        <v>3</v>
      </c>
      <c r="T476" s="2" t="str">
        <f>IF(OR(UPPER(TRIM([1]RawShipmentData!O477))="YES",UPPER(TRIM([1]RawShipmentData!O477))="Y"),"Yes","No")</f>
        <v>Yes</v>
      </c>
    </row>
    <row r="477" spans="1:20" x14ac:dyDescent="0.25">
      <c r="A477" s="2" t="str">
        <f>[1]RawShipmentData!A479</f>
        <v>SHP-100612</v>
      </c>
      <c r="B477" s="3">
        <f>IF(ISNUMBER(SEARCH("/",TRIM([1]RawShipmentData!B479))),DATE(VALUE(RIGHT(TRIM([1]RawShipmentData!B479),4)),VALUE(MID(TRIM([1]RawShipmentData!B479),FIND("/",TRIM([1]RawShipmentData!B479))+1,2)),VALUE(LEFT(TRIM([1]RawShipmentData!B479),FIND("/",TRIM([1]RawShipmentData!B479))-1))),DATEVALUE(TRIM([1]RawShipmentData!B479)))</f>
        <v>45432</v>
      </c>
      <c r="C477" s="2" t="str">
        <f>PROPER(TRIM([1]RawShipmentData!C479))</f>
        <v>Delhi</v>
      </c>
      <c r="D477" s="2" t="str">
        <f>IFERROR(INDEX([1]HubMaster!$B$2:$B$7,MATCH(C477,[1]HubMaster!$A$2:$A$7,0)),"Unknown")</f>
        <v>North</v>
      </c>
      <c r="E477" s="2" t="str">
        <f>PROPER(TRIM(SUBSTITUTE([1]RawShipmentData!D479,"  "," ")))</f>
        <v>Ecom Express</v>
      </c>
      <c r="F477" s="2" t="str">
        <f>PROPER(TRIM([1]RawShipmentData!E479))</f>
        <v>Road</v>
      </c>
      <c r="G477" s="2" t="str">
        <f>PROPER(TRIM(SUBSTITUTE([1]RawShipmentData!F479,"  "," ")))</f>
        <v>Automotive Parts</v>
      </c>
      <c r="H477" s="2" t="str">
        <f>PROPER(TRIM([1]RawShipmentData!G479))</f>
        <v>North</v>
      </c>
      <c r="I477" s="2" t="str">
        <f t="shared" si="35"/>
        <v>No</v>
      </c>
      <c r="J477" s="2">
        <f>IFERROR(VALUE(TRIM(SUBSTITUTE(UPPER([1]RawShipmentData!I477),"KG",""))),"")</f>
        <v>71.3</v>
      </c>
      <c r="K477" s="2">
        <f>VALUE(SUBSTITUTE(SUBSTITUTE(SUBSTITUTE(TRIM([1]RawShipmentData!J479),"₹",""),"Rs",""),",",""))</f>
        <v>140</v>
      </c>
      <c r="L477" s="2">
        <f>[1]RawShipmentData!K479</f>
        <v>6</v>
      </c>
      <c r="M477" s="3">
        <f>IF(TRIM([1]RawShipmentData!L479)="","",IF(ISNUMBER(SEARCH("/",TRIM([1]RawShipmentData!L479))),DATE(VALUE(RIGHT(TRIM([1]RawShipmentData!L479),4)),VALUE(MID(TRIM([1]RawShipmentData!L479),FIND("/",TRIM([1]RawShipmentData!L479))+1,2)),VALUE(LEFT(TRIM([1]RawShipmentData!L479),FIND("/",TRIM([1]RawShipmentData!L479))-1))),DATEVALUE(TRIM([1]RawShipmentData!L479))))</f>
        <v>45438</v>
      </c>
      <c r="N477" s="2">
        <f t="shared" si="36"/>
        <v>6</v>
      </c>
      <c r="O477" s="2">
        <f t="shared" si="37"/>
        <v>0</v>
      </c>
      <c r="P477" s="2" t="str">
        <f t="shared" si="38"/>
        <v>On Time</v>
      </c>
      <c r="Q477" s="2" t="str">
        <f>PROPER(SUBSTITUTE(TRIM([1]RawShipmentData!M479)," ","-"))</f>
        <v>Delivered</v>
      </c>
      <c r="R477" s="4">
        <f t="shared" si="39"/>
        <v>1.9635343618513326</v>
      </c>
      <c r="S477" s="2">
        <f>[1]RawShipmentData!N479</f>
        <v>2</v>
      </c>
      <c r="T477" s="2" t="str">
        <f>IF(OR(UPPER(TRIM([1]RawShipmentData!O479))="YES",UPPER(TRIM([1]RawShipmentData!O479))="Y"),"Yes","No")</f>
        <v>Yes</v>
      </c>
    </row>
    <row r="478" spans="1:20" x14ac:dyDescent="0.25">
      <c r="A478" s="2" t="str">
        <f>[1]RawShipmentData!A480</f>
        <v>SHP-100994</v>
      </c>
      <c r="B478" s="3">
        <f>IF(ISNUMBER(SEARCH("/",TRIM([1]RawShipmentData!B480))),DATE(VALUE(RIGHT(TRIM([1]RawShipmentData!B480),4)),VALUE(MID(TRIM([1]RawShipmentData!B480),FIND("/",TRIM([1]RawShipmentData!B480))+1,2)),VALUE(LEFT(TRIM([1]RawShipmentData!B480),FIND("/",TRIM([1]RawShipmentData!B480))-1))),DATEVALUE(TRIM([1]RawShipmentData!B480)))</f>
        <v>45362</v>
      </c>
      <c r="C478" s="2" t="str">
        <f>PROPER(TRIM([1]RawShipmentData!C480))</f>
        <v>Delhi</v>
      </c>
      <c r="D478" s="2" t="str">
        <f>IFERROR(INDEX([1]HubMaster!$B$2:$B$7,MATCH(C478,[1]HubMaster!$A$2:$A$7,0)),"Unknown")</f>
        <v>North</v>
      </c>
      <c r="E478" s="2" t="str">
        <f>PROPER(TRIM(SUBSTITUTE([1]RawShipmentData!D480,"  "," ")))</f>
        <v>Ecom Express</v>
      </c>
      <c r="F478" s="2" t="str">
        <f>PROPER(TRIM([1]RawShipmentData!E480))</f>
        <v>Surface</v>
      </c>
      <c r="G478" s="2" t="str">
        <f>PROPER(TRIM(SUBSTITUTE([1]RawShipmentData!F480,"  "," ")))</f>
        <v>Apparel</v>
      </c>
      <c r="H478" s="2" t="str">
        <f>PROPER(TRIM([1]RawShipmentData!G480))</f>
        <v>East</v>
      </c>
      <c r="I478" s="2" t="str">
        <f t="shared" si="35"/>
        <v>Yes</v>
      </c>
      <c r="J478" s="2">
        <f>IFERROR(VALUE(TRIM(SUBSTITUTE(UPPER([1]RawShipmentData!I478),"KG",""))),"")</f>
        <v>2.1</v>
      </c>
      <c r="K478" s="2">
        <f>VALUE(SUBSTITUTE(SUBSTITUTE(SUBSTITUTE(TRIM([1]RawShipmentData!J480),"₹",""),"Rs",""),",",""))</f>
        <v>222</v>
      </c>
      <c r="L478" s="2">
        <f>[1]RawShipmentData!K480</f>
        <v>6</v>
      </c>
      <c r="M478" s="3">
        <f>IF(TRIM([1]RawShipmentData!L480)="","",IF(ISNUMBER(SEARCH("/",TRIM([1]RawShipmentData!L480))),DATE(VALUE(RIGHT(TRIM([1]RawShipmentData!L480),4)),VALUE(MID(TRIM([1]RawShipmentData!L480),FIND("/",TRIM([1]RawShipmentData!L480))+1,2)),VALUE(LEFT(TRIM([1]RawShipmentData!L480),FIND("/",TRIM([1]RawShipmentData!L480))-1))),DATEVALUE(TRIM([1]RawShipmentData!L480))))</f>
        <v>45367</v>
      </c>
      <c r="N478" s="2">
        <f t="shared" si="36"/>
        <v>5</v>
      </c>
      <c r="O478" s="2">
        <f t="shared" si="37"/>
        <v>-1</v>
      </c>
      <c r="P478" s="2" t="str">
        <f t="shared" si="38"/>
        <v>On Time</v>
      </c>
      <c r="Q478" s="2" t="str">
        <f>PROPER(SUBSTITUTE(TRIM([1]RawShipmentData!M480)," ","-"))</f>
        <v>Delivered</v>
      </c>
      <c r="R478" s="4">
        <f t="shared" si="39"/>
        <v>105.71428571428571</v>
      </c>
      <c r="S478" s="2">
        <f>[1]RawShipmentData!N480</f>
        <v>4</v>
      </c>
      <c r="T478" s="2" t="str">
        <f>IF(OR(UPPER(TRIM([1]RawShipmentData!O480))="YES",UPPER(TRIM([1]RawShipmentData!O480))="Y"),"Yes","No")</f>
        <v>Yes</v>
      </c>
    </row>
    <row r="479" spans="1:20" x14ac:dyDescent="0.25">
      <c r="A479" s="2" t="str">
        <f>[1]RawShipmentData!A481</f>
        <v>SHP-100804</v>
      </c>
      <c r="B479" s="3">
        <f>IF(ISNUMBER(SEARCH("/",TRIM([1]RawShipmentData!B481))),DATE(VALUE(RIGHT(TRIM([1]RawShipmentData!B481),4)),VALUE(MID(TRIM([1]RawShipmentData!B481),FIND("/",TRIM([1]RawShipmentData!B481))+1,2)),VALUE(LEFT(TRIM([1]RawShipmentData!B481),FIND("/",TRIM([1]RawShipmentData!B481))-1))),DATEVALUE(TRIM([1]RawShipmentData!B481)))</f>
        <v>45298</v>
      </c>
      <c r="C479" s="2" t="str">
        <f>PROPER(TRIM([1]RawShipmentData!C481))</f>
        <v>Bengaluru</v>
      </c>
      <c r="D479" s="2" t="str">
        <f>IFERROR(INDEX([1]HubMaster!$B$2:$B$7,MATCH(C479,[1]HubMaster!$A$2:$A$7,0)),"Unknown")</f>
        <v>South</v>
      </c>
      <c r="E479" s="2" t="str">
        <f>PROPER(TRIM(SUBSTITUTE([1]RawShipmentData!D481,"  "," ")))</f>
        <v>Blue Dart</v>
      </c>
      <c r="F479" s="2" t="str">
        <f>PROPER(TRIM([1]RawShipmentData!E481))</f>
        <v>Surface</v>
      </c>
      <c r="G479" s="2" t="str">
        <f>PROPER(TRIM(SUBSTITUTE([1]RawShipmentData!F481,"  "," ")))</f>
        <v>Automotive Parts</v>
      </c>
      <c r="H479" s="2" t="str">
        <f>PROPER(TRIM([1]RawShipmentData!G481))</f>
        <v>North</v>
      </c>
      <c r="I479" s="2" t="str">
        <f t="shared" si="35"/>
        <v>Yes</v>
      </c>
      <c r="J479" s="2">
        <f>IFERROR(VALUE(TRIM(SUBSTITUTE(UPPER([1]RawShipmentData!I479),"KG",""))),"")</f>
        <v>10.1</v>
      </c>
      <c r="K479" s="2">
        <f>VALUE(SUBSTITUTE(SUBSTITUTE(SUBSTITUTE(TRIM([1]RawShipmentData!J481),"₹",""),"Rs",""),",",""))</f>
        <v>778</v>
      </c>
      <c r="L479" s="2">
        <f>[1]RawShipmentData!K481</f>
        <v>6</v>
      </c>
      <c r="M479" s="3">
        <f>IF(TRIM([1]RawShipmentData!L481)="","",IF(ISNUMBER(SEARCH("/",TRIM([1]RawShipmentData!L481))),DATE(VALUE(RIGHT(TRIM([1]RawShipmentData!L481),4)),VALUE(MID(TRIM([1]RawShipmentData!L481),FIND("/",TRIM([1]RawShipmentData!L481))+1,2)),VALUE(LEFT(TRIM([1]RawShipmentData!L481),FIND("/",TRIM([1]RawShipmentData!L481))-1))),DATEVALUE(TRIM([1]RawShipmentData!L481))))</f>
        <v>45312</v>
      </c>
      <c r="N479" s="2">
        <f t="shared" si="36"/>
        <v>14</v>
      </c>
      <c r="O479" s="2">
        <f t="shared" si="37"/>
        <v>8</v>
      </c>
      <c r="P479" s="2" t="str">
        <f t="shared" si="38"/>
        <v>Late</v>
      </c>
      <c r="Q479" s="2" t="str">
        <f>PROPER(SUBSTITUTE(TRIM([1]RawShipmentData!M481)," ","-"))</f>
        <v>Delayed</v>
      </c>
      <c r="R479" s="4">
        <f t="shared" si="39"/>
        <v>77.029702970297038</v>
      </c>
      <c r="S479" s="2">
        <f>[1]RawShipmentData!N481</f>
        <v>5</v>
      </c>
      <c r="T479" s="2" t="str">
        <f>IF(OR(UPPER(TRIM([1]RawShipmentData!O481))="YES",UPPER(TRIM([1]RawShipmentData!O481))="Y"),"Yes","No")</f>
        <v>No</v>
      </c>
    </row>
    <row r="480" spans="1:20" x14ac:dyDescent="0.25">
      <c r="A480" s="2" t="str">
        <f>[1]RawShipmentData!A482</f>
        <v>SHP-100264</v>
      </c>
      <c r="B480" s="3">
        <f>IF(ISNUMBER(SEARCH("/",TRIM([1]RawShipmentData!B482))),DATE(VALUE(RIGHT(TRIM([1]RawShipmentData!B482),4)),VALUE(MID(TRIM([1]RawShipmentData!B482),FIND("/",TRIM([1]RawShipmentData!B482))+1,2)),VALUE(LEFT(TRIM([1]RawShipmentData!B482),FIND("/",TRIM([1]RawShipmentData!B482))-1))),DATEVALUE(TRIM([1]RawShipmentData!B482)))</f>
        <v>45292</v>
      </c>
      <c r="C480" s="2" t="str">
        <f>PROPER(TRIM([1]RawShipmentData!C482))</f>
        <v>Hyderabad</v>
      </c>
      <c r="D480" s="2" t="str">
        <f>IFERROR(INDEX([1]HubMaster!$B$2:$B$7,MATCH(C480,[1]HubMaster!$A$2:$A$7,0)),"Unknown")</f>
        <v>West</v>
      </c>
      <c r="E480" s="2" t="str">
        <f>PROPER(TRIM(SUBSTITUTE([1]RawShipmentData!D482,"  "," ")))</f>
        <v>Dtdc</v>
      </c>
      <c r="F480" s="2" t="str">
        <f>PROPER(TRIM([1]RawShipmentData!E482))</f>
        <v>Air</v>
      </c>
      <c r="G480" s="2" t="str">
        <f>PROPER(TRIM(SUBSTITUTE([1]RawShipmentData!F482,"  "," ")))</f>
        <v>Pharma</v>
      </c>
      <c r="H480" s="2" t="str">
        <f>PROPER(TRIM([1]RawShipmentData!G482))</f>
        <v>South</v>
      </c>
      <c r="I480" s="2" t="str">
        <f t="shared" si="35"/>
        <v>Yes</v>
      </c>
      <c r="J480" s="2">
        <f>IFERROR(VALUE(TRIM(SUBSTITUTE(UPPER([1]RawShipmentData!I480),"KG",""))),"")</f>
        <v>1.2</v>
      </c>
      <c r="K480" s="2">
        <f>VALUE(SUBSTITUTE(SUBSTITUTE(SUBSTITUTE(TRIM([1]RawShipmentData!J482),"₹",""),"Rs",""),",",""))</f>
        <v>226</v>
      </c>
      <c r="L480" s="2">
        <f>[1]RawShipmentData!K482</f>
        <v>4</v>
      </c>
      <c r="M480" s="3">
        <f>IF(TRIM([1]RawShipmentData!L482)="","",IF(ISNUMBER(SEARCH("/",TRIM([1]RawShipmentData!L482))),DATE(VALUE(RIGHT(TRIM([1]RawShipmentData!L482),4)),VALUE(MID(TRIM([1]RawShipmentData!L482),FIND("/",TRIM([1]RawShipmentData!L482))+1,2)),VALUE(LEFT(TRIM([1]RawShipmentData!L482),FIND("/",TRIM([1]RawShipmentData!L482))-1))),DATEVALUE(TRIM([1]RawShipmentData!L482))))</f>
        <v>45305</v>
      </c>
      <c r="N480" s="2">
        <f t="shared" si="36"/>
        <v>13</v>
      </c>
      <c r="O480" s="2">
        <f t="shared" si="37"/>
        <v>9</v>
      </c>
      <c r="P480" s="2" t="str">
        <f t="shared" si="38"/>
        <v>Late</v>
      </c>
      <c r="Q480" s="2" t="str">
        <f>PROPER(SUBSTITUTE(TRIM([1]RawShipmentData!M482)," ","-"))</f>
        <v>Delayed</v>
      </c>
      <c r="R480" s="4">
        <f t="shared" si="39"/>
        <v>188.33333333333334</v>
      </c>
      <c r="S480" s="2">
        <f>[1]RawShipmentData!N482</f>
        <v>1</v>
      </c>
      <c r="T480" s="2" t="str">
        <f>IF(OR(UPPER(TRIM([1]RawShipmentData!O482))="YES",UPPER(TRIM([1]RawShipmentData!O482))="Y"),"Yes","No")</f>
        <v>Yes</v>
      </c>
    </row>
    <row r="481" spans="1:20" x14ac:dyDescent="0.25">
      <c r="A481" s="2" t="str">
        <f>[1]RawShipmentData!A483</f>
        <v>SHP-100113</v>
      </c>
      <c r="B481" s="3">
        <f>IF(ISNUMBER(SEARCH("/",TRIM([1]RawShipmentData!B483))),DATE(VALUE(RIGHT(TRIM([1]RawShipmentData!B483),4)),VALUE(MID(TRIM([1]RawShipmentData!B483),FIND("/",TRIM([1]RawShipmentData!B483))+1,2)),VALUE(LEFT(TRIM([1]RawShipmentData!B483),FIND("/",TRIM([1]RawShipmentData!B483))-1))),DATEVALUE(TRIM([1]RawShipmentData!B483)))</f>
        <v>45451</v>
      </c>
      <c r="C481" s="2" t="str">
        <f>PROPER(TRIM([1]RawShipmentData!C483))</f>
        <v>Hyderabad</v>
      </c>
      <c r="D481" s="2" t="str">
        <f>IFERROR(INDEX([1]HubMaster!$B$2:$B$7,MATCH(C481,[1]HubMaster!$A$2:$A$7,0)),"Unknown")</f>
        <v>West</v>
      </c>
      <c r="E481" s="2" t="str">
        <f>PROPER(TRIM(SUBSTITUTE([1]RawShipmentData!D483,"  "," ")))</f>
        <v>Xpress Bees</v>
      </c>
      <c r="F481" s="2" t="str">
        <f>PROPER(TRIM([1]RawShipmentData!E483))</f>
        <v>Surface</v>
      </c>
      <c r="G481" s="2" t="str">
        <f>PROPER(TRIM(SUBSTITUTE([1]RawShipmentData!F483,"  "," ")))</f>
        <v>Grocery &amp; Fmcg</v>
      </c>
      <c r="H481" s="2" t="str">
        <f>PROPER(TRIM([1]RawShipmentData!G483))</f>
        <v>West</v>
      </c>
      <c r="I481" s="2" t="str">
        <f t="shared" si="35"/>
        <v>No</v>
      </c>
      <c r="J481" s="2">
        <f>IFERROR(VALUE(TRIM(SUBSTITUTE(UPPER([1]RawShipmentData!I481),"KG",""))),"")</f>
        <v>29.3</v>
      </c>
      <c r="K481" s="2">
        <f>VALUE(SUBSTITUTE(SUBSTITUTE(SUBSTITUTE(TRIM([1]RawShipmentData!J483),"₹",""),"Rs",""),",",""))</f>
        <v>374</v>
      </c>
      <c r="L481" s="2">
        <f>[1]RawShipmentData!K483</f>
        <v>4</v>
      </c>
      <c r="M481" s="3">
        <f>IF(TRIM([1]RawShipmentData!L483)="","",IF(ISNUMBER(SEARCH("/",TRIM([1]RawShipmentData!L483))),DATE(VALUE(RIGHT(TRIM([1]RawShipmentData!L483),4)),VALUE(MID(TRIM([1]RawShipmentData!L483),FIND("/",TRIM([1]RawShipmentData!L483))+1,2)),VALUE(LEFT(TRIM([1]RawShipmentData!L483),FIND("/",TRIM([1]RawShipmentData!L483))-1))),DATEVALUE(TRIM([1]RawShipmentData!L483))))</f>
        <v>45456</v>
      </c>
      <c r="N481" s="2">
        <f t="shared" si="36"/>
        <v>5</v>
      </c>
      <c r="O481" s="2">
        <f t="shared" si="37"/>
        <v>1</v>
      </c>
      <c r="P481" s="2" t="str">
        <f t="shared" si="38"/>
        <v>Late</v>
      </c>
      <c r="Q481" s="2" t="str">
        <f>PROPER(SUBSTITUTE(TRIM([1]RawShipmentData!M483)," ","-"))</f>
        <v>Delayed</v>
      </c>
      <c r="R481" s="4">
        <f t="shared" si="39"/>
        <v>12.764505119453924</v>
      </c>
      <c r="S481" s="2">
        <f>[1]RawShipmentData!N483</f>
        <v>1</v>
      </c>
      <c r="T481" s="2" t="str">
        <f>IF(OR(UPPER(TRIM([1]RawShipmentData!O483))="YES",UPPER(TRIM([1]RawShipmentData!O483))="Y"),"Yes","No")</f>
        <v>No</v>
      </c>
    </row>
    <row r="482" spans="1:20" x14ac:dyDescent="0.25">
      <c r="A482" s="2" t="str">
        <f>[1]RawShipmentData!A484</f>
        <v>SHP-100340</v>
      </c>
      <c r="B482" s="3">
        <f>IF(ISNUMBER(SEARCH("/",TRIM([1]RawShipmentData!B484))),DATE(VALUE(RIGHT(TRIM([1]RawShipmentData!B484),4)),VALUE(MID(TRIM([1]RawShipmentData!B484),FIND("/",TRIM([1]RawShipmentData!B484))+1,2)),VALUE(LEFT(TRIM([1]RawShipmentData!B484),FIND("/",TRIM([1]RawShipmentData!B484))-1))),DATEVALUE(TRIM([1]RawShipmentData!B484)))</f>
        <v>45454</v>
      </c>
      <c r="C482" s="2" t="str">
        <f>PROPER(TRIM([1]RawShipmentData!C484))</f>
        <v>Delhi</v>
      </c>
      <c r="D482" s="2" t="str">
        <f>IFERROR(INDEX([1]HubMaster!$B$2:$B$7,MATCH(C482,[1]HubMaster!$A$2:$A$7,0)),"Unknown")</f>
        <v>North</v>
      </c>
      <c r="E482" s="2" t="str">
        <f>PROPER(TRIM(SUBSTITUTE([1]RawShipmentData!D484,"  "," ")))</f>
        <v>Ecom Express</v>
      </c>
      <c r="F482" s="2" t="str">
        <f>PROPER(TRIM([1]RawShipmentData!E484))</f>
        <v>Surface</v>
      </c>
      <c r="G482" s="2" t="str">
        <f>PROPER(TRIM(SUBSTITUTE([1]RawShipmentData!F484,"  "," ")))</f>
        <v>Furniture</v>
      </c>
      <c r="H482" s="2" t="str">
        <f>PROPER(TRIM([1]RawShipmentData!G484))</f>
        <v>North</v>
      </c>
      <c r="I482" s="2" t="str">
        <f t="shared" si="35"/>
        <v>No</v>
      </c>
      <c r="J482" s="2">
        <f>IFERROR(VALUE(TRIM(SUBSTITUTE(UPPER([1]RawShipmentData!I482),"KG",""))),"")</f>
        <v>2</v>
      </c>
      <c r="K482" s="2">
        <f>VALUE(SUBSTITUTE(SUBSTITUTE(SUBSTITUTE(TRIM([1]RawShipmentData!J484),"₹",""),"Rs",""),",",""))</f>
        <v>1268</v>
      </c>
      <c r="L482" s="2">
        <f>[1]RawShipmentData!K484</f>
        <v>4</v>
      </c>
      <c r="M482" s="3">
        <f>IF(TRIM([1]RawShipmentData!L484)="","",IF(ISNUMBER(SEARCH("/",TRIM([1]RawShipmentData!L484))),DATE(VALUE(RIGHT(TRIM([1]RawShipmentData!L484),4)),VALUE(MID(TRIM([1]RawShipmentData!L484),FIND("/",TRIM([1]RawShipmentData!L484))+1,2)),VALUE(LEFT(TRIM([1]RawShipmentData!L484),FIND("/",TRIM([1]RawShipmentData!L484))-1))),DATEVALUE(TRIM([1]RawShipmentData!L484))))</f>
        <v>45458</v>
      </c>
      <c r="N482" s="2">
        <f t="shared" si="36"/>
        <v>4</v>
      </c>
      <c r="O482" s="2">
        <f t="shared" si="37"/>
        <v>0</v>
      </c>
      <c r="P482" s="2" t="str">
        <f t="shared" si="38"/>
        <v>On Time</v>
      </c>
      <c r="Q482" s="2" t="str">
        <f>PROPER(SUBSTITUTE(TRIM([1]RawShipmentData!M484)," ","-"))</f>
        <v>Delivered</v>
      </c>
      <c r="R482" s="4">
        <f t="shared" si="39"/>
        <v>634</v>
      </c>
      <c r="S482" s="2">
        <f>[1]RawShipmentData!N484</f>
        <v>4</v>
      </c>
      <c r="T482" s="2" t="str">
        <f>IF(OR(UPPER(TRIM([1]RawShipmentData!O484))="YES",UPPER(TRIM([1]RawShipmentData!O484))="Y"),"Yes","No")</f>
        <v>No</v>
      </c>
    </row>
    <row r="483" spans="1:20" x14ac:dyDescent="0.25">
      <c r="A483" s="2" t="str">
        <f>[1]RawShipmentData!A485</f>
        <v>SHP-100188</v>
      </c>
      <c r="B483" s="3">
        <f>IF(ISNUMBER(SEARCH("/",TRIM([1]RawShipmentData!B485))),DATE(VALUE(RIGHT(TRIM([1]RawShipmentData!B485),4)),VALUE(MID(TRIM([1]RawShipmentData!B485),FIND("/",TRIM([1]RawShipmentData!B485))+1,2)),VALUE(LEFT(TRIM([1]RawShipmentData!B485),FIND("/",TRIM([1]RawShipmentData!B485))-1))),DATEVALUE(TRIM([1]RawShipmentData!B485)))</f>
        <v>45468</v>
      </c>
      <c r="C483" s="2" t="str">
        <f>PROPER(TRIM([1]RawShipmentData!C485))</f>
        <v>Bengaluru</v>
      </c>
      <c r="D483" s="2" t="str">
        <f>IFERROR(INDEX([1]HubMaster!$B$2:$B$7,MATCH(C483,[1]HubMaster!$A$2:$A$7,0)),"Unknown")</f>
        <v>South</v>
      </c>
      <c r="E483" s="2" t="str">
        <f>PROPER(TRIM(SUBSTITUTE([1]RawShipmentData!D485,"  "," ")))</f>
        <v>Ecom Express</v>
      </c>
      <c r="F483" s="2" t="str">
        <f>PROPER(TRIM([1]RawShipmentData!E485))</f>
        <v>Surface</v>
      </c>
      <c r="G483" s="2" t="str">
        <f>PROPER(TRIM(SUBSTITUTE([1]RawShipmentData!F485,"  "," ")))</f>
        <v>Electronics</v>
      </c>
      <c r="H483" s="2" t="str">
        <f>PROPER(TRIM([1]RawShipmentData!G485))</f>
        <v>South</v>
      </c>
      <c r="I483" s="2" t="str">
        <f t="shared" si="35"/>
        <v>No</v>
      </c>
      <c r="J483" s="2">
        <f>IFERROR(VALUE(TRIM(SUBSTITUTE(UPPER([1]RawShipmentData!I483),"KG",""))),"")</f>
        <v>16.600000000000001</v>
      </c>
      <c r="K483" s="2">
        <f>VALUE(SUBSTITUTE(SUBSTITUTE(SUBSTITUTE(TRIM([1]RawShipmentData!J485),"₹",""),"Rs",""),",",""))</f>
        <v>113</v>
      </c>
      <c r="L483" s="2">
        <f>[1]RawShipmentData!K485</f>
        <v>4</v>
      </c>
      <c r="M483" s="3">
        <f>IF(TRIM([1]RawShipmentData!L485)="","",IF(ISNUMBER(SEARCH("/",TRIM([1]RawShipmentData!L485))),DATE(VALUE(RIGHT(TRIM([1]RawShipmentData!L485),4)),VALUE(MID(TRIM([1]RawShipmentData!L485),FIND("/",TRIM([1]RawShipmentData!L485))+1,2)),VALUE(LEFT(TRIM([1]RawShipmentData!L485),FIND("/",TRIM([1]RawShipmentData!L485))-1))),DATEVALUE(TRIM([1]RawShipmentData!L485))))</f>
        <v>45471</v>
      </c>
      <c r="N483" s="2">
        <f t="shared" si="36"/>
        <v>3</v>
      </c>
      <c r="O483" s="2">
        <f t="shared" si="37"/>
        <v>-1</v>
      </c>
      <c r="P483" s="2" t="str">
        <f t="shared" si="38"/>
        <v>On Time</v>
      </c>
      <c r="Q483" s="2" t="str">
        <f>PROPER(SUBSTITUTE(TRIM([1]RawShipmentData!M485)," ","-"))</f>
        <v>Delivered</v>
      </c>
      <c r="R483" s="4">
        <f t="shared" si="39"/>
        <v>6.80722891566265</v>
      </c>
      <c r="S483" s="2">
        <f>[1]RawShipmentData!N485</f>
        <v>4</v>
      </c>
      <c r="T483" s="2" t="str">
        <f>IF(OR(UPPER(TRIM([1]RawShipmentData!O485))="YES",UPPER(TRIM([1]RawShipmentData!O485))="Y"),"Yes","No")</f>
        <v>No</v>
      </c>
    </row>
    <row r="484" spans="1:20" x14ac:dyDescent="0.25">
      <c r="A484" s="2" t="str">
        <f>[1]RawShipmentData!A486</f>
        <v>SHP-100775</v>
      </c>
      <c r="B484" s="3">
        <f>IF(ISNUMBER(SEARCH("/",TRIM([1]RawShipmentData!B486))),DATE(VALUE(RIGHT(TRIM([1]RawShipmentData!B486),4)),VALUE(MID(TRIM([1]RawShipmentData!B486),FIND("/",TRIM([1]RawShipmentData!B486))+1,2)),VALUE(LEFT(TRIM([1]RawShipmentData!B486),FIND("/",TRIM([1]RawShipmentData!B486))-1))),DATEVALUE(TRIM([1]RawShipmentData!B486)))</f>
        <v>45471</v>
      </c>
      <c r="C484" s="2" t="str">
        <f>PROPER(TRIM([1]RawShipmentData!C486))</f>
        <v>Chennai</v>
      </c>
      <c r="D484" s="2" t="str">
        <f>IFERROR(INDEX([1]HubMaster!$B$2:$B$7,MATCH(C484,[1]HubMaster!$A$2:$A$7,0)),"Unknown")</f>
        <v>South</v>
      </c>
      <c r="E484" s="2" t="str">
        <f>PROPER(TRIM(SUBSTITUTE([1]RawShipmentData!D486,"  "," ")))</f>
        <v>Delhivery</v>
      </c>
      <c r="F484" s="2" t="str">
        <f>PROPER(TRIM([1]RawShipmentData!E486))</f>
        <v>Surface</v>
      </c>
      <c r="G484" s="2" t="str">
        <f>PROPER(TRIM(SUBSTITUTE([1]RawShipmentData!F486,"  "," ")))</f>
        <v>Furniture</v>
      </c>
      <c r="H484" s="2" t="str">
        <f>PROPER(TRIM([1]RawShipmentData!G486))</f>
        <v>North</v>
      </c>
      <c r="I484" s="2" t="str">
        <f t="shared" si="35"/>
        <v>Yes</v>
      </c>
      <c r="J484" s="2">
        <f>IFERROR(VALUE(TRIM(SUBSTITUTE(UPPER([1]RawShipmentData!I484),"KG",""))),"")</f>
        <v>57.5</v>
      </c>
      <c r="K484" s="2">
        <f>VALUE(SUBSTITUTE(SUBSTITUTE(SUBSTITUTE(TRIM([1]RawShipmentData!J486),"₹",""),"Rs",""),",",""))</f>
        <v>1544</v>
      </c>
      <c r="L484" s="2">
        <f>[1]RawShipmentData!K486</f>
        <v>6</v>
      </c>
      <c r="M484" s="3" t="str">
        <f>IF(TRIM([1]RawShipmentData!L486)="","",IF(ISNUMBER(SEARCH("/",TRIM([1]RawShipmentData!L486))),DATE(VALUE(RIGHT(TRIM([1]RawShipmentData!L486),4)),VALUE(MID(TRIM([1]RawShipmentData!L486),FIND("/",TRIM([1]RawShipmentData!L486))+1,2)),VALUE(LEFT(TRIM([1]RawShipmentData!L486),FIND("/",TRIM([1]RawShipmentData!L486))-1))),DATEVALUE(TRIM([1]RawShipmentData!L486))))</f>
        <v/>
      </c>
      <c r="N484" s="2" t="str">
        <f t="shared" si="36"/>
        <v/>
      </c>
      <c r="O484" s="2" t="str">
        <f t="shared" si="37"/>
        <v/>
      </c>
      <c r="P484" s="2" t="str">
        <f t="shared" si="38"/>
        <v>N/A</v>
      </c>
      <c r="Q484" s="2" t="str">
        <f>PROPER(SUBSTITUTE(TRIM([1]RawShipmentData!M486)," ","-"))</f>
        <v>In-Transit</v>
      </c>
      <c r="R484" s="4">
        <f t="shared" si="39"/>
        <v>26.85217391304348</v>
      </c>
      <c r="S484" s="2">
        <f>[1]RawShipmentData!N486</f>
        <v>0</v>
      </c>
      <c r="T484" s="2" t="str">
        <f>IF(OR(UPPER(TRIM([1]RawShipmentData!O486))="YES",UPPER(TRIM([1]RawShipmentData!O486))="Y"),"Yes","No")</f>
        <v>Yes</v>
      </c>
    </row>
    <row r="485" spans="1:20" x14ac:dyDescent="0.25">
      <c r="A485" s="2" t="str">
        <f>[1]RawShipmentData!A487</f>
        <v>SHP-100828</v>
      </c>
      <c r="B485" s="3">
        <f>IF(ISNUMBER(SEARCH("/",TRIM([1]RawShipmentData!B487))),DATE(VALUE(RIGHT(TRIM([1]RawShipmentData!B487),4)),VALUE(MID(TRIM([1]RawShipmentData!B487),FIND("/",TRIM([1]RawShipmentData!B487))+1,2)),VALUE(LEFT(TRIM([1]RawShipmentData!B487),FIND("/",TRIM([1]RawShipmentData!B487))-1))),DATEVALUE(TRIM([1]RawShipmentData!B487)))</f>
        <v>45451</v>
      </c>
      <c r="C485" s="2" t="str">
        <f>PROPER(TRIM([1]RawShipmentData!C487))</f>
        <v>Bengaluru</v>
      </c>
      <c r="D485" s="2" t="str">
        <f>IFERROR(INDEX([1]HubMaster!$B$2:$B$7,MATCH(C485,[1]HubMaster!$A$2:$A$7,0)),"Unknown")</f>
        <v>South</v>
      </c>
      <c r="E485" s="2" t="str">
        <f>PROPER(TRIM(SUBSTITUTE([1]RawShipmentData!D487,"  "," ")))</f>
        <v>Delhivery</v>
      </c>
      <c r="F485" s="2" t="str">
        <f>PROPER(TRIM([1]RawShipmentData!E487))</f>
        <v>Air</v>
      </c>
      <c r="G485" s="2" t="str">
        <f>PROPER(TRIM(SUBSTITUTE([1]RawShipmentData!F487,"  "," ")))</f>
        <v>Grocery &amp; Fmcg</v>
      </c>
      <c r="H485" s="2" t="str">
        <f>PROPER(TRIM([1]RawShipmentData!G487))</f>
        <v>West</v>
      </c>
      <c r="I485" s="2" t="str">
        <f t="shared" si="35"/>
        <v>Yes</v>
      </c>
      <c r="J485" s="2">
        <f>IFERROR(VALUE(TRIM(SUBSTITUTE(UPPER([1]RawShipmentData!I485),"KG",""))),"")</f>
        <v>3.3</v>
      </c>
      <c r="K485" s="2">
        <f>VALUE(SUBSTITUTE(SUBSTITUTE(SUBSTITUTE(TRIM([1]RawShipmentData!J487),"₹",""),"Rs",""),",",""))</f>
        <v>618</v>
      </c>
      <c r="L485" s="2">
        <f>[1]RawShipmentData!K487</f>
        <v>4</v>
      </c>
      <c r="M485" s="3">
        <f>IF(TRIM([1]RawShipmentData!L487)="","",IF(ISNUMBER(SEARCH("/",TRIM([1]RawShipmentData!L487))),DATE(VALUE(RIGHT(TRIM([1]RawShipmentData!L487),4)),VALUE(MID(TRIM([1]RawShipmentData!L487),FIND("/",TRIM([1]RawShipmentData!L487))+1,2)),VALUE(LEFT(TRIM([1]RawShipmentData!L487),FIND("/",TRIM([1]RawShipmentData!L487))-1))),DATEVALUE(TRIM([1]RawShipmentData!L487))))</f>
        <v>45461</v>
      </c>
      <c r="N485" s="2">
        <f t="shared" si="36"/>
        <v>10</v>
      </c>
      <c r="O485" s="2">
        <f t="shared" si="37"/>
        <v>6</v>
      </c>
      <c r="P485" s="2" t="str">
        <f t="shared" si="38"/>
        <v>Late</v>
      </c>
      <c r="Q485" s="2" t="str">
        <f>PROPER(SUBSTITUTE(TRIM([1]RawShipmentData!M487)," ","-"))</f>
        <v>Delayed</v>
      </c>
      <c r="R485" s="4">
        <f t="shared" si="39"/>
        <v>187.27272727272728</v>
      </c>
      <c r="S485" s="2">
        <f>[1]RawShipmentData!N487</f>
        <v>4</v>
      </c>
      <c r="T485" s="2" t="str">
        <f>IF(OR(UPPER(TRIM([1]RawShipmentData!O487))="YES",UPPER(TRIM([1]RawShipmentData!O487))="Y"),"Yes","No")</f>
        <v>Yes</v>
      </c>
    </row>
    <row r="486" spans="1:20" x14ac:dyDescent="0.25">
      <c r="A486" s="2" t="str">
        <f>[1]RawShipmentData!A488</f>
        <v>SHP-100731</v>
      </c>
      <c r="B486" s="3">
        <f>IF(ISNUMBER(SEARCH("/",TRIM([1]RawShipmentData!B488))),DATE(VALUE(RIGHT(TRIM([1]RawShipmentData!B488),4)),VALUE(MID(TRIM([1]RawShipmentData!B488),FIND("/",TRIM([1]RawShipmentData!B488))+1,2)),VALUE(LEFT(TRIM([1]RawShipmentData!B488),FIND("/",TRIM([1]RawShipmentData!B488))-1))),DATEVALUE(TRIM([1]RawShipmentData!B488)))</f>
        <v>45359</v>
      </c>
      <c r="C486" s="2" t="str">
        <f>PROPER(TRIM([1]RawShipmentData!C488))</f>
        <v>Chennai</v>
      </c>
      <c r="D486" s="2" t="str">
        <f>IFERROR(INDEX([1]HubMaster!$B$2:$B$7,MATCH(C486,[1]HubMaster!$A$2:$A$7,0)),"Unknown")</f>
        <v>South</v>
      </c>
      <c r="E486" s="2" t="str">
        <f>PROPER(TRIM(SUBSTITUTE([1]RawShipmentData!D488,"  "," ")))</f>
        <v>Dtdc</v>
      </c>
      <c r="F486" s="2" t="str">
        <f>PROPER(TRIM([1]RawShipmentData!E488))</f>
        <v>Road</v>
      </c>
      <c r="G486" s="2" t="str">
        <f>PROPER(TRIM(SUBSTITUTE([1]RawShipmentData!F488,"  "," ")))</f>
        <v>Pharma</v>
      </c>
      <c r="H486" s="2" t="str">
        <f>PROPER(TRIM([1]RawShipmentData!G488))</f>
        <v>North</v>
      </c>
      <c r="I486" s="2" t="str">
        <f t="shared" si="35"/>
        <v>Yes</v>
      </c>
      <c r="J486" s="2">
        <f>IFERROR(VALUE(TRIM(SUBSTITUTE(UPPER([1]RawShipmentData!I486),"KG",""))),"")</f>
        <v>62.1</v>
      </c>
      <c r="K486" s="2">
        <f>VALUE(SUBSTITUTE(SUBSTITUTE(SUBSTITUTE(TRIM([1]RawShipmentData!J488),"₹",""),"Rs",""),",",""))</f>
        <v>238</v>
      </c>
      <c r="L486" s="2">
        <f>[1]RawShipmentData!K488</f>
        <v>8</v>
      </c>
      <c r="M486" s="3">
        <f>IF(TRIM([1]RawShipmentData!L488)="","",IF(ISNUMBER(SEARCH("/",TRIM([1]RawShipmentData!L488))),DATE(VALUE(RIGHT(TRIM([1]RawShipmentData!L488),4)),VALUE(MID(TRIM([1]RawShipmentData!L488),FIND("/",TRIM([1]RawShipmentData!L488))+1,2)),VALUE(LEFT(TRIM([1]RawShipmentData!L488),FIND("/",TRIM([1]RawShipmentData!L488))-1))),DATEVALUE(TRIM([1]RawShipmentData!L488))))</f>
        <v>45368</v>
      </c>
      <c r="N486" s="2">
        <f t="shared" si="36"/>
        <v>9</v>
      </c>
      <c r="O486" s="2">
        <f t="shared" si="37"/>
        <v>1</v>
      </c>
      <c r="P486" s="2" t="str">
        <f t="shared" si="38"/>
        <v>Late</v>
      </c>
      <c r="Q486" s="2" t="str">
        <f>PROPER(SUBSTITUTE(TRIM([1]RawShipmentData!M488)," ","-"))</f>
        <v>Delayed</v>
      </c>
      <c r="R486" s="4">
        <f t="shared" si="39"/>
        <v>3.832528180354267</v>
      </c>
      <c r="S486" s="2">
        <f>[1]RawShipmentData!N488</f>
        <v>3</v>
      </c>
      <c r="T486" s="2" t="str">
        <f>IF(OR(UPPER(TRIM([1]RawShipmentData!O488))="YES",UPPER(TRIM([1]RawShipmentData!O488))="Y"),"Yes","No")</f>
        <v>Yes</v>
      </c>
    </row>
    <row r="487" spans="1:20" x14ac:dyDescent="0.25">
      <c r="A487" s="2" t="str">
        <f>[1]RawShipmentData!A489</f>
        <v>SHP-100822</v>
      </c>
      <c r="B487" s="3">
        <f>IF(ISNUMBER(SEARCH("/",TRIM([1]RawShipmentData!B489))),DATE(VALUE(RIGHT(TRIM([1]RawShipmentData!B489),4)),VALUE(MID(TRIM([1]RawShipmentData!B489),FIND("/",TRIM([1]RawShipmentData!B489))+1,2)),VALUE(LEFT(TRIM([1]RawShipmentData!B489),FIND("/",TRIM([1]RawShipmentData!B489))-1))),DATEVALUE(TRIM([1]RawShipmentData!B489)))</f>
        <v>45403</v>
      </c>
      <c r="C487" s="2" t="str">
        <f>PROPER(TRIM([1]RawShipmentData!C489))</f>
        <v>Hyderabad</v>
      </c>
      <c r="D487" s="2" t="str">
        <f>IFERROR(INDEX([1]HubMaster!$B$2:$B$7,MATCH(C487,[1]HubMaster!$A$2:$A$7,0)),"Unknown")</f>
        <v>West</v>
      </c>
      <c r="E487" s="2" t="str">
        <f>PROPER(TRIM(SUBSTITUTE([1]RawShipmentData!D489,"  "," ")))</f>
        <v>Xpressbees</v>
      </c>
      <c r="F487" s="2" t="str">
        <f>PROPER(TRIM([1]RawShipmentData!E489))</f>
        <v>Surface</v>
      </c>
      <c r="G487" s="2" t="str">
        <f>PROPER(TRIM(SUBSTITUTE([1]RawShipmentData!F489,"  "," ")))</f>
        <v>Electronics</v>
      </c>
      <c r="H487" s="2" t="str">
        <f>PROPER(TRIM([1]RawShipmentData!G489))</f>
        <v>West</v>
      </c>
      <c r="I487" s="2" t="str">
        <f t="shared" si="35"/>
        <v>No</v>
      </c>
      <c r="J487" s="2">
        <f>IFERROR(VALUE(TRIM(SUBSTITUTE(UPPER([1]RawShipmentData!I487),"KG",""))),"")</f>
        <v>9.6</v>
      </c>
      <c r="K487" s="2">
        <f>VALUE(SUBSTITUTE(SUBSTITUTE(SUBSTITUTE(TRIM([1]RawShipmentData!J489),"₹",""),"Rs",""),",",""))</f>
        <v>191</v>
      </c>
      <c r="L487" s="2">
        <f>[1]RawShipmentData!K489</f>
        <v>4</v>
      </c>
      <c r="M487" s="3">
        <f>IF(TRIM([1]RawShipmentData!L489)="","",IF(ISNUMBER(SEARCH("/",TRIM([1]RawShipmentData!L489))),DATE(VALUE(RIGHT(TRIM([1]RawShipmentData!L489),4)),VALUE(MID(TRIM([1]RawShipmentData!L489),FIND("/",TRIM([1]RawShipmentData!L489))+1,2)),VALUE(LEFT(TRIM([1]RawShipmentData!L489),FIND("/",TRIM([1]RawShipmentData!L489))-1))),DATEVALUE(TRIM([1]RawShipmentData!L489))))</f>
        <v>45407</v>
      </c>
      <c r="N487" s="2">
        <f t="shared" si="36"/>
        <v>4</v>
      </c>
      <c r="O487" s="2">
        <f t="shared" si="37"/>
        <v>0</v>
      </c>
      <c r="P487" s="2" t="str">
        <f t="shared" si="38"/>
        <v>On Time</v>
      </c>
      <c r="Q487" s="2" t="str">
        <f>PROPER(SUBSTITUTE(TRIM([1]RawShipmentData!M489)," ","-"))</f>
        <v>Delivered</v>
      </c>
      <c r="R487" s="4">
        <f t="shared" si="39"/>
        <v>19.895833333333336</v>
      </c>
      <c r="S487" s="2">
        <f>[1]RawShipmentData!N489</f>
        <v>4</v>
      </c>
      <c r="T487" s="2" t="str">
        <f>IF(OR(UPPER(TRIM([1]RawShipmentData!O489))="YES",UPPER(TRIM([1]RawShipmentData!O489))="Y"),"Yes","No")</f>
        <v>No</v>
      </c>
    </row>
    <row r="488" spans="1:20" x14ac:dyDescent="0.25">
      <c r="A488" s="2" t="str">
        <f>[1]RawShipmentData!A490</f>
        <v>SHP-101522</v>
      </c>
      <c r="B488" s="3">
        <f>IF(ISNUMBER(SEARCH("/",TRIM([1]RawShipmentData!B490))),DATE(VALUE(RIGHT(TRIM([1]RawShipmentData!B490),4)),VALUE(MID(TRIM([1]RawShipmentData!B490),FIND("/",TRIM([1]RawShipmentData!B490))+1,2)),VALUE(LEFT(TRIM([1]RawShipmentData!B490),FIND("/",TRIM([1]RawShipmentData!B490))-1))),DATEVALUE(TRIM([1]RawShipmentData!B490)))</f>
        <v>45326</v>
      </c>
      <c r="C488" s="2" t="str">
        <f>PROPER(TRIM([1]RawShipmentData!C490))</f>
        <v>Delhi</v>
      </c>
      <c r="D488" s="2" t="str">
        <f>IFERROR(INDEX([1]HubMaster!$B$2:$B$7,MATCH(C488,[1]HubMaster!$A$2:$A$7,0)),"Unknown")</f>
        <v>North</v>
      </c>
      <c r="E488" s="2" t="str">
        <f>PROPER(TRIM(SUBSTITUTE([1]RawShipmentData!D490,"  "," ")))</f>
        <v>Bluedart</v>
      </c>
      <c r="F488" s="2" t="str">
        <f>PROPER(TRIM([1]RawShipmentData!E490))</f>
        <v>Air</v>
      </c>
      <c r="G488" s="2" t="str">
        <f>PROPER(TRIM(SUBSTITUTE([1]RawShipmentData!F490,"  "," ")))</f>
        <v>Pharma</v>
      </c>
      <c r="H488" s="2" t="str">
        <f>PROPER(TRIM([1]RawShipmentData!G490))</f>
        <v>South</v>
      </c>
      <c r="I488" s="2" t="str">
        <f t="shared" si="35"/>
        <v>Yes</v>
      </c>
      <c r="J488" s="2">
        <f>IFERROR(VALUE(TRIM(SUBSTITUTE(UPPER([1]RawShipmentData!I488),"KG",""))),"")</f>
        <v>2.2000000000000002</v>
      </c>
      <c r="K488" s="2">
        <f>VALUE(SUBSTITUTE(SUBSTITUTE(SUBSTITUTE(TRIM([1]RawShipmentData!J490),"₹",""),"Rs",""),",",""))</f>
        <v>306</v>
      </c>
      <c r="L488" s="2">
        <f>[1]RawShipmentData!K490</f>
        <v>4</v>
      </c>
      <c r="M488" s="3">
        <f>IF(TRIM([1]RawShipmentData!L490)="","",IF(ISNUMBER(SEARCH("/",TRIM([1]RawShipmentData!L490))),DATE(VALUE(RIGHT(TRIM([1]RawShipmentData!L490),4)),VALUE(MID(TRIM([1]RawShipmentData!L490),FIND("/",TRIM([1]RawShipmentData!L490))+1,2)),VALUE(LEFT(TRIM([1]RawShipmentData!L490),FIND("/",TRIM([1]RawShipmentData!L490))-1))),DATEVALUE(TRIM([1]RawShipmentData!L490))))</f>
        <v>45330</v>
      </c>
      <c r="N488" s="2">
        <f t="shared" si="36"/>
        <v>4</v>
      </c>
      <c r="O488" s="2">
        <f t="shared" si="37"/>
        <v>0</v>
      </c>
      <c r="P488" s="2" t="str">
        <f t="shared" si="38"/>
        <v>On Time</v>
      </c>
      <c r="Q488" s="2" t="str">
        <f>PROPER(SUBSTITUTE(TRIM([1]RawShipmentData!M490)," ","-"))</f>
        <v>Delivered</v>
      </c>
      <c r="R488" s="4">
        <f t="shared" si="39"/>
        <v>139.09090909090909</v>
      </c>
      <c r="S488" s="2">
        <f>[1]RawShipmentData!N490</f>
        <v>2</v>
      </c>
      <c r="T488" s="2" t="str">
        <f>IF(OR(UPPER(TRIM([1]RawShipmentData!O490))="YES",UPPER(TRIM([1]RawShipmentData!O490))="Y"),"Yes","No")</f>
        <v>Yes</v>
      </c>
    </row>
    <row r="489" spans="1:20" x14ac:dyDescent="0.25">
      <c r="A489" s="2" t="str">
        <f>[1]RawShipmentData!A491</f>
        <v>SHP-100195</v>
      </c>
      <c r="B489" s="3">
        <f>IF(ISNUMBER(SEARCH("/",TRIM([1]RawShipmentData!B491))),DATE(VALUE(RIGHT(TRIM([1]RawShipmentData!B491),4)),VALUE(MID(TRIM([1]RawShipmentData!B491),FIND("/",TRIM([1]RawShipmentData!B491))+1,2)),VALUE(LEFT(TRIM([1]RawShipmentData!B491),FIND("/",TRIM([1]RawShipmentData!B491))-1))),DATEVALUE(TRIM([1]RawShipmentData!B491)))</f>
        <v>45436</v>
      </c>
      <c r="C489" s="2" t="str">
        <f>PROPER(TRIM([1]RawShipmentData!C491))</f>
        <v>Delhi</v>
      </c>
      <c r="D489" s="2" t="str">
        <f>IFERROR(INDEX([1]HubMaster!$B$2:$B$7,MATCH(C489,[1]HubMaster!$A$2:$A$7,0)),"Unknown")</f>
        <v>North</v>
      </c>
      <c r="E489" s="2" t="str">
        <f>PROPER(TRIM(SUBSTITUTE([1]RawShipmentData!D491,"  "," ")))</f>
        <v>Xpress Bees</v>
      </c>
      <c r="F489" s="2" t="str">
        <f>PROPER(TRIM([1]RawShipmentData!E491))</f>
        <v>Air</v>
      </c>
      <c r="G489" s="2" t="str">
        <f>PROPER(TRIM(SUBSTITUTE([1]RawShipmentData!F491,"  "," ")))</f>
        <v>Apparel</v>
      </c>
      <c r="H489" s="2" t="str">
        <f>PROPER(TRIM([1]RawShipmentData!G491))</f>
        <v>South</v>
      </c>
      <c r="I489" s="2" t="str">
        <f t="shared" si="35"/>
        <v>Yes</v>
      </c>
      <c r="J489" s="2">
        <f>IFERROR(VALUE(TRIM(SUBSTITUTE(UPPER([1]RawShipmentData!I489),"KG",""))),"")</f>
        <v>8.5</v>
      </c>
      <c r="K489" s="2">
        <f>VALUE(SUBSTITUTE(SUBSTITUTE(SUBSTITUTE(TRIM([1]RawShipmentData!J491),"₹",""),"Rs",""),",",""))</f>
        <v>523</v>
      </c>
      <c r="L489" s="2">
        <f>[1]RawShipmentData!K491</f>
        <v>4</v>
      </c>
      <c r="M489" s="3">
        <f>IF(TRIM([1]RawShipmentData!L491)="","",IF(ISNUMBER(SEARCH("/",TRIM([1]RawShipmentData!L491))),DATE(VALUE(RIGHT(TRIM([1]RawShipmentData!L491),4)),VALUE(MID(TRIM([1]RawShipmentData!L491),FIND("/",TRIM([1]RawShipmentData!L491))+1,2)),VALUE(LEFT(TRIM([1]RawShipmentData!L491),FIND("/",TRIM([1]RawShipmentData!L491))-1))),DATEVALUE(TRIM([1]RawShipmentData!L491))))</f>
        <v>45441</v>
      </c>
      <c r="N489" s="2">
        <f t="shared" si="36"/>
        <v>5</v>
      </c>
      <c r="O489" s="2">
        <f t="shared" si="37"/>
        <v>1</v>
      </c>
      <c r="P489" s="2" t="str">
        <f t="shared" si="38"/>
        <v>Late</v>
      </c>
      <c r="Q489" s="2" t="str">
        <f>PROPER(SUBSTITUTE(TRIM([1]RawShipmentData!M491)," ","-"))</f>
        <v>Delayed</v>
      </c>
      <c r="R489" s="4">
        <f t="shared" si="39"/>
        <v>61.529411764705884</v>
      </c>
      <c r="S489" s="2">
        <f>[1]RawShipmentData!N491</f>
        <v>4</v>
      </c>
      <c r="T489" s="2" t="str">
        <f>IF(OR(UPPER(TRIM([1]RawShipmentData!O491))="YES",UPPER(TRIM([1]RawShipmentData!O491))="Y"),"Yes","No")</f>
        <v>Yes</v>
      </c>
    </row>
    <row r="490" spans="1:20" x14ac:dyDescent="0.25">
      <c r="A490" s="2" t="str">
        <f>[1]RawShipmentData!A492</f>
        <v>SHP-100738</v>
      </c>
      <c r="B490" s="3">
        <f>IF(ISNUMBER(SEARCH("/",TRIM([1]RawShipmentData!B492))),DATE(VALUE(RIGHT(TRIM([1]RawShipmentData!B492),4)),VALUE(MID(TRIM([1]RawShipmentData!B492),FIND("/",TRIM([1]RawShipmentData!B492))+1,2)),VALUE(LEFT(TRIM([1]RawShipmentData!B492),FIND("/",TRIM([1]RawShipmentData!B492))-1))),DATEVALUE(TRIM([1]RawShipmentData!B492)))</f>
        <v>45435</v>
      </c>
      <c r="C490" s="2" t="str">
        <f>PROPER(TRIM([1]RawShipmentData!C492))</f>
        <v>Hyderabad</v>
      </c>
      <c r="D490" s="2" t="str">
        <f>IFERROR(INDEX([1]HubMaster!$B$2:$B$7,MATCH(C490,[1]HubMaster!$A$2:$A$7,0)),"Unknown")</f>
        <v>West</v>
      </c>
      <c r="E490" s="2" t="str">
        <f>PROPER(TRIM(SUBSTITUTE([1]RawShipmentData!D492,"  "," ")))</f>
        <v>Dtdc</v>
      </c>
      <c r="F490" s="2" t="str">
        <f>PROPER(TRIM([1]RawShipmentData!E492))</f>
        <v>Surface</v>
      </c>
      <c r="G490" s="2" t="str">
        <f>PROPER(TRIM(SUBSTITUTE([1]RawShipmentData!F492,"  "," ")))</f>
        <v>Grocery &amp; Fmcg</v>
      </c>
      <c r="H490" s="2" t="str">
        <f>PROPER(TRIM([1]RawShipmentData!G492))</f>
        <v>West</v>
      </c>
      <c r="I490" s="2" t="str">
        <f t="shared" si="35"/>
        <v>No</v>
      </c>
      <c r="J490" s="2">
        <f>IFERROR(VALUE(TRIM(SUBSTITUTE(UPPER([1]RawShipmentData!I490),"KG",""))),"")</f>
        <v>3.5</v>
      </c>
      <c r="K490" s="2">
        <f>VALUE(SUBSTITUTE(SUBSTITUTE(SUBSTITUTE(TRIM([1]RawShipmentData!J492),"₹",""),"Rs",""),",",""))</f>
        <v>127</v>
      </c>
      <c r="L490" s="2">
        <f>[1]RawShipmentData!K492</f>
        <v>4</v>
      </c>
      <c r="M490" s="3">
        <f>IF(TRIM([1]RawShipmentData!L492)="","",IF(ISNUMBER(SEARCH("/",TRIM([1]RawShipmentData!L492))),DATE(VALUE(RIGHT(TRIM([1]RawShipmentData!L492),4)),VALUE(MID(TRIM([1]RawShipmentData!L492),FIND("/",TRIM([1]RawShipmentData!L492))+1,2)),VALUE(LEFT(TRIM([1]RawShipmentData!L492),FIND("/",TRIM([1]RawShipmentData!L492))-1))),DATEVALUE(TRIM([1]RawShipmentData!L492))))</f>
        <v>45438</v>
      </c>
      <c r="N490" s="2">
        <f t="shared" si="36"/>
        <v>3</v>
      </c>
      <c r="O490" s="2">
        <f t="shared" si="37"/>
        <v>-1</v>
      </c>
      <c r="P490" s="2" t="str">
        <f t="shared" si="38"/>
        <v>On Time</v>
      </c>
      <c r="Q490" s="2" t="str">
        <f>PROPER(SUBSTITUTE(TRIM([1]RawShipmentData!M492)," ","-"))</f>
        <v>Delivered</v>
      </c>
      <c r="R490" s="4">
        <f t="shared" si="39"/>
        <v>36.285714285714285</v>
      </c>
      <c r="S490" s="2">
        <f>[1]RawShipmentData!N492</f>
        <v>4</v>
      </c>
      <c r="T490" s="2" t="str">
        <f>IF(OR(UPPER(TRIM([1]RawShipmentData!O492))="YES",UPPER(TRIM([1]RawShipmentData!O492))="Y"),"Yes","No")</f>
        <v>Yes</v>
      </c>
    </row>
    <row r="491" spans="1:20" x14ac:dyDescent="0.25">
      <c r="A491" s="2" t="str">
        <f>[1]RawShipmentData!A493</f>
        <v>SHP-100374</v>
      </c>
      <c r="B491" s="3">
        <f>IF(ISNUMBER(SEARCH("/",TRIM([1]RawShipmentData!B493))),DATE(VALUE(RIGHT(TRIM([1]RawShipmentData!B493),4)),VALUE(MID(TRIM([1]RawShipmentData!B493),FIND("/",TRIM([1]RawShipmentData!B493))+1,2)),VALUE(LEFT(TRIM([1]RawShipmentData!B493),FIND("/",TRIM([1]RawShipmentData!B493))-1))),DATEVALUE(TRIM([1]RawShipmentData!B493)))</f>
        <v>45317</v>
      </c>
      <c r="C491" s="2" t="str">
        <f>PROPER(TRIM([1]RawShipmentData!C493))</f>
        <v>Chennai</v>
      </c>
      <c r="D491" s="2" t="str">
        <f>IFERROR(INDEX([1]HubMaster!$B$2:$B$7,MATCH(C491,[1]HubMaster!$A$2:$A$7,0)),"Unknown")</f>
        <v>South</v>
      </c>
      <c r="E491" s="2" t="str">
        <f>PROPER(TRIM(SUBSTITUTE([1]RawShipmentData!D493,"  "," ")))</f>
        <v>Bluedart</v>
      </c>
      <c r="F491" s="2" t="str">
        <f>PROPER(TRIM([1]RawShipmentData!E493))</f>
        <v>Surface</v>
      </c>
      <c r="G491" s="2" t="str">
        <f>PROPER(TRIM(SUBSTITUTE([1]RawShipmentData!F493,"  "," ")))</f>
        <v>Furniture</v>
      </c>
      <c r="H491" s="2" t="str">
        <f>PROPER(TRIM([1]RawShipmentData!G493))</f>
        <v>North</v>
      </c>
      <c r="I491" s="2" t="str">
        <f t="shared" si="35"/>
        <v>Yes</v>
      </c>
      <c r="J491" s="2">
        <f>IFERROR(VALUE(TRIM(SUBSTITUTE(UPPER([1]RawShipmentData!I491),"KG",""))),"")</f>
        <v>7.6</v>
      </c>
      <c r="K491" s="2">
        <f>VALUE(SUBSTITUTE(SUBSTITUTE(SUBSTITUTE(TRIM([1]RawShipmentData!J493),"₹",""),"Rs",""),",",""))</f>
        <v>524</v>
      </c>
      <c r="L491" s="2">
        <f>[1]RawShipmentData!K493</f>
        <v>6</v>
      </c>
      <c r="M491" s="3">
        <f>IF(TRIM([1]RawShipmentData!L493)="","",IF(ISNUMBER(SEARCH("/",TRIM([1]RawShipmentData!L493))),DATE(VALUE(RIGHT(TRIM([1]RawShipmentData!L493),4)),VALUE(MID(TRIM([1]RawShipmentData!L493),FIND("/",TRIM([1]RawShipmentData!L493))+1,2)),VALUE(LEFT(TRIM([1]RawShipmentData!L493),FIND("/",TRIM([1]RawShipmentData!L493))-1))),DATEVALUE(TRIM([1]RawShipmentData!L493))))</f>
        <v>45323</v>
      </c>
      <c r="N491" s="2">
        <f t="shared" si="36"/>
        <v>6</v>
      </c>
      <c r="O491" s="2">
        <f t="shared" si="37"/>
        <v>0</v>
      </c>
      <c r="P491" s="2" t="str">
        <f t="shared" si="38"/>
        <v>On Time</v>
      </c>
      <c r="Q491" s="2" t="str">
        <f>PROPER(SUBSTITUTE(TRIM([1]RawShipmentData!M493)," ","-"))</f>
        <v>Delivered</v>
      </c>
      <c r="R491" s="4">
        <f t="shared" si="39"/>
        <v>68.94736842105263</v>
      </c>
      <c r="S491" s="2">
        <f>[1]RawShipmentData!N493</f>
        <v>3</v>
      </c>
      <c r="T491" s="2" t="str">
        <f>IF(OR(UPPER(TRIM([1]RawShipmentData!O493))="YES",UPPER(TRIM([1]RawShipmentData!O493))="Y"),"Yes","No")</f>
        <v>Yes</v>
      </c>
    </row>
    <row r="492" spans="1:20" x14ac:dyDescent="0.25">
      <c r="A492" s="2" t="str">
        <f>[1]RawShipmentData!A494</f>
        <v>SHP-101152</v>
      </c>
      <c r="B492" s="3">
        <f>IF(ISNUMBER(SEARCH("/",TRIM([1]RawShipmentData!B494))),DATE(VALUE(RIGHT(TRIM([1]RawShipmentData!B494),4)),VALUE(MID(TRIM([1]RawShipmentData!B494),FIND("/",TRIM([1]RawShipmentData!B494))+1,2)),VALUE(LEFT(TRIM([1]RawShipmentData!B494),FIND("/",TRIM([1]RawShipmentData!B494))-1))),DATEVALUE(TRIM([1]RawShipmentData!B494)))</f>
        <v>45353</v>
      </c>
      <c r="C492" s="2" t="str">
        <f>PROPER(TRIM([1]RawShipmentData!C494))</f>
        <v>Bengaluru</v>
      </c>
      <c r="D492" s="2" t="str">
        <f>IFERROR(INDEX([1]HubMaster!$B$2:$B$7,MATCH(C492,[1]HubMaster!$A$2:$A$7,0)),"Unknown")</f>
        <v>South</v>
      </c>
      <c r="E492" s="2" t="str">
        <f>PROPER(TRIM(SUBSTITUTE([1]RawShipmentData!D494,"  "," ")))</f>
        <v>Xpressbees</v>
      </c>
      <c r="F492" s="2" t="str">
        <f>PROPER(TRIM([1]RawShipmentData!E494))</f>
        <v>Surface</v>
      </c>
      <c r="G492" s="2" t="str">
        <f>PROPER(TRIM(SUBSTITUTE([1]RawShipmentData!F494,"  "," ")))</f>
        <v>Apparel</v>
      </c>
      <c r="H492" s="2" t="str">
        <f>PROPER(TRIM([1]RawShipmentData!G494))</f>
        <v>North</v>
      </c>
      <c r="I492" s="2" t="str">
        <f t="shared" si="35"/>
        <v>Yes</v>
      </c>
      <c r="J492" s="2">
        <f>IFERROR(VALUE(TRIM(SUBSTITUTE(UPPER([1]RawShipmentData!I492),"KG",""))),"")</f>
        <v>3.9</v>
      </c>
      <c r="K492" s="2">
        <f>VALUE(SUBSTITUTE(SUBSTITUTE(SUBSTITUTE(TRIM([1]RawShipmentData!J494),"₹",""),"Rs",""),",",""))</f>
        <v>301</v>
      </c>
      <c r="L492" s="2">
        <f>[1]RawShipmentData!K494</f>
        <v>6</v>
      </c>
      <c r="M492" s="3">
        <f>IF(TRIM([1]RawShipmentData!L494)="","",IF(ISNUMBER(SEARCH("/",TRIM([1]RawShipmentData!L494))),DATE(VALUE(RIGHT(TRIM([1]RawShipmentData!L494),4)),VALUE(MID(TRIM([1]RawShipmentData!L494),FIND("/",TRIM([1]RawShipmentData!L494))+1,2)),VALUE(LEFT(TRIM([1]RawShipmentData!L494),FIND("/",TRIM([1]RawShipmentData!L494))-1))),DATEVALUE(TRIM([1]RawShipmentData!L494))))</f>
        <v>45361</v>
      </c>
      <c r="N492" s="2">
        <f t="shared" si="36"/>
        <v>8</v>
      </c>
      <c r="O492" s="2">
        <f t="shared" si="37"/>
        <v>2</v>
      </c>
      <c r="P492" s="2" t="str">
        <f t="shared" si="38"/>
        <v>Late</v>
      </c>
      <c r="Q492" s="2" t="str">
        <f>PROPER(SUBSTITUTE(TRIM([1]RawShipmentData!M494)," ","-"))</f>
        <v>Delayed</v>
      </c>
      <c r="R492" s="4">
        <f t="shared" si="39"/>
        <v>77.179487179487182</v>
      </c>
      <c r="S492" s="2">
        <f>[1]RawShipmentData!N494</f>
        <v>1</v>
      </c>
      <c r="T492" s="2" t="str">
        <f>IF(OR(UPPER(TRIM([1]RawShipmentData!O494))="YES",UPPER(TRIM([1]RawShipmentData!O494))="Y"),"Yes","No")</f>
        <v>Yes</v>
      </c>
    </row>
    <row r="493" spans="1:20" x14ac:dyDescent="0.25">
      <c r="A493" s="2" t="str">
        <f>[1]RawShipmentData!A495</f>
        <v>SHP-100544</v>
      </c>
      <c r="B493" s="3">
        <f>IF(ISNUMBER(SEARCH("/",TRIM([1]RawShipmentData!B495))),DATE(VALUE(RIGHT(TRIM([1]RawShipmentData!B495),4)),VALUE(MID(TRIM([1]RawShipmentData!B495),FIND("/",TRIM([1]RawShipmentData!B495))+1,2)),VALUE(LEFT(TRIM([1]RawShipmentData!B495),FIND("/",TRIM([1]RawShipmentData!B495))-1))),DATEVALUE(TRIM([1]RawShipmentData!B495)))</f>
        <v>45392</v>
      </c>
      <c r="C493" s="2" t="str">
        <f>PROPER(TRIM([1]RawShipmentData!C495))</f>
        <v>Delhi</v>
      </c>
      <c r="D493" s="2" t="str">
        <f>IFERROR(INDEX([1]HubMaster!$B$2:$B$7,MATCH(C493,[1]HubMaster!$A$2:$A$7,0)),"Unknown")</f>
        <v>North</v>
      </c>
      <c r="E493" s="2" t="str">
        <f>PROPER(TRIM(SUBSTITUTE([1]RawShipmentData!D495,"  "," ")))</f>
        <v>Dtdc</v>
      </c>
      <c r="F493" s="2" t="str">
        <f>PROPER(TRIM([1]RawShipmentData!E495))</f>
        <v>Surface</v>
      </c>
      <c r="G493" s="2" t="str">
        <f>PROPER(TRIM(SUBSTITUTE([1]RawShipmentData!F495,"  "," ")))</f>
        <v>Pharma</v>
      </c>
      <c r="H493" s="2" t="str">
        <f>PROPER(TRIM([1]RawShipmentData!G495))</f>
        <v>East</v>
      </c>
      <c r="I493" s="2" t="str">
        <f t="shared" si="35"/>
        <v>Yes</v>
      </c>
      <c r="J493" s="2">
        <f>IFERROR(VALUE(TRIM(SUBSTITUTE(UPPER([1]RawShipmentData!I493),"KG",""))),"")</f>
        <v>15.9</v>
      </c>
      <c r="K493" s="2">
        <f>VALUE(SUBSTITUTE(SUBSTITUTE(SUBSTITUTE(TRIM([1]RawShipmentData!J495),"₹",""),"Rs",""),",",""))</f>
        <v>262</v>
      </c>
      <c r="L493" s="2">
        <f>[1]RawShipmentData!K495</f>
        <v>6</v>
      </c>
      <c r="M493" s="3">
        <f>IF(TRIM([1]RawShipmentData!L495)="","",IF(ISNUMBER(SEARCH("/",TRIM([1]RawShipmentData!L495))),DATE(VALUE(RIGHT(TRIM([1]RawShipmentData!L495),4)),VALUE(MID(TRIM([1]RawShipmentData!L495),FIND("/",TRIM([1]RawShipmentData!L495))+1,2)),VALUE(LEFT(TRIM([1]RawShipmentData!L495),FIND("/",TRIM([1]RawShipmentData!L495))-1))),DATEVALUE(TRIM([1]RawShipmentData!L495))))</f>
        <v>45400</v>
      </c>
      <c r="N493" s="2">
        <f t="shared" si="36"/>
        <v>8</v>
      </c>
      <c r="O493" s="2">
        <f t="shared" si="37"/>
        <v>2</v>
      </c>
      <c r="P493" s="2" t="str">
        <f t="shared" si="38"/>
        <v>Late</v>
      </c>
      <c r="Q493" s="2" t="str">
        <f>PROPER(SUBSTITUTE(TRIM([1]RawShipmentData!M495)," ","-"))</f>
        <v>Delayed</v>
      </c>
      <c r="R493" s="4">
        <f t="shared" si="39"/>
        <v>16.477987421383649</v>
      </c>
      <c r="S493" s="2">
        <f>[1]RawShipmentData!N495</f>
        <v>4</v>
      </c>
      <c r="T493" s="2" t="str">
        <f>IF(OR(UPPER(TRIM([1]RawShipmentData!O495))="YES",UPPER(TRIM([1]RawShipmentData!O495))="Y"),"Yes","No")</f>
        <v>Yes</v>
      </c>
    </row>
    <row r="494" spans="1:20" x14ac:dyDescent="0.25">
      <c r="A494" s="2" t="str">
        <f>[1]RawShipmentData!A496</f>
        <v>SHP-101495</v>
      </c>
      <c r="B494" s="3">
        <f>IF(ISNUMBER(SEARCH("/",TRIM([1]RawShipmentData!B496))),DATE(VALUE(RIGHT(TRIM([1]RawShipmentData!B496),4)),VALUE(MID(TRIM([1]RawShipmentData!B496),FIND("/",TRIM([1]RawShipmentData!B496))+1,2)),VALUE(LEFT(TRIM([1]RawShipmentData!B496),FIND("/",TRIM([1]RawShipmentData!B496))-1))),DATEVALUE(TRIM([1]RawShipmentData!B496)))</f>
        <v>45424</v>
      </c>
      <c r="C494" s="2" t="str">
        <f>PROPER(TRIM([1]RawShipmentData!C496))</f>
        <v>Bengaluru</v>
      </c>
      <c r="D494" s="2" t="str">
        <f>IFERROR(INDEX([1]HubMaster!$B$2:$B$7,MATCH(C494,[1]HubMaster!$A$2:$A$7,0)),"Unknown")</f>
        <v>South</v>
      </c>
      <c r="E494" s="2" t="str">
        <f>PROPER(TRIM(SUBSTITUTE([1]RawShipmentData!D496,"  "," ")))</f>
        <v>Delhivery</v>
      </c>
      <c r="F494" s="2" t="str">
        <f>PROPER(TRIM([1]RawShipmentData!E496))</f>
        <v>Road</v>
      </c>
      <c r="G494" s="2" t="str">
        <f>PROPER(TRIM(SUBSTITUTE([1]RawShipmentData!F496,"  "," ")))</f>
        <v>Apparel</v>
      </c>
      <c r="H494" s="2" t="str">
        <f>PROPER(TRIM([1]RawShipmentData!G496))</f>
        <v>South</v>
      </c>
      <c r="I494" s="2" t="str">
        <f t="shared" si="35"/>
        <v>No</v>
      </c>
      <c r="J494" s="2">
        <f>IFERROR(VALUE(TRIM(SUBSTITUTE(UPPER([1]RawShipmentData!I494),"KG",""))),"")</f>
        <v>6.5</v>
      </c>
      <c r="K494" s="2">
        <f>VALUE(SUBSTITUTE(SUBSTITUTE(SUBSTITUTE(TRIM([1]RawShipmentData!J496),"₹",""),"Rs",""),",",""))</f>
        <v>80</v>
      </c>
      <c r="L494" s="2">
        <f>[1]RawShipmentData!K496</f>
        <v>6</v>
      </c>
      <c r="M494" s="3">
        <f>IF(TRIM([1]RawShipmentData!L496)="","",IF(ISNUMBER(SEARCH("/",TRIM([1]RawShipmentData!L496))),DATE(VALUE(RIGHT(TRIM([1]RawShipmentData!L496),4)),VALUE(MID(TRIM([1]RawShipmentData!L496),FIND("/",TRIM([1]RawShipmentData!L496))+1,2)),VALUE(LEFT(TRIM([1]RawShipmentData!L496),FIND("/",TRIM([1]RawShipmentData!L496))-1))),DATEVALUE(TRIM([1]RawShipmentData!L496))))</f>
        <v>45430</v>
      </c>
      <c r="N494" s="2">
        <f t="shared" si="36"/>
        <v>6</v>
      </c>
      <c r="O494" s="2">
        <f t="shared" si="37"/>
        <v>0</v>
      </c>
      <c r="P494" s="2" t="str">
        <f t="shared" si="38"/>
        <v>On Time</v>
      </c>
      <c r="Q494" s="2" t="str">
        <f>PROPER(SUBSTITUTE(TRIM([1]RawShipmentData!M496)," ","-"))</f>
        <v>Delivered</v>
      </c>
      <c r="R494" s="4">
        <f t="shared" si="39"/>
        <v>12.307692307692308</v>
      </c>
      <c r="S494" s="2">
        <f>[1]RawShipmentData!N496</f>
        <v>4</v>
      </c>
      <c r="T494" s="2" t="str">
        <f>IF(OR(UPPER(TRIM([1]RawShipmentData!O496))="YES",UPPER(TRIM([1]RawShipmentData!O496))="Y"),"Yes","No")</f>
        <v>No</v>
      </c>
    </row>
    <row r="495" spans="1:20" x14ac:dyDescent="0.25">
      <c r="A495" s="2" t="str">
        <f>[1]RawShipmentData!A497</f>
        <v>SHP-101048</v>
      </c>
      <c r="B495" s="3">
        <f>IF(ISNUMBER(SEARCH("/",TRIM([1]RawShipmentData!B497))),DATE(VALUE(RIGHT(TRIM([1]RawShipmentData!B497),4)),VALUE(MID(TRIM([1]RawShipmentData!B497),FIND("/",TRIM([1]RawShipmentData!B497))+1,2)),VALUE(LEFT(TRIM([1]RawShipmentData!B497),FIND("/",TRIM([1]RawShipmentData!B497))-1))),DATEVALUE(TRIM([1]RawShipmentData!B497)))</f>
        <v>45330</v>
      </c>
      <c r="C495" s="2" t="str">
        <f>PROPER(TRIM([1]RawShipmentData!C497))</f>
        <v>Delhi</v>
      </c>
      <c r="D495" s="2" t="str">
        <f>IFERROR(INDEX([1]HubMaster!$B$2:$B$7,MATCH(C495,[1]HubMaster!$A$2:$A$7,0)),"Unknown")</f>
        <v>North</v>
      </c>
      <c r="E495" s="2" t="str">
        <f>PROPER(TRIM(SUBSTITUTE([1]RawShipmentData!D497,"  "," ")))</f>
        <v>Delhivery</v>
      </c>
      <c r="F495" s="2" t="str">
        <f>PROPER(TRIM([1]RawShipmentData!E497))</f>
        <v>Surface</v>
      </c>
      <c r="G495" s="2" t="str">
        <f>PROPER(TRIM(SUBSTITUTE([1]RawShipmentData!F497,"  "," ")))</f>
        <v>Furniture</v>
      </c>
      <c r="H495" s="2" t="str">
        <f>PROPER(TRIM([1]RawShipmentData!G497))</f>
        <v>East</v>
      </c>
      <c r="I495" s="2" t="str">
        <f t="shared" si="35"/>
        <v>Yes</v>
      </c>
      <c r="J495" s="2">
        <f>IFERROR(VALUE(TRIM(SUBSTITUTE(UPPER([1]RawShipmentData!I495),"KG",""))),"")</f>
        <v>3.4</v>
      </c>
      <c r="K495" s="2">
        <f>VALUE(SUBSTITUTE(SUBSTITUTE(SUBSTITUTE(TRIM([1]RawShipmentData!J497),"₹",""),"Rs",""),",",""))</f>
        <v>578</v>
      </c>
      <c r="L495" s="2">
        <f>[1]RawShipmentData!K497</f>
        <v>6</v>
      </c>
      <c r="M495" s="3">
        <f>IF(TRIM([1]RawShipmentData!L497)="","",IF(ISNUMBER(SEARCH("/",TRIM([1]RawShipmentData!L497))),DATE(VALUE(RIGHT(TRIM([1]RawShipmentData!L497),4)),VALUE(MID(TRIM([1]RawShipmentData!L497),FIND("/",TRIM([1]RawShipmentData!L497))+1,2)),VALUE(LEFT(TRIM([1]RawShipmentData!L497),FIND("/",TRIM([1]RawShipmentData!L497))-1))),DATEVALUE(TRIM([1]RawShipmentData!L497))))</f>
        <v>45335</v>
      </c>
      <c r="N495" s="2">
        <f t="shared" si="36"/>
        <v>5</v>
      </c>
      <c r="O495" s="2">
        <f t="shared" si="37"/>
        <v>-1</v>
      </c>
      <c r="P495" s="2" t="str">
        <f t="shared" si="38"/>
        <v>On Time</v>
      </c>
      <c r="Q495" s="2" t="str">
        <f>PROPER(SUBSTITUTE(TRIM([1]RawShipmentData!M497)," ","-"))</f>
        <v>Delivered</v>
      </c>
      <c r="R495" s="4">
        <f t="shared" si="39"/>
        <v>170</v>
      </c>
      <c r="S495" s="2">
        <f>[1]RawShipmentData!N497</f>
        <v>5</v>
      </c>
      <c r="T495" s="2" t="str">
        <f>IF(OR(UPPER(TRIM([1]RawShipmentData!O497))="YES",UPPER(TRIM([1]RawShipmentData!O497))="Y"),"Yes","No")</f>
        <v>Yes</v>
      </c>
    </row>
    <row r="496" spans="1:20" x14ac:dyDescent="0.25">
      <c r="A496" s="2" t="str">
        <f>[1]RawShipmentData!A498</f>
        <v>SHP-100344</v>
      </c>
      <c r="B496" s="3">
        <f>IF(ISNUMBER(SEARCH("/",TRIM([1]RawShipmentData!B498))),DATE(VALUE(RIGHT(TRIM([1]RawShipmentData!B498),4)),VALUE(MID(TRIM([1]RawShipmentData!B498),FIND("/",TRIM([1]RawShipmentData!B498))+1,2)),VALUE(LEFT(TRIM([1]RawShipmentData!B498),FIND("/",TRIM([1]RawShipmentData!B498))-1))),DATEVALUE(TRIM([1]RawShipmentData!B498)))</f>
        <v>45387</v>
      </c>
      <c r="C496" s="2" t="str">
        <f>PROPER(TRIM([1]RawShipmentData!C498))</f>
        <v>Mumbai</v>
      </c>
      <c r="D496" s="2" t="str">
        <f>IFERROR(INDEX([1]HubMaster!$B$2:$B$7,MATCH(C496,[1]HubMaster!$A$2:$A$7,0)),"Unknown")</f>
        <v>West</v>
      </c>
      <c r="E496" s="2" t="str">
        <f>PROPER(TRIM(SUBSTITUTE([1]RawShipmentData!D498,"  "," ")))</f>
        <v>Blue Dart</v>
      </c>
      <c r="F496" s="2" t="str">
        <f>PROPER(TRIM([1]RawShipmentData!E498))</f>
        <v>Surface</v>
      </c>
      <c r="G496" s="2" t="str">
        <f>PROPER(TRIM(SUBSTITUTE([1]RawShipmentData!F498,"  "," ")))</f>
        <v>Furniture</v>
      </c>
      <c r="H496" s="2" t="str">
        <f>PROPER(TRIM([1]RawShipmentData!G498))</f>
        <v>South</v>
      </c>
      <c r="I496" s="2" t="str">
        <f t="shared" si="35"/>
        <v>Yes</v>
      </c>
      <c r="J496" s="2">
        <f>IFERROR(VALUE(TRIM(SUBSTITUTE(UPPER([1]RawShipmentData!I496),"KG",""))),"")</f>
        <v>3.8</v>
      </c>
      <c r="K496" s="2">
        <f>VALUE(SUBSTITUTE(SUBSTITUTE(SUBSTITUTE(TRIM([1]RawShipmentData!J498),"₹",""),"Rs",""),",",""))</f>
        <v>551</v>
      </c>
      <c r="L496" s="2">
        <f>[1]RawShipmentData!K498</f>
        <v>6</v>
      </c>
      <c r="M496" s="3">
        <f>IF(TRIM([1]RawShipmentData!L498)="","",IF(ISNUMBER(SEARCH("/",TRIM([1]RawShipmentData!L498))),DATE(VALUE(RIGHT(TRIM([1]RawShipmentData!L498),4)),VALUE(MID(TRIM([1]RawShipmentData!L498),FIND("/",TRIM([1]RawShipmentData!L498))+1,2)),VALUE(LEFT(TRIM([1]RawShipmentData!L498),FIND("/",TRIM([1]RawShipmentData!L498))-1))),DATEVALUE(TRIM([1]RawShipmentData!L498))))</f>
        <v>45394</v>
      </c>
      <c r="N496" s="2">
        <f t="shared" si="36"/>
        <v>7</v>
      </c>
      <c r="O496" s="2">
        <f t="shared" si="37"/>
        <v>1</v>
      </c>
      <c r="P496" s="2" t="str">
        <f t="shared" si="38"/>
        <v>Late</v>
      </c>
      <c r="Q496" s="2" t="str">
        <f>PROPER(SUBSTITUTE(TRIM([1]RawShipmentData!M498)," ","-"))</f>
        <v>Delayed</v>
      </c>
      <c r="R496" s="4">
        <f t="shared" si="39"/>
        <v>145</v>
      </c>
      <c r="S496" s="2">
        <f>[1]RawShipmentData!N498</f>
        <v>3</v>
      </c>
      <c r="T496" s="2" t="str">
        <f>IF(OR(UPPER(TRIM([1]RawShipmentData!O498))="YES",UPPER(TRIM([1]RawShipmentData!O498))="Y"),"Yes","No")</f>
        <v>Yes</v>
      </c>
    </row>
    <row r="497" spans="1:20" x14ac:dyDescent="0.25">
      <c r="A497" s="2" t="str">
        <f>[1]RawShipmentData!A499</f>
        <v>SHP-100108</v>
      </c>
      <c r="B497" s="3">
        <f>IF(ISNUMBER(SEARCH("/",TRIM([1]RawShipmentData!B499))),DATE(VALUE(RIGHT(TRIM([1]RawShipmentData!B499),4)),VALUE(MID(TRIM([1]RawShipmentData!B499),FIND("/",TRIM([1]RawShipmentData!B499))+1,2)),VALUE(LEFT(TRIM([1]RawShipmentData!B499),FIND("/",TRIM([1]RawShipmentData!B499))-1))),DATEVALUE(TRIM([1]RawShipmentData!B499)))</f>
        <v>45464</v>
      </c>
      <c r="C497" s="2" t="str">
        <f>PROPER(TRIM([1]RawShipmentData!C499))</f>
        <v>Mumbai</v>
      </c>
      <c r="D497" s="2" t="str">
        <f>IFERROR(INDEX([1]HubMaster!$B$2:$B$7,MATCH(C497,[1]HubMaster!$A$2:$A$7,0)),"Unknown")</f>
        <v>West</v>
      </c>
      <c r="E497" s="2" t="str">
        <f>PROPER(TRIM(SUBSTITUTE([1]RawShipmentData!D499,"  "," ")))</f>
        <v>Delhivery</v>
      </c>
      <c r="F497" s="2" t="str">
        <f>PROPER(TRIM([1]RawShipmentData!E499))</f>
        <v>Road</v>
      </c>
      <c r="G497" s="2" t="str">
        <f>PROPER(TRIM(SUBSTITUTE([1]RawShipmentData!F499,"  "," ")))</f>
        <v>Grocery &amp; Fmcg</v>
      </c>
      <c r="H497" s="2" t="str">
        <f>PROPER(TRIM([1]RawShipmentData!G499))</f>
        <v>South</v>
      </c>
      <c r="I497" s="2" t="str">
        <f t="shared" si="35"/>
        <v>Yes</v>
      </c>
      <c r="J497" s="2">
        <f>IFERROR(VALUE(TRIM(SUBSTITUTE(UPPER([1]RawShipmentData!I497),"KG",""))),"")</f>
        <v>20.6</v>
      </c>
      <c r="K497" s="2">
        <f>VALUE(SUBSTITUTE(SUBSTITUTE(SUBSTITUTE(TRIM([1]RawShipmentData!J499),"₹",""),"Rs",""),",",""))</f>
        <v>255</v>
      </c>
      <c r="L497" s="2">
        <f>[1]RawShipmentData!K499</f>
        <v>8</v>
      </c>
      <c r="M497" s="3">
        <f>IF(TRIM([1]RawShipmentData!L499)="","",IF(ISNUMBER(SEARCH("/",TRIM([1]RawShipmentData!L499))),DATE(VALUE(RIGHT(TRIM([1]RawShipmentData!L499),4)),VALUE(MID(TRIM([1]RawShipmentData!L499),FIND("/",TRIM([1]RawShipmentData!L499))+1,2)),VALUE(LEFT(TRIM([1]RawShipmentData!L499),FIND("/",TRIM([1]RawShipmentData!L499))-1))),DATEVALUE(TRIM([1]RawShipmentData!L499))))</f>
        <v>45473</v>
      </c>
      <c r="N497" s="2">
        <f t="shared" si="36"/>
        <v>9</v>
      </c>
      <c r="O497" s="2">
        <f t="shared" si="37"/>
        <v>1</v>
      </c>
      <c r="P497" s="2" t="str">
        <f t="shared" si="38"/>
        <v>Late</v>
      </c>
      <c r="Q497" s="2" t="str">
        <f>PROPER(SUBSTITUTE(TRIM([1]RawShipmentData!M499)," ","-"))</f>
        <v>Delayed</v>
      </c>
      <c r="R497" s="4">
        <f t="shared" si="39"/>
        <v>12.378640776699028</v>
      </c>
      <c r="S497" s="2">
        <f>[1]RawShipmentData!N499</f>
        <v>4</v>
      </c>
      <c r="T497" s="2" t="str">
        <f>IF(OR(UPPER(TRIM([1]RawShipmentData!O499))="YES",UPPER(TRIM([1]RawShipmentData!O499))="Y"),"Yes","No")</f>
        <v>No</v>
      </c>
    </row>
    <row r="498" spans="1:20" x14ac:dyDescent="0.25">
      <c r="A498" s="2" t="str">
        <f>[1]RawShipmentData!A500</f>
        <v>SHP-101391</v>
      </c>
      <c r="B498" s="3">
        <f>IF(ISNUMBER(SEARCH("/",TRIM([1]RawShipmentData!B500))),DATE(VALUE(RIGHT(TRIM([1]RawShipmentData!B500),4)),VALUE(MID(TRIM([1]RawShipmentData!B500),FIND("/",TRIM([1]RawShipmentData!B500))+1,2)),VALUE(LEFT(TRIM([1]RawShipmentData!B500),FIND("/",TRIM([1]RawShipmentData!B500))-1))),DATEVALUE(TRIM([1]RawShipmentData!B500)))</f>
        <v>45436</v>
      </c>
      <c r="C498" s="2" t="str">
        <f>PROPER(TRIM([1]RawShipmentData!C500))</f>
        <v>Bengaluru</v>
      </c>
      <c r="D498" s="2" t="str">
        <f>IFERROR(INDEX([1]HubMaster!$B$2:$B$7,MATCH(C498,[1]HubMaster!$A$2:$A$7,0)),"Unknown")</f>
        <v>South</v>
      </c>
      <c r="E498" s="2" t="str">
        <f>PROPER(TRIM(SUBSTITUTE([1]RawShipmentData!D500,"  "," ")))</f>
        <v>Delhivery</v>
      </c>
      <c r="F498" s="2" t="str">
        <f>PROPER(TRIM([1]RawShipmentData!E500))</f>
        <v>Road</v>
      </c>
      <c r="G498" s="2" t="str">
        <f>PROPER(TRIM(SUBSTITUTE([1]RawShipmentData!F500,"  "," ")))</f>
        <v>Furniture</v>
      </c>
      <c r="H498" s="2" t="str">
        <f>PROPER(TRIM([1]RawShipmentData!G500))</f>
        <v>North</v>
      </c>
      <c r="I498" s="2" t="str">
        <f t="shared" si="35"/>
        <v>Yes</v>
      </c>
      <c r="J498" s="2">
        <f>IFERROR(VALUE(TRIM(SUBSTITUTE(UPPER([1]RawShipmentData!I498),"KG",""))),"")</f>
        <v>19.2</v>
      </c>
      <c r="K498" s="2">
        <f>VALUE(SUBSTITUTE(SUBSTITUTE(SUBSTITUTE(TRIM([1]RawShipmentData!J500),"₹",""),"Rs",""),",",""))</f>
        <v>428</v>
      </c>
      <c r="L498" s="2">
        <f>[1]RawShipmentData!K500</f>
        <v>8</v>
      </c>
      <c r="M498" s="3">
        <f>IF(TRIM([1]RawShipmentData!L500)="","",IF(ISNUMBER(SEARCH("/",TRIM([1]RawShipmentData!L500))),DATE(VALUE(RIGHT(TRIM([1]RawShipmentData!L500),4)),VALUE(MID(TRIM([1]RawShipmentData!L500),FIND("/",TRIM([1]RawShipmentData!L500))+1,2)),VALUE(LEFT(TRIM([1]RawShipmentData!L500),FIND("/",TRIM([1]RawShipmentData!L500))-1))),DATEVALUE(TRIM([1]RawShipmentData!L500))))</f>
        <v>45443</v>
      </c>
      <c r="N498" s="2">
        <f t="shared" si="36"/>
        <v>7</v>
      </c>
      <c r="O498" s="2">
        <f t="shared" si="37"/>
        <v>-1</v>
      </c>
      <c r="P498" s="2" t="str">
        <f t="shared" si="38"/>
        <v>On Time</v>
      </c>
      <c r="Q498" s="2" t="str">
        <f>PROPER(SUBSTITUTE(TRIM([1]RawShipmentData!M500)," ","-"))</f>
        <v>Delivered</v>
      </c>
      <c r="R498" s="4">
        <f t="shared" si="39"/>
        <v>22.291666666666668</v>
      </c>
      <c r="S498" s="2">
        <f>[1]RawShipmentData!N500</f>
        <v>4</v>
      </c>
      <c r="T498" s="2" t="str">
        <f>IF(OR(UPPER(TRIM([1]RawShipmentData!O500))="YES",UPPER(TRIM([1]RawShipmentData!O500))="Y"),"Yes","No")</f>
        <v>No</v>
      </c>
    </row>
    <row r="499" spans="1:20" x14ac:dyDescent="0.25">
      <c r="A499" s="2" t="str">
        <f>[1]RawShipmentData!A501</f>
        <v>SHP-100247</v>
      </c>
      <c r="B499" s="3">
        <f>IF(ISNUMBER(SEARCH("/",TRIM([1]RawShipmentData!B501))),DATE(VALUE(RIGHT(TRIM([1]RawShipmentData!B501),4)),VALUE(MID(TRIM([1]RawShipmentData!B501),FIND("/",TRIM([1]RawShipmentData!B501))+1,2)),VALUE(LEFT(TRIM([1]RawShipmentData!B501),FIND("/",TRIM([1]RawShipmentData!B501))-1))),DATEVALUE(TRIM([1]RawShipmentData!B501)))</f>
        <v>45298</v>
      </c>
      <c r="C499" s="2" t="str">
        <f>PROPER(TRIM([1]RawShipmentData!C501))</f>
        <v>Delhi</v>
      </c>
      <c r="D499" s="2" t="str">
        <f>IFERROR(INDEX([1]HubMaster!$B$2:$B$7,MATCH(C499,[1]HubMaster!$A$2:$A$7,0)),"Unknown")</f>
        <v>North</v>
      </c>
      <c r="E499" s="2" t="str">
        <f>PROPER(TRIM(SUBSTITUTE([1]RawShipmentData!D501,"  "," ")))</f>
        <v>Delhivery</v>
      </c>
      <c r="F499" s="2" t="str">
        <f>PROPER(TRIM([1]RawShipmentData!E501))</f>
        <v>Air</v>
      </c>
      <c r="G499" s="2" t="str">
        <f>PROPER(TRIM(SUBSTITUTE([1]RawShipmentData!F501,"  "," ")))</f>
        <v>Apparel</v>
      </c>
      <c r="H499" s="2" t="str">
        <f>PROPER(TRIM([1]RawShipmentData!G501))</f>
        <v>West</v>
      </c>
      <c r="I499" s="2" t="str">
        <f t="shared" si="35"/>
        <v>Yes</v>
      </c>
      <c r="J499" s="2">
        <f>IFERROR(VALUE(TRIM(SUBSTITUTE(UPPER([1]RawShipmentData!I499),"KG",""))),"")</f>
        <v>4.0999999999999996</v>
      </c>
      <c r="K499" s="2">
        <f>VALUE(SUBSTITUTE(SUBSTITUTE(SUBSTITUTE(TRIM([1]RawShipmentData!J501),"₹",""),"Rs",""),",",""))</f>
        <v>405</v>
      </c>
      <c r="L499" s="2">
        <f>[1]RawShipmentData!K501</f>
        <v>4</v>
      </c>
      <c r="M499" s="3">
        <f>IF(TRIM([1]RawShipmentData!L501)="","",IF(ISNUMBER(SEARCH("/",TRIM([1]RawShipmentData!L501))),DATE(VALUE(RIGHT(TRIM([1]RawShipmentData!L501),4)),VALUE(MID(TRIM([1]RawShipmentData!L501),FIND("/",TRIM([1]RawShipmentData!L501))+1,2)),VALUE(LEFT(TRIM([1]RawShipmentData!L501),FIND("/",TRIM([1]RawShipmentData!L501))-1))),DATEVALUE(TRIM([1]RawShipmentData!L501))))</f>
        <v>45302</v>
      </c>
      <c r="N499" s="2">
        <f t="shared" si="36"/>
        <v>4</v>
      </c>
      <c r="O499" s="2">
        <f t="shared" si="37"/>
        <v>0</v>
      </c>
      <c r="P499" s="2" t="str">
        <f t="shared" si="38"/>
        <v>On Time</v>
      </c>
      <c r="Q499" s="2" t="str">
        <f>PROPER(SUBSTITUTE(TRIM([1]RawShipmentData!M501)," ","-"))</f>
        <v>Delivered</v>
      </c>
      <c r="R499" s="4">
        <f t="shared" si="39"/>
        <v>98.780487804878064</v>
      </c>
      <c r="S499" s="2">
        <f>[1]RawShipmentData!N501</f>
        <v>4</v>
      </c>
      <c r="T499" s="2" t="str">
        <f>IF(OR(UPPER(TRIM([1]RawShipmentData!O501))="YES",UPPER(TRIM([1]RawShipmentData!O501))="Y"),"Yes","No")</f>
        <v>No</v>
      </c>
    </row>
    <row r="500" spans="1:20" x14ac:dyDescent="0.25">
      <c r="A500" s="2" t="str">
        <f>[1]RawShipmentData!A502</f>
        <v>SHP-100398</v>
      </c>
      <c r="B500" s="3">
        <f>IF(ISNUMBER(SEARCH("/",TRIM([1]RawShipmentData!B502))),DATE(VALUE(RIGHT(TRIM([1]RawShipmentData!B502),4)),VALUE(MID(TRIM([1]RawShipmentData!B502),FIND("/",TRIM([1]RawShipmentData!B502))+1,2)),VALUE(LEFT(TRIM([1]RawShipmentData!B502),FIND("/",TRIM([1]RawShipmentData!B502))-1))),DATEVALUE(TRIM([1]RawShipmentData!B502)))</f>
        <v>45354</v>
      </c>
      <c r="C500" s="2" t="str">
        <f>PROPER(TRIM([1]RawShipmentData!C502))</f>
        <v>Hyderabad</v>
      </c>
      <c r="D500" s="2" t="str">
        <f>IFERROR(INDEX([1]HubMaster!$B$2:$B$7,MATCH(C500,[1]HubMaster!$A$2:$A$7,0)),"Unknown")</f>
        <v>West</v>
      </c>
      <c r="E500" s="2" t="str">
        <f>PROPER(TRIM(SUBSTITUTE([1]RawShipmentData!D502,"  "," ")))</f>
        <v>Ecom Express</v>
      </c>
      <c r="F500" s="2" t="str">
        <f>PROPER(TRIM([1]RawShipmentData!E502))</f>
        <v>Air</v>
      </c>
      <c r="G500" s="2" t="str">
        <f>PROPER(TRIM(SUBSTITUTE([1]RawShipmentData!F502,"  "," ")))</f>
        <v>Automotive Parts</v>
      </c>
      <c r="H500" s="2" t="str">
        <f>PROPER(TRIM([1]RawShipmentData!G502))</f>
        <v>West</v>
      </c>
      <c r="I500" s="2" t="str">
        <f t="shared" si="35"/>
        <v>No</v>
      </c>
      <c r="J500" s="2">
        <f>IFERROR(VALUE(TRIM(SUBSTITUTE(UPPER([1]RawShipmentData!I500),"KG",""))),"")</f>
        <v>21.3</v>
      </c>
      <c r="K500" s="2">
        <f>VALUE(SUBSTITUTE(SUBSTITUTE(SUBSTITUTE(TRIM([1]RawShipmentData!J502),"₹",""),"Rs",""),",",""))</f>
        <v>826</v>
      </c>
      <c r="L500" s="2">
        <f>[1]RawShipmentData!K502</f>
        <v>2</v>
      </c>
      <c r="M500" s="3">
        <f>IF(TRIM([1]RawShipmentData!L502)="","",IF(ISNUMBER(SEARCH("/",TRIM([1]RawShipmentData!L502))),DATE(VALUE(RIGHT(TRIM([1]RawShipmentData!L502),4)),VALUE(MID(TRIM([1]RawShipmentData!L502),FIND("/",TRIM([1]RawShipmentData!L502))+1,2)),VALUE(LEFT(TRIM([1]RawShipmentData!L502),FIND("/",TRIM([1]RawShipmentData!L502))-1))),DATEVALUE(TRIM([1]RawShipmentData!L502))))</f>
        <v>45359</v>
      </c>
      <c r="N500" s="2">
        <f t="shared" si="36"/>
        <v>5</v>
      </c>
      <c r="O500" s="2">
        <f t="shared" si="37"/>
        <v>3</v>
      </c>
      <c r="P500" s="2" t="str">
        <f t="shared" si="38"/>
        <v>Late</v>
      </c>
      <c r="Q500" s="2" t="str">
        <f>PROPER(SUBSTITUTE(TRIM([1]RawShipmentData!M502)," ","-"))</f>
        <v>Delayed</v>
      </c>
      <c r="R500" s="4">
        <f t="shared" si="39"/>
        <v>38.779342723004696</v>
      </c>
      <c r="S500" s="2">
        <f>[1]RawShipmentData!N502</f>
        <v>1</v>
      </c>
      <c r="T500" s="2" t="str">
        <f>IF(OR(UPPER(TRIM([1]RawShipmentData!O502))="YES",UPPER(TRIM([1]RawShipmentData!O502))="Y"),"Yes","No")</f>
        <v>No</v>
      </c>
    </row>
    <row r="501" spans="1:20" x14ac:dyDescent="0.25">
      <c r="A501" s="2" t="str">
        <f>[1]RawShipmentData!A503</f>
        <v>SHP-100306</v>
      </c>
      <c r="B501" s="3">
        <f>IF(ISNUMBER(SEARCH("/",TRIM([1]RawShipmentData!B503))),DATE(VALUE(RIGHT(TRIM([1]RawShipmentData!B503),4)),VALUE(MID(TRIM([1]RawShipmentData!B503),FIND("/",TRIM([1]RawShipmentData!B503))+1,2)),VALUE(LEFT(TRIM([1]RawShipmentData!B503),FIND("/",TRIM([1]RawShipmentData!B503))-1))),DATEVALUE(TRIM([1]RawShipmentData!B503)))</f>
        <v>45324</v>
      </c>
      <c r="C501" s="2" t="str">
        <f>PROPER(TRIM([1]RawShipmentData!C503))</f>
        <v>Chennai</v>
      </c>
      <c r="D501" s="2" t="str">
        <f>IFERROR(INDEX([1]HubMaster!$B$2:$B$7,MATCH(C501,[1]HubMaster!$A$2:$A$7,0)),"Unknown")</f>
        <v>South</v>
      </c>
      <c r="E501" s="2" t="str">
        <f>PROPER(TRIM(SUBSTITUTE([1]RawShipmentData!D503,"  "," ")))</f>
        <v>Dtdc</v>
      </c>
      <c r="F501" s="2" t="str">
        <f>PROPER(TRIM([1]RawShipmentData!E503))</f>
        <v>Air</v>
      </c>
      <c r="G501" s="2" t="str">
        <f>PROPER(TRIM(SUBSTITUTE([1]RawShipmentData!F503,"  "," ")))</f>
        <v>Furniture</v>
      </c>
      <c r="H501" s="2" t="str">
        <f>PROPER(TRIM([1]RawShipmentData!G503))</f>
        <v>East</v>
      </c>
      <c r="I501" s="2" t="str">
        <f t="shared" si="35"/>
        <v>Yes</v>
      </c>
      <c r="J501" s="2">
        <f>IFERROR(VALUE(TRIM(SUBSTITUTE(UPPER([1]RawShipmentData!I501),"KG",""))),"")</f>
        <v>5.5</v>
      </c>
      <c r="K501" s="2">
        <f>VALUE(SUBSTITUTE(SUBSTITUTE(SUBSTITUTE(TRIM([1]RawShipmentData!J503),"₹",""),"Rs",""),",",""))</f>
        <v>3570</v>
      </c>
      <c r="L501" s="2">
        <f>[1]RawShipmentData!K503</f>
        <v>4</v>
      </c>
      <c r="M501" s="3">
        <f>IF(TRIM([1]RawShipmentData!L503)="","",IF(ISNUMBER(SEARCH("/",TRIM([1]RawShipmentData!L503))),DATE(VALUE(RIGHT(TRIM([1]RawShipmentData!L503),4)),VALUE(MID(TRIM([1]RawShipmentData!L503),FIND("/",TRIM([1]RawShipmentData!L503))+1,2)),VALUE(LEFT(TRIM([1]RawShipmentData!L503),FIND("/",TRIM([1]RawShipmentData!L503))-1))),DATEVALUE(TRIM([1]RawShipmentData!L503))))</f>
        <v>45329</v>
      </c>
      <c r="N501" s="2">
        <f t="shared" si="36"/>
        <v>5</v>
      </c>
      <c r="O501" s="2">
        <f t="shared" si="37"/>
        <v>1</v>
      </c>
      <c r="P501" s="2" t="str">
        <f t="shared" si="38"/>
        <v>Late</v>
      </c>
      <c r="Q501" s="2" t="str">
        <f>PROPER(SUBSTITUTE(TRIM([1]RawShipmentData!M503)," ","-"))</f>
        <v>Delayed</v>
      </c>
      <c r="R501" s="4">
        <f t="shared" si="39"/>
        <v>649.09090909090912</v>
      </c>
      <c r="S501" s="2">
        <f>[1]RawShipmentData!N503</f>
        <v>2</v>
      </c>
      <c r="T501" s="2" t="str">
        <f>IF(OR(UPPER(TRIM([1]RawShipmentData!O503))="YES",UPPER(TRIM([1]RawShipmentData!O503))="Y"),"Yes","No")</f>
        <v>Yes</v>
      </c>
    </row>
    <row r="502" spans="1:20" x14ac:dyDescent="0.25">
      <c r="A502" s="2" t="str">
        <f>[1]RawShipmentData!A504</f>
        <v>SHP-100961</v>
      </c>
      <c r="B502" s="3">
        <f>IF(ISNUMBER(SEARCH("/",TRIM([1]RawShipmentData!B504))),DATE(VALUE(RIGHT(TRIM([1]RawShipmentData!B504),4)),VALUE(MID(TRIM([1]RawShipmentData!B504),FIND("/",TRIM([1]RawShipmentData!B504))+1,2)),VALUE(LEFT(TRIM([1]RawShipmentData!B504),FIND("/",TRIM([1]RawShipmentData!B504))-1))),DATEVALUE(TRIM([1]RawShipmentData!B504)))</f>
        <v>45423</v>
      </c>
      <c r="C502" s="2" t="str">
        <f>PROPER(TRIM([1]RawShipmentData!C504))</f>
        <v>Mumbai</v>
      </c>
      <c r="D502" s="2" t="str">
        <f>IFERROR(INDEX([1]HubMaster!$B$2:$B$7,MATCH(C502,[1]HubMaster!$A$2:$A$7,0)),"Unknown")</f>
        <v>West</v>
      </c>
      <c r="E502" s="2" t="str">
        <f>PROPER(TRIM(SUBSTITUTE([1]RawShipmentData!D504,"  "," ")))</f>
        <v>Ecom Express</v>
      </c>
      <c r="F502" s="2" t="str">
        <f>PROPER(TRIM([1]RawShipmentData!E504))</f>
        <v>Air</v>
      </c>
      <c r="G502" s="2" t="str">
        <f>PROPER(TRIM(SUBSTITUTE([1]RawShipmentData!F504,"  "," ")))</f>
        <v>Grocery &amp; Fmcg</v>
      </c>
      <c r="H502" s="2" t="str">
        <f>PROPER(TRIM([1]RawShipmentData!G504))</f>
        <v>East</v>
      </c>
      <c r="I502" s="2" t="str">
        <f t="shared" si="35"/>
        <v>Yes</v>
      </c>
      <c r="J502" s="2">
        <f>IFERROR(VALUE(TRIM(SUBSTITUTE(UPPER([1]RawShipmentData!I502),"KG",""))),"")</f>
        <v>17.899999999999999</v>
      </c>
      <c r="K502" s="2">
        <f>VALUE(SUBSTITUTE(SUBSTITUTE(SUBSTITUTE(TRIM([1]RawShipmentData!J504),"₹",""),"Rs",""),",",""))</f>
        <v>640</v>
      </c>
      <c r="L502" s="2">
        <f>[1]RawShipmentData!K504</f>
        <v>4</v>
      </c>
      <c r="M502" s="3">
        <f>IF(TRIM([1]RawShipmentData!L504)="","",IF(ISNUMBER(SEARCH("/",TRIM([1]RawShipmentData!L504))),DATE(VALUE(RIGHT(TRIM([1]RawShipmentData!L504),4)),VALUE(MID(TRIM([1]RawShipmentData!L504),FIND("/",TRIM([1]RawShipmentData!L504))+1,2)),VALUE(LEFT(TRIM([1]RawShipmentData!L504),FIND("/",TRIM([1]RawShipmentData!L504))-1))),DATEVALUE(TRIM([1]RawShipmentData!L504))))</f>
        <v>45426</v>
      </c>
      <c r="N502" s="2">
        <f t="shared" si="36"/>
        <v>3</v>
      </c>
      <c r="O502" s="2">
        <f t="shared" si="37"/>
        <v>-1</v>
      </c>
      <c r="P502" s="2" t="str">
        <f t="shared" si="38"/>
        <v>On Time</v>
      </c>
      <c r="Q502" s="2" t="str">
        <f>PROPER(SUBSTITUTE(TRIM([1]RawShipmentData!M504)," ","-"))</f>
        <v>Delivered</v>
      </c>
      <c r="R502" s="4">
        <f t="shared" si="39"/>
        <v>35.754189944134083</v>
      </c>
      <c r="S502" s="2">
        <f>[1]RawShipmentData!N504</f>
        <v>4</v>
      </c>
      <c r="T502" s="2" t="str">
        <f>IF(OR(UPPER(TRIM([1]RawShipmentData!O504))="YES",UPPER(TRIM([1]RawShipmentData!O504))="Y"),"Yes","No")</f>
        <v>Yes</v>
      </c>
    </row>
    <row r="503" spans="1:20" x14ac:dyDescent="0.25">
      <c r="A503" s="2" t="str">
        <f>[1]RawShipmentData!A505</f>
        <v>SHP-100485</v>
      </c>
      <c r="B503" s="3">
        <f>IF(ISNUMBER(SEARCH("/",TRIM([1]RawShipmentData!B505))),DATE(VALUE(RIGHT(TRIM([1]RawShipmentData!B505),4)),VALUE(MID(TRIM([1]RawShipmentData!B505),FIND("/",TRIM([1]RawShipmentData!B505))+1,2)),VALUE(LEFT(TRIM([1]RawShipmentData!B505),FIND("/",TRIM([1]RawShipmentData!B505))-1))),DATEVALUE(TRIM([1]RawShipmentData!B505)))</f>
        <v>45366</v>
      </c>
      <c r="C503" s="2" t="str">
        <f>PROPER(TRIM([1]RawShipmentData!C505))</f>
        <v>Chennai</v>
      </c>
      <c r="D503" s="2" t="str">
        <f>IFERROR(INDEX([1]HubMaster!$B$2:$B$7,MATCH(C503,[1]HubMaster!$A$2:$A$7,0)),"Unknown")</f>
        <v>South</v>
      </c>
      <c r="E503" s="2" t="str">
        <f>PROPER(TRIM(SUBSTITUTE([1]RawShipmentData!D505,"  "," ")))</f>
        <v>Ecom Express</v>
      </c>
      <c r="F503" s="2" t="str">
        <f>PROPER(TRIM([1]RawShipmentData!E505))</f>
        <v>Road</v>
      </c>
      <c r="G503" s="2" t="str">
        <f>PROPER(TRIM(SUBSTITUTE([1]RawShipmentData!F505,"  "," ")))</f>
        <v>Pharma</v>
      </c>
      <c r="H503" s="2" t="str">
        <f>PROPER(TRIM([1]RawShipmentData!G505))</f>
        <v>South</v>
      </c>
      <c r="I503" s="2" t="str">
        <f t="shared" si="35"/>
        <v>No</v>
      </c>
      <c r="J503" s="2">
        <f>IFERROR(VALUE(TRIM(SUBSTITUTE(UPPER([1]RawShipmentData!I503),"KG",""))),"")</f>
        <v>76.5</v>
      </c>
      <c r="K503" s="2">
        <f>VALUE(SUBSTITUTE(SUBSTITUTE(SUBSTITUTE(TRIM([1]RawShipmentData!J505),"₹",""),"Rs",""),",",""))</f>
        <v>118</v>
      </c>
      <c r="L503" s="2">
        <f>[1]RawShipmentData!K505</f>
        <v>6</v>
      </c>
      <c r="M503" s="3">
        <f>IF(TRIM([1]RawShipmentData!L505)="","",IF(ISNUMBER(SEARCH("/",TRIM([1]RawShipmentData!L505))),DATE(VALUE(RIGHT(TRIM([1]RawShipmentData!L505),4)),VALUE(MID(TRIM([1]RawShipmentData!L505),FIND("/",TRIM([1]RawShipmentData!L505))+1,2)),VALUE(LEFT(TRIM([1]RawShipmentData!L505),FIND("/",TRIM([1]RawShipmentData!L505))-1))),DATEVALUE(TRIM([1]RawShipmentData!L505))))</f>
        <v>45371</v>
      </c>
      <c r="N503" s="2">
        <f t="shared" si="36"/>
        <v>5</v>
      </c>
      <c r="O503" s="2">
        <f t="shared" si="37"/>
        <v>-1</v>
      </c>
      <c r="P503" s="2" t="str">
        <f t="shared" si="38"/>
        <v>On Time</v>
      </c>
      <c r="Q503" s="2" t="str">
        <f>PROPER(SUBSTITUTE(TRIM([1]RawShipmentData!M505)," ","-"))</f>
        <v>Delivered</v>
      </c>
      <c r="R503" s="4">
        <f t="shared" si="39"/>
        <v>1.542483660130719</v>
      </c>
      <c r="S503" s="2">
        <f>[1]RawShipmentData!N505</f>
        <v>5</v>
      </c>
      <c r="T503" s="2" t="str">
        <f>IF(OR(UPPER(TRIM([1]RawShipmentData!O505))="YES",UPPER(TRIM([1]RawShipmentData!O505))="Y"),"Yes","No")</f>
        <v>Yes</v>
      </c>
    </row>
    <row r="504" spans="1:20" x14ac:dyDescent="0.25">
      <c r="A504" s="2" t="str">
        <f>[1]RawShipmentData!A506</f>
        <v>SHP-101236</v>
      </c>
      <c r="B504" s="3">
        <f>IF(ISNUMBER(SEARCH("/",TRIM([1]RawShipmentData!B506))),DATE(VALUE(RIGHT(TRIM([1]RawShipmentData!B506),4)),VALUE(MID(TRIM([1]RawShipmentData!B506),FIND("/",TRIM([1]RawShipmentData!B506))+1,2)),VALUE(LEFT(TRIM([1]RawShipmentData!B506),FIND("/",TRIM([1]RawShipmentData!B506))-1))),DATEVALUE(TRIM([1]RawShipmentData!B506)))</f>
        <v>45329</v>
      </c>
      <c r="C504" s="2" t="str">
        <f>PROPER(TRIM([1]RawShipmentData!C506))</f>
        <v>Hyderabad</v>
      </c>
      <c r="D504" s="2" t="str">
        <f>IFERROR(INDEX([1]HubMaster!$B$2:$B$7,MATCH(C504,[1]HubMaster!$A$2:$A$7,0)),"Unknown")</f>
        <v>West</v>
      </c>
      <c r="E504" s="2" t="str">
        <f>PROPER(TRIM(SUBSTITUTE([1]RawShipmentData!D506,"  "," ")))</f>
        <v>Ecom Express</v>
      </c>
      <c r="F504" s="2" t="str">
        <f>PROPER(TRIM([1]RawShipmentData!E506))</f>
        <v>Road</v>
      </c>
      <c r="G504" s="2" t="str">
        <f>PROPER(TRIM(SUBSTITUTE([1]RawShipmentData!F506,"  "," ")))</f>
        <v>Pharma</v>
      </c>
      <c r="H504" s="2" t="str">
        <f>PROPER(TRIM([1]RawShipmentData!G506))</f>
        <v>North</v>
      </c>
      <c r="I504" s="2" t="str">
        <f t="shared" si="35"/>
        <v>Yes</v>
      </c>
      <c r="J504" s="2">
        <f>IFERROR(VALUE(TRIM(SUBSTITUTE(UPPER([1]RawShipmentData!I504),"KG",""))),"")</f>
        <v>10.199999999999999</v>
      </c>
      <c r="K504" s="2">
        <f>VALUE(SUBSTITUTE(SUBSTITUTE(SUBSTITUTE(TRIM([1]RawShipmentData!J506),"₹",""),"Rs",""),",",""))</f>
        <v>208</v>
      </c>
      <c r="L504" s="2">
        <f>[1]RawShipmentData!K506</f>
        <v>8</v>
      </c>
      <c r="M504" s="3">
        <f>IF(TRIM([1]RawShipmentData!L506)="","",IF(ISNUMBER(SEARCH("/",TRIM([1]RawShipmentData!L506))),DATE(VALUE(RIGHT(TRIM([1]RawShipmentData!L506),4)),VALUE(MID(TRIM([1]RawShipmentData!L506),FIND("/",TRIM([1]RawShipmentData!L506))+1,2)),VALUE(LEFT(TRIM([1]RawShipmentData!L506),FIND("/",TRIM([1]RawShipmentData!L506))-1))),DATEVALUE(TRIM([1]RawShipmentData!L506))))</f>
        <v>45342</v>
      </c>
      <c r="N504" s="2">
        <f t="shared" si="36"/>
        <v>13</v>
      </c>
      <c r="O504" s="2">
        <f t="shared" si="37"/>
        <v>5</v>
      </c>
      <c r="P504" s="2" t="str">
        <f t="shared" si="38"/>
        <v>Late</v>
      </c>
      <c r="Q504" s="2" t="str">
        <f>PROPER(SUBSTITUTE(TRIM([1]RawShipmentData!M506)," ","-"))</f>
        <v>Delayed</v>
      </c>
      <c r="R504" s="4">
        <f t="shared" si="39"/>
        <v>20.3921568627451</v>
      </c>
      <c r="S504" s="2">
        <f>[1]RawShipmentData!N506</f>
        <v>2</v>
      </c>
      <c r="T504" s="2" t="str">
        <f>IF(OR(UPPER(TRIM([1]RawShipmentData!O506))="YES",UPPER(TRIM([1]RawShipmentData!O506))="Y"),"Yes","No")</f>
        <v>Yes</v>
      </c>
    </row>
    <row r="505" spans="1:20" x14ac:dyDescent="0.25">
      <c r="A505" s="2" t="str">
        <f>[1]RawShipmentData!A507</f>
        <v>SHP-100104</v>
      </c>
      <c r="B505" s="3">
        <f>IF(ISNUMBER(SEARCH("/",TRIM([1]RawShipmentData!B507))),DATE(VALUE(RIGHT(TRIM([1]RawShipmentData!B507),4)),VALUE(MID(TRIM([1]RawShipmentData!B507),FIND("/",TRIM([1]RawShipmentData!B507))+1,2)),VALUE(LEFT(TRIM([1]RawShipmentData!B507),FIND("/",TRIM([1]RawShipmentData!B507))-1))),DATEVALUE(TRIM([1]RawShipmentData!B507)))</f>
        <v>45375</v>
      </c>
      <c r="C505" s="2" t="str">
        <f>PROPER(TRIM([1]RawShipmentData!C507))</f>
        <v>Kolkata</v>
      </c>
      <c r="D505" s="2" t="str">
        <f>IFERROR(INDEX([1]HubMaster!$B$2:$B$7,MATCH(C505,[1]HubMaster!$A$2:$A$7,0)),"Unknown")</f>
        <v>East</v>
      </c>
      <c r="E505" s="2" t="str">
        <f>PROPER(TRIM(SUBSTITUTE([1]RawShipmentData!D507,"  "," ")))</f>
        <v>Dtdc</v>
      </c>
      <c r="F505" s="2" t="str">
        <f>PROPER(TRIM([1]RawShipmentData!E507))</f>
        <v>Surface</v>
      </c>
      <c r="G505" s="2" t="str">
        <f>PROPER(TRIM(SUBSTITUTE([1]RawShipmentData!F507,"  "," ")))</f>
        <v>Grocery &amp; Fmcg</v>
      </c>
      <c r="H505" s="2" t="str">
        <f>PROPER(TRIM([1]RawShipmentData!G507))</f>
        <v>North</v>
      </c>
      <c r="I505" s="2" t="str">
        <f t="shared" si="35"/>
        <v>Yes</v>
      </c>
      <c r="J505" s="2">
        <f>IFERROR(VALUE(TRIM(SUBSTITUTE(UPPER([1]RawShipmentData!I505),"KG",""))),"")</f>
        <v>4.3</v>
      </c>
      <c r="K505" s="2">
        <f>VALUE(SUBSTITUTE(SUBSTITUTE(SUBSTITUTE(TRIM([1]RawShipmentData!J507),"₹",""),"Rs",""),",",""))</f>
        <v>251</v>
      </c>
      <c r="L505" s="2">
        <f>[1]RawShipmentData!K507</f>
        <v>6</v>
      </c>
      <c r="M505" s="3">
        <f>IF(TRIM([1]RawShipmentData!L507)="","",IF(ISNUMBER(SEARCH("/",TRIM([1]RawShipmentData!L507))),DATE(VALUE(RIGHT(TRIM([1]RawShipmentData!L507),4)),VALUE(MID(TRIM([1]RawShipmentData!L507),FIND("/",TRIM([1]RawShipmentData!L507))+1,2)),VALUE(LEFT(TRIM([1]RawShipmentData!L507),FIND("/",TRIM([1]RawShipmentData!L507))-1))),DATEVALUE(TRIM([1]RawShipmentData!L507))))</f>
        <v>45381</v>
      </c>
      <c r="N505" s="2">
        <f t="shared" si="36"/>
        <v>6</v>
      </c>
      <c r="O505" s="2">
        <f t="shared" si="37"/>
        <v>0</v>
      </c>
      <c r="P505" s="2" t="str">
        <f t="shared" si="38"/>
        <v>On Time</v>
      </c>
      <c r="Q505" s="2" t="str">
        <f>PROPER(SUBSTITUTE(TRIM([1]RawShipmentData!M507)," ","-"))</f>
        <v>Delivered</v>
      </c>
      <c r="R505" s="4">
        <f t="shared" si="39"/>
        <v>58.372093023255815</v>
      </c>
      <c r="S505" s="2">
        <f>[1]RawShipmentData!N507</f>
        <v>5</v>
      </c>
      <c r="T505" s="2" t="str">
        <f>IF(OR(UPPER(TRIM([1]RawShipmentData!O507))="YES",UPPER(TRIM([1]RawShipmentData!O507))="Y"),"Yes","No")</f>
        <v>No</v>
      </c>
    </row>
    <row r="506" spans="1:20" x14ac:dyDescent="0.25">
      <c r="A506" s="2" t="str">
        <f>[1]RawShipmentData!A508</f>
        <v>SHP-101316</v>
      </c>
      <c r="B506" s="3">
        <f>IF(ISNUMBER(SEARCH("/",TRIM([1]RawShipmentData!B508))),DATE(VALUE(RIGHT(TRIM([1]RawShipmentData!B508),4)),VALUE(MID(TRIM([1]RawShipmentData!B508),FIND("/",TRIM([1]RawShipmentData!B508))+1,2)),VALUE(LEFT(TRIM([1]RawShipmentData!B508),FIND("/",TRIM([1]RawShipmentData!B508))-1))),DATEVALUE(TRIM([1]RawShipmentData!B508)))</f>
        <v>45356</v>
      </c>
      <c r="C506" s="2" t="str">
        <f>PROPER(TRIM([1]RawShipmentData!C508))</f>
        <v>Delhi</v>
      </c>
      <c r="D506" s="2" t="str">
        <f>IFERROR(INDEX([1]HubMaster!$B$2:$B$7,MATCH(C506,[1]HubMaster!$A$2:$A$7,0)),"Unknown")</f>
        <v>North</v>
      </c>
      <c r="E506" s="2" t="str">
        <f>PROPER(TRIM(SUBSTITUTE([1]RawShipmentData!D508,"  "," ")))</f>
        <v>Dtdc</v>
      </c>
      <c r="F506" s="2" t="str">
        <f>PROPER(TRIM([1]RawShipmentData!E508))</f>
        <v>Surface</v>
      </c>
      <c r="G506" s="2" t="str">
        <f>PROPER(TRIM(SUBSTITUTE([1]RawShipmentData!F508,"  "," ")))</f>
        <v>Grocery &amp; Fmcg</v>
      </c>
      <c r="H506" s="2" t="str">
        <f>PROPER(TRIM([1]RawShipmentData!G508))</f>
        <v>West</v>
      </c>
      <c r="I506" s="2" t="str">
        <f t="shared" si="35"/>
        <v>Yes</v>
      </c>
      <c r="J506" s="2">
        <f>IFERROR(VALUE(TRIM(SUBSTITUTE(UPPER([1]RawShipmentData!I506),"KG",""))),"")</f>
        <v>3.8</v>
      </c>
      <c r="K506" s="2">
        <f>VALUE(SUBSTITUTE(SUBSTITUTE(SUBSTITUTE(TRIM([1]RawShipmentData!J508),"₹",""),"Rs",""),",",""))</f>
        <v>406</v>
      </c>
      <c r="L506" s="2">
        <f>[1]RawShipmentData!K508</f>
        <v>6</v>
      </c>
      <c r="M506" s="3">
        <f>IF(TRIM([1]RawShipmentData!L508)="","",IF(ISNUMBER(SEARCH("/",TRIM([1]RawShipmentData!L508))),DATE(VALUE(RIGHT(TRIM([1]RawShipmentData!L508),4)),VALUE(MID(TRIM([1]RawShipmentData!L508),FIND("/",TRIM([1]RawShipmentData!L508))+1,2)),VALUE(LEFT(TRIM([1]RawShipmentData!L508),FIND("/",TRIM([1]RawShipmentData!L508))-1))),DATEVALUE(TRIM([1]RawShipmentData!L508))))</f>
        <v>45361</v>
      </c>
      <c r="N506" s="2">
        <f t="shared" si="36"/>
        <v>5</v>
      </c>
      <c r="O506" s="2">
        <f t="shared" si="37"/>
        <v>-1</v>
      </c>
      <c r="P506" s="2" t="str">
        <f t="shared" si="38"/>
        <v>On Time</v>
      </c>
      <c r="Q506" s="2" t="str">
        <f>PROPER(SUBSTITUTE(TRIM([1]RawShipmentData!M508)," ","-"))</f>
        <v>Delivered</v>
      </c>
      <c r="R506" s="4">
        <f t="shared" si="39"/>
        <v>106.8421052631579</v>
      </c>
      <c r="S506" s="2">
        <f>[1]RawShipmentData!N508</f>
        <v>4</v>
      </c>
      <c r="T506" s="2" t="str">
        <f>IF(OR(UPPER(TRIM([1]RawShipmentData!O508))="YES",UPPER(TRIM([1]RawShipmentData!O508))="Y"),"Yes","No")</f>
        <v>No</v>
      </c>
    </row>
    <row r="507" spans="1:20" x14ac:dyDescent="0.25">
      <c r="A507" s="2" t="str">
        <f>[1]RawShipmentData!A509</f>
        <v>SHP-100608</v>
      </c>
      <c r="B507" s="3">
        <f>IF(ISNUMBER(SEARCH("/",TRIM([1]RawShipmentData!B509))),DATE(VALUE(RIGHT(TRIM([1]RawShipmentData!B509),4)),VALUE(MID(TRIM([1]RawShipmentData!B509),FIND("/",TRIM([1]RawShipmentData!B509))+1,2)),VALUE(LEFT(TRIM([1]RawShipmentData!B509),FIND("/",TRIM([1]RawShipmentData!B509))-1))),DATEVALUE(TRIM([1]RawShipmentData!B509)))</f>
        <v>45301</v>
      </c>
      <c r="C507" s="2" t="str">
        <f>PROPER(TRIM([1]RawShipmentData!C509))</f>
        <v>Bengaluru</v>
      </c>
      <c r="D507" s="2" t="str">
        <f>IFERROR(INDEX([1]HubMaster!$B$2:$B$7,MATCH(C507,[1]HubMaster!$A$2:$A$7,0)),"Unknown")</f>
        <v>South</v>
      </c>
      <c r="E507" s="2" t="str">
        <f>PROPER(TRIM(SUBSTITUTE([1]RawShipmentData!D509,"  "," ")))</f>
        <v>Delhivery</v>
      </c>
      <c r="F507" s="2" t="str">
        <f>PROPER(TRIM([1]RawShipmentData!E509))</f>
        <v>Road</v>
      </c>
      <c r="G507" s="2" t="str">
        <f>PROPER(TRIM(SUBSTITUTE([1]RawShipmentData!F509,"  "," ")))</f>
        <v>Furniture</v>
      </c>
      <c r="H507" s="2" t="str">
        <f>PROPER(TRIM([1]RawShipmentData!G509))</f>
        <v>South</v>
      </c>
      <c r="I507" s="2" t="str">
        <f t="shared" si="35"/>
        <v>No</v>
      </c>
      <c r="J507" s="2">
        <f>IFERROR(VALUE(TRIM(SUBSTITUTE(UPPER([1]RawShipmentData!I507),"KG",""))),"")</f>
        <v>3.1</v>
      </c>
      <c r="K507" s="2">
        <f>VALUE(SUBSTITUTE(SUBSTITUTE(SUBSTITUTE(TRIM([1]RawShipmentData!J509),"₹",""),"Rs",""),",",""))</f>
        <v>870</v>
      </c>
      <c r="L507" s="2">
        <f>[1]RawShipmentData!K509</f>
        <v>6</v>
      </c>
      <c r="M507" s="3">
        <f>IF(TRIM([1]RawShipmentData!L509)="","",IF(ISNUMBER(SEARCH("/",TRIM([1]RawShipmentData!L509))),DATE(VALUE(RIGHT(TRIM([1]RawShipmentData!L509),4)),VALUE(MID(TRIM([1]RawShipmentData!L509),FIND("/",TRIM([1]RawShipmentData!L509))+1,2)),VALUE(LEFT(TRIM([1]RawShipmentData!L509),FIND("/",TRIM([1]RawShipmentData!L509))-1))),DATEVALUE(TRIM([1]RawShipmentData!L509))))</f>
        <v>45308</v>
      </c>
      <c r="N507" s="2">
        <f t="shared" si="36"/>
        <v>7</v>
      </c>
      <c r="O507" s="2">
        <f t="shared" si="37"/>
        <v>1</v>
      </c>
      <c r="P507" s="2" t="str">
        <f t="shared" si="38"/>
        <v>Late</v>
      </c>
      <c r="Q507" s="2" t="str">
        <f>PROPER(SUBSTITUTE(TRIM([1]RawShipmentData!M509)," ","-"))</f>
        <v>Delayed</v>
      </c>
      <c r="R507" s="4">
        <f t="shared" si="39"/>
        <v>280.64516129032256</v>
      </c>
      <c r="S507" s="2">
        <f>[1]RawShipmentData!N509</f>
        <v>3</v>
      </c>
      <c r="T507" s="2" t="str">
        <f>IF(OR(UPPER(TRIM([1]RawShipmentData!O509))="YES",UPPER(TRIM([1]RawShipmentData!O509))="Y"),"Yes","No")</f>
        <v>Yes</v>
      </c>
    </row>
    <row r="508" spans="1:20" x14ac:dyDescent="0.25">
      <c r="A508" s="2" t="str">
        <f>[1]RawShipmentData!A510</f>
        <v>SHP-100031</v>
      </c>
      <c r="B508" s="3">
        <f>IF(ISNUMBER(SEARCH("/",TRIM([1]RawShipmentData!B510))),DATE(VALUE(RIGHT(TRIM([1]RawShipmentData!B510),4)),VALUE(MID(TRIM([1]RawShipmentData!B510),FIND("/",TRIM([1]RawShipmentData!B510))+1,2)),VALUE(LEFT(TRIM([1]RawShipmentData!B510),FIND("/",TRIM([1]RawShipmentData!B510))-1))),DATEVALUE(TRIM([1]RawShipmentData!B510)))</f>
        <v>45372</v>
      </c>
      <c r="C508" s="2" t="str">
        <f>PROPER(TRIM([1]RawShipmentData!C510))</f>
        <v>Bengaluru</v>
      </c>
      <c r="D508" s="2" t="str">
        <f>IFERROR(INDEX([1]HubMaster!$B$2:$B$7,MATCH(C508,[1]HubMaster!$A$2:$A$7,0)),"Unknown")</f>
        <v>South</v>
      </c>
      <c r="E508" s="2" t="str">
        <f>PROPER(TRIM(SUBSTITUTE([1]RawShipmentData!D510,"  "," ")))</f>
        <v>Bluedart</v>
      </c>
      <c r="F508" s="2" t="str">
        <f>PROPER(TRIM([1]RawShipmentData!E510))</f>
        <v>Surface</v>
      </c>
      <c r="G508" s="2" t="str">
        <f>PROPER(TRIM(SUBSTITUTE([1]RawShipmentData!F510,"  "," ")))</f>
        <v>Grocery &amp; Fmcg</v>
      </c>
      <c r="H508" s="2" t="str">
        <f>PROPER(TRIM([1]RawShipmentData!G510))</f>
        <v>West</v>
      </c>
      <c r="I508" s="2" t="str">
        <f t="shared" si="35"/>
        <v>Yes</v>
      </c>
      <c r="J508" s="2">
        <f>IFERROR(VALUE(TRIM(SUBSTITUTE(UPPER([1]RawShipmentData!I508),"KG",""))),"")</f>
        <v>10.5</v>
      </c>
      <c r="K508" s="2">
        <f>VALUE(SUBSTITUTE(SUBSTITUTE(SUBSTITUTE(TRIM([1]RawShipmentData!J510),"₹",""),"Rs",""),",",""))</f>
        <v>589</v>
      </c>
      <c r="L508" s="2">
        <f>[1]RawShipmentData!K510</f>
        <v>6</v>
      </c>
      <c r="M508" s="3">
        <f>IF(TRIM([1]RawShipmentData!L510)="","",IF(ISNUMBER(SEARCH("/",TRIM([1]RawShipmentData!L510))),DATE(VALUE(RIGHT(TRIM([1]RawShipmentData!L510),4)),VALUE(MID(TRIM([1]RawShipmentData!L510),FIND("/",TRIM([1]RawShipmentData!L510))+1,2)),VALUE(LEFT(TRIM([1]RawShipmentData!L510),FIND("/",TRIM([1]RawShipmentData!L510))-1))),DATEVALUE(TRIM([1]RawShipmentData!L510))))</f>
        <v>45379</v>
      </c>
      <c r="N508" s="2">
        <f t="shared" si="36"/>
        <v>7</v>
      </c>
      <c r="O508" s="2">
        <f t="shared" si="37"/>
        <v>1</v>
      </c>
      <c r="P508" s="2" t="str">
        <f t="shared" si="38"/>
        <v>Late</v>
      </c>
      <c r="Q508" s="2" t="str">
        <f>PROPER(SUBSTITUTE(TRIM([1]RawShipmentData!M510)," ","-"))</f>
        <v>Delayed</v>
      </c>
      <c r="R508" s="4">
        <f t="shared" si="39"/>
        <v>56.095238095238095</v>
      </c>
      <c r="S508" s="2">
        <f>[1]RawShipmentData!N510</f>
        <v>4</v>
      </c>
      <c r="T508" s="2" t="str">
        <f>IF(OR(UPPER(TRIM([1]RawShipmentData!O510))="YES",UPPER(TRIM([1]RawShipmentData!O510))="Y"),"Yes","No")</f>
        <v>Yes</v>
      </c>
    </row>
    <row r="509" spans="1:20" x14ac:dyDescent="0.25">
      <c r="A509" s="2" t="str">
        <f>[1]RawShipmentData!A511</f>
        <v>SHP-100065</v>
      </c>
      <c r="B509" s="3">
        <f>IF(ISNUMBER(SEARCH("/",TRIM([1]RawShipmentData!B511))),DATE(VALUE(RIGHT(TRIM([1]RawShipmentData!B511),4)),VALUE(MID(TRIM([1]RawShipmentData!B511),FIND("/",TRIM([1]RawShipmentData!B511))+1,2)),VALUE(LEFT(TRIM([1]RawShipmentData!B511),FIND("/",TRIM([1]RawShipmentData!B511))-1))),DATEVALUE(TRIM([1]RawShipmentData!B511)))</f>
        <v>45414</v>
      </c>
      <c r="C509" s="2" t="str">
        <f>PROPER(TRIM([1]RawShipmentData!C511))</f>
        <v>Chennai</v>
      </c>
      <c r="D509" s="2" t="str">
        <f>IFERROR(INDEX([1]HubMaster!$B$2:$B$7,MATCH(C509,[1]HubMaster!$A$2:$A$7,0)),"Unknown")</f>
        <v>South</v>
      </c>
      <c r="E509" s="2" t="str">
        <f>PROPER(TRIM(SUBSTITUTE([1]RawShipmentData!D511,"  "," ")))</f>
        <v>Dtdc</v>
      </c>
      <c r="F509" s="2" t="str">
        <f>PROPER(TRIM([1]RawShipmentData!E511))</f>
        <v>Air</v>
      </c>
      <c r="G509" s="2" t="str">
        <f>PROPER(TRIM(SUBSTITUTE([1]RawShipmentData!F511,"  "," ")))</f>
        <v>Grocery &amp; Fmcg</v>
      </c>
      <c r="H509" s="2" t="str">
        <f>PROPER(TRIM([1]RawShipmentData!G511))</f>
        <v>West</v>
      </c>
      <c r="I509" s="2" t="str">
        <f t="shared" si="35"/>
        <v>Yes</v>
      </c>
      <c r="J509" s="2">
        <f>IFERROR(VALUE(TRIM(SUBSTITUTE(UPPER([1]RawShipmentData!I509),"KG",""))),"")</f>
        <v>59.7</v>
      </c>
      <c r="K509" s="2">
        <f>VALUE(SUBSTITUTE(SUBSTITUTE(SUBSTITUTE(TRIM([1]RawShipmentData!J511),"₹",""),"Rs",""),",",""))</f>
        <v>685</v>
      </c>
      <c r="L509" s="2">
        <f>[1]RawShipmentData!K511</f>
        <v>4</v>
      </c>
      <c r="M509" s="3">
        <f>IF(TRIM([1]RawShipmentData!L511)="","",IF(ISNUMBER(SEARCH("/",TRIM([1]RawShipmentData!L511))),DATE(VALUE(RIGHT(TRIM([1]RawShipmentData!L511),4)),VALUE(MID(TRIM([1]RawShipmentData!L511),FIND("/",TRIM([1]RawShipmentData!L511))+1,2)),VALUE(LEFT(TRIM([1]RawShipmentData!L511),FIND("/",TRIM([1]RawShipmentData!L511))-1))),DATEVALUE(TRIM([1]RawShipmentData!L511))))</f>
        <v>45423</v>
      </c>
      <c r="N509" s="2">
        <f t="shared" si="36"/>
        <v>9</v>
      </c>
      <c r="O509" s="2">
        <f t="shared" si="37"/>
        <v>5</v>
      </c>
      <c r="P509" s="2" t="str">
        <f t="shared" si="38"/>
        <v>Late</v>
      </c>
      <c r="Q509" s="2" t="str">
        <f>PROPER(SUBSTITUTE(TRIM([1]RawShipmentData!M511)," ","-"))</f>
        <v>Delayed</v>
      </c>
      <c r="R509" s="4">
        <f t="shared" si="39"/>
        <v>11.474036850921273</v>
      </c>
      <c r="S509" s="2">
        <f>[1]RawShipmentData!N511</f>
        <v>4</v>
      </c>
      <c r="T509" s="2" t="str">
        <f>IF(OR(UPPER(TRIM([1]RawShipmentData!O511))="YES",UPPER(TRIM([1]RawShipmentData!O511))="Y"),"Yes","No")</f>
        <v>No</v>
      </c>
    </row>
    <row r="510" spans="1:20" x14ac:dyDescent="0.25">
      <c r="A510" s="2" t="str">
        <f>[1]RawShipmentData!A512</f>
        <v>SHP-101132</v>
      </c>
      <c r="B510" s="3">
        <f>IF(ISNUMBER(SEARCH("/",TRIM([1]RawShipmentData!B512))),DATE(VALUE(RIGHT(TRIM([1]RawShipmentData!B512),4)),VALUE(MID(TRIM([1]RawShipmentData!B512),FIND("/",TRIM([1]RawShipmentData!B512))+1,2)),VALUE(LEFT(TRIM([1]RawShipmentData!B512),FIND("/",TRIM([1]RawShipmentData!B512))-1))),DATEVALUE(TRIM([1]RawShipmentData!B512)))</f>
        <v>45457</v>
      </c>
      <c r="C510" s="2" t="str">
        <f>PROPER(TRIM([1]RawShipmentData!C512))</f>
        <v>Mumbai</v>
      </c>
      <c r="D510" s="2" t="str">
        <f>IFERROR(INDEX([1]HubMaster!$B$2:$B$7,MATCH(C510,[1]HubMaster!$A$2:$A$7,0)),"Unknown")</f>
        <v>West</v>
      </c>
      <c r="E510" s="2" t="str">
        <f>PROPER(TRIM(SUBSTITUTE([1]RawShipmentData!D512,"  "," ")))</f>
        <v>Dtdc</v>
      </c>
      <c r="F510" s="2" t="str">
        <f>PROPER(TRIM([1]RawShipmentData!E512))</f>
        <v>Surface</v>
      </c>
      <c r="G510" s="2" t="str">
        <f>PROPER(TRIM(SUBSTITUTE([1]RawShipmentData!F512,"  "," ")))</f>
        <v>Automotive Parts</v>
      </c>
      <c r="H510" s="2" t="str">
        <f>PROPER(TRIM([1]RawShipmentData!G512))</f>
        <v>East</v>
      </c>
      <c r="I510" s="2" t="str">
        <f t="shared" si="35"/>
        <v>Yes</v>
      </c>
      <c r="J510" s="2">
        <f>IFERROR(VALUE(TRIM(SUBSTITUTE(UPPER([1]RawShipmentData!I510),"KG",""))),"")</f>
        <v>17.3</v>
      </c>
      <c r="K510" s="2">
        <f>VALUE(SUBSTITUTE(SUBSTITUTE(SUBSTITUTE(TRIM([1]RawShipmentData!J512),"₹",""),"Rs",""),",",""))</f>
        <v>281</v>
      </c>
      <c r="L510" s="2">
        <f>[1]RawShipmentData!K512</f>
        <v>6</v>
      </c>
      <c r="M510" s="3">
        <f>IF(TRIM([1]RawShipmentData!L512)="","",IF(ISNUMBER(SEARCH("/",TRIM([1]RawShipmentData!L512))),DATE(VALUE(RIGHT(TRIM([1]RawShipmentData!L512),4)),VALUE(MID(TRIM([1]RawShipmentData!L512),FIND("/",TRIM([1]RawShipmentData!L512))+1,2)),VALUE(LEFT(TRIM([1]RawShipmentData!L512),FIND("/",TRIM([1]RawShipmentData!L512))-1))),DATEVALUE(TRIM([1]RawShipmentData!L512))))</f>
        <v>45466</v>
      </c>
      <c r="N510" s="2">
        <f t="shared" si="36"/>
        <v>9</v>
      </c>
      <c r="O510" s="2">
        <f t="shared" si="37"/>
        <v>3</v>
      </c>
      <c r="P510" s="2" t="str">
        <f t="shared" si="38"/>
        <v>Late</v>
      </c>
      <c r="Q510" s="2" t="str">
        <f>PROPER(SUBSTITUTE(TRIM([1]RawShipmentData!M512)," ","-"))</f>
        <v>Delayed</v>
      </c>
      <c r="R510" s="4">
        <f t="shared" si="39"/>
        <v>16.242774566473987</v>
      </c>
      <c r="S510" s="2">
        <f>[1]RawShipmentData!N512</f>
        <v>4</v>
      </c>
      <c r="T510" s="2" t="str">
        <f>IF(OR(UPPER(TRIM([1]RawShipmentData!O512))="YES",UPPER(TRIM([1]RawShipmentData!O512))="Y"),"Yes","No")</f>
        <v>Yes</v>
      </c>
    </row>
    <row r="511" spans="1:20" x14ac:dyDescent="0.25">
      <c r="A511" s="2" t="str">
        <f>[1]RawShipmentData!A513</f>
        <v>SHP-101120</v>
      </c>
      <c r="B511" s="3">
        <f>IF(ISNUMBER(SEARCH("/",TRIM([1]RawShipmentData!B513))),DATE(VALUE(RIGHT(TRIM([1]RawShipmentData!B513),4)),VALUE(MID(TRIM([1]RawShipmentData!B513),FIND("/",TRIM([1]RawShipmentData!B513))+1,2)),VALUE(LEFT(TRIM([1]RawShipmentData!B513),FIND("/",TRIM([1]RawShipmentData!B513))-1))),DATEVALUE(TRIM([1]RawShipmentData!B513)))</f>
        <v>45389</v>
      </c>
      <c r="C511" s="2" t="str">
        <f>PROPER(TRIM([1]RawShipmentData!C513))</f>
        <v>Mumbai</v>
      </c>
      <c r="D511" s="2" t="str">
        <f>IFERROR(INDEX([1]HubMaster!$B$2:$B$7,MATCH(C511,[1]HubMaster!$A$2:$A$7,0)),"Unknown")</f>
        <v>West</v>
      </c>
      <c r="E511" s="2" t="str">
        <f>PROPER(TRIM(SUBSTITUTE([1]RawShipmentData!D513,"  "," ")))</f>
        <v>Delhivery</v>
      </c>
      <c r="F511" s="2" t="str">
        <f>PROPER(TRIM([1]RawShipmentData!E513))</f>
        <v>Road</v>
      </c>
      <c r="G511" s="2" t="str">
        <f>PROPER(TRIM(SUBSTITUTE([1]RawShipmentData!F513,"  "," ")))</f>
        <v>Apparel</v>
      </c>
      <c r="H511" s="2" t="str">
        <f>PROPER(TRIM([1]RawShipmentData!G513))</f>
        <v>North</v>
      </c>
      <c r="I511" s="2" t="str">
        <f t="shared" si="35"/>
        <v>Yes</v>
      </c>
      <c r="J511" s="2">
        <f>IFERROR(VALUE(TRIM(SUBSTITUTE(UPPER([1]RawShipmentData!I511),"KG",""))),"")</f>
        <v>11.9</v>
      </c>
      <c r="K511" s="2">
        <f>VALUE(SUBSTITUTE(SUBSTITUTE(SUBSTITUTE(TRIM([1]RawShipmentData!J513),"₹",""),"Rs",""),",",""))</f>
        <v>210</v>
      </c>
      <c r="L511" s="2">
        <f>[1]RawShipmentData!K513</f>
        <v>8</v>
      </c>
      <c r="M511" s="3">
        <f>IF(TRIM([1]RawShipmentData!L513)="","",IF(ISNUMBER(SEARCH("/",TRIM([1]RawShipmentData!L513))),DATE(VALUE(RIGHT(TRIM([1]RawShipmentData!L513),4)),VALUE(MID(TRIM([1]RawShipmentData!L513),FIND("/",TRIM([1]RawShipmentData!L513))+1,2)),VALUE(LEFT(TRIM([1]RawShipmentData!L513),FIND("/",TRIM([1]RawShipmentData!L513))-1))),DATEVALUE(TRIM([1]RawShipmentData!L513))))</f>
        <v>45396</v>
      </c>
      <c r="N511" s="2">
        <f t="shared" si="36"/>
        <v>7</v>
      </c>
      <c r="O511" s="2">
        <f t="shared" si="37"/>
        <v>-1</v>
      </c>
      <c r="P511" s="2" t="str">
        <f t="shared" si="38"/>
        <v>On Time</v>
      </c>
      <c r="Q511" s="2" t="str">
        <f>PROPER(SUBSTITUTE(TRIM([1]RawShipmentData!M513)," ","-"))</f>
        <v>Delivered</v>
      </c>
      <c r="R511" s="4">
        <f t="shared" si="39"/>
        <v>17.647058823529409</v>
      </c>
      <c r="S511" s="2">
        <f>[1]RawShipmentData!N513</f>
        <v>3</v>
      </c>
      <c r="T511" s="2" t="str">
        <f>IF(OR(UPPER(TRIM([1]RawShipmentData!O513))="YES",UPPER(TRIM([1]RawShipmentData!O513))="Y"),"Yes","No")</f>
        <v>No</v>
      </c>
    </row>
    <row r="512" spans="1:20" x14ac:dyDescent="0.25">
      <c r="A512" s="2" t="str">
        <f>[1]RawShipmentData!A514</f>
        <v>SHP-100056</v>
      </c>
      <c r="B512" s="3">
        <f>IF(ISNUMBER(SEARCH("/",TRIM([1]RawShipmentData!B514))),DATE(VALUE(RIGHT(TRIM([1]RawShipmentData!B514),4)),VALUE(MID(TRIM([1]RawShipmentData!B514),FIND("/",TRIM([1]RawShipmentData!B514))+1,2)),VALUE(LEFT(TRIM([1]RawShipmentData!B514),FIND("/",TRIM([1]RawShipmentData!B514))-1))),DATEVALUE(TRIM([1]RawShipmentData!B514)))</f>
        <v>45409</v>
      </c>
      <c r="C512" s="2" t="str">
        <f>PROPER(TRIM([1]RawShipmentData!C514))</f>
        <v>Delhi</v>
      </c>
      <c r="D512" s="2" t="str">
        <f>IFERROR(INDEX([1]HubMaster!$B$2:$B$7,MATCH(C512,[1]HubMaster!$A$2:$A$7,0)),"Unknown")</f>
        <v>North</v>
      </c>
      <c r="E512" s="2" t="str">
        <f>PROPER(TRIM(SUBSTITUTE([1]RawShipmentData!D514,"  "," ")))</f>
        <v>Xpressbees</v>
      </c>
      <c r="F512" s="2" t="str">
        <f>PROPER(TRIM([1]RawShipmentData!E514))</f>
        <v>Road</v>
      </c>
      <c r="G512" s="2" t="str">
        <f>PROPER(TRIM(SUBSTITUTE([1]RawShipmentData!F514,"  "," ")))</f>
        <v>Automotive Parts</v>
      </c>
      <c r="H512" s="2" t="str">
        <f>PROPER(TRIM([1]RawShipmentData!G514))</f>
        <v>North</v>
      </c>
      <c r="I512" s="2" t="str">
        <f t="shared" si="35"/>
        <v>No</v>
      </c>
      <c r="J512" s="2">
        <f>IFERROR(VALUE(TRIM(SUBSTITUTE(UPPER([1]RawShipmentData!I512),"KG",""))),"")</f>
        <v>6.9</v>
      </c>
      <c r="K512" s="2">
        <f>VALUE(SUBSTITUTE(SUBSTITUTE(SUBSTITUTE(TRIM([1]RawShipmentData!J514),"₹",""),"Rs",""),",",""))</f>
        <v>395</v>
      </c>
      <c r="L512" s="2">
        <f>[1]RawShipmentData!K514</f>
        <v>6</v>
      </c>
      <c r="M512" s="3">
        <f>IF(TRIM([1]RawShipmentData!L514)="","",IF(ISNUMBER(SEARCH("/",TRIM([1]RawShipmentData!L514))),DATE(VALUE(RIGHT(TRIM([1]RawShipmentData!L514),4)),VALUE(MID(TRIM([1]RawShipmentData!L514),FIND("/",TRIM([1]RawShipmentData!L514))+1,2)),VALUE(LEFT(TRIM([1]RawShipmentData!L514),FIND("/",TRIM([1]RawShipmentData!L514))-1))),DATEVALUE(TRIM([1]RawShipmentData!L514))))</f>
        <v>45416</v>
      </c>
      <c r="N512" s="2">
        <f t="shared" si="36"/>
        <v>7</v>
      </c>
      <c r="O512" s="2">
        <f t="shared" si="37"/>
        <v>1</v>
      </c>
      <c r="P512" s="2" t="str">
        <f t="shared" si="38"/>
        <v>Late</v>
      </c>
      <c r="Q512" s="2" t="str">
        <f>PROPER(SUBSTITUTE(TRIM([1]RawShipmentData!M514)," ","-"))</f>
        <v>Delayed</v>
      </c>
      <c r="R512" s="4">
        <f t="shared" si="39"/>
        <v>57.246376811594203</v>
      </c>
      <c r="S512" s="2">
        <f>[1]RawShipmentData!N514</f>
        <v>1</v>
      </c>
      <c r="T512" s="2" t="str">
        <f>IF(OR(UPPER(TRIM([1]RawShipmentData!O514))="YES",UPPER(TRIM([1]RawShipmentData!O514))="Y"),"Yes","No")</f>
        <v>No</v>
      </c>
    </row>
    <row r="513" spans="1:20" x14ac:dyDescent="0.25">
      <c r="A513" s="2" t="str">
        <f>[1]RawShipmentData!A515</f>
        <v>SHP-100012</v>
      </c>
      <c r="B513" s="3">
        <f>IF(ISNUMBER(SEARCH("/",TRIM([1]RawShipmentData!B515))),DATE(VALUE(RIGHT(TRIM([1]RawShipmentData!B515),4)),VALUE(MID(TRIM([1]RawShipmentData!B515),FIND("/",TRIM([1]RawShipmentData!B515))+1,2)),VALUE(LEFT(TRIM([1]RawShipmentData!B515),FIND("/",TRIM([1]RawShipmentData!B515))-1))),DATEVALUE(TRIM([1]RawShipmentData!B515)))</f>
        <v>45408</v>
      </c>
      <c r="C513" s="2" t="str">
        <f>PROPER(TRIM([1]RawShipmentData!C515))</f>
        <v>Kolkata</v>
      </c>
      <c r="D513" s="2" t="str">
        <f>IFERROR(INDEX([1]HubMaster!$B$2:$B$7,MATCH(C513,[1]HubMaster!$A$2:$A$7,0)),"Unknown")</f>
        <v>East</v>
      </c>
      <c r="E513" s="2" t="str">
        <f>PROPER(TRIM(SUBSTITUTE([1]RawShipmentData!D515,"  "," ")))</f>
        <v>Xpressbees</v>
      </c>
      <c r="F513" s="2" t="str">
        <f>PROPER(TRIM([1]RawShipmentData!E515))</f>
        <v>Surface</v>
      </c>
      <c r="G513" s="2" t="str">
        <f>PROPER(TRIM(SUBSTITUTE([1]RawShipmentData!F515,"  "," ")))</f>
        <v>Grocery &amp; Fmcg</v>
      </c>
      <c r="H513" s="2" t="str">
        <f>PROPER(TRIM([1]RawShipmentData!G515))</f>
        <v>South</v>
      </c>
      <c r="I513" s="2" t="str">
        <f t="shared" si="35"/>
        <v>Yes</v>
      </c>
      <c r="J513" s="2">
        <f>IFERROR(VALUE(TRIM(SUBSTITUTE(UPPER([1]RawShipmentData!I513),"KG",""))),"")</f>
        <v>2.2000000000000002</v>
      </c>
      <c r="K513" s="2">
        <f>VALUE(SUBSTITUTE(SUBSTITUTE(SUBSTITUTE(TRIM([1]RawShipmentData!J515),"₹",""),"Rs",""),",",""))</f>
        <v>329</v>
      </c>
      <c r="L513" s="2">
        <f>[1]RawShipmentData!K515</f>
        <v>6</v>
      </c>
      <c r="M513" s="3">
        <f>IF(TRIM([1]RawShipmentData!L515)="","",IF(ISNUMBER(SEARCH("/",TRIM([1]RawShipmentData!L515))),DATE(VALUE(RIGHT(TRIM([1]RawShipmentData!L515),4)),VALUE(MID(TRIM([1]RawShipmentData!L515),FIND("/",TRIM([1]RawShipmentData!L515))+1,2)),VALUE(LEFT(TRIM([1]RawShipmentData!L515),FIND("/",TRIM([1]RawShipmentData!L515))-1))),DATEVALUE(TRIM([1]RawShipmentData!L515))))</f>
        <v>45417</v>
      </c>
      <c r="N513" s="2">
        <f t="shared" si="36"/>
        <v>9</v>
      </c>
      <c r="O513" s="2">
        <f t="shared" si="37"/>
        <v>3</v>
      </c>
      <c r="P513" s="2" t="str">
        <f t="shared" si="38"/>
        <v>Late</v>
      </c>
      <c r="Q513" s="2" t="str">
        <f>PROPER(SUBSTITUTE(TRIM([1]RawShipmentData!M515)," ","-"))</f>
        <v>Delayed</v>
      </c>
      <c r="R513" s="4">
        <f t="shared" si="39"/>
        <v>149.54545454545453</v>
      </c>
      <c r="S513" s="2">
        <f>[1]RawShipmentData!N515</f>
        <v>3</v>
      </c>
      <c r="T513" s="2" t="str">
        <f>IF(OR(UPPER(TRIM([1]RawShipmentData!O515))="YES",UPPER(TRIM([1]RawShipmentData!O515))="Y"),"Yes","No")</f>
        <v>No</v>
      </c>
    </row>
    <row r="514" spans="1:20" x14ac:dyDescent="0.25">
      <c r="A514" s="2" t="str">
        <f>[1]RawShipmentData!A516</f>
        <v>SHP-101229</v>
      </c>
      <c r="B514" s="3">
        <f>IF(ISNUMBER(SEARCH("/",TRIM([1]RawShipmentData!B516))),DATE(VALUE(RIGHT(TRIM([1]RawShipmentData!B516),4)),VALUE(MID(TRIM([1]RawShipmentData!B516),FIND("/",TRIM([1]RawShipmentData!B516))+1,2)),VALUE(LEFT(TRIM([1]RawShipmentData!B516),FIND("/",TRIM([1]RawShipmentData!B516))-1))),DATEVALUE(TRIM([1]RawShipmentData!B516)))</f>
        <v>45354</v>
      </c>
      <c r="C514" s="2" t="str">
        <f>PROPER(TRIM([1]RawShipmentData!C516))</f>
        <v>Hyderabad</v>
      </c>
      <c r="D514" s="2" t="str">
        <f>IFERROR(INDEX([1]HubMaster!$B$2:$B$7,MATCH(C514,[1]HubMaster!$A$2:$A$7,0)),"Unknown")</f>
        <v>West</v>
      </c>
      <c r="E514" s="2" t="str">
        <f>PROPER(TRIM(SUBSTITUTE([1]RawShipmentData!D516,"  "," ")))</f>
        <v>Ecom Express</v>
      </c>
      <c r="F514" s="2" t="str">
        <f>PROPER(TRIM([1]RawShipmentData!E516))</f>
        <v>Surface</v>
      </c>
      <c r="G514" s="2" t="str">
        <f>PROPER(TRIM(SUBSTITUTE([1]RawShipmentData!F516,"  "," ")))</f>
        <v>Apparel</v>
      </c>
      <c r="H514" s="2" t="str">
        <f>PROPER(TRIM([1]RawShipmentData!G516))</f>
        <v>West</v>
      </c>
      <c r="I514" s="2" t="str">
        <f t="shared" ref="I514:I577" si="40">IF(D514=H514,"No","Yes")</f>
        <v>No</v>
      </c>
      <c r="J514" s="2">
        <f>IFERROR(VALUE(TRIM(SUBSTITUTE(UPPER([1]RawShipmentData!I514),"KG",""))),"")</f>
        <v>27.4</v>
      </c>
      <c r="K514" s="2">
        <f>VALUE(SUBSTITUTE(SUBSTITUTE(SUBSTITUTE(TRIM([1]RawShipmentData!J516),"₹",""),"Rs",""),",",""))</f>
        <v>106</v>
      </c>
      <c r="L514" s="2">
        <f>[1]RawShipmentData!K516</f>
        <v>4</v>
      </c>
      <c r="M514" s="3">
        <f>IF(TRIM([1]RawShipmentData!L516)="","",IF(ISNUMBER(SEARCH("/",TRIM([1]RawShipmentData!L516))),DATE(VALUE(RIGHT(TRIM([1]RawShipmentData!L516),4)),VALUE(MID(TRIM([1]RawShipmentData!L516),FIND("/",TRIM([1]RawShipmentData!L516))+1,2)),VALUE(LEFT(TRIM([1]RawShipmentData!L516),FIND("/",TRIM([1]RawShipmentData!L516))-1))),DATEVALUE(TRIM([1]RawShipmentData!L516))))</f>
        <v>45358</v>
      </c>
      <c r="N514" s="2">
        <f t="shared" ref="N514:N577" si="41">IF(M514="","",M514-B514)</f>
        <v>4</v>
      </c>
      <c r="O514" s="2">
        <f t="shared" ref="O514:O577" si="42">IF(N514="","",N514-L514)</f>
        <v>0</v>
      </c>
      <c r="P514" s="2" t="str">
        <f t="shared" ref="P514:P577" si="43">IF(N514="","N/A",IF(N514&lt;=L514,"On Time","Late"))</f>
        <v>On Time</v>
      </c>
      <c r="Q514" s="2" t="str">
        <f>PROPER(SUBSTITUTE(TRIM([1]RawShipmentData!M516)," ","-"))</f>
        <v>Returned</v>
      </c>
      <c r="R514" s="4">
        <f t="shared" si="39"/>
        <v>3.8686131386861318</v>
      </c>
      <c r="S514" s="2">
        <f>[1]RawShipmentData!N516</f>
        <v>0</v>
      </c>
      <c r="T514" s="2" t="str">
        <f>IF(OR(UPPER(TRIM([1]RawShipmentData!O516))="YES",UPPER(TRIM([1]RawShipmentData!O516))="Y"),"Yes","No")</f>
        <v>Yes</v>
      </c>
    </row>
    <row r="515" spans="1:20" x14ac:dyDescent="0.25">
      <c r="A515" s="2" t="str">
        <f>[1]RawShipmentData!A517</f>
        <v>SHP-100735</v>
      </c>
      <c r="B515" s="3">
        <f>IF(ISNUMBER(SEARCH("/",TRIM([1]RawShipmentData!B517))),DATE(VALUE(RIGHT(TRIM([1]RawShipmentData!B517),4)),VALUE(MID(TRIM([1]RawShipmentData!B517),FIND("/",TRIM([1]RawShipmentData!B517))+1,2)),VALUE(LEFT(TRIM([1]RawShipmentData!B517),FIND("/",TRIM([1]RawShipmentData!B517))-1))),DATEVALUE(TRIM([1]RawShipmentData!B517)))</f>
        <v>45470</v>
      </c>
      <c r="C515" s="2" t="str">
        <f>PROPER(TRIM([1]RawShipmentData!C517))</f>
        <v>Chennai</v>
      </c>
      <c r="D515" s="2" t="str">
        <f>IFERROR(INDEX([1]HubMaster!$B$2:$B$7,MATCH(C515,[1]HubMaster!$A$2:$A$7,0)),"Unknown")</f>
        <v>South</v>
      </c>
      <c r="E515" s="2" t="str">
        <f>PROPER(TRIM(SUBSTITUTE([1]RawShipmentData!D517,"  "," ")))</f>
        <v>Dtdc</v>
      </c>
      <c r="F515" s="2" t="str">
        <f>PROPER(TRIM([1]RawShipmentData!E517))</f>
        <v>Surface</v>
      </c>
      <c r="G515" s="2" t="str">
        <f>PROPER(TRIM(SUBSTITUTE([1]RawShipmentData!F517,"  "," ")))</f>
        <v>Pharma</v>
      </c>
      <c r="H515" s="2" t="str">
        <f>PROPER(TRIM([1]RawShipmentData!G517))</f>
        <v>West</v>
      </c>
      <c r="I515" s="2" t="str">
        <f t="shared" si="40"/>
        <v>Yes</v>
      </c>
      <c r="J515" s="2">
        <f>IFERROR(VALUE(TRIM(SUBSTITUTE(UPPER([1]RawShipmentData!I515),"KG",""))),"")</f>
        <v>9.5</v>
      </c>
      <c r="K515" s="2">
        <f>VALUE(SUBSTITUTE(SUBSTITUTE(SUBSTITUTE(TRIM([1]RawShipmentData!J517),"₹",""),"Rs",""),",",""))</f>
        <v>320</v>
      </c>
      <c r="L515" s="2">
        <f>[1]RawShipmentData!K517</f>
        <v>6</v>
      </c>
      <c r="M515" s="3" t="str">
        <f>IF(TRIM([1]RawShipmentData!L517)="","",IF(ISNUMBER(SEARCH("/",TRIM([1]RawShipmentData!L517))),DATE(VALUE(RIGHT(TRIM([1]RawShipmentData!L517),4)),VALUE(MID(TRIM([1]RawShipmentData!L517),FIND("/",TRIM([1]RawShipmentData!L517))+1,2)),VALUE(LEFT(TRIM([1]RawShipmentData!L517),FIND("/",TRIM([1]RawShipmentData!L517))-1))),DATEVALUE(TRIM([1]RawShipmentData!L517))))</f>
        <v/>
      </c>
      <c r="N515" s="2" t="str">
        <f t="shared" si="41"/>
        <v/>
      </c>
      <c r="O515" s="2" t="str">
        <f t="shared" si="42"/>
        <v/>
      </c>
      <c r="P515" s="2" t="str">
        <f t="shared" si="43"/>
        <v>N/A</v>
      </c>
      <c r="Q515" s="2" t="str">
        <f>PROPER(SUBSTITUTE(TRIM([1]RawShipmentData!M517)," ","-"))</f>
        <v>In-Transit</v>
      </c>
      <c r="R515" s="4">
        <f t="shared" ref="R515:R578" si="44">IFERROR(K515/J515,"")</f>
        <v>33.684210526315788</v>
      </c>
      <c r="S515" s="2">
        <f>[1]RawShipmentData!N517</f>
        <v>0</v>
      </c>
      <c r="T515" s="2" t="str">
        <f>IF(OR(UPPER(TRIM([1]RawShipmentData!O517))="YES",UPPER(TRIM([1]RawShipmentData!O517))="Y"),"Yes","No")</f>
        <v>Yes</v>
      </c>
    </row>
    <row r="516" spans="1:20" x14ac:dyDescent="0.25">
      <c r="A516" s="2" t="str">
        <f>[1]RawShipmentData!A518</f>
        <v>SHP-101556</v>
      </c>
      <c r="B516" s="3">
        <f>IF(ISNUMBER(SEARCH("/",TRIM([1]RawShipmentData!B518))),DATE(VALUE(RIGHT(TRIM([1]RawShipmentData!B518),4)),VALUE(MID(TRIM([1]RawShipmentData!B518),FIND("/",TRIM([1]RawShipmentData!B518))+1,2)),VALUE(LEFT(TRIM([1]RawShipmentData!B518),FIND("/",TRIM([1]RawShipmentData!B518))-1))),DATEVALUE(TRIM([1]RawShipmentData!B518)))</f>
        <v>45354</v>
      </c>
      <c r="C516" s="2" t="str">
        <f>PROPER(TRIM([1]RawShipmentData!C518))</f>
        <v>Chennai</v>
      </c>
      <c r="D516" s="2" t="str">
        <f>IFERROR(INDEX([1]HubMaster!$B$2:$B$7,MATCH(C516,[1]HubMaster!$A$2:$A$7,0)),"Unknown")</f>
        <v>South</v>
      </c>
      <c r="E516" s="2" t="str">
        <f>PROPER(TRIM(SUBSTITUTE([1]RawShipmentData!D518,"  "," ")))</f>
        <v>Dtdc</v>
      </c>
      <c r="F516" s="2" t="str">
        <f>PROPER(TRIM([1]RawShipmentData!E518))</f>
        <v>Air</v>
      </c>
      <c r="G516" s="2" t="str">
        <f>PROPER(TRIM(SUBSTITUTE([1]RawShipmentData!F518,"  "," ")))</f>
        <v>Apparel</v>
      </c>
      <c r="H516" s="2" t="str">
        <f>PROPER(TRIM([1]RawShipmentData!G518))</f>
        <v>East</v>
      </c>
      <c r="I516" s="2" t="str">
        <f t="shared" si="40"/>
        <v>Yes</v>
      </c>
      <c r="J516" s="2">
        <f>IFERROR(VALUE(TRIM(SUBSTITUTE(UPPER([1]RawShipmentData!I516),"KG",""))),"")</f>
        <v>4.2</v>
      </c>
      <c r="K516" s="2">
        <f>VALUE(SUBSTITUTE(SUBSTITUTE(SUBSTITUTE(TRIM([1]RawShipmentData!J518),"₹",""),"Rs",""),",",""))</f>
        <v>249</v>
      </c>
      <c r="L516" s="2">
        <f>[1]RawShipmentData!K518</f>
        <v>4</v>
      </c>
      <c r="M516" s="3">
        <f>IF(TRIM([1]RawShipmentData!L518)="","",IF(ISNUMBER(SEARCH("/",TRIM([1]RawShipmentData!L518))),DATE(VALUE(RIGHT(TRIM([1]RawShipmentData!L518),4)),VALUE(MID(TRIM([1]RawShipmentData!L518),FIND("/",TRIM([1]RawShipmentData!L518))+1,2)),VALUE(LEFT(TRIM([1]RawShipmentData!L518),FIND("/",TRIM([1]RawShipmentData!L518))-1))),DATEVALUE(TRIM([1]RawShipmentData!L518))))</f>
        <v>45358</v>
      </c>
      <c r="N516" s="2">
        <f t="shared" si="41"/>
        <v>4</v>
      </c>
      <c r="O516" s="2">
        <f t="shared" si="42"/>
        <v>0</v>
      </c>
      <c r="P516" s="2" t="str">
        <f t="shared" si="43"/>
        <v>On Time</v>
      </c>
      <c r="Q516" s="2" t="str">
        <f>PROPER(SUBSTITUTE(TRIM([1]RawShipmentData!M518)," ","-"))</f>
        <v>Delivered</v>
      </c>
      <c r="R516" s="4">
        <f t="shared" si="44"/>
        <v>59.285714285714285</v>
      </c>
      <c r="S516" s="2">
        <f>[1]RawShipmentData!N518</f>
        <v>5</v>
      </c>
      <c r="T516" s="2" t="str">
        <f>IF(OR(UPPER(TRIM([1]RawShipmentData!O518))="YES",UPPER(TRIM([1]RawShipmentData!O518))="Y"),"Yes","No")</f>
        <v>No</v>
      </c>
    </row>
    <row r="517" spans="1:20" x14ac:dyDescent="0.25">
      <c r="A517" s="2" t="str">
        <f>[1]RawShipmentData!A519</f>
        <v>SHP-100967</v>
      </c>
      <c r="B517" s="3">
        <f>IF(ISNUMBER(SEARCH("/",TRIM([1]RawShipmentData!B519))),DATE(VALUE(RIGHT(TRIM([1]RawShipmentData!B519),4)),VALUE(MID(TRIM([1]RawShipmentData!B519),FIND("/",TRIM([1]RawShipmentData!B519))+1,2)),VALUE(LEFT(TRIM([1]RawShipmentData!B519),FIND("/",TRIM([1]RawShipmentData!B519))-1))),DATEVALUE(TRIM([1]RawShipmentData!B519)))</f>
        <v>45463</v>
      </c>
      <c r="C517" s="2" t="str">
        <f>PROPER(TRIM([1]RawShipmentData!C519))</f>
        <v>Chennai</v>
      </c>
      <c r="D517" s="2" t="str">
        <f>IFERROR(INDEX([1]HubMaster!$B$2:$B$7,MATCH(C517,[1]HubMaster!$A$2:$A$7,0)),"Unknown")</f>
        <v>South</v>
      </c>
      <c r="E517" s="2" t="str">
        <f>PROPER(TRIM(SUBSTITUTE([1]RawShipmentData!D519,"  "," ")))</f>
        <v>Ecom Express</v>
      </c>
      <c r="F517" s="2" t="str">
        <f>PROPER(TRIM([1]RawShipmentData!E519))</f>
        <v>Surface</v>
      </c>
      <c r="G517" s="2" t="str">
        <f>PROPER(TRIM(SUBSTITUTE([1]RawShipmentData!F519,"  "," ")))</f>
        <v>Grocery &amp; Fmcg</v>
      </c>
      <c r="H517" s="2" t="str">
        <f>PROPER(TRIM([1]RawShipmentData!G519))</f>
        <v>North</v>
      </c>
      <c r="I517" s="2" t="str">
        <f t="shared" si="40"/>
        <v>Yes</v>
      </c>
      <c r="J517" s="2">
        <f>IFERROR(VALUE(TRIM(SUBSTITUTE(UPPER([1]RawShipmentData!I517),"KG",""))),"")</f>
        <v>5</v>
      </c>
      <c r="K517" s="2">
        <f>VALUE(SUBSTITUTE(SUBSTITUTE(SUBSTITUTE(TRIM([1]RawShipmentData!J519),"₹",""),"Rs",""),",",""))</f>
        <v>206</v>
      </c>
      <c r="L517" s="2">
        <f>[1]RawShipmentData!K519</f>
        <v>6</v>
      </c>
      <c r="M517" s="3">
        <f>IF(TRIM([1]RawShipmentData!L519)="","",IF(ISNUMBER(SEARCH("/",TRIM([1]RawShipmentData!L519))),DATE(VALUE(RIGHT(TRIM([1]RawShipmentData!L519),4)),VALUE(MID(TRIM([1]RawShipmentData!L519),FIND("/",TRIM([1]RawShipmentData!L519))+1,2)),VALUE(LEFT(TRIM([1]RawShipmentData!L519),FIND("/",TRIM([1]RawShipmentData!L519))-1))),DATEVALUE(TRIM([1]RawShipmentData!L519))))</f>
        <v>45470</v>
      </c>
      <c r="N517" s="2">
        <f t="shared" si="41"/>
        <v>7</v>
      </c>
      <c r="O517" s="2">
        <f t="shared" si="42"/>
        <v>1</v>
      </c>
      <c r="P517" s="2" t="str">
        <f t="shared" si="43"/>
        <v>Late</v>
      </c>
      <c r="Q517" s="2" t="str">
        <f>PROPER(SUBSTITUTE(TRIM([1]RawShipmentData!M519)," ","-"))</f>
        <v>Delayed</v>
      </c>
      <c r="R517" s="4">
        <f t="shared" si="44"/>
        <v>41.2</v>
      </c>
      <c r="S517" s="2">
        <f>[1]RawShipmentData!N519</f>
        <v>2</v>
      </c>
      <c r="T517" s="2" t="str">
        <f>IF(OR(UPPER(TRIM([1]RawShipmentData!O519))="YES",UPPER(TRIM([1]RawShipmentData!O519))="Y"),"Yes","No")</f>
        <v>No</v>
      </c>
    </row>
    <row r="518" spans="1:20" x14ac:dyDescent="0.25">
      <c r="A518" s="2" t="str">
        <f>[1]RawShipmentData!A520</f>
        <v>SHP-100312</v>
      </c>
      <c r="B518" s="3">
        <f>IF(ISNUMBER(SEARCH("/",TRIM([1]RawShipmentData!B520))),DATE(VALUE(RIGHT(TRIM([1]RawShipmentData!B520),4)),VALUE(MID(TRIM([1]RawShipmentData!B520),FIND("/",TRIM([1]RawShipmentData!B520))+1,2)),VALUE(LEFT(TRIM([1]RawShipmentData!B520),FIND("/",TRIM([1]RawShipmentData!B520))-1))),DATEVALUE(TRIM([1]RawShipmentData!B520)))</f>
        <v>45324</v>
      </c>
      <c r="C518" s="2" t="str">
        <f>PROPER(TRIM([1]RawShipmentData!C520))</f>
        <v>Delhi</v>
      </c>
      <c r="D518" s="2" t="str">
        <f>IFERROR(INDEX([1]HubMaster!$B$2:$B$7,MATCH(C518,[1]HubMaster!$A$2:$A$7,0)),"Unknown")</f>
        <v>North</v>
      </c>
      <c r="E518" s="2" t="str">
        <f>PROPER(TRIM(SUBSTITUTE([1]RawShipmentData!D520,"  "," ")))</f>
        <v>Xpressbees</v>
      </c>
      <c r="F518" s="2" t="str">
        <f>PROPER(TRIM([1]RawShipmentData!E520))</f>
        <v>Road</v>
      </c>
      <c r="G518" s="2" t="str">
        <f>PROPER(TRIM(SUBSTITUTE([1]RawShipmentData!F520,"  "," ")))</f>
        <v>Furniture</v>
      </c>
      <c r="H518" s="2" t="str">
        <f>PROPER(TRIM([1]RawShipmentData!G520))</f>
        <v>West</v>
      </c>
      <c r="I518" s="2" t="str">
        <f t="shared" si="40"/>
        <v>Yes</v>
      </c>
      <c r="J518" s="2">
        <f>IFERROR(VALUE(TRIM(SUBSTITUTE(UPPER([1]RawShipmentData!I518),"KG",""))),"")</f>
        <v>0.9</v>
      </c>
      <c r="K518" s="2">
        <f>VALUE(SUBSTITUTE(SUBSTITUTE(SUBSTITUTE(TRIM([1]RawShipmentData!J520),"₹",""),"Rs",""),",",""))</f>
        <v>928</v>
      </c>
      <c r="L518" s="2">
        <f>[1]RawShipmentData!K520</f>
        <v>8</v>
      </c>
      <c r="M518" s="3">
        <f>IF(TRIM([1]RawShipmentData!L520)="","",IF(ISNUMBER(SEARCH("/",TRIM([1]RawShipmentData!L520))),DATE(VALUE(RIGHT(TRIM([1]RawShipmentData!L520),4)),VALUE(MID(TRIM([1]RawShipmentData!L520),FIND("/",TRIM([1]RawShipmentData!L520))+1,2)),VALUE(LEFT(TRIM([1]RawShipmentData!L520),FIND("/",TRIM([1]RawShipmentData!L520))-1))),DATEVALUE(TRIM([1]RawShipmentData!L520))))</f>
        <v>45331</v>
      </c>
      <c r="N518" s="2">
        <f t="shared" si="41"/>
        <v>7</v>
      </c>
      <c r="O518" s="2">
        <f t="shared" si="42"/>
        <v>-1</v>
      </c>
      <c r="P518" s="2" t="str">
        <f t="shared" si="43"/>
        <v>On Time</v>
      </c>
      <c r="Q518" s="2" t="str">
        <f>PROPER(SUBSTITUTE(TRIM([1]RawShipmentData!M520)," ","-"))</f>
        <v>Delivered</v>
      </c>
      <c r="R518" s="4">
        <f t="shared" si="44"/>
        <v>1031.1111111111111</v>
      </c>
      <c r="S518" s="2">
        <f>[1]RawShipmentData!N520</f>
        <v>3</v>
      </c>
      <c r="T518" s="2" t="str">
        <f>IF(OR(UPPER(TRIM([1]RawShipmentData!O520))="YES",UPPER(TRIM([1]RawShipmentData!O520))="Y"),"Yes","No")</f>
        <v>No</v>
      </c>
    </row>
    <row r="519" spans="1:20" x14ac:dyDescent="0.25">
      <c r="A519" s="2" t="str">
        <f>[1]RawShipmentData!A521</f>
        <v>SHP-101508</v>
      </c>
      <c r="B519" s="3">
        <f>IF(ISNUMBER(SEARCH("/",TRIM([1]RawShipmentData!B521))),DATE(VALUE(RIGHT(TRIM([1]RawShipmentData!B521),4)),VALUE(MID(TRIM([1]RawShipmentData!B521),FIND("/",TRIM([1]RawShipmentData!B521))+1,2)),VALUE(LEFT(TRIM([1]RawShipmentData!B521),FIND("/",TRIM([1]RawShipmentData!B521))-1))),DATEVALUE(TRIM([1]RawShipmentData!B521)))</f>
        <v>45453</v>
      </c>
      <c r="C519" s="2" t="str">
        <f>PROPER(TRIM([1]RawShipmentData!C521))</f>
        <v>Chennai</v>
      </c>
      <c r="D519" s="2" t="str">
        <f>IFERROR(INDEX([1]HubMaster!$B$2:$B$7,MATCH(C519,[1]HubMaster!$A$2:$A$7,0)),"Unknown")</f>
        <v>South</v>
      </c>
      <c r="E519" s="2" t="str">
        <f>PROPER(TRIM(SUBSTITUTE([1]RawShipmentData!D521,"  "," ")))</f>
        <v>Bluedart</v>
      </c>
      <c r="F519" s="2" t="str">
        <f>PROPER(TRIM([1]RawShipmentData!E521))</f>
        <v>Road</v>
      </c>
      <c r="G519" s="2" t="str">
        <f>PROPER(TRIM(SUBSTITUTE([1]RawShipmentData!F521,"  "," ")))</f>
        <v>Electronics</v>
      </c>
      <c r="H519" s="2" t="str">
        <f>PROPER(TRIM([1]RawShipmentData!G521))</f>
        <v>South</v>
      </c>
      <c r="I519" s="2" t="str">
        <f t="shared" si="40"/>
        <v>No</v>
      </c>
      <c r="J519" s="2">
        <f>IFERROR(VALUE(TRIM(SUBSTITUTE(UPPER([1]RawShipmentData!I519),"KG",""))),"")</f>
        <v>3.2</v>
      </c>
      <c r="K519" s="2">
        <f>VALUE(SUBSTITUTE(SUBSTITUTE(SUBSTITUTE(TRIM([1]RawShipmentData!J521),"₹",""),"Rs",""),",",""))</f>
        <v>80</v>
      </c>
      <c r="L519" s="2">
        <f>[1]RawShipmentData!K521</f>
        <v>6</v>
      </c>
      <c r="M519" s="3">
        <f>IF(TRIM([1]RawShipmentData!L521)="","",IF(ISNUMBER(SEARCH("/",TRIM([1]RawShipmentData!L521))),DATE(VALUE(RIGHT(TRIM([1]RawShipmentData!L521),4)),VALUE(MID(TRIM([1]RawShipmentData!L521),FIND("/",TRIM([1]RawShipmentData!L521))+1,2)),VALUE(LEFT(TRIM([1]RawShipmentData!L521),FIND("/",TRIM([1]RawShipmentData!L521))-1))),DATEVALUE(TRIM([1]RawShipmentData!L521))))</f>
        <v>45459</v>
      </c>
      <c r="N519" s="2">
        <f t="shared" si="41"/>
        <v>6</v>
      </c>
      <c r="O519" s="2">
        <f t="shared" si="42"/>
        <v>0</v>
      </c>
      <c r="P519" s="2" t="str">
        <f t="shared" si="43"/>
        <v>On Time</v>
      </c>
      <c r="Q519" s="2" t="str">
        <f>PROPER(SUBSTITUTE(TRIM([1]RawShipmentData!M521)," ","-"))</f>
        <v>Delivered</v>
      </c>
      <c r="R519" s="4">
        <f t="shared" si="44"/>
        <v>25</v>
      </c>
      <c r="S519" s="2">
        <f>[1]RawShipmentData!N521</f>
        <v>4</v>
      </c>
      <c r="T519" s="2" t="str">
        <f>IF(OR(UPPER(TRIM([1]RawShipmentData!O521))="YES",UPPER(TRIM([1]RawShipmentData!O521))="Y"),"Yes","No")</f>
        <v>Yes</v>
      </c>
    </row>
    <row r="520" spans="1:20" x14ac:dyDescent="0.25">
      <c r="A520" s="2" t="str">
        <f>[1]RawShipmentData!A522</f>
        <v>SHP-101024</v>
      </c>
      <c r="B520" s="3">
        <f>IF(ISNUMBER(SEARCH("/",TRIM([1]RawShipmentData!B522))),DATE(VALUE(RIGHT(TRIM([1]RawShipmentData!B522),4)),VALUE(MID(TRIM([1]RawShipmentData!B522),FIND("/",TRIM([1]RawShipmentData!B522))+1,2)),VALUE(LEFT(TRIM([1]RawShipmentData!B522),FIND("/",TRIM([1]RawShipmentData!B522))-1))),DATEVALUE(TRIM([1]RawShipmentData!B522)))</f>
        <v>45434</v>
      </c>
      <c r="C520" s="2" t="str">
        <f>PROPER(TRIM([1]RawShipmentData!C522))</f>
        <v>Chennai</v>
      </c>
      <c r="D520" s="2" t="str">
        <f>IFERROR(INDEX([1]HubMaster!$B$2:$B$7,MATCH(C520,[1]HubMaster!$A$2:$A$7,0)),"Unknown")</f>
        <v>South</v>
      </c>
      <c r="E520" s="2" t="str">
        <f>PROPER(TRIM(SUBSTITUTE([1]RawShipmentData!D522,"  "," ")))</f>
        <v>Bluedart</v>
      </c>
      <c r="F520" s="2" t="str">
        <f>PROPER(TRIM([1]RawShipmentData!E522))</f>
        <v>Road</v>
      </c>
      <c r="G520" s="2" t="str">
        <f>PROPER(TRIM(SUBSTITUTE([1]RawShipmentData!F522,"  "," ")))</f>
        <v>Furniture</v>
      </c>
      <c r="H520" s="2" t="str">
        <f>PROPER(TRIM([1]RawShipmentData!G522))</f>
        <v>East</v>
      </c>
      <c r="I520" s="2" t="str">
        <f t="shared" si="40"/>
        <v>Yes</v>
      </c>
      <c r="J520" s="2">
        <f>IFERROR(VALUE(TRIM(SUBSTITUTE(UPPER([1]RawShipmentData!I520),"KG",""))),"")</f>
        <v>55.9</v>
      </c>
      <c r="K520" s="2">
        <f>VALUE(SUBSTITUTE(SUBSTITUTE(SUBSTITUTE(TRIM([1]RawShipmentData!J522),"₹",""),"Rs",""),",",""))</f>
        <v>478</v>
      </c>
      <c r="L520" s="2">
        <f>[1]RawShipmentData!K522</f>
        <v>8</v>
      </c>
      <c r="M520" s="3">
        <f>IF(TRIM([1]RawShipmentData!L522)="","",IF(ISNUMBER(SEARCH("/",TRIM([1]RawShipmentData!L522))),DATE(VALUE(RIGHT(TRIM([1]RawShipmentData!L522),4)),VALUE(MID(TRIM([1]RawShipmentData!L522),FIND("/",TRIM([1]RawShipmentData!L522))+1,2)),VALUE(LEFT(TRIM([1]RawShipmentData!L522),FIND("/",TRIM([1]RawShipmentData!L522))-1))),DATEVALUE(TRIM([1]RawShipmentData!L522))))</f>
        <v>45443</v>
      </c>
      <c r="N520" s="2">
        <f t="shared" si="41"/>
        <v>9</v>
      </c>
      <c r="O520" s="2">
        <f t="shared" si="42"/>
        <v>1</v>
      </c>
      <c r="P520" s="2" t="str">
        <f t="shared" si="43"/>
        <v>Late</v>
      </c>
      <c r="Q520" s="2" t="str">
        <f>PROPER(SUBSTITUTE(TRIM([1]RawShipmentData!M522)," ","-"))</f>
        <v>Delayed</v>
      </c>
      <c r="R520" s="4">
        <f t="shared" si="44"/>
        <v>8.5509838998211087</v>
      </c>
      <c r="S520" s="2">
        <f>[1]RawShipmentData!N522</f>
        <v>2</v>
      </c>
      <c r="T520" s="2" t="str">
        <f>IF(OR(UPPER(TRIM([1]RawShipmentData!O522))="YES",UPPER(TRIM([1]RawShipmentData!O522))="Y"),"Yes","No")</f>
        <v>Yes</v>
      </c>
    </row>
    <row r="521" spans="1:20" x14ac:dyDescent="0.25">
      <c r="A521" s="2" t="str">
        <f>[1]RawShipmentData!A523</f>
        <v>SHP-101199</v>
      </c>
      <c r="B521" s="3">
        <f>IF(ISNUMBER(SEARCH("/",TRIM([1]RawShipmentData!B523))),DATE(VALUE(RIGHT(TRIM([1]RawShipmentData!B523),4)),VALUE(MID(TRIM([1]RawShipmentData!B523),FIND("/",TRIM([1]RawShipmentData!B523))+1,2)),VALUE(LEFT(TRIM([1]RawShipmentData!B523),FIND("/",TRIM([1]RawShipmentData!B523))-1))),DATEVALUE(TRIM([1]RawShipmentData!B523)))</f>
        <v>45471</v>
      </c>
      <c r="C521" s="2" t="str">
        <f>PROPER(TRIM([1]RawShipmentData!C523))</f>
        <v>Delhi</v>
      </c>
      <c r="D521" s="2" t="str">
        <f>IFERROR(INDEX([1]HubMaster!$B$2:$B$7,MATCH(C521,[1]HubMaster!$A$2:$A$7,0)),"Unknown")</f>
        <v>North</v>
      </c>
      <c r="E521" s="2" t="str">
        <f>PROPER(TRIM(SUBSTITUTE([1]RawShipmentData!D523,"  "," ")))</f>
        <v>Dtdc</v>
      </c>
      <c r="F521" s="2" t="str">
        <f>PROPER(TRIM([1]RawShipmentData!E523))</f>
        <v>Air</v>
      </c>
      <c r="G521" s="2" t="str">
        <f>PROPER(TRIM(SUBSTITUTE([1]RawShipmentData!F523,"  "," ")))</f>
        <v>Electronics</v>
      </c>
      <c r="H521" s="2" t="str">
        <f>PROPER(TRIM([1]RawShipmentData!G523))</f>
        <v>North</v>
      </c>
      <c r="I521" s="2" t="str">
        <f t="shared" si="40"/>
        <v>No</v>
      </c>
      <c r="J521" s="2">
        <f>IFERROR(VALUE(TRIM(SUBSTITUTE(UPPER([1]RawShipmentData!I521),"KG",""))),"")</f>
        <v>2.2999999999999998</v>
      </c>
      <c r="K521" s="2">
        <f>VALUE(SUBSTITUTE(SUBSTITUTE(SUBSTITUTE(TRIM([1]RawShipmentData!J523),"₹",""),"Rs",""),",",""))</f>
        <v>80</v>
      </c>
      <c r="L521" s="2">
        <f>[1]RawShipmentData!K523</f>
        <v>2</v>
      </c>
      <c r="M521" s="3">
        <f>IF(TRIM([1]RawShipmentData!L523)="","",IF(ISNUMBER(SEARCH("/",TRIM([1]RawShipmentData!L523))),DATE(VALUE(RIGHT(TRIM([1]RawShipmentData!L523),4)),VALUE(MID(TRIM([1]RawShipmentData!L523),FIND("/",TRIM([1]RawShipmentData!L523))+1,2)),VALUE(LEFT(TRIM([1]RawShipmentData!L523),FIND("/",TRIM([1]RawShipmentData!L523))-1))),DATEVALUE(TRIM([1]RawShipmentData!L523))))</f>
        <v>45473</v>
      </c>
      <c r="N521" s="2">
        <f t="shared" si="41"/>
        <v>2</v>
      </c>
      <c r="O521" s="2">
        <f t="shared" si="42"/>
        <v>0</v>
      </c>
      <c r="P521" s="2" t="str">
        <f t="shared" si="43"/>
        <v>On Time</v>
      </c>
      <c r="Q521" s="2" t="str">
        <f>PROPER(SUBSTITUTE(TRIM([1]RawShipmentData!M523)," ","-"))</f>
        <v>Delivered</v>
      </c>
      <c r="R521" s="4">
        <f t="shared" si="44"/>
        <v>34.782608695652179</v>
      </c>
      <c r="S521" s="2">
        <f>[1]RawShipmentData!N523</f>
        <v>5</v>
      </c>
      <c r="T521" s="2" t="str">
        <f>IF(OR(UPPER(TRIM([1]RawShipmentData!O523))="YES",UPPER(TRIM([1]RawShipmentData!O523))="Y"),"Yes","No")</f>
        <v>No</v>
      </c>
    </row>
    <row r="522" spans="1:20" x14ac:dyDescent="0.25">
      <c r="A522" s="2" t="str">
        <f>[1]RawShipmentData!A524</f>
        <v>SHP-100769</v>
      </c>
      <c r="B522" s="3">
        <f>IF(ISNUMBER(SEARCH("/",TRIM([1]RawShipmentData!B524))),DATE(VALUE(RIGHT(TRIM([1]RawShipmentData!B524),4)),VALUE(MID(TRIM([1]RawShipmentData!B524),FIND("/",TRIM([1]RawShipmentData!B524))+1,2)),VALUE(LEFT(TRIM([1]RawShipmentData!B524),FIND("/",TRIM([1]RawShipmentData!B524))-1))),DATEVALUE(TRIM([1]RawShipmentData!B524)))</f>
        <v>45364</v>
      </c>
      <c r="C522" s="2" t="str">
        <f>PROPER(TRIM([1]RawShipmentData!C524))</f>
        <v>Chennai</v>
      </c>
      <c r="D522" s="2" t="str">
        <f>IFERROR(INDEX([1]HubMaster!$B$2:$B$7,MATCH(C522,[1]HubMaster!$A$2:$A$7,0)),"Unknown")</f>
        <v>South</v>
      </c>
      <c r="E522" s="2" t="str">
        <f>PROPER(TRIM(SUBSTITUTE([1]RawShipmentData!D524,"  "," ")))</f>
        <v>Dtdc</v>
      </c>
      <c r="F522" s="2" t="str">
        <f>PROPER(TRIM([1]RawShipmentData!E524))</f>
        <v>Surface</v>
      </c>
      <c r="G522" s="2" t="str">
        <f>PROPER(TRIM(SUBSTITUTE([1]RawShipmentData!F524,"  "," ")))</f>
        <v>Pharma</v>
      </c>
      <c r="H522" s="2" t="str">
        <f>PROPER(TRIM([1]RawShipmentData!G524))</f>
        <v>East</v>
      </c>
      <c r="I522" s="2" t="str">
        <f t="shared" si="40"/>
        <v>Yes</v>
      </c>
      <c r="J522" s="2">
        <f>IFERROR(VALUE(TRIM(SUBSTITUTE(UPPER([1]RawShipmentData!I522),"KG",""))),"")</f>
        <v>22.4</v>
      </c>
      <c r="K522" s="2">
        <f>VALUE(SUBSTITUTE(SUBSTITUTE(SUBSTITUTE(TRIM([1]RawShipmentData!J524),"₹",""),"Rs",""),",",""))</f>
        <v>219</v>
      </c>
      <c r="L522" s="2">
        <f>[1]RawShipmentData!K524</f>
        <v>6</v>
      </c>
      <c r="M522" s="3">
        <f>IF(TRIM([1]RawShipmentData!L524)="","",IF(ISNUMBER(SEARCH("/",TRIM([1]RawShipmentData!L524))),DATE(VALUE(RIGHT(TRIM([1]RawShipmentData!L524),4)),VALUE(MID(TRIM([1]RawShipmentData!L524),FIND("/",TRIM([1]RawShipmentData!L524))+1,2)),VALUE(LEFT(TRIM([1]RawShipmentData!L524),FIND("/",TRIM([1]RawShipmentData!L524))-1))),DATEVALUE(TRIM([1]RawShipmentData!L524))))</f>
        <v>45369</v>
      </c>
      <c r="N522" s="2">
        <f t="shared" si="41"/>
        <v>5</v>
      </c>
      <c r="O522" s="2">
        <f t="shared" si="42"/>
        <v>-1</v>
      </c>
      <c r="P522" s="2" t="str">
        <f t="shared" si="43"/>
        <v>On Time</v>
      </c>
      <c r="Q522" s="2" t="str">
        <f>PROPER(SUBSTITUTE(TRIM([1]RawShipmentData!M524)," ","-"))</f>
        <v>Delivered</v>
      </c>
      <c r="R522" s="4">
        <f t="shared" si="44"/>
        <v>9.7767857142857153</v>
      </c>
      <c r="S522" s="2">
        <f>[1]RawShipmentData!N524</f>
        <v>3</v>
      </c>
      <c r="T522" s="2" t="str">
        <f>IF(OR(UPPER(TRIM([1]RawShipmentData!O524))="YES",UPPER(TRIM([1]RawShipmentData!O524))="Y"),"Yes","No")</f>
        <v>Yes</v>
      </c>
    </row>
    <row r="523" spans="1:20" x14ac:dyDescent="0.25">
      <c r="A523" s="2" t="str">
        <f>[1]RawShipmentData!A525</f>
        <v>SHP-101526</v>
      </c>
      <c r="B523" s="3">
        <f>IF(ISNUMBER(SEARCH("/",TRIM([1]RawShipmentData!B525))),DATE(VALUE(RIGHT(TRIM([1]RawShipmentData!B525),4)),VALUE(MID(TRIM([1]RawShipmentData!B525),FIND("/",TRIM([1]RawShipmentData!B525))+1,2)),VALUE(LEFT(TRIM([1]RawShipmentData!B525),FIND("/",TRIM([1]RawShipmentData!B525))-1))),DATEVALUE(TRIM([1]RawShipmentData!B525)))</f>
        <v>45310</v>
      </c>
      <c r="C523" s="2" t="str">
        <f>PROPER(TRIM([1]RawShipmentData!C525))</f>
        <v>Hyderabad</v>
      </c>
      <c r="D523" s="2" t="str">
        <f>IFERROR(INDEX([1]HubMaster!$B$2:$B$7,MATCH(C523,[1]HubMaster!$A$2:$A$7,0)),"Unknown")</f>
        <v>West</v>
      </c>
      <c r="E523" s="2" t="str">
        <f>PROPER(TRIM(SUBSTITUTE([1]RawShipmentData!D525,"  "," ")))</f>
        <v>Dtdc</v>
      </c>
      <c r="F523" s="2" t="str">
        <f>PROPER(TRIM([1]RawShipmentData!E525))</f>
        <v>Surface</v>
      </c>
      <c r="G523" s="2" t="str">
        <f>PROPER(TRIM(SUBSTITUTE([1]RawShipmentData!F525,"  "," ")))</f>
        <v>Automotive Parts</v>
      </c>
      <c r="H523" s="2" t="str">
        <f>PROPER(TRIM([1]RawShipmentData!G525))</f>
        <v>West</v>
      </c>
      <c r="I523" s="2" t="str">
        <f t="shared" si="40"/>
        <v>No</v>
      </c>
      <c r="J523" s="2">
        <f>IFERROR(VALUE(TRIM(SUBSTITUTE(UPPER([1]RawShipmentData!I523),"KG",""))),"")</f>
        <v>2.4</v>
      </c>
      <c r="K523" s="2">
        <f>VALUE(SUBSTITUTE(SUBSTITUTE(SUBSTITUTE(TRIM([1]RawShipmentData!J525),"₹",""),"Rs",""),",",""))</f>
        <v>466</v>
      </c>
      <c r="L523" s="2">
        <f>[1]RawShipmentData!K525</f>
        <v>4</v>
      </c>
      <c r="M523" s="3">
        <f>IF(TRIM([1]RawShipmentData!L525)="","",IF(ISNUMBER(SEARCH("/",TRIM([1]RawShipmentData!L525))),DATE(VALUE(RIGHT(TRIM([1]RawShipmentData!L525),4)),VALUE(MID(TRIM([1]RawShipmentData!L525),FIND("/",TRIM([1]RawShipmentData!L525))+1,2)),VALUE(LEFT(TRIM([1]RawShipmentData!L525),FIND("/",TRIM([1]RawShipmentData!L525))-1))),DATEVALUE(TRIM([1]RawShipmentData!L525))))</f>
        <v>45318</v>
      </c>
      <c r="N523" s="2">
        <f t="shared" si="41"/>
        <v>8</v>
      </c>
      <c r="O523" s="2">
        <f t="shared" si="42"/>
        <v>4</v>
      </c>
      <c r="P523" s="2" t="str">
        <f t="shared" si="43"/>
        <v>Late</v>
      </c>
      <c r="Q523" s="2" t="str">
        <f>PROPER(SUBSTITUTE(TRIM([1]RawShipmentData!M525)," ","-"))</f>
        <v>Delayed</v>
      </c>
      <c r="R523" s="4">
        <f t="shared" si="44"/>
        <v>194.16666666666669</v>
      </c>
      <c r="S523" s="2">
        <f>[1]RawShipmentData!N525</f>
        <v>4</v>
      </c>
      <c r="T523" s="2" t="str">
        <f>IF(OR(UPPER(TRIM([1]RawShipmentData!O525))="YES",UPPER(TRIM([1]RawShipmentData!O525))="Y"),"Yes","No")</f>
        <v>No</v>
      </c>
    </row>
    <row r="524" spans="1:20" x14ac:dyDescent="0.25">
      <c r="A524" s="2" t="str">
        <f>[1]RawShipmentData!A526</f>
        <v>SHP-101449</v>
      </c>
      <c r="B524" s="3">
        <f>IF(ISNUMBER(SEARCH("/",TRIM([1]RawShipmentData!B526))),DATE(VALUE(RIGHT(TRIM([1]RawShipmentData!B526),4)),VALUE(MID(TRIM([1]RawShipmentData!B526),FIND("/",TRIM([1]RawShipmentData!B526))+1,2)),VALUE(LEFT(TRIM([1]RawShipmentData!B526),FIND("/",TRIM([1]RawShipmentData!B526))-1))),DATEVALUE(TRIM([1]RawShipmentData!B526)))</f>
        <v>45422</v>
      </c>
      <c r="C524" s="2" t="str">
        <f>PROPER(TRIM([1]RawShipmentData!C526))</f>
        <v>Delhi</v>
      </c>
      <c r="D524" s="2" t="str">
        <f>IFERROR(INDEX([1]HubMaster!$B$2:$B$7,MATCH(C524,[1]HubMaster!$A$2:$A$7,0)),"Unknown")</f>
        <v>North</v>
      </c>
      <c r="E524" s="2" t="str">
        <f>PROPER(TRIM(SUBSTITUTE([1]RawShipmentData!D526,"  "," ")))</f>
        <v>Delhivery</v>
      </c>
      <c r="F524" s="2" t="str">
        <f>PROPER(TRIM([1]RawShipmentData!E526))</f>
        <v>Surface</v>
      </c>
      <c r="G524" s="2" t="str">
        <f>PROPER(TRIM(SUBSTITUTE([1]RawShipmentData!F526,"  "," ")))</f>
        <v>Pharma</v>
      </c>
      <c r="H524" s="2" t="str">
        <f>PROPER(TRIM([1]RawShipmentData!G526))</f>
        <v>West</v>
      </c>
      <c r="I524" s="2" t="str">
        <f t="shared" si="40"/>
        <v>Yes</v>
      </c>
      <c r="J524" s="2">
        <f>IFERROR(VALUE(TRIM(SUBSTITUTE(UPPER([1]RawShipmentData!I524),"KG",""))),"")</f>
        <v>3.2</v>
      </c>
      <c r="K524" s="2">
        <f>VALUE(SUBSTITUTE(SUBSTITUTE(SUBSTITUTE(TRIM([1]RawShipmentData!J526),"₹",""),"Rs",""),",",""))</f>
        <v>169</v>
      </c>
      <c r="L524" s="2">
        <f>[1]RawShipmentData!K526</f>
        <v>6</v>
      </c>
      <c r="M524" s="3">
        <f>IF(TRIM([1]RawShipmentData!L526)="","",IF(ISNUMBER(SEARCH("/",TRIM([1]RawShipmentData!L526))),DATE(VALUE(RIGHT(TRIM([1]RawShipmentData!L526),4)),VALUE(MID(TRIM([1]RawShipmentData!L526),FIND("/",TRIM([1]RawShipmentData!L526))+1,2)),VALUE(LEFT(TRIM([1]RawShipmentData!L526),FIND("/",TRIM([1]RawShipmentData!L526))-1))),DATEVALUE(TRIM([1]RawShipmentData!L526))))</f>
        <v>45429</v>
      </c>
      <c r="N524" s="2">
        <f t="shared" si="41"/>
        <v>7</v>
      </c>
      <c r="O524" s="2">
        <f t="shared" si="42"/>
        <v>1</v>
      </c>
      <c r="P524" s="2" t="str">
        <f t="shared" si="43"/>
        <v>Late</v>
      </c>
      <c r="Q524" s="2" t="str">
        <f>PROPER(SUBSTITUTE(TRIM([1]RawShipmentData!M526)," ","-"))</f>
        <v>Delayed</v>
      </c>
      <c r="R524" s="4">
        <f t="shared" si="44"/>
        <v>52.8125</v>
      </c>
      <c r="S524" s="2">
        <f>[1]RawShipmentData!N526</f>
        <v>2</v>
      </c>
      <c r="T524" s="2" t="str">
        <f>IF(OR(UPPER(TRIM([1]RawShipmentData!O526))="YES",UPPER(TRIM([1]RawShipmentData!O526))="Y"),"Yes","No")</f>
        <v>Yes</v>
      </c>
    </row>
    <row r="525" spans="1:20" x14ac:dyDescent="0.25">
      <c r="A525" s="2" t="str">
        <f>[1]RawShipmentData!A527</f>
        <v>SHP-101143</v>
      </c>
      <c r="B525" s="3">
        <f>IF(ISNUMBER(SEARCH("/",TRIM([1]RawShipmentData!B527))),DATE(VALUE(RIGHT(TRIM([1]RawShipmentData!B527),4)),VALUE(MID(TRIM([1]RawShipmentData!B527),FIND("/",TRIM([1]RawShipmentData!B527))+1,2)),VALUE(LEFT(TRIM([1]RawShipmentData!B527),FIND("/",TRIM([1]RawShipmentData!B527))-1))),DATEVALUE(TRIM([1]RawShipmentData!B527)))</f>
        <v>45373</v>
      </c>
      <c r="C525" s="2" t="str">
        <f>PROPER(TRIM([1]RawShipmentData!C527))</f>
        <v>Bengaluru</v>
      </c>
      <c r="D525" s="2" t="str">
        <f>IFERROR(INDEX([1]HubMaster!$B$2:$B$7,MATCH(C525,[1]HubMaster!$A$2:$A$7,0)),"Unknown")</f>
        <v>South</v>
      </c>
      <c r="E525" s="2" t="str">
        <f>PROPER(TRIM(SUBSTITUTE([1]RawShipmentData!D527,"  "," ")))</f>
        <v>Blue Dart</v>
      </c>
      <c r="F525" s="2" t="str">
        <f>PROPER(TRIM([1]RawShipmentData!E527))</f>
        <v>Surface</v>
      </c>
      <c r="G525" s="2" t="str">
        <f>PROPER(TRIM(SUBSTITUTE([1]RawShipmentData!F527,"  "," ")))</f>
        <v>Grocery &amp; Fmcg</v>
      </c>
      <c r="H525" s="2" t="str">
        <f>PROPER(TRIM([1]RawShipmentData!G527))</f>
        <v>East</v>
      </c>
      <c r="I525" s="2" t="str">
        <f t="shared" si="40"/>
        <v>Yes</v>
      </c>
      <c r="J525" s="2">
        <f>IFERROR(VALUE(TRIM(SUBSTITUTE(UPPER([1]RawShipmentData!I525),"KG",""))),"")</f>
        <v>19.2</v>
      </c>
      <c r="K525" s="2">
        <f>VALUE(SUBSTITUTE(SUBSTITUTE(SUBSTITUTE(TRIM([1]RawShipmentData!J527),"₹",""),"Rs",""),",",""))</f>
        <v>461</v>
      </c>
      <c r="L525" s="2">
        <f>[1]RawShipmentData!K527</f>
        <v>6</v>
      </c>
      <c r="M525" s="3">
        <f>IF(TRIM([1]RawShipmentData!L527)="","",IF(ISNUMBER(SEARCH("/",TRIM([1]RawShipmentData!L527))),DATE(VALUE(RIGHT(TRIM([1]RawShipmentData!L527),4)),VALUE(MID(TRIM([1]RawShipmentData!L527),FIND("/",TRIM([1]RawShipmentData!L527))+1,2)),VALUE(LEFT(TRIM([1]RawShipmentData!L527),FIND("/",TRIM([1]RawShipmentData!L527))-1))),DATEVALUE(TRIM([1]RawShipmentData!L527))))</f>
        <v>45380</v>
      </c>
      <c r="N525" s="2">
        <f t="shared" si="41"/>
        <v>7</v>
      </c>
      <c r="O525" s="2">
        <f t="shared" si="42"/>
        <v>1</v>
      </c>
      <c r="P525" s="2" t="str">
        <f t="shared" si="43"/>
        <v>Late</v>
      </c>
      <c r="Q525" s="2" t="str">
        <f>PROPER(SUBSTITUTE(TRIM([1]RawShipmentData!M527)," ","-"))</f>
        <v>Delayed</v>
      </c>
      <c r="R525" s="4">
        <f t="shared" si="44"/>
        <v>24.010416666666668</v>
      </c>
      <c r="S525" s="2">
        <f>[1]RawShipmentData!N527</f>
        <v>2</v>
      </c>
      <c r="T525" s="2" t="str">
        <f>IF(OR(UPPER(TRIM([1]RawShipmentData!O527))="YES",UPPER(TRIM([1]RawShipmentData!O527))="Y"),"Yes","No")</f>
        <v>Yes</v>
      </c>
    </row>
    <row r="526" spans="1:20" x14ac:dyDescent="0.25">
      <c r="A526" s="2" t="str">
        <f>[1]RawShipmentData!A528</f>
        <v>SHP-100346</v>
      </c>
      <c r="B526" s="3">
        <f>IF(ISNUMBER(SEARCH("/",TRIM([1]RawShipmentData!B528))),DATE(VALUE(RIGHT(TRIM([1]RawShipmentData!B528),4)),VALUE(MID(TRIM([1]RawShipmentData!B528),FIND("/",TRIM([1]RawShipmentData!B528))+1,2)),VALUE(LEFT(TRIM([1]RawShipmentData!B528),FIND("/",TRIM([1]RawShipmentData!B528))-1))),DATEVALUE(TRIM([1]RawShipmentData!B528)))</f>
        <v>45389</v>
      </c>
      <c r="C526" s="2" t="str">
        <f>PROPER(TRIM([1]RawShipmentData!C528))</f>
        <v>Hyderabad</v>
      </c>
      <c r="D526" s="2" t="str">
        <f>IFERROR(INDEX([1]HubMaster!$B$2:$B$7,MATCH(C526,[1]HubMaster!$A$2:$A$7,0)),"Unknown")</f>
        <v>West</v>
      </c>
      <c r="E526" s="2" t="str">
        <f>PROPER(TRIM(SUBSTITUTE([1]RawShipmentData!D528,"  "," ")))</f>
        <v>Xpressbees</v>
      </c>
      <c r="F526" s="2" t="str">
        <f>PROPER(TRIM([1]RawShipmentData!E528))</f>
        <v>Road</v>
      </c>
      <c r="G526" s="2" t="str">
        <f>PROPER(TRIM(SUBSTITUTE([1]RawShipmentData!F528,"  "," ")))</f>
        <v>Automotive Parts</v>
      </c>
      <c r="H526" s="2" t="str">
        <f>PROPER(TRIM([1]RawShipmentData!G528))</f>
        <v>West</v>
      </c>
      <c r="I526" s="2" t="str">
        <f t="shared" si="40"/>
        <v>No</v>
      </c>
      <c r="J526" s="2">
        <f>IFERROR(VALUE(TRIM(SUBSTITUTE(UPPER([1]RawShipmentData!I526),"KG",""))),"")</f>
        <v>1.1000000000000001</v>
      </c>
      <c r="K526" s="2">
        <f>VALUE(SUBSTITUTE(SUBSTITUTE(SUBSTITUTE(TRIM([1]RawShipmentData!J528),"₹",""),"Rs",""),",",""))</f>
        <v>454</v>
      </c>
      <c r="L526" s="2">
        <f>[1]RawShipmentData!K528</f>
        <v>6</v>
      </c>
      <c r="M526" s="3">
        <f>IF(TRIM([1]RawShipmentData!L528)="","",IF(ISNUMBER(SEARCH("/",TRIM([1]RawShipmentData!L528))),DATE(VALUE(RIGHT(TRIM([1]RawShipmentData!L528),4)),VALUE(MID(TRIM([1]RawShipmentData!L528),FIND("/",TRIM([1]RawShipmentData!L528))+1,2)),VALUE(LEFT(TRIM([1]RawShipmentData!L528),FIND("/",TRIM([1]RawShipmentData!L528))-1))),DATEVALUE(TRIM([1]RawShipmentData!L528))))</f>
        <v>45394</v>
      </c>
      <c r="N526" s="2">
        <f t="shared" si="41"/>
        <v>5</v>
      </c>
      <c r="O526" s="2">
        <f t="shared" si="42"/>
        <v>-1</v>
      </c>
      <c r="P526" s="2" t="str">
        <f t="shared" si="43"/>
        <v>On Time</v>
      </c>
      <c r="Q526" s="2" t="str">
        <f>PROPER(SUBSTITUTE(TRIM([1]RawShipmentData!M528)," ","-"))</f>
        <v>Delivered</v>
      </c>
      <c r="R526" s="4">
        <f t="shared" si="44"/>
        <v>412.72727272727269</v>
      </c>
      <c r="S526" s="2">
        <f>[1]RawShipmentData!N528</f>
        <v>5</v>
      </c>
      <c r="T526" s="2" t="str">
        <f>IF(OR(UPPER(TRIM([1]RawShipmentData!O528))="YES",UPPER(TRIM([1]RawShipmentData!O528))="Y"),"Yes","No")</f>
        <v>No</v>
      </c>
    </row>
    <row r="527" spans="1:20" x14ac:dyDescent="0.25">
      <c r="A527" s="2" t="str">
        <f>[1]RawShipmentData!A529</f>
        <v>SHP-100130</v>
      </c>
      <c r="B527" s="3">
        <f>IF(ISNUMBER(SEARCH("/",TRIM([1]RawShipmentData!B529))),DATE(VALUE(RIGHT(TRIM([1]RawShipmentData!B529),4)),VALUE(MID(TRIM([1]RawShipmentData!B529),FIND("/",TRIM([1]RawShipmentData!B529))+1,2)),VALUE(LEFT(TRIM([1]RawShipmentData!B529),FIND("/",TRIM([1]RawShipmentData!B529))-1))),DATEVALUE(TRIM([1]RawShipmentData!B529)))</f>
        <v>45355</v>
      </c>
      <c r="C527" s="2" t="str">
        <f>PROPER(TRIM([1]RawShipmentData!C529))</f>
        <v>Delhi</v>
      </c>
      <c r="D527" s="2" t="str">
        <f>IFERROR(INDEX([1]HubMaster!$B$2:$B$7,MATCH(C527,[1]HubMaster!$A$2:$A$7,0)),"Unknown")</f>
        <v>North</v>
      </c>
      <c r="E527" s="2" t="str">
        <f>PROPER(TRIM(SUBSTITUTE([1]RawShipmentData!D529,"  "," ")))</f>
        <v>Xpress Bees</v>
      </c>
      <c r="F527" s="2" t="str">
        <f>PROPER(TRIM([1]RawShipmentData!E529))</f>
        <v>Air</v>
      </c>
      <c r="G527" s="2" t="str">
        <f>PROPER(TRIM(SUBSTITUTE([1]RawShipmentData!F529,"  "," ")))</f>
        <v>Apparel</v>
      </c>
      <c r="H527" s="2" t="str">
        <f>PROPER(TRIM([1]RawShipmentData!G529))</f>
        <v>North</v>
      </c>
      <c r="I527" s="2" t="str">
        <f t="shared" si="40"/>
        <v>No</v>
      </c>
      <c r="J527" s="2">
        <f>IFERROR(VALUE(TRIM(SUBSTITUTE(UPPER([1]RawShipmentData!I527),"KG",""))),"")</f>
        <v>12.2</v>
      </c>
      <c r="K527" s="2">
        <f>VALUE(SUBSTITUTE(SUBSTITUTE(SUBSTITUTE(TRIM([1]RawShipmentData!J529),"₹",""),"Rs",""),",",""))</f>
        <v>166</v>
      </c>
      <c r="L527" s="2">
        <f>[1]RawShipmentData!K529</f>
        <v>2</v>
      </c>
      <c r="M527" s="3">
        <f>IF(TRIM([1]RawShipmentData!L529)="","",IF(ISNUMBER(SEARCH("/",TRIM([1]RawShipmentData!L529))),DATE(VALUE(RIGHT(TRIM([1]RawShipmentData!L529),4)),VALUE(MID(TRIM([1]RawShipmentData!L529),FIND("/",TRIM([1]RawShipmentData!L529))+1,2)),VALUE(LEFT(TRIM([1]RawShipmentData!L529),FIND("/",TRIM([1]RawShipmentData!L529))-1))),DATEVALUE(TRIM([1]RawShipmentData!L529))))</f>
        <v>45358</v>
      </c>
      <c r="N527" s="2">
        <f t="shared" si="41"/>
        <v>3</v>
      </c>
      <c r="O527" s="2">
        <f t="shared" si="42"/>
        <v>1</v>
      </c>
      <c r="P527" s="2" t="str">
        <f t="shared" si="43"/>
        <v>Late</v>
      </c>
      <c r="Q527" s="2" t="str">
        <f>PROPER(SUBSTITUTE(TRIM([1]RawShipmentData!M529)," ","-"))</f>
        <v>Delayed</v>
      </c>
      <c r="R527" s="4">
        <f t="shared" si="44"/>
        <v>13.606557377049182</v>
      </c>
      <c r="S527" s="2">
        <f>[1]RawShipmentData!N529</f>
        <v>3</v>
      </c>
      <c r="T527" s="2" t="str">
        <f>IF(OR(UPPER(TRIM([1]RawShipmentData!O529))="YES",UPPER(TRIM([1]RawShipmentData!O529))="Y"),"Yes","No")</f>
        <v>No</v>
      </c>
    </row>
    <row r="528" spans="1:20" x14ac:dyDescent="0.25">
      <c r="A528" s="2" t="str">
        <f>[1]RawShipmentData!A530</f>
        <v>SHP-100727</v>
      </c>
      <c r="B528" s="3">
        <f>IF(ISNUMBER(SEARCH("/",TRIM([1]RawShipmentData!B530))),DATE(VALUE(RIGHT(TRIM([1]RawShipmentData!B530),4)),VALUE(MID(TRIM([1]RawShipmentData!B530),FIND("/",TRIM([1]RawShipmentData!B530))+1,2)),VALUE(LEFT(TRIM([1]RawShipmentData!B530),FIND("/",TRIM([1]RawShipmentData!B530))-1))),DATEVALUE(TRIM([1]RawShipmentData!B530)))</f>
        <v>45367</v>
      </c>
      <c r="C528" s="2" t="str">
        <f>PROPER(TRIM([1]RawShipmentData!C530))</f>
        <v>Kolkata</v>
      </c>
      <c r="D528" s="2" t="str">
        <f>IFERROR(INDEX([1]HubMaster!$B$2:$B$7,MATCH(C528,[1]HubMaster!$A$2:$A$7,0)),"Unknown")</f>
        <v>East</v>
      </c>
      <c r="E528" s="2" t="str">
        <f>PROPER(TRIM(SUBSTITUTE([1]RawShipmentData!D530,"  "," ")))</f>
        <v>Dtdc</v>
      </c>
      <c r="F528" s="2" t="str">
        <f>PROPER(TRIM([1]RawShipmentData!E530))</f>
        <v>Road</v>
      </c>
      <c r="G528" s="2" t="str">
        <f>PROPER(TRIM(SUBSTITUTE([1]RawShipmentData!F530,"  "," ")))</f>
        <v>Apparel</v>
      </c>
      <c r="H528" s="2" t="str">
        <f>PROPER(TRIM([1]RawShipmentData!G530))</f>
        <v>West</v>
      </c>
      <c r="I528" s="2" t="str">
        <f t="shared" si="40"/>
        <v>Yes</v>
      </c>
      <c r="J528" s="2">
        <f>IFERROR(VALUE(TRIM(SUBSTITUTE(UPPER([1]RawShipmentData!I528),"KG",""))),"")</f>
        <v>32.9</v>
      </c>
      <c r="K528" s="2">
        <f>VALUE(SUBSTITUTE(SUBSTITUTE(SUBSTITUTE(TRIM([1]RawShipmentData!J530),"₹",""),"Rs",""),",",""))</f>
        <v>279</v>
      </c>
      <c r="L528" s="2">
        <f>[1]RawShipmentData!K530</f>
        <v>8</v>
      </c>
      <c r="M528" s="3">
        <f>IF(TRIM([1]RawShipmentData!L530)="","",IF(ISNUMBER(SEARCH("/",TRIM([1]RawShipmentData!L530))),DATE(VALUE(RIGHT(TRIM([1]RawShipmentData!L530),4)),VALUE(MID(TRIM([1]RawShipmentData!L530),FIND("/",TRIM([1]RawShipmentData!L530))+1,2)),VALUE(LEFT(TRIM([1]RawShipmentData!L530),FIND("/",TRIM([1]RawShipmentData!L530))-1))),DATEVALUE(TRIM([1]RawShipmentData!L530))))</f>
        <v>45376</v>
      </c>
      <c r="N528" s="2">
        <f t="shared" si="41"/>
        <v>9</v>
      </c>
      <c r="O528" s="2">
        <f t="shared" si="42"/>
        <v>1</v>
      </c>
      <c r="P528" s="2" t="str">
        <f t="shared" si="43"/>
        <v>Late</v>
      </c>
      <c r="Q528" s="2" t="str">
        <f>PROPER(SUBSTITUTE(TRIM([1]RawShipmentData!M530)," ","-"))</f>
        <v>Returned</v>
      </c>
      <c r="R528" s="4">
        <f t="shared" si="44"/>
        <v>8.4802431610942257</v>
      </c>
      <c r="S528" s="2">
        <f>[1]RawShipmentData!N530</f>
        <v>0</v>
      </c>
      <c r="T528" s="2" t="str">
        <f>IF(OR(UPPER(TRIM([1]RawShipmentData!O530))="YES",UPPER(TRIM([1]RawShipmentData!O530))="Y"),"Yes","No")</f>
        <v>No</v>
      </c>
    </row>
    <row r="529" spans="1:20" x14ac:dyDescent="0.25">
      <c r="A529" s="2" t="str">
        <f>[1]RawShipmentData!A531</f>
        <v>SHP-100786</v>
      </c>
      <c r="B529" s="3">
        <f>IF(ISNUMBER(SEARCH("/",TRIM([1]RawShipmentData!B531))),DATE(VALUE(RIGHT(TRIM([1]RawShipmentData!B531),4)),VALUE(MID(TRIM([1]RawShipmentData!B531),FIND("/",TRIM([1]RawShipmentData!B531))+1,2)),VALUE(LEFT(TRIM([1]RawShipmentData!B531),FIND("/",TRIM([1]RawShipmentData!B531))-1))),DATEVALUE(TRIM([1]RawShipmentData!B531)))</f>
        <v>45314</v>
      </c>
      <c r="C529" s="2" t="str">
        <f>PROPER(TRIM([1]RawShipmentData!C531))</f>
        <v>Hyderabad</v>
      </c>
      <c r="D529" s="2" t="str">
        <f>IFERROR(INDEX([1]HubMaster!$B$2:$B$7,MATCH(C529,[1]HubMaster!$A$2:$A$7,0)),"Unknown")</f>
        <v>West</v>
      </c>
      <c r="E529" s="2" t="str">
        <f>PROPER(TRIM(SUBSTITUTE([1]RawShipmentData!D531,"  "," ")))</f>
        <v>Xpressbees</v>
      </c>
      <c r="F529" s="2" t="str">
        <f>PROPER(TRIM([1]RawShipmentData!E531))</f>
        <v>Road</v>
      </c>
      <c r="G529" s="2" t="str">
        <f>PROPER(TRIM(SUBSTITUTE([1]RawShipmentData!F531,"  "," ")))</f>
        <v>Electronics</v>
      </c>
      <c r="H529" s="2" t="str">
        <f>PROPER(TRIM([1]RawShipmentData!G531))</f>
        <v>South</v>
      </c>
      <c r="I529" s="2" t="str">
        <f t="shared" si="40"/>
        <v>Yes</v>
      </c>
      <c r="J529" s="2">
        <f>IFERROR(VALUE(TRIM(SUBSTITUTE(UPPER([1]RawShipmentData!I529),"KG",""))),"")</f>
        <v>4.3</v>
      </c>
      <c r="K529" s="2">
        <f>VALUE(SUBSTITUTE(SUBSTITUTE(SUBSTITUTE(TRIM([1]RawShipmentData!J531),"₹",""),"Rs",""),",",""))</f>
        <v>355</v>
      </c>
      <c r="L529" s="2">
        <f>[1]RawShipmentData!K531</f>
        <v>8</v>
      </c>
      <c r="M529" s="3">
        <f>IF(TRIM([1]RawShipmentData!L531)="","",IF(ISNUMBER(SEARCH("/",TRIM([1]RawShipmentData!L531))),DATE(VALUE(RIGHT(TRIM([1]RawShipmentData!L531),4)),VALUE(MID(TRIM([1]RawShipmentData!L531),FIND("/",TRIM([1]RawShipmentData!L531))+1,2)),VALUE(LEFT(TRIM([1]RawShipmentData!L531),FIND("/",TRIM([1]RawShipmentData!L531))-1))),DATEVALUE(TRIM([1]RawShipmentData!L531))))</f>
        <v>45323</v>
      </c>
      <c r="N529" s="2">
        <f t="shared" si="41"/>
        <v>9</v>
      </c>
      <c r="O529" s="2">
        <f t="shared" si="42"/>
        <v>1</v>
      </c>
      <c r="P529" s="2" t="str">
        <f t="shared" si="43"/>
        <v>Late</v>
      </c>
      <c r="Q529" s="2" t="str">
        <f>PROPER(SUBSTITUTE(TRIM([1]RawShipmentData!M531)," ","-"))</f>
        <v>Delayed</v>
      </c>
      <c r="R529" s="4">
        <f t="shared" si="44"/>
        <v>82.558139534883722</v>
      </c>
      <c r="S529" s="2">
        <f>[1]RawShipmentData!N531</f>
        <v>5</v>
      </c>
      <c r="T529" s="2" t="str">
        <f>IF(OR(UPPER(TRIM([1]RawShipmentData!O531))="YES",UPPER(TRIM([1]RawShipmentData!O531))="Y"),"Yes","No")</f>
        <v>No</v>
      </c>
    </row>
    <row r="530" spans="1:20" x14ac:dyDescent="0.25">
      <c r="A530" s="2" t="str">
        <f>[1]RawShipmentData!A532</f>
        <v>SHP-101478</v>
      </c>
      <c r="B530" s="3">
        <f>IF(ISNUMBER(SEARCH("/",TRIM([1]RawShipmentData!B532))),DATE(VALUE(RIGHT(TRIM([1]RawShipmentData!B532),4)),VALUE(MID(TRIM([1]RawShipmentData!B532),FIND("/",TRIM([1]RawShipmentData!B532))+1,2)),VALUE(LEFT(TRIM([1]RawShipmentData!B532),FIND("/",TRIM([1]RawShipmentData!B532))-1))),DATEVALUE(TRIM([1]RawShipmentData!B532)))</f>
        <v>45426</v>
      </c>
      <c r="C530" s="2" t="str">
        <f>PROPER(TRIM([1]RawShipmentData!C532))</f>
        <v>Hyderabad</v>
      </c>
      <c r="D530" s="2" t="str">
        <f>IFERROR(INDEX([1]HubMaster!$B$2:$B$7,MATCH(C530,[1]HubMaster!$A$2:$A$7,0)),"Unknown")</f>
        <v>West</v>
      </c>
      <c r="E530" s="2" t="str">
        <f>PROPER(TRIM(SUBSTITUTE([1]RawShipmentData!D532,"  "," ")))</f>
        <v>Blue Dart</v>
      </c>
      <c r="F530" s="2" t="str">
        <f>PROPER(TRIM([1]RawShipmentData!E532))</f>
        <v>Surface</v>
      </c>
      <c r="G530" s="2" t="str">
        <f>PROPER(TRIM(SUBSTITUTE([1]RawShipmentData!F532,"  "," ")))</f>
        <v>Furniture</v>
      </c>
      <c r="H530" s="2" t="str">
        <f>PROPER(TRIM([1]RawShipmentData!G532))</f>
        <v>South</v>
      </c>
      <c r="I530" s="2" t="str">
        <f t="shared" si="40"/>
        <v>Yes</v>
      </c>
      <c r="J530" s="2">
        <f>IFERROR(VALUE(TRIM(SUBSTITUTE(UPPER([1]RawShipmentData!I530),"KG",""))),"")</f>
        <v>6.4</v>
      </c>
      <c r="K530" s="2">
        <f>VALUE(SUBSTITUTE(SUBSTITUTE(SUBSTITUTE(TRIM([1]RawShipmentData!J532),"₹",""),"Rs",""),",",""))</f>
        <v>1391</v>
      </c>
      <c r="L530" s="2">
        <f>[1]RawShipmentData!K532</f>
        <v>6</v>
      </c>
      <c r="M530" s="3">
        <f>IF(TRIM([1]RawShipmentData!L532)="","",IF(ISNUMBER(SEARCH("/",TRIM([1]RawShipmentData!L532))),DATE(VALUE(RIGHT(TRIM([1]RawShipmentData!L532),4)),VALUE(MID(TRIM([1]RawShipmentData!L532),FIND("/",TRIM([1]RawShipmentData!L532))+1,2)),VALUE(LEFT(TRIM([1]RawShipmentData!L532),FIND("/",TRIM([1]RawShipmentData!L532))-1))),DATEVALUE(TRIM([1]RawShipmentData!L532))))</f>
        <v>45431</v>
      </c>
      <c r="N530" s="2">
        <f t="shared" si="41"/>
        <v>5</v>
      </c>
      <c r="O530" s="2">
        <f t="shared" si="42"/>
        <v>-1</v>
      </c>
      <c r="P530" s="2" t="str">
        <f t="shared" si="43"/>
        <v>On Time</v>
      </c>
      <c r="Q530" s="2" t="str">
        <f>PROPER(SUBSTITUTE(TRIM([1]RawShipmentData!M532)," ","-"))</f>
        <v>Delivered</v>
      </c>
      <c r="R530" s="4">
        <f t="shared" si="44"/>
        <v>217.34375</v>
      </c>
      <c r="S530" s="2">
        <f>[1]RawShipmentData!N532</f>
        <v>1</v>
      </c>
      <c r="T530" s="2" t="str">
        <f>IF(OR(UPPER(TRIM([1]RawShipmentData!O532))="YES",UPPER(TRIM([1]RawShipmentData!O532))="Y"),"Yes","No")</f>
        <v>Yes</v>
      </c>
    </row>
    <row r="531" spans="1:20" x14ac:dyDescent="0.25">
      <c r="A531" s="2" t="str">
        <f>[1]RawShipmentData!A533</f>
        <v>SHP-101381</v>
      </c>
      <c r="B531" s="3">
        <f>IF(ISNUMBER(SEARCH("/",TRIM([1]RawShipmentData!B533))),DATE(VALUE(RIGHT(TRIM([1]RawShipmentData!B533),4)),VALUE(MID(TRIM([1]RawShipmentData!B533),FIND("/",TRIM([1]RawShipmentData!B533))+1,2)),VALUE(LEFT(TRIM([1]RawShipmentData!B533),FIND("/",TRIM([1]RawShipmentData!B533))-1))),DATEVALUE(TRIM([1]RawShipmentData!B533)))</f>
        <v>45454</v>
      </c>
      <c r="C531" s="2" t="str">
        <f>PROPER(TRIM([1]RawShipmentData!C533))</f>
        <v>Mumbai</v>
      </c>
      <c r="D531" s="2" t="str">
        <f>IFERROR(INDEX([1]HubMaster!$B$2:$B$7,MATCH(C531,[1]HubMaster!$A$2:$A$7,0)),"Unknown")</f>
        <v>West</v>
      </c>
      <c r="E531" s="2" t="str">
        <f>PROPER(TRIM(SUBSTITUTE([1]RawShipmentData!D533,"  "," ")))</f>
        <v>Xpressbees</v>
      </c>
      <c r="F531" s="2" t="str">
        <f>PROPER(TRIM([1]RawShipmentData!E533))</f>
        <v>Road</v>
      </c>
      <c r="G531" s="2" t="str">
        <f>PROPER(TRIM(SUBSTITUTE([1]RawShipmentData!F533,"  "," ")))</f>
        <v>Apparel</v>
      </c>
      <c r="H531" s="2" t="str">
        <f>PROPER(TRIM([1]RawShipmentData!G533))</f>
        <v>West</v>
      </c>
      <c r="I531" s="2" t="str">
        <f t="shared" si="40"/>
        <v>No</v>
      </c>
      <c r="J531" s="2">
        <f>IFERROR(VALUE(TRIM(SUBSTITUTE(UPPER([1]RawShipmentData!I531),"KG",""))),"")</f>
        <v>14</v>
      </c>
      <c r="K531" s="2">
        <f>VALUE(SUBSTITUTE(SUBSTITUTE(SUBSTITUTE(TRIM([1]RawShipmentData!J533),"₹",""),"Rs",""),",",""))</f>
        <v>80</v>
      </c>
      <c r="L531" s="2">
        <f>[1]RawShipmentData!K533</f>
        <v>6</v>
      </c>
      <c r="M531" s="3">
        <f>IF(TRIM([1]RawShipmentData!L533)="","",IF(ISNUMBER(SEARCH("/",TRIM([1]RawShipmentData!L533))),DATE(VALUE(RIGHT(TRIM([1]RawShipmentData!L533),4)),VALUE(MID(TRIM([1]RawShipmentData!L533),FIND("/",TRIM([1]RawShipmentData!L533))+1,2)),VALUE(LEFT(TRIM([1]RawShipmentData!L533),FIND("/",TRIM([1]RawShipmentData!L533))-1))),DATEVALUE(TRIM([1]RawShipmentData!L533))))</f>
        <v>45469</v>
      </c>
      <c r="N531" s="2">
        <f t="shared" si="41"/>
        <v>15</v>
      </c>
      <c r="O531" s="2">
        <f t="shared" si="42"/>
        <v>9</v>
      </c>
      <c r="P531" s="2" t="str">
        <f t="shared" si="43"/>
        <v>Late</v>
      </c>
      <c r="Q531" s="2" t="str">
        <f>PROPER(SUBSTITUTE(TRIM([1]RawShipmentData!M533)," ","-"))</f>
        <v>Delayed</v>
      </c>
      <c r="R531" s="4">
        <f t="shared" si="44"/>
        <v>5.7142857142857144</v>
      </c>
      <c r="S531" s="2">
        <f>[1]RawShipmentData!N533</f>
        <v>1</v>
      </c>
      <c r="T531" s="2" t="str">
        <f>IF(OR(UPPER(TRIM([1]RawShipmentData!O533))="YES",UPPER(TRIM([1]RawShipmentData!O533))="Y"),"Yes","No")</f>
        <v>No</v>
      </c>
    </row>
    <row r="532" spans="1:20" x14ac:dyDescent="0.25">
      <c r="A532" s="2" t="str">
        <f>[1]RawShipmentData!A534</f>
        <v>SHP-101534</v>
      </c>
      <c r="B532" s="3">
        <f>IF(ISNUMBER(SEARCH("/",TRIM([1]RawShipmentData!B534))),DATE(VALUE(RIGHT(TRIM([1]RawShipmentData!B534),4)),VALUE(MID(TRIM([1]RawShipmentData!B534),FIND("/",TRIM([1]RawShipmentData!B534))+1,2)),VALUE(LEFT(TRIM([1]RawShipmentData!B534),FIND("/",TRIM([1]RawShipmentData!B534))-1))),DATEVALUE(TRIM([1]RawShipmentData!B534)))</f>
        <v>45427</v>
      </c>
      <c r="C532" s="2" t="str">
        <f>PROPER(TRIM([1]RawShipmentData!C534))</f>
        <v>Mumbai</v>
      </c>
      <c r="D532" s="2" t="str">
        <f>IFERROR(INDEX([1]HubMaster!$B$2:$B$7,MATCH(C532,[1]HubMaster!$A$2:$A$7,0)),"Unknown")</f>
        <v>West</v>
      </c>
      <c r="E532" s="2" t="str">
        <f>PROPER(TRIM(SUBSTITUTE([1]RawShipmentData!D534,"  "," ")))</f>
        <v>Delhivery</v>
      </c>
      <c r="F532" s="2" t="str">
        <f>PROPER(TRIM([1]RawShipmentData!E534))</f>
        <v>Air</v>
      </c>
      <c r="G532" s="2" t="str">
        <f>PROPER(TRIM(SUBSTITUTE([1]RawShipmentData!F534,"  "," ")))</f>
        <v>Furniture</v>
      </c>
      <c r="H532" s="2" t="str">
        <f>PROPER(TRIM([1]RawShipmentData!G534))</f>
        <v>West</v>
      </c>
      <c r="I532" s="2" t="str">
        <f t="shared" si="40"/>
        <v>No</v>
      </c>
      <c r="J532" s="2">
        <f>IFERROR(VALUE(TRIM(SUBSTITUTE(UPPER([1]RawShipmentData!I532),"KG",""))),"")</f>
        <v>57.3</v>
      </c>
      <c r="K532" s="2">
        <f>VALUE(SUBSTITUTE(SUBSTITUTE(SUBSTITUTE(TRIM([1]RawShipmentData!J534),"₹",""),"Rs",""),",",""))</f>
        <v>2035</v>
      </c>
      <c r="L532" s="2">
        <f>[1]RawShipmentData!K534</f>
        <v>2</v>
      </c>
      <c r="M532" s="3">
        <f>IF(TRIM([1]RawShipmentData!L534)="","",IF(ISNUMBER(SEARCH("/",TRIM([1]RawShipmentData!L534))),DATE(VALUE(RIGHT(TRIM([1]RawShipmentData!L534),4)),VALUE(MID(TRIM([1]RawShipmentData!L534),FIND("/",TRIM([1]RawShipmentData!L534))+1,2)),VALUE(LEFT(TRIM([1]RawShipmentData!L534),FIND("/",TRIM([1]RawShipmentData!L534))-1))),DATEVALUE(TRIM([1]RawShipmentData!L534))))</f>
        <v>45430</v>
      </c>
      <c r="N532" s="2">
        <f t="shared" si="41"/>
        <v>3</v>
      </c>
      <c r="O532" s="2">
        <f t="shared" si="42"/>
        <v>1</v>
      </c>
      <c r="P532" s="2" t="str">
        <f t="shared" si="43"/>
        <v>Late</v>
      </c>
      <c r="Q532" s="2" t="str">
        <f>PROPER(SUBSTITUTE(TRIM([1]RawShipmentData!M534)," ","-"))</f>
        <v>Damaged</v>
      </c>
      <c r="R532" s="4">
        <f t="shared" si="44"/>
        <v>35.514834205933681</v>
      </c>
      <c r="S532" s="2">
        <f>[1]RawShipmentData!N534</f>
        <v>0</v>
      </c>
      <c r="T532" s="2" t="str">
        <f>IF(OR(UPPER(TRIM([1]RawShipmentData!O534))="YES",UPPER(TRIM([1]RawShipmentData!O534))="Y"),"Yes","No")</f>
        <v>Yes</v>
      </c>
    </row>
    <row r="533" spans="1:20" x14ac:dyDescent="0.25">
      <c r="A533" s="2" t="str">
        <f>[1]RawShipmentData!A535</f>
        <v>SHP-100651</v>
      </c>
      <c r="B533" s="3">
        <f>IF(ISNUMBER(SEARCH("/",TRIM([1]RawShipmentData!B535))),DATE(VALUE(RIGHT(TRIM([1]RawShipmentData!B535),4)),VALUE(MID(TRIM([1]RawShipmentData!B535),FIND("/",TRIM([1]RawShipmentData!B535))+1,2)),VALUE(LEFT(TRIM([1]RawShipmentData!B535),FIND("/",TRIM([1]RawShipmentData!B535))-1))),DATEVALUE(TRIM([1]RawShipmentData!B535)))</f>
        <v>45375</v>
      </c>
      <c r="C533" s="2" t="str">
        <f>PROPER(TRIM([1]RawShipmentData!C535))</f>
        <v>Hyderabad</v>
      </c>
      <c r="D533" s="2" t="str">
        <f>IFERROR(INDEX([1]HubMaster!$B$2:$B$7,MATCH(C533,[1]HubMaster!$A$2:$A$7,0)),"Unknown")</f>
        <v>West</v>
      </c>
      <c r="E533" s="2" t="str">
        <f>PROPER(TRIM(SUBSTITUTE([1]RawShipmentData!D535,"  "," ")))</f>
        <v>Xpressbees</v>
      </c>
      <c r="F533" s="2" t="str">
        <f>PROPER(TRIM([1]RawShipmentData!E535))</f>
        <v>Surface</v>
      </c>
      <c r="G533" s="2" t="str">
        <f>PROPER(TRIM(SUBSTITUTE([1]RawShipmentData!F535,"  "," ")))</f>
        <v>Apparel</v>
      </c>
      <c r="H533" s="2" t="str">
        <f>PROPER(TRIM([1]RawShipmentData!G535))</f>
        <v>West</v>
      </c>
      <c r="I533" s="2" t="str">
        <f t="shared" si="40"/>
        <v>No</v>
      </c>
      <c r="J533" s="2">
        <f>IFERROR(VALUE(TRIM(SUBSTITUTE(UPPER([1]RawShipmentData!I533),"KG",""))),"")</f>
        <v>4.9000000000000004</v>
      </c>
      <c r="K533" s="2">
        <f>VALUE(SUBSTITUTE(SUBSTITUTE(SUBSTITUTE(TRIM([1]RawShipmentData!J535),"₹",""),"Rs",""),",",""))</f>
        <v>139</v>
      </c>
      <c r="L533" s="2">
        <f>[1]RawShipmentData!K535</f>
        <v>4</v>
      </c>
      <c r="M533" s="3">
        <f>IF(TRIM([1]RawShipmentData!L535)="","",IF(ISNUMBER(SEARCH("/",TRIM([1]RawShipmentData!L535))),DATE(VALUE(RIGHT(TRIM([1]RawShipmentData!L535),4)),VALUE(MID(TRIM([1]RawShipmentData!L535),FIND("/",TRIM([1]RawShipmentData!L535))+1,2)),VALUE(LEFT(TRIM([1]RawShipmentData!L535),FIND("/",TRIM([1]RawShipmentData!L535))-1))),DATEVALUE(TRIM([1]RawShipmentData!L535))))</f>
        <v>45378</v>
      </c>
      <c r="N533" s="2">
        <f t="shared" si="41"/>
        <v>3</v>
      </c>
      <c r="O533" s="2">
        <f t="shared" si="42"/>
        <v>-1</v>
      </c>
      <c r="P533" s="2" t="str">
        <f t="shared" si="43"/>
        <v>On Time</v>
      </c>
      <c r="Q533" s="2" t="str">
        <f>PROPER(SUBSTITUTE(TRIM([1]RawShipmentData!M535)," ","-"))</f>
        <v>Delivered</v>
      </c>
      <c r="R533" s="4">
        <f t="shared" si="44"/>
        <v>28.367346938775508</v>
      </c>
      <c r="S533" s="2">
        <f>[1]RawShipmentData!N535</f>
        <v>3</v>
      </c>
      <c r="T533" s="2" t="str">
        <f>IF(OR(UPPER(TRIM([1]RawShipmentData!O535))="YES",UPPER(TRIM([1]RawShipmentData!O535))="Y"),"Yes","No")</f>
        <v>No</v>
      </c>
    </row>
    <row r="534" spans="1:20" x14ac:dyDescent="0.25">
      <c r="A534" s="2" t="str">
        <f>[1]RawShipmentData!A536</f>
        <v>SHP-101064</v>
      </c>
      <c r="B534" s="3">
        <f>IF(ISNUMBER(SEARCH("/",TRIM([1]RawShipmentData!B536))),DATE(VALUE(RIGHT(TRIM([1]RawShipmentData!B536),4)),VALUE(MID(TRIM([1]RawShipmentData!B536),FIND("/",TRIM([1]RawShipmentData!B536))+1,2)),VALUE(LEFT(TRIM([1]RawShipmentData!B536),FIND("/",TRIM([1]RawShipmentData!B536))-1))),DATEVALUE(TRIM([1]RawShipmentData!B536)))</f>
        <v>45373</v>
      </c>
      <c r="C534" s="2" t="str">
        <f>PROPER(TRIM([1]RawShipmentData!C536))</f>
        <v>Bengaluru</v>
      </c>
      <c r="D534" s="2" t="str">
        <f>IFERROR(INDEX([1]HubMaster!$B$2:$B$7,MATCH(C534,[1]HubMaster!$A$2:$A$7,0)),"Unknown")</f>
        <v>South</v>
      </c>
      <c r="E534" s="2" t="str">
        <f>PROPER(TRIM(SUBSTITUTE([1]RawShipmentData!D536,"  "," ")))</f>
        <v>Delhivery</v>
      </c>
      <c r="F534" s="2" t="str">
        <f>PROPER(TRIM([1]RawShipmentData!E536))</f>
        <v>Surface</v>
      </c>
      <c r="G534" s="2" t="str">
        <f>PROPER(TRIM(SUBSTITUTE([1]RawShipmentData!F536,"  "," ")))</f>
        <v>Furniture</v>
      </c>
      <c r="H534" s="2" t="str">
        <f>PROPER(TRIM([1]RawShipmentData!G536))</f>
        <v>West</v>
      </c>
      <c r="I534" s="2" t="str">
        <f t="shared" si="40"/>
        <v>Yes</v>
      </c>
      <c r="J534" s="2">
        <f>IFERROR(VALUE(TRIM(SUBSTITUTE(UPPER([1]RawShipmentData!I534),"KG",""))),"")</f>
        <v>44.7</v>
      </c>
      <c r="K534" s="2">
        <f>VALUE(SUBSTITUTE(SUBSTITUTE(SUBSTITUTE(TRIM([1]RawShipmentData!J536),"₹",""),"Rs",""),",",""))</f>
        <v>792</v>
      </c>
      <c r="L534" s="2">
        <f>[1]RawShipmentData!K536</f>
        <v>6</v>
      </c>
      <c r="M534" s="3">
        <f>IF(TRIM([1]RawShipmentData!L536)="","",IF(ISNUMBER(SEARCH("/",TRIM([1]RawShipmentData!L536))),DATE(VALUE(RIGHT(TRIM([1]RawShipmentData!L536),4)),VALUE(MID(TRIM([1]RawShipmentData!L536),FIND("/",TRIM([1]RawShipmentData!L536))+1,2)),VALUE(LEFT(TRIM([1]RawShipmentData!L536),FIND("/",TRIM([1]RawShipmentData!L536))-1))),DATEVALUE(TRIM([1]RawShipmentData!L536))))</f>
        <v>45380</v>
      </c>
      <c r="N534" s="2">
        <f t="shared" si="41"/>
        <v>7</v>
      </c>
      <c r="O534" s="2">
        <f t="shared" si="42"/>
        <v>1</v>
      </c>
      <c r="P534" s="2" t="str">
        <f t="shared" si="43"/>
        <v>Late</v>
      </c>
      <c r="Q534" s="2" t="str">
        <f>PROPER(SUBSTITUTE(TRIM([1]RawShipmentData!M536)," ","-"))</f>
        <v>Delayed</v>
      </c>
      <c r="R534" s="4">
        <f t="shared" si="44"/>
        <v>17.718120805369125</v>
      </c>
      <c r="S534" s="2">
        <f>[1]RawShipmentData!N536</f>
        <v>5</v>
      </c>
      <c r="T534" s="2" t="str">
        <f>IF(OR(UPPER(TRIM([1]RawShipmentData!O536))="YES",UPPER(TRIM([1]RawShipmentData!O536))="Y"),"Yes","No")</f>
        <v>Yes</v>
      </c>
    </row>
    <row r="535" spans="1:20" x14ac:dyDescent="0.25">
      <c r="A535" s="2" t="str">
        <f>[1]RawShipmentData!A537</f>
        <v>SHP-100538</v>
      </c>
      <c r="B535" s="3">
        <f>IF(ISNUMBER(SEARCH("/",TRIM([1]RawShipmentData!B537))),DATE(VALUE(RIGHT(TRIM([1]RawShipmentData!B537),4)),VALUE(MID(TRIM([1]RawShipmentData!B537),FIND("/",TRIM([1]RawShipmentData!B537))+1,2)),VALUE(LEFT(TRIM([1]RawShipmentData!B537),FIND("/",TRIM([1]RawShipmentData!B537))-1))),DATEVALUE(TRIM([1]RawShipmentData!B537)))</f>
        <v>45437</v>
      </c>
      <c r="C535" s="2" t="str">
        <f>PROPER(TRIM([1]RawShipmentData!C537))</f>
        <v>Bengaluru</v>
      </c>
      <c r="D535" s="2" t="str">
        <f>IFERROR(INDEX([1]HubMaster!$B$2:$B$7,MATCH(C535,[1]HubMaster!$A$2:$A$7,0)),"Unknown")</f>
        <v>South</v>
      </c>
      <c r="E535" s="2" t="str">
        <f>PROPER(TRIM(SUBSTITUTE([1]RawShipmentData!D537,"  "," ")))</f>
        <v>Blue Dart</v>
      </c>
      <c r="F535" s="2" t="str">
        <f>PROPER(TRIM([1]RawShipmentData!E537))</f>
        <v>Air</v>
      </c>
      <c r="G535" s="2" t="str">
        <f>PROPER(TRIM(SUBSTITUTE([1]RawShipmentData!F537,"  "," ")))</f>
        <v>Furniture</v>
      </c>
      <c r="H535" s="2" t="str">
        <f>PROPER(TRIM([1]RawShipmentData!G537))</f>
        <v>West</v>
      </c>
      <c r="I535" s="2" t="str">
        <f t="shared" si="40"/>
        <v>Yes</v>
      </c>
      <c r="J535" s="2">
        <f>IFERROR(VALUE(TRIM(SUBSTITUTE(UPPER([1]RawShipmentData!I535),"KG",""))),"")</f>
        <v>7.6</v>
      </c>
      <c r="K535" s="2">
        <f>VALUE(SUBSTITUTE(SUBSTITUTE(SUBSTITUTE(TRIM([1]RawShipmentData!J537),"₹",""),"Rs",""),",",""))</f>
        <v>1333</v>
      </c>
      <c r="L535" s="2">
        <f>[1]RawShipmentData!K537</f>
        <v>4</v>
      </c>
      <c r="M535" s="3">
        <f>IF(TRIM([1]RawShipmentData!L537)="","",IF(ISNUMBER(SEARCH("/",TRIM([1]RawShipmentData!L537))),DATE(VALUE(RIGHT(TRIM([1]RawShipmentData!L537),4)),VALUE(MID(TRIM([1]RawShipmentData!L537),FIND("/",TRIM([1]RawShipmentData!L537))+1,2)),VALUE(LEFT(TRIM([1]RawShipmentData!L537),FIND("/",TRIM([1]RawShipmentData!L537))-1))),DATEVALUE(TRIM([1]RawShipmentData!L537))))</f>
        <v>45442</v>
      </c>
      <c r="N535" s="2">
        <f t="shared" si="41"/>
        <v>5</v>
      </c>
      <c r="O535" s="2">
        <f t="shared" si="42"/>
        <v>1</v>
      </c>
      <c r="P535" s="2" t="str">
        <f t="shared" si="43"/>
        <v>Late</v>
      </c>
      <c r="Q535" s="2" t="str">
        <f>PROPER(SUBSTITUTE(TRIM([1]RawShipmentData!M537)," ","-"))</f>
        <v>Delayed</v>
      </c>
      <c r="R535" s="4">
        <f t="shared" si="44"/>
        <v>175.39473684210526</v>
      </c>
      <c r="S535" s="2">
        <f>[1]RawShipmentData!N537</f>
        <v>3</v>
      </c>
      <c r="T535" s="2" t="str">
        <f>IF(OR(UPPER(TRIM([1]RawShipmentData!O537))="YES",UPPER(TRIM([1]RawShipmentData!O537))="Y"),"Yes","No")</f>
        <v>Yes</v>
      </c>
    </row>
    <row r="536" spans="1:20" x14ac:dyDescent="0.25">
      <c r="A536" s="2" t="str">
        <f>[1]RawShipmentData!A538</f>
        <v>SHP-100207</v>
      </c>
      <c r="B536" s="3">
        <f>IF(ISNUMBER(SEARCH("/",TRIM([1]RawShipmentData!B538))),DATE(VALUE(RIGHT(TRIM([1]RawShipmentData!B538),4)),VALUE(MID(TRIM([1]RawShipmentData!B538),FIND("/",TRIM([1]RawShipmentData!B538))+1,2)),VALUE(LEFT(TRIM([1]RawShipmentData!B538),FIND("/",TRIM([1]RawShipmentData!B538))-1))),DATEVALUE(TRIM([1]RawShipmentData!B538)))</f>
        <v>45297</v>
      </c>
      <c r="C536" s="2" t="str">
        <f>PROPER(TRIM([1]RawShipmentData!C538))</f>
        <v>Hyderabad</v>
      </c>
      <c r="D536" s="2" t="str">
        <f>IFERROR(INDEX([1]HubMaster!$B$2:$B$7,MATCH(C536,[1]HubMaster!$A$2:$A$7,0)),"Unknown")</f>
        <v>West</v>
      </c>
      <c r="E536" s="2" t="str">
        <f>PROPER(TRIM(SUBSTITUTE([1]RawShipmentData!D538,"  "," ")))</f>
        <v>Dtdc</v>
      </c>
      <c r="F536" s="2" t="str">
        <f>PROPER(TRIM([1]RawShipmentData!E538))</f>
        <v>Road</v>
      </c>
      <c r="G536" s="2" t="str">
        <f>PROPER(TRIM(SUBSTITUTE([1]RawShipmentData!F538,"  "," ")))</f>
        <v>Pharma</v>
      </c>
      <c r="H536" s="2" t="str">
        <f>PROPER(TRIM([1]RawShipmentData!G538))</f>
        <v>West</v>
      </c>
      <c r="I536" s="2" t="str">
        <f t="shared" si="40"/>
        <v>No</v>
      </c>
      <c r="J536" s="2">
        <f>IFERROR(VALUE(TRIM(SUBSTITUTE(UPPER([1]RawShipmentData!I536),"KG",""))),"")</f>
        <v>30.4</v>
      </c>
      <c r="K536" s="2">
        <f>VALUE(SUBSTITUTE(SUBSTITUTE(SUBSTITUTE(TRIM([1]RawShipmentData!J538),"₹",""),"Rs",""),",",""))</f>
        <v>80</v>
      </c>
      <c r="L536" s="2">
        <f>[1]RawShipmentData!K538</f>
        <v>6</v>
      </c>
      <c r="M536" s="3">
        <f>IF(TRIM([1]RawShipmentData!L538)="","",IF(ISNUMBER(SEARCH("/",TRIM([1]RawShipmentData!L538))),DATE(VALUE(RIGHT(TRIM([1]RawShipmentData!L538),4)),VALUE(MID(TRIM([1]RawShipmentData!L538),FIND("/",TRIM([1]RawShipmentData!L538))+1,2)),VALUE(LEFT(TRIM([1]RawShipmentData!L538),FIND("/",TRIM([1]RawShipmentData!L538))-1))),DATEVALUE(TRIM([1]RawShipmentData!L538))))</f>
        <v>45311</v>
      </c>
      <c r="N536" s="2">
        <f t="shared" si="41"/>
        <v>14</v>
      </c>
      <c r="O536" s="2">
        <f t="shared" si="42"/>
        <v>8</v>
      </c>
      <c r="P536" s="2" t="str">
        <f t="shared" si="43"/>
        <v>Late</v>
      </c>
      <c r="Q536" s="2" t="str">
        <f>PROPER(SUBSTITUTE(TRIM([1]RawShipmentData!M538)," ","-"))</f>
        <v>Delayed</v>
      </c>
      <c r="R536" s="4">
        <f t="shared" si="44"/>
        <v>2.6315789473684212</v>
      </c>
      <c r="S536" s="2">
        <f>[1]RawShipmentData!N538</f>
        <v>2</v>
      </c>
      <c r="T536" s="2" t="str">
        <f>IF(OR(UPPER(TRIM([1]RawShipmentData!O538))="YES",UPPER(TRIM([1]RawShipmentData!O538))="Y"),"Yes","No")</f>
        <v>Yes</v>
      </c>
    </row>
    <row r="537" spans="1:20" x14ac:dyDescent="0.25">
      <c r="A537" s="2" t="str">
        <f>[1]RawShipmentData!A539</f>
        <v>SHP-101015</v>
      </c>
      <c r="B537" s="3">
        <f>IF(ISNUMBER(SEARCH("/",TRIM([1]RawShipmentData!B539))),DATE(VALUE(RIGHT(TRIM([1]RawShipmentData!B539),4)),VALUE(MID(TRIM([1]RawShipmentData!B539),FIND("/",TRIM([1]RawShipmentData!B539))+1,2)),VALUE(LEFT(TRIM([1]RawShipmentData!B539),FIND("/",TRIM([1]RawShipmentData!B539))-1))),DATEVALUE(TRIM([1]RawShipmentData!B539)))</f>
        <v>45458</v>
      </c>
      <c r="C537" s="2" t="str">
        <f>PROPER(TRIM([1]RawShipmentData!C539))</f>
        <v>Bengaluru</v>
      </c>
      <c r="D537" s="2" t="str">
        <f>IFERROR(INDEX([1]HubMaster!$B$2:$B$7,MATCH(C537,[1]HubMaster!$A$2:$A$7,0)),"Unknown")</f>
        <v>South</v>
      </c>
      <c r="E537" s="2" t="str">
        <f>PROPER(TRIM(SUBSTITUTE([1]RawShipmentData!D539,"  "," ")))</f>
        <v>Blue Dart</v>
      </c>
      <c r="F537" s="2" t="str">
        <f>PROPER(TRIM([1]RawShipmentData!E539))</f>
        <v>Air</v>
      </c>
      <c r="G537" s="2" t="str">
        <f>PROPER(TRIM(SUBSTITUTE([1]RawShipmentData!F539,"  "," ")))</f>
        <v>Apparel</v>
      </c>
      <c r="H537" s="2" t="str">
        <f>PROPER(TRIM([1]RawShipmentData!G539))</f>
        <v>North</v>
      </c>
      <c r="I537" s="2" t="str">
        <f t="shared" si="40"/>
        <v>Yes</v>
      </c>
      <c r="J537" s="2">
        <f>IFERROR(VALUE(TRIM(SUBSTITUTE(UPPER([1]RawShipmentData!I537),"KG",""))),"")</f>
        <v>25.3</v>
      </c>
      <c r="K537" s="2">
        <f>VALUE(SUBSTITUTE(SUBSTITUTE(SUBSTITUTE(TRIM([1]RawShipmentData!J539),"₹",""),"Rs",""),",",""))</f>
        <v>341</v>
      </c>
      <c r="L537" s="2">
        <f>[1]RawShipmentData!K539</f>
        <v>4</v>
      </c>
      <c r="M537" s="3">
        <f>IF(TRIM([1]RawShipmentData!L539)="","",IF(ISNUMBER(SEARCH("/",TRIM([1]RawShipmentData!L539))),DATE(VALUE(RIGHT(TRIM([1]RawShipmentData!L539),4)),VALUE(MID(TRIM([1]RawShipmentData!L539),FIND("/",TRIM([1]RawShipmentData!L539))+1,2)),VALUE(LEFT(TRIM([1]RawShipmentData!L539),FIND("/",TRIM([1]RawShipmentData!L539))-1))),DATEVALUE(TRIM([1]RawShipmentData!L539))))</f>
        <v>45463</v>
      </c>
      <c r="N537" s="2">
        <f t="shared" si="41"/>
        <v>5</v>
      </c>
      <c r="O537" s="2">
        <f t="shared" si="42"/>
        <v>1</v>
      </c>
      <c r="P537" s="2" t="str">
        <f t="shared" si="43"/>
        <v>Late</v>
      </c>
      <c r="Q537" s="2" t="str">
        <f>PROPER(SUBSTITUTE(TRIM([1]RawShipmentData!M539)," ","-"))</f>
        <v>Delayed</v>
      </c>
      <c r="R537" s="4">
        <f t="shared" si="44"/>
        <v>13.478260869565217</v>
      </c>
      <c r="S537" s="2">
        <f>[1]RawShipmentData!N539</f>
        <v>1</v>
      </c>
      <c r="T537" s="2" t="str">
        <f>IF(OR(UPPER(TRIM([1]RawShipmentData!O539))="YES",UPPER(TRIM([1]RawShipmentData!O539))="Y"),"Yes","No")</f>
        <v>No</v>
      </c>
    </row>
    <row r="538" spans="1:20" x14ac:dyDescent="0.25">
      <c r="A538" s="2" t="str">
        <f>[1]RawShipmentData!A540</f>
        <v>SHP-101440</v>
      </c>
      <c r="B538" s="3">
        <f>IF(ISNUMBER(SEARCH("/",TRIM([1]RawShipmentData!B540))),DATE(VALUE(RIGHT(TRIM([1]RawShipmentData!B540),4)),VALUE(MID(TRIM([1]RawShipmentData!B540),FIND("/",TRIM([1]RawShipmentData!B540))+1,2)),VALUE(LEFT(TRIM([1]RawShipmentData!B540),FIND("/",TRIM([1]RawShipmentData!B540))-1))),DATEVALUE(TRIM([1]RawShipmentData!B540)))</f>
        <v>45300</v>
      </c>
      <c r="C538" s="2" t="str">
        <f>PROPER(TRIM([1]RawShipmentData!C540))</f>
        <v>Chennai</v>
      </c>
      <c r="D538" s="2" t="str">
        <f>IFERROR(INDEX([1]HubMaster!$B$2:$B$7,MATCH(C538,[1]HubMaster!$A$2:$A$7,0)),"Unknown")</f>
        <v>South</v>
      </c>
      <c r="E538" s="2" t="str">
        <f>PROPER(TRIM(SUBSTITUTE([1]RawShipmentData!D540,"  "," ")))</f>
        <v>Bluedart</v>
      </c>
      <c r="F538" s="2" t="str">
        <f>PROPER(TRIM([1]RawShipmentData!E540))</f>
        <v>Air</v>
      </c>
      <c r="G538" s="2" t="str">
        <f>PROPER(TRIM(SUBSTITUTE([1]RawShipmentData!F540,"  "," ")))</f>
        <v>Apparel</v>
      </c>
      <c r="H538" s="2" t="str">
        <f>PROPER(TRIM([1]RawShipmentData!G540))</f>
        <v>South</v>
      </c>
      <c r="I538" s="2" t="str">
        <f t="shared" si="40"/>
        <v>No</v>
      </c>
      <c r="J538" s="2">
        <f>IFERROR(VALUE(TRIM(SUBSTITUTE(UPPER([1]RawShipmentData!I538),"KG",""))),"")</f>
        <v>1.3</v>
      </c>
      <c r="K538" s="2">
        <f>VALUE(SUBSTITUTE(SUBSTITUTE(SUBSTITUTE(TRIM([1]RawShipmentData!J540),"₹",""),"Rs",""),",",""))</f>
        <v>80</v>
      </c>
      <c r="L538" s="2">
        <f>[1]RawShipmentData!K540</f>
        <v>2</v>
      </c>
      <c r="M538" s="3">
        <f>IF(TRIM([1]RawShipmentData!L540)="","",IF(ISNUMBER(SEARCH("/",TRIM([1]RawShipmentData!L540))),DATE(VALUE(RIGHT(TRIM([1]RawShipmentData!L540),4)),VALUE(MID(TRIM([1]RawShipmentData!L540),FIND("/",TRIM([1]RawShipmentData!L540))+1,2)),VALUE(LEFT(TRIM([1]RawShipmentData!L540),FIND("/",TRIM([1]RawShipmentData!L540))-1))),DATEVALUE(TRIM([1]RawShipmentData!L540))))</f>
        <v>45301</v>
      </c>
      <c r="N538" s="2">
        <f t="shared" si="41"/>
        <v>1</v>
      </c>
      <c r="O538" s="2">
        <f t="shared" si="42"/>
        <v>-1</v>
      </c>
      <c r="P538" s="2" t="str">
        <f t="shared" si="43"/>
        <v>On Time</v>
      </c>
      <c r="Q538" s="2" t="str">
        <f>PROPER(SUBSTITUTE(TRIM([1]RawShipmentData!M540)," ","-"))</f>
        <v>Delivered</v>
      </c>
      <c r="R538" s="4">
        <f t="shared" si="44"/>
        <v>61.538461538461533</v>
      </c>
      <c r="S538" s="2">
        <f>[1]RawShipmentData!N540</f>
        <v>5</v>
      </c>
      <c r="T538" s="2" t="str">
        <f>IF(OR(UPPER(TRIM([1]RawShipmentData!O540))="YES",UPPER(TRIM([1]RawShipmentData!O540))="Y"),"Yes","No")</f>
        <v>No</v>
      </c>
    </row>
    <row r="539" spans="1:20" x14ac:dyDescent="0.25">
      <c r="A539" s="2" t="str">
        <f>[1]RawShipmentData!A541</f>
        <v>SHP-101170</v>
      </c>
      <c r="B539" s="3">
        <f>IF(ISNUMBER(SEARCH("/",TRIM([1]RawShipmentData!B541))),DATE(VALUE(RIGHT(TRIM([1]RawShipmentData!B541),4)),VALUE(MID(TRIM([1]RawShipmentData!B541),FIND("/",TRIM([1]RawShipmentData!B541))+1,2)),VALUE(LEFT(TRIM([1]RawShipmentData!B541),FIND("/",TRIM([1]RawShipmentData!B541))-1))),DATEVALUE(TRIM([1]RawShipmentData!B541)))</f>
        <v>45293</v>
      </c>
      <c r="C539" s="2" t="str">
        <f>PROPER(TRIM([1]RawShipmentData!C541))</f>
        <v>Hyderabad</v>
      </c>
      <c r="D539" s="2" t="str">
        <f>IFERROR(INDEX([1]HubMaster!$B$2:$B$7,MATCH(C539,[1]HubMaster!$A$2:$A$7,0)),"Unknown")</f>
        <v>West</v>
      </c>
      <c r="E539" s="2" t="str">
        <f>PROPER(TRIM(SUBSTITUTE([1]RawShipmentData!D541,"  "," ")))</f>
        <v>Ecom Express</v>
      </c>
      <c r="F539" s="2" t="str">
        <f>PROPER(TRIM([1]RawShipmentData!E541))</f>
        <v>Surface</v>
      </c>
      <c r="G539" s="2" t="str">
        <f>PROPER(TRIM(SUBSTITUTE([1]RawShipmentData!F541,"  "," ")))</f>
        <v>Electronics</v>
      </c>
      <c r="H539" s="2" t="str">
        <f>PROPER(TRIM([1]RawShipmentData!G541))</f>
        <v>North</v>
      </c>
      <c r="I539" s="2" t="str">
        <f t="shared" si="40"/>
        <v>Yes</v>
      </c>
      <c r="J539" s="2">
        <f>IFERROR(VALUE(TRIM(SUBSTITUTE(UPPER([1]RawShipmentData!I539),"KG",""))),"")</f>
        <v>3.5</v>
      </c>
      <c r="K539" s="2">
        <f>VALUE(SUBSTITUTE(SUBSTITUTE(SUBSTITUTE(TRIM([1]RawShipmentData!J541),"₹",""),"Rs",""),",",""))</f>
        <v>374</v>
      </c>
      <c r="L539" s="2">
        <f>[1]RawShipmentData!K541</f>
        <v>6</v>
      </c>
      <c r="M539" s="3">
        <f>IF(TRIM([1]RawShipmentData!L541)="","",IF(ISNUMBER(SEARCH("/",TRIM([1]RawShipmentData!L541))),DATE(VALUE(RIGHT(TRIM([1]RawShipmentData!L541),4)),VALUE(MID(TRIM([1]RawShipmentData!L541),FIND("/",TRIM([1]RawShipmentData!L541))+1,2)),VALUE(LEFT(TRIM([1]RawShipmentData!L541),FIND("/",TRIM([1]RawShipmentData!L541))-1))),DATEVALUE(TRIM([1]RawShipmentData!L541))))</f>
        <v>45298</v>
      </c>
      <c r="N539" s="2">
        <f t="shared" si="41"/>
        <v>5</v>
      </c>
      <c r="O539" s="2">
        <f t="shared" si="42"/>
        <v>-1</v>
      </c>
      <c r="P539" s="2" t="str">
        <f t="shared" si="43"/>
        <v>On Time</v>
      </c>
      <c r="Q539" s="2" t="str">
        <f>PROPER(SUBSTITUTE(TRIM([1]RawShipmentData!M541)," ","-"))</f>
        <v>Returned</v>
      </c>
      <c r="R539" s="4">
        <f t="shared" si="44"/>
        <v>106.85714285714286</v>
      </c>
      <c r="S539" s="2">
        <f>[1]RawShipmentData!N541</f>
        <v>0</v>
      </c>
      <c r="T539" s="2" t="str">
        <f>IF(OR(UPPER(TRIM([1]RawShipmentData!O541))="YES",UPPER(TRIM([1]RawShipmentData!O541))="Y"),"Yes","No")</f>
        <v>No</v>
      </c>
    </row>
    <row r="540" spans="1:20" x14ac:dyDescent="0.25">
      <c r="A540" s="2" t="str">
        <f>[1]RawShipmentData!A542</f>
        <v>SHP-100887</v>
      </c>
      <c r="B540" s="3">
        <f>IF(ISNUMBER(SEARCH("/",TRIM([1]RawShipmentData!B542))),DATE(VALUE(RIGHT(TRIM([1]RawShipmentData!B542),4)),VALUE(MID(TRIM([1]RawShipmentData!B542),FIND("/",TRIM([1]RawShipmentData!B542))+1,2)),VALUE(LEFT(TRIM([1]RawShipmentData!B542),FIND("/",TRIM([1]RawShipmentData!B542))-1))),DATEVALUE(TRIM([1]RawShipmentData!B542)))</f>
        <v>45438</v>
      </c>
      <c r="C540" s="2" t="str">
        <f>PROPER(TRIM([1]RawShipmentData!C542))</f>
        <v>Kolkata</v>
      </c>
      <c r="D540" s="2" t="str">
        <f>IFERROR(INDEX([1]HubMaster!$B$2:$B$7,MATCH(C540,[1]HubMaster!$A$2:$A$7,0)),"Unknown")</f>
        <v>East</v>
      </c>
      <c r="E540" s="2" t="str">
        <f>PROPER(TRIM(SUBSTITUTE([1]RawShipmentData!D542,"  "," ")))</f>
        <v>Xpressbees</v>
      </c>
      <c r="F540" s="2" t="str">
        <f>PROPER(TRIM([1]RawShipmentData!E542))</f>
        <v>Road</v>
      </c>
      <c r="G540" s="2" t="str">
        <f>PROPER(TRIM(SUBSTITUTE([1]RawShipmentData!F542,"  "," ")))</f>
        <v>Automotive Parts</v>
      </c>
      <c r="H540" s="2" t="str">
        <f>PROPER(TRIM([1]RawShipmentData!G542))</f>
        <v>North</v>
      </c>
      <c r="I540" s="2" t="str">
        <f t="shared" si="40"/>
        <v>Yes</v>
      </c>
      <c r="J540" s="2">
        <f>IFERROR(VALUE(TRIM(SUBSTITUTE(UPPER([1]RawShipmentData!I540),"KG",""))),"")</f>
        <v>0.6</v>
      </c>
      <c r="K540" s="2">
        <f>VALUE(SUBSTITUTE(SUBSTITUTE(SUBSTITUTE(TRIM([1]RawShipmentData!J542),"₹",""),"Rs",""),",",""))</f>
        <v>244</v>
      </c>
      <c r="L540" s="2">
        <f>[1]RawShipmentData!K542</f>
        <v>8</v>
      </c>
      <c r="M540" s="3">
        <f>IF(TRIM([1]RawShipmentData!L542)="","",IF(ISNUMBER(SEARCH("/",TRIM([1]RawShipmentData!L542))),DATE(VALUE(RIGHT(TRIM([1]RawShipmentData!L542),4)),VALUE(MID(TRIM([1]RawShipmentData!L542),FIND("/",TRIM([1]RawShipmentData!L542))+1,2)),VALUE(LEFT(TRIM([1]RawShipmentData!L542),FIND("/",TRIM([1]RawShipmentData!L542))-1))),DATEVALUE(TRIM([1]RawShipmentData!L542))))</f>
        <v>45445</v>
      </c>
      <c r="N540" s="2">
        <f t="shared" si="41"/>
        <v>7</v>
      </c>
      <c r="O540" s="2">
        <f t="shared" si="42"/>
        <v>-1</v>
      </c>
      <c r="P540" s="2" t="str">
        <f t="shared" si="43"/>
        <v>On Time</v>
      </c>
      <c r="Q540" s="2" t="str">
        <f>PROPER(SUBSTITUTE(TRIM([1]RawShipmentData!M542)," ","-"))</f>
        <v>Delivered</v>
      </c>
      <c r="R540" s="4">
        <f t="shared" si="44"/>
        <v>406.66666666666669</v>
      </c>
      <c r="S540" s="2">
        <f>[1]RawShipmentData!N542</f>
        <v>4</v>
      </c>
      <c r="T540" s="2" t="str">
        <f>IF(OR(UPPER(TRIM([1]RawShipmentData!O542))="YES",UPPER(TRIM([1]RawShipmentData!O542))="Y"),"Yes","No")</f>
        <v>Yes</v>
      </c>
    </row>
    <row r="541" spans="1:20" x14ac:dyDescent="0.25">
      <c r="A541" s="2" t="str">
        <f>[1]RawShipmentData!A543</f>
        <v>SHP-100134</v>
      </c>
      <c r="B541" s="3">
        <f>IF(ISNUMBER(SEARCH("/",TRIM([1]RawShipmentData!B543))),DATE(VALUE(RIGHT(TRIM([1]RawShipmentData!B543),4)),VALUE(MID(TRIM([1]RawShipmentData!B543),FIND("/",TRIM([1]RawShipmentData!B543))+1,2)),VALUE(LEFT(TRIM([1]RawShipmentData!B543),FIND("/",TRIM([1]RawShipmentData!B543))-1))),DATEVALUE(TRIM([1]RawShipmentData!B543)))</f>
        <v>45319</v>
      </c>
      <c r="C541" s="2" t="str">
        <f>PROPER(TRIM([1]RawShipmentData!C543))</f>
        <v>Delhi</v>
      </c>
      <c r="D541" s="2" t="str">
        <f>IFERROR(INDEX([1]HubMaster!$B$2:$B$7,MATCH(C541,[1]HubMaster!$A$2:$A$7,0)),"Unknown")</f>
        <v>North</v>
      </c>
      <c r="E541" s="2" t="str">
        <f>PROPER(TRIM(SUBSTITUTE([1]RawShipmentData!D543,"  "," ")))</f>
        <v>Ecom Express</v>
      </c>
      <c r="F541" s="2" t="str">
        <f>PROPER(TRIM([1]RawShipmentData!E543))</f>
        <v>Road</v>
      </c>
      <c r="G541" s="2" t="str">
        <f>PROPER(TRIM(SUBSTITUTE([1]RawShipmentData!F543,"  "," ")))</f>
        <v>Grocery &amp; Fmcg</v>
      </c>
      <c r="H541" s="2" t="str">
        <f>PROPER(TRIM([1]RawShipmentData!G543))</f>
        <v>East</v>
      </c>
      <c r="I541" s="2" t="str">
        <f t="shared" si="40"/>
        <v>Yes</v>
      </c>
      <c r="J541" s="2">
        <f>IFERROR(VALUE(TRIM(SUBSTITUTE(UPPER([1]RawShipmentData!I541),"KG",""))),"")</f>
        <v>10.8</v>
      </c>
      <c r="K541" s="2">
        <f>VALUE(SUBSTITUTE(SUBSTITUTE(SUBSTITUTE(TRIM([1]RawShipmentData!J543),"₹",""),"Rs",""),",",""))</f>
        <v>442</v>
      </c>
      <c r="L541" s="2">
        <f>[1]RawShipmentData!K543</f>
        <v>8</v>
      </c>
      <c r="M541" s="3">
        <f>IF(TRIM([1]RawShipmentData!L543)="","",IF(ISNUMBER(SEARCH("/",TRIM([1]RawShipmentData!L543))),DATE(VALUE(RIGHT(TRIM([1]RawShipmentData!L543),4)),VALUE(MID(TRIM([1]RawShipmentData!L543),FIND("/",TRIM([1]RawShipmentData!L543))+1,2)),VALUE(LEFT(TRIM([1]RawShipmentData!L543),FIND("/",TRIM([1]RawShipmentData!L543))-1))),DATEVALUE(TRIM([1]RawShipmentData!L543))))</f>
        <v>45327</v>
      </c>
      <c r="N541" s="2">
        <f t="shared" si="41"/>
        <v>8</v>
      </c>
      <c r="O541" s="2">
        <f t="shared" si="42"/>
        <v>0</v>
      </c>
      <c r="P541" s="2" t="str">
        <f t="shared" si="43"/>
        <v>On Time</v>
      </c>
      <c r="Q541" s="2" t="str">
        <f>PROPER(SUBSTITUTE(TRIM([1]RawShipmentData!M543)," ","-"))</f>
        <v>Delivered</v>
      </c>
      <c r="R541" s="4">
        <f t="shared" si="44"/>
        <v>40.925925925925924</v>
      </c>
      <c r="S541" s="2">
        <f>[1]RawShipmentData!N543</f>
        <v>3</v>
      </c>
      <c r="T541" s="2" t="str">
        <f>IF(OR(UPPER(TRIM([1]RawShipmentData!O543))="YES",UPPER(TRIM([1]RawShipmentData!O543))="Y"),"Yes","No")</f>
        <v>No</v>
      </c>
    </row>
    <row r="542" spans="1:20" x14ac:dyDescent="0.25">
      <c r="A542" s="2" t="str">
        <f>[1]RawShipmentData!A544</f>
        <v>SHP-101383</v>
      </c>
      <c r="B542" s="3">
        <f>IF(ISNUMBER(SEARCH("/",TRIM([1]RawShipmentData!B544))),DATE(VALUE(RIGHT(TRIM([1]RawShipmentData!B544),4)),VALUE(MID(TRIM([1]RawShipmentData!B544),FIND("/",TRIM([1]RawShipmentData!B544))+1,2)),VALUE(LEFT(TRIM([1]RawShipmentData!B544),FIND("/",TRIM([1]RawShipmentData!B544))-1))),DATEVALUE(TRIM([1]RawShipmentData!B544)))</f>
        <v>45390</v>
      </c>
      <c r="C542" s="2" t="str">
        <f>PROPER(TRIM([1]RawShipmentData!C544))</f>
        <v>Chennai</v>
      </c>
      <c r="D542" s="2" t="str">
        <f>IFERROR(INDEX([1]HubMaster!$B$2:$B$7,MATCH(C542,[1]HubMaster!$A$2:$A$7,0)),"Unknown")</f>
        <v>South</v>
      </c>
      <c r="E542" s="2" t="str">
        <f>PROPER(TRIM(SUBSTITUTE([1]RawShipmentData!D544,"  "," ")))</f>
        <v>Xpressbees</v>
      </c>
      <c r="F542" s="2" t="str">
        <f>PROPER(TRIM([1]RawShipmentData!E544))</f>
        <v>Air</v>
      </c>
      <c r="G542" s="2" t="str">
        <f>PROPER(TRIM(SUBSTITUTE([1]RawShipmentData!F544,"  "," ")))</f>
        <v>Furniture</v>
      </c>
      <c r="H542" s="2" t="str">
        <f>PROPER(TRIM([1]RawShipmentData!G544))</f>
        <v>North</v>
      </c>
      <c r="I542" s="2" t="str">
        <f t="shared" si="40"/>
        <v>Yes</v>
      </c>
      <c r="J542" s="2">
        <f>IFERROR(VALUE(TRIM(SUBSTITUTE(UPPER([1]RawShipmentData!I542),"KG",""))),"")</f>
        <v>6.5</v>
      </c>
      <c r="K542" s="2">
        <f>VALUE(SUBSTITUTE(SUBSTITUTE(SUBSTITUTE(TRIM([1]RawShipmentData!J544),"₹",""),"Rs",""),",",""))</f>
        <v>2470</v>
      </c>
      <c r="L542" s="2">
        <f>[1]RawShipmentData!K544</f>
        <v>4</v>
      </c>
      <c r="M542" s="3">
        <f>IF(TRIM([1]RawShipmentData!L544)="","",IF(ISNUMBER(SEARCH("/",TRIM([1]RawShipmentData!L544))),DATE(VALUE(RIGHT(TRIM([1]RawShipmentData!L544),4)),VALUE(MID(TRIM([1]RawShipmentData!L544),FIND("/",TRIM([1]RawShipmentData!L544))+1,2)),VALUE(LEFT(TRIM([1]RawShipmentData!L544),FIND("/",TRIM([1]RawShipmentData!L544))-1))),DATEVALUE(TRIM([1]RawShipmentData!L544))))</f>
        <v>45395</v>
      </c>
      <c r="N542" s="2">
        <f t="shared" si="41"/>
        <v>5</v>
      </c>
      <c r="O542" s="2">
        <f t="shared" si="42"/>
        <v>1</v>
      </c>
      <c r="P542" s="2" t="str">
        <f t="shared" si="43"/>
        <v>Late</v>
      </c>
      <c r="Q542" s="2" t="str">
        <f>PROPER(SUBSTITUTE(TRIM([1]RawShipmentData!M544)," ","-"))</f>
        <v>Damaged</v>
      </c>
      <c r="R542" s="4">
        <f t="shared" si="44"/>
        <v>380</v>
      </c>
      <c r="S542" s="2">
        <f>[1]RawShipmentData!N544</f>
        <v>0</v>
      </c>
      <c r="T542" s="2" t="str">
        <f>IF(OR(UPPER(TRIM([1]RawShipmentData!O544))="YES",UPPER(TRIM([1]RawShipmentData!O544))="Y"),"Yes","No")</f>
        <v>No</v>
      </c>
    </row>
    <row r="543" spans="1:20" x14ac:dyDescent="0.25">
      <c r="A543" s="2" t="str">
        <f>[1]RawShipmentData!A545</f>
        <v>SHP-100935</v>
      </c>
      <c r="B543" s="3">
        <f>IF(ISNUMBER(SEARCH("/",TRIM([1]RawShipmentData!B545))),DATE(VALUE(RIGHT(TRIM([1]RawShipmentData!B545),4)),VALUE(MID(TRIM([1]RawShipmentData!B545),FIND("/",TRIM([1]RawShipmentData!B545))+1,2)),VALUE(LEFT(TRIM([1]RawShipmentData!B545),FIND("/",TRIM([1]RawShipmentData!B545))-1))),DATEVALUE(TRIM([1]RawShipmentData!B545)))</f>
        <v>45352</v>
      </c>
      <c r="C543" s="2" t="str">
        <f>PROPER(TRIM([1]RawShipmentData!C545))</f>
        <v>Mumbai</v>
      </c>
      <c r="D543" s="2" t="str">
        <f>IFERROR(INDEX([1]HubMaster!$B$2:$B$7,MATCH(C543,[1]HubMaster!$A$2:$A$7,0)),"Unknown")</f>
        <v>West</v>
      </c>
      <c r="E543" s="2" t="str">
        <f>PROPER(TRIM(SUBSTITUTE([1]RawShipmentData!D545,"  "," ")))</f>
        <v>Dtdc</v>
      </c>
      <c r="F543" s="2" t="str">
        <f>PROPER(TRIM([1]RawShipmentData!E545))</f>
        <v>Surface</v>
      </c>
      <c r="G543" s="2" t="str">
        <f>PROPER(TRIM(SUBSTITUTE([1]RawShipmentData!F545,"  "," ")))</f>
        <v>Furniture</v>
      </c>
      <c r="H543" s="2" t="str">
        <f>PROPER(TRIM([1]RawShipmentData!G545))</f>
        <v>North</v>
      </c>
      <c r="I543" s="2" t="str">
        <f t="shared" si="40"/>
        <v>Yes</v>
      </c>
      <c r="J543" s="2">
        <f>IFERROR(VALUE(TRIM(SUBSTITUTE(UPPER([1]RawShipmentData!I543),"KG",""))),"")</f>
        <v>19.899999999999999</v>
      </c>
      <c r="K543" s="2">
        <f>VALUE(SUBSTITUTE(SUBSTITUTE(SUBSTITUTE(TRIM([1]RawShipmentData!J545),"₹",""),"Rs",""),",",""))</f>
        <v>1312</v>
      </c>
      <c r="L543" s="2">
        <f>[1]RawShipmentData!K545</f>
        <v>6</v>
      </c>
      <c r="M543" s="3">
        <f>IF(TRIM([1]RawShipmentData!L545)="","",IF(ISNUMBER(SEARCH("/",TRIM([1]RawShipmentData!L545))),DATE(VALUE(RIGHT(TRIM([1]RawShipmentData!L545),4)),VALUE(MID(TRIM([1]RawShipmentData!L545),FIND("/",TRIM([1]RawShipmentData!L545))+1,2)),VALUE(LEFT(TRIM([1]RawShipmentData!L545),FIND("/",TRIM([1]RawShipmentData!L545))-1))),DATEVALUE(TRIM([1]RawShipmentData!L545))))</f>
        <v>45358</v>
      </c>
      <c r="N543" s="2">
        <f t="shared" si="41"/>
        <v>6</v>
      </c>
      <c r="O543" s="2">
        <f t="shared" si="42"/>
        <v>0</v>
      </c>
      <c r="P543" s="2" t="str">
        <f t="shared" si="43"/>
        <v>On Time</v>
      </c>
      <c r="Q543" s="2" t="str">
        <f>PROPER(SUBSTITUTE(TRIM([1]RawShipmentData!M545)," ","-"))</f>
        <v>Delivered</v>
      </c>
      <c r="R543" s="4">
        <f t="shared" si="44"/>
        <v>65.929648241206039</v>
      </c>
      <c r="S543" s="2">
        <f>[1]RawShipmentData!N545</f>
        <v>4</v>
      </c>
      <c r="T543" s="2" t="str">
        <f>IF(OR(UPPER(TRIM([1]RawShipmentData!O545))="YES",UPPER(TRIM([1]RawShipmentData!O545))="Y"),"Yes","No")</f>
        <v>No</v>
      </c>
    </row>
    <row r="544" spans="1:20" x14ac:dyDescent="0.25">
      <c r="A544" s="2" t="str">
        <f>[1]RawShipmentData!A546</f>
        <v>SHP-100502</v>
      </c>
      <c r="B544" s="3">
        <f>IF(ISNUMBER(SEARCH("/",TRIM([1]RawShipmentData!B546))),DATE(VALUE(RIGHT(TRIM([1]RawShipmentData!B546),4)),VALUE(MID(TRIM([1]RawShipmentData!B546),FIND("/",TRIM([1]RawShipmentData!B546))+1,2)),VALUE(LEFT(TRIM([1]RawShipmentData!B546),FIND("/",TRIM([1]RawShipmentData!B546))-1))),DATEVALUE(TRIM([1]RawShipmentData!B546)))</f>
        <v>45298</v>
      </c>
      <c r="C544" s="2" t="str">
        <f>PROPER(TRIM([1]RawShipmentData!C546))</f>
        <v>Bengaluru</v>
      </c>
      <c r="D544" s="2" t="str">
        <f>IFERROR(INDEX([1]HubMaster!$B$2:$B$7,MATCH(C544,[1]HubMaster!$A$2:$A$7,0)),"Unknown")</f>
        <v>South</v>
      </c>
      <c r="E544" s="2" t="str">
        <f>PROPER(TRIM(SUBSTITUTE([1]RawShipmentData!D546,"  "," ")))</f>
        <v>Delhivery</v>
      </c>
      <c r="F544" s="2" t="str">
        <f>PROPER(TRIM([1]RawShipmentData!E546))</f>
        <v>Air</v>
      </c>
      <c r="G544" s="2" t="str">
        <f>PROPER(TRIM(SUBSTITUTE([1]RawShipmentData!F546,"  "," ")))</f>
        <v>Grocery &amp; Fmcg</v>
      </c>
      <c r="H544" s="2" t="str">
        <f>PROPER(TRIM([1]RawShipmentData!G546))</f>
        <v>West</v>
      </c>
      <c r="I544" s="2" t="str">
        <f t="shared" si="40"/>
        <v>Yes</v>
      </c>
      <c r="J544" s="2">
        <f>IFERROR(VALUE(TRIM(SUBSTITUTE(UPPER([1]RawShipmentData!I544),"KG",""))),"")</f>
        <v>50.6</v>
      </c>
      <c r="K544" s="2">
        <f>VALUE(SUBSTITUTE(SUBSTITUTE(SUBSTITUTE(TRIM([1]RawShipmentData!J546),"₹",""),"Rs",""),",",""))</f>
        <v>891</v>
      </c>
      <c r="L544" s="2">
        <f>[1]RawShipmentData!K546</f>
        <v>4</v>
      </c>
      <c r="M544" s="3">
        <f>IF(TRIM([1]RawShipmentData!L546)="","",IF(ISNUMBER(SEARCH("/",TRIM([1]RawShipmentData!L546))),DATE(VALUE(RIGHT(TRIM([1]RawShipmentData!L546),4)),VALUE(MID(TRIM([1]RawShipmentData!L546),FIND("/",TRIM([1]RawShipmentData!L546))+1,2)),VALUE(LEFT(TRIM([1]RawShipmentData!L546),FIND("/",TRIM([1]RawShipmentData!L546))-1))),DATEVALUE(TRIM([1]RawShipmentData!L546))))</f>
        <v>45302</v>
      </c>
      <c r="N544" s="2">
        <f t="shared" si="41"/>
        <v>4</v>
      </c>
      <c r="O544" s="2">
        <f t="shared" si="42"/>
        <v>0</v>
      </c>
      <c r="P544" s="2" t="str">
        <f t="shared" si="43"/>
        <v>On Time</v>
      </c>
      <c r="Q544" s="2" t="str">
        <f>PROPER(SUBSTITUTE(TRIM([1]RawShipmentData!M546)," ","-"))</f>
        <v>Delivered</v>
      </c>
      <c r="R544" s="4">
        <f t="shared" si="44"/>
        <v>17.608695652173914</v>
      </c>
      <c r="S544" s="2">
        <f>[1]RawShipmentData!N546</f>
        <v>5</v>
      </c>
      <c r="T544" s="2" t="str">
        <f>IF(OR(UPPER(TRIM([1]RawShipmentData!O546))="YES",UPPER(TRIM([1]RawShipmentData!O546))="Y"),"Yes","No")</f>
        <v>Yes</v>
      </c>
    </row>
    <row r="545" spans="1:20" x14ac:dyDescent="0.25">
      <c r="A545" s="2" t="str">
        <f>[1]RawShipmentData!A547</f>
        <v>SHP-100524</v>
      </c>
      <c r="B545" s="3">
        <f>IF(ISNUMBER(SEARCH("/",TRIM([1]RawShipmentData!B547))),DATE(VALUE(RIGHT(TRIM([1]RawShipmentData!B547),4)),VALUE(MID(TRIM([1]RawShipmentData!B547),FIND("/",TRIM([1]RawShipmentData!B547))+1,2)),VALUE(LEFT(TRIM([1]RawShipmentData!B547),FIND("/",TRIM([1]RawShipmentData!B547))-1))),DATEVALUE(TRIM([1]RawShipmentData!B547)))</f>
        <v>45344</v>
      </c>
      <c r="C545" s="2" t="str">
        <f>PROPER(TRIM([1]RawShipmentData!C547))</f>
        <v>Chennai</v>
      </c>
      <c r="D545" s="2" t="str">
        <f>IFERROR(INDEX([1]HubMaster!$B$2:$B$7,MATCH(C545,[1]HubMaster!$A$2:$A$7,0)),"Unknown")</f>
        <v>South</v>
      </c>
      <c r="E545" s="2" t="str">
        <f>PROPER(TRIM(SUBSTITUTE([1]RawShipmentData!D547,"  "," ")))</f>
        <v>Ecom Express</v>
      </c>
      <c r="F545" s="2" t="str">
        <f>PROPER(TRIM([1]RawShipmentData!E547))</f>
        <v>Surface</v>
      </c>
      <c r="G545" s="2" t="str">
        <f>PROPER(TRIM(SUBSTITUTE([1]RawShipmentData!F547,"  "," ")))</f>
        <v>Automotive Parts</v>
      </c>
      <c r="H545" s="2" t="str">
        <f>PROPER(TRIM([1]RawShipmentData!G547))</f>
        <v>North</v>
      </c>
      <c r="I545" s="2" t="str">
        <f t="shared" si="40"/>
        <v>Yes</v>
      </c>
      <c r="J545" s="2">
        <f>IFERROR(VALUE(TRIM(SUBSTITUTE(UPPER([1]RawShipmentData!I545),"KG",""))),"")</f>
        <v>53.2</v>
      </c>
      <c r="K545" s="2">
        <f>VALUE(SUBSTITUTE(SUBSTITUTE(SUBSTITUTE(TRIM([1]RawShipmentData!J547),"₹",""),"Rs",""),",",""))</f>
        <v>942</v>
      </c>
      <c r="L545" s="2">
        <f>[1]RawShipmentData!K547</f>
        <v>6</v>
      </c>
      <c r="M545" s="3">
        <f>IF(TRIM([1]RawShipmentData!L547)="","",IF(ISNUMBER(SEARCH("/",TRIM([1]RawShipmentData!L547))),DATE(VALUE(RIGHT(TRIM([1]RawShipmentData!L547),4)),VALUE(MID(TRIM([1]RawShipmentData!L547),FIND("/",TRIM([1]RawShipmentData!L547))+1,2)),VALUE(LEFT(TRIM([1]RawShipmentData!L547),FIND("/",TRIM([1]RawShipmentData!L547))-1))),DATEVALUE(TRIM([1]RawShipmentData!L547))))</f>
        <v>45349</v>
      </c>
      <c r="N545" s="2">
        <f t="shared" si="41"/>
        <v>5</v>
      </c>
      <c r="O545" s="2">
        <f t="shared" si="42"/>
        <v>-1</v>
      </c>
      <c r="P545" s="2" t="str">
        <f t="shared" si="43"/>
        <v>On Time</v>
      </c>
      <c r="Q545" s="2" t="str">
        <f>PROPER(SUBSTITUTE(TRIM([1]RawShipmentData!M547)," ","-"))</f>
        <v>Delivered</v>
      </c>
      <c r="R545" s="4">
        <f t="shared" si="44"/>
        <v>17.706766917293233</v>
      </c>
      <c r="S545" s="2">
        <f>[1]RawShipmentData!N547</f>
        <v>4</v>
      </c>
      <c r="T545" s="2" t="str">
        <f>IF(OR(UPPER(TRIM([1]RawShipmentData!O547))="YES",UPPER(TRIM([1]RawShipmentData!O547))="Y"),"Yes","No")</f>
        <v>No</v>
      </c>
    </row>
    <row r="546" spans="1:20" x14ac:dyDescent="0.25">
      <c r="A546" s="2" t="str">
        <f>[1]RawShipmentData!A548</f>
        <v>SHP-101425</v>
      </c>
      <c r="B546" s="3">
        <f>IF(ISNUMBER(SEARCH("/",TRIM([1]RawShipmentData!B548))),DATE(VALUE(RIGHT(TRIM([1]RawShipmentData!B548),4)),VALUE(MID(TRIM([1]RawShipmentData!B548),FIND("/",TRIM([1]RawShipmentData!B548))+1,2)),VALUE(LEFT(TRIM([1]RawShipmentData!B548),FIND("/",TRIM([1]RawShipmentData!B548))-1))),DATEVALUE(TRIM([1]RawShipmentData!B548)))</f>
        <v>45339</v>
      </c>
      <c r="C546" s="2" t="str">
        <f>PROPER(TRIM([1]RawShipmentData!C548))</f>
        <v>Bengaluru</v>
      </c>
      <c r="D546" s="2" t="str">
        <f>IFERROR(INDEX([1]HubMaster!$B$2:$B$7,MATCH(C546,[1]HubMaster!$A$2:$A$7,0)),"Unknown")</f>
        <v>South</v>
      </c>
      <c r="E546" s="2" t="str">
        <f>PROPER(TRIM(SUBSTITUTE([1]RawShipmentData!D548,"  "," ")))</f>
        <v>Bluedart</v>
      </c>
      <c r="F546" s="2" t="str">
        <f>PROPER(TRIM([1]RawShipmentData!E548))</f>
        <v>Air</v>
      </c>
      <c r="G546" s="2" t="str">
        <f>PROPER(TRIM(SUBSTITUTE([1]RawShipmentData!F548,"  "," ")))</f>
        <v>Pharma</v>
      </c>
      <c r="H546" s="2" t="str">
        <f>PROPER(TRIM([1]RawShipmentData!G548))</f>
        <v>East</v>
      </c>
      <c r="I546" s="2" t="str">
        <f t="shared" si="40"/>
        <v>Yes</v>
      </c>
      <c r="J546" s="2">
        <f>IFERROR(VALUE(TRIM(SUBSTITUTE(UPPER([1]RawShipmentData!I546),"KG",""))),"")</f>
        <v>16.100000000000001</v>
      </c>
      <c r="K546" s="2">
        <f>VALUE(SUBSTITUTE(SUBSTITUTE(SUBSTITUTE(TRIM([1]RawShipmentData!J548),"₹",""),"Rs",""),",",""))</f>
        <v>254</v>
      </c>
      <c r="L546" s="2">
        <f>[1]RawShipmentData!K548</f>
        <v>4</v>
      </c>
      <c r="M546" s="3">
        <f>IF(TRIM([1]RawShipmentData!L548)="","",IF(ISNUMBER(SEARCH("/",TRIM([1]RawShipmentData!L548))),DATE(VALUE(RIGHT(TRIM([1]RawShipmentData!L548),4)),VALUE(MID(TRIM([1]RawShipmentData!L548),FIND("/",TRIM([1]RawShipmentData!L548))+1,2)),VALUE(LEFT(TRIM([1]RawShipmentData!L548),FIND("/",TRIM([1]RawShipmentData!L548))-1))),DATEVALUE(TRIM([1]RawShipmentData!L548))))</f>
        <v>45342</v>
      </c>
      <c r="N546" s="2">
        <f t="shared" si="41"/>
        <v>3</v>
      </c>
      <c r="O546" s="2">
        <f t="shared" si="42"/>
        <v>-1</v>
      </c>
      <c r="P546" s="2" t="str">
        <f t="shared" si="43"/>
        <v>On Time</v>
      </c>
      <c r="Q546" s="2" t="str">
        <f>PROPER(SUBSTITUTE(TRIM([1]RawShipmentData!M548)," ","-"))</f>
        <v>Delivered</v>
      </c>
      <c r="R546" s="4">
        <f t="shared" si="44"/>
        <v>15.776397515527949</v>
      </c>
      <c r="S546" s="2">
        <f>[1]RawShipmentData!N548</f>
        <v>5</v>
      </c>
      <c r="T546" s="2" t="str">
        <f>IF(OR(UPPER(TRIM([1]RawShipmentData!O548))="YES",UPPER(TRIM([1]RawShipmentData!O548))="Y"),"Yes","No")</f>
        <v>Yes</v>
      </c>
    </row>
    <row r="547" spans="1:20" x14ac:dyDescent="0.25">
      <c r="A547" s="2" t="str">
        <f>[1]RawShipmentData!A549</f>
        <v>SHP-100710</v>
      </c>
      <c r="B547" s="3">
        <f>IF(ISNUMBER(SEARCH("/",TRIM([1]RawShipmentData!B549))),DATE(VALUE(RIGHT(TRIM([1]RawShipmentData!B549),4)),VALUE(MID(TRIM([1]RawShipmentData!B549),FIND("/",TRIM([1]RawShipmentData!B549))+1,2)),VALUE(LEFT(TRIM([1]RawShipmentData!B549),FIND("/",TRIM([1]RawShipmentData!B549))-1))),DATEVALUE(TRIM([1]RawShipmentData!B549)))</f>
        <v>45393</v>
      </c>
      <c r="C547" s="2" t="str">
        <f>PROPER(TRIM([1]RawShipmentData!C549))</f>
        <v>Delhi</v>
      </c>
      <c r="D547" s="2" t="str">
        <f>IFERROR(INDEX([1]HubMaster!$B$2:$B$7,MATCH(C547,[1]HubMaster!$A$2:$A$7,0)),"Unknown")</f>
        <v>North</v>
      </c>
      <c r="E547" s="2" t="str">
        <f>PROPER(TRIM(SUBSTITUTE([1]RawShipmentData!D549,"  "," ")))</f>
        <v>Delhivery</v>
      </c>
      <c r="F547" s="2" t="str">
        <f>PROPER(TRIM([1]RawShipmentData!E549))</f>
        <v>Road</v>
      </c>
      <c r="G547" s="2" t="str">
        <f>PROPER(TRIM(SUBSTITUTE([1]RawShipmentData!F549,"  "," ")))</f>
        <v>Grocery &amp; Fmcg</v>
      </c>
      <c r="H547" s="2" t="str">
        <f>PROPER(TRIM([1]RawShipmentData!G549))</f>
        <v>West</v>
      </c>
      <c r="I547" s="2" t="str">
        <f t="shared" si="40"/>
        <v>Yes</v>
      </c>
      <c r="J547" s="2">
        <f>IFERROR(VALUE(TRIM(SUBSTITUTE(UPPER([1]RawShipmentData!I547),"KG",""))),"")</f>
        <v>36.4</v>
      </c>
      <c r="K547" s="2">
        <f>VALUE(SUBSTITUTE(SUBSTITUTE(SUBSTITUTE(TRIM([1]RawShipmentData!J549),"₹",""),"Rs",""),",",""))</f>
        <v>202</v>
      </c>
      <c r="L547" s="2">
        <f>[1]RawShipmentData!K549</f>
        <v>8</v>
      </c>
      <c r="M547" s="3">
        <f>IF(TRIM([1]RawShipmentData!L549)="","",IF(ISNUMBER(SEARCH("/",TRIM([1]RawShipmentData!L549))),DATE(VALUE(RIGHT(TRIM([1]RawShipmentData!L549),4)),VALUE(MID(TRIM([1]RawShipmentData!L549),FIND("/",TRIM([1]RawShipmentData!L549))+1,2)),VALUE(LEFT(TRIM([1]RawShipmentData!L549),FIND("/",TRIM([1]RawShipmentData!L549))-1))),DATEVALUE(TRIM([1]RawShipmentData!L549))))</f>
        <v>45400</v>
      </c>
      <c r="N547" s="2">
        <f t="shared" si="41"/>
        <v>7</v>
      </c>
      <c r="O547" s="2">
        <f t="shared" si="42"/>
        <v>-1</v>
      </c>
      <c r="P547" s="2" t="str">
        <f t="shared" si="43"/>
        <v>On Time</v>
      </c>
      <c r="Q547" s="2" t="str">
        <f>PROPER(SUBSTITUTE(TRIM([1]RawShipmentData!M549)," ","-"))</f>
        <v>Delivered</v>
      </c>
      <c r="R547" s="4">
        <f t="shared" si="44"/>
        <v>5.5494505494505493</v>
      </c>
      <c r="S547" s="2">
        <f>[1]RawShipmentData!N549</f>
        <v>5</v>
      </c>
      <c r="T547" s="2" t="str">
        <f>IF(OR(UPPER(TRIM([1]RawShipmentData!O549))="YES",UPPER(TRIM([1]RawShipmentData!O549))="Y"),"Yes","No")</f>
        <v>Yes</v>
      </c>
    </row>
    <row r="548" spans="1:20" x14ac:dyDescent="0.25">
      <c r="A548" s="2" t="str">
        <f>[1]RawShipmentData!A550</f>
        <v>SHP-100297</v>
      </c>
      <c r="B548" s="3">
        <f>IF(ISNUMBER(SEARCH("/",TRIM([1]RawShipmentData!B550))),DATE(VALUE(RIGHT(TRIM([1]RawShipmentData!B550),4)),VALUE(MID(TRIM([1]RawShipmentData!B550),FIND("/",TRIM([1]RawShipmentData!B550))+1,2)),VALUE(LEFT(TRIM([1]RawShipmentData!B550),FIND("/",TRIM([1]RawShipmentData!B550))-1))),DATEVALUE(TRIM([1]RawShipmentData!B550)))</f>
        <v>45416</v>
      </c>
      <c r="C548" s="2" t="str">
        <f>PROPER(TRIM([1]RawShipmentData!C550))</f>
        <v>Chennai</v>
      </c>
      <c r="D548" s="2" t="str">
        <f>IFERROR(INDEX([1]HubMaster!$B$2:$B$7,MATCH(C548,[1]HubMaster!$A$2:$A$7,0)),"Unknown")</f>
        <v>South</v>
      </c>
      <c r="E548" s="2" t="str">
        <f>PROPER(TRIM(SUBSTITUTE([1]RawShipmentData!D550,"  "," ")))</f>
        <v>Delhivery</v>
      </c>
      <c r="F548" s="2" t="str">
        <f>PROPER(TRIM([1]RawShipmentData!E550))</f>
        <v>Road</v>
      </c>
      <c r="G548" s="2" t="str">
        <f>PROPER(TRIM(SUBSTITUTE([1]RawShipmentData!F550,"  "," ")))</f>
        <v/>
      </c>
      <c r="H548" s="2" t="str">
        <f>PROPER(TRIM([1]RawShipmentData!G550))</f>
        <v>East</v>
      </c>
      <c r="I548" s="2" t="str">
        <f t="shared" si="40"/>
        <v>Yes</v>
      </c>
      <c r="J548" s="2">
        <f>IFERROR(VALUE(TRIM(SUBSTITUTE(UPPER([1]RawShipmentData!I548),"KG",""))),"")</f>
        <v>1.5</v>
      </c>
      <c r="K548" s="2">
        <f>VALUE(SUBSTITUTE(SUBSTITUTE(SUBSTITUTE(TRIM([1]RawShipmentData!J550),"₹",""),"Rs",""),",",""))</f>
        <v>179</v>
      </c>
      <c r="L548" s="2">
        <f>[1]RawShipmentData!K550</f>
        <v>8</v>
      </c>
      <c r="M548" s="3">
        <f>IF(TRIM([1]RawShipmentData!L550)="","",IF(ISNUMBER(SEARCH("/",TRIM([1]RawShipmentData!L550))),DATE(VALUE(RIGHT(TRIM([1]RawShipmentData!L550),4)),VALUE(MID(TRIM([1]RawShipmentData!L550),FIND("/",TRIM([1]RawShipmentData!L550))+1,2)),VALUE(LEFT(TRIM([1]RawShipmentData!L550),FIND("/",TRIM([1]RawShipmentData!L550))-1))),DATEVALUE(TRIM([1]RawShipmentData!L550))))</f>
        <v>45423</v>
      </c>
      <c r="N548" s="2">
        <f t="shared" si="41"/>
        <v>7</v>
      </c>
      <c r="O548" s="2">
        <f t="shared" si="42"/>
        <v>-1</v>
      </c>
      <c r="P548" s="2" t="str">
        <f t="shared" si="43"/>
        <v>On Time</v>
      </c>
      <c r="Q548" s="2" t="str">
        <f>PROPER(SUBSTITUTE(TRIM([1]RawShipmentData!M550)," ","-"))</f>
        <v>Delivered</v>
      </c>
      <c r="R548" s="4">
        <f t="shared" si="44"/>
        <v>119.33333333333333</v>
      </c>
      <c r="S548" s="2">
        <f>[1]RawShipmentData!N550</f>
        <v>4</v>
      </c>
      <c r="T548" s="2" t="str">
        <f>IF(OR(UPPER(TRIM([1]RawShipmentData!O550))="YES",UPPER(TRIM([1]RawShipmentData!O550))="Y"),"Yes","No")</f>
        <v>Yes</v>
      </c>
    </row>
    <row r="549" spans="1:20" x14ac:dyDescent="0.25">
      <c r="A549" s="2" t="str">
        <f>[1]RawShipmentData!A551</f>
        <v>SHP-101147</v>
      </c>
      <c r="B549" s="3">
        <f>IF(ISNUMBER(SEARCH("/",TRIM([1]RawShipmentData!B551))),DATE(VALUE(RIGHT(TRIM([1]RawShipmentData!B551),4)),VALUE(MID(TRIM([1]RawShipmentData!B551),FIND("/",TRIM([1]RawShipmentData!B551))+1,2)),VALUE(LEFT(TRIM([1]RawShipmentData!B551),FIND("/",TRIM([1]RawShipmentData!B551))-1))),DATEVALUE(TRIM([1]RawShipmentData!B551)))</f>
        <v>45312</v>
      </c>
      <c r="C549" s="2" t="str">
        <f>PROPER(TRIM([1]RawShipmentData!C551))</f>
        <v>Bengaluru</v>
      </c>
      <c r="D549" s="2" t="str">
        <f>IFERROR(INDEX([1]HubMaster!$B$2:$B$7,MATCH(C549,[1]HubMaster!$A$2:$A$7,0)),"Unknown")</f>
        <v>South</v>
      </c>
      <c r="E549" s="2" t="str">
        <f>PROPER(TRIM(SUBSTITUTE([1]RawShipmentData!D551,"  "," ")))</f>
        <v>Bluedart</v>
      </c>
      <c r="F549" s="2" t="str">
        <f>PROPER(TRIM([1]RawShipmentData!E551))</f>
        <v>Road</v>
      </c>
      <c r="G549" s="2" t="str">
        <f>PROPER(TRIM(SUBSTITUTE([1]RawShipmentData!F551,"  "," ")))</f>
        <v>Apparel</v>
      </c>
      <c r="H549" s="2" t="str">
        <f>PROPER(TRIM([1]RawShipmentData!G551))</f>
        <v>West</v>
      </c>
      <c r="I549" s="2" t="str">
        <f t="shared" si="40"/>
        <v>Yes</v>
      </c>
      <c r="J549" s="2">
        <f>IFERROR(VALUE(TRIM(SUBSTITUTE(UPPER([1]RawShipmentData!I549),"KG",""))),"")</f>
        <v>5</v>
      </c>
      <c r="K549" s="2">
        <f>VALUE(SUBSTITUTE(SUBSTITUTE(SUBSTITUTE(TRIM([1]RawShipmentData!J551),"₹",""),"Rs",""),",",""))</f>
        <v>155</v>
      </c>
      <c r="L549" s="2">
        <f>[1]RawShipmentData!K551</f>
        <v>8</v>
      </c>
      <c r="M549" s="3">
        <f>IF(TRIM([1]RawShipmentData!L551)="","",IF(ISNUMBER(SEARCH("/",TRIM([1]RawShipmentData!L551))),DATE(VALUE(RIGHT(TRIM([1]RawShipmentData!L551),4)),VALUE(MID(TRIM([1]RawShipmentData!L551),FIND("/",TRIM([1]RawShipmentData!L551))+1,2)),VALUE(LEFT(TRIM([1]RawShipmentData!L551),FIND("/",TRIM([1]RawShipmentData!L551))-1))),DATEVALUE(TRIM([1]RawShipmentData!L551))))</f>
        <v>45320</v>
      </c>
      <c r="N549" s="2">
        <f t="shared" si="41"/>
        <v>8</v>
      </c>
      <c r="O549" s="2">
        <f t="shared" si="42"/>
        <v>0</v>
      </c>
      <c r="P549" s="2" t="str">
        <f t="shared" si="43"/>
        <v>On Time</v>
      </c>
      <c r="Q549" s="2" t="str">
        <f>PROPER(SUBSTITUTE(TRIM([1]RawShipmentData!M551)," ","-"))</f>
        <v>Delivered</v>
      </c>
      <c r="R549" s="4">
        <f t="shared" si="44"/>
        <v>31</v>
      </c>
      <c r="S549" s="2">
        <f>[1]RawShipmentData!N551</f>
        <v>3</v>
      </c>
      <c r="T549" s="2" t="str">
        <f>IF(OR(UPPER(TRIM([1]RawShipmentData!O551))="YES",UPPER(TRIM([1]RawShipmentData!O551))="Y"),"Yes","No")</f>
        <v>No</v>
      </c>
    </row>
    <row r="550" spans="1:20" x14ac:dyDescent="0.25">
      <c r="A550" s="2" t="str">
        <f>[1]RawShipmentData!A552</f>
        <v>SHP-101183</v>
      </c>
      <c r="B550" s="3">
        <f>IF(ISNUMBER(SEARCH("/",TRIM([1]RawShipmentData!B552))),DATE(VALUE(RIGHT(TRIM([1]RawShipmentData!B552),4)),VALUE(MID(TRIM([1]RawShipmentData!B552),FIND("/",TRIM([1]RawShipmentData!B552))+1,2)),VALUE(LEFT(TRIM([1]RawShipmentData!B552),FIND("/",TRIM([1]RawShipmentData!B552))-1))),DATEVALUE(TRIM([1]RawShipmentData!B552)))</f>
        <v>45352</v>
      </c>
      <c r="C550" s="2" t="str">
        <f>PROPER(TRIM([1]RawShipmentData!C552))</f>
        <v>Kolkata</v>
      </c>
      <c r="D550" s="2" t="str">
        <f>IFERROR(INDEX([1]HubMaster!$B$2:$B$7,MATCH(C550,[1]HubMaster!$A$2:$A$7,0)),"Unknown")</f>
        <v>East</v>
      </c>
      <c r="E550" s="2" t="str">
        <f>PROPER(TRIM(SUBSTITUTE([1]RawShipmentData!D552,"  "," ")))</f>
        <v>Delhivery</v>
      </c>
      <c r="F550" s="2" t="str">
        <f>PROPER(TRIM([1]RawShipmentData!E552))</f>
        <v>Surface</v>
      </c>
      <c r="G550" s="2" t="str">
        <f>PROPER(TRIM(SUBSTITUTE([1]RawShipmentData!F552,"  "," ")))</f>
        <v>Pharma</v>
      </c>
      <c r="H550" s="2" t="str">
        <f>PROPER(TRIM([1]RawShipmentData!G552))</f>
        <v>North</v>
      </c>
      <c r="I550" s="2" t="str">
        <f t="shared" si="40"/>
        <v>Yes</v>
      </c>
      <c r="J550" s="2">
        <f>IFERROR(VALUE(TRIM(SUBSTITUTE(UPPER([1]RawShipmentData!I550),"KG",""))),"")</f>
        <v>3.1</v>
      </c>
      <c r="K550" s="2">
        <f>VALUE(SUBSTITUTE(SUBSTITUTE(SUBSTITUTE(TRIM([1]RawShipmentData!J552),"₹",""),"Rs",""),",",""))</f>
        <v>193</v>
      </c>
      <c r="L550" s="2">
        <f>[1]RawShipmentData!K552</f>
        <v>6</v>
      </c>
      <c r="M550" s="3">
        <f>IF(TRIM([1]RawShipmentData!L552)="","",IF(ISNUMBER(SEARCH("/",TRIM([1]RawShipmentData!L552))),DATE(VALUE(RIGHT(TRIM([1]RawShipmentData!L552),4)),VALUE(MID(TRIM([1]RawShipmentData!L552),FIND("/",TRIM([1]RawShipmentData!L552))+1,2)),VALUE(LEFT(TRIM([1]RawShipmentData!L552),FIND("/",TRIM([1]RawShipmentData!L552))-1))),DATEVALUE(TRIM([1]RawShipmentData!L552))))</f>
        <v>45359</v>
      </c>
      <c r="N550" s="2">
        <f t="shared" si="41"/>
        <v>7</v>
      </c>
      <c r="O550" s="2">
        <f t="shared" si="42"/>
        <v>1</v>
      </c>
      <c r="P550" s="2" t="str">
        <f t="shared" si="43"/>
        <v>Late</v>
      </c>
      <c r="Q550" s="2" t="str">
        <f>PROPER(SUBSTITUTE(TRIM([1]RawShipmentData!M552)," ","-"))</f>
        <v>Delayed</v>
      </c>
      <c r="R550" s="4">
        <f t="shared" si="44"/>
        <v>62.258064516129032</v>
      </c>
      <c r="S550" s="2">
        <f>[1]RawShipmentData!N552</f>
        <v>5</v>
      </c>
      <c r="T550" s="2" t="str">
        <f>IF(OR(UPPER(TRIM([1]RawShipmentData!O552))="YES",UPPER(TRIM([1]RawShipmentData!O552))="Y"),"Yes","No")</f>
        <v>No</v>
      </c>
    </row>
    <row r="551" spans="1:20" x14ac:dyDescent="0.25">
      <c r="A551" s="2" t="str">
        <f>[1]RawShipmentData!A553</f>
        <v>SHP-100313</v>
      </c>
      <c r="B551" s="3">
        <f>IF(ISNUMBER(SEARCH("/",TRIM([1]RawShipmentData!B553))),DATE(VALUE(RIGHT(TRIM([1]RawShipmentData!B553),4)),VALUE(MID(TRIM([1]RawShipmentData!B553),FIND("/",TRIM([1]RawShipmentData!B553))+1,2)),VALUE(LEFT(TRIM([1]RawShipmentData!B553),FIND("/",TRIM([1]RawShipmentData!B553))-1))),DATEVALUE(TRIM([1]RawShipmentData!B553)))</f>
        <v>45304</v>
      </c>
      <c r="C551" s="2" t="str">
        <f>PROPER(TRIM([1]RawShipmentData!C553))</f>
        <v>Bengaluru</v>
      </c>
      <c r="D551" s="2" t="str">
        <f>IFERROR(INDEX([1]HubMaster!$B$2:$B$7,MATCH(C551,[1]HubMaster!$A$2:$A$7,0)),"Unknown")</f>
        <v>South</v>
      </c>
      <c r="E551" s="2" t="str">
        <f>PROPER(TRIM(SUBSTITUTE([1]RawShipmentData!D553,"  "," ")))</f>
        <v>Xpressbees</v>
      </c>
      <c r="F551" s="2" t="str">
        <f>PROPER(TRIM([1]RawShipmentData!E553))</f>
        <v>Road</v>
      </c>
      <c r="G551" s="2" t="str">
        <f>PROPER(TRIM(SUBSTITUTE([1]RawShipmentData!F553,"  "," ")))</f>
        <v>Electronics</v>
      </c>
      <c r="H551" s="2" t="str">
        <f>PROPER(TRIM([1]RawShipmentData!G553))</f>
        <v>East</v>
      </c>
      <c r="I551" s="2" t="str">
        <f t="shared" si="40"/>
        <v>Yes</v>
      </c>
      <c r="J551" s="2">
        <f>IFERROR(VALUE(TRIM(SUBSTITUTE(UPPER([1]RawShipmentData!I551),"KG",""))),"")</f>
        <v>2.4</v>
      </c>
      <c r="K551" s="2">
        <f>VALUE(SUBSTITUTE(SUBSTITUTE(SUBSTITUTE(TRIM([1]RawShipmentData!J553),"₹",""),"Rs",""),",",""))</f>
        <v>236</v>
      </c>
      <c r="L551" s="2">
        <f>[1]RawShipmentData!K553</f>
        <v>8</v>
      </c>
      <c r="M551" s="3">
        <f>IF(TRIM([1]RawShipmentData!L553)="","",IF(ISNUMBER(SEARCH("/",TRIM([1]RawShipmentData!L553))),DATE(VALUE(RIGHT(TRIM([1]RawShipmentData!L553),4)),VALUE(MID(TRIM([1]RawShipmentData!L553),FIND("/",TRIM([1]RawShipmentData!L553))+1,2)),VALUE(LEFT(TRIM([1]RawShipmentData!L553),FIND("/",TRIM([1]RawShipmentData!L553))-1))),DATEVALUE(TRIM([1]RawShipmentData!L553))))</f>
        <v>45313</v>
      </c>
      <c r="N551" s="2">
        <f t="shared" si="41"/>
        <v>9</v>
      </c>
      <c r="O551" s="2">
        <f t="shared" si="42"/>
        <v>1</v>
      </c>
      <c r="P551" s="2" t="str">
        <f t="shared" si="43"/>
        <v>Late</v>
      </c>
      <c r="Q551" s="2" t="str">
        <f>PROPER(SUBSTITUTE(TRIM([1]RawShipmentData!M553)," ","-"))</f>
        <v>Delayed</v>
      </c>
      <c r="R551" s="4">
        <f t="shared" si="44"/>
        <v>98.333333333333343</v>
      </c>
      <c r="S551" s="2">
        <f>[1]RawShipmentData!N553</f>
        <v>3</v>
      </c>
      <c r="T551" s="2" t="str">
        <f>IF(OR(UPPER(TRIM([1]RawShipmentData!O553))="YES",UPPER(TRIM([1]RawShipmentData!O553))="Y"),"Yes","No")</f>
        <v>No</v>
      </c>
    </row>
    <row r="552" spans="1:20" x14ac:dyDescent="0.25">
      <c r="A552" s="2" t="str">
        <f>[1]RawShipmentData!A554</f>
        <v>SHP-100962</v>
      </c>
      <c r="B552" s="3">
        <f>IF(ISNUMBER(SEARCH("/",TRIM([1]RawShipmentData!B554))),DATE(VALUE(RIGHT(TRIM([1]RawShipmentData!B554),4)),VALUE(MID(TRIM([1]RawShipmentData!B554),FIND("/",TRIM([1]RawShipmentData!B554))+1,2)),VALUE(LEFT(TRIM([1]RawShipmentData!B554),FIND("/",TRIM([1]RawShipmentData!B554))-1))),DATEVALUE(TRIM([1]RawShipmentData!B554)))</f>
        <v>45433</v>
      </c>
      <c r="C552" s="2" t="str">
        <f>PROPER(TRIM([1]RawShipmentData!C554))</f>
        <v>Kolkata</v>
      </c>
      <c r="D552" s="2" t="str">
        <f>IFERROR(INDEX([1]HubMaster!$B$2:$B$7,MATCH(C552,[1]HubMaster!$A$2:$A$7,0)),"Unknown")</f>
        <v>East</v>
      </c>
      <c r="E552" s="2" t="str">
        <f>PROPER(TRIM(SUBSTITUTE([1]RawShipmentData!D554,"  "," ")))</f>
        <v>Dtdc</v>
      </c>
      <c r="F552" s="2" t="str">
        <f>PROPER(TRIM([1]RawShipmentData!E554))</f>
        <v>Road</v>
      </c>
      <c r="G552" s="2" t="str">
        <f>PROPER(TRIM(SUBSTITUTE([1]RawShipmentData!F554,"  "," ")))</f>
        <v>Grocery &amp; Fmcg</v>
      </c>
      <c r="H552" s="2" t="str">
        <f>PROPER(TRIM([1]RawShipmentData!G554))</f>
        <v>North</v>
      </c>
      <c r="I552" s="2" t="str">
        <f t="shared" si="40"/>
        <v>Yes</v>
      </c>
      <c r="J552" s="2">
        <f>IFERROR(VALUE(TRIM(SUBSTITUTE(UPPER([1]RawShipmentData!I552),"KG",""))),"")</f>
        <v>2.2000000000000002</v>
      </c>
      <c r="K552" s="2">
        <f>VALUE(SUBSTITUTE(SUBSTITUTE(SUBSTITUTE(TRIM([1]RawShipmentData!J554),"₹",""),"Rs",""),",",""))</f>
        <v>318</v>
      </c>
      <c r="L552" s="2">
        <f>[1]RawShipmentData!K554</f>
        <v>8</v>
      </c>
      <c r="M552" s="3">
        <f>IF(TRIM([1]RawShipmentData!L554)="","",IF(ISNUMBER(SEARCH("/",TRIM([1]RawShipmentData!L554))),DATE(VALUE(RIGHT(TRIM([1]RawShipmentData!L554),4)),VALUE(MID(TRIM([1]RawShipmentData!L554),FIND("/",TRIM([1]RawShipmentData!L554))+1,2)),VALUE(LEFT(TRIM([1]RawShipmentData!L554),FIND("/",TRIM([1]RawShipmentData!L554))-1))),DATEVALUE(TRIM([1]RawShipmentData!L554))))</f>
        <v>45440</v>
      </c>
      <c r="N552" s="2">
        <f t="shared" si="41"/>
        <v>7</v>
      </c>
      <c r="O552" s="2">
        <f t="shared" si="42"/>
        <v>-1</v>
      </c>
      <c r="P552" s="2" t="str">
        <f t="shared" si="43"/>
        <v>On Time</v>
      </c>
      <c r="Q552" s="2" t="str">
        <f>PROPER(SUBSTITUTE(TRIM([1]RawShipmentData!M554)," ","-"))</f>
        <v>Delivered</v>
      </c>
      <c r="R552" s="4">
        <f t="shared" si="44"/>
        <v>144.54545454545453</v>
      </c>
      <c r="S552" s="2">
        <f>[1]RawShipmentData!N554</f>
        <v>4</v>
      </c>
      <c r="T552" s="2" t="str">
        <f>IF(OR(UPPER(TRIM([1]RawShipmentData!O554))="YES",UPPER(TRIM([1]RawShipmentData!O554))="Y"),"Yes","No")</f>
        <v>No</v>
      </c>
    </row>
    <row r="553" spans="1:20" x14ac:dyDescent="0.25">
      <c r="A553" s="2" t="str">
        <f>[1]RawShipmentData!A555</f>
        <v>SHP-101379</v>
      </c>
      <c r="B553" s="3">
        <f>IF(ISNUMBER(SEARCH("/",TRIM([1]RawShipmentData!B555))),DATE(VALUE(RIGHT(TRIM([1]RawShipmentData!B555),4)),VALUE(MID(TRIM([1]RawShipmentData!B555),FIND("/",TRIM([1]RawShipmentData!B555))+1,2)),VALUE(LEFT(TRIM([1]RawShipmentData!B555),FIND("/",TRIM([1]RawShipmentData!B555))-1))),DATEVALUE(TRIM([1]RawShipmentData!B555)))</f>
        <v>45357</v>
      </c>
      <c r="C553" s="2" t="str">
        <f>PROPER(TRIM([1]RawShipmentData!C555))</f>
        <v>Chennai</v>
      </c>
      <c r="D553" s="2" t="str">
        <f>IFERROR(INDEX([1]HubMaster!$B$2:$B$7,MATCH(C553,[1]HubMaster!$A$2:$A$7,0)),"Unknown")</f>
        <v>South</v>
      </c>
      <c r="E553" s="2" t="str">
        <f>PROPER(TRIM(SUBSTITUTE([1]RawShipmentData!D555,"  "," ")))</f>
        <v>Ecom Express</v>
      </c>
      <c r="F553" s="2" t="str">
        <f>PROPER(TRIM([1]RawShipmentData!E555))</f>
        <v>Surface</v>
      </c>
      <c r="G553" s="2" t="str">
        <f>PROPER(TRIM(SUBSTITUTE([1]RawShipmentData!F555,"  "," ")))</f>
        <v>Electronics</v>
      </c>
      <c r="H553" s="2" t="str">
        <f>PROPER(TRIM([1]RawShipmentData!G555))</f>
        <v>South</v>
      </c>
      <c r="I553" s="2" t="str">
        <f t="shared" si="40"/>
        <v>No</v>
      </c>
      <c r="J553" s="2">
        <f>IFERROR(VALUE(TRIM(SUBSTITUTE(UPPER([1]RawShipmentData!I553),"KG",""))),"")</f>
        <v>8</v>
      </c>
      <c r="K553" s="2">
        <f>VALUE(SUBSTITUTE(SUBSTITUTE(SUBSTITUTE(TRIM([1]RawShipmentData!J555),"₹",""),"Rs",""),",",""))</f>
        <v>111</v>
      </c>
      <c r="L553" s="2">
        <f>[1]RawShipmentData!K555</f>
        <v>4</v>
      </c>
      <c r="M553" s="3">
        <f>IF(TRIM([1]RawShipmentData!L555)="","",IF(ISNUMBER(SEARCH("/",TRIM([1]RawShipmentData!L555))),DATE(VALUE(RIGHT(TRIM([1]RawShipmentData!L555),4)),VALUE(MID(TRIM([1]RawShipmentData!L555),FIND("/",TRIM([1]RawShipmentData!L555))+1,2)),VALUE(LEFT(TRIM([1]RawShipmentData!L555),FIND("/",TRIM([1]RawShipmentData!L555))-1))),DATEVALUE(TRIM([1]RawShipmentData!L555))))</f>
        <v>45362</v>
      </c>
      <c r="N553" s="2">
        <f t="shared" si="41"/>
        <v>5</v>
      </c>
      <c r="O553" s="2">
        <f t="shared" si="42"/>
        <v>1</v>
      </c>
      <c r="P553" s="2" t="str">
        <f t="shared" si="43"/>
        <v>Late</v>
      </c>
      <c r="Q553" s="2" t="str">
        <f>PROPER(SUBSTITUTE(TRIM([1]RawShipmentData!M555)," ","-"))</f>
        <v>Delayed</v>
      </c>
      <c r="R553" s="4">
        <f t="shared" si="44"/>
        <v>13.875</v>
      </c>
      <c r="S553" s="2">
        <f>[1]RawShipmentData!N555</f>
        <v>3</v>
      </c>
      <c r="T553" s="2" t="str">
        <f>IF(OR(UPPER(TRIM([1]RawShipmentData!O555))="YES",UPPER(TRIM([1]RawShipmentData!O555))="Y"),"Yes","No")</f>
        <v>Yes</v>
      </c>
    </row>
    <row r="554" spans="1:20" x14ac:dyDescent="0.25">
      <c r="A554" s="2" t="str">
        <f>[1]RawShipmentData!A556</f>
        <v>SHP-100829</v>
      </c>
      <c r="B554" s="3">
        <f>IF(ISNUMBER(SEARCH("/",TRIM([1]RawShipmentData!B556))),DATE(VALUE(RIGHT(TRIM([1]RawShipmentData!B556),4)),VALUE(MID(TRIM([1]RawShipmentData!B556),FIND("/",TRIM([1]RawShipmentData!B556))+1,2)),VALUE(LEFT(TRIM([1]RawShipmentData!B556),FIND("/",TRIM([1]RawShipmentData!B556))-1))),DATEVALUE(TRIM([1]RawShipmentData!B556)))</f>
        <v>45292</v>
      </c>
      <c r="C554" s="2" t="str">
        <f>PROPER(TRIM([1]RawShipmentData!C556))</f>
        <v>Kolkata</v>
      </c>
      <c r="D554" s="2" t="str">
        <f>IFERROR(INDEX([1]HubMaster!$B$2:$B$7,MATCH(C554,[1]HubMaster!$A$2:$A$7,0)),"Unknown")</f>
        <v>East</v>
      </c>
      <c r="E554" s="2" t="str">
        <f>PROPER(TRIM(SUBSTITUTE([1]RawShipmentData!D556,"  "," ")))</f>
        <v>Bluedart</v>
      </c>
      <c r="F554" s="2" t="str">
        <f>PROPER(TRIM([1]RawShipmentData!E556))</f>
        <v>Air</v>
      </c>
      <c r="G554" s="2" t="str">
        <f>PROPER(TRIM(SUBSTITUTE([1]RawShipmentData!F556,"  "," ")))</f>
        <v>Furniture</v>
      </c>
      <c r="H554" s="2" t="str">
        <f>PROPER(TRIM([1]RawShipmentData!G556))</f>
        <v>South</v>
      </c>
      <c r="I554" s="2" t="str">
        <f t="shared" si="40"/>
        <v>Yes</v>
      </c>
      <c r="J554" s="2">
        <f>IFERROR(VALUE(TRIM(SUBSTITUTE(UPPER([1]RawShipmentData!I554),"KG",""))),"")</f>
        <v>10</v>
      </c>
      <c r="K554" s="2">
        <f>VALUE(SUBSTITUTE(SUBSTITUTE(SUBSTITUTE(TRIM([1]RawShipmentData!J556),"₹",""),"Rs",""),",",""))</f>
        <v>3105</v>
      </c>
      <c r="L554" s="2">
        <f>[1]RawShipmentData!K556</f>
        <v>4</v>
      </c>
      <c r="M554" s="3">
        <f>IF(TRIM([1]RawShipmentData!L556)="","",IF(ISNUMBER(SEARCH("/",TRIM([1]RawShipmentData!L556))),DATE(VALUE(RIGHT(TRIM([1]RawShipmentData!L556),4)),VALUE(MID(TRIM([1]RawShipmentData!L556),FIND("/",TRIM([1]RawShipmentData!L556))+1,2)),VALUE(LEFT(TRIM([1]RawShipmentData!L556),FIND("/",TRIM([1]RawShipmentData!L556))-1))),DATEVALUE(TRIM([1]RawShipmentData!L556))))</f>
        <v>45297</v>
      </c>
      <c r="N554" s="2">
        <f t="shared" si="41"/>
        <v>5</v>
      </c>
      <c r="O554" s="2">
        <f t="shared" si="42"/>
        <v>1</v>
      </c>
      <c r="P554" s="2" t="str">
        <f t="shared" si="43"/>
        <v>Late</v>
      </c>
      <c r="Q554" s="2" t="str">
        <f>PROPER(SUBSTITUTE(TRIM([1]RawShipmentData!M556)," ","-"))</f>
        <v>Damaged</v>
      </c>
      <c r="R554" s="4">
        <f t="shared" si="44"/>
        <v>310.5</v>
      </c>
      <c r="S554" s="2">
        <f>[1]RawShipmentData!N556</f>
        <v>0</v>
      </c>
      <c r="T554" s="2" t="str">
        <f>IF(OR(UPPER(TRIM([1]RawShipmentData!O556))="YES",UPPER(TRIM([1]RawShipmentData!O556))="Y"),"Yes","No")</f>
        <v>Yes</v>
      </c>
    </row>
    <row r="555" spans="1:20" x14ac:dyDescent="0.25">
      <c r="A555" s="2" t="str">
        <f>[1]RawShipmentData!A557</f>
        <v>SHP-100477</v>
      </c>
      <c r="B555" s="3">
        <f>IF(ISNUMBER(SEARCH("/",TRIM([1]RawShipmentData!B557))),DATE(VALUE(RIGHT(TRIM([1]RawShipmentData!B557),4)),VALUE(MID(TRIM([1]RawShipmentData!B557),FIND("/",TRIM([1]RawShipmentData!B557))+1,2)),VALUE(LEFT(TRIM([1]RawShipmentData!B557),FIND("/",TRIM([1]RawShipmentData!B557))-1))),DATEVALUE(TRIM([1]RawShipmentData!B557)))</f>
        <v>45363</v>
      </c>
      <c r="C555" s="2" t="str">
        <f>PROPER(TRIM([1]RawShipmentData!C557))</f>
        <v>Bengaluru</v>
      </c>
      <c r="D555" s="2" t="str">
        <f>IFERROR(INDEX([1]HubMaster!$B$2:$B$7,MATCH(C555,[1]HubMaster!$A$2:$A$7,0)),"Unknown")</f>
        <v>South</v>
      </c>
      <c r="E555" s="2" t="str">
        <f>PROPER(TRIM(SUBSTITUTE([1]RawShipmentData!D557,"  "," ")))</f>
        <v>Xpress Bees</v>
      </c>
      <c r="F555" s="2" t="str">
        <f>PROPER(TRIM([1]RawShipmentData!E557))</f>
        <v>Surface</v>
      </c>
      <c r="G555" s="2" t="str">
        <f>PROPER(TRIM(SUBSTITUTE([1]RawShipmentData!F557,"  "," ")))</f>
        <v>Pharma</v>
      </c>
      <c r="H555" s="2" t="str">
        <f>PROPER(TRIM([1]RawShipmentData!G557))</f>
        <v>East</v>
      </c>
      <c r="I555" s="2" t="str">
        <f t="shared" si="40"/>
        <v>Yes</v>
      </c>
      <c r="J555" s="2">
        <f>IFERROR(VALUE(TRIM(SUBSTITUTE(UPPER([1]RawShipmentData!I555),"KG",""))),"")</f>
        <v>3.5</v>
      </c>
      <c r="K555" s="2">
        <f>VALUE(SUBSTITUTE(SUBSTITUTE(SUBSTITUTE(TRIM([1]RawShipmentData!J557),"₹",""),"Rs",""),",",""))</f>
        <v>237</v>
      </c>
      <c r="L555" s="2">
        <f>[1]RawShipmentData!K557</f>
        <v>6</v>
      </c>
      <c r="M555" s="3">
        <f>IF(TRIM([1]RawShipmentData!L557)="","",IF(ISNUMBER(SEARCH("/",TRIM([1]RawShipmentData!L557))),DATE(VALUE(RIGHT(TRIM([1]RawShipmentData!L557),4)),VALUE(MID(TRIM([1]RawShipmentData!L557),FIND("/",TRIM([1]RawShipmentData!L557))+1,2)),VALUE(LEFT(TRIM([1]RawShipmentData!L557),FIND("/",TRIM([1]RawShipmentData!L557))-1))),DATEVALUE(TRIM([1]RawShipmentData!L557))))</f>
        <v>45371</v>
      </c>
      <c r="N555" s="2">
        <f t="shared" si="41"/>
        <v>8</v>
      </c>
      <c r="O555" s="2">
        <f t="shared" si="42"/>
        <v>2</v>
      </c>
      <c r="P555" s="2" t="str">
        <f t="shared" si="43"/>
        <v>Late</v>
      </c>
      <c r="Q555" s="2" t="str">
        <f>PROPER(SUBSTITUTE(TRIM([1]RawShipmentData!M557)," ","-"))</f>
        <v>Delayed</v>
      </c>
      <c r="R555" s="4">
        <f t="shared" si="44"/>
        <v>67.714285714285708</v>
      </c>
      <c r="S555" s="2">
        <f>[1]RawShipmentData!N557</f>
        <v>3</v>
      </c>
      <c r="T555" s="2" t="str">
        <f>IF(OR(UPPER(TRIM([1]RawShipmentData!O557))="YES",UPPER(TRIM([1]RawShipmentData!O557))="Y"),"Yes","No")</f>
        <v>Yes</v>
      </c>
    </row>
    <row r="556" spans="1:20" x14ac:dyDescent="0.25">
      <c r="A556" s="2" t="str">
        <f>[1]RawShipmentData!A558</f>
        <v>SHP-100746</v>
      </c>
      <c r="B556" s="3">
        <f>IF(ISNUMBER(SEARCH("/",TRIM([1]RawShipmentData!B558))),DATE(VALUE(RIGHT(TRIM([1]RawShipmentData!B558),4)),VALUE(MID(TRIM([1]RawShipmentData!B558),FIND("/",TRIM([1]RawShipmentData!B558))+1,2)),VALUE(LEFT(TRIM([1]RawShipmentData!B558),FIND("/",TRIM([1]RawShipmentData!B558))-1))),DATEVALUE(TRIM([1]RawShipmentData!B558)))</f>
        <v>45392</v>
      </c>
      <c r="C556" s="2" t="str">
        <f>PROPER(TRIM([1]RawShipmentData!C558))</f>
        <v>Delhi</v>
      </c>
      <c r="D556" s="2" t="str">
        <f>IFERROR(INDEX([1]HubMaster!$B$2:$B$7,MATCH(C556,[1]HubMaster!$A$2:$A$7,0)),"Unknown")</f>
        <v>North</v>
      </c>
      <c r="E556" s="2" t="str">
        <f>PROPER(TRIM(SUBSTITUTE([1]RawShipmentData!D558,"  "," ")))</f>
        <v>Dtdc</v>
      </c>
      <c r="F556" s="2" t="str">
        <f>PROPER(TRIM([1]RawShipmentData!E558))</f>
        <v>Surface</v>
      </c>
      <c r="G556" s="2" t="str">
        <f>PROPER(TRIM(SUBSTITUTE([1]RawShipmentData!F558,"  "," ")))</f>
        <v>Pharma</v>
      </c>
      <c r="H556" s="2" t="str">
        <f>PROPER(TRIM([1]RawShipmentData!G558))</f>
        <v>West</v>
      </c>
      <c r="I556" s="2" t="str">
        <f t="shared" si="40"/>
        <v>Yes</v>
      </c>
      <c r="J556" s="2">
        <f>IFERROR(VALUE(TRIM(SUBSTITUTE(UPPER([1]RawShipmentData!I556),"KG",""))),"")</f>
        <v>64.5</v>
      </c>
      <c r="K556" s="2">
        <f>VALUE(SUBSTITUTE(SUBSTITUTE(SUBSTITUTE(TRIM([1]RawShipmentData!J558),"₹",""),"Rs",""),",",""))</f>
        <v>165</v>
      </c>
      <c r="L556" s="2">
        <f>[1]RawShipmentData!K558</f>
        <v>6</v>
      </c>
      <c r="M556" s="3">
        <f>IF(TRIM([1]RawShipmentData!L558)="","",IF(ISNUMBER(SEARCH("/",TRIM([1]RawShipmentData!L558))),DATE(VALUE(RIGHT(TRIM([1]RawShipmentData!L558),4)),VALUE(MID(TRIM([1]RawShipmentData!L558),FIND("/",TRIM([1]RawShipmentData!L558))+1,2)),VALUE(LEFT(TRIM([1]RawShipmentData!L558),FIND("/",TRIM([1]RawShipmentData!L558))-1))),DATEVALUE(TRIM([1]RawShipmentData!L558))))</f>
        <v>45398</v>
      </c>
      <c r="N556" s="2">
        <f t="shared" si="41"/>
        <v>6</v>
      </c>
      <c r="O556" s="2">
        <f t="shared" si="42"/>
        <v>0</v>
      </c>
      <c r="P556" s="2" t="str">
        <f t="shared" si="43"/>
        <v>On Time</v>
      </c>
      <c r="Q556" s="2" t="str">
        <f>PROPER(SUBSTITUTE(TRIM([1]RawShipmentData!M558)," ","-"))</f>
        <v>Delivered</v>
      </c>
      <c r="R556" s="4">
        <f t="shared" si="44"/>
        <v>2.558139534883721</v>
      </c>
      <c r="S556" s="2">
        <f>[1]RawShipmentData!N558</f>
        <v>4</v>
      </c>
      <c r="T556" s="2" t="str">
        <f>IF(OR(UPPER(TRIM([1]RawShipmentData!O558))="YES",UPPER(TRIM([1]RawShipmentData!O558))="Y"),"Yes","No")</f>
        <v>No</v>
      </c>
    </row>
    <row r="557" spans="1:20" x14ac:dyDescent="0.25">
      <c r="A557" s="2" t="str">
        <f>[1]RawShipmentData!A559</f>
        <v>SHP-101031</v>
      </c>
      <c r="B557" s="3">
        <f>IF(ISNUMBER(SEARCH("/",TRIM([1]RawShipmentData!B559))),DATE(VALUE(RIGHT(TRIM([1]RawShipmentData!B559),4)),VALUE(MID(TRIM([1]RawShipmentData!B559),FIND("/",TRIM([1]RawShipmentData!B559))+1,2)),VALUE(LEFT(TRIM([1]RawShipmentData!B559),FIND("/",TRIM([1]RawShipmentData!B559))-1))),DATEVALUE(TRIM([1]RawShipmentData!B559)))</f>
        <v>45370</v>
      </c>
      <c r="C557" s="2" t="str">
        <f>PROPER(TRIM([1]RawShipmentData!C559))</f>
        <v>Bengaluru</v>
      </c>
      <c r="D557" s="2" t="str">
        <f>IFERROR(INDEX([1]HubMaster!$B$2:$B$7,MATCH(C557,[1]HubMaster!$A$2:$A$7,0)),"Unknown")</f>
        <v>South</v>
      </c>
      <c r="E557" s="2" t="str">
        <f>PROPER(TRIM(SUBSTITUTE([1]RawShipmentData!D559,"  "," ")))</f>
        <v>Delhivery</v>
      </c>
      <c r="F557" s="2" t="str">
        <f>PROPER(TRIM([1]RawShipmentData!E559))</f>
        <v>Surface</v>
      </c>
      <c r="G557" s="2" t="str">
        <f>PROPER(TRIM(SUBSTITUTE([1]RawShipmentData!F559,"  "," ")))</f>
        <v>Pharma</v>
      </c>
      <c r="H557" s="2" t="str">
        <f>PROPER(TRIM([1]RawShipmentData!G559))</f>
        <v>North</v>
      </c>
      <c r="I557" s="2" t="str">
        <f t="shared" si="40"/>
        <v>Yes</v>
      </c>
      <c r="J557" s="2">
        <f>IFERROR(VALUE(TRIM(SUBSTITUTE(UPPER([1]RawShipmentData!I557),"KG",""))),"")</f>
        <v>2.6</v>
      </c>
      <c r="K557" s="2">
        <f>VALUE(SUBSTITUTE(SUBSTITUTE(SUBSTITUTE(TRIM([1]RawShipmentData!J559),"₹",""),"Rs",""),",",""))</f>
        <v>161</v>
      </c>
      <c r="L557" s="2">
        <f>[1]RawShipmentData!K559</f>
        <v>6</v>
      </c>
      <c r="M557" s="3">
        <f>IF(TRIM([1]RawShipmentData!L559)="","",IF(ISNUMBER(SEARCH("/",TRIM([1]RawShipmentData!L559))),DATE(VALUE(RIGHT(TRIM([1]RawShipmentData!L559),4)),VALUE(MID(TRIM([1]RawShipmentData!L559),FIND("/",TRIM([1]RawShipmentData!L559))+1,2)),VALUE(LEFT(TRIM([1]RawShipmentData!L559),FIND("/",TRIM([1]RawShipmentData!L559))-1))),DATEVALUE(TRIM([1]RawShipmentData!L559))))</f>
        <v>45377</v>
      </c>
      <c r="N557" s="2">
        <f t="shared" si="41"/>
        <v>7</v>
      </c>
      <c r="O557" s="2">
        <f t="shared" si="42"/>
        <v>1</v>
      </c>
      <c r="P557" s="2" t="str">
        <f t="shared" si="43"/>
        <v>Late</v>
      </c>
      <c r="Q557" s="2" t="str">
        <f>PROPER(SUBSTITUTE(TRIM([1]RawShipmentData!M559)," ","-"))</f>
        <v>Delayed</v>
      </c>
      <c r="R557" s="4">
        <f t="shared" si="44"/>
        <v>61.92307692307692</v>
      </c>
      <c r="S557" s="2">
        <f>[1]RawShipmentData!N559</f>
        <v>1</v>
      </c>
      <c r="T557" s="2" t="str">
        <f>IF(OR(UPPER(TRIM([1]RawShipmentData!O559))="YES",UPPER(TRIM([1]RawShipmentData!O559))="Y"),"Yes","No")</f>
        <v>No</v>
      </c>
    </row>
    <row r="558" spans="1:20" x14ac:dyDescent="0.25">
      <c r="A558" s="2" t="str">
        <f>[1]RawShipmentData!A560</f>
        <v>SHP-100673</v>
      </c>
      <c r="B558" s="3">
        <f>IF(ISNUMBER(SEARCH("/",TRIM([1]RawShipmentData!B560))),DATE(VALUE(RIGHT(TRIM([1]RawShipmentData!B560),4)),VALUE(MID(TRIM([1]RawShipmentData!B560),FIND("/",TRIM([1]RawShipmentData!B560))+1,2)),VALUE(LEFT(TRIM([1]RawShipmentData!B560),FIND("/",TRIM([1]RawShipmentData!B560))-1))),DATEVALUE(TRIM([1]RawShipmentData!B560)))</f>
        <v>45402</v>
      </c>
      <c r="C558" s="2" t="str">
        <f>PROPER(TRIM([1]RawShipmentData!C560))</f>
        <v/>
      </c>
      <c r="D558" s="2" t="str">
        <f>IFERROR(INDEX([1]HubMaster!$B$2:$B$7,MATCH(C558,[1]HubMaster!$A$2:$A$7,0)),"Unknown")</f>
        <v>Unknown</v>
      </c>
      <c r="E558" s="2" t="str">
        <f>PROPER(TRIM(SUBSTITUTE([1]RawShipmentData!D560,"  "," ")))</f>
        <v>Delhivery</v>
      </c>
      <c r="F558" s="2" t="str">
        <f>PROPER(TRIM([1]RawShipmentData!E560))</f>
        <v>Road</v>
      </c>
      <c r="G558" s="2" t="str">
        <f>PROPER(TRIM(SUBSTITUTE([1]RawShipmentData!F560,"  "," ")))</f>
        <v>Automotive Parts</v>
      </c>
      <c r="H558" s="2" t="str">
        <f>PROPER(TRIM([1]RawShipmentData!G560))</f>
        <v>West</v>
      </c>
      <c r="I558" s="2" t="str">
        <f t="shared" si="40"/>
        <v>Yes</v>
      </c>
      <c r="J558" s="2">
        <f>IFERROR(VALUE(TRIM(SUBSTITUTE(UPPER([1]RawShipmentData!I558),"KG",""))),"")</f>
        <v>1.4</v>
      </c>
      <c r="K558" s="2">
        <f>VALUE(SUBSTITUTE(SUBSTITUTE(SUBSTITUTE(TRIM([1]RawShipmentData!J560),"₹",""),"Rs",""),",",""))</f>
        <v>346</v>
      </c>
      <c r="L558" s="2">
        <f>[1]RawShipmentData!K560</f>
        <v>8</v>
      </c>
      <c r="M558" s="3">
        <f>IF(TRIM([1]RawShipmentData!L560)="","",IF(ISNUMBER(SEARCH("/",TRIM([1]RawShipmentData!L560))),DATE(VALUE(RIGHT(TRIM([1]RawShipmentData!L560),4)),VALUE(MID(TRIM([1]RawShipmentData!L560),FIND("/",TRIM([1]RawShipmentData!L560))+1,2)),VALUE(LEFT(TRIM([1]RawShipmentData!L560),FIND("/",TRIM([1]RawShipmentData!L560))-1))),DATEVALUE(TRIM([1]RawShipmentData!L560))))</f>
        <v>45417</v>
      </c>
      <c r="N558" s="2">
        <f t="shared" si="41"/>
        <v>15</v>
      </c>
      <c r="O558" s="2">
        <f t="shared" si="42"/>
        <v>7</v>
      </c>
      <c r="P558" s="2" t="str">
        <f t="shared" si="43"/>
        <v>Late</v>
      </c>
      <c r="Q558" s="2" t="str">
        <f>PROPER(SUBSTITUTE(TRIM([1]RawShipmentData!M560)," ","-"))</f>
        <v>Delayed</v>
      </c>
      <c r="R558" s="4">
        <f t="shared" si="44"/>
        <v>247.14285714285717</v>
      </c>
      <c r="S558" s="2">
        <f>[1]RawShipmentData!N560</f>
        <v>5</v>
      </c>
      <c r="T558" s="2" t="str">
        <f>IF(OR(UPPER(TRIM([1]RawShipmentData!O560))="YES",UPPER(TRIM([1]RawShipmentData!O560))="Y"),"Yes","No")</f>
        <v>No</v>
      </c>
    </row>
    <row r="559" spans="1:20" x14ac:dyDescent="0.25">
      <c r="A559" s="2" t="str">
        <f>[1]RawShipmentData!A561</f>
        <v>SHP-100585</v>
      </c>
      <c r="B559" s="3">
        <f>IF(ISNUMBER(SEARCH("/",TRIM([1]RawShipmentData!B561))),DATE(VALUE(RIGHT(TRIM([1]RawShipmentData!B561),4)),VALUE(MID(TRIM([1]RawShipmentData!B561),FIND("/",TRIM([1]RawShipmentData!B561))+1,2)),VALUE(LEFT(TRIM([1]RawShipmentData!B561),FIND("/",TRIM([1]RawShipmentData!B561))-1))),DATEVALUE(TRIM([1]RawShipmentData!B561)))</f>
        <v>45460</v>
      </c>
      <c r="C559" s="2" t="str">
        <f>PROPER(TRIM([1]RawShipmentData!C561))</f>
        <v>Bengaluru</v>
      </c>
      <c r="D559" s="2" t="str">
        <f>IFERROR(INDEX([1]HubMaster!$B$2:$B$7,MATCH(C559,[1]HubMaster!$A$2:$A$7,0)),"Unknown")</f>
        <v>South</v>
      </c>
      <c r="E559" s="2" t="str">
        <f>PROPER(TRIM(SUBSTITUTE([1]RawShipmentData!D561,"  "," ")))</f>
        <v>Delhivery</v>
      </c>
      <c r="F559" s="2" t="str">
        <f>PROPER(TRIM([1]RawShipmentData!E561))</f>
        <v>Surface</v>
      </c>
      <c r="G559" s="2" t="str">
        <f>PROPER(TRIM(SUBSTITUTE([1]RawShipmentData!F561,"  "," ")))</f>
        <v>Grocery &amp; Fmcg</v>
      </c>
      <c r="H559" s="2" t="str">
        <f>PROPER(TRIM([1]RawShipmentData!G561))</f>
        <v>South</v>
      </c>
      <c r="I559" s="2" t="str">
        <f t="shared" si="40"/>
        <v>No</v>
      </c>
      <c r="J559" s="2">
        <f>IFERROR(VALUE(TRIM(SUBSTITUTE(UPPER([1]RawShipmentData!I559),"KG",""))),"")</f>
        <v>0.7</v>
      </c>
      <c r="K559" s="2">
        <f>VALUE(SUBSTITUTE(SUBSTITUTE(SUBSTITUTE(TRIM([1]RawShipmentData!J561),"₹",""),"Rs",""),",",""))</f>
        <v>286</v>
      </c>
      <c r="L559" s="2">
        <f>[1]RawShipmentData!K561</f>
        <v>4</v>
      </c>
      <c r="M559" s="3">
        <f>IF(TRIM([1]RawShipmentData!L561)="","",IF(ISNUMBER(SEARCH("/",TRIM([1]RawShipmentData!L561))),DATE(VALUE(RIGHT(TRIM([1]RawShipmentData!L561),4)),VALUE(MID(TRIM([1]RawShipmentData!L561),FIND("/",TRIM([1]RawShipmentData!L561))+1,2)),VALUE(LEFT(TRIM([1]RawShipmentData!L561),FIND("/",TRIM([1]RawShipmentData!L561))-1))),DATEVALUE(TRIM([1]RawShipmentData!L561))))</f>
        <v>45470</v>
      </c>
      <c r="N559" s="2">
        <f t="shared" si="41"/>
        <v>10</v>
      </c>
      <c r="O559" s="2">
        <f t="shared" si="42"/>
        <v>6</v>
      </c>
      <c r="P559" s="2" t="str">
        <f t="shared" si="43"/>
        <v>Late</v>
      </c>
      <c r="Q559" s="2" t="str">
        <f>PROPER(SUBSTITUTE(TRIM([1]RawShipmentData!M561)," ","-"))</f>
        <v>Delayed</v>
      </c>
      <c r="R559" s="4">
        <f t="shared" si="44"/>
        <v>408.57142857142861</v>
      </c>
      <c r="S559" s="2">
        <f>[1]RawShipmentData!N561</f>
        <v>3</v>
      </c>
      <c r="T559" s="2" t="str">
        <f>IF(OR(UPPER(TRIM([1]RawShipmentData!O561))="YES",UPPER(TRIM([1]RawShipmentData!O561))="Y"),"Yes","No")</f>
        <v>Yes</v>
      </c>
    </row>
    <row r="560" spans="1:20" x14ac:dyDescent="0.25">
      <c r="A560" s="2" t="str">
        <f>[1]RawShipmentData!A562</f>
        <v>SHP-100492</v>
      </c>
      <c r="B560" s="3">
        <f>IF(ISNUMBER(SEARCH("/",TRIM([1]RawShipmentData!B562))),DATE(VALUE(RIGHT(TRIM([1]RawShipmentData!B562),4)),VALUE(MID(TRIM([1]RawShipmentData!B562),FIND("/",TRIM([1]RawShipmentData!B562))+1,2)),VALUE(LEFT(TRIM([1]RawShipmentData!B562),FIND("/",TRIM([1]RawShipmentData!B562))-1))),DATEVALUE(TRIM([1]RawShipmentData!B562)))</f>
        <v>45423</v>
      </c>
      <c r="C560" s="2" t="str">
        <f>PROPER(TRIM([1]RawShipmentData!C562))</f>
        <v>Hyderabad</v>
      </c>
      <c r="D560" s="2" t="str">
        <f>IFERROR(INDEX([1]HubMaster!$B$2:$B$7,MATCH(C560,[1]HubMaster!$A$2:$A$7,0)),"Unknown")</f>
        <v>West</v>
      </c>
      <c r="E560" s="2" t="str">
        <f>PROPER(TRIM(SUBSTITUTE([1]RawShipmentData!D562,"  "," ")))</f>
        <v>Ecom Express</v>
      </c>
      <c r="F560" s="2" t="str">
        <f>PROPER(TRIM([1]RawShipmentData!E562))</f>
        <v>Road</v>
      </c>
      <c r="G560" s="2" t="str">
        <f>PROPER(TRIM(SUBSTITUTE([1]RawShipmentData!F562,"  "," ")))</f>
        <v>Furniture</v>
      </c>
      <c r="H560" s="2" t="str">
        <f>PROPER(TRIM([1]RawShipmentData!G562))</f>
        <v>West</v>
      </c>
      <c r="I560" s="2" t="str">
        <f t="shared" si="40"/>
        <v>No</v>
      </c>
      <c r="J560" s="2">
        <f>IFERROR(VALUE(TRIM(SUBSTITUTE(UPPER([1]RawShipmentData!I560),"KG",""))),"")</f>
        <v>11.4</v>
      </c>
      <c r="K560" s="2">
        <f>VALUE(SUBSTITUTE(SUBSTITUTE(SUBSTITUTE(TRIM([1]RawShipmentData!J562),"₹",""),"Rs",""),",",""))</f>
        <v>627</v>
      </c>
      <c r="L560" s="2">
        <f>[1]RawShipmentData!K562</f>
        <v>6</v>
      </c>
      <c r="M560" s="3">
        <f>IF(TRIM([1]RawShipmentData!L562)="","",IF(ISNUMBER(SEARCH("/",TRIM([1]RawShipmentData!L562))),DATE(VALUE(RIGHT(TRIM([1]RawShipmentData!L562),4)),VALUE(MID(TRIM([1]RawShipmentData!L562),FIND("/",TRIM([1]RawShipmentData!L562))+1,2)),VALUE(LEFT(TRIM([1]RawShipmentData!L562),FIND("/",TRIM([1]RawShipmentData!L562))-1))),DATEVALUE(TRIM([1]RawShipmentData!L562))))</f>
        <v>45429</v>
      </c>
      <c r="N560" s="2">
        <f t="shared" si="41"/>
        <v>6</v>
      </c>
      <c r="O560" s="2">
        <f t="shared" si="42"/>
        <v>0</v>
      </c>
      <c r="P560" s="2" t="str">
        <f t="shared" si="43"/>
        <v>On Time</v>
      </c>
      <c r="Q560" s="2" t="str">
        <f>PROPER(SUBSTITUTE(TRIM([1]RawShipmentData!M562)," ","-"))</f>
        <v>Delivered</v>
      </c>
      <c r="R560" s="4">
        <f t="shared" si="44"/>
        <v>55</v>
      </c>
      <c r="S560" s="2">
        <f>[1]RawShipmentData!N562</f>
        <v>5</v>
      </c>
      <c r="T560" s="2" t="str">
        <f>IF(OR(UPPER(TRIM([1]RawShipmentData!O562))="YES",UPPER(TRIM([1]RawShipmentData!O562))="Y"),"Yes","No")</f>
        <v>No</v>
      </c>
    </row>
    <row r="561" spans="1:20" x14ac:dyDescent="0.25">
      <c r="A561" s="2" t="str">
        <f>[1]RawShipmentData!A563</f>
        <v>SHP-101280</v>
      </c>
      <c r="B561" s="3">
        <f>IF(ISNUMBER(SEARCH("/",TRIM([1]RawShipmentData!B563))),DATE(VALUE(RIGHT(TRIM([1]RawShipmentData!B563),4)),VALUE(MID(TRIM([1]RawShipmentData!B563),FIND("/",TRIM([1]RawShipmentData!B563))+1,2)),VALUE(LEFT(TRIM([1]RawShipmentData!B563),FIND("/",TRIM([1]RawShipmentData!B563))-1))),DATEVALUE(TRIM([1]RawShipmentData!B563)))</f>
        <v>45379</v>
      </c>
      <c r="C561" s="2" t="str">
        <f>PROPER(TRIM([1]RawShipmentData!C563))</f>
        <v>Delhi</v>
      </c>
      <c r="D561" s="2" t="str">
        <f>IFERROR(INDEX([1]HubMaster!$B$2:$B$7,MATCH(C561,[1]HubMaster!$A$2:$A$7,0)),"Unknown")</f>
        <v>North</v>
      </c>
      <c r="E561" s="2" t="str">
        <f>PROPER(TRIM(SUBSTITUTE([1]RawShipmentData!D563,"  "," ")))</f>
        <v>Bluedart</v>
      </c>
      <c r="F561" s="2" t="str">
        <f>PROPER(TRIM([1]RawShipmentData!E563))</f>
        <v>Air</v>
      </c>
      <c r="G561" s="2" t="str">
        <f>PROPER(TRIM(SUBSTITUTE([1]RawShipmentData!F563,"  "," ")))</f>
        <v>Automotive Parts</v>
      </c>
      <c r="H561" s="2" t="str">
        <f>PROPER(TRIM([1]RawShipmentData!G563))</f>
        <v>East</v>
      </c>
      <c r="I561" s="2" t="str">
        <f t="shared" si="40"/>
        <v>Yes</v>
      </c>
      <c r="J561" s="2">
        <f>IFERROR(VALUE(TRIM(SUBSTITUTE(UPPER([1]RawShipmentData!I561),"KG",""))),"")</f>
        <v>13.4</v>
      </c>
      <c r="K561" s="2">
        <f>VALUE(SUBSTITUTE(SUBSTITUTE(SUBSTITUTE(TRIM([1]RawShipmentData!J563),"₹",""),"Rs",""),",",""))</f>
        <v>1104</v>
      </c>
      <c r="L561" s="2">
        <f>[1]RawShipmentData!K563</f>
        <v>4</v>
      </c>
      <c r="M561" s="3">
        <f>IF(TRIM([1]RawShipmentData!L563)="","",IF(ISNUMBER(SEARCH("/",TRIM([1]RawShipmentData!L563))),DATE(VALUE(RIGHT(TRIM([1]RawShipmentData!L563),4)),VALUE(MID(TRIM([1]RawShipmentData!L563),FIND("/",TRIM([1]RawShipmentData!L563))+1,2)),VALUE(LEFT(TRIM([1]RawShipmentData!L563),FIND("/",TRIM([1]RawShipmentData!L563))-1))),DATEVALUE(TRIM([1]RawShipmentData!L563))))</f>
        <v>45383</v>
      </c>
      <c r="N561" s="2">
        <f t="shared" si="41"/>
        <v>4</v>
      </c>
      <c r="O561" s="2">
        <f t="shared" si="42"/>
        <v>0</v>
      </c>
      <c r="P561" s="2" t="str">
        <f t="shared" si="43"/>
        <v>On Time</v>
      </c>
      <c r="Q561" s="2" t="str">
        <f>PROPER(SUBSTITUTE(TRIM([1]RawShipmentData!M563)," ","-"))</f>
        <v>Delivered</v>
      </c>
      <c r="R561" s="4">
        <f t="shared" si="44"/>
        <v>82.388059701492537</v>
      </c>
      <c r="S561" s="2">
        <f>[1]RawShipmentData!N563</f>
        <v>4</v>
      </c>
      <c r="T561" s="2" t="str">
        <f>IF(OR(UPPER(TRIM([1]RawShipmentData!O563))="YES",UPPER(TRIM([1]RawShipmentData!O563))="Y"),"Yes","No")</f>
        <v>No</v>
      </c>
    </row>
    <row r="562" spans="1:20" x14ac:dyDescent="0.25">
      <c r="A562" s="2" t="str">
        <f>[1]RawShipmentData!A564</f>
        <v>SHP-101220</v>
      </c>
      <c r="B562" s="3">
        <f>IF(ISNUMBER(SEARCH("/",TRIM([1]RawShipmentData!B564))),DATE(VALUE(RIGHT(TRIM([1]RawShipmentData!B564),4)),VALUE(MID(TRIM([1]RawShipmentData!B564),FIND("/",TRIM([1]RawShipmentData!B564))+1,2)),VALUE(LEFT(TRIM([1]RawShipmentData!B564),FIND("/",TRIM([1]RawShipmentData!B564))-1))),DATEVALUE(TRIM([1]RawShipmentData!B564)))</f>
        <v>45362</v>
      </c>
      <c r="C562" s="2" t="str">
        <f>PROPER(TRIM([1]RawShipmentData!C564))</f>
        <v>Kolkata</v>
      </c>
      <c r="D562" s="2" t="str">
        <f>IFERROR(INDEX([1]HubMaster!$B$2:$B$7,MATCH(C562,[1]HubMaster!$A$2:$A$7,0)),"Unknown")</f>
        <v>East</v>
      </c>
      <c r="E562" s="2" t="str">
        <f>PROPER(TRIM(SUBSTITUTE([1]RawShipmentData!D564,"  "," ")))</f>
        <v>Bluedart</v>
      </c>
      <c r="F562" s="2" t="str">
        <f>PROPER(TRIM([1]RawShipmentData!E564))</f>
        <v>Air</v>
      </c>
      <c r="G562" s="2" t="str">
        <f>PROPER(TRIM(SUBSTITUTE([1]RawShipmentData!F564,"  "," ")))</f>
        <v>Apparel</v>
      </c>
      <c r="H562" s="2" t="str">
        <f>PROPER(TRIM([1]RawShipmentData!G564))</f>
        <v>East</v>
      </c>
      <c r="I562" s="2" t="str">
        <f t="shared" si="40"/>
        <v>No</v>
      </c>
      <c r="J562" s="2">
        <f>IFERROR(VALUE(TRIM(SUBSTITUTE(UPPER([1]RawShipmentData!I562),"KG",""))),"")</f>
        <v>46.6</v>
      </c>
      <c r="K562" s="2">
        <f>VALUE(SUBSTITUTE(SUBSTITUTE(SUBSTITUTE(TRIM([1]RawShipmentData!J564),"₹",""),"Rs",""),",",""))</f>
        <v>117</v>
      </c>
      <c r="L562" s="2">
        <f>[1]RawShipmentData!K564</f>
        <v>2</v>
      </c>
      <c r="M562" s="3">
        <f>IF(TRIM([1]RawShipmentData!L564)="","",IF(ISNUMBER(SEARCH("/",TRIM([1]RawShipmentData!L564))),DATE(VALUE(RIGHT(TRIM([1]RawShipmentData!L564),4)),VALUE(MID(TRIM([1]RawShipmentData!L564),FIND("/",TRIM([1]RawShipmentData!L564))+1,2)),VALUE(LEFT(TRIM([1]RawShipmentData!L564),FIND("/",TRIM([1]RawShipmentData!L564))-1))),DATEVALUE(TRIM([1]RawShipmentData!L564))))</f>
        <v>45364</v>
      </c>
      <c r="N562" s="2">
        <f t="shared" si="41"/>
        <v>2</v>
      </c>
      <c r="O562" s="2">
        <f t="shared" si="42"/>
        <v>0</v>
      </c>
      <c r="P562" s="2" t="str">
        <f t="shared" si="43"/>
        <v>On Time</v>
      </c>
      <c r="Q562" s="2" t="str">
        <f>PROPER(SUBSTITUTE(TRIM([1]RawShipmentData!M564)," ","-"))</f>
        <v>Delivered</v>
      </c>
      <c r="R562" s="4">
        <f t="shared" si="44"/>
        <v>2.5107296137339055</v>
      </c>
      <c r="S562" s="2">
        <f>[1]RawShipmentData!N564</f>
        <v>5</v>
      </c>
      <c r="T562" s="2" t="str">
        <f>IF(OR(UPPER(TRIM([1]RawShipmentData!O564))="YES",UPPER(TRIM([1]RawShipmentData!O564))="Y"),"Yes","No")</f>
        <v>No</v>
      </c>
    </row>
    <row r="563" spans="1:20" x14ac:dyDescent="0.25">
      <c r="A563" s="2" t="str">
        <f>[1]RawShipmentData!A565</f>
        <v>SHP-101373</v>
      </c>
      <c r="B563" s="3">
        <f>IF(ISNUMBER(SEARCH("/",TRIM([1]RawShipmentData!B565))),DATE(VALUE(RIGHT(TRIM([1]RawShipmentData!B565),4)),VALUE(MID(TRIM([1]RawShipmentData!B565),FIND("/",TRIM([1]RawShipmentData!B565))+1,2)),VALUE(LEFT(TRIM([1]RawShipmentData!B565),FIND("/",TRIM([1]RawShipmentData!B565))-1))),DATEVALUE(TRIM([1]RawShipmentData!B565)))</f>
        <v>45312</v>
      </c>
      <c r="C563" s="2" t="str">
        <f>PROPER(TRIM([1]RawShipmentData!C565))</f>
        <v>Chennai</v>
      </c>
      <c r="D563" s="2" t="str">
        <f>IFERROR(INDEX([1]HubMaster!$B$2:$B$7,MATCH(C563,[1]HubMaster!$A$2:$A$7,0)),"Unknown")</f>
        <v>South</v>
      </c>
      <c r="E563" s="2" t="str">
        <f>PROPER(TRIM(SUBSTITUTE([1]RawShipmentData!D565,"  "," ")))</f>
        <v>Dtdc</v>
      </c>
      <c r="F563" s="2" t="str">
        <f>PROPER(TRIM([1]RawShipmentData!E565))</f>
        <v>Air</v>
      </c>
      <c r="G563" s="2" t="str">
        <f>PROPER(TRIM(SUBSTITUTE([1]RawShipmentData!F565,"  "," ")))</f>
        <v>Furniture</v>
      </c>
      <c r="H563" s="2" t="str">
        <f>PROPER(TRIM([1]RawShipmentData!G565))</f>
        <v>South</v>
      </c>
      <c r="I563" s="2" t="str">
        <f t="shared" si="40"/>
        <v>No</v>
      </c>
      <c r="J563" s="2">
        <f>IFERROR(VALUE(TRIM(SUBSTITUTE(UPPER([1]RawShipmentData!I563),"KG",""))),"")</f>
        <v>20.100000000000001</v>
      </c>
      <c r="K563" s="2">
        <f>VALUE(SUBSTITUTE(SUBSTITUTE(SUBSTITUTE(TRIM([1]RawShipmentData!J565),"₹",""),"Rs",""),",",""))</f>
        <v>1630</v>
      </c>
      <c r="L563" s="2">
        <f>[1]RawShipmentData!K565</f>
        <v>2</v>
      </c>
      <c r="M563" s="3">
        <f>IF(TRIM([1]RawShipmentData!L565)="","",IF(ISNUMBER(SEARCH("/",TRIM([1]RawShipmentData!L565))),DATE(VALUE(RIGHT(TRIM([1]RawShipmentData!L565),4)),VALUE(MID(TRIM([1]RawShipmentData!L565),FIND("/",TRIM([1]RawShipmentData!L565))+1,2)),VALUE(LEFT(TRIM([1]RawShipmentData!L565),FIND("/",TRIM([1]RawShipmentData!L565))-1))),DATEVALUE(TRIM([1]RawShipmentData!L565))))</f>
        <v>45316</v>
      </c>
      <c r="N563" s="2">
        <f t="shared" si="41"/>
        <v>4</v>
      </c>
      <c r="O563" s="2">
        <f t="shared" si="42"/>
        <v>2</v>
      </c>
      <c r="P563" s="2" t="str">
        <f t="shared" si="43"/>
        <v>Late</v>
      </c>
      <c r="Q563" s="2" t="str">
        <f>PROPER(SUBSTITUTE(TRIM([1]RawShipmentData!M565)," ","-"))</f>
        <v>Delayed</v>
      </c>
      <c r="R563" s="4">
        <f t="shared" si="44"/>
        <v>81.094527363184071</v>
      </c>
      <c r="S563" s="2">
        <f>[1]RawShipmentData!N565</f>
        <v>3</v>
      </c>
      <c r="T563" s="2" t="str">
        <f>IF(OR(UPPER(TRIM([1]RawShipmentData!O565))="YES",UPPER(TRIM([1]RawShipmentData!O565))="Y"),"Yes","No")</f>
        <v>No</v>
      </c>
    </row>
    <row r="564" spans="1:20" x14ac:dyDescent="0.25">
      <c r="A564" s="2" t="str">
        <f>[1]RawShipmentData!A566</f>
        <v>SHP-100070</v>
      </c>
      <c r="B564" s="3">
        <f>IF(ISNUMBER(SEARCH("/",TRIM([1]RawShipmentData!B566))),DATE(VALUE(RIGHT(TRIM([1]RawShipmentData!B566),4)),VALUE(MID(TRIM([1]RawShipmentData!B566),FIND("/",TRIM([1]RawShipmentData!B566))+1,2)),VALUE(LEFT(TRIM([1]RawShipmentData!B566),FIND("/",TRIM([1]RawShipmentData!B566))-1))),DATEVALUE(TRIM([1]RawShipmentData!B566)))</f>
        <v>45344</v>
      </c>
      <c r="C564" s="2" t="str">
        <f>PROPER(TRIM([1]RawShipmentData!C566))</f>
        <v>Bengaluru</v>
      </c>
      <c r="D564" s="2" t="str">
        <f>IFERROR(INDEX([1]HubMaster!$B$2:$B$7,MATCH(C564,[1]HubMaster!$A$2:$A$7,0)),"Unknown")</f>
        <v>South</v>
      </c>
      <c r="E564" s="2" t="str">
        <f>PROPER(TRIM(SUBSTITUTE([1]RawShipmentData!D566,"  "," ")))</f>
        <v>Xpressbees</v>
      </c>
      <c r="F564" s="2" t="str">
        <f>PROPER(TRIM([1]RawShipmentData!E566))</f>
        <v>Road</v>
      </c>
      <c r="G564" s="2" t="str">
        <f>PROPER(TRIM(SUBSTITUTE([1]RawShipmentData!F566,"  "," ")))</f>
        <v>Apparel</v>
      </c>
      <c r="H564" s="2" t="str">
        <f>PROPER(TRIM([1]RawShipmentData!G566))</f>
        <v>West</v>
      </c>
      <c r="I564" s="2" t="str">
        <f t="shared" si="40"/>
        <v>Yes</v>
      </c>
      <c r="J564" s="2">
        <f>IFERROR(VALUE(TRIM(SUBSTITUTE(UPPER([1]RawShipmentData!I564),"KG",""))),"")</f>
        <v>1.3</v>
      </c>
      <c r="K564" s="2">
        <f>VALUE(SUBSTITUTE(SUBSTITUTE(SUBSTITUTE(TRIM([1]RawShipmentData!J566),"₹",""),"Rs",""),",",""))</f>
        <v>257</v>
      </c>
      <c r="L564" s="2">
        <f>[1]RawShipmentData!K566</f>
        <v>8</v>
      </c>
      <c r="M564" s="3">
        <f>IF(TRIM([1]RawShipmentData!L566)="","",IF(ISNUMBER(SEARCH("/",TRIM([1]RawShipmentData!L566))),DATE(VALUE(RIGHT(TRIM([1]RawShipmentData!L566),4)),VALUE(MID(TRIM([1]RawShipmentData!L566),FIND("/",TRIM([1]RawShipmentData!L566))+1,2)),VALUE(LEFT(TRIM([1]RawShipmentData!L566),FIND("/",TRIM([1]RawShipmentData!L566))-1))),DATEVALUE(TRIM([1]RawShipmentData!L566))))</f>
        <v>45357</v>
      </c>
      <c r="N564" s="2">
        <f t="shared" si="41"/>
        <v>13</v>
      </c>
      <c r="O564" s="2">
        <f t="shared" si="42"/>
        <v>5</v>
      </c>
      <c r="P564" s="2" t="str">
        <f t="shared" si="43"/>
        <v>Late</v>
      </c>
      <c r="Q564" s="2" t="str">
        <f>PROPER(SUBSTITUTE(TRIM([1]RawShipmentData!M566)," ","-"))</f>
        <v>Delayed</v>
      </c>
      <c r="R564" s="4">
        <f t="shared" si="44"/>
        <v>197.69230769230768</v>
      </c>
      <c r="S564" s="2">
        <f>[1]RawShipmentData!N566</f>
        <v>2</v>
      </c>
      <c r="T564" s="2" t="str">
        <f>IF(OR(UPPER(TRIM([1]RawShipmentData!O566))="YES",UPPER(TRIM([1]RawShipmentData!O566))="Y"),"Yes","No")</f>
        <v>Yes</v>
      </c>
    </row>
    <row r="565" spans="1:20" x14ac:dyDescent="0.25">
      <c r="A565" s="2" t="str">
        <f>[1]RawShipmentData!A567</f>
        <v>SHP-101096</v>
      </c>
      <c r="B565" s="3">
        <f>IF(ISNUMBER(SEARCH("/",TRIM([1]RawShipmentData!B567))),DATE(VALUE(RIGHT(TRIM([1]RawShipmentData!B567),4)),VALUE(MID(TRIM([1]RawShipmentData!B567),FIND("/",TRIM([1]RawShipmentData!B567))+1,2)),VALUE(LEFT(TRIM([1]RawShipmentData!B567),FIND("/",TRIM([1]RawShipmentData!B567))-1))),DATEVALUE(TRIM([1]RawShipmentData!B567)))</f>
        <v>45370</v>
      </c>
      <c r="C565" s="2" t="str">
        <f>PROPER(TRIM([1]RawShipmentData!C567))</f>
        <v>Bengaluru</v>
      </c>
      <c r="D565" s="2" t="str">
        <f>IFERROR(INDEX([1]HubMaster!$B$2:$B$7,MATCH(C565,[1]HubMaster!$A$2:$A$7,0)),"Unknown")</f>
        <v>South</v>
      </c>
      <c r="E565" s="2" t="str">
        <f>PROPER(TRIM(SUBSTITUTE([1]RawShipmentData!D567,"  "," ")))</f>
        <v>Delhivery</v>
      </c>
      <c r="F565" s="2" t="str">
        <f>PROPER(TRIM([1]RawShipmentData!E567))</f>
        <v>Road</v>
      </c>
      <c r="G565" s="2" t="str">
        <f>PROPER(TRIM(SUBSTITUTE([1]RawShipmentData!F567,"  "," ")))</f>
        <v>Electronics</v>
      </c>
      <c r="H565" s="2" t="str">
        <f>PROPER(TRIM([1]RawShipmentData!G567))</f>
        <v>South</v>
      </c>
      <c r="I565" s="2" t="str">
        <f t="shared" si="40"/>
        <v>No</v>
      </c>
      <c r="J565" s="2">
        <f>IFERROR(VALUE(TRIM(SUBSTITUTE(UPPER([1]RawShipmentData!I565),"KG",""))),"")</f>
        <v>35.1</v>
      </c>
      <c r="K565" s="2">
        <f>VALUE(SUBSTITUTE(SUBSTITUTE(SUBSTITUTE(TRIM([1]RawShipmentData!J567),"₹",""),"Rs",""),",",""))</f>
        <v>80</v>
      </c>
      <c r="L565" s="2">
        <f>[1]RawShipmentData!K567</f>
        <v>6</v>
      </c>
      <c r="M565" s="3">
        <f>IF(TRIM([1]RawShipmentData!L567)="","",IF(ISNUMBER(SEARCH("/",TRIM([1]RawShipmentData!L567))),DATE(VALUE(RIGHT(TRIM([1]RawShipmentData!L567),4)),VALUE(MID(TRIM([1]RawShipmentData!L567),FIND("/",TRIM([1]RawShipmentData!L567))+1,2)),VALUE(LEFT(TRIM([1]RawShipmentData!L567),FIND("/",TRIM([1]RawShipmentData!L567))-1))),DATEVALUE(TRIM([1]RawShipmentData!L567))))</f>
        <v>45383</v>
      </c>
      <c r="N565" s="2">
        <f t="shared" si="41"/>
        <v>13</v>
      </c>
      <c r="O565" s="2">
        <f t="shared" si="42"/>
        <v>7</v>
      </c>
      <c r="P565" s="2" t="str">
        <f t="shared" si="43"/>
        <v>Late</v>
      </c>
      <c r="Q565" s="2" t="str">
        <f>PROPER(SUBSTITUTE(TRIM([1]RawShipmentData!M567)," ","-"))</f>
        <v>Damaged</v>
      </c>
      <c r="R565" s="4">
        <f t="shared" si="44"/>
        <v>2.2792022792022792</v>
      </c>
      <c r="S565" s="2">
        <f>[1]RawShipmentData!N567</f>
        <v>0</v>
      </c>
      <c r="T565" s="2" t="str">
        <f>IF(OR(UPPER(TRIM([1]RawShipmentData!O567))="YES",UPPER(TRIM([1]RawShipmentData!O567))="Y"),"Yes","No")</f>
        <v>No</v>
      </c>
    </row>
    <row r="566" spans="1:20" x14ac:dyDescent="0.25">
      <c r="A566" s="2" t="str">
        <f>[1]RawShipmentData!A568</f>
        <v>SHP-101164</v>
      </c>
      <c r="B566" s="3">
        <f>IF(ISNUMBER(SEARCH("/",TRIM([1]RawShipmentData!B568))),DATE(VALUE(RIGHT(TRIM([1]RawShipmentData!B568),4)),VALUE(MID(TRIM([1]RawShipmentData!B568),FIND("/",TRIM([1]RawShipmentData!B568))+1,2)),VALUE(LEFT(TRIM([1]RawShipmentData!B568),FIND("/",TRIM([1]RawShipmentData!B568))-1))),DATEVALUE(TRIM([1]RawShipmentData!B568)))</f>
        <v>45427</v>
      </c>
      <c r="C566" s="2" t="str">
        <f>PROPER(TRIM([1]RawShipmentData!C568))</f>
        <v>Chennai</v>
      </c>
      <c r="D566" s="2" t="str">
        <f>IFERROR(INDEX([1]HubMaster!$B$2:$B$7,MATCH(C566,[1]HubMaster!$A$2:$A$7,0)),"Unknown")</f>
        <v>South</v>
      </c>
      <c r="E566" s="2" t="str">
        <f>PROPER(TRIM(SUBSTITUTE([1]RawShipmentData!D568,"  "," ")))</f>
        <v>Dtdc</v>
      </c>
      <c r="F566" s="2" t="str">
        <f>PROPER(TRIM([1]RawShipmentData!E568))</f>
        <v>Surface</v>
      </c>
      <c r="G566" s="2" t="str">
        <f>PROPER(TRIM(SUBSTITUTE([1]RawShipmentData!F568,"  "," ")))</f>
        <v>Furniture</v>
      </c>
      <c r="H566" s="2" t="str">
        <f>PROPER(TRIM([1]RawShipmentData!G568))</f>
        <v>West</v>
      </c>
      <c r="I566" s="2" t="str">
        <f t="shared" si="40"/>
        <v>Yes</v>
      </c>
      <c r="J566" s="2">
        <f>IFERROR(VALUE(TRIM(SUBSTITUTE(UPPER([1]RawShipmentData!I566),"KG",""))),"")</f>
        <v>5.6</v>
      </c>
      <c r="K566" s="2">
        <f>VALUE(SUBSTITUTE(SUBSTITUTE(SUBSTITUTE(TRIM([1]RawShipmentData!J568),"₹",""),"Rs",""),",",""))</f>
        <v>711</v>
      </c>
      <c r="L566" s="2">
        <f>[1]RawShipmentData!K568</f>
        <v>6</v>
      </c>
      <c r="M566" s="3">
        <f>IF(TRIM([1]RawShipmentData!L568)="","",IF(ISNUMBER(SEARCH("/",TRIM([1]RawShipmentData!L568))),DATE(VALUE(RIGHT(TRIM([1]RawShipmentData!L568),4)),VALUE(MID(TRIM([1]RawShipmentData!L568),FIND("/",TRIM([1]RawShipmentData!L568))+1,2)),VALUE(LEFT(TRIM([1]RawShipmentData!L568),FIND("/",TRIM([1]RawShipmentData!L568))-1))),DATEVALUE(TRIM([1]RawShipmentData!L568))))</f>
        <v>45441</v>
      </c>
      <c r="N566" s="2">
        <f t="shared" si="41"/>
        <v>14</v>
      </c>
      <c r="O566" s="2">
        <f t="shared" si="42"/>
        <v>8</v>
      </c>
      <c r="P566" s="2" t="str">
        <f t="shared" si="43"/>
        <v>Late</v>
      </c>
      <c r="Q566" s="2" t="str">
        <f>PROPER(SUBSTITUTE(TRIM([1]RawShipmentData!M568)," ","-"))</f>
        <v>Delayed</v>
      </c>
      <c r="R566" s="4">
        <f t="shared" si="44"/>
        <v>126.96428571428572</v>
      </c>
      <c r="S566" s="2">
        <f>[1]RawShipmentData!N568</f>
        <v>4</v>
      </c>
      <c r="T566" s="2" t="str">
        <f>IF(OR(UPPER(TRIM([1]RawShipmentData!O568))="YES",UPPER(TRIM([1]RawShipmentData!O568))="Y"),"Yes","No")</f>
        <v>No</v>
      </c>
    </row>
    <row r="567" spans="1:20" x14ac:dyDescent="0.25">
      <c r="A567" s="2" t="str">
        <f>[1]RawShipmentData!A569</f>
        <v>SHP-100884</v>
      </c>
      <c r="B567" s="3">
        <f>IF(ISNUMBER(SEARCH("/",TRIM([1]RawShipmentData!B569))),DATE(VALUE(RIGHT(TRIM([1]RawShipmentData!B569),4)),VALUE(MID(TRIM([1]RawShipmentData!B569),FIND("/",TRIM([1]RawShipmentData!B569))+1,2)),VALUE(LEFT(TRIM([1]RawShipmentData!B569),FIND("/",TRIM([1]RawShipmentData!B569))-1))),DATEVALUE(TRIM([1]RawShipmentData!B569)))</f>
        <v>45419</v>
      </c>
      <c r="C567" s="2" t="str">
        <f>PROPER(TRIM([1]RawShipmentData!C569))</f>
        <v>Chennai</v>
      </c>
      <c r="D567" s="2" t="str">
        <f>IFERROR(INDEX([1]HubMaster!$B$2:$B$7,MATCH(C567,[1]HubMaster!$A$2:$A$7,0)),"Unknown")</f>
        <v>South</v>
      </c>
      <c r="E567" s="2" t="str">
        <f>PROPER(TRIM(SUBSTITUTE([1]RawShipmentData!D569,"  "," ")))</f>
        <v>Delhivery</v>
      </c>
      <c r="F567" s="2" t="str">
        <f>PROPER(TRIM([1]RawShipmentData!E569))</f>
        <v>Road</v>
      </c>
      <c r="G567" s="2" t="str">
        <f>PROPER(TRIM(SUBSTITUTE([1]RawShipmentData!F569,"  "," ")))</f>
        <v>Automotive Parts</v>
      </c>
      <c r="H567" s="2" t="str">
        <f>PROPER(TRIM([1]RawShipmentData!G569))</f>
        <v>West</v>
      </c>
      <c r="I567" s="2" t="str">
        <f t="shared" si="40"/>
        <v>Yes</v>
      </c>
      <c r="J567" s="2">
        <f>IFERROR(VALUE(TRIM(SUBSTITUTE(UPPER([1]RawShipmentData!I567),"KG",""))),"")</f>
        <v>1.9</v>
      </c>
      <c r="K567" s="2">
        <f>VALUE(SUBSTITUTE(SUBSTITUTE(SUBSTITUTE(TRIM([1]RawShipmentData!J569),"₹",""),"Rs",""),",",""))</f>
        <v>478</v>
      </c>
      <c r="L567" s="2">
        <f>[1]RawShipmentData!K569</f>
        <v>8</v>
      </c>
      <c r="M567" s="3">
        <f>IF(TRIM([1]RawShipmentData!L569)="","",IF(ISNUMBER(SEARCH("/",TRIM([1]RawShipmentData!L569))),DATE(VALUE(RIGHT(TRIM([1]RawShipmentData!L569),4)),VALUE(MID(TRIM([1]RawShipmentData!L569),FIND("/",TRIM([1]RawShipmentData!L569))+1,2)),VALUE(LEFT(TRIM([1]RawShipmentData!L569),FIND("/",TRIM([1]RawShipmentData!L569))-1))),DATEVALUE(TRIM([1]RawShipmentData!L569))))</f>
        <v>45426</v>
      </c>
      <c r="N567" s="2">
        <f t="shared" si="41"/>
        <v>7</v>
      </c>
      <c r="O567" s="2">
        <f t="shared" si="42"/>
        <v>-1</v>
      </c>
      <c r="P567" s="2" t="str">
        <f t="shared" si="43"/>
        <v>On Time</v>
      </c>
      <c r="Q567" s="2" t="str">
        <f>PROPER(SUBSTITUTE(TRIM([1]RawShipmentData!M569)," ","-"))</f>
        <v>Delivered</v>
      </c>
      <c r="R567" s="4">
        <f t="shared" si="44"/>
        <v>251.57894736842107</v>
      </c>
      <c r="S567" s="2">
        <f>[1]RawShipmentData!N569</f>
        <v>4</v>
      </c>
      <c r="T567" s="2" t="str">
        <f>IF(OR(UPPER(TRIM([1]RawShipmentData!O569))="YES",UPPER(TRIM([1]RawShipmentData!O569))="Y"),"Yes","No")</f>
        <v>Yes</v>
      </c>
    </row>
    <row r="568" spans="1:20" x14ac:dyDescent="0.25">
      <c r="A568" s="2" t="str">
        <f>[1]RawShipmentData!A570</f>
        <v>SHP-101232</v>
      </c>
      <c r="B568" s="3">
        <f>IF(ISNUMBER(SEARCH("/",TRIM([1]RawShipmentData!B570))),DATE(VALUE(RIGHT(TRIM([1]RawShipmentData!B570),4)),VALUE(MID(TRIM([1]RawShipmentData!B570),FIND("/",TRIM([1]RawShipmentData!B570))+1,2)),VALUE(LEFT(TRIM([1]RawShipmentData!B570),FIND("/",TRIM([1]RawShipmentData!B570))-1))),DATEVALUE(TRIM([1]RawShipmentData!B570)))</f>
        <v>45421</v>
      </c>
      <c r="C568" s="2" t="str">
        <f>PROPER(TRIM([1]RawShipmentData!C570))</f>
        <v>Chennai</v>
      </c>
      <c r="D568" s="2" t="str">
        <f>IFERROR(INDEX([1]HubMaster!$B$2:$B$7,MATCH(C568,[1]HubMaster!$A$2:$A$7,0)),"Unknown")</f>
        <v>South</v>
      </c>
      <c r="E568" s="2" t="str">
        <f>PROPER(TRIM(SUBSTITUTE([1]RawShipmentData!D570,"  "," ")))</f>
        <v>Delhivery</v>
      </c>
      <c r="F568" s="2" t="str">
        <f>PROPER(TRIM([1]RawShipmentData!E570))</f>
        <v>Road</v>
      </c>
      <c r="G568" s="2" t="str">
        <f>PROPER(TRIM(SUBSTITUTE([1]RawShipmentData!F570,"  "," ")))</f>
        <v>Grocery &amp; Fmcg</v>
      </c>
      <c r="H568" s="2" t="str">
        <f>PROPER(TRIM([1]RawShipmentData!G570))</f>
        <v>North</v>
      </c>
      <c r="I568" s="2" t="str">
        <f t="shared" si="40"/>
        <v>Yes</v>
      </c>
      <c r="J568" s="2">
        <f>IFERROR(VALUE(TRIM(SUBSTITUTE(UPPER([1]RawShipmentData!I568),"KG",""))),"")</f>
        <v>25.5</v>
      </c>
      <c r="K568" s="2">
        <f>VALUE(SUBSTITUTE(SUBSTITUTE(SUBSTITUTE(TRIM([1]RawShipmentData!J570),"₹",""),"Rs",""),",",""))</f>
        <v>427</v>
      </c>
      <c r="L568" s="2">
        <f>[1]RawShipmentData!K570</f>
        <v>8</v>
      </c>
      <c r="M568" s="3">
        <f>IF(TRIM([1]RawShipmentData!L570)="","",IF(ISNUMBER(SEARCH("/",TRIM([1]RawShipmentData!L570))),DATE(VALUE(RIGHT(TRIM([1]RawShipmentData!L570),4)),VALUE(MID(TRIM([1]RawShipmentData!L570),FIND("/",TRIM([1]RawShipmentData!L570))+1,2)),VALUE(LEFT(TRIM([1]RawShipmentData!L570),FIND("/",TRIM([1]RawShipmentData!L570))-1))),DATEVALUE(TRIM([1]RawShipmentData!L570))))</f>
        <v>45428</v>
      </c>
      <c r="N568" s="2">
        <f t="shared" si="41"/>
        <v>7</v>
      </c>
      <c r="O568" s="2">
        <f t="shared" si="42"/>
        <v>-1</v>
      </c>
      <c r="P568" s="2" t="str">
        <f t="shared" si="43"/>
        <v>On Time</v>
      </c>
      <c r="Q568" s="2" t="str">
        <f>PROPER(SUBSTITUTE(TRIM([1]RawShipmentData!M570)," ","-"))</f>
        <v>Delivered</v>
      </c>
      <c r="R568" s="4">
        <f t="shared" si="44"/>
        <v>16.745098039215687</v>
      </c>
      <c r="S568" s="2">
        <f>[1]RawShipmentData!N570</f>
        <v>5</v>
      </c>
      <c r="T568" s="2" t="str">
        <f>IF(OR(UPPER(TRIM([1]RawShipmentData!O570))="YES",UPPER(TRIM([1]RawShipmentData!O570))="Y"),"Yes","No")</f>
        <v>No</v>
      </c>
    </row>
    <row r="569" spans="1:20" x14ac:dyDescent="0.25">
      <c r="A569" s="2" t="str">
        <f>[1]RawShipmentData!A571</f>
        <v>SHP-100028</v>
      </c>
      <c r="B569" s="3">
        <f>IF(ISNUMBER(SEARCH("/",TRIM([1]RawShipmentData!B571))),DATE(VALUE(RIGHT(TRIM([1]RawShipmentData!B571),4)),VALUE(MID(TRIM([1]RawShipmentData!B571),FIND("/",TRIM([1]RawShipmentData!B571))+1,2)),VALUE(LEFT(TRIM([1]RawShipmentData!B571),FIND("/",TRIM([1]RawShipmentData!B571))-1))),DATEVALUE(TRIM([1]RawShipmentData!B571)))</f>
        <v>45424</v>
      </c>
      <c r="C569" s="2" t="str">
        <f>PROPER(TRIM([1]RawShipmentData!C571))</f>
        <v>Kolkata</v>
      </c>
      <c r="D569" s="2" t="str">
        <f>IFERROR(INDEX([1]HubMaster!$B$2:$B$7,MATCH(C569,[1]HubMaster!$A$2:$A$7,0)),"Unknown")</f>
        <v>East</v>
      </c>
      <c r="E569" s="2" t="str">
        <f>PROPER(TRIM(SUBSTITUTE([1]RawShipmentData!D571,"  "," ")))</f>
        <v>Bluedart</v>
      </c>
      <c r="F569" s="2" t="str">
        <f>PROPER(TRIM([1]RawShipmentData!E571))</f>
        <v>Surface</v>
      </c>
      <c r="G569" s="2" t="str">
        <f>PROPER(TRIM(SUBSTITUTE([1]RawShipmentData!F571,"  "," ")))</f>
        <v>Automotive Parts</v>
      </c>
      <c r="H569" s="2" t="str">
        <f>PROPER(TRIM([1]RawShipmentData!G571))</f>
        <v>West</v>
      </c>
      <c r="I569" s="2" t="str">
        <f t="shared" si="40"/>
        <v>Yes</v>
      </c>
      <c r="J569" s="2">
        <f>IFERROR(VALUE(TRIM(SUBSTITUTE(UPPER([1]RawShipmentData!I569),"KG",""))),"")</f>
        <v>21.7</v>
      </c>
      <c r="K569" s="2">
        <f>VALUE(SUBSTITUTE(SUBSTITUTE(SUBSTITUTE(TRIM([1]RawShipmentData!J571),"₹",""),"Rs",""),",",""))</f>
        <v>1012</v>
      </c>
      <c r="L569" s="2">
        <f>[1]RawShipmentData!K571</f>
        <v>6</v>
      </c>
      <c r="M569" s="3">
        <f>IF(TRIM([1]RawShipmentData!L571)="","",IF(ISNUMBER(SEARCH("/",TRIM([1]RawShipmentData!L571))),DATE(VALUE(RIGHT(TRIM([1]RawShipmentData!L571),4)),VALUE(MID(TRIM([1]RawShipmentData!L571),FIND("/",TRIM([1]RawShipmentData!L571))+1,2)),VALUE(LEFT(TRIM([1]RawShipmentData!L571),FIND("/",TRIM([1]RawShipmentData!L571))-1))),DATEVALUE(TRIM([1]RawShipmentData!L571))))</f>
        <v>45429</v>
      </c>
      <c r="N569" s="2">
        <f t="shared" si="41"/>
        <v>5</v>
      </c>
      <c r="O569" s="2">
        <f t="shared" si="42"/>
        <v>-1</v>
      </c>
      <c r="P569" s="2" t="str">
        <f t="shared" si="43"/>
        <v>On Time</v>
      </c>
      <c r="Q569" s="2" t="str">
        <f>PROPER(SUBSTITUTE(TRIM([1]RawShipmentData!M571)," ","-"))</f>
        <v>Delivered</v>
      </c>
      <c r="R569" s="4">
        <f t="shared" si="44"/>
        <v>46.635944700460833</v>
      </c>
      <c r="S569" s="2">
        <f>[1]RawShipmentData!N571</f>
        <v>5</v>
      </c>
      <c r="T569" s="2" t="str">
        <f>IF(OR(UPPER(TRIM([1]RawShipmentData!O571))="YES",UPPER(TRIM([1]RawShipmentData!O571))="Y"),"Yes","No")</f>
        <v>No</v>
      </c>
    </row>
    <row r="570" spans="1:20" x14ac:dyDescent="0.25">
      <c r="A570" s="2" t="str">
        <f>[1]RawShipmentData!A572</f>
        <v>SHP-101262</v>
      </c>
      <c r="B570" s="3">
        <f>IF(ISNUMBER(SEARCH("/",TRIM([1]RawShipmentData!B572))),DATE(VALUE(RIGHT(TRIM([1]RawShipmentData!B572),4)),VALUE(MID(TRIM([1]RawShipmentData!B572),FIND("/",TRIM([1]RawShipmentData!B572))+1,2)),VALUE(LEFT(TRIM([1]RawShipmentData!B572),FIND("/",TRIM([1]RawShipmentData!B572))-1))),DATEVALUE(TRIM([1]RawShipmentData!B572)))</f>
        <v>45323</v>
      </c>
      <c r="C570" s="2" t="str">
        <f>PROPER(TRIM([1]RawShipmentData!C572))</f>
        <v>Hyderabad</v>
      </c>
      <c r="D570" s="2" t="str">
        <f>IFERROR(INDEX([1]HubMaster!$B$2:$B$7,MATCH(C570,[1]HubMaster!$A$2:$A$7,0)),"Unknown")</f>
        <v>West</v>
      </c>
      <c r="E570" s="2" t="str">
        <f>PROPER(TRIM(SUBSTITUTE([1]RawShipmentData!D572,"  "," ")))</f>
        <v>Delhivery</v>
      </c>
      <c r="F570" s="2" t="str">
        <f>PROPER(TRIM([1]RawShipmentData!E572))</f>
        <v>Road</v>
      </c>
      <c r="G570" s="2" t="str">
        <f>PROPER(TRIM(SUBSTITUTE([1]RawShipmentData!F572,"  "," ")))</f>
        <v>Furniture</v>
      </c>
      <c r="H570" s="2" t="str">
        <f>PROPER(TRIM([1]RawShipmentData!G572))</f>
        <v>West</v>
      </c>
      <c r="I570" s="2" t="str">
        <f t="shared" si="40"/>
        <v>No</v>
      </c>
      <c r="J570" s="2">
        <f>IFERROR(VALUE(TRIM(SUBSTITUTE(UPPER([1]RawShipmentData!I570),"KG",""))),"")</f>
        <v>16</v>
      </c>
      <c r="K570" s="2">
        <f>VALUE(SUBSTITUTE(SUBSTITUTE(SUBSTITUTE(TRIM([1]RawShipmentData!J572),"₹",""),"Rs",""),",",""))</f>
        <v>415</v>
      </c>
      <c r="L570" s="2">
        <f>[1]RawShipmentData!K572</f>
        <v>6</v>
      </c>
      <c r="M570" s="3">
        <f>IF(TRIM([1]RawShipmentData!L572)="","",IF(ISNUMBER(SEARCH("/",TRIM([1]RawShipmentData!L572))),DATE(VALUE(RIGHT(TRIM([1]RawShipmentData!L572),4)),VALUE(MID(TRIM([1]RawShipmentData!L572),FIND("/",TRIM([1]RawShipmentData!L572))+1,2)),VALUE(LEFT(TRIM([1]RawShipmentData!L572),FIND("/",TRIM([1]RawShipmentData!L572))-1))),DATEVALUE(TRIM([1]RawShipmentData!L572))))</f>
        <v>45331</v>
      </c>
      <c r="N570" s="2">
        <f t="shared" si="41"/>
        <v>8</v>
      </c>
      <c r="O570" s="2">
        <f t="shared" si="42"/>
        <v>2</v>
      </c>
      <c r="P570" s="2" t="str">
        <f t="shared" si="43"/>
        <v>Late</v>
      </c>
      <c r="Q570" s="2" t="str">
        <f>PROPER(SUBSTITUTE(TRIM([1]RawShipmentData!M572)," ","-"))</f>
        <v>Delayed</v>
      </c>
      <c r="R570" s="4">
        <f t="shared" si="44"/>
        <v>25.9375</v>
      </c>
      <c r="S570" s="2">
        <f>[1]RawShipmentData!N572</f>
        <v>2</v>
      </c>
      <c r="T570" s="2" t="str">
        <f>IF(OR(UPPER(TRIM([1]RawShipmentData!O572))="YES",UPPER(TRIM([1]RawShipmentData!O572))="Y"),"Yes","No")</f>
        <v>Yes</v>
      </c>
    </row>
    <row r="571" spans="1:20" x14ac:dyDescent="0.25">
      <c r="A571" s="2" t="str">
        <f>[1]RawShipmentData!A573</f>
        <v>SHP-101357</v>
      </c>
      <c r="B571" s="3">
        <f>IF(ISNUMBER(SEARCH("/",TRIM([1]RawShipmentData!B573))),DATE(VALUE(RIGHT(TRIM([1]RawShipmentData!B573),4)),VALUE(MID(TRIM([1]RawShipmentData!B573),FIND("/",TRIM([1]RawShipmentData!B573))+1,2)),VALUE(LEFT(TRIM([1]RawShipmentData!B573),FIND("/",TRIM([1]RawShipmentData!B573))-1))),DATEVALUE(TRIM([1]RawShipmentData!B573)))</f>
        <v>45324</v>
      </c>
      <c r="C571" s="2" t="str">
        <f>PROPER(TRIM([1]RawShipmentData!C573))</f>
        <v>Delhi</v>
      </c>
      <c r="D571" s="2" t="str">
        <f>IFERROR(INDEX([1]HubMaster!$B$2:$B$7,MATCH(C571,[1]HubMaster!$A$2:$A$7,0)),"Unknown")</f>
        <v>North</v>
      </c>
      <c r="E571" s="2" t="str">
        <f>PROPER(TRIM(SUBSTITUTE([1]RawShipmentData!D573,"  "," ")))</f>
        <v>Ecom Express</v>
      </c>
      <c r="F571" s="2" t="str">
        <f>PROPER(TRIM([1]RawShipmentData!E573))</f>
        <v>Air</v>
      </c>
      <c r="G571" s="2" t="str">
        <f>PROPER(TRIM(SUBSTITUTE([1]RawShipmentData!F573,"  "," ")))</f>
        <v>Electronics</v>
      </c>
      <c r="H571" s="2" t="str">
        <f>PROPER(TRIM([1]RawShipmentData!G573))</f>
        <v>North</v>
      </c>
      <c r="I571" s="2" t="str">
        <f t="shared" si="40"/>
        <v>No</v>
      </c>
      <c r="J571" s="2">
        <f>IFERROR(VALUE(TRIM(SUBSTITUTE(UPPER([1]RawShipmentData!I571),"KG",""))),"")</f>
        <v>37.5</v>
      </c>
      <c r="K571" s="2">
        <f>VALUE(SUBSTITUTE(SUBSTITUTE(SUBSTITUTE(TRIM([1]RawShipmentData!J573),"₹",""),"Rs",""),",",""))</f>
        <v>245</v>
      </c>
      <c r="L571" s="2">
        <f>[1]RawShipmentData!K573</f>
        <v>2</v>
      </c>
      <c r="M571" s="3">
        <f>IF(TRIM([1]RawShipmentData!L573)="","",IF(ISNUMBER(SEARCH("/",TRIM([1]RawShipmentData!L573))),DATE(VALUE(RIGHT(TRIM([1]RawShipmentData!L573),4)),VALUE(MID(TRIM([1]RawShipmentData!L573),FIND("/",TRIM([1]RawShipmentData!L573))+1,2)),VALUE(LEFT(TRIM([1]RawShipmentData!L573),FIND("/",TRIM([1]RawShipmentData!L573))-1))),DATEVALUE(TRIM([1]RawShipmentData!L573))))</f>
        <v>45327</v>
      </c>
      <c r="N571" s="2">
        <f t="shared" si="41"/>
        <v>3</v>
      </c>
      <c r="O571" s="2">
        <f t="shared" si="42"/>
        <v>1</v>
      </c>
      <c r="P571" s="2" t="str">
        <f t="shared" si="43"/>
        <v>Late</v>
      </c>
      <c r="Q571" s="2" t="str">
        <f>PROPER(SUBSTITUTE(TRIM([1]RawShipmentData!M573)," ","-"))</f>
        <v>Damaged</v>
      </c>
      <c r="R571" s="4">
        <f t="shared" si="44"/>
        <v>6.5333333333333332</v>
      </c>
      <c r="S571" s="2">
        <f>[1]RawShipmentData!N573</f>
        <v>0</v>
      </c>
      <c r="T571" s="2" t="str">
        <f>IF(OR(UPPER(TRIM([1]RawShipmentData!O573))="YES",UPPER(TRIM([1]RawShipmentData!O573))="Y"),"Yes","No")</f>
        <v>Yes</v>
      </c>
    </row>
    <row r="572" spans="1:20" x14ac:dyDescent="0.25">
      <c r="A572" s="2" t="str">
        <f>[1]RawShipmentData!A574</f>
        <v>SHP-100759</v>
      </c>
      <c r="B572" s="3">
        <f>IF(ISNUMBER(SEARCH("/",TRIM([1]RawShipmentData!B574))),DATE(VALUE(RIGHT(TRIM([1]RawShipmentData!B574),4)),VALUE(MID(TRIM([1]RawShipmentData!B574),FIND("/",TRIM([1]RawShipmentData!B574))+1,2)),VALUE(LEFT(TRIM([1]RawShipmentData!B574),FIND("/",TRIM([1]RawShipmentData!B574))-1))),DATEVALUE(TRIM([1]RawShipmentData!B574)))</f>
        <v>45461</v>
      </c>
      <c r="C572" s="2" t="str">
        <f>PROPER(TRIM([1]RawShipmentData!C574))</f>
        <v>Mumbai</v>
      </c>
      <c r="D572" s="2" t="str">
        <f>IFERROR(INDEX([1]HubMaster!$B$2:$B$7,MATCH(C572,[1]HubMaster!$A$2:$A$7,0)),"Unknown")</f>
        <v>West</v>
      </c>
      <c r="E572" s="2" t="str">
        <f>PROPER(TRIM(SUBSTITUTE([1]RawShipmentData!D574,"  "," ")))</f>
        <v>Bluedart</v>
      </c>
      <c r="F572" s="2" t="str">
        <f>PROPER(TRIM([1]RawShipmentData!E574))</f>
        <v>Surface</v>
      </c>
      <c r="G572" s="2" t="str">
        <f>PROPER(TRIM(SUBSTITUTE([1]RawShipmentData!F574,"  "," ")))</f>
        <v>Automotive Parts</v>
      </c>
      <c r="H572" s="2" t="str">
        <f>PROPER(TRIM([1]RawShipmentData!G574))</f>
        <v>West</v>
      </c>
      <c r="I572" s="2" t="str">
        <f t="shared" si="40"/>
        <v>No</v>
      </c>
      <c r="J572" s="2">
        <f>IFERROR(VALUE(TRIM(SUBSTITUTE(UPPER([1]RawShipmentData!I572),"KG",""))),"")</f>
        <v>27.4</v>
      </c>
      <c r="K572" s="2">
        <f>VALUE(SUBSTITUTE(SUBSTITUTE(SUBSTITUTE(TRIM([1]RawShipmentData!J574),"₹",""),"Rs",""),",",""))</f>
        <v>155</v>
      </c>
      <c r="L572" s="2">
        <f>[1]RawShipmentData!K574</f>
        <v>4</v>
      </c>
      <c r="M572" s="3">
        <f>IF(TRIM([1]RawShipmentData!L574)="","",IF(ISNUMBER(SEARCH("/",TRIM([1]RawShipmentData!L574))),DATE(VALUE(RIGHT(TRIM([1]RawShipmentData!L574),4)),VALUE(MID(TRIM([1]RawShipmentData!L574),FIND("/",TRIM([1]RawShipmentData!L574))+1,2)),VALUE(LEFT(TRIM([1]RawShipmentData!L574),FIND("/",TRIM([1]RawShipmentData!L574))-1))),DATEVALUE(TRIM([1]RawShipmentData!L574))))</f>
        <v>45465</v>
      </c>
      <c r="N572" s="2">
        <f t="shared" si="41"/>
        <v>4</v>
      </c>
      <c r="O572" s="2">
        <f t="shared" si="42"/>
        <v>0</v>
      </c>
      <c r="P572" s="2" t="str">
        <f t="shared" si="43"/>
        <v>On Time</v>
      </c>
      <c r="Q572" s="2" t="str">
        <f>PROPER(SUBSTITUTE(TRIM([1]RawShipmentData!M574)," ","-"))</f>
        <v>Delivered</v>
      </c>
      <c r="R572" s="4">
        <f t="shared" si="44"/>
        <v>5.6569343065693429</v>
      </c>
      <c r="S572" s="2">
        <f>[1]RawShipmentData!N574</f>
        <v>5</v>
      </c>
      <c r="T572" s="2" t="str">
        <f>IF(OR(UPPER(TRIM([1]RawShipmentData!O574))="YES",UPPER(TRIM([1]RawShipmentData!O574))="Y"),"Yes","No")</f>
        <v>Yes</v>
      </c>
    </row>
    <row r="573" spans="1:20" x14ac:dyDescent="0.25">
      <c r="A573" s="2" t="str">
        <f>[1]RawShipmentData!A575</f>
        <v>SHP-100480</v>
      </c>
      <c r="B573" s="3">
        <f>IF(ISNUMBER(SEARCH("/",TRIM([1]RawShipmentData!B575))),DATE(VALUE(RIGHT(TRIM([1]RawShipmentData!B575),4)),VALUE(MID(TRIM([1]RawShipmentData!B575),FIND("/",TRIM([1]RawShipmentData!B575))+1,2)),VALUE(LEFT(TRIM([1]RawShipmentData!B575),FIND("/",TRIM([1]RawShipmentData!B575))-1))),DATEVALUE(TRIM([1]RawShipmentData!B575)))</f>
        <v>45397</v>
      </c>
      <c r="C573" s="2" t="str">
        <f>PROPER(TRIM([1]RawShipmentData!C575))</f>
        <v>Delhi</v>
      </c>
      <c r="D573" s="2" t="str">
        <f>IFERROR(INDEX([1]HubMaster!$B$2:$B$7,MATCH(C573,[1]HubMaster!$A$2:$A$7,0)),"Unknown")</f>
        <v>North</v>
      </c>
      <c r="E573" s="2" t="str">
        <f>PROPER(TRIM(SUBSTITUTE([1]RawShipmentData!D575,"  "," ")))</f>
        <v>Dtdc</v>
      </c>
      <c r="F573" s="2" t="str">
        <f>PROPER(TRIM([1]RawShipmentData!E575))</f>
        <v>Surface</v>
      </c>
      <c r="G573" s="2" t="str">
        <f>PROPER(TRIM(SUBSTITUTE([1]RawShipmentData!F575,"  "," ")))</f>
        <v>Apparel</v>
      </c>
      <c r="H573" s="2" t="str">
        <f>PROPER(TRIM([1]RawShipmentData!G575))</f>
        <v>West</v>
      </c>
      <c r="I573" s="2" t="str">
        <f t="shared" si="40"/>
        <v>Yes</v>
      </c>
      <c r="J573" s="2">
        <f>IFERROR(VALUE(TRIM(SUBSTITUTE(UPPER([1]RawShipmentData!I573),"KG",""))),"")</f>
        <v>5.5</v>
      </c>
      <c r="K573" s="2">
        <f>VALUE(SUBSTITUTE(SUBSTITUTE(SUBSTITUTE(TRIM([1]RawShipmentData!J575),"₹",""),"Rs",""),",",""))</f>
        <v>313</v>
      </c>
      <c r="L573" s="2">
        <f>[1]RawShipmentData!K575</f>
        <v>6</v>
      </c>
      <c r="M573" s="3">
        <f>IF(TRIM([1]RawShipmentData!L575)="","",IF(ISNUMBER(SEARCH("/",TRIM([1]RawShipmentData!L575))),DATE(VALUE(RIGHT(TRIM([1]RawShipmentData!L575),4)),VALUE(MID(TRIM([1]RawShipmentData!L575),FIND("/",TRIM([1]RawShipmentData!L575))+1,2)),VALUE(LEFT(TRIM([1]RawShipmentData!L575),FIND("/",TRIM([1]RawShipmentData!L575))-1))),DATEVALUE(TRIM([1]RawShipmentData!L575))))</f>
        <v>45404</v>
      </c>
      <c r="N573" s="2">
        <f t="shared" si="41"/>
        <v>7</v>
      </c>
      <c r="O573" s="2">
        <f t="shared" si="42"/>
        <v>1</v>
      </c>
      <c r="P573" s="2" t="str">
        <f t="shared" si="43"/>
        <v>Late</v>
      </c>
      <c r="Q573" s="2" t="str">
        <f>PROPER(SUBSTITUTE(TRIM([1]RawShipmentData!M575)," ","-"))</f>
        <v>Delayed</v>
      </c>
      <c r="R573" s="4">
        <f t="shared" si="44"/>
        <v>56.909090909090907</v>
      </c>
      <c r="S573" s="2">
        <f>[1]RawShipmentData!N575</f>
        <v>4</v>
      </c>
      <c r="T573" s="2" t="str">
        <f>IF(OR(UPPER(TRIM([1]RawShipmentData!O575))="YES",UPPER(TRIM([1]RawShipmentData!O575))="Y"),"Yes","No")</f>
        <v>No</v>
      </c>
    </row>
    <row r="574" spans="1:20" x14ac:dyDescent="0.25">
      <c r="A574" s="2" t="str">
        <f>[1]RawShipmentData!A576</f>
        <v>SHP-101532</v>
      </c>
      <c r="B574" s="3">
        <f>IF(ISNUMBER(SEARCH("/",TRIM([1]RawShipmentData!B576))),DATE(VALUE(RIGHT(TRIM([1]RawShipmentData!B576),4)),VALUE(MID(TRIM([1]RawShipmentData!B576),FIND("/",TRIM([1]RawShipmentData!B576))+1,2)),VALUE(LEFT(TRIM([1]RawShipmentData!B576),FIND("/",TRIM([1]RawShipmentData!B576))-1))),DATEVALUE(TRIM([1]RawShipmentData!B576)))</f>
        <v>45452</v>
      </c>
      <c r="C574" s="2" t="str">
        <f>PROPER(TRIM([1]RawShipmentData!C576))</f>
        <v>Bengaluru</v>
      </c>
      <c r="D574" s="2" t="str">
        <f>IFERROR(INDEX([1]HubMaster!$B$2:$B$7,MATCH(C574,[1]HubMaster!$A$2:$A$7,0)),"Unknown")</f>
        <v>South</v>
      </c>
      <c r="E574" s="2" t="str">
        <f>PROPER(TRIM(SUBSTITUTE([1]RawShipmentData!D576,"  "," ")))</f>
        <v>Ecom Express</v>
      </c>
      <c r="F574" s="2" t="str">
        <f>PROPER(TRIM([1]RawShipmentData!E576))</f>
        <v>Surface</v>
      </c>
      <c r="G574" s="2" t="str">
        <f>PROPER(TRIM(SUBSTITUTE([1]RawShipmentData!F576,"  "," ")))</f>
        <v>Automotive Parts</v>
      </c>
      <c r="H574" s="2" t="str">
        <f>PROPER(TRIM([1]RawShipmentData!G576))</f>
        <v>West</v>
      </c>
      <c r="I574" s="2" t="str">
        <f t="shared" si="40"/>
        <v>Yes</v>
      </c>
      <c r="J574" s="2">
        <f>IFERROR(VALUE(TRIM(SUBSTITUTE(UPPER([1]RawShipmentData!I574),"KG",""))),"")</f>
        <v>5.9</v>
      </c>
      <c r="K574" s="2">
        <f>VALUE(SUBSTITUTE(SUBSTITUTE(SUBSTITUTE(TRIM([1]RawShipmentData!J576),"₹",""),"Rs",""),",",""))</f>
        <v>407</v>
      </c>
      <c r="L574" s="2">
        <f>[1]RawShipmentData!K576</f>
        <v>6</v>
      </c>
      <c r="M574" s="3">
        <f>IF(TRIM([1]RawShipmentData!L576)="","",IF(ISNUMBER(SEARCH("/",TRIM([1]RawShipmentData!L576))),DATE(VALUE(RIGHT(TRIM([1]RawShipmentData!L576),4)),VALUE(MID(TRIM([1]RawShipmentData!L576),FIND("/",TRIM([1]RawShipmentData!L576))+1,2)),VALUE(LEFT(TRIM([1]RawShipmentData!L576),FIND("/",TRIM([1]RawShipmentData!L576))-1))),DATEVALUE(TRIM([1]RawShipmentData!L576))))</f>
        <v>45457</v>
      </c>
      <c r="N574" s="2">
        <f t="shared" si="41"/>
        <v>5</v>
      </c>
      <c r="O574" s="2">
        <f t="shared" si="42"/>
        <v>-1</v>
      </c>
      <c r="P574" s="2" t="str">
        <f t="shared" si="43"/>
        <v>On Time</v>
      </c>
      <c r="Q574" s="2" t="str">
        <f>PROPER(SUBSTITUTE(TRIM([1]RawShipmentData!M576)," ","-"))</f>
        <v>Delivered</v>
      </c>
      <c r="R574" s="4">
        <f t="shared" si="44"/>
        <v>68.983050847457619</v>
      </c>
      <c r="S574" s="2">
        <f>[1]RawShipmentData!N576</f>
        <v>5</v>
      </c>
      <c r="T574" s="2" t="str">
        <f>IF(OR(UPPER(TRIM([1]RawShipmentData!O576))="YES",UPPER(TRIM([1]RawShipmentData!O576))="Y"),"Yes","No")</f>
        <v>No</v>
      </c>
    </row>
    <row r="575" spans="1:20" x14ac:dyDescent="0.25">
      <c r="A575" s="2" t="str">
        <f>[1]RawShipmentData!A577</f>
        <v>SHP-100051</v>
      </c>
      <c r="B575" s="3">
        <f>IF(ISNUMBER(SEARCH("/",TRIM([1]RawShipmentData!B577))),DATE(VALUE(RIGHT(TRIM([1]RawShipmentData!B577),4)),VALUE(MID(TRIM([1]RawShipmentData!B577),FIND("/",TRIM([1]RawShipmentData!B577))+1,2)),VALUE(LEFT(TRIM([1]RawShipmentData!B577),FIND("/",TRIM([1]RawShipmentData!B577))-1))),DATEVALUE(TRIM([1]RawShipmentData!B577)))</f>
        <v>45435</v>
      </c>
      <c r="C575" s="2" t="str">
        <f>PROPER(TRIM([1]RawShipmentData!C577))</f>
        <v>Delhi</v>
      </c>
      <c r="D575" s="2" t="str">
        <f>IFERROR(INDEX([1]HubMaster!$B$2:$B$7,MATCH(C575,[1]HubMaster!$A$2:$A$7,0)),"Unknown")</f>
        <v>North</v>
      </c>
      <c r="E575" s="2" t="str">
        <f>PROPER(TRIM(SUBSTITUTE([1]RawShipmentData!D577,"  "," ")))</f>
        <v>Blue Dart</v>
      </c>
      <c r="F575" s="2" t="str">
        <f>PROPER(TRIM([1]RawShipmentData!E577))</f>
        <v>Road</v>
      </c>
      <c r="G575" s="2" t="str">
        <f>PROPER(TRIM(SUBSTITUTE([1]RawShipmentData!F577,"  "," ")))</f>
        <v>Grocery &amp; Fmcg</v>
      </c>
      <c r="H575" s="2" t="str">
        <f>PROPER(TRIM([1]RawShipmentData!G577))</f>
        <v>South</v>
      </c>
      <c r="I575" s="2" t="str">
        <f t="shared" si="40"/>
        <v>Yes</v>
      </c>
      <c r="J575" s="2">
        <f>IFERROR(VALUE(TRIM(SUBSTITUTE(UPPER([1]RawShipmentData!I575),"KG",""))),"")</f>
        <v>6.3</v>
      </c>
      <c r="K575" s="2">
        <f>VALUE(SUBSTITUTE(SUBSTITUTE(SUBSTITUTE(TRIM([1]RawShipmentData!J577),"₹",""),"Rs",""),",",""))</f>
        <v>349</v>
      </c>
      <c r="L575" s="2">
        <f>[1]RawShipmentData!K577</f>
        <v>8</v>
      </c>
      <c r="M575" s="3">
        <f>IF(TRIM([1]RawShipmentData!L577)="","",IF(ISNUMBER(SEARCH("/",TRIM([1]RawShipmentData!L577))),DATE(VALUE(RIGHT(TRIM([1]RawShipmentData!L577),4)),VALUE(MID(TRIM([1]RawShipmentData!L577),FIND("/",TRIM([1]RawShipmentData!L577))+1,2)),VALUE(LEFT(TRIM([1]RawShipmentData!L577),FIND("/",TRIM([1]RawShipmentData!L577))-1))),DATEVALUE(TRIM([1]RawShipmentData!L577))))</f>
        <v>45442</v>
      </c>
      <c r="N575" s="2">
        <f t="shared" si="41"/>
        <v>7</v>
      </c>
      <c r="O575" s="2">
        <f t="shared" si="42"/>
        <v>-1</v>
      </c>
      <c r="P575" s="2" t="str">
        <f t="shared" si="43"/>
        <v>On Time</v>
      </c>
      <c r="Q575" s="2" t="str">
        <f>PROPER(SUBSTITUTE(TRIM([1]RawShipmentData!M577)," ","-"))</f>
        <v>Returned</v>
      </c>
      <c r="R575" s="4">
        <f t="shared" si="44"/>
        <v>55.396825396825399</v>
      </c>
      <c r="S575" s="2">
        <f>[1]RawShipmentData!N577</f>
        <v>0</v>
      </c>
      <c r="T575" s="2" t="str">
        <f>IF(OR(UPPER(TRIM([1]RawShipmentData!O577))="YES",UPPER(TRIM([1]RawShipmentData!O577))="Y"),"Yes","No")</f>
        <v>No</v>
      </c>
    </row>
    <row r="576" spans="1:20" x14ac:dyDescent="0.25">
      <c r="A576" s="2" t="str">
        <f>[1]RawShipmentData!A578</f>
        <v>SHP-100903</v>
      </c>
      <c r="B576" s="3">
        <f>IF(ISNUMBER(SEARCH("/",TRIM([1]RawShipmentData!B578))),DATE(VALUE(RIGHT(TRIM([1]RawShipmentData!B578),4)),VALUE(MID(TRIM([1]RawShipmentData!B578),FIND("/",TRIM([1]RawShipmentData!B578))+1,2)),VALUE(LEFT(TRIM([1]RawShipmentData!B578),FIND("/",TRIM([1]RawShipmentData!B578))-1))),DATEVALUE(TRIM([1]RawShipmentData!B578)))</f>
        <v>45451</v>
      </c>
      <c r="C576" s="2" t="str">
        <f>PROPER(TRIM([1]RawShipmentData!C578))</f>
        <v>Delhi</v>
      </c>
      <c r="D576" s="2" t="str">
        <f>IFERROR(INDEX([1]HubMaster!$B$2:$B$7,MATCH(C576,[1]HubMaster!$A$2:$A$7,0)),"Unknown")</f>
        <v>North</v>
      </c>
      <c r="E576" s="2" t="str">
        <f>PROPER(TRIM(SUBSTITUTE([1]RawShipmentData!D578,"  "," ")))</f>
        <v>Ecom Express</v>
      </c>
      <c r="F576" s="2" t="str">
        <f>PROPER(TRIM([1]RawShipmentData!E578))</f>
        <v>Surface</v>
      </c>
      <c r="G576" s="2" t="str">
        <f>PROPER(TRIM(SUBSTITUTE([1]RawShipmentData!F578,"  "," ")))</f>
        <v>Apparel</v>
      </c>
      <c r="H576" s="2" t="str">
        <f>PROPER(TRIM([1]RawShipmentData!G578))</f>
        <v>East</v>
      </c>
      <c r="I576" s="2" t="str">
        <f t="shared" si="40"/>
        <v>Yes</v>
      </c>
      <c r="J576" s="2">
        <f>IFERROR(VALUE(TRIM(SUBSTITUTE(UPPER([1]RawShipmentData!I576),"KG",""))),"")</f>
        <v>10.8</v>
      </c>
      <c r="K576" s="2">
        <f>VALUE(SUBSTITUTE(SUBSTITUTE(SUBSTITUTE(TRIM([1]RawShipmentData!J578),"₹",""),"Rs",""),",",""))</f>
        <v>295</v>
      </c>
      <c r="L576" s="2">
        <f>[1]RawShipmentData!K578</f>
        <v>6</v>
      </c>
      <c r="M576" s="3">
        <f>IF(TRIM([1]RawShipmentData!L578)="","",IF(ISNUMBER(SEARCH("/",TRIM([1]RawShipmentData!L578))),DATE(VALUE(RIGHT(TRIM([1]RawShipmentData!L578),4)),VALUE(MID(TRIM([1]RawShipmentData!L578),FIND("/",TRIM([1]RawShipmentData!L578))+1,2)),VALUE(LEFT(TRIM([1]RawShipmentData!L578),FIND("/",TRIM([1]RawShipmentData!L578))-1))),DATEVALUE(TRIM([1]RawShipmentData!L578))))</f>
        <v>45456</v>
      </c>
      <c r="N576" s="2">
        <f t="shared" si="41"/>
        <v>5</v>
      </c>
      <c r="O576" s="2">
        <f t="shared" si="42"/>
        <v>-1</v>
      </c>
      <c r="P576" s="2" t="str">
        <f t="shared" si="43"/>
        <v>On Time</v>
      </c>
      <c r="Q576" s="2" t="str">
        <f>PROPER(SUBSTITUTE(TRIM([1]RawShipmentData!M578)," ","-"))</f>
        <v>Delivered</v>
      </c>
      <c r="R576" s="4">
        <f t="shared" si="44"/>
        <v>27.314814814814813</v>
      </c>
      <c r="S576" s="2">
        <f>[1]RawShipmentData!N578</f>
        <v>5</v>
      </c>
      <c r="T576" s="2" t="str">
        <f>IF(OR(UPPER(TRIM([1]RawShipmentData!O578))="YES",UPPER(TRIM([1]RawShipmentData!O578))="Y"),"Yes","No")</f>
        <v>No</v>
      </c>
    </row>
    <row r="577" spans="1:20" x14ac:dyDescent="0.25">
      <c r="A577" s="2" t="str">
        <f>[1]RawShipmentData!A579</f>
        <v>SHP-100300</v>
      </c>
      <c r="B577" s="3">
        <f>IF(ISNUMBER(SEARCH("/",TRIM([1]RawShipmentData!B579))),DATE(VALUE(RIGHT(TRIM([1]RawShipmentData!B579),4)),VALUE(MID(TRIM([1]RawShipmentData!B579),FIND("/",TRIM([1]RawShipmentData!B579))+1,2)),VALUE(LEFT(TRIM([1]RawShipmentData!B579),FIND("/",TRIM([1]RawShipmentData!B579))-1))),DATEVALUE(TRIM([1]RawShipmentData!B579)))</f>
        <v>45398</v>
      </c>
      <c r="C577" s="2" t="str">
        <f>PROPER(TRIM([1]RawShipmentData!C579))</f>
        <v>Kolkata</v>
      </c>
      <c r="D577" s="2" t="str">
        <f>IFERROR(INDEX([1]HubMaster!$B$2:$B$7,MATCH(C577,[1]HubMaster!$A$2:$A$7,0)),"Unknown")</f>
        <v>East</v>
      </c>
      <c r="E577" s="2" t="str">
        <f>PROPER(TRIM(SUBSTITUTE([1]RawShipmentData!D579,"  "," ")))</f>
        <v>Delhivery</v>
      </c>
      <c r="F577" s="2" t="str">
        <f>PROPER(TRIM([1]RawShipmentData!E579))</f>
        <v>Surface</v>
      </c>
      <c r="G577" s="2" t="str">
        <f>PROPER(TRIM(SUBSTITUTE([1]RawShipmentData!F579,"  "," ")))</f>
        <v>Pharma</v>
      </c>
      <c r="H577" s="2" t="str">
        <f>PROPER(TRIM([1]RawShipmentData!G579))</f>
        <v>West</v>
      </c>
      <c r="I577" s="2" t="str">
        <f t="shared" si="40"/>
        <v>Yes</v>
      </c>
      <c r="J577" s="2">
        <f>IFERROR(VALUE(TRIM(SUBSTITUTE(UPPER([1]RawShipmentData!I577),"KG",""))),"")</f>
        <v>12.3</v>
      </c>
      <c r="K577" s="2">
        <f>VALUE(SUBSTITUTE(SUBSTITUTE(SUBSTITUTE(TRIM([1]RawShipmentData!J579),"₹",""),"Rs",""),",",""))</f>
        <v>164</v>
      </c>
      <c r="L577" s="2">
        <f>[1]RawShipmentData!K579</f>
        <v>6</v>
      </c>
      <c r="M577" s="3">
        <f>IF(TRIM([1]RawShipmentData!L579)="","",IF(ISNUMBER(SEARCH("/",TRIM([1]RawShipmentData!L579))),DATE(VALUE(RIGHT(TRIM([1]RawShipmentData!L579),4)),VALUE(MID(TRIM([1]RawShipmentData!L579),FIND("/",TRIM([1]RawShipmentData!L579))+1,2)),VALUE(LEFT(TRIM([1]RawShipmentData!L579),FIND("/",TRIM([1]RawShipmentData!L579))-1))),DATEVALUE(TRIM([1]RawShipmentData!L579))))</f>
        <v>45407</v>
      </c>
      <c r="N577" s="2">
        <f t="shared" si="41"/>
        <v>9</v>
      </c>
      <c r="O577" s="2">
        <f t="shared" si="42"/>
        <v>3</v>
      </c>
      <c r="P577" s="2" t="str">
        <f t="shared" si="43"/>
        <v>Late</v>
      </c>
      <c r="Q577" s="2" t="str">
        <f>PROPER(SUBSTITUTE(TRIM([1]RawShipmentData!M579)," ","-"))</f>
        <v>Delayed</v>
      </c>
      <c r="R577" s="4">
        <f t="shared" si="44"/>
        <v>13.333333333333332</v>
      </c>
      <c r="S577" s="2">
        <f>[1]RawShipmentData!N579</f>
        <v>3</v>
      </c>
      <c r="T577" s="2" t="str">
        <f>IF(OR(UPPER(TRIM([1]RawShipmentData!O579))="YES",UPPER(TRIM([1]RawShipmentData!O579))="Y"),"Yes","No")</f>
        <v>No</v>
      </c>
    </row>
    <row r="578" spans="1:20" x14ac:dyDescent="0.25">
      <c r="A578" s="2" t="str">
        <f>[1]RawShipmentData!A580</f>
        <v>SHP-100652</v>
      </c>
      <c r="B578" s="3">
        <f>IF(ISNUMBER(SEARCH("/",TRIM([1]RawShipmentData!B580))),DATE(VALUE(RIGHT(TRIM([1]RawShipmentData!B580),4)),VALUE(MID(TRIM([1]RawShipmentData!B580),FIND("/",TRIM([1]RawShipmentData!B580))+1,2)),VALUE(LEFT(TRIM([1]RawShipmentData!B580),FIND("/",TRIM([1]RawShipmentData!B580))-1))),DATEVALUE(TRIM([1]RawShipmentData!B580)))</f>
        <v>45405</v>
      </c>
      <c r="C578" s="2" t="str">
        <f>PROPER(TRIM([1]RawShipmentData!C580))</f>
        <v>Delhi</v>
      </c>
      <c r="D578" s="2" t="str">
        <f>IFERROR(INDEX([1]HubMaster!$B$2:$B$7,MATCH(C578,[1]HubMaster!$A$2:$A$7,0)),"Unknown")</f>
        <v>North</v>
      </c>
      <c r="E578" s="2" t="str">
        <f>PROPER(TRIM(SUBSTITUTE([1]RawShipmentData!D580,"  "," ")))</f>
        <v>Xpressbees</v>
      </c>
      <c r="F578" s="2" t="str">
        <f>PROPER(TRIM([1]RawShipmentData!E580))</f>
        <v>Air</v>
      </c>
      <c r="G578" s="2" t="str">
        <f>PROPER(TRIM(SUBSTITUTE([1]RawShipmentData!F580,"  "," ")))</f>
        <v>Pharma</v>
      </c>
      <c r="H578" s="2" t="str">
        <f>PROPER(TRIM([1]RawShipmentData!G580))</f>
        <v>North</v>
      </c>
      <c r="I578" s="2" t="str">
        <f t="shared" ref="I578:I641" si="45">IF(D578=H578,"No","Yes")</f>
        <v>No</v>
      </c>
      <c r="J578" s="2">
        <f>IFERROR(VALUE(TRIM(SUBSTITUTE(UPPER([1]RawShipmentData!I578),"KG",""))),"")</f>
        <v>6.2</v>
      </c>
      <c r="K578" s="2">
        <f>VALUE(SUBSTITUTE(SUBSTITUTE(SUBSTITUTE(TRIM([1]RawShipmentData!J580),"₹",""),"Rs",""),",",""))</f>
        <v>259</v>
      </c>
      <c r="L578" s="2">
        <f>[1]RawShipmentData!K580</f>
        <v>2</v>
      </c>
      <c r="M578" s="3">
        <f>IF(TRIM([1]RawShipmentData!L580)="","",IF(ISNUMBER(SEARCH("/",TRIM([1]RawShipmentData!L580))),DATE(VALUE(RIGHT(TRIM([1]RawShipmentData!L580),4)),VALUE(MID(TRIM([1]RawShipmentData!L580),FIND("/",TRIM([1]RawShipmentData!L580))+1,2)),VALUE(LEFT(TRIM([1]RawShipmentData!L580),FIND("/",TRIM([1]RawShipmentData!L580))-1))),DATEVALUE(TRIM([1]RawShipmentData!L580))))</f>
        <v>45407</v>
      </c>
      <c r="N578" s="2">
        <f t="shared" ref="N578:N641" si="46">IF(M578="","",M578-B578)</f>
        <v>2</v>
      </c>
      <c r="O578" s="2">
        <f t="shared" ref="O578:O641" si="47">IF(N578="","",N578-L578)</f>
        <v>0</v>
      </c>
      <c r="P578" s="2" t="str">
        <f t="shared" ref="P578:P641" si="48">IF(N578="","N/A",IF(N578&lt;=L578,"On Time","Late"))</f>
        <v>On Time</v>
      </c>
      <c r="Q578" s="2" t="str">
        <f>PROPER(SUBSTITUTE(TRIM([1]RawShipmentData!M580)," ","-"))</f>
        <v>Delivered</v>
      </c>
      <c r="R578" s="4">
        <f t="shared" si="44"/>
        <v>41.774193548387096</v>
      </c>
      <c r="S578" s="2">
        <f>[1]RawShipmentData!N580</f>
        <v>5</v>
      </c>
      <c r="T578" s="2" t="str">
        <f>IF(OR(UPPER(TRIM([1]RawShipmentData!O580))="YES",UPPER(TRIM([1]RawShipmentData!O580))="Y"),"Yes","No")</f>
        <v>Yes</v>
      </c>
    </row>
    <row r="579" spans="1:20" x14ac:dyDescent="0.25">
      <c r="A579" s="2" t="str">
        <f>[1]RawShipmentData!A581</f>
        <v>SHP-100345</v>
      </c>
      <c r="B579" s="3">
        <f>IF(ISNUMBER(SEARCH("/",TRIM([1]RawShipmentData!B581))),DATE(VALUE(RIGHT(TRIM([1]RawShipmentData!B581),4)),VALUE(MID(TRIM([1]RawShipmentData!B581),FIND("/",TRIM([1]RawShipmentData!B581))+1,2)),VALUE(LEFT(TRIM([1]RawShipmentData!B581),FIND("/",TRIM([1]RawShipmentData!B581))-1))),DATEVALUE(TRIM([1]RawShipmentData!B581)))</f>
        <v>45432</v>
      </c>
      <c r="C579" s="2" t="str">
        <f>PROPER(TRIM([1]RawShipmentData!C581))</f>
        <v>Chennai</v>
      </c>
      <c r="D579" s="2" t="str">
        <f>IFERROR(INDEX([1]HubMaster!$B$2:$B$7,MATCH(C579,[1]HubMaster!$A$2:$A$7,0)),"Unknown")</f>
        <v>South</v>
      </c>
      <c r="E579" s="2" t="str">
        <f>PROPER(TRIM(SUBSTITUTE([1]RawShipmentData!D581,"  "," ")))</f>
        <v>Delhivery</v>
      </c>
      <c r="F579" s="2" t="str">
        <f>PROPER(TRIM([1]RawShipmentData!E581))</f>
        <v>Air</v>
      </c>
      <c r="G579" s="2" t="str">
        <f>PROPER(TRIM(SUBSTITUTE([1]RawShipmentData!F581,"  "," ")))</f>
        <v>Pharma</v>
      </c>
      <c r="H579" s="2" t="str">
        <f>PROPER(TRIM([1]RawShipmentData!G581))</f>
        <v>South</v>
      </c>
      <c r="I579" s="2" t="str">
        <f t="shared" si="45"/>
        <v>No</v>
      </c>
      <c r="J579" s="2">
        <f>IFERROR(VALUE(TRIM(SUBSTITUTE(UPPER([1]RawShipmentData!I579),"KG",""))),"")</f>
        <v>0.9</v>
      </c>
      <c r="K579" s="2">
        <f>VALUE(SUBSTITUTE(SUBSTITUTE(SUBSTITUTE(TRIM([1]RawShipmentData!J581),"₹",""),"Rs",""),",",""))</f>
        <v>230</v>
      </c>
      <c r="L579" s="2">
        <f>[1]RawShipmentData!K581</f>
        <v>2</v>
      </c>
      <c r="M579" s="3">
        <f>IF(TRIM([1]RawShipmentData!L581)="","",IF(ISNUMBER(SEARCH("/",TRIM([1]RawShipmentData!L581))),DATE(VALUE(RIGHT(TRIM([1]RawShipmentData!L581),4)),VALUE(MID(TRIM([1]RawShipmentData!L581),FIND("/",TRIM([1]RawShipmentData!L581))+1,2)),VALUE(LEFT(TRIM([1]RawShipmentData!L581),FIND("/",TRIM([1]RawShipmentData!L581))-1))),DATEVALUE(TRIM([1]RawShipmentData!L581))))</f>
        <v>45433</v>
      </c>
      <c r="N579" s="2">
        <f t="shared" si="46"/>
        <v>1</v>
      </c>
      <c r="O579" s="2">
        <f t="shared" si="47"/>
        <v>-1</v>
      </c>
      <c r="P579" s="2" t="str">
        <f t="shared" si="48"/>
        <v>On Time</v>
      </c>
      <c r="Q579" s="2" t="str">
        <f>PROPER(SUBSTITUTE(TRIM([1]RawShipmentData!M581)," ","-"))</f>
        <v>Delivered</v>
      </c>
      <c r="R579" s="4">
        <f t="shared" ref="R579:R642" si="49">IFERROR(K579/J579,"")</f>
        <v>255.55555555555554</v>
      </c>
      <c r="S579" s="2">
        <f>[1]RawShipmentData!N581</f>
        <v>4</v>
      </c>
      <c r="T579" s="2" t="str">
        <f>IF(OR(UPPER(TRIM([1]RawShipmentData!O581))="YES",UPPER(TRIM([1]RawShipmentData!O581))="Y"),"Yes","No")</f>
        <v>No</v>
      </c>
    </row>
    <row r="580" spans="1:20" x14ac:dyDescent="0.25">
      <c r="A580" s="2" t="str">
        <f>[1]RawShipmentData!A583</f>
        <v>SHP-101309</v>
      </c>
      <c r="B580" s="3">
        <f>IF(ISNUMBER(SEARCH("/",TRIM([1]RawShipmentData!B583))),DATE(VALUE(RIGHT(TRIM([1]RawShipmentData!B583),4)),VALUE(MID(TRIM([1]RawShipmentData!B583),FIND("/",TRIM([1]RawShipmentData!B583))+1,2)),VALUE(LEFT(TRIM([1]RawShipmentData!B583),FIND("/",TRIM([1]RawShipmentData!B583))-1))),DATEVALUE(TRIM([1]RawShipmentData!B583)))</f>
        <v>45415</v>
      </c>
      <c r="C580" s="2" t="str">
        <f>PROPER(TRIM([1]RawShipmentData!C583))</f>
        <v>Chennai</v>
      </c>
      <c r="D580" s="2" t="str">
        <f>IFERROR(INDEX([1]HubMaster!$B$2:$B$7,MATCH(C580,[1]HubMaster!$A$2:$A$7,0)),"Unknown")</f>
        <v>South</v>
      </c>
      <c r="E580" s="2" t="str">
        <f>PROPER(TRIM(SUBSTITUTE([1]RawShipmentData!D583,"  "," ")))</f>
        <v>Dtdc</v>
      </c>
      <c r="F580" s="2" t="str">
        <f>PROPER(TRIM([1]RawShipmentData!E583))</f>
        <v>Air</v>
      </c>
      <c r="G580" s="2" t="str">
        <f>PROPER(TRIM(SUBSTITUTE([1]RawShipmentData!F583,"  "," ")))</f>
        <v>Furniture</v>
      </c>
      <c r="H580" s="2" t="str">
        <f>PROPER(TRIM([1]RawShipmentData!G583))</f>
        <v>West</v>
      </c>
      <c r="I580" s="2" t="str">
        <f t="shared" si="45"/>
        <v>Yes</v>
      </c>
      <c r="J580" s="2">
        <f>IFERROR(VALUE(TRIM(SUBSTITUTE(UPPER([1]RawShipmentData!I580),"KG",""))),"")</f>
        <v>4.8</v>
      </c>
      <c r="K580" s="2">
        <f>VALUE(SUBSTITUTE(SUBSTITUTE(SUBSTITUTE(TRIM([1]RawShipmentData!J583),"₹",""),"Rs",""),",",""))</f>
        <v>1221</v>
      </c>
      <c r="L580" s="2">
        <f>[1]RawShipmentData!K583</f>
        <v>4</v>
      </c>
      <c r="M580" s="3">
        <f>IF(TRIM([1]RawShipmentData!L583)="","",IF(ISNUMBER(SEARCH("/",TRIM([1]RawShipmentData!L583))),DATE(VALUE(RIGHT(TRIM([1]RawShipmentData!L583),4)),VALUE(MID(TRIM([1]RawShipmentData!L583),FIND("/",TRIM([1]RawShipmentData!L583))+1,2)),VALUE(LEFT(TRIM([1]RawShipmentData!L583),FIND("/",TRIM([1]RawShipmentData!L583))-1))),DATEVALUE(TRIM([1]RawShipmentData!L583))))</f>
        <v>45427</v>
      </c>
      <c r="N580" s="2">
        <f t="shared" si="46"/>
        <v>12</v>
      </c>
      <c r="O580" s="2">
        <f t="shared" si="47"/>
        <v>8</v>
      </c>
      <c r="P580" s="2" t="str">
        <f t="shared" si="48"/>
        <v>Late</v>
      </c>
      <c r="Q580" s="2" t="str">
        <f>PROPER(SUBSTITUTE(TRIM([1]RawShipmentData!M583)," ","-"))</f>
        <v>Delayed</v>
      </c>
      <c r="R580" s="4">
        <f t="shared" si="49"/>
        <v>254.375</v>
      </c>
      <c r="S580" s="2">
        <f>[1]RawShipmentData!N583</f>
        <v>4</v>
      </c>
      <c r="T580" s="2" t="str">
        <f>IF(OR(UPPER(TRIM([1]RawShipmentData!O583))="YES",UPPER(TRIM([1]RawShipmentData!O583))="Y"),"Yes","No")</f>
        <v>No</v>
      </c>
    </row>
    <row r="581" spans="1:20" x14ac:dyDescent="0.25">
      <c r="A581" s="2" t="str">
        <f>[1]RawShipmentData!A584</f>
        <v>SHP-100122</v>
      </c>
      <c r="B581" s="3">
        <f>IF(ISNUMBER(SEARCH("/",TRIM([1]RawShipmentData!B584))),DATE(VALUE(RIGHT(TRIM([1]RawShipmentData!B584),4)),VALUE(MID(TRIM([1]RawShipmentData!B584),FIND("/",TRIM([1]RawShipmentData!B584))+1,2)),VALUE(LEFT(TRIM([1]RawShipmentData!B584),FIND("/",TRIM([1]RawShipmentData!B584))-1))),DATEVALUE(TRIM([1]RawShipmentData!B584)))</f>
        <v>45440</v>
      </c>
      <c r="C581" s="2" t="str">
        <f>PROPER(TRIM([1]RawShipmentData!C584))</f>
        <v>Mumbai</v>
      </c>
      <c r="D581" s="2" t="str">
        <f>IFERROR(INDEX([1]HubMaster!$B$2:$B$7,MATCH(C581,[1]HubMaster!$A$2:$A$7,0)),"Unknown")</f>
        <v>West</v>
      </c>
      <c r="E581" s="2" t="str">
        <f>PROPER(TRIM(SUBSTITUTE([1]RawShipmentData!D584,"  "," ")))</f>
        <v>Ecom Express</v>
      </c>
      <c r="F581" s="2" t="str">
        <f>PROPER(TRIM([1]RawShipmentData!E584))</f>
        <v>Air</v>
      </c>
      <c r="G581" s="2" t="str">
        <f>PROPER(TRIM(SUBSTITUTE([1]RawShipmentData!F584,"  "," ")))</f>
        <v>Grocery &amp; Fmcg</v>
      </c>
      <c r="H581" s="2" t="str">
        <f>PROPER(TRIM([1]RawShipmentData!G584))</f>
        <v>North</v>
      </c>
      <c r="I581" s="2" t="str">
        <f t="shared" si="45"/>
        <v>Yes</v>
      </c>
      <c r="J581" s="2">
        <f>IFERROR(VALUE(TRIM(SUBSTITUTE(UPPER([1]RawShipmentData!I581),"KG",""))),"")</f>
        <v>4.8</v>
      </c>
      <c r="K581" s="2">
        <f>VALUE(SUBSTITUTE(SUBSTITUTE(SUBSTITUTE(TRIM([1]RawShipmentData!J584),"₹",""),"Rs",""),",",""))</f>
        <v>743</v>
      </c>
      <c r="L581" s="2">
        <f>[1]RawShipmentData!K584</f>
        <v>4</v>
      </c>
      <c r="M581" s="3">
        <f>IF(TRIM([1]RawShipmentData!L584)="","",IF(ISNUMBER(SEARCH("/",TRIM([1]RawShipmentData!L584))),DATE(VALUE(RIGHT(TRIM([1]RawShipmentData!L584),4)),VALUE(MID(TRIM([1]RawShipmentData!L584),FIND("/",TRIM([1]RawShipmentData!L584))+1,2)),VALUE(LEFT(TRIM([1]RawShipmentData!L584),FIND("/",TRIM([1]RawShipmentData!L584))-1))),DATEVALUE(TRIM([1]RawShipmentData!L584))))</f>
        <v>45444</v>
      </c>
      <c r="N581" s="2">
        <f t="shared" si="46"/>
        <v>4</v>
      </c>
      <c r="O581" s="2">
        <f t="shared" si="47"/>
        <v>0</v>
      </c>
      <c r="P581" s="2" t="str">
        <f t="shared" si="48"/>
        <v>On Time</v>
      </c>
      <c r="Q581" s="2" t="str">
        <f>PROPER(SUBSTITUTE(TRIM([1]RawShipmentData!M584)," ","-"))</f>
        <v>Delivered</v>
      </c>
      <c r="R581" s="4">
        <f t="shared" si="49"/>
        <v>154.79166666666669</v>
      </c>
      <c r="S581" s="2">
        <f>[1]RawShipmentData!N584</f>
        <v>5</v>
      </c>
      <c r="T581" s="2" t="str">
        <f>IF(OR(UPPER(TRIM([1]RawShipmentData!O584))="YES",UPPER(TRIM([1]RawShipmentData!O584))="Y"),"Yes","No")</f>
        <v>No</v>
      </c>
    </row>
    <row r="582" spans="1:20" x14ac:dyDescent="0.25">
      <c r="A582" s="2" t="str">
        <f>[1]RawShipmentData!A585</f>
        <v>SHP-100272</v>
      </c>
      <c r="B582" s="3">
        <f>IF(ISNUMBER(SEARCH("/",TRIM([1]RawShipmentData!B585))),DATE(VALUE(RIGHT(TRIM([1]RawShipmentData!B585),4)),VALUE(MID(TRIM([1]RawShipmentData!B585),FIND("/",TRIM([1]RawShipmentData!B585))+1,2)),VALUE(LEFT(TRIM([1]RawShipmentData!B585),FIND("/",TRIM([1]RawShipmentData!B585))-1))),DATEVALUE(TRIM([1]RawShipmentData!B585)))</f>
        <v>45375</v>
      </c>
      <c r="C582" s="2" t="str">
        <f>PROPER(TRIM([1]RawShipmentData!C585))</f>
        <v>Chennai</v>
      </c>
      <c r="D582" s="2" t="str">
        <f>IFERROR(INDEX([1]HubMaster!$B$2:$B$7,MATCH(C582,[1]HubMaster!$A$2:$A$7,0)),"Unknown")</f>
        <v>South</v>
      </c>
      <c r="E582" s="2" t="str">
        <f>PROPER(TRIM(SUBSTITUTE([1]RawShipmentData!D585,"  "," ")))</f>
        <v>Blue Dart</v>
      </c>
      <c r="F582" s="2" t="str">
        <f>PROPER(TRIM([1]RawShipmentData!E585))</f>
        <v>Road</v>
      </c>
      <c r="G582" s="2" t="str">
        <f>PROPER(TRIM(SUBSTITUTE([1]RawShipmentData!F585,"  "," ")))</f>
        <v>Automotive Parts</v>
      </c>
      <c r="H582" s="2" t="str">
        <f>PROPER(TRIM([1]RawShipmentData!G585))</f>
        <v>North</v>
      </c>
      <c r="I582" s="2" t="str">
        <f t="shared" si="45"/>
        <v>Yes</v>
      </c>
      <c r="J582" s="2">
        <f>IFERROR(VALUE(TRIM(SUBSTITUTE(UPPER([1]RawShipmentData!I582),"KG",""))),"")</f>
        <v>10</v>
      </c>
      <c r="K582" s="2">
        <f>VALUE(SUBSTITUTE(SUBSTITUTE(SUBSTITUTE(TRIM([1]RawShipmentData!J585),"₹",""),"Rs",""),",",""))</f>
        <v>592</v>
      </c>
      <c r="L582" s="2">
        <f>[1]RawShipmentData!K585</f>
        <v>8</v>
      </c>
      <c r="M582" s="3">
        <f>IF(TRIM([1]RawShipmentData!L585)="","",IF(ISNUMBER(SEARCH("/",TRIM([1]RawShipmentData!L585))),DATE(VALUE(RIGHT(TRIM([1]RawShipmentData!L585),4)),VALUE(MID(TRIM([1]RawShipmentData!L585),FIND("/",TRIM([1]RawShipmentData!L585))+1,2)),VALUE(LEFT(TRIM([1]RawShipmentData!L585),FIND("/",TRIM([1]RawShipmentData!L585))-1))),DATEVALUE(TRIM([1]RawShipmentData!L585))))</f>
        <v>45384</v>
      </c>
      <c r="N582" s="2">
        <f t="shared" si="46"/>
        <v>9</v>
      </c>
      <c r="O582" s="2">
        <f t="shared" si="47"/>
        <v>1</v>
      </c>
      <c r="P582" s="2" t="str">
        <f t="shared" si="48"/>
        <v>Late</v>
      </c>
      <c r="Q582" s="2" t="str">
        <f>PROPER(SUBSTITUTE(TRIM([1]RawShipmentData!M585)," ","-"))</f>
        <v>Delayed</v>
      </c>
      <c r="R582" s="4">
        <f t="shared" si="49"/>
        <v>59.2</v>
      </c>
      <c r="S582" s="2">
        <f>[1]RawShipmentData!N585</f>
        <v>3</v>
      </c>
      <c r="T582" s="2" t="str">
        <f>IF(OR(UPPER(TRIM([1]RawShipmentData!O585))="YES",UPPER(TRIM([1]RawShipmentData!O585))="Y"),"Yes","No")</f>
        <v>No</v>
      </c>
    </row>
    <row r="583" spans="1:20" x14ac:dyDescent="0.25">
      <c r="A583" s="2" t="str">
        <f>[1]RawShipmentData!A586</f>
        <v>SHP-100687</v>
      </c>
      <c r="B583" s="3">
        <f>IF(ISNUMBER(SEARCH("/",TRIM([1]RawShipmentData!B586))),DATE(VALUE(RIGHT(TRIM([1]RawShipmentData!B586),4)),VALUE(MID(TRIM([1]RawShipmentData!B586),FIND("/",TRIM([1]RawShipmentData!B586))+1,2)),VALUE(LEFT(TRIM([1]RawShipmentData!B586),FIND("/",TRIM([1]RawShipmentData!B586))-1))),DATEVALUE(TRIM([1]RawShipmentData!B586)))</f>
        <v>45298</v>
      </c>
      <c r="C583" s="2" t="str">
        <f>PROPER(TRIM([1]RawShipmentData!C586))</f>
        <v>Bengaluru</v>
      </c>
      <c r="D583" s="2" t="str">
        <f>IFERROR(INDEX([1]HubMaster!$B$2:$B$7,MATCH(C583,[1]HubMaster!$A$2:$A$7,0)),"Unknown")</f>
        <v>South</v>
      </c>
      <c r="E583" s="2" t="str">
        <f>PROPER(TRIM(SUBSTITUTE([1]RawShipmentData!D586,"  "," ")))</f>
        <v>Ecom Express</v>
      </c>
      <c r="F583" s="2" t="str">
        <f>PROPER(TRIM([1]RawShipmentData!E586))</f>
        <v>Road</v>
      </c>
      <c r="G583" s="2" t="str">
        <f>PROPER(TRIM(SUBSTITUTE([1]RawShipmentData!F586,"  "," ")))</f>
        <v>Automotive Parts</v>
      </c>
      <c r="H583" s="2" t="str">
        <f>PROPER(TRIM([1]RawShipmentData!G586))</f>
        <v>South</v>
      </c>
      <c r="I583" s="2" t="str">
        <f t="shared" si="45"/>
        <v>No</v>
      </c>
      <c r="J583" s="2">
        <f>IFERROR(VALUE(TRIM(SUBSTITUTE(UPPER([1]RawShipmentData!I583),"KG",""))),"")</f>
        <v>23</v>
      </c>
      <c r="K583" s="2">
        <f>VALUE(SUBSTITUTE(SUBSTITUTE(SUBSTITUTE(TRIM([1]RawShipmentData!J586),"₹",""),"Rs",""),",",""))</f>
        <v>483</v>
      </c>
      <c r="L583" s="2">
        <f>[1]RawShipmentData!K586</f>
        <v>6</v>
      </c>
      <c r="M583" s="3">
        <f>IF(TRIM([1]RawShipmentData!L586)="","",IF(ISNUMBER(SEARCH("/",TRIM([1]RawShipmentData!L586))),DATE(VALUE(RIGHT(TRIM([1]RawShipmentData!L586),4)),VALUE(MID(TRIM([1]RawShipmentData!L586),FIND("/",TRIM([1]RawShipmentData!L586))+1,2)),VALUE(LEFT(TRIM([1]RawShipmentData!L586),FIND("/",TRIM([1]RawShipmentData!L586))-1))),DATEVALUE(TRIM([1]RawShipmentData!L586))))</f>
        <v>45305</v>
      </c>
      <c r="N583" s="2">
        <f t="shared" si="46"/>
        <v>7</v>
      </c>
      <c r="O583" s="2">
        <f t="shared" si="47"/>
        <v>1</v>
      </c>
      <c r="P583" s="2" t="str">
        <f t="shared" si="48"/>
        <v>Late</v>
      </c>
      <c r="Q583" s="2" t="str">
        <f>PROPER(SUBSTITUTE(TRIM([1]RawShipmentData!M586)," ","-"))</f>
        <v>Delayed</v>
      </c>
      <c r="R583" s="4">
        <f t="shared" si="49"/>
        <v>21</v>
      </c>
      <c r="S583" s="2">
        <f>[1]RawShipmentData!N586</f>
        <v>3</v>
      </c>
      <c r="T583" s="2" t="str">
        <f>IF(OR(UPPER(TRIM([1]RawShipmentData!O586))="YES",UPPER(TRIM([1]RawShipmentData!O586))="Y"),"Yes","No")</f>
        <v>No</v>
      </c>
    </row>
    <row r="584" spans="1:20" x14ac:dyDescent="0.25">
      <c r="A584" s="2" t="str">
        <f>[1]RawShipmentData!A587</f>
        <v>SHP-100989</v>
      </c>
      <c r="B584" s="3">
        <f>IF(ISNUMBER(SEARCH("/",TRIM([1]RawShipmentData!B587))),DATE(VALUE(RIGHT(TRIM([1]RawShipmentData!B587),4)),VALUE(MID(TRIM([1]RawShipmentData!B587),FIND("/",TRIM([1]RawShipmentData!B587))+1,2)),VALUE(LEFT(TRIM([1]RawShipmentData!B587),FIND("/",TRIM([1]RawShipmentData!B587))-1))),DATEVALUE(TRIM([1]RawShipmentData!B587)))</f>
        <v>45431</v>
      </c>
      <c r="C584" s="2" t="str">
        <f>PROPER(TRIM([1]RawShipmentData!C587))</f>
        <v>Kolkata</v>
      </c>
      <c r="D584" s="2" t="str">
        <f>IFERROR(INDEX([1]HubMaster!$B$2:$B$7,MATCH(C584,[1]HubMaster!$A$2:$A$7,0)),"Unknown")</f>
        <v>East</v>
      </c>
      <c r="E584" s="2" t="str">
        <f>PROPER(TRIM(SUBSTITUTE([1]RawShipmentData!D587,"  "," ")))</f>
        <v>Delhivery</v>
      </c>
      <c r="F584" s="2" t="str">
        <f>PROPER(TRIM([1]RawShipmentData!E587))</f>
        <v>Air</v>
      </c>
      <c r="G584" s="2" t="str">
        <f>PROPER(TRIM(SUBSTITUTE([1]RawShipmentData!F587,"  "," ")))</f>
        <v>Grocery &amp; Fmcg</v>
      </c>
      <c r="H584" s="2" t="str">
        <f>PROPER(TRIM([1]RawShipmentData!G587))</f>
        <v>North</v>
      </c>
      <c r="I584" s="2" t="str">
        <f t="shared" si="45"/>
        <v>Yes</v>
      </c>
      <c r="J584" s="2">
        <f>IFERROR(VALUE(TRIM(SUBSTITUTE(UPPER([1]RawShipmentData!I584),"KG",""))),"")</f>
        <v>13.6</v>
      </c>
      <c r="K584" s="2">
        <f>VALUE(SUBSTITUTE(SUBSTITUTE(SUBSTITUTE(TRIM([1]RawShipmentData!J587),"₹",""),"Rs",""),",",""))</f>
        <v>414</v>
      </c>
      <c r="L584" s="2">
        <f>[1]RawShipmentData!K587</f>
        <v>4</v>
      </c>
      <c r="M584" s="3">
        <f>IF(TRIM([1]RawShipmentData!L587)="","",IF(ISNUMBER(SEARCH("/",TRIM([1]RawShipmentData!L587))),DATE(VALUE(RIGHT(TRIM([1]RawShipmentData!L587),4)),VALUE(MID(TRIM([1]RawShipmentData!L587),FIND("/",TRIM([1]RawShipmentData!L587))+1,2)),VALUE(LEFT(TRIM([1]RawShipmentData!L587),FIND("/",TRIM([1]RawShipmentData!L587))-1))),DATEVALUE(TRIM([1]RawShipmentData!L587))))</f>
        <v>45436</v>
      </c>
      <c r="N584" s="2">
        <f t="shared" si="46"/>
        <v>5</v>
      </c>
      <c r="O584" s="2">
        <f t="shared" si="47"/>
        <v>1</v>
      </c>
      <c r="P584" s="2" t="str">
        <f t="shared" si="48"/>
        <v>Late</v>
      </c>
      <c r="Q584" s="2" t="str">
        <f>PROPER(SUBSTITUTE(TRIM([1]RawShipmentData!M587)," ","-"))</f>
        <v>Delayed</v>
      </c>
      <c r="R584" s="4">
        <f t="shared" si="49"/>
        <v>30.441176470588236</v>
      </c>
      <c r="S584" s="2">
        <f>[1]RawShipmentData!N587</f>
        <v>5</v>
      </c>
      <c r="T584" s="2" t="str">
        <f>IF(OR(UPPER(TRIM([1]RawShipmentData!O587))="YES",UPPER(TRIM([1]RawShipmentData!O587))="Y"),"Yes","No")</f>
        <v>No</v>
      </c>
    </row>
    <row r="585" spans="1:20" x14ac:dyDescent="0.25">
      <c r="A585" s="2" t="str">
        <f>[1]RawShipmentData!A588</f>
        <v>SHP-100467</v>
      </c>
      <c r="B585" s="3">
        <f>IF(ISNUMBER(SEARCH("/",TRIM([1]RawShipmentData!B588))),DATE(VALUE(RIGHT(TRIM([1]RawShipmentData!B588),4)),VALUE(MID(TRIM([1]RawShipmentData!B588),FIND("/",TRIM([1]RawShipmentData!B588))+1,2)),VALUE(LEFT(TRIM([1]RawShipmentData!B588),FIND("/",TRIM([1]RawShipmentData!B588))-1))),DATEVALUE(TRIM([1]RawShipmentData!B588)))</f>
        <v>45446</v>
      </c>
      <c r="C585" s="2" t="str">
        <f>PROPER(TRIM([1]RawShipmentData!C588))</f>
        <v>Kolkata</v>
      </c>
      <c r="D585" s="2" t="str">
        <f>IFERROR(INDEX([1]HubMaster!$B$2:$B$7,MATCH(C585,[1]HubMaster!$A$2:$A$7,0)),"Unknown")</f>
        <v>East</v>
      </c>
      <c r="E585" s="2" t="str">
        <f>PROPER(TRIM(SUBSTITUTE([1]RawShipmentData!D588,"  "," ")))</f>
        <v>Blue Dart</v>
      </c>
      <c r="F585" s="2" t="str">
        <f>PROPER(TRIM([1]RawShipmentData!E588))</f>
        <v>Surface</v>
      </c>
      <c r="G585" s="2" t="str">
        <f>PROPER(TRIM(SUBSTITUTE([1]RawShipmentData!F588,"  "," ")))</f>
        <v>Electronics</v>
      </c>
      <c r="H585" s="2" t="str">
        <f>PROPER(TRIM([1]RawShipmentData!G588))</f>
        <v>South</v>
      </c>
      <c r="I585" s="2" t="str">
        <f t="shared" si="45"/>
        <v>Yes</v>
      </c>
      <c r="J585" s="2">
        <f>IFERROR(VALUE(TRIM(SUBSTITUTE(UPPER([1]RawShipmentData!I585),"KG",""))),"")</f>
        <v>31.1</v>
      </c>
      <c r="K585" s="2">
        <f>VALUE(SUBSTITUTE(SUBSTITUTE(SUBSTITUTE(TRIM([1]RawShipmentData!J588),"₹",""),"Rs",""),",",""))</f>
        <v>339</v>
      </c>
      <c r="L585" s="2">
        <f>[1]RawShipmentData!K588</f>
        <v>6</v>
      </c>
      <c r="M585" s="3">
        <f>IF(TRIM([1]RawShipmentData!L588)="","",IF(ISNUMBER(SEARCH("/",TRIM([1]RawShipmentData!L588))),DATE(VALUE(RIGHT(TRIM([1]RawShipmentData!L588),4)),VALUE(MID(TRIM([1]RawShipmentData!L588),FIND("/",TRIM([1]RawShipmentData!L588))+1,2)),VALUE(LEFT(TRIM([1]RawShipmentData!L588),FIND("/",TRIM([1]RawShipmentData!L588))-1))),DATEVALUE(TRIM([1]RawShipmentData!L588))))</f>
        <v>45453</v>
      </c>
      <c r="N585" s="2">
        <f t="shared" si="46"/>
        <v>7</v>
      </c>
      <c r="O585" s="2">
        <f t="shared" si="47"/>
        <v>1</v>
      </c>
      <c r="P585" s="2" t="str">
        <f t="shared" si="48"/>
        <v>Late</v>
      </c>
      <c r="Q585" s="2" t="str">
        <f>PROPER(SUBSTITUTE(TRIM([1]RawShipmentData!M588)," ","-"))</f>
        <v>Delayed</v>
      </c>
      <c r="R585" s="4">
        <f t="shared" si="49"/>
        <v>10.90032154340836</v>
      </c>
      <c r="S585" s="2">
        <f>[1]RawShipmentData!N588</f>
        <v>2</v>
      </c>
      <c r="T585" s="2" t="str">
        <f>IF(OR(UPPER(TRIM([1]RawShipmentData!O588))="YES",UPPER(TRIM([1]RawShipmentData!O588))="Y"),"Yes","No")</f>
        <v>No</v>
      </c>
    </row>
    <row r="586" spans="1:20" x14ac:dyDescent="0.25">
      <c r="A586" s="2" t="str">
        <f>[1]RawShipmentData!A589</f>
        <v>SHP-101318</v>
      </c>
      <c r="B586" s="3">
        <f>IF(ISNUMBER(SEARCH("/",TRIM([1]RawShipmentData!B589))),DATE(VALUE(RIGHT(TRIM([1]RawShipmentData!B589),4)),VALUE(MID(TRIM([1]RawShipmentData!B589),FIND("/",TRIM([1]RawShipmentData!B589))+1,2)),VALUE(LEFT(TRIM([1]RawShipmentData!B589),FIND("/",TRIM([1]RawShipmentData!B589))-1))),DATEVALUE(TRIM([1]RawShipmentData!B589)))</f>
        <v>45355</v>
      </c>
      <c r="C586" s="2" t="str">
        <f>PROPER(TRIM([1]RawShipmentData!C589))</f>
        <v>Mumbai</v>
      </c>
      <c r="D586" s="2" t="str">
        <f>IFERROR(INDEX([1]HubMaster!$B$2:$B$7,MATCH(C586,[1]HubMaster!$A$2:$A$7,0)),"Unknown")</f>
        <v>West</v>
      </c>
      <c r="E586" s="2" t="str">
        <f>PROPER(TRIM(SUBSTITUTE([1]RawShipmentData!D589,"  "," ")))</f>
        <v>Ecom Express</v>
      </c>
      <c r="F586" s="2" t="str">
        <f>PROPER(TRIM([1]RawShipmentData!E589))</f>
        <v>Surface</v>
      </c>
      <c r="G586" s="2" t="str">
        <f>PROPER(TRIM(SUBSTITUTE([1]RawShipmentData!F589,"  "," ")))</f>
        <v>Grocery &amp; Fmcg</v>
      </c>
      <c r="H586" s="2" t="str">
        <f>PROPER(TRIM([1]RawShipmentData!G589))</f>
        <v>North</v>
      </c>
      <c r="I586" s="2" t="str">
        <f t="shared" si="45"/>
        <v>Yes</v>
      </c>
      <c r="J586" s="2">
        <f>IFERROR(VALUE(TRIM(SUBSTITUTE(UPPER([1]RawShipmentData!I586),"KG",""))),"")</f>
        <v>31.3</v>
      </c>
      <c r="K586" s="2">
        <f>VALUE(SUBSTITUTE(SUBSTITUTE(SUBSTITUTE(TRIM([1]RawShipmentData!J589),"₹",""),"Rs",""),",",""))</f>
        <v>572</v>
      </c>
      <c r="L586" s="2">
        <f>[1]RawShipmentData!K589</f>
        <v>6</v>
      </c>
      <c r="M586" s="3">
        <f>IF(TRIM([1]RawShipmentData!L589)="","",IF(ISNUMBER(SEARCH("/",TRIM([1]RawShipmentData!L589))),DATE(VALUE(RIGHT(TRIM([1]RawShipmentData!L589),4)),VALUE(MID(TRIM([1]RawShipmentData!L589),FIND("/",TRIM([1]RawShipmentData!L589))+1,2)),VALUE(LEFT(TRIM([1]RawShipmentData!L589),FIND("/",TRIM([1]RawShipmentData!L589))-1))),DATEVALUE(TRIM([1]RawShipmentData!L589))))</f>
        <v>45362</v>
      </c>
      <c r="N586" s="2">
        <f t="shared" si="46"/>
        <v>7</v>
      </c>
      <c r="O586" s="2">
        <f t="shared" si="47"/>
        <v>1</v>
      </c>
      <c r="P586" s="2" t="str">
        <f t="shared" si="48"/>
        <v>Late</v>
      </c>
      <c r="Q586" s="2" t="str">
        <f>PROPER(SUBSTITUTE(TRIM([1]RawShipmentData!M589)," ","-"))</f>
        <v>Delayed</v>
      </c>
      <c r="R586" s="4">
        <f t="shared" si="49"/>
        <v>18.274760383386582</v>
      </c>
      <c r="S586" s="2">
        <f>[1]RawShipmentData!N589</f>
        <v>4</v>
      </c>
      <c r="T586" s="2" t="str">
        <f>IF(OR(UPPER(TRIM([1]RawShipmentData!O589))="YES",UPPER(TRIM([1]RawShipmentData!O589))="Y"),"Yes","No")</f>
        <v>No</v>
      </c>
    </row>
    <row r="587" spans="1:20" x14ac:dyDescent="0.25">
      <c r="A587" s="2" t="str">
        <f>[1]RawShipmentData!A590</f>
        <v>SHP-100642</v>
      </c>
      <c r="B587" s="3">
        <f>IF(ISNUMBER(SEARCH("/",TRIM([1]RawShipmentData!B590))),DATE(VALUE(RIGHT(TRIM([1]RawShipmentData!B590),4)),VALUE(MID(TRIM([1]RawShipmentData!B590),FIND("/",TRIM([1]RawShipmentData!B590))+1,2)),VALUE(LEFT(TRIM([1]RawShipmentData!B590),FIND("/",TRIM([1]RawShipmentData!B590))-1))),DATEVALUE(TRIM([1]RawShipmentData!B590)))</f>
        <v>45295</v>
      </c>
      <c r="C587" s="2" t="str">
        <f>PROPER(TRIM([1]RawShipmentData!C590))</f>
        <v>Bengaluru</v>
      </c>
      <c r="D587" s="2" t="str">
        <f>IFERROR(INDEX([1]HubMaster!$B$2:$B$7,MATCH(C587,[1]HubMaster!$A$2:$A$7,0)),"Unknown")</f>
        <v>South</v>
      </c>
      <c r="E587" s="2" t="str">
        <f>PROPER(TRIM(SUBSTITUTE([1]RawShipmentData!D590,"  "," ")))</f>
        <v>Xpress Bees</v>
      </c>
      <c r="F587" s="2" t="str">
        <f>PROPER(TRIM([1]RawShipmentData!E590))</f>
        <v>Air</v>
      </c>
      <c r="G587" s="2" t="str">
        <f>PROPER(TRIM(SUBSTITUTE([1]RawShipmentData!F590,"  "," ")))</f>
        <v>Furniture</v>
      </c>
      <c r="H587" s="2" t="str">
        <f>PROPER(TRIM([1]RawShipmentData!G590))</f>
        <v>West</v>
      </c>
      <c r="I587" s="2" t="str">
        <f t="shared" si="45"/>
        <v>Yes</v>
      </c>
      <c r="J587" s="2">
        <f>IFERROR(VALUE(TRIM(SUBSTITUTE(UPPER([1]RawShipmentData!I587),"KG",""))),"")</f>
        <v>5.4</v>
      </c>
      <c r="K587" s="2">
        <f>VALUE(SUBSTITUTE(SUBSTITUTE(SUBSTITUTE(TRIM([1]RawShipmentData!J590),"₹",""),"Rs",""),",",""))</f>
        <v>3540</v>
      </c>
      <c r="L587" s="2">
        <f>[1]RawShipmentData!K590</f>
        <v>4</v>
      </c>
      <c r="M587" s="3">
        <f>IF(TRIM([1]RawShipmentData!L590)="","",IF(ISNUMBER(SEARCH("/",TRIM([1]RawShipmentData!L590))),DATE(VALUE(RIGHT(TRIM([1]RawShipmentData!L590),4)),VALUE(MID(TRIM([1]RawShipmentData!L590),FIND("/",TRIM([1]RawShipmentData!L590))+1,2)),VALUE(LEFT(TRIM([1]RawShipmentData!L590),FIND("/",TRIM([1]RawShipmentData!L590))-1))),DATEVALUE(TRIM([1]RawShipmentData!L590))))</f>
        <v>45300</v>
      </c>
      <c r="N587" s="2">
        <f t="shared" si="46"/>
        <v>5</v>
      </c>
      <c r="O587" s="2">
        <f t="shared" si="47"/>
        <v>1</v>
      </c>
      <c r="P587" s="2" t="str">
        <f t="shared" si="48"/>
        <v>Late</v>
      </c>
      <c r="Q587" s="2" t="str">
        <f>PROPER(SUBSTITUTE(TRIM([1]RawShipmentData!M590)," ","-"))</f>
        <v>Delayed</v>
      </c>
      <c r="R587" s="4">
        <f t="shared" si="49"/>
        <v>655.55555555555554</v>
      </c>
      <c r="S587" s="2">
        <f>[1]RawShipmentData!N590</f>
        <v>4</v>
      </c>
      <c r="T587" s="2" t="str">
        <f>IF(OR(UPPER(TRIM([1]RawShipmentData!O590))="YES",UPPER(TRIM([1]RawShipmentData!O590))="Y"),"Yes","No")</f>
        <v>No</v>
      </c>
    </row>
    <row r="588" spans="1:20" x14ac:dyDescent="0.25">
      <c r="A588" s="2" t="str">
        <f>[1]RawShipmentData!A591</f>
        <v>SHP-101441</v>
      </c>
      <c r="B588" s="3">
        <f>IF(ISNUMBER(SEARCH("/",TRIM([1]RawShipmentData!B591))),DATE(VALUE(RIGHT(TRIM([1]RawShipmentData!B591),4)),VALUE(MID(TRIM([1]RawShipmentData!B591),FIND("/",TRIM([1]RawShipmentData!B591))+1,2)),VALUE(LEFT(TRIM([1]RawShipmentData!B591),FIND("/",TRIM([1]RawShipmentData!B591))-1))),DATEVALUE(TRIM([1]RawShipmentData!B591)))</f>
        <v>45391</v>
      </c>
      <c r="C588" s="2" t="str">
        <f>PROPER(TRIM([1]RawShipmentData!C591))</f>
        <v>Kolkata</v>
      </c>
      <c r="D588" s="2" t="str">
        <f>IFERROR(INDEX([1]HubMaster!$B$2:$B$7,MATCH(C588,[1]HubMaster!$A$2:$A$7,0)),"Unknown")</f>
        <v>East</v>
      </c>
      <c r="E588" s="2" t="str">
        <f>PROPER(TRIM(SUBSTITUTE([1]RawShipmentData!D591,"  "," ")))</f>
        <v>Dtdc</v>
      </c>
      <c r="F588" s="2" t="str">
        <f>PROPER(TRIM([1]RawShipmentData!E591))</f>
        <v>Surface</v>
      </c>
      <c r="G588" s="2" t="str">
        <f>PROPER(TRIM(SUBSTITUTE([1]RawShipmentData!F591,"  "," ")))</f>
        <v>Pharma</v>
      </c>
      <c r="H588" s="2" t="str">
        <f>PROPER(TRIM([1]RawShipmentData!G591))</f>
        <v>East</v>
      </c>
      <c r="I588" s="2" t="str">
        <f t="shared" si="45"/>
        <v>No</v>
      </c>
      <c r="J588" s="2">
        <f>IFERROR(VALUE(TRIM(SUBSTITUTE(UPPER([1]RawShipmentData!I588),"KG",""))),"")</f>
        <v>7.6</v>
      </c>
      <c r="K588" s="2">
        <f>VALUE(SUBSTITUTE(SUBSTITUTE(SUBSTITUTE(TRIM([1]RawShipmentData!J591),"₹",""),"Rs",""),",",""))</f>
        <v>142</v>
      </c>
      <c r="L588" s="2">
        <f>[1]RawShipmentData!K591</f>
        <v>4</v>
      </c>
      <c r="M588" s="3">
        <f>IF(TRIM([1]RawShipmentData!L591)="","",IF(ISNUMBER(SEARCH("/",TRIM([1]RawShipmentData!L591))),DATE(VALUE(RIGHT(TRIM([1]RawShipmentData!L591),4)),VALUE(MID(TRIM([1]RawShipmentData!L591),FIND("/",TRIM([1]RawShipmentData!L591))+1,2)),VALUE(LEFT(TRIM([1]RawShipmentData!L591),FIND("/",TRIM([1]RawShipmentData!L591))-1))),DATEVALUE(TRIM([1]RawShipmentData!L591))))</f>
        <v>45394</v>
      </c>
      <c r="N588" s="2">
        <f t="shared" si="46"/>
        <v>3</v>
      </c>
      <c r="O588" s="2">
        <f t="shared" si="47"/>
        <v>-1</v>
      </c>
      <c r="P588" s="2" t="str">
        <f t="shared" si="48"/>
        <v>On Time</v>
      </c>
      <c r="Q588" s="2" t="str">
        <f>PROPER(SUBSTITUTE(TRIM([1]RawShipmentData!M591)," ","-"))</f>
        <v>Delivered</v>
      </c>
      <c r="R588" s="4">
        <f t="shared" si="49"/>
        <v>18.684210526315791</v>
      </c>
      <c r="S588" s="2">
        <f>[1]RawShipmentData!N591</f>
        <v>3</v>
      </c>
      <c r="T588" s="2" t="str">
        <f>IF(OR(UPPER(TRIM([1]RawShipmentData!O591))="YES",UPPER(TRIM([1]RawShipmentData!O591))="Y"),"Yes","No")</f>
        <v>No</v>
      </c>
    </row>
    <row r="589" spans="1:20" x14ac:dyDescent="0.25">
      <c r="A589" s="2" t="str">
        <f>[1]RawShipmentData!A592</f>
        <v>SHP-101486</v>
      </c>
      <c r="B589" s="3">
        <f>IF(ISNUMBER(SEARCH("/",TRIM([1]RawShipmentData!B592))),DATE(VALUE(RIGHT(TRIM([1]RawShipmentData!B592),4)),VALUE(MID(TRIM([1]RawShipmentData!B592),FIND("/",TRIM([1]RawShipmentData!B592))+1,2)),VALUE(LEFT(TRIM([1]RawShipmentData!B592),FIND("/",TRIM([1]RawShipmentData!B592))-1))),DATEVALUE(TRIM([1]RawShipmentData!B592)))</f>
        <v>45298</v>
      </c>
      <c r="C589" s="2" t="str">
        <f>PROPER(TRIM([1]RawShipmentData!C592))</f>
        <v>Delhi</v>
      </c>
      <c r="D589" s="2" t="str">
        <f>IFERROR(INDEX([1]HubMaster!$B$2:$B$7,MATCH(C589,[1]HubMaster!$A$2:$A$7,0)),"Unknown")</f>
        <v>North</v>
      </c>
      <c r="E589" s="2" t="str">
        <f>PROPER(TRIM(SUBSTITUTE([1]RawShipmentData!D592,"  "," ")))</f>
        <v>Delhivery</v>
      </c>
      <c r="F589" s="2" t="str">
        <f>PROPER(TRIM([1]RawShipmentData!E592))</f>
        <v>Air</v>
      </c>
      <c r="G589" s="2" t="str">
        <f>PROPER(TRIM(SUBSTITUTE([1]RawShipmentData!F592,"  "," ")))</f>
        <v>Furniture</v>
      </c>
      <c r="H589" s="2" t="str">
        <f>PROPER(TRIM([1]RawShipmentData!G592))</f>
        <v>South</v>
      </c>
      <c r="I589" s="2" t="str">
        <f t="shared" si="45"/>
        <v>Yes</v>
      </c>
      <c r="J589" s="2">
        <f>IFERROR(VALUE(TRIM(SUBSTITUTE(UPPER([1]RawShipmentData!I589),"KG",""))),"")</f>
        <v>18.7</v>
      </c>
      <c r="K589" s="2">
        <f>VALUE(SUBSTITUTE(SUBSTITUTE(SUBSTITUTE(TRIM([1]RawShipmentData!J592),"₹",""),"Rs",""),",",""))</f>
        <v>2792</v>
      </c>
      <c r="L589" s="2">
        <f>[1]RawShipmentData!K592</f>
        <v>4</v>
      </c>
      <c r="M589" s="3">
        <f>IF(TRIM([1]RawShipmentData!L592)="","",IF(ISNUMBER(SEARCH("/",TRIM([1]RawShipmentData!L592))),DATE(VALUE(RIGHT(TRIM([1]RawShipmentData!L592),4)),VALUE(MID(TRIM([1]RawShipmentData!L592),FIND("/",TRIM([1]RawShipmentData!L592))+1,2)),VALUE(LEFT(TRIM([1]RawShipmentData!L592),FIND("/",TRIM([1]RawShipmentData!L592))-1))),DATEVALUE(TRIM([1]RawShipmentData!L592))))</f>
        <v>45304</v>
      </c>
      <c r="N589" s="2">
        <f t="shared" si="46"/>
        <v>6</v>
      </c>
      <c r="O589" s="2">
        <f t="shared" si="47"/>
        <v>2</v>
      </c>
      <c r="P589" s="2" t="str">
        <f t="shared" si="48"/>
        <v>Late</v>
      </c>
      <c r="Q589" s="2" t="str">
        <f>PROPER(SUBSTITUTE(TRIM([1]RawShipmentData!M592)," ","-"))</f>
        <v>Delayed</v>
      </c>
      <c r="R589" s="4">
        <f t="shared" si="49"/>
        <v>149.30481283422461</v>
      </c>
      <c r="S589" s="2">
        <f>[1]RawShipmentData!N592</f>
        <v>4</v>
      </c>
      <c r="T589" s="2" t="str">
        <f>IF(OR(UPPER(TRIM([1]RawShipmentData!O592))="YES",UPPER(TRIM([1]RawShipmentData!O592))="Y"),"Yes","No")</f>
        <v>No</v>
      </c>
    </row>
    <row r="590" spans="1:20" x14ac:dyDescent="0.25">
      <c r="A590" s="2" t="str">
        <f>[1]RawShipmentData!A593</f>
        <v>SHP-100744</v>
      </c>
      <c r="B590" s="3">
        <f>IF(ISNUMBER(SEARCH("/",TRIM([1]RawShipmentData!B593))),DATE(VALUE(RIGHT(TRIM([1]RawShipmentData!B593),4)),VALUE(MID(TRIM([1]RawShipmentData!B593),FIND("/",TRIM([1]RawShipmentData!B593))+1,2)),VALUE(LEFT(TRIM([1]RawShipmentData!B593),FIND("/",TRIM([1]RawShipmentData!B593))-1))),DATEVALUE(TRIM([1]RawShipmentData!B593)))</f>
        <v>45308</v>
      </c>
      <c r="C590" s="2" t="str">
        <f>PROPER(TRIM([1]RawShipmentData!C593))</f>
        <v>Kolkata</v>
      </c>
      <c r="D590" s="2" t="str">
        <f>IFERROR(INDEX([1]HubMaster!$B$2:$B$7,MATCH(C590,[1]HubMaster!$A$2:$A$7,0)),"Unknown")</f>
        <v>East</v>
      </c>
      <c r="E590" s="2" t="str">
        <f>PROPER(TRIM(SUBSTITUTE([1]RawShipmentData!D593,"  "," ")))</f>
        <v>Xpressbees</v>
      </c>
      <c r="F590" s="2" t="str">
        <f>PROPER(TRIM([1]RawShipmentData!E593))</f>
        <v>Air</v>
      </c>
      <c r="G590" s="2" t="str">
        <f>PROPER(TRIM(SUBSTITUTE([1]RawShipmentData!F593,"  "," ")))</f>
        <v>Grocery &amp; Fmcg</v>
      </c>
      <c r="H590" s="2" t="str">
        <f>PROPER(TRIM([1]RawShipmentData!G593))</f>
        <v>East</v>
      </c>
      <c r="I590" s="2" t="str">
        <f t="shared" si="45"/>
        <v>No</v>
      </c>
      <c r="J590" s="2">
        <f>IFERROR(VALUE(TRIM(SUBSTITUTE(UPPER([1]RawShipmentData!I590),"KG",""))),"")</f>
        <v>74.599999999999994</v>
      </c>
      <c r="K590" s="2">
        <f>VALUE(SUBSTITUTE(SUBSTITUTE(SUBSTITUTE(TRIM([1]RawShipmentData!J593),"₹",""),"Rs",""),",",""))</f>
        <v>510</v>
      </c>
      <c r="L590" s="2">
        <f>[1]RawShipmentData!K593</f>
        <v>2</v>
      </c>
      <c r="M590" s="3">
        <f>IF(TRIM([1]RawShipmentData!L593)="","",IF(ISNUMBER(SEARCH("/",TRIM([1]RawShipmentData!L593))),DATE(VALUE(RIGHT(TRIM([1]RawShipmentData!L593),4)),VALUE(MID(TRIM([1]RawShipmentData!L593),FIND("/",TRIM([1]RawShipmentData!L593))+1,2)),VALUE(LEFT(TRIM([1]RawShipmentData!L593),FIND("/",TRIM([1]RawShipmentData!L593))-1))),DATEVALUE(TRIM([1]RawShipmentData!L593))))</f>
        <v>45318</v>
      </c>
      <c r="N590" s="2">
        <f t="shared" si="46"/>
        <v>10</v>
      </c>
      <c r="O590" s="2">
        <f t="shared" si="47"/>
        <v>8</v>
      </c>
      <c r="P590" s="2" t="str">
        <f t="shared" si="48"/>
        <v>Late</v>
      </c>
      <c r="Q590" s="2" t="str">
        <f>PROPER(SUBSTITUTE(TRIM([1]RawShipmentData!M593)," ","-"))</f>
        <v>Delayed</v>
      </c>
      <c r="R590" s="4">
        <f t="shared" si="49"/>
        <v>6.8364611260053625</v>
      </c>
      <c r="S590" s="2">
        <f>[1]RawShipmentData!N593</f>
        <v>2</v>
      </c>
      <c r="T590" s="2" t="str">
        <f>IF(OR(UPPER(TRIM([1]RawShipmentData!O593))="YES",UPPER(TRIM([1]RawShipmentData!O593))="Y"),"Yes","No")</f>
        <v>No</v>
      </c>
    </row>
    <row r="591" spans="1:20" x14ac:dyDescent="0.25">
      <c r="A591" s="2" t="str">
        <f>[1]RawShipmentData!A594</f>
        <v>SHP-100827</v>
      </c>
      <c r="B591" s="3">
        <f>IF(ISNUMBER(SEARCH("/",TRIM([1]RawShipmentData!B594))),DATE(VALUE(RIGHT(TRIM([1]RawShipmentData!B594),4)),VALUE(MID(TRIM([1]RawShipmentData!B594),FIND("/",TRIM([1]RawShipmentData!B594))+1,2)),VALUE(LEFT(TRIM([1]RawShipmentData!B594),FIND("/",TRIM([1]RawShipmentData!B594))-1))),DATEVALUE(TRIM([1]RawShipmentData!B594)))</f>
        <v>45332</v>
      </c>
      <c r="C591" s="2" t="str">
        <f>PROPER(TRIM([1]RawShipmentData!C594))</f>
        <v>Chennai</v>
      </c>
      <c r="D591" s="2" t="str">
        <f>IFERROR(INDEX([1]HubMaster!$B$2:$B$7,MATCH(C591,[1]HubMaster!$A$2:$A$7,0)),"Unknown")</f>
        <v>South</v>
      </c>
      <c r="E591" s="2" t="str">
        <f>PROPER(TRIM(SUBSTITUTE([1]RawShipmentData!D594,"  "," ")))</f>
        <v>Ecom Express</v>
      </c>
      <c r="F591" s="2" t="str">
        <f>PROPER(TRIM([1]RawShipmentData!E594))</f>
        <v>Surface</v>
      </c>
      <c r="G591" s="2" t="str">
        <f>PROPER(TRIM(SUBSTITUTE([1]RawShipmentData!F594,"  "," ")))</f>
        <v>Electronics</v>
      </c>
      <c r="H591" s="2" t="str">
        <f>PROPER(TRIM([1]RawShipmentData!G594))</f>
        <v>East</v>
      </c>
      <c r="I591" s="2" t="str">
        <f t="shared" si="45"/>
        <v>Yes</v>
      </c>
      <c r="J591" s="2">
        <f>IFERROR(VALUE(TRIM(SUBSTITUTE(UPPER([1]RawShipmentData!I591),"KG",""))),"")</f>
        <v>4.5</v>
      </c>
      <c r="K591" s="2">
        <f>VALUE(SUBSTITUTE(SUBSTITUTE(SUBSTITUTE(TRIM([1]RawShipmentData!J594),"₹",""),"Rs",""),",",""))</f>
        <v>374</v>
      </c>
      <c r="L591" s="2">
        <f>[1]RawShipmentData!K594</f>
        <v>6</v>
      </c>
      <c r="M591" s="3">
        <f>IF(TRIM([1]RawShipmentData!L594)="","",IF(ISNUMBER(SEARCH("/",TRIM([1]RawShipmentData!L594))),DATE(VALUE(RIGHT(TRIM([1]RawShipmentData!L594),4)),VALUE(MID(TRIM([1]RawShipmentData!L594),FIND("/",TRIM([1]RawShipmentData!L594))+1,2)),VALUE(LEFT(TRIM([1]RawShipmentData!L594),FIND("/",TRIM([1]RawShipmentData!L594))-1))),DATEVALUE(TRIM([1]RawShipmentData!L594))))</f>
        <v>45337</v>
      </c>
      <c r="N591" s="2">
        <f t="shared" si="46"/>
        <v>5</v>
      </c>
      <c r="O591" s="2">
        <f t="shared" si="47"/>
        <v>-1</v>
      </c>
      <c r="P591" s="2" t="str">
        <f t="shared" si="48"/>
        <v>On Time</v>
      </c>
      <c r="Q591" s="2" t="str">
        <f>PROPER(SUBSTITUTE(TRIM([1]RawShipmentData!M594)," ","-"))</f>
        <v>Delivered</v>
      </c>
      <c r="R591" s="4">
        <f t="shared" si="49"/>
        <v>83.111111111111114</v>
      </c>
      <c r="S591" s="2">
        <f>[1]RawShipmentData!N594</f>
        <v>4</v>
      </c>
      <c r="T591" s="2" t="str">
        <f>IF(OR(UPPER(TRIM([1]RawShipmentData!O594))="YES",UPPER(TRIM([1]RawShipmentData!O594))="Y"),"Yes","No")</f>
        <v>Yes</v>
      </c>
    </row>
    <row r="592" spans="1:20" x14ac:dyDescent="0.25">
      <c r="A592" s="2" t="str">
        <f>[1]RawShipmentData!A595</f>
        <v>SHP-100041</v>
      </c>
      <c r="B592" s="3">
        <f>IF(ISNUMBER(SEARCH("/",TRIM([1]RawShipmentData!B595))),DATE(VALUE(RIGHT(TRIM([1]RawShipmentData!B595),4)),VALUE(MID(TRIM([1]RawShipmentData!B595),FIND("/",TRIM([1]RawShipmentData!B595))+1,2)),VALUE(LEFT(TRIM([1]RawShipmentData!B595),FIND("/",TRIM([1]RawShipmentData!B595))-1))),DATEVALUE(TRIM([1]RawShipmentData!B595)))</f>
        <v>45407</v>
      </c>
      <c r="C592" s="2" t="str">
        <f>PROPER(TRIM([1]RawShipmentData!C595))</f>
        <v>Bengaluru</v>
      </c>
      <c r="D592" s="2" t="str">
        <f>IFERROR(INDEX([1]HubMaster!$B$2:$B$7,MATCH(C592,[1]HubMaster!$A$2:$A$7,0)),"Unknown")</f>
        <v>South</v>
      </c>
      <c r="E592" s="2" t="str">
        <f>PROPER(TRIM(SUBSTITUTE([1]RawShipmentData!D595,"  "," ")))</f>
        <v>Dtdc</v>
      </c>
      <c r="F592" s="2" t="str">
        <f>PROPER(TRIM([1]RawShipmentData!E595))</f>
        <v>Road</v>
      </c>
      <c r="G592" s="2" t="str">
        <f>PROPER(TRIM(SUBSTITUTE([1]RawShipmentData!F595,"  "," ")))</f>
        <v>Automotive Parts</v>
      </c>
      <c r="H592" s="2" t="str">
        <f>PROPER(TRIM([1]RawShipmentData!G595))</f>
        <v>West</v>
      </c>
      <c r="I592" s="2" t="str">
        <f t="shared" si="45"/>
        <v>Yes</v>
      </c>
      <c r="J592" s="2">
        <f>IFERROR(VALUE(TRIM(SUBSTITUTE(UPPER([1]RawShipmentData!I592),"KG",""))),"")</f>
        <v>59.1</v>
      </c>
      <c r="K592" s="2">
        <f>VALUE(SUBSTITUTE(SUBSTITUTE(SUBSTITUTE(TRIM([1]RawShipmentData!J595),"₹",""),"Rs",""),",",""))</f>
        <v>729</v>
      </c>
      <c r="L592" s="2">
        <f>[1]RawShipmentData!K595</f>
        <v>8</v>
      </c>
      <c r="M592" s="3">
        <f>IF(TRIM([1]RawShipmentData!L595)="","",IF(ISNUMBER(SEARCH("/",TRIM([1]RawShipmentData!L595))),DATE(VALUE(RIGHT(TRIM([1]RawShipmentData!L595),4)),VALUE(MID(TRIM([1]RawShipmentData!L595),FIND("/",TRIM([1]RawShipmentData!L595))+1,2)),VALUE(LEFT(TRIM([1]RawShipmentData!L595),FIND("/",TRIM([1]RawShipmentData!L595))-1))),DATEVALUE(TRIM([1]RawShipmentData!L595))))</f>
        <v>45422</v>
      </c>
      <c r="N592" s="2">
        <f t="shared" si="46"/>
        <v>15</v>
      </c>
      <c r="O592" s="2">
        <f t="shared" si="47"/>
        <v>7</v>
      </c>
      <c r="P592" s="2" t="str">
        <f t="shared" si="48"/>
        <v>Late</v>
      </c>
      <c r="Q592" s="2" t="str">
        <f>PROPER(SUBSTITUTE(TRIM([1]RawShipmentData!M595)," ","-"))</f>
        <v>Delayed</v>
      </c>
      <c r="R592" s="4">
        <f t="shared" si="49"/>
        <v>12.335025380710659</v>
      </c>
      <c r="S592" s="2">
        <f>[1]RawShipmentData!N595</f>
        <v>5</v>
      </c>
      <c r="T592" s="2" t="str">
        <f>IF(OR(UPPER(TRIM([1]RawShipmentData!O595))="YES",UPPER(TRIM([1]RawShipmentData!O595))="Y"),"Yes","No")</f>
        <v>No</v>
      </c>
    </row>
    <row r="593" spans="1:20" x14ac:dyDescent="0.25">
      <c r="A593" s="2" t="str">
        <f>[1]RawShipmentData!A596</f>
        <v>SHP-101453</v>
      </c>
      <c r="B593" s="3">
        <f>IF(ISNUMBER(SEARCH("/",TRIM([1]RawShipmentData!B596))),DATE(VALUE(RIGHT(TRIM([1]RawShipmentData!B596),4)),VALUE(MID(TRIM([1]RawShipmentData!B596),FIND("/",TRIM([1]RawShipmentData!B596))+1,2)),VALUE(LEFT(TRIM([1]RawShipmentData!B596),FIND("/",TRIM([1]RawShipmentData!B596))-1))),DATEVALUE(TRIM([1]RawShipmentData!B596)))</f>
        <v>45389</v>
      </c>
      <c r="C593" s="2" t="str">
        <f>PROPER(TRIM([1]RawShipmentData!C596))</f>
        <v>Kolkata</v>
      </c>
      <c r="D593" s="2" t="str">
        <f>IFERROR(INDEX([1]HubMaster!$B$2:$B$7,MATCH(C593,[1]HubMaster!$A$2:$A$7,0)),"Unknown")</f>
        <v>East</v>
      </c>
      <c r="E593" s="2" t="str">
        <f>PROPER(TRIM(SUBSTITUTE([1]RawShipmentData!D596,"  "," ")))</f>
        <v>Delhivery</v>
      </c>
      <c r="F593" s="2" t="str">
        <f>PROPER(TRIM([1]RawShipmentData!E596))</f>
        <v>Air</v>
      </c>
      <c r="G593" s="2" t="str">
        <f>PROPER(TRIM(SUBSTITUTE([1]RawShipmentData!F596,"  "," ")))</f>
        <v>Furniture</v>
      </c>
      <c r="H593" s="2" t="str">
        <f>PROPER(TRIM([1]RawShipmentData!G596))</f>
        <v>West</v>
      </c>
      <c r="I593" s="2" t="str">
        <f t="shared" si="45"/>
        <v>Yes</v>
      </c>
      <c r="J593" s="2">
        <f>IFERROR(VALUE(TRIM(SUBSTITUTE(UPPER([1]RawShipmentData!I593),"KG",""))),"")</f>
        <v>11.9</v>
      </c>
      <c r="K593" s="2">
        <f>VALUE(SUBSTITUTE(SUBSTITUTE(SUBSTITUTE(TRIM([1]RawShipmentData!J596),"₹",""),"Rs",""),",",""))</f>
        <v>2546</v>
      </c>
      <c r="L593" s="2">
        <f>[1]RawShipmentData!K596</f>
        <v>4</v>
      </c>
      <c r="M593" s="3">
        <f>IF(TRIM([1]RawShipmentData!L596)="","",IF(ISNUMBER(SEARCH("/",TRIM([1]RawShipmentData!L596))),DATE(VALUE(RIGHT(TRIM([1]RawShipmentData!L596),4)),VALUE(MID(TRIM([1]RawShipmentData!L596),FIND("/",TRIM([1]RawShipmentData!L596))+1,2)),VALUE(LEFT(TRIM([1]RawShipmentData!L596),FIND("/",TRIM([1]RawShipmentData!L596))-1))),DATEVALUE(TRIM([1]RawShipmentData!L596))))</f>
        <v>45393</v>
      </c>
      <c r="N593" s="2">
        <f t="shared" si="46"/>
        <v>4</v>
      </c>
      <c r="O593" s="2">
        <f t="shared" si="47"/>
        <v>0</v>
      </c>
      <c r="P593" s="2" t="str">
        <f t="shared" si="48"/>
        <v>On Time</v>
      </c>
      <c r="Q593" s="2" t="str">
        <f>PROPER(SUBSTITUTE(TRIM([1]RawShipmentData!M596)," ","-"))</f>
        <v>Delivered</v>
      </c>
      <c r="R593" s="4">
        <f t="shared" si="49"/>
        <v>213.94957983193277</v>
      </c>
      <c r="S593" s="2">
        <f>[1]RawShipmentData!N596</f>
        <v>5</v>
      </c>
      <c r="T593" s="2" t="str">
        <f>IF(OR(UPPER(TRIM([1]RawShipmentData!O596))="YES",UPPER(TRIM([1]RawShipmentData!O596))="Y"),"Yes","No")</f>
        <v>Yes</v>
      </c>
    </row>
    <row r="594" spans="1:20" x14ac:dyDescent="0.25">
      <c r="A594" s="2" t="str">
        <f>[1]RawShipmentData!A597</f>
        <v>SHP-100469</v>
      </c>
      <c r="B594" s="3">
        <f>IF(ISNUMBER(SEARCH("/",TRIM([1]RawShipmentData!B597))),DATE(VALUE(RIGHT(TRIM([1]RawShipmentData!B597),4)),VALUE(MID(TRIM([1]RawShipmentData!B597),FIND("/",TRIM([1]RawShipmentData!B597))+1,2)),VALUE(LEFT(TRIM([1]RawShipmentData!B597),FIND("/",TRIM([1]RawShipmentData!B597))-1))),DATEVALUE(TRIM([1]RawShipmentData!B597)))</f>
        <v>45377</v>
      </c>
      <c r="C594" s="2" t="str">
        <f>PROPER(TRIM([1]RawShipmentData!C597))</f>
        <v>Kolkata</v>
      </c>
      <c r="D594" s="2" t="str">
        <f>IFERROR(INDEX([1]HubMaster!$B$2:$B$7,MATCH(C594,[1]HubMaster!$A$2:$A$7,0)),"Unknown")</f>
        <v>East</v>
      </c>
      <c r="E594" s="2" t="str">
        <f>PROPER(TRIM(SUBSTITUTE([1]RawShipmentData!D597,"  "," ")))</f>
        <v>Delhivery</v>
      </c>
      <c r="F594" s="2" t="str">
        <f>PROPER(TRIM([1]RawShipmentData!E597))</f>
        <v>Road</v>
      </c>
      <c r="G594" s="2" t="str">
        <f>PROPER(TRIM(SUBSTITUTE([1]RawShipmentData!F597,"  "," ")))</f>
        <v>Pharma</v>
      </c>
      <c r="H594" s="2" t="str">
        <f>PROPER(TRIM([1]RawShipmentData!G597))</f>
        <v>West</v>
      </c>
      <c r="I594" s="2" t="str">
        <f t="shared" si="45"/>
        <v>Yes</v>
      </c>
      <c r="J594" s="2">
        <f>IFERROR(VALUE(TRIM(SUBSTITUTE(UPPER([1]RawShipmentData!I594),"KG",""))),"")</f>
        <v>10.7</v>
      </c>
      <c r="K594" s="2">
        <f>VALUE(SUBSTITUTE(SUBSTITUTE(SUBSTITUTE(TRIM([1]RawShipmentData!J597),"₹",""),"Rs",""),",",""))</f>
        <v>161</v>
      </c>
      <c r="L594" s="2">
        <f>[1]RawShipmentData!K597</f>
        <v>8</v>
      </c>
      <c r="M594" s="3">
        <f>IF(TRIM([1]RawShipmentData!L597)="","",IF(ISNUMBER(SEARCH("/",TRIM([1]RawShipmentData!L597))),DATE(VALUE(RIGHT(TRIM([1]RawShipmentData!L597),4)),VALUE(MID(TRIM([1]RawShipmentData!L597),FIND("/",TRIM([1]RawShipmentData!L597))+1,2)),VALUE(LEFT(TRIM([1]RawShipmentData!L597),FIND("/",TRIM([1]RawShipmentData!L597))-1))),DATEVALUE(TRIM([1]RawShipmentData!L597))))</f>
        <v>45386</v>
      </c>
      <c r="N594" s="2">
        <f t="shared" si="46"/>
        <v>9</v>
      </c>
      <c r="O594" s="2">
        <f t="shared" si="47"/>
        <v>1</v>
      </c>
      <c r="P594" s="2" t="str">
        <f t="shared" si="48"/>
        <v>Late</v>
      </c>
      <c r="Q594" s="2" t="str">
        <f>PROPER(SUBSTITUTE(TRIM([1]RawShipmentData!M597)," ","-"))</f>
        <v>Delayed</v>
      </c>
      <c r="R594" s="4">
        <f t="shared" si="49"/>
        <v>15.046728971962617</v>
      </c>
      <c r="S594" s="2">
        <f>[1]RawShipmentData!N597</f>
        <v>2</v>
      </c>
      <c r="T594" s="2" t="str">
        <f>IF(OR(UPPER(TRIM([1]RawShipmentData!O597))="YES",UPPER(TRIM([1]RawShipmentData!O597))="Y"),"Yes","No")</f>
        <v>Yes</v>
      </c>
    </row>
    <row r="595" spans="1:20" x14ac:dyDescent="0.25">
      <c r="A595" s="2" t="str">
        <f>[1]RawShipmentData!A598</f>
        <v>SHP-101098</v>
      </c>
      <c r="B595" s="3">
        <f>IF(ISNUMBER(SEARCH("/",TRIM([1]RawShipmentData!B598))),DATE(VALUE(RIGHT(TRIM([1]RawShipmentData!B598),4)),VALUE(MID(TRIM([1]RawShipmentData!B598),FIND("/",TRIM([1]RawShipmentData!B598))+1,2)),VALUE(LEFT(TRIM([1]RawShipmentData!B598),FIND("/",TRIM([1]RawShipmentData!B598))-1))),DATEVALUE(TRIM([1]RawShipmentData!B598)))</f>
        <v>45457</v>
      </c>
      <c r="C595" s="2" t="str">
        <f>PROPER(TRIM([1]RawShipmentData!C598))</f>
        <v>Kolkata</v>
      </c>
      <c r="D595" s="2" t="str">
        <f>IFERROR(INDEX([1]HubMaster!$B$2:$B$7,MATCH(C595,[1]HubMaster!$A$2:$A$7,0)),"Unknown")</f>
        <v>East</v>
      </c>
      <c r="E595" s="2" t="str">
        <f>PROPER(TRIM(SUBSTITUTE([1]RawShipmentData!D598,"  "," ")))</f>
        <v>Xpressbees</v>
      </c>
      <c r="F595" s="2" t="str">
        <f>PROPER(TRIM([1]RawShipmentData!E598))</f>
        <v>Air</v>
      </c>
      <c r="G595" s="2" t="str">
        <f>PROPER(TRIM(SUBSTITUTE([1]RawShipmentData!F598,"  "," ")))</f>
        <v>Electronics</v>
      </c>
      <c r="H595" s="2" t="str">
        <f>PROPER(TRIM([1]RawShipmentData!G598))</f>
        <v>West</v>
      </c>
      <c r="I595" s="2" t="str">
        <f t="shared" si="45"/>
        <v>Yes</v>
      </c>
      <c r="J595" s="2">
        <f>IFERROR(VALUE(TRIM(SUBSTITUTE(UPPER([1]RawShipmentData!I595),"KG",""))),"")</f>
        <v>38.5</v>
      </c>
      <c r="K595" s="2">
        <f>VALUE(SUBSTITUTE(SUBSTITUTE(SUBSTITUTE(TRIM([1]RawShipmentData!J598),"₹",""),"Rs",""),",",""))</f>
        <v>388</v>
      </c>
      <c r="L595" s="2">
        <f>[1]RawShipmentData!K598</f>
        <v>4</v>
      </c>
      <c r="M595" s="3">
        <f>IF(TRIM([1]RawShipmentData!L598)="","",IF(ISNUMBER(SEARCH("/",TRIM([1]RawShipmentData!L598))),DATE(VALUE(RIGHT(TRIM([1]RawShipmentData!L598),4)),VALUE(MID(TRIM([1]RawShipmentData!L598),FIND("/",TRIM([1]RawShipmentData!L598))+1,2)),VALUE(LEFT(TRIM([1]RawShipmentData!L598),FIND("/",TRIM([1]RawShipmentData!L598))-1))),DATEVALUE(TRIM([1]RawShipmentData!L598))))</f>
        <v>45460</v>
      </c>
      <c r="N595" s="2">
        <f t="shared" si="46"/>
        <v>3</v>
      </c>
      <c r="O595" s="2">
        <f t="shared" si="47"/>
        <v>-1</v>
      </c>
      <c r="P595" s="2" t="str">
        <f t="shared" si="48"/>
        <v>On Time</v>
      </c>
      <c r="Q595" s="2" t="str">
        <f>PROPER(SUBSTITUTE(TRIM([1]RawShipmentData!M598)," ","-"))</f>
        <v>Delivered</v>
      </c>
      <c r="R595" s="4">
        <f t="shared" si="49"/>
        <v>10.077922077922079</v>
      </c>
      <c r="S595" s="2">
        <f>[1]RawShipmentData!N598</f>
        <v>4</v>
      </c>
      <c r="T595" s="2" t="str">
        <f>IF(OR(UPPER(TRIM([1]RawShipmentData!O598))="YES",UPPER(TRIM([1]RawShipmentData!O598))="Y"),"Yes","No")</f>
        <v>Yes</v>
      </c>
    </row>
    <row r="596" spans="1:20" x14ac:dyDescent="0.25">
      <c r="A596" s="2" t="str">
        <f>[1]RawShipmentData!A599</f>
        <v>SHP-101392</v>
      </c>
      <c r="B596" s="3">
        <f>IF(ISNUMBER(SEARCH("/",TRIM([1]RawShipmentData!B599))),DATE(VALUE(RIGHT(TRIM([1]RawShipmentData!B599),4)),VALUE(MID(TRIM([1]RawShipmentData!B599),FIND("/",TRIM([1]RawShipmentData!B599))+1,2)),VALUE(LEFT(TRIM([1]RawShipmentData!B599),FIND("/",TRIM([1]RawShipmentData!B599))-1))),DATEVALUE(TRIM([1]RawShipmentData!B599)))</f>
        <v>45333</v>
      </c>
      <c r="C596" s="2" t="str">
        <f>PROPER(TRIM([1]RawShipmentData!C599))</f>
        <v>Mumbai</v>
      </c>
      <c r="D596" s="2" t="str">
        <f>IFERROR(INDEX([1]HubMaster!$B$2:$B$7,MATCH(C596,[1]HubMaster!$A$2:$A$7,0)),"Unknown")</f>
        <v>West</v>
      </c>
      <c r="E596" s="2" t="str">
        <f>PROPER(TRIM(SUBSTITUTE([1]RawShipmentData!D599,"  "," ")))</f>
        <v>Delhivery</v>
      </c>
      <c r="F596" s="2" t="str">
        <f>PROPER(TRIM([1]RawShipmentData!E599))</f>
        <v>Air</v>
      </c>
      <c r="G596" s="2" t="str">
        <f>PROPER(TRIM(SUBSTITUTE([1]RawShipmentData!F599,"  "," ")))</f>
        <v>Grocery &amp; Fmcg</v>
      </c>
      <c r="H596" s="2" t="str">
        <f>PROPER(TRIM([1]RawShipmentData!G599))</f>
        <v>West</v>
      </c>
      <c r="I596" s="2" t="str">
        <f t="shared" si="45"/>
        <v>No</v>
      </c>
      <c r="J596" s="2">
        <f>IFERROR(VALUE(TRIM(SUBSTITUTE(UPPER([1]RawShipmentData!I596),"KG",""))),"")</f>
        <v>53.8</v>
      </c>
      <c r="K596" s="2">
        <f>VALUE(SUBSTITUTE(SUBSTITUTE(SUBSTITUTE(TRIM([1]RawShipmentData!J599),"₹",""),"Rs",""),",",""))</f>
        <v>268</v>
      </c>
      <c r="L596" s="2">
        <f>[1]RawShipmentData!K599</f>
        <v>2</v>
      </c>
      <c r="M596" s="3">
        <f>IF(TRIM([1]RawShipmentData!L599)="","",IF(ISNUMBER(SEARCH("/",TRIM([1]RawShipmentData!L599))),DATE(VALUE(RIGHT(TRIM([1]RawShipmentData!L599),4)),VALUE(MID(TRIM([1]RawShipmentData!L599),FIND("/",TRIM([1]RawShipmentData!L599))+1,2)),VALUE(LEFT(TRIM([1]RawShipmentData!L599),FIND("/",TRIM([1]RawShipmentData!L599))-1))),DATEVALUE(TRIM([1]RawShipmentData!L599))))</f>
        <v>45334</v>
      </c>
      <c r="N596" s="2">
        <f t="shared" si="46"/>
        <v>1</v>
      </c>
      <c r="O596" s="2">
        <f t="shared" si="47"/>
        <v>-1</v>
      </c>
      <c r="P596" s="2" t="str">
        <f t="shared" si="48"/>
        <v>On Time</v>
      </c>
      <c r="Q596" s="2" t="str">
        <f>PROPER(SUBSTITUTE(TRIM([1]RawShipmentData!M599)," ","-"))</f>
        <v>Delivered</v>
      </c>
      <c r="R596" s="4">
        <f t="shared" si="49"/>
        <v>4.981412639405205</v>
      </c>
      <c r="S596" s="2">
        <f>[1]RawShipmentData!N599</f>
        <v>5</v>
      </c>
      <c r="T596" s="2" t="str">
        <f>IF(OR(UPPER(TRIM([1]RawShipmentData!O599))="YES",UPPER(TRIM([1]RawShipmentData!O599))="Y"),"Yes","No")</f>
        <v>No</v>
      </c>
    </row>
    <row r="597" spans="1:20" x14ac:dyDescent="0.25">
      <c r="A597" s="2" t="str">
        <f>[1]RawShipmentData!A600</f>
        <v>SHP-100874</v>
      </c>
      <c r="B597" s="3">
        <f>IF(ISNUMBER(SEARCH("/",TRIM([1]RawShipmentData!B600))),DATE(VALUE(RIGHT(TRIM([1]RawShipmentData!B600),4)),VALUE(MID(TRIM([1]RawShipmentData!B600),FIND("/",TRIM([1]RawShipmentData!B600))+1,2)),VALUE(LEFT(TRIM([1]RawShipmentData!B600),FIND("/",TRIM([1]RawShipmentData!B600))-1))),DATEVALUE(TRIM([1]RawShipmentData!B600)))</f>
        <v>45298</v>
      </c>
      <c r="C597" s="2" t="str">
        <f>PROPER(TRIM([1]RawShipmentData!C600))</f>
        <v>Delhi</v>
      </c>
      <c r="D597" s="2" t="str">
        <f>IFERROR(INDEX([1]HubMaster!$B$2:$B$7,MATCH(C597,[1]HubMaster!$A$2:$A$7,0)),"Unknown")</f>
        <v>North</v>
      </c>
      <c r="E597" s="2" t="str">
        <f>PROPER(TRIM(SUBSTITUTE([1]RawShipmentData!D600,"  "," ")))</f>
        <v>Delhivery</v>
      </c>
      <c r="F597" s="2" t="str">
        <f>PROPER(TRIM([1]RawShipmentData!E600))</f>
        <v>Surface</v>
      </c>
      <c r="G597" s="2" t="str">
        <f>PROPER(TRIM(SUBSTITUTE([1]RawShipmentData!F600,"  "," ")))</f>
        <v>Electronics</v>
      </c>
      <c r="H597" s="2" t="str">
        <f>PROPER(TRIM([1]RawShipmentData!G600))</f>
        <v>East</v>
      </c>
      <c r="I597" s="2" t="str">
        <f t="shared" si="45"/>
        <v>Yes</v>
      </c>
      <c r="J597" s="2">
        <f>IFERROR(VALUE(TRIM(SUBSTITUTE(UPPER([1]RawShipmentData!I597),"KG",""))),"")</f>
        <v>2.7</v>
      </c>
      <c r="K597" s="2">
        <f>VALUE(SUBSTITUTE(SUBSTITUTE(SUBSTITUTE(TRIM([1]RawShipmentData!J600),"₹",""),"Rs",""),",",""))</f>
        <v>513</v>
      </c>
      <c r="L597" s="2">
        <f>[1]RawShipmentData!K600</f>
        <v>6</v>
      </c>
      <c r="M597" s="3">
        <f>IF(TRIM([1]RawShipmentData!L600)="","",IF(ISNUMBER(SEARCH("/",TRIM([1]RawShipmentData!L600))),DATE(VALUE(RIGHT(TRIM([1]RawShipmentData!L600),4)),VALUE(MID(TRIM([1]RawShipmentData!L600),FIND("/",TRIM([1]RawShipmentData!L600))+1,2)),VALUE(LEFT(TRIM([1]RawShipmentData!L600),FIND("/",TRIM([1]RawShipmentData!L600))-1))),DATEVALUE(TRIM([1]RawShipmentData!L600))))</f>
        <v>45304</v>
      </c>
      <c r="N597" s="2">
        <f t="shared" si="46"/>
        <v>6</v>
      </c>
      <c r="O597" s="2">
        <f t="shared" si="47"/>
        <v>0</v>
      </c>
      <c r="P597" s="2" t="str">
        <f t="shared" si="48"/>
        <v>On Time</v>
      </c>
      <c r="Q597" s="2" t="str">
        <f>PROPER(SUBSTITUTE(TRIM([1]RawShipmentData!M600)," ","-"))</f>
        <v>Delivered</v>
      </c>
      <c r="R597" s="4">
        <f t="shared" si="49"/>
        <v>190</v>
      </c>
      <c r="S597" s="2">
        <f>[1]RawShipmentData!N600</f>
        <v>3</v>
      </c>
      <c r="T597" s="2" t="str">
        <f>IF(OR(UPPER(TRIM([1]RawShipmentData!O600))="YES",UPPER(TRIM([1]RawShipmentData!O600))="Y"),"Yes","No")</f>
        <v>No</v>
      </c>
    </row>
    <row r="598" spans="1:20" x14ac:dyDescent="0.25">
      <c r="A598" s="2" t="str">
        <f>[1]RawShipmentData!A602</f>
        <v>SHP-101202</v>
      </c>
      <c r="B598" s="3">
        <f>IF(ISNUMBER(SEARCH("/",TRIM([1]RawShipmentData!B602))),DATE(VALUE(RIGHT(TRIM([1]RawShipmentData!B602),4)),VALUE(MID(TRIM([1]RawShipmentData!B602),FIND("/",TRIM([1]RawShipmentData!B602))+1,2)),VALUE(LEFT(TRIM([1]RawShipmentData!B602),FIND("/",TRIM([1]RawShipmentData!B602))-1))),DATEVALUE(TRIM([1]RawShipmentData!B602)))</f>
        <v>45323</v>
      </c>
      <c r="C598" s="2" t="str">
        <f>PROPER(TRIM([1]RawShipmentData!C602))</f>
        <v>Delhi</v>
      </c>
      <c r="D598" s="2" t="str">
        <f>IFERROR(INDEX([1]HubMaster!$B$2:$B$7,MATCH(C598,[1]HubMaster!$A$2:$A$7,0)),"Unknown")</f>
        <v>North</v>
      </c>
      <c r="E598" s="2" t="str">
        <f>PROPER(TRIM(SUBSTITUTE([1]RawShipmentData!D602,"  "," ")))</f>
        <v>Ecom Express</v>
      </c>
      <c r="F598" s="2" t="str">
        <f>PROPER(TRIM([1]RawShipmentData!E602))</f>
        <v>Road</v>
      </c>
      <c r="G598" s="2" t="str">
        <f>PROPER(TRIM(SUBSTITUTE([1]RawShipmentData!F602,"  "," ")))</f>
        <v>Apparel</v>
      </c>
      <c r="H598" s="2" t="str">
        <f>PROPER(TRIM([1]RawShipmentData!G602))</f>
        <v>East</v>
      </c>
      <c r="I598" s="2" t="str">
        <f t="shared" si="45"/>
        <v>Yes</v>
      </c>
      <c r="J598" s="2">
        <f>IFERROR(VALUE(TRIM(SUBSTITUTE(UPPER([1]RawShipmentData!I598),"KG",""))),"")</f>
        <v>5.6</v>
      </c>
      <c r="K598" s="2">
        <f>VALUE(SUBSTITUTE(SUBSTITUTE(SUBSTITUTE(TRIM([1]RawShipmentData!J602),"₹",""),"Rs",""),",",""))</f>
        <v>212</v>
      </c>
      <c r="L598" s="2">
        <f>[1]RawShipmentData!K602</f>
        <v>8</v>
      </c>
      <c r="M598" s="3">
        <f>IF(TRIM([1]RawShipmentData!L602)="","",IF(ISNUMBER(SEARCH("/",TRIM([1]RawShipmentData!L602))),DATE(VALUE(RIGHT(TRIM([1]RawShipmentData!L602),4)),VALUE(MID(TRIM([1]RawShipmentData!L602),FIND("/",TRIM([1]RawShipmentData!L602))+1,2)),VALUE(LEFT(TRIM([1]RawShipmentData!L602),FIND("/",TRIM([1]RawShipmentData!L602))-1))),DATEVALUE(TRIM([1]RawShipmentData!L602))))</f>
        <v>45332</v>
      </c>
      <c r="N598" s="2">
        <f t="shared" si="46"/>
        <v>9</v>
      </c>
      <c r="O598" s="2">
        <f t="shared" si="47"/>
        <v>1</v>
      </c>
      <c r="P598" s="2" t="str">
        <f t="shared" si="48"/>
        <v>Late</v>
      </c>
      <c r="Q598" s="2" t="str">
        <f>PROPER(SUBSTITUTE(TRIM([1]RawShipmentData!M602)," ","-"))</f>
        <v>Delayed</v>
      </c>
      <c r="R598" s="4">
        <f t="shared" si="49"/>
        <v>37.857142857142861</v>
      </c>
      <c r="S598" s="2">
        <f>[1]RawShipmentData!N602</f>
        <v>2</v>
      </c>
      <c r="T598" s="2" t="str">
        <f>IF(OR(UPPER(TRIM([1]RawShipmentData!O602))="YES",UPPER(TRIM([1]RawShipmentData!O602))="Y"),"Yes","No")</f>
        <v>No</v>
      </c>
    </row>
    <row r="599" spans="1:20" x14ac:dyDescent="0.25">
      <c r="A599" s="2" t="str">
        <f>[1]RawShipmentData!A603</f>
        <v>SHP-100003</v>
      </c>
      <c r="B599" s="3">
        <f>IF(ISNUMBER(SEARCH("/",TRIM([1]RawShipmentData!B603))),DATE(VALUE(RIGHT(TRIM([1]RawShipmentData!B603),4)),VALUE(MID(TRIM([1]RawShipmentData!B603),FIND("/",TRIM([1]RawShipmentData!B603))+1,2)),VALUE(LEFT(TRIM([1]RawShipmentData!B603),FIND("/",TRIM([1]RawShipmentData!B603))-1))),DATEVALUE(TRIM([1]RawShipmentData!B603)))</f>
        <v>45387</v>
      </c>
      <c r="C599" s="2" t="str">
        <f>PROPER(TRIM([1]RawShipmentData!C603))</f>
        <v>Hyderabad</v>
      </c>
      <c r="D599" s="2" t="str">
        <f>IFERROR(INDEX([1]HubMaster!$B$2:$B$7,MATCH(C599,[1]HubMaster!$A$2:$A$7,0)),"Unknown")</f>
        <v>West</v>
      </c>
      <c r="E599" s="2" t="str">
        <f>PROPER(TRIM(SUBSTITUTE([1]RawShipmentData!D603,"  "," ")))</f>
        <v>Xpressbees</v>
      </c>
      <c r="F599" s="2" t="str">
        <f>PROPER(TRIM([1]RawShipmentData!E603))</f>
        <v>Road</v>
      </c>
      <c r="G599" s="2" t="str">
        <f>PROPER(TRIM(SUBSTITUTE([1]RawShipmentData!F603,"  "," ")))</f>
        <v>Furniture</v>
      </c>
      <c r="H599" s="2" t="str">
        <f>PROPER(TRIM([1]RawShipmentData!G603))</f>
        <v>West</v>
      </c>
      <c r="I599" s="2" t="str">
        <f t="shared" si="45"/>
        <v>No</v>
      </c>
      <c r="J599" s="2">
        <f>IFERROR(VALUE(TRIM(SUBSTITUTE(UPPER([1]RawShipmentData!I599),"KG",""))),"")</f>
        <v>4.9000000000000004</v>
      </c>
      <c r="K599" s="2">
        <f>VALUE(SUBSTITUTE(SUBSTITUTE(SUBSTITUTE(TRIM([1]RawShipmentData!J603),"₹",""),"Rs",""),",",""))</f>
        <v>541</v>
      </c>
      <c r="L599" s="2">
        <f>[1]RawShipmentData!K603</f>
        <v>6</v>
      </c>
      <c r="M599" s="3">
        <f>IF(TRIM([1]RawShipmentData!L603)="","",IF(ISNUMBER(SEARCH("/",TRIM([1]RawShipmentData!L603))),DATE(VALUE(RIGHT(TRIM([1]RawShipmentData!L603),4)),VALUE(MID(TRIM([1]RawShipmentData!L603),FIND("/",TRIM([1]RawShipmentData!L603))+1,2)),VALUE(LEFT(TRIM([1]RawShipmentData!L603),FIND("/",TRIM([1]RawShipmentData!L603))-1))),DATEVALUE(TRIM([1]RawShipmentData!L603))))</f>
        <v>45394</v>
      </c>
      <c r="N599" s="2">
        <f t="shared" si="46"/>
        <v>7</v>
      </c>
      <c r="O599" s="2">
        <f t="shared" si="47"/>
        <v>1</v>
      </c>
      <c r="P599" s="2" t="str">
        <f t="shared" si="48"/>
        <v>Late</v>
      </c>
      <c r="Q599" s="2" t="str">
        <f>PROPER(SUBSTITUTE(TRIM([1]RawShipmentData!M603)," ","-"))</f>
        <v>Delayed</v>
      </c>
      <c r="R599" s="4">
        <f t="shared" si="49"/>
        <v>110.40816326530611</v>
      </c>
      <c r="S599" s="2">
        <f>[1]RawShipmentData!N603</f>
        <v>1</v>
      </c>
      <c r="T599" s="2" t="str">
        <f>IF(OR(UPPER(TRIM([1]RawShipmentData!O603))="YES",UPPER(TRIM([1]RawShipmentData!O603))="Y"),"Yes","No")</f>
        <v>No</v>
      </c>
    </row>
    <row r="600" spans="1:20" x14ac:dyDescent="0.25">
      <c r="A600" s="2" t="str">
        <f>[1]RawShipmentData!A604</f>
        <v>SHP-101428</v>
      </c>
      <c r="B600" s="3">
        <f>IF(ISNUMBER(SEARCH("/",TRIM([1]RawShipmentData!B604))),DATE(VALUE(RIGHT(TRIM([1]RawShipmentData!B604),4)),VALUE(MID(TRIM([1]RawShipmentData!B604),FIND("/",TRIM([1]RawShipmentData!B604))+1,2)),VALUE(LEFT(TRIM([1]RawShipmentData!B604),FIND("/",TRIM([1]RawShipmentData!B604))-1))),DATEVALUE(TRIM([1]RawShipmentData!B604)))</f>
        <v>45362</v>
      </c>
      <c r="C600" s="2" t="str">
        <f>PROPER(TRIM([1]RawShipmentData!C604))</f>
        <v>Delhi</v>
      </c>
      <c r="D600" s="2" t="str">
        <f>IFERROR(INDEX([1]HubMaster!$B$2:$B$7,MATCH(C600,[1]HubMaster!$A$2:$A$7,0)),"Unknown")</f>
        <v>North</v>
      </c>
      <c r="E600" s="2" t="str">
        <f>PROPER(TRIM(SUBSTITUTE([1]RawShipmentData!D604,"  "," ")))</f>
        <v>Xpress Bees</v>
      </c>
      <c r="F600" s="2" t="str">
        <f>PROPER(TRIM([1]RawShipmentData!E604))</f>
        <v>Road</v>
      </c>
      <c r="G600" s="2" t="str">
        <f>PROPER(TRIM(SUBSTITUTE([1]RawShipmentData!F604,"  "," ")))</f>
        <v>Furniture</v>
      </c>
      <c r="H600" s="2" t="str">
        <f>PROPER(TRIM([1]RawShipmentData!G604))</f>
        <v>North</v>
      </c>
      <c r="I600" s="2" t="str">
        <f t="shared" si="45"/>
        <v>No</v>
      </c>
      <c r="J600" s="2">
        <f>IFERROR(VALUE(TRIM(SUBSTITUTE(UPPER([1]RawShipmentData!I600),"KG",""))),"")</f>
        <v>13.8</v>
      </c>
      <c r="K600" s="2">
        <f>VALUE(SUBSTITUTE(SUBSTITUTE(SUBSTITUTE(TRIM([1]RawShipmentData!J604),"₹",""),"Rs",""),",",""))</f>
        <v>656</v>
      </c>
      <c r="L600" s="2">
        <f>[1]RawShipmentData!K604</f>
        <v>6</v>
      </c>
      <c r="M600" s="3">
        <f>IF(TRIM([1]RawShipmentData!L604)="","",IF(ISNUMBER(SEARCH("/",TRIM([1]RawShipmentData!L604))),DATE(VALUE(RIGHT(TRIM([1]RawShipmentData!L604),4)),VALUE(MID(TRIM([1]RawShipmentData!L604),FIND("/",TRIM([1]RawShipmentData!L604))+1,2)),VALUE(LEFT(TRIM([1]RawShipmentData!L604),FIND("/",TRIM([1]RawShipmentData!L604))-1))),DATEVALUE(TRIM([1]RawShipmentData!L604))))</f>
        <v>45377</v>
      </c>
      <c r="N600" s="2">
        <f t="shared" si="46"/>
        <v>15</v>
      </c>
      <c r="O600" s="2">
        <f t="shared" si="47"/>
        <v>9</v>
      </c>
      <c r="P600" s="2" t="str">
        <f t="shared" si="48"/>
        <v>Late</v>
      </c>
      <c r="Q600" s="2" t="str">
        <f>PROPER(SUBSTITUTE(TRIM([1]RawShipmentData!M604)," ","-"))</f>
        <v>Delayed</v>
      </c>
      <c r="R600" s="4">
        <f t="shared" si="49"/>
        <v>47.536231884057969</v>
      </c>
      <c r="S600" s="2">
        <f>[1]RawShipmentData!N604</f>
        <v>4</v>
      </c>
      <c r="T600" s="2" t="str">
        <f>IF(OR(UPPER(TRIM([1]RawShipmentData!O604))="YES",UPPER(TRIM([1]RawShipmentData!O604))="Y"),"Yes","No")</f>
        <v>Yes</v>
      </c>
    </row>
    <row r="601" spans="1:20" x14ac:dyDescent="0.25">
      <c r="A601" s="2" t="str">
        <f>[1]RawShipmentData!A605</f>
        <v>SHP-100975</v>
      </c>
      <c r="B601" s="3">
        <f>IF(ISNUMBER(SEARCH("/",TRIM([1]RawShipmentData!B605))),DATE(VALUE(RIGHT(TRIM([1]RawShipmentData!B605),4)),VALUE(MID(TRIM([1]RawShipmentData!B605),FIND("/",TRIM([1]RawShipmentData!B605))+1,2)),VALUE(LEFT(TRIM([1]RawShipmentData!B605),FIND("/",TRIM([1]RawShipmentData!B605))-1))),DATEVALUE(TRIM([1]RawShipmentData!B605)))</f>
        <v>45316</v>
      </c>
      <c r="C601" s="2" t="str">
        <f>PROPER(TRIM([1]RawShipmentData!C605))</f>
        <v>Bengaluru</v>
      </c>
      <c r="D601" s="2" t="str">
        <f>IFERROR(INDEX([1]HubMaster!$B$2:$B$7,MATCH(C601,[1]HubMaster!$A$2:$A$7,0)),"Unknown")</f>
        <v>South</v>
      </c>
      <c r="E601" s="2" t="str">
        <f>PROPER(TRIM(SUBSTITUTE([1]RawShipmentData!D605,"  "," ")))</f>
        <v>Bluedart</v>
      </c>
      <c r="F601" s="2" t="str">
        <f>PROPER(TRIM([1]RawShipmentData!E605))</f>
        <v>Surface</v>
      </c>
      <c r="G601" s="2" t="str">
        <f>PROPER(TRIM(SUBSTITUTE([1]RawShipmentData!F605,"  "," ")))</f>
        <v>Furniture</v>
      </c>
      <c r="H601" s="2" t="str">
        <f>PROPER(TRIM([1]RawShipmentData!G605))</f>
        <v>East</v>
      </c>
      <c r="I601" s="2" t="str">
        <f t="shared" si="45"/>
        <v>Yes</v>
      </c>
      <c r="J601" s="2">
        <f>IFERROR(VALUE(TRIM(SUBSTITUTE(UPPER([1]RawShipmentData!I601),"KG",""))),"")</f>
        <v>16.100000000000001</v>
      </c>
      <c r="K601" s="2">
        <f>VALUE(SUBSTITUTE(SUBSTITUTE(SUBSTITUTE(TRIM([1]RawShipmentData!J605),"₹",""),"Rs",""),",",""))</f>
        <v>584</v>
      </c>
      <c r="L601" s="2">
        <f>[1]RawShipmentData!K605</f>
        <v>6</v>
      </c>
      <c r="M601" s="3">
        <f>IF(TRIM([1]RawShipmentData!L605)="","",IF(ISNUMBER(SEARCH("/",TRIM([1]RawShipmentData!L605))),DATE(VALUE(RIGHT(TRIM([1]RawShipmentData!L605),4)),VALUE(MID(TRIM([1]RawShipmentData!L605),FIND("/",TRIM([1]RawShipmentData!L605))+1,2)),VALUE(LEFT(TRIM([1]RawShipmentData!L605),FIND("/",TRIM([1]RawShipmentData!L605))-1))),DATEVALUE(TRIM([1]RawShipmentData!L605))))</f>
        <v>45322</v>
      </c>
      <c r="N601" s="2">
        <f t="shared" si="46"/>
        <v>6</v>
      </c>
      <c r="O601" s="2">
        <f t="shared" si="47"/>
        <v>0</v>
      </c>
      <c r="P601" s="2" t="str">
        <f t="shared" si="48"/>
        <v>On Time</v>
      </c>
      <c r="Q601" s="2" t="str">
        <f>PROPER(SUBSTITUTE(TRIM([1]RawShipmentData!M605)," ","-"))</f>
        <v>Delivered</v>
      </c>
      <c r="R601" s="4">
        <f t="shared" si="49"/>
        <v>36.273291925465834</v>
      </c>
      <c r="S601" s="2">
        <f>[1]RawShipmentData!N605</f>
        <v>4</v>
      </c>
      <c r="T601" s="2" t="str">
        <f>IF(OR(UPPER(TRIM([1]RawShipmentData!O605))="YES",UPPER(TRIM([1]RawShipmentData!O605))="Y"),"Yes","No")</f>
        <v>Yes</v>
      </c>
    </row>
    <row r="602" spans="1:20" x14ac:dyDescent="0.25">
      <c r="A602" s="2" t="str">
        <f>[1]RawShipmentData!A606</f>
        <v>SHP-100011</v>
      </c>
      <c r="B602" s="3">
        <f>IF(ISNUMBER(SEARCH("/",TRIM([1]RawShipmentData!B606))),DATE(VALUE(RIGHT(TRIM([1]RawShipmentData!B606),4)),VALUE(MID(TRIM([1]RawShipmentData!B606),FIND("/",TRIM([1]RawShipmentData!B606))+1,2)),VALUE(LEFT(TRIM([1]RawShipmentData!B606),FIND("/",TRIM([1]RawShipmentData!B606))-1))),DATEVALUE(TRIM([1]RawShipmentData!B606)))</f>
        <v>45453</v>
      </c>
      <c r="C602" s="2" t="str">
        <f>PROPER(TRIM([1]RawShipmentData!C606))</f>
        <v>Mumbai</v>
      </c>
      <c r="D602" s="2" t="str">
        <f>IFERROR(INDEX([1]HubMaster!$B$2:$B$7,MATCH(C602,[1]HubMaster!$A$2:$A$7,0)),"Unknown")</f>
        <v>West</v>
      </c>
      <c r="E602" s="2" t="str">
        <f>PROPER(TRIM(SUBSTITUTE([1]RawShipmentData!D606,"  "," ")))</f>
        <v>Xpressbees</v>
      </c>
      <c r="F602" s="2" t="str">
        <f>PROPER(TRIM([1]RawShipmentData!E606))</f>
        <v>Road</v>
      </c>
      <c r="G602" s="2" t="str">
        <f>PROPER(TRIM(SUBSTITUTE([1]RawShipmentData!F606,"  "," ")))</f>
        <v>Apparel</v>
      </c>
      <c r="H602" s="2" t="str">
        <f>PROPER(TRIM([1]RawShipmentData!G606))</f>
        <v>South</v>
      </c>
      <c r="I602" s="2" t="str">
        <f t="shared" si="45"/>
        <v>Yes</v>
      </c>
      <c r="J602" s="2">
        <f>IFERROR(VALUE(TRIM(SUBSTITUTE(UPPER([1]RawShipmentData!I602),"KG",""))),"")</f>
        <v>1.4</v>
      </c>
      <c r="K602" s="2">
        <f>VALUE(SUBSTITUTE(SUBSTITUTE(SUBSTITUTE(TRIM([1]RawShipmentData!J606),"₹",""),"Rs",""),",",""))</f>
        <v>174</v>
      </c>
      <c r="L602" s="2">
        <f>[1]RawShipmentData!K606</f>
        <v>8</v>
      </c>
      <c r="M602" s="3">
        <f>IF(TRIM([1]RawShipmentData!L606)="","",IF(ISNUMBER(SEARCH("/",TRIM([1]RawShipmentData!L606))),DATE(VALUE(RIGHT(TRIM([1]RawShipmentData!L606),4)),VALUE(MID(TRIM([1]RawShipmentData!L606),FIND("/",TRIM([1]RawShipmentData!L606))+1,2)),VALUE(LEFT(TRIM([1]RawShipmentData!L606),FIND("/",TRIM([1]RawShipmentData!L606))-1))),DATEVALUE(TRIM([1]RawShipmentData!L606))))</f>
        <v>45460</v>
      </c>
      <c r="N602" s="2">
        <f t="shared" si="46"/>
        <v>7</v>
      </c>
      <c r="O602" s="2">
        <f t="shared" si="47"/>
        <v>-1</v>
      </c>
      <c r="P602" s="2" t="str">
        <f t="shared" si="48"/>
        <v>On Time</v>
      </c>
      <c r="Q602" s="2" t="str">
        <f>PROPER(SUBSTITUTE(TRIM([1]RawShipmentData!M606)," ","-"))</f>
        <v>Delivered</v>
      </c>
      <c r="R602" s="4">
        <f t="shared" si="49"/>
        <v>124.28571428571429</v>
      </c>
      <c r="S602" s="2">
        <f>[1]RawShipmentData!N606</f>
        <v>4</v>
      </c>
      <c r="T602" s="2" t="str">
        <f>IF(OR(UPPER(TRIM([1]RawShipmentData!O606))="YES",UPPER(TRIM([1]RawShipmentData!O606))="Y"),"Yes","No")</f>
        <v>No</v>
      </c>
    </row>
    <row r="603" spans="1:20" x14ac:dyDescent="0.25">
      <c r="A603" s="2" t="str">
        <f>[1]RawShipmentData!A607</f>
        <v>SHP-101328</v>
      </c>
      <c r="B603" s="3">
        <f>IF(ISNUMBER(SEARCH("/",TRIM([1]RawShipmentData!B607))),DATE(VALUE(RIGHT(TRIM([1]RawShipmentData!B607),4)),VALUE(MID(TRIM([1]RawShipmentData!B607),FIND("/",TRIM([1]RawShipmentData!B607))+1,2)),VALUE(LEFT(TRIM([1]RawShipmentData!B607),FIND("/",TRIM([1]RawShipmentData!B607))-1))),DATEVALUE(TRIM([1]RawShipmentData!B607)))</f>
        <v>45399</v>
      </c>
      <c r="C603" s="2" t="str">
        <f>PROPER(TRIM([1]RawShipmentData!C607))</f>
        <v>Delhi</v>
      </c>
      <c r="D603" s="2" t="str">
        <f>IFERROR(INDEX([1]HubMaster!$B$2:$B$7,MATCH(C603,[1]HubMaster!$A$2:$A$7,0)),"Unknown")</f>
        <v>North</v>
      </c>
      <c r="E603" s="2" t="str">
        <f>PROPER(TRIM(SUBSTITUTE([1]RawShipmentData!D607,"  "," ")))</f>
        <v>Delhivery</v>
      </c>
      <c r="F603" s="2" t="str">
        <f>PROPER(TRIM([1]RawShipmentData!E607))</f>
        <v>Road</v>
      </c>
      <c r="G603" s="2" t="str">
        <f>PROPER(TRIM(SUBSTITUTE([1]RawShipmentData!F607,"  "," ")))</f>
        <v>Grocery &amp; Fmcg</v>
      </c>
      <c r="H603" s="2" t="str">
        <f>PROPER(TRIM([1]RawShipmentData!G607))</f>
        <v>West</v>
      </c>
      <c r="I603" s="2" t="str">
        <f t="shared" si="45"/>
        <v>Yes</v>
      </c>
      <c r="J603" s="2">
        <f>IFERROR(VALUE(TRIM(SUBSTITUTE(UPPER([1]RawShipmentData!I603),"KG",""))),"")</f>
        <v>39.9</v>
      </c>
      <c r="K603" s="2">
        <f>VALUE(SUBSTITUTE(SUBSTITUTE(SUBSTITUTE(TRIM([1]RawShipmentData!J607),"₹",""),"Rs",""),",",""))</f>
        <v>315</v>
      </c>
      <c r="L603" s="2">
        <f>[1]RawShipmentData!K607</f>
        <v>8</v>
      </c>
      <c r="M603" s="3">
        <f>IF(TRIM([1]RawShipmentData!L607)="","",IF(ISNUMBER(SEARCH("/",TRIM([1]RawShipmentData!L607))),DATE(VALUE(RIGHT(TRIM([1]RawShipmentData!L607),4)),VALUE(MID(TRIM([1]RawShipmentData!L607),FIND("/",TRIM([1]RawShipmentData!L607))+1,2)),VALUE(LEFT(TRIM([1]RawShipmentData!L607),FIND("/",TRIM([1]RawShipmentData!L607))-1))),DATEVALUE(TRIM([1]RawShipmentData!L607))))</f>
        <v>45407</v>
      </c>
      <c r="N603" s="2">
        <f t="shared" si="46"/>
        <v>8</v>
      </c>
      <c r="O603" s="2">
        <f t="shared" si="47"/>
        <v>0</v>
      </c>
      <c r="P603" s="2" t="str">
        <f t="shared" si="48"/>
        <v>On Time</v>
      </c>
      <c r="Q603" s="2" t="str">
        <f>PROPER(SUBSTITUTE(TRIM([1]RawShipmentData!M607)," ","-"))</f>
        <v>Delivered</v>
      </c>
      <c r="R603" s="4">
        <f t="shared" si="49"/>
        <v>7.8947368421052637</v>
      </c>
      <c r="S603" s="2">
        <f>[1]RawShipmentData!N607</f>
        <v>4</v>
      </c>
      <c r="T603" s="2" t="str">
        <f>IF(OR(UPPER(TRIM([1]RawShipmentData!O607))="YES",UPPER(TRIM([1]RawShipmentData!O607))="Y"),"Yes","No")</f>
        <v>No</v>
      </c>
    </row>
    <row r="604" spans="1:20" x14ac:dyDescent="0.25">
      <c r="A604" s="2" t="str">
        <f>[1]RawShipmentData!A608</f>
        <v>SHP-100968</v>
      </c>
      <c r="B604" s="3">
        <f>IF(ISNUMBER(SEARCH("/",TRIM([1]RawShipmentData!B608))),DATE(VALUE(RIGHT(TRIM([1]RawShipmentData!B608),4)),VALUE(MID(TRIM([1]RawShipmentData!B608),FIND("/",TRIM([1]RawShipmentData!B608))+1,2)),VALUE(LEFT(TRIM([1]RawShipmentData!B608),FIND("/",TRIM([1]RawShipmentData!B608))-1))),DATEVALUE(TRIM([1]RawShipmentData!B608)))</f>
        <v>45395</v>
      </c>
      <c r="C604" s="2" t="str">
        <f>PROPER(TRIM([1]RawShipmentData!C608))</f>
        <v>Delhi</v>
      </c>
      <c r="D604" s="2" t="str">
        <f>IFERROR(INDEX([1]HubMaster!$B$2:$B$7,MATCH(C604,[1]HubMaster!$A$2:$A$7,0)),"Unknown")</f>
        <v>North</v>
      </c>
      <c r="E604" s="2" t="str">
        <f>PROPER(TRIM(SUBSTITUTE([1]RawShipmentData!D608,"  "," ")))</f>
        <v>Blue Dart</v>
      </c>
      <c r="F604" s="2" t="str">
        <f>PROPER(TRIM([1]RawShipmentData!E608))</f>
        <v>Surface</v>
      </c>
      <c r="G604" s="2" t="str">
        <f>PROPER(TRIM(SUBSTITUTE([1]RawShipmentData!F608,"  "," ")))</f>
        <v>Automotive Parts</v>
      </c>
      <c r="H604" s="2" t="str">
        <f>PROPER(TRIM([1]RawShipmentData!G608))</f>
        <v>East</v>
      </c>
      <c r="I604" s="2" t="str">
        <f t="shared" si="45"/>
        <v>Yes</v>
      </c>
      <c r="J604" s="2">
        <f>IFERROR(VALUE(TRIM(SUBSTITUTE(UPPER([1]RawShipmentData!I604),"KG",""))),"")</f>
        <v>45.5</v>
      </c>
      <c r="K604" s="2">
        <f>VALUE(SUBSTITUTE(SUBSTITUTE(SUBSTITUTE(TRIM([1]RawShipmentData!J608),"₹",""),"Rs",""),",",""))</f>
        <v>977</v>
      </c>
      <c r="L604" s="2">
        <f>[1]RawShipmentData!K608</f>
        <v>6</v>
      </c>
      <c r="M604" s="3">
        <f>IF(TRIM([1]RawShipmentData!L608)="","",IF(ISNUMBER(SEARCH("/",TRIM([1]RawShipmentData!L608))),DATE(VALUE(RIGHT(TRIM([1]RawShipmentData!L608),4)),VALUE(MID(TRIM([1]RawShipmentData!L608),FIND("/",TRIM([1]RawShipmentData!L608))+1,2)),VALUE(LEFT(TRIM([1]RawShipmentData!L608),FIND("/",TRIM([1]RawShipmentData!L608))-1))),DATEVALUE(TRIM([1]RawShipmentData!L608))))</f>
        <v>45400</v>
      </c>
      <c r="N604" s="2">
        <f t="shared" si="46"/>
        <v>5</v>
      </c>
      <c r="O604" s="2">
        <f t="shared" si="47"/>
        <v>-1</v>
      </c>
      <c r="P604" s="2" t="str">
        <f t="shared" si="48"/>
        <v>On Time</v>
      </c>
      <c r="Q604" s="2" t="str">
        <f>PROPER(SUBSTITUTE(TRIM([1]RawShipmentData!M608)," ","-"))</f>
        <v>Delivered</v>
      </c>
      <c r="R604" s="4">
        <f t="shared" si="49"/>
        <v>21.472527472527471</v>
      </c>
      <c r="S604" s="2">
        <f>[1]RawShipmentData!N608</f>
        <v>5</v>
      </c>
      <c r="T604" s="2" t="str">
        <f>IF(OR(UPPER(TRIM([1]RawShipmentData!O608))="YES",UPPER(TRIM([1]RawShipmentData!O608))="Y"),"Yes","No")</f>
        <v>Yes</v>
      </c>
    </row>
    <row r="605" spans="1:20" x14ac:dyDescent="0.25">
      <c r="A605" s="2" t="str">
        <f>[1]RawShipmentData!A609</f>
        <v>SHP-100521</v>
      </c>
      <c r="B605" s="3">
        <f>IF(ISNUMBER(SEARCH("/",TRIM([1]RawShipmentData!B609))),DATE(VALUE(RIGHT(TRIM([1]RawShipmentData!B609),4)),VALUE(MID(TRIM([1]RawShipmentData!B609),FIND("/",TRIM([1]RawShipmentData!B609))+1,2)),VALUE(LEFT(TRIM([1]RawShipmentData!B609),FIND("/",TRIM([1]RawShipmentData!B609))-1))),DATEVALUE(TRIM([1]RawShipmentData!B609)))</f>
        <v>45460</v>
      </c>
      <c r="C605" s="2" t="str">
        <f>PROPER(TRIM([1]RawShipmentData!C609))</f>
        <v>Hyderabad</v>
      </c>
      <c r="D605" s="2" t="str">
        <f>IFERROR(INDEX([1]HubMaster!$B$2:$B$7,MATCH(C605,[1]HubMaster!$A$2:$A$7,0)),"Unknown")</f>
        <v>West</v>
      </c>
      <c r="E605" s="2" t="str">
        <f>PROPER(TRIM(SUBSTITUTE([1]RawShipmentData!D609,"  "," ")))</f>
        <v>Ecom Express</v>
      </c>
      <c r="F605" s="2" t="str">
        <f>PROPER(TRIM([1]RawShipmentData!E609))</f>
        <v>Surface</v>
      </c>
      <c r="G605" s="2" t="str">
        <f>PROPER(TRIM(SUBSTITUTE([1]RawShipmentData!F609,"  "," ")))</f>
        <v>Automotive Parts</v>
      </c>
      <c r="H605" s="2" t="str">
        <f>PROPER(TRIM([1]RawShipmentData!G609))</f>
        <v>West</v>
      </c>
      <c r="I605" s="2" t="str">
        <f t="shared" si="45"/>
        <v>No</v>
      </c>
      <c r="J605" s="2">
        <f>IFERROR(VALUE(TRIM(SUBSTITUTE(UPPER([1]RawShipmentData!I605),"KG",""))),"")</f>
        <v>19.600000000000001</v>
      </c>
      <c r="K605" s="2">
        <f>VALUE(SUBSTITUTE(SUBSTITUTE(SUBSTITUTE(TRIM([1]RawShipmentData!J609),"₹",""),"Rs",""),",",""))</f>
        <v>776</v>
      </c>
      <c r="L605" s="2">
        <f>[1]RawShipmentData!K609</f>
        <v>4</v>
      </c>
      <c r="M605" s="3">
        <f>IF(TRIM([1]RawShipmentData!L609)="","",IF(ISNUMBER(SEARCH("/",TRIM([1]RawShipmentData!L609))),DATE(VALUE(RIGHT(TRIM([1]RawShipmentData!L609),4)),VALUE(MID(TRIM([1]RawShipmentData!L609),FIND("/",TRIM([1]RawShipmentData!L609))+1,2)),VALUE(LEFT(TRIM([1]RawShipmentData!L609),FIND("/",TRIM([1]RawShipmentData!L609))-1))),DATEVALUE(TRIM([1]RawShipmentData!L609))))</f>
        <v>45468</v>
      </c>
      <c r="N605" s="2">
        <f t="shared" si="46"/>
        <v>8</v>
      </c>
      <c r="O605" s="2">
        <f t="shared" si="47"/>
        <v>4</v>
      </c>
      <c r="P605" s="2" t="str">
        <f t="shared" si="48"/>
        <v>Late</v>
      </c>
      <c r="Q605" s="2" t="str">
        <f>PROPER(SUBSTITUTE(TRIM([1]RawShipmentData!M609)," ","-"))</f>
        <v>Damaged</v>
      </c>
      <c r="R605" s="4">
        <f t="shared" si="49"/>
        <v>39.591836734693878</v>
      </c>
      <c r="S605" s="2">
        <f>[1]RawShipmentData!N609</f>
        <v>0</v>
      </c>
      <c r="T605" s="2" t="str">
        <f>IF(OR(UPPER(TRIM([1]RawShipmentData!O609))="YES",UPPER(TRIM([1]RawShipmentData!O609))="Y"),"Yes","No")</f>
        <v>Yes</v>
      </c>
    </row>
    <row r="606" spans="1:20" x14ac:dyDescent="0.25">
      <c r="A606" s="2" t="str">
        <f>[1]RawShipmentData!A610</f>
        <v>SHP-101230</v>
      </c>
      <c r="B606" s="3">
        <f>IF(ISNUMBER(SEARCH("/",TRIM([1]RawShipmentData!B610))),DATE(VALUE(RIGHT(TRIM([1]RawShipmentData!B610),4)),VALUE(MID(TRIM([1]RawShipmentData!B610),FIND("/",TRIM([1]RawShipmentData!B610))+1,2)),VALUE(LEFT(TRIM([1]RawShipmentData!B610),FIND("/",TRIM([1]RawShipmentData!B610))-1))),DATEVALUE(TRIM([1]RawShipmentData!B610)))</f>
        <v>45309</v>
      </c>
      <c r="C606" s="2" t="str">
        <f>PROPER(TRIM([1]RawShipmentData!C610))</f>
        <v>Kolkata</v>
      </c>
      <c r="D606" s="2" t="str">
        <f>IFERROR(INDEX([1]HubMaster!$B$2:$B$7,MATCH(C606,[1]HubMaster!$A$2:$A$7,0)),"Unknown")</f>
        <v>East</v>
      </c>
      <c r="E606" s="2" t="str">
        <f>PROPER(TRIM(SUBSTITUTE([1]RawShipmentData!D610,"  "," ")))</f>
        <v>Bluedart</v>
      </c>
      <c r="F606" s="2" t="str">
        <f>PROPER(TRIM([1]RawShipmentData!E610))</f>
        <v>Road</v>
      </c>
      <c r="G606" s="2" t="str">
        <f>PROPER(TRIM(SUBSTITUTE([1]RawShipmentData!F610,"  "," ")))</f>
        <v>Apparel</v>
      </c>
      <c r="H606" s="2" t="str">
        <f>PROPER(TRIM([1]RawShipmentData!G610))</f>
        <v>South</v>
      </c>
      <c r="I606" s="2" t="str">
        <f t="shared" si="45"/>
        <v>Yes</v>
      </c>
      <c r="J606" s="2">
        <f>IFERROR(VALUE(TRIM(SUBSTITUTE(UPPER([1]RawShipmentData!I606),"KG",""))),"")</f>
        <v>1.7</v>
      </c>
      <c r="K606" s="2">
        <f>VALUE(SUBSTITUTE(SUBSTITUTE(SUBSTITUTE(TRIM([1]RawShipmentData!J610),"₹",""),"Rs",""),",",""))</f>
        <v>219</v>
      </c>
      <c r="L606" s="2">
        <f>[1]RawShipmentData!K610</f>
        <v>8</v>
      </c>
      <c r="M606" s="3">
        <f>IF(TRIM([1]RawShipmentData!L610)="","",IF(ISNUMBER(SEARCH("/",TRIM([1]RawShipmentData!L610))),DATE(VALUE(RIGHT(TRIM([1]RawShipmentData!L610),4)),VALUE(MID(TRIM([1]RawShipmentData!L610),FIND("/",TRIM([1]RawShipmentData!L610))+1,2)),VALUE(LEFT(TRIM([1]RawShipmentData!L610),FIND("/",TRIM([1]RawShipmentData!L610))-1))),DATEVALUE(TRIM([1]RawShipmentData!L610))))</f>
        <v>45317</v>
      </c>
      <c r="N606" s="2">
        <f t="shared" si="46"/>
        <v>8</v>
      </c>
      <c r="O606" s="2">
        <f t="shared" si="47"/>
        <v>0</v>
      </c>
      <c r="P606" s="2" t="str">
        <f t="shared" si="48"/>
        <v>On Time</v>
      </c>
      <c r="Q606" s="2" t="str">
        <f>PROPER(SUBSTITUTE(TRIM([1]RawShipmentData!M610)," ","-"))</f>
        <v>Delivered</v>
      </c>
      <c r="R606" s="4">
        <f t="shared" si="49"/>
        <v>128.8235294117647</v>
      </c>
      <c r="S606" s="2">
        <f>[1]RawShipmentData!N610</f>
        <v>5</v>
      </c>
      <c r="T606" s="2" t="str">
        <f>IF(OR(UPPER(TRIM([1]RawShipmentData!O610))="YES",UPPER(TRIM([1]RawShipmentData!O610))="Y"),"Yes","No")</f>
        <v>No</v>
      </c>
    </row>
    <row r="607" spans="1:20" x14ac:dyDescent="0.25">
      <c r="A607" s="2" t="str">
        <f>[1]RawShipmentData!A611</f>
        <v>SHP-100631</v>
      </c>
      <c r="B607" s="3">
        <f>IF(ISNUMBER(SEARCH("/",TRIM([1]RawShipmentData!B611))),DATE(VALUE(RIGHT(TRIM([1]RawShipmentData!B611),4)),VALUE(MID(TRIM([1]RawShipmentData!B611),FIND("/",TRIM([1]RawShipmentData!B611))+1,2)),VALUE(LEFT(TRIM([1]RawShipmentData!B611),FIND("/",TRIM([1]RawShipmentData!B611))-1))),DATEVALUE(TRIM([1]RawShipmentData!B611)))</f>
        <v>45376</v>
      </c>
      <c r="C607" s="2" t="str">
        <f>PROPER(TRIM([1]RawShipmentData!C611))</f>
        <v>Mumbai</v>
      </c>
      <c r="D607" s="2" t="str">
        <f>IFERROR(INDEX([1]HubMaster!$B$2:$B$7,MATCH(C607,[1]HubMaster!$A$2:$A$7,0)),"Unknown")</f>
        <v>West</v>
      </c>
      <c r="E607" s="2" t="str">
        <f>PROPER(TRIM(SUBSTITUTE([1]RawShipmentData!D611,"  "," ")))</f>
        <v>Delhivery</v>
      </c>
      <c r="F607" s="2" t="str">
        <f>PROPER(TRIM([1]RawShipmentData!E611))</f>
        <v>Road</v>
      </c>
      <c r="G607" s="2" t="str">
        <f>PROPER(TRIM(SUBSTITUTE([1]RawShipmentData!F611,"  "," ")))</f>
        <v>Automotive Parts</v>
      </c>
      <c r="H607" s="2" t="str">
        <f>PROPER(TRIM([1]RawShipmentData!G611))</f>
        <v>South</v>
      </c>
      <c r="I607" s="2" t="str">
        <f t="shared" si="45"/>
        <v>Yes</v>
      </c>
      <c r="J607" s="2">
        <f>IFERROR(VALUE(TRIM(SUBSTITUTE(UPPER([1]RawShipmentData!I607),"KG",""))),"")</f>
        <v>10.8</v>
      </c>
      <c r="K607" s="2">
        <f>VALUE(SUBSTITUTE(SUBSTITUTE(SUBSTITUTE(TRIM([1]RawShipmentData!J611),"₹",""),"Rs",""),",",""))</f>
        <v>629</v>
      </c>
      <c r="L607" s="2">
        <f>[1]RawShipmentData!K611</f>
        <v>8</v>
      </c>
      <c r="M607" s="3">
        <f>IF(TRIM([1]RawShipmentData!L611)="","",IF(ISNUMBER(SEARCH("/",TRIM([1]RawShipmentData!L611))),DATE(VALUE(RIGHT(TRIM([1]RawShipmentData!L611),4)),VALUE(MID(TRIM([1]RawShipmentData!L611),FIND("/",TRIM([1]RawShipmentData!L611))+1,2)),VALUE(LEFT(TRIM([1]RawShipmentData!L611),FIND("/",TRIM([1]RawShipmentData!L611))-1))),DATEVALUE(TRIM([1]RawShipmentData!L611))))</f>
        <v>45383</v>
      </c>
      <c r="N607" s="2">
        <f t="shared" si="46"/>
        <v>7</v>
      </c>
      <c r="O607" s="2">
        <f t="shared" si="47"/>
        <v>-1</v>
      </c>
      <c r="P607" s="2" t="str">
        <f t="shared" si="48"/>
        <v>On Time</v>
      </c>
      <c r="Q607" s="2" t="str">
        <f>PROPER(SUBSTITUTE(TRIM([1]RawShipmentData!M611)," ","-"))</f>
        <v>Delivered</v>
      </c>
      <c r="R607" s="4">
        <f t="shared" si="49"/>
        <v>58.240740740740733</v>
      </c>
      <c r="S607" s="2">
        <f>[1]RawShipmentData!N611</f>
        <v>3</v>
      </c>
      <c r="T607" s="2" t="str">
        <f>IF(OR(UPPER(TRIM([1]RawShipmentData!O611))="YES",UPPER(TRIM([1]RawShipmentData!O611))="Y"),"Yes","No")</f>
        <v>No</v>
      </c>
    </row>
    <row r="608" spans="1:20" x14ac:dyDescent="0.25">
      <c r="A608" s="2" t="str">
        <f>[1]RawShipmentData!A612</f>
        <v>SHP-100976</v>
      </c>
      <c r="B608" s="3">
        <f>IF(ISNUMBER(SEARCH("/",TRIM([1]RawShipmentData!B612))),DATE(VALUE(RIGHT(TRIM([1]RawShipmentData!B612),4)),VALUE(MID(TRIM([1]RawShipmentData!B612),FIND("/",TRIM([1]RawShipmentData!B612))+1,2)),VALUE(LEFT(TRIM([1]RawShipmentData!B612),FIND("/",TRIM([1]RawShipmentData!B612))-1))),DATEVALUE(TRIM([1]RawShipmentData!B612)))</f>
        <v>45386</v>
      </c>
      <c r="C608" s="2" t="str">
        <f>PROPER(TRIM([1]RawShipmentData!C612))</f>
        <v>Mumbai</v>
      </c>
      <c r="D608" s="2" t="str">
        <f>IFERROR(INDEX([1]HubMaster!$B$2:$B$7,MATCH(C608,[1]HubMaster!$A$2:$A$7,0)),"Unknown")</f>
        <v>West</v>
      </c>
      <c r="E608" s="2" t="str">
        <f>PROPER(TRIM(SUBSTITUTE([1]RawShipmentData!D612,"  "," ")))</f>
        <v>Delhivery</v>
      </c>
      <c r="F608" s="2" t="str">
        <f>PROPER(TRIM([1]RawShipmentData!E612))</f>
        <v>Surface</v>
      </c>
      <c r="G608" s="2" t="str">
        <f>PROPER(TRIM(SUBSTITUTE([1]RawShipmentData!F612,"  "," ")))</f>
        <v>Pharma</v>
      </c>
      <c r="H608" s="2" t="str">
        <f>PROPER(TRIM([1]RawShipmentData!G612))</f>
        <v>South</v>
      </c>
      <c r="I608" s="2" t="str">
        <f t="shared" si="45"/>
        <v>Yes</v>
      </c>
      <c r="J608" s="2">
        <f>IFERROR(VALUE(TRIM(SUBSTITUTE(UPPER([1]RawShipmentData!I608),"KG",""))),"")</f>
        <v>37.1</v>
      </c>
      <c r="K608" s="2">
        <f>VALUE(SUBSTITUTE(SUBSTITUTE(SUBSTITUTE(TRIM([1]RawShipmentData!J612),"₹",""),"Rs",""),",",""))</f>
        <v>209</v>
      </c>
      <c r="L608" s="2">
        <f>[1]RawShipmentData!K612</f>
        <v>6</v>
      </c>
      <c r="M608" s="3">
        <f>IF(TRIM([1]RawShipmentData!L612)="","",IF(ISNUMBER(SEARCH("/",TRIM([1]RawShipmentData!L612))),DATE(VALUE(RIGHT(TRIM([1]RawShipmentData!L612),4)),VALUE(MID(TRIM([1]RawShipmentData!L612),FIND("/",TRIM([1]RawShipmentData!L612))+1,2)),VALUE(LEFT(TRIM([1]RawShipmentData!L612),FIND("/",TRIM([1]RawShipmentData!L612))-1))),DATEVALUE(TRIM([1]RawShipmentData!L612))))</f>
        <v>45391</v>
      </c>
      <c r="N608" s="2">
        <f t="shared" si="46"/>
        <v>5</v>
      </c>
      <c r="O608" s="2">
        <f t="shared" si="47"/>
        <v>-1</v>
      </c>
      <c r="P608" s="2" t="str">
        <f t="shared" si="48"/>
        <v>On Time</v>
      </c>
      <c r="Q608" s="2" t="str">
        <f>PROPER(SUBSTITUTE(TRIM([1]RawShipmentData!M612)," ","-"))</f>
        <v>Delivered</v>
      </c>
      <c r="R608" s="4">
        <f t="shared" si="49"/>
        <v>5.6334231805929917</v>
      </c>
      <c r="S608" s="2">
        <f>[1]RawShipmentData!N612</f>
        <v>4</v>
      </c>
      <c r="T608" s="2" t="str">
        <f>IF(OR(UPPER(TRIM([1]RawShipmentData!O612))="YES",UPPER(TRIM([1]RawShipmentData!O612))="Y"),"Yes","No")</f>
        <v>No</v>
      </c>
    </row>
    <row r="609" spans="1:20" x14ac:dyDescent="0.25">
      <c r="A609" s="2" t="str">
        <f>[1]RawShipmentData!A613</f>
        <v>SHP-100716</v>
      </c>
      <c r="B609" s="3">
        <f>IF(ISNUMBER(SEARCH("/",TRIM([1]RawShipmentData!B613))),DATE(VALUE(RIGHT(TRIM([1]RawShipmentData!B613),4)),VALUE(MID(TRIM([1]RawShipmentData!B613),FIND("/",TRIM([1]RawShipmentData!B613))+1,2)),VALUE(LEFT(TRIM([1]RawShipmentData!B613),FIND("/",TRIM([1]RawShipmentData!B613))-1))),DATEVALUE(TRIM([1]RawShipmentData!B613)))</f>
        <v>45358</v>
      </c>
      <c r="C609" s="2" t="str">
        <f>PROPER(TRIM([1]RawShipmentData!C613))</f>
        <v>Chennai</v>
      </c>
      <c r="D609" s="2" t="str">
        <f>IFERROR(INDEX([1]HubMaster!$B$2:$B$7,MATCH(C609,[1]HubMaster!$A$2:$A$7,0)),"Unknown")</f>
        <v>South</v>
      </c>
      <c r="E609" s="2" t="str">
        <f>PROPER(TRIM(SUBSTITUTE([1]RawShipmentData!D613,"  "," ")))</f>
        <v>Xpressbees</v>
      </c>
      <c r="F609" s="2" t="str">
        <f>PROPER(TRIM([1]RawShipmentData!E613))</f>
        <v>Air</v>
      </c>
      <c r="G609" s="2" t="str">
        <f>PROPER(TRIM(SUBSTITUTE([1]RawShipmentData!F613,"  "," ")))</f>
        <v>Furniture</v>
      </c>
      <c r="H609" s="2" t="str">
        <f>PROPER(TRIM([1]RawShipmentData!G613))</f>
        <v>North</v>
      </c>
      <c r="I609" s="2" t="str">
        <f t="shared" si="45"/>
        <v>Yes</v>
      </c>
      <c r="J609" s="2">
        <f>IFERROR(VALUE(TRIM(SUBSTITUTE(UPPER([1]RawShipmentData!I609),"KG",""))),"")</f>
        <v>34.5</v>
      </c>
      <c r="K609" s="2">
        <f>VALUE(SUBSTITUTE(SUBSTITUTE(SUBSTITUTE(TRIM([1]RawShipmentData!J613),"₹",""),"Rs",""),",",""))</f>
        <v>2549</v>
      </c>
      <c r="L609" s="2">
        <f>[1]RawShipmentData!K613</f>
        <v>4</v>
      </c>
      <c r="M609" s="3">
        <f>IF(TRIM([1]RawShipmentData!L613)="","",IF(ISNUMBER(SEARCH("/",TRIM([1]RawShipmentData!L613))),DATE(VALUE(RIGHT(TRIM([1]RawShipmentData!L613),4)),VALUE(MID(TRIM([1]RawShipmentData!L613),FIND("/",TRIM([1]RawShipmentData!L613))+1,2)),VALUE(LEFT(TRIM([1]RawShipmentData!L613),FIND("/",TRIM([1]RawShipmentData!L613))-1))),DATEVALUE(TRIM([1]RawShipmentData!L613))))</f>
        <v>45363</v>
      </c>
      <c r="N609" s="2">
        <f t="shared" si="46"/>
        <v>5</v>
      </c>
      <c r="O609" s="2">
        <f t="shared" si="47"/>
        <v>1</v>
      </c>
      <c r="P609" s="2" t="str">
        <f t="shared" si="48"/>
        <v>Late</v>
      </c>
      <c r="Q609" s="2" t="str">
        <f>PROPER(SUBSTITUTE(TRIM([1]RawShipmentData!M613)," ","-"))</f>
        <v>Damaged</v>
      </c>
      <c r="R609" s="4">
        <f t="shared" si="49"/>
        <v>73.884057971014499</v>
      </c>
      <c r="S609" s="2">
        <f>[1]RawShipmentData!N613</f>
        <v>0</v>
      </c>
      <c r="T609" s="2" t="str">
        <f>IF(OR(UPPER(TRIM([1]RawShipmentData!O613))="YES",UPPER(TRIM([1]RawShipmentData!O613))="Y"),"Yes","No")</f>
        <v>No</v>
      </c>
    </row>
    <row r="610" spans="1:20" x14ac:dyDescent="0.25">
      <c r="A610" s="2" t="str">
        <f>[1]RawShipmentData!A614</f>
        <v>SHP-101095</v>
      </c>
      <c r="B610" s="3">
        <f>IF(ISNUMBER(SEARCH("/",TRIM([1]RawShipmentData!B614))),DATE(VALUE(RIGHT(TRIM([1]RawShipmentData!B614),4)),VALUE(MID(TRIM([1]RawShipmentData!B614),FIND("/",TRIM([1]RawShipmentData!B614))+1,2)),VALUE(LEFT(TRIM([1]RawShipmentData!B614),FIND("/",TRIM([1]RawShipmentData!B614))-1))),DATEVALUE(TRIM([1]RawShipmentData!B614)))</f>
        <v>45361</v>
      </c>
      <c r="C610" s="2" t="str">
        <f>PROPER(TRIM([1]RawShipmentData!C614))</f>
        <v>Bengaluru</v>
      </c>
      <c r="D610" s="2" t="str">
        <f>IFERROR(INDEX([1]HubMaster!$B$2:$B$7,MATCH(C610,[1]HubMaster!$A$2:$A$7,0)),"Unknown")</f>
        <v>South</v>
      </c>
      <c r="E610" s="2" t="str">
        <f>PROPER(TRIM(SUBSTITUTE([1]RawShipmentData!D614,"  "," ")))</f>
        <v>Dtdc</v>
      </c>
      <c r="F610" s="2" t="str">
        <f>PROPER(TRIM([1]RawShipmentData!E614))</f>
        <v>Surface</v>
      </c>
      <c r="G610" s="2" t="str">
        <f>PROPER(TRIM(SUBSTITUTE([1]RawShipmentData!F614,"  "," ")))</f>
        <v>Electronics</v>
      </c>
      <c r="H610" s="2" t="str">
        <f>PROPER(TRIM([1]RawShipmentData!G614))</f>
        <v>South</v>
      </c>
      <c r="I610" s="2" t="str">
        <f t="shared" si="45"/>
        <v>No</v>
      </c>
      <c r="J610" s="2">
        <f>IFERROR(VALUE(TRIM(SUBSTITUTE(UPPER([1]RawShipmentData!I610),"KG",""))),"")</f>
        <v>3.9</v>
      </c>
      <c r="K610" s="2">
        <f>VALUE(SUBSTITUTE(SUBSTITUTE(SUBSTITUTE(TRIM([1]RawShipmentData!J614),"₹",""),"Rs",""),",",""))</f>
        <v>177</v>
      </c>
      <c r="L610" s="2">
        <f>[1]RawShipmentData!K614</f>
        <v>4</v>
      </c>
      <c r="M610" s="3">
        <f>IF(TRIM([1]RawShipmentData!L614)="","",IF(ISNUMBER(SEARCH("/",TRIM([1]RawShipmentData!L614))),DATE(VALUE(RIGHT(TRIM([1]RawShipmentData!L614),4)),VALUE(MID(TRIM([1]RawShipmentData!L614),FIND("/",TRIM([1]RawShipmentData!L614))+1,2)),VALUE(LEFT(TRIM([1]RawShipmentData!L614),FIND("/",TRIM([1]RawShipmentData!L614))-1))),DATEVALUE(TRIM([1]RawShipmentData!L614))))</f>
        <v>45366</v>
      </c>
      <c r="N610" s="2">
        <f t="shared" si="46"/>
        <v>5</v>
      </c>
      <c r="O610" s="2">
        <f t="shared" si="47"/>
        <v>1</v>
      </c>
      <c r="P610" s="2" t="str">
        <f t="shared" si="48"/>
        <v>Late</v>
      </c>
      <c r="Q610" s="2" t="str">
        <f>PROPER(SUBSTITUTE(TRIM([1]RawShipmentData!M614)," ","-"))</f>
        <v>Delayed</v>
      </c>
      <c r="R610" s="4">
        <f t="shared" si="49"/>
        <v>45.384615384615387</v>
      </c>
      <c r="S610" s="2">
        <f>[1]RawShipmentData!N614</f>
        <v>4</v>
      </c>
      <c r="T610" s="2" t="str">
        <f>IF(OR(UPPER(TRIM([1]RawShipmentData!O614))="YES",UPPER(TRIM([1]RawShipmentData!O614))="Y"),"Yes","No")</f>
        <v>Yes</v>
      </c>
    </row>
    <row r="611" spans="1:20" x14ac:dyDescent="0.25">
      <c r="A611" s="2" t="str">
        <f>[1]RawShipmentData!A615</f>
        <v>SHP-100097</v>
      </c>
      <c r="B611" s="3">
        <f>IF(ISNUMBER(SEARCH("/",TRIM([1]RawShipmentData!B615))),DATE(VALUE(RIGHT(TRIM([1]RawShipmentData!B615),4)),VALUE(MID(TRIM([1]RawShipmentData!B615),FIND("/",TRIM([1]RawShipmentData!B615))+1,2)),VALUE(LEFT(TRIM([1]RawShipmentData!B615),FIND("/",TRIM([1]RawShipmentData!B615))-1))),DATEVALUE(TRIM([1]RawShipmentData!B615)))</f>
        <v>45394</v>
      </c>
      <c r="C611" s="2" t="str">
        <f>PROPER(TRIM([1]RawShipmentData!C615))</f>
        <v>Delhi</v>
      </c>
      <c r="D611" s="2" t="str">
        <f>IFERROR(INDEX([1]HubMaster!$B$2:$B$7,MATCH(C611,[1]HubMaster!$A$2:$A$7,0)),"Unknown")</f>
        <v>North</v>
      </c>
      <c r="E611" s="2" t="str">
        <f>PROPER(TRIM(SUBSTITUTE([1]RawShipmentData!D615,"  "," ")))</f>
        <v>Delhivery</v>
      </c>
      <c r="F611" s="2" t="str">
        <f>PROPER(TRIM([1]RawShipmentData!E615))</f>
        <v>Road</v>
      </c>
      <c r="G611" s="2" t="str">
        <f>PROPER(TRIM(SUBSTITUTE([1]RawShipmentData!F615,"  "," ")))</f>
        <v>Apparel</v>
      </c>
      <c r="H611" s="2" t="str">
        <f>PROPER(TRIM([1]RawShipmentData!G615))</f>
        <v>East</v>
      </c>
      <c r="I611" s="2" t="str">
        <f t="shared" si="45"/>
        <v>Yes</v>
      </c>
      <c r="J611" s="2">
        <f>IFERROR(VALUE(TRIM(SUBSTITUTE(UPPER([1]RawShipmentData!I611),"KG",""))),"")</f>
        <v>34</v>
      </c>
      <c r="K611" s="2">
        <f>VALUE(SUBSTITUTE(SUBSTITUTE(SUBSTITUTE(TRIM([1]RawShipmentData!J615),"₹",""),"Rs",""),",",""))</f>
        <v>223</v>
      </c>
      <c r="L611" s="2">
        <f>[1]RawShipmentData!K615</f>
        <v>8</v>
      </c>
      <c r="M611" s="3">
        <f>IF(TRIM([1]RawShipmentData!L615)="","",IF(ISNUMBER(SEARCH("/",TRIM([1]RawShipmentData!L615))),DATE(VALUE(RIGHT(TRIM([1]RawShipmentData!L615),4)),VALUE(MID(TRIM([1]RawShipmentData!L615),FIND("/",TRIM([1]RawShipmentData!L615))+1,2)),VALUE(LEFT(TRIM([1]RawShipmentData!L615),FIND("/",TRIM([1]RawShipmentData!L615))-1))),DATEVALUE(TRIM([1]RawShipmentData!L615))))</f>
        <v>45407</v>
      </c>
      <c r="N611" s="2">
        <f t="shared" si="46"/>
        <v>13</v>
      </c>
      <c r="O611" s="2">
        <f t="shared" si="47"/>
        <v>5</v>
      </c>
      <c r="P611" s="2" t="str">
        <f t="shared" si="48"/>
        <v>Late</v>
      </c>
      <c r="Q611" s="2" t="str">
        <f>PROPER(SUBSTITUTE(TRIM([1]RawShipmentData!M615)," ","-"))</f>
        <v>Delayed</v>
      </c>
      <c r="R611" s="4">
        <f t="shared" si="49"/>
        <v>6.5588235294117645</v>
      </c>
      <c r="S611" s="2">
        <f>[1]RawShipmentData!N615</f>
        <v>4</v>
      </c>
      <c r="T611" s="2" t="str">
        <f>IF(OR(UPPER(TRIM([1]RawShipmentData!O615))="YES",UPPER(TRIM([1]RawShipmentData!O615))="Y"),"Yes","No")</f>
        <v>No</v>
      </c>
    </row>
    <row r="612" spans="1:20" x14ac:dyDescent="0.25">
      <c r="A612" s="2" t="str">
        <f>[1]RawShipmentData!A616</f>
        <v>SHP-100678</v>
      </c>
      <c r="B612" s="3">
        <f>IF(ISNUMBER(SEARCH("/",TRIM([1]RawShipmentData!B616))),DATE(VALUE(RIGHT(TRIM([1]RawShipmentData!B616),4)),VALUE(MID(TRIM([1]RawShipmentData!B616),FIND("/",TRIM([1]RawShipmentData!B616))+1,2)),VALUE(LEFT(TRIM([1]RawShipmentData!B616),FIND("/",TRIM([1]RawShipmentData!B616))-1))),DATEVALUE(TRIM([1]RawShipmentData!B616)))</f>
        <v>45436</v>
      </c>
      <c r="C612" s="2" t="str">
        <f>PROPER(TRIM([1]RawShipmentData!C616))</f>
        <v>Mumbai</v>
      </c>
      <c r="D612" s="2" t="str">
        <f>IFERROR(INDEX([1]HubMaster!$B$2:$B$7,MATCH(C612,[1]HubMaster!$A$2:$A$7,0)),"Unknown")</f>
        <v>West</v>
      </c>
      <c r="E612" s="2" t="str">
        <f>PROPER(TRIM(SUBSTITUTE([1]RawShipmentData!D616,"  "," ")))</f>
        <v>Ecom Express</v>
      </c>
      <c r="F612" s="2" t="str">
        <f>PROPER(TRIM([1]RawShipmentData!E616))</f>
        <v>Air</v>
      </c>
      <c r="G612" s="2" t="str">
        <f>PROPER(TRIM(SUBSTITUTE([1]RawShipmentData!F616,"  "," ")))</f>
        <v>Furniture</v>
      </c>
      <c r="H612" s="2" t="str">
        <f>PROPER(TRIM([1]RawShipmentData!G616))</f>
        <v>South</v>
      </c>
      <c r="I612" s="2" t="str">
        <f t="shared" si="45"/>
        <v>Yes</v>
      </c>
      <c r="J612" s="2">
        <f>IFERROR(VALUE(TRIM(SUBSTITUTE(UPPER([1]RawShipmentData!I612),"KG",""))),"")</f>
        <v>3.4</v>
      </c>
      <c r="K612" s="2">
        <f>VALUE(SUBSTITUTE(SUBSTITUTE(SUBSTITUTE(TRIM([1]RawShipmentData!J616),"₹",""),"Rs",""),",",""))</f>
        <v>2906</v>
      </c>
      <c r="L612" s="2">
        <f>[1]RawShipmentData!K616</f>
        <v>4</v>
      </c>
      <c r="M612" s="3">
        <f>IF(TRIM([1]RawShipmentData!L616)="","",IF(ISNUMBER(SEARCH("/",TRIM([1]RawShipmentData!L616))),DATE(VALUE(RIGHT(TRIM([1]RawShipmentData!L616),4)),VALUE(MID(TRIM([1]RawShipmentData!L616),FIND("/",TRIM([1]RawShipmentData!L616))+1,2)),VALUE(LEFT(TRIM([1]RawShipmentData!L616),FIND("/",TRIM([1]RawShipmentData!L616))-1))),DATEVALUE(TRIM([1]RawShipmentData!L616))))</f>
        <v>45440</v>
      </c>
      <c r="N612" s="2">
        <f t="shared" si="46"/>
        <v>4</v>
      </c>
      <c r="O612" s="2">
        <f t="shared" si="47"/>
        <v>0</v>
      </c>
      <c r="P612" s="2" t="str">
        <f t="shared" si="48"/>
        <v>On Time</v>
      </c>
      <c r="Q612" s="2" t="str">
        <f>PROPER(SUBSTITUTE(TRIM([1]RawShipmentData!M616)," ","-"))</f>
        <v>Delivered</v>
      </c>
      <c r="R612" s="4">
        <f t="shared" si="49"/>
        <v>854.70588235294122</v>
      </c>
      <c r="S612" s="2">
        <f>[1]RawShipmentData!N616</f>
        <v>5</v>
      </c>
      <c r="T612" s="2" t="str">
        <f>IF(OR(UPPER(TRIM([1]RawShipmentData!O616))="YES",UPPER(TRIM([1]RawShipmentData!O616))="Y"),"Yes","No")</f>
        <v>Yes</v>
      </c>
    </row>
    <row r="613" spans="1:20" x14ac:dyDescent="0.25">
      <c r="A613" s="2" t="str">
        <f>[1]RawShipmentData!A617</f>
        <v>SHP-100970</v>
      </c>
      <c r="B613" s="3">
        <f>IF(ISNUMBER(SEARCH("/",TRIM([1]RawShipmentData!B617))),DATE(VALUE(RIGHT(TRIM([1]RawShipmentData!B617),4)),VALUE(MID(TRIM([1]RawShipmentData!B617),FIND("/",TRIM([1]RawShipmentData!B617))+1,2)),VALUE(LEFT(TRIM([1]RawShipmentData!B617),FIND("/",TRIM([1]RawShipmentData!B617))-1))),DATEVALUE(TRIM([1]RawShipmentData!B617)))</f>
        <v>45423</v>
      </c>
      <c r="C613" s="2" t="str">
        <f>PROPER(TRIM([1]RawShipmentData!C617))</f>
        <v>Hyderabad</v>
      </c>
      <c r="D613" s="2" t="str">
        <f>IFERROR(INDEX([1]HubMaster!$B$2:$B$7,MATCH(C613,[1]HubMaster!$A$2:$A$7,0)),"Unknown")</f>
        <v>West</v>
      </c>
      <c r="E613" s="2" t="str">
        <f>PROPER(TRIM(SUBSTITUTE([1]RawShipmentData!D617,"  "," ")))</f>
        <v>Bluedart</v>
      </c>
      <c r="F613" s="2" t="str">
        <f>PROPER(TRIM([1]RawShipmentData!E617))</f>
        <v>Surface</v>
      </c>
      <c r="G613" s="2" t="str">
        <f>PROPER(TRIM(SUBSTITUTE([1]RawShipmentData!F617,"  "," ")))</f>
        <v>Pharma</v>
      </c>
      <c r="H613" s="2" t="str">
        <f>PROPER(TRIM([1]RawShipmentData!G617))</f>
        <v>North</v>
      </c>
      <c r="I613" s="2" t="str">
        <f t="shared" si="45"/>
        <v>Yes</v>
      </c>
      <c r="J613" s="2">
        <f>IFERROR(VALUE(TRIM(SUBSTITUTE(UPPER([1]RawShipmentData!I613),"KG",""))),"")</f>
        <v>53.7</v>
      </c>
      <c r="K613" s="2">
        <f>VALUE(SUBSTITUTE(SUBSTITUTE(SUBSTITUTE(TRIM([1]RawShipmentData!J617),"₹",""),"Rs",""),",",""))</f>
        <v>202</v>
      </c>
      <c r="L613" s="2">
        <f>[1]RawShipmentData!K617</f>
        <v>6</v>
      </c>
      <c r="M613" s="3">
        <f>IF(TRIM([1]RawShipmentData!L617)="","",IF(ISNUMBER(SEARCH("/",TRIM([1]RawShipmentData!L617))),DATE(VALUE(RIGHT(TRIM([1]RawShipmentData!L617),4)),VALUE(MID(TRIM([1]RawShipmentData!L617),FIND("/",TRIM([1]RawShipmentData!L617))+1,2)),VALUE(LEFT(TRIM([1]RawShipmentData!L617),FIND("/",TRIM([1]RawShipmentData!L617))-1))),DATEVALUE(TRIM([1]RawShipmentData!L617))))</f>
        <v>45429</v>
      </c>
      <c r="N613" s="2">
        <f t="shared" si="46"/>
        <v>6</v>
      </c>
      <c r="O613" s="2">
        <f t="shared" si="47"/>
        <v>0</v>
      </c>
      <c r="P613" s="2" t="str">
        <f t="shared" si="48"/>
        <v>On Time</v>
      </c>
      <c r="Q613" s="2" t="str">
        <f>PROPER(SUBSTITUTE(TRIM([1]RawShipmentData!M617)," ","-"))</f>
        <v>Delivered</v>
      </c>
      <c r="R613" s="4">
        <f t="shared" si="49"/>
        <v>3.7616387337057726</v>
      </c>
      <c r="S613" s="2">
        <f>[1]RawShipmentData!N617</f>
        <v>4</v>
      </c>
      <c r="T613" s="2" t="str">
        <f>IF(OR(UPPER(TRIM([1]RawShipmentData!O617))="YES",UPPER(TRIM([1]RawShipmentData!O617))="Y"),"Yes","No")</f>
        <v>Yes</v>
      </c>
    </row>
    <row r="614" spans="1:20" x14ac:dyDescent="0.25">
      <c r="A614" s="2" t="str">
        <f>[1]RawShipmentData!A618</f>
        <v>SHP-100700</v>
      </c>
      <c r="B614" s="3">
        <f>IF(ISNUMBER(SEARCH("/",TRIM([1]RawShipmentData!B618))),DATE(VALUE(RIGHT(TRIM([1]RawShipmentData!B618),4)),VALUE(MID(TRIM([1]RawShipmentData!B618),FIND("/",TRIM([1]RawShipmentData!B618))+1,2)),VALUE(LEFT(TRIM([1]RawShipmentData!B618),FIND("/",TRIM([1]RawShipmentData!B618))-1))),DATEVALUE(TRIM([1]RawShipmentData!B618)))</f>
        <v>45372</v>
      </c>
      <c r="C614" s="2" t="str">
        <f>PROPER(TRIM([1]RawShipmentData!C618))</f>
        <v>Bengaluru</v>
      </c>
      <c r="D614" s="2" t="str">
        <f>IFERROR(INDEX([1]HubMaster!$B$2:$B$7,MATCH(C614,[1]HubMaster!$A$2:$A$7,0)),"Unknown")</f>
        <v>South</v>
      </c>
      <c r="E614" s="2" t="str">
        <f>PROPER(TRIM(SUBSTITUTE([1]RawShipmentData!D618,"  "," ")))</f>
        <v>Xpressbees</v>
      </c>
      <c r="F614" s="2" t="str">
        <f>PROPER(TRIM([1]RawShipmentData!E618))</f>
        <v>Road</v>
      </c>
      <c r="G614" s="2" t="str">
        <f>PROPER(TRIM(SUBSTITUTE([1]RawShipmentData!F618,"  "," ")))</f>
        <v>Automotive Parts</v>
      </c>
      <c r="H614" s="2" t="str">
        <f>PROPER(TRIM([1]RawShipmentData!G618))</f>
        <v>North</v>
      </c>
      <c r="I614" s="2" t="str">
        <f t="shared" si="45"/>
        <v>Yes</v>
      </c>
      <c r="J614" s="2">
        <f>IFERROR(VALUE(TRIM(SUBSTITUTE(UPPER([1]RawShipmentData!I614),"KG",""))),"")</f>
        <v>7</v>
      </c>
      <c r="K614" s="2">
        <f>VALUE(SUBSTITUTE(SUBSTITUTE(SUBSTITUTE(TRIM([1]RawShipmentData!J618),"₹",""),"Rs",""),",",""))</f>
        <v>656</v>
      </c>
      <c r="L614" s="2">
        <f>[1]RawShipmentData!K618</f>
        <v>8</v>
      </c>
      <c r="M614" s="3">
        <f>IF(TRIM([1]RawShipmentData!L618)="","",IF(ISNUMBER(SEARCH("/",TRIM([1]RawShipmentData!L618))),DATE(VALUE(RIGHT(TRIM([1]RawShipmentData!L618),4)),VALUE(MID(TRIM([1]RawShipmentData!L618),FIND("/",TRIM([1]RawShipmentData!L618))+1,2)),VALUE(LEFT(TRIM([1]RawShipmentData!L618),FIND("/",TRIM([1]RawShipmentData!L618))-1))),DATEVALUE(TRIM([1]RawShipmentData!L618))))</f>
        <v>45381</v>
      </c>
      <c r="N614" s="2">
        <f t="shared" si="46"/>
        <v>9</v>
      </c>
      <c r="O614" s="2">
        <f t="shared" si="47"/>
        <v>1</v>
      </c>
      <c r="P614" s="2" t="str">
        <f t="shared" si="48"/>
        <v>Late</v>
      </c>
      <c r="Q614" s="2" t="str">
        <f>PROPER(SUBSTITUTE(TRIM([1]RawShipmentData!M618)," ","-"))</f>
        <v>Delayed</v>
      </c>
      <c r="R614" s="4">
        <f t="shared" si="49"/>
        <v>93.714285714285708</v>
      </c>
      <c r="S614" s="2">
        <f>[1]RawShipmentData!N618</f>
        <v>4</v>
      </c>
      <c r="T614" s="2" t="str">
        <f>IF(OR(UPPER(TRIM([1]RawShipmentData!O618))="YES",UPPER(TRIM([1]RawShipmentData!O618))="Y"),"Yes","No")</f>
        <v>Yes</v>
      </c>
    </row>
    <row r="615" spans="1:20" x14ac:dyDescent="0.25">
      <c r="A615" s="2" t="str">
        <f>[1]RawShipmentData!A619</f>
        <v>SHP-101009</v>
      </c>
      <c r="B615" s="3">
        <f>IF(ISNUMBER(SEARCH("/",TRIM([1]RawShipmentData!B619))),DATE(VALUE(RIGHT(TRIM([1]RawShipmentData!B619),4)),VALUE(MID(TRIM([1]RawShipmentData!B619),FIND("/",TRIM([1]RawShipmentData!B619))+1,2)),VALUE(LEFT(TRIM([1]RawShipmentData!B619),FIND("/",TRIM([1]RawShipmentData!B619))-1))),DATEVALUE(TRIM([1]RawShipmentData!B619)))</f>
        <v>45395</v>
      </c>
      <c r="C615" s="2" t="str">
        <f>PROPER(TRIM([1]RawShipmentData!C619))</f>
        <v>Delhi</v>
      </c>
      <c r="D615" s="2" t="str">
        <f>IFERROR(INDEX([1]HubMaster!$B$2:$B$7,MATCH(C615,[1]HubMaster!$A$2:$A$7,0)),"Unknown")</f>
        <v>North</v>
      </c>
      <c r="E615" s="2" t="str">
        <f>PROPER(TRIM(SUBSTITUTE([1]RawShipmentData!D619,"  "," ")))</f>
        <v>Ecom Express</v>
      </c>
      <c r="F615" s="2" t="str">
        <f>PROPER(TRIM([1]RawShipmentData!E619))</f>
        <v>Surface</v>
      </c>
      <c r="G615" s="2" t="str">
        <f>PROPER(TRIM(SUBSTITUTE([1]RawShipmentData!F619,"  "," ")))</f>
        <v>Automotive Parts</v>
      </c>
      <c r="H615" s="2" t="str">
        <f>PROPER(TRIM([1]RawShipmentData!G619))</f>
        <v>West</v>
      </c>
      <c r="I615" s="2" t="str">
        <f t="shared" si="45"/>
        <v>Yes</v>
      </c>
      <c r="J615" s="2">
        <f>IFERROR(VALUE(TRIM(SUBSTITUTE(UPPER([1]RawShipmentData!I615),"KG",""))),"")</f>
        <v>2.7</v>
      </c>
      <c r="K615" s="2">
        <f>VALUE(SUBSTITUTE(SUBSTITUTE(SUBSTITUTE(TRIM([1]RawShipmentData!J619),"₹",""),"Rs",""),",",""))</f>
        <v>608</v>
      </c>
      <c r="L615" s="2">
        <f>[1]RawShipmentData!K619</f>
        <v>6</v>
      </c>
      <c r="M615" s="3">
        <f>IF(TRIM([1]RawShipmentData!L619)="","",IF(ISNUMBER(SEARCH("/",TRIM([1]RawShipmentData!L619))),DATE(VALUE(RIGHT(TRIM([1]RawShipmentData!L619),4)),VALUE(MID(TRIM([1]RawShipmentData!L619),FIND("/",TRIM([1]RawShipmentData!L619))+1,2)),VALUE(LEFT(TRIM([1]RawShipmentData!L619),FIND("/",TRIM([1]RawShipmentData!L619))-1))),DATEVALUE(TRIM([1]RawShipmentData!L619))))</f>
        <v>45400</v>
      </c>
      <c r="N615" s="2">
        <f t="shared" si="46"/>
        <v>5</v>
      </c>
      <c r="O615" s="2">
        <f t="shared" si="47"/>
        <v>-1</v>
      </c>
      <c r="P615" s="2" t="str">
        <f t="shared" si="48"/>
        <v>On Time</v>
      </c>
      <c r="Q615" s="2" t="str">
        <f>PROPER(SUBSTITUTE(TRIM([1]RawShipmentData!M619)," ","-"))</f>
        <v>Delivered</v>
      </c>
      <c r="R615" s="4">
        <f t="shared" si="49"/>
        <v>225.18518518518516</v>
      </c>
      <c r="S615" s="2">
        <f>[1]RawShipmentData!N619</f>
        <v>5</v>
      </c>
      <c r="T615" s="2" t="str">
        <f>IF(OR(UPPER(TRIM([1]RawShipmentData!O619))="YES",UPPER(TRIM([1]RawShipmentData!O619))="Y"),"Yes","No")</f>
        <v>Yes</v>
      </c>
    </row>
    <row r="616" spans="1:20" x14ac:dyDescent="0.25">
      <c r="A616" s="2" t="str">
        <f>[1]RawShipmentData!A620</f>
        <v>SHP-101127</v>
      </c>
      <c r="B616" s="3">
        <f>IF(ISNUMBER(SEARCH("/",TRIM([1]RawShipmentData!B620))),DATE(VALUE(RIGHT(TRIM([1]RawShipmentData!B620),4)),VALUE(MID(TRIM([1]RawShipmentData!B620),FIND("/",TRIM([1]RawShipmentData!B620))+1,2)),VALUE(LEFT(TRIM([1]RawShipmentData!B620),FIND("/",TRIM([1]RawShipmentData!B620))-1))),DATEVALUE(TRIM([1]RawShipmentData!B620)))</f>
        <v>45405</v>
      </c>
      <c r="C616" s="2" t="str">
        <f>PROPER(TRIM([1]RawShipmentData!C620))</f>
        <v>Hyderabad</v>
      </c>
      <c r="D616" s="2" t="str">
        <f>IFERROR(INDEX([1]HubMaster!$B$2:$B$7,MATCH(C616,[1]HubMaster!$A$2:$A$7,0)),"Unknown")</f>
        <v>West</v>
      </c>
      <c r="E616" s="2" t="str">
        <f>PROPER(TRIM(SUBSTITUTE([1]RawShipmentData!D620,"  "," ")))</f>
        <v>Xpress Bees</v>
      </c>
      <c r="F616" s="2" t="str">
        <f>PROPER(TRIM([1]RawShipmentData!E620))</f>
        <v>Surface</v>
      </c>
      <c r="G616" s="2" t="str">
        <f>PROPER(TRIM(SUBSTITUTE([1]RawShipmentData!F620,"  "," ")))</f>
        <v>Automotive Parts</v>
      </c>
      <c r="H616" s="2" t="str">
        <f>PROPER(TRIM([1]RawShipmentData!G620))</f>
        <v>South</v>
      </c>
      <c r="I616" s="2" t="str">
        <f t="shared" si="45"/>
        <v>Yes</v>
      </c>
      <c r="J616" s="2">
        <f>IFERROR(VALUE(TRIM(SUBSTITUTE(UPPER([1]RawShipmentData!I616),"KG",""))),"")</f>
        <v>61.8</v>
      </c>
      <c r="K616" s="2">
        <f>VALUE(SUBSTITUTE(SUBSTITUTE(SUBSTITUTE(TRIM([1]RawShipmentData!J620),"₹",""),"Rs",""),",",""))</f>
        <v>742</v>
      </c>
      <c r="L616" s="2">
        <f>[1]RawShipmentData!K620</f>
        <v>6</v>
      </c>
      <c r="M616" s="3">
        <f>IF(TRIM([1]RawShipmentData!L620)="","",IF(ISNUMBER(SEARCH("/",TRIM([1]RawShipmentData!L620))),DATE(VALUE(RIGHT(TRIM([1]RawShipmentData!L620),4)),VALUE(MID(TRIM([1]RawShipmentData!L620),FIND("/",TRIM([1]RawShipmentData!L620))+1,2)),VALUE(LEFT(TRIM([1]RawShipmentData!L620),FIND("/",TRIM([1]RawShipmentData!L620))-1))),DATEVALUE(TRIM([1]RawShipmentData!L620))))</f>
        <v>45411</v>
      </c>
      <c r="N616" s="2">
        <f t="shared" si="46"/>
        <v>6</v>
      </c>
      <c r="O616" s="2">
        <f t="shared" si="47"/>
        <v>0</v>
      </c>
      <c r="P616" s="2" t="str">
        <f t="shared" si="48"/>
        <v>On Time</v>
      </c>
      <c r="Q616" s="2" t="str">
        <f>PROPER(SUBSTITUTE(TRIM([1]RawShipmentData!M620)," ","-"))</f>
        <v>Delivered</v>
      </c>
      <c r="R616" s="4">
        <f t="shared" si="49"/>
        <v>12.006472491909385</v>
      </c>
      <c r="S616" s="2">
        <f>[1]RawShipmentData!N620</f>
        <v>5</v>
      </c>
      <c r="T616" s="2" t="str">
        <f>IF(OR(UPPER(TRIM([1]RawShipmentData!O620))="YES",UPPER(TRIM([1]RawShipmentData!O620))="Y"),"Yes","No")</f>
        <v>No</v>
      </c>
    </row>
    <row r="617" spans="1:20" x14ac:dyDescent="0.25">
      <c r="A617" s="2" t="str">
        <f>[1]RawShipmentData!A621</f>
        <v>SHP-101519</v>
      </c>
      <c r="B617" s="3">
        <f>IF(ISNUMBER(SEARCH("/",TRIM([1]RawShipmentData!B621))),DATE(VALUE(RIGHT(TRIM([1]RawShipmentData!B621),4)),VALUE(MID(TRIM([1]RawShipmentData!B621),FIND("/",TRIM([1]RawShipmentData!B621))+1,2)),VALUE(LEFT(TRIM([1]RawShipmentData!B621),FIND("/",TRIM([1]RawShipmentData!B621))-1))),DATEVALUE(TRIM([1]RawShipmentData!B621)))</f>
        <v>45456</v>
      </c>
      <c r="C617" s="2" t="str">
        <f>PROPER(TRIM([1]RawShipmentData!C621))</f>
        <v>Kolkata</v>
      </c>
      <c r="D617" s="2" t="str">
        <f>IFERROR(INDEX([1]HubMaster!$B$2:$B$7,MATCH(C617,[1]HubMaster!$A$2:$A$7,0)),"Unknown")</f>
        <v>East</v>
      </c>
      <c r="E617" s="2" t="str">
        <f>PROPER(TRIM(SUBSTITUTE([1]RawShipmentData!D621,"  "," ")))</f>
        <v>Dtdc</v>
      </c>
      <c r="F617" s="2" t="str">
        <f>PROPER(TRIM([1]RawShipmentData!E621))</f>
        <v>Road</v>
      </c>
      <c r="G617" s="2" t="str">
        <f>PROPER(TRIM(SUBSTITUTE([1]RawShipmentData!F621,"  "," ")))</f>
        <v>Grocery &amp; Fmcg</v>
      </c>
      <c r="H617" s="2" t="str">
        <f>PROPER(TRIM([1]RawShipmentData!G621))</f>
        <v>North</v>
      </c>
      <c r="I617" s="2" t="str">
        <f t="shared" si="45"/>
        <v>Yes</v>
      </c>
      <c r="J617" s="2">
        <f>IFERROR(VALUE(TRIM(SUBSTITUTE(UPPER([1]RawShipmentData!I617),"KG",""))),"")</f>
        <v>1.5</v>
      </c>
      <c r="K617" s="2">
        <f>VALUE(SUBSTITUTE(SUBSTITUTE(SUBSTITUTE(TRIM([1]RawShipmentData!J621),"₹",""),"Rs",""),",",""))</f>
        <v>372</v>
      </c>
      <c r="L617" s="2">
        <f>[1]RawShipmentData!K621</f>
        <v>8</v>
      </c>
      <c r="M617" s="3">
        <f>IF(TRIM([1]RawShipmentData!L621)="","",IF(ISNUMBER(SEARCH("/",TRIM([1]RawShipmentData!L621))),DATE(VALUE(RIGHT(TRIM([1]RawShipmentData!L621),4)),VALUE(MID(TRIM([1]RawShipmentData!L621),FIND("/",TRIM([1]RawShipmentData!L621))+1,2)),VALUE(LEFT(TRIM([1]RawShipmentData!L621),FIND("/",TRIM([1]RawShipmentData!L621))-1))),DATEVALUE(TRIM([1]RawShipmentData!L621))))</f>
        <v>45464</v>
      </c>
      <c r="N617" s="2">
        <f t="shared" si="46"/>
        <v>8</v>
      </c>
      <c r="O617" s="2">
        <f t="shared" si="47"/>
        <v>0</v>
      </c>
      <c r="P617" s="2" t="str">
        <f t="shared" si="48"/>
        <v>On Time</v>
      </c>
      <c r="Q617" s="2" t="str">
        <f>PROPER(SUBSTITUTE(TRIM([1]RawShipmentData!M621)," ","-"))</f>
        <v>Delivered</v>
      </c>
      <c r="R617" s="4">
        <f t="shared" si="49"/>
        <v>248</v>
      </c>
      <c r="S617" s="2">
        <f>[1]RawShipmentData!N621</f>
        <v>5</v>
      </c>
      <c r="T617" s="2" t="str">
        <f>IF(OR(UPPER(TRIM([1]RawShipmentData!O621))="YES",UPPER(TRIM([1]RawShipmentData!O621))="Y"),"Yes","No")</f>
        <v>No</v>
      </c>
    </row>
    <row r="618" spans="1:20" x14ac:dyDescent="0.25">
      <c r="A618" s="2" t="str">
        <f>[1]RawShipmentData!A622</f>
        <v>SHP-101145</v>
      </c>
      <c r="B618" s="3">
        <f>IF(ISNUMBER(SEARCH("/",TRIM([1]RawShipmentData!B622))),DATE(VALUE(RIGHT(TRIM([1]RawShipmentData!B622),4)),VALUE(MID(TRIM([1]RawShipmentData!B622),FIND("/",TRIM([1]RawShipmentData!B622))+1,2)),VALUE(LEFT(TRIM([1]RawShipmentData!B622),FIND("/",TRIM([1]RawShipmentData!B622))-1))),DATEVALUE(TRIM([1]RawShipmentData!B622)))</f>
        <v>45332</v>
      </c>
      <c r="C618" s="2" t="str">
        <f>PROPER(TRIM([1]RawShipmentData!C622))</f>
        <v>Bengaluru</v>
      </c>
      <c r="D618" s="2" t="str">
        <f>IFERROR(INDEX([1]HubMaster!$B$2:$B$7,MATCH(C618,[1]HubMaster!$A$2:$A$7,0)),"Unknown")</f>
        <v>South</v>
      </c>
      <c r="E618" s="2" t="str">
        <f>PROPER(TRIM(SUBSTITUTE([1]RawShipmentData!D622,"  "," ")))</f>
        <v>Blue Dart</v>
      </c>
      <c r="F618" s="2" t="str">
        <f>PROPER(TRIM([1]RawShipmentData!E622))</f>
        <v>Air</v>
      </c>
      <c r="G618" s="2" t="str">
        <f>PROPER(TRIM(SUBSTITUTE([1]RawShipmentData!F622,"  "," ")))</f>
        <v>Electronics</v>
      </c>
      <c r="H618" s="2" t="str">
        <f>PROPER(TRIM([1]RawShipmentData!G622))</f>
        <v>East</v>
      </c>
      <c r="I618" s="2" t="str">
        <f t="shared" si="45"/>
        <v>Yes</v>
      </c>
      <c r="J618" s="2">
        <f>IFERROR(VALUE(TRIM(SUBSTITUTE(UPPER([1]RawShipmentData!I618),"KG",""))),"")</f>
        <v>34.700000000000003</v>
      </c>
      <c r="K618" s="2">
        <f>VALUE(SUBSTITUTE(SUBSTITUTE(SUBSTITUTE(TRIM([1]RawShipmentData!J622),"₹",""),"Rs",""),",",""))</f>
        <v>384</v>
      </c>
      <c r="L618" s="2">
        <f>[1]RawShipmentData!K622</f>
        <v>4</v>
      </c>
      <c r="M618" s="3">
        <f>IF(TRIM([1]RawShipmentData!L622)="","",IF(ISNUMBER(SEARCH("/",TRIM([1]RawShipmentData!L622))),DATE(VALUE(RIGHT(TRIM([1]RawShipmentData!L622),4)),VALUE(MID(TRIM([1]RawShipmentData!L622),FIND("/",TRIM([1]RawShipmentData!L622))+1,2)),VALUE(LEFT(TRIM([1]RawShipmentData!L622),FIND("/",TRIM([1]RawShipmentData!L622))-1))),DATEVALUE(TRIM([1]RawShipmentData!L622))))</f>
        <v>45335</v>
      </c>
      <c r="N618" s="2">
        <f t="shared" si="46"/>
        <v>3</v>
      </c>
      <c r="O618" s="2">
        <f t="shared" si="47"/>
        <v>-1</v>
      </c>
      <c r="P618" s="2" t="str">
        <f t="shared" si="48"/>
        <v>On Time</v>
      </c>
      <c r="Q618" s="2" t="str">
        <f>PROPER(SUBSTITUTE(TRIM([1]RawShipmentData!M622)," ","-"))</f>
        <v>Delivered</v>
      </c>
      <c r="R618" s="4">
        <f t="shared" si="49"/>
        <v>11.066282420749278</v>
      </c>
      <c r="S618" s="2">
        <f>[1]RawShipmentData!N622</f>
        <v>5</v>
      </c>
      <c r="T618" s="2" t="str">
        <f>IF(OR(UPPER(TRIM([1]RawShipmentData!O622))="YES",UPPER(TRIM([1]RawShipmentData!O622))="Y"),"Yes","No")</f>
        <v>Yes</v>
      </c>
    </row>
    <row r="619" spans="1:20" x14ac:dyDescent="0.25">
      <c r="A619" s="2" t="str">
        <f>[1]RawShipmentData!A623</f>
        <v>SHP-100948</v>
      </c>
      <c r="B619" s="3">
        <f>IF(ISNUMBER(SEARCH("/",TRIM([1]RawShipmentData!B623))),DATE(VALUE(RIGHT(TRIM([1]RawShipmentData!B623),4)),VALUE(MID(TRIM([1]RawShipmentData!B623),FIND("/",TRIM([1]RawShipmentData!B623))+1,2)),VALUE(LEFT(TRIM([1]RawShipmentData!B623),FIND("/",TRIM([1]RawShipmentData!B623))-1))),DATEVALUE(TRIM([1]RawShipmentData!B623)))</f>
        <v>45455</v>
      </c>
      <c r="C619" s="2" t="str">
        <f>PROPER(TRIM([1]RawShipmentData!C623))</f>
        <v>Hyderabad</v>
      </c>
      <c r="D619" s="2" t="str">
        <f>IFERROR(INDEX([1]HubMaster!$B$2:$B$7,MATCH(C619,[1]HubMaster!$A$2:$A$7,0)),"Unknown")</f>
        <v>West</v>
      </c>
      <c r="E619" s="2" t="str">
        <f>PROPER(TRIM(SUBSTITUTE([1]RawShipmentData!D623,"  "," ")))</f>
        <v>Bluedart</v>
      </c>
      <c r="F619" s="2" t="str">
        <f>PROPER(TRIM([1]RawShipmentData!E623))</f>
        <v>Road</v>
      </c>
      <c r="G619" s="2" t="str">
        <f>PROPER(TRIM(SUBSTITUTE([1]RawShipmentData!F623,"  "," ")))</f>
        <v>Grocery &amp; Fmcg</v>
      </c>
      <c r="H619" s="2" t="str">
        <f>PROPER(TRIM([1]RawShipmentData!G623))</f>
        <v>West</v>
      </c>
      <c r="I619" s="2" t="str">
        <f t="shared" si="45"/>
        <v>No</v>
      </c>
      <c r="J619" s="2">
        <f>IFERROR(VALUE(TRIM(SUBSTITUTE(UPPER([1]RawShipmentData!I619),"KG",""))),"")</f>
        <v>20</v>
      </c>
      <c r="K619" s="2">
        <f>VALUE(SUBSTITUTE(SUBSTITUTE(SUBSTITUTE(TRIM([1]RawShipmentData!J623),"₹",""),"Rs",""),",",""))</f>
        <v>289</v>
      </c>
      <c r="L619" s="2">
        <f>[1]RawShipmentData!K623</f>
        <v>6</v>
      </c>
      <c r="M619" s="3">
        <f>IF(TRIM([1]RawShipmentData!L623)="","",IF(ISNUMBER(SEARCH("/",TRIM([1]RawShipmentData!L623))),DATE(VALUE(RIGHT(TRIM([1]RawShipmentData!L623),4)),VALUE(MID(TRIM([1]RawShipmentData!L623),FIND("/",TRIM([1]RawShipmentData!L623))+1,2)),VALUE(LEFT(TRIM([1]RawShipmentData!L623),FIND("/",TRIM([1]RawShipmentData!L623))-1))),DATEVALUE(TRIM([1]RawShipmentData!L623))))</f>
        <v>45461</v>
      </c>
      <c r="N619" s="2">
        <f t="shared" si="46"/>
        <v>6</v>
      </c>
      <c r="O619" s="2">
        <f t="shared" si="47"/>
        <v>0</v>
      </c>
      <c r="P619" s="2" t="str">
        <f t="shared" si="48"/>
        <v>On Time</v>
      </c>
      <c r="Q619" s="2" t="str">
        <f>PROPER(SUBSTITUTE(TRIM([1]RawShipmentData!M623)," ","-"))</f>
        <v>Delivered</v>
      </c>
      <c r="R619" s="4">
        <f t="shared" si="49"/>
        <v>14.45</v>
      </c>
      <c r="S619" s="2">
        <f>[1]RawShipmentData!N623</f>
        <v>4</v>
      </c>
      <c r="T619" s="2" t="str">
        <f>IF(OR(UPPER(TRIM([1]RawShipmentData!O623))="YES",UPPER(TRIM([1]RawShipmentData!O623))="Y"),"Yes","No")</f>
        <v>No</v>
      </c>
    </row>
    <row r="620" spans="1:20" x14ac:dyDescent="0.25">
      <c r="A620" s="2" t="str">
        <f>[1]RawShipmentData!A624</f>
        <v>SHP-100518</v>
      </c>
      <c r="B620" s="3">
        <f>IF(ISNUMBER(SEARCH("/",TRIM([1]RawShipmentData!B624))),DATE(VALUE(RIGHT(TRIM([1]RawShipmentData!B624),4)),VALUE(MID(TRIM([1]RawShipmentData!B624),FIND("/",TRIM([1]RawShipmentData!B624))+1,2)),VALUE(LEFT(TRIM([1]RawShipmentData!B624),FIND("/",TRIM([1]RawShipmentData!B624))-1))),DATEVALUE(TRIM([1]RawShipmentData!B624)))</f>
        <v>45301</v>
      </c>
      <c r="C620" s="2" t="str">
        <f>PROPER(TRIM([1]RawShipmentData!C624))</f>
        <v>Bengaluru</v>
      </c>
      <c r="D620" s="2" t="str">
        <f>IFERROR(INDEX([1]HubMaster!$B$2:$B$7,MATCH(C620,[1]HubMaster!$A$2:$A$7,0)),"Unknown")</f>
        <v>South</v>
      </c>
      <c r="E620" s="2" t="str">
        <f>PROPER(TRIM(SUBSTITUTE([1]RawShipmentData!D624,"  "," ")))</f>
        <v>Delhivery</v>
      </c>
      <c r="F620" s="2" t="str">
        <f>PROPER(TRIM([1]RawShipmentData!E624))</f>
        <v>Surface</v>
      </c>
      <c r="G620" s="2" t="str">
        <f>PROPER(TRIM(SUBSTITUTE([1]RawShipmentData!F624,"  "," ")))</f>
        <v>Grocery &amp; Fmcg</v>
      </c>
      <c r="H620" s="2" t="str">
        <f>PROPER(TRIM([1]RawShipmentData!G624))</f>
        <v>West</v>
      </c>
      <c r="I620" s="2" t="str">
        <f t="shared" si="45"/>
        <v>Yes</v>
      </c>
      <c r="J620" s="2">
        <f>IFERROR(VALUE(TRIM(SUBSTITUTE(UPPER([1]RawShipmentData!I620),"KG",""))),"")</f>
        <v>24.8</v>
      </c>
      <c r="K620" s="2">
        <f>VALUE(SUBSTITUTE(SUBSTITUTE(SUBSTITUTE(TRIM([1]RawShipmentData!J624),"₹",""),"Rs",""),",",""))</f>
        <v>526</v>
      </c>
      <c r="L620" s="2">
        <f>[1]RawShipmentData!K624</f>
        <v>6</v>
      </c>
      <c r="M620" s="3">
        <f>IF(TRIM([1]RawShipmentData!L624)="","",IF(ISNUMBER(SEARCH("/",TRIM([1]RawShipmentData!L624))),DATE(VALUE(RIGHT(TRIM([1]RawShipmentData!L624),4)),VALUE(MID(TRIM([1]RawShipmentData!L624),FIND("/",TRIM([1]RawShipmentData!L624))+1,2)),VALUE(LEFT(TRIM([1]RawShipmentData!L624),FIND("/",TRIM([1]RawShipmentData!L624))-1))),DATEVALUE(TRIM([1]RawShipmentData!L624))))</f>
        <v>45308</v>
      </c>
      <c r="N620" s="2">
        <f t="shared" si="46"/>
        <v>7</v>
      </c>
      <c r="O620" s="2">
        <f t="shared" si="47"/>
        <v>1</v>
      </c>
      <c r="P620" s="2" t="str">
        <f t="shared" si="48"/>
        <v>Late</v>
      </c>
      <c r="Q620" s="2" t="str">
        <f>PROPER(SUBSTITUTE(TRIM([1]RawShipmentData!M624)," ","-"))</f>
        <v>Delayed</v>
      </c>
      <c r="R620" s="4">
        <f t="shared" si="49"/>
        <v>21.20967741935484</v>
      </c>
      <c r="S620" s="2">
        <f>[1]RawShipmentData!N624</f>
        <v>3</v>
      </c>
      <c r="T620" s="2" t="str">
        <f>IF(OR(UPPER(TRIM([1]RawShipmentData!O624))="YES",UPPER(TRIM([1]RawShipmentData!O624))="Y"),"Yes","No")</f>
        <v>No</v>
      </c>
    </row>
    <row r="621" spans="1:20" x14ac:dyDescent="0.25">
      <c r="A621" s="2" t="str">
        <f>[1]RawShipmentData!A625</f>
        <v>SHP-100885</v>
      </c>
      <c r="B621" s="3">
        <f>IF(ISNUMBER(SEARCH("/",TRIM([1]RawShipmentData!B625))),DATE(VALUE(RIGHT(TRIM([1]RawShipmentData!B625),4)),VALUE(MID(TRIM([1]RawShipmentData!B625),FIND("/",TRIM([1]RawShipmentData!B625))+1,2)),VALUE(LEFT(TRIM([1]RawShipmentData!B625),FIND("/",TRIM([1]RawShipmentData!B625))-1))),DATEVALUE(TRIM([1]RawShipmentData!B625)))</f>
        <v>45389</v>
      </c>
      <c r="C621" s="2" t="str">
        <f>PROPER(TRIM([1]RawShipmentData!C625))</f>
        <v>Bengaluru</v>
      </c>
      <c r="D621" s="2" t="str">
        <f>IFERROR(INDEX([1]HubMaster!$B$2:$B$7,MATCH(C621,[1]HubMaster!$A$2:$A$7,0)),"Unknown")</f>
        <v>South</v>
      </c>
      <c r="E621" s="2" t="str">
        <f>PROPER(TRIM(SUBSTITUTE([1]RawShipmentData!D625,"  "," ")))</f>
        <v>Dtdc</v>
      </c>
      <c r="F621" s="2" t="str">
        <f>PROPER(TRIM([1]RawShipmentData!E625))</f>
        <v>Road</v>
      </c>
      <c r="G621" s="2" t="str">
        <f>PROPER(TRIM(SUBSTITUTE([1]RawShipmentData!F625,"  "," ")))</f>
        <v>Pharma</v>
      </c>
      <c r="H621" s="2" t="str">
        <f>PROPER(TRIM([1]RawShipmentData!G625))</f>
        <v>East</v>
      </c>
      <c r="I621" s="2" t="str">
        <f t="shared" si="45"/>
        <v>Yes</v>
      </c>
      <c r="J621" s="2">
        <f>IFERROR(VALUE(TRIM(SUBSTITUTE(UPPER([1]RawShipmentData!I621),"KG",""))),"")</f>
        <v>14.5</v>
      </c>
      <c r="K621" s="2">
        <f>VALUE(SUBSTITUTE(SUBSTITUTE(SUBSTITUTE(TRIM([1]RawShipmentData!J625),"₹",""),"Rs",""),",",""))</f>
        <v>208</v>
      </c>
      <c r="L621" s="2">
        <f>[1]RawShipmentData!K625</f>
        <v>8</v>
      </c>
      <c r="M621" s="3">
        <f>IF(TRIM([1]RawShipmentData!L625)="","",IF(ISNUMBER(SEARCH("/",TRIM([1]RawShipmentData!L625))),DATE(VALUE(RIGHT(TRIM([1]RawShipmentData!L625),4)),VALUE(MID(TRIM([1]RawShipmentData!L625),FIND("/",TRIM([1]RawShipmentData!L625))+1,2)),VALUE(LEFT(TRIM([1]RawShipmentData!L625),FIND("/",TRIM([1]RawShipmentData!L625))-1))),DATEVALUE(TRIM([1]RawShipmentData!L625))))</f>
        <v>45406</v>
      </c>
      <c r="N621" s="2">
        <f t="shared" si="46"/>
        <v>17</v>
      </c>
      <c r="O621" s="2">
        <f t="shared" si="47"/>
        <v>9</v>
      </c>
      <c r="P621" s="2" t="str">
        <f t="shared" si="48"/>
        <v>Late</v>
      </c>
      <c r="Q621" s="2" t="str">
        <f>PROPER(SUBSTITUTE(TRIM([1]RawShipmentData!M625)," ","-"))</f>
        <v>Delayed</v>
      </c>
      <c r="R621" s="4">
        <f t="shared" si="49"/>
        <v>14.344827586206897</v>
      </c>
      <c r="S621" s="2">
        <f>[1]RawShipmentData!N625</f>
        <v>1</v>
      </c>
      <c r="T621" s="2" t="str">
        <f>IF(OR(UPPER(TRIM([1]RawShipmentData!O625))="YES",UPPER(TRIM([1]RawShipmentData!O625))="Y"),"Yes","No")</f>
        <v>No</v>
      </c>
    </row>
    <row r="622" spans="1:20" x14ac:dyDescent="0.25">
      <c r="A622" s="2" t="str">
        <f>[1]RawShipmentData!A626</f>
        <v>SHP-100621</v>
      </c>
      <c r="B622" s="3">
        <f>IF(ISNUMBER(SEARCH("/",TRIM([1]RawShipmentData!B626))),DATE(VALUE(RIGHT(TRIM([1]RawShipmentData!B626),4)),VALUE(MID(TRIM([1]RawShipmentData!B626),FIND("/",TRIM([1]RawShipmentData!B626))+1,2)),VALUE(LEFT(TRIM([1]RawShipmentData!B626),FIND("/",TRIM([1]RawShipmentData!B626))-1))),DATEVALUE(TRIM([1]RawShipmentData!B626)))</f>
        <v>45311</v>
      </c>
      <c r="C622" s="2" t="str">
        <f>PROPER(TRIM([1]RawShipmentData!C626))</f>
        <v>Bengaluru</v>
      </c>
      <c r="D622" s="2" t="str">
        <f>IFERROR(INDEX([1]HubMaster!$B$2:$B$7,MATCH(C622,[1]HubMaster!$A$2:$A$7,0)),"Unknown")</f>
        <v>South</v>
      </c>
      <c r="E622" s="2" t="str">
        <f>PROPER(TRIM(SUBSTITUTE([1]RawShipmentData!D626,"  "," ")))</f>
        <v>Delhivery</v>
      </c>
      <c r="F622" s="2" t="str">
        <f>PROPER(TRIM([1]RawShipmentData!E626))</f>
        <v>Road</v>
      </c>
      <c r="G622" s="2" t="str">
        <f>PROPER(TRIM(SUBSTITUTE([1]RawShipmentData!F626,"  "," ")))</f>
        <v>Grocery &amp; Fmcg</v>
      </c>
      <c r="H622" s="2" t="str">
        <f>PROPER(TRIM([1]RawShipmentData!G626))</f>
        <v>East</v>
      </c>
      <c r="I622" s="2" t="str">
        <f t="shared" si="45"/>
        <v>Yes</v>
      </c>
      <c r="J622" s="2">
        <f>IFERROR(VALUE(TRIM(SUBSTITUTE(UPPER([1]RawShipmentData!I622),"KG",""))),"")</f>
        <v>4.0999999999999996</v>
      </c>
      <c r="K622" s="2">
        <f>VALUE(SUBSTITUTE(SUBSTITUTE(SUBSTITUTE(TRIM([1]RawShipmentData!J626),"₹",""),"Rs",""),",",""))</f>
        <v>284</v>
      </c>
      <c r="L622" s="2">
        <f>[1]RawShipmentData!K626</f>
        <v>8</v>
      </c>
      <c r="M622" s="3">
        <f>IF(TRIM([1]RawShipmentData!L626)="","",IF(ISNUMBER(SEARCH("/",TRIM([1]RawShipmentData!L626))),DATE(VALUE(RIGHT(TRIM([1]RawShipmentData!L626),4)),VALUE(MID(TRIM([1]RawShipmentData!L626),FIND("/",TRIM([1]RawShipmentData!L626))+1,2)),VALUE(LEFT(TRIM([1]RawShipmentData!L626),FIND("/",TRIM([1]RawShipmentData!L626))-1))),DATEVALUE(TRIM([1]RawShipmentData!L626))))</f>
        <v>45319</v>
      </c>
      <c r="N622" s="2">
        <f t="shared" si="46"/>
        <v>8</v>
      </c>
      <c r="O622" s="2">
        <f t="shared" si="47"/>
        <v>0</v>
      </c>
      <c r="P622" s="2" t="str">
        <f t="shared" si="48"/>
        <v>On Time</v>
      </c>
      <c r="Q622" s="2" t="str">
        <f>PROPER(SUBSTITUTE(TRIM([1]RawShipmentData!M626)," ","-"))</f>
        <v>Delivered</v>
      </c>
      <c r="R622" s="4">
        <f t="shared" si="49"/>
        <v>69.268292682926841</v>
      </c>
      <c r="S622" s="2">
        <f>[1]RawShipmentData!N626</f>
        <v>4</v>
      </c>
      <c r="T622" s="2" t="str">
        <f>IF(OR(UPPER(TRIM([1]RawShipmentData!O626))="YES",UPPER(TRIM([1]RawShipmentData!O626))="Y"),"Yes","No")</f>
        <v>Yes</v>
      </c>
    </row>
    <row r="623" spans="1:20" x14ac:dyDescent="0.25">
      <c r="A623" s="2" t="str">
        <f>[1]RawShipmentData!A627</f>
        <v>SHP-100260</v>
      </c>
      <c r="B623" s="3">
        <f>IF(ISNUMBER(SEARCH("/",TRIM([1]RawShipmentData!B627))),DATE(VALUE(RIGHT(TRIM([1]RawShipmentData!B627),4)),VALUE(MID(TRIM([1]RawShipmentData!B627),FIND("/",TRIM([1]RawShipmentData!B627))+1,2)),VALUE(LEFT(TRIM([1]RawShipmentData!B627),FIND("/",TRIM([1]RawShipmentData!B627))-1))),DATEVALUE(TRIM([1]RawShipmentData!B627)))</f>
        <v>45402</v>
      </c>
      <c r="C623" s="2" t="str">
        <f>PROPER(TRIM([1]RawShipmentData!C627))</f>
        <v>Kolkata</v>
      </c>
      <c r="D623" s="2" t="str">
        <f>IFERROR(INDEX([1]HubMaster!$B$2:$B$7,MATCH(C623,[1]HubMaster!$A$2:$A$7,0)),"Unknown")</f>
        <v>East</v>
      </c>
      <c r="E623" s="2" t="str">
        <f>PROPER(TRIM(SUBSTITUTE([1]RawShipmentData!D627,"  "," ")))</f>
        <v>Ecom Express</v>
      </c>
      <c r="F623" s="2" t="str">
        <f>PROPER(TRIM([1]RawShipmentData!E627))</f>
        <v>Surface</v>
      </c>
      <c r="G623" s="2" t="str">
        <f>PROPER(TRIM(SUBSTITUTE([1]RawShipmentData!F627,"  "," ")))</f>
        <v>Furniture</v>
      </c>
      <c r="H623" s="2" t="str">
        <f>PROPER(TRIM([1]RawShipmentData!G627))</f>
        <v>South</v>
      </c>
      <c r="I623" s="2" t="str">
        <f t="shared" si="45"/>
        <v>Yes</v>
      </c>
      <c r="J623" s="2">
        <f>IFERROR(VALUE(TRIM(SUBSTITUTE(UPPER([1]RawShipmentData!I623),"KG",""))),"")</f>
        <v>17.899999999999999</v>
      </c>
      <c r="K623" s="2">
        <f>VALUE(SUBSTITUTE(SUBSTITUTE(SUBSTITUTE(TRIM([1]RawShipmentData!J627),"₹",""),"Rs",""),",",""))</f>
        <v>992</v>
      </c>
      <c r="L623" s="2">
        <f>[1]RawShipmentData!K627</f>
        <v>6</v>
      </c>
      <c r="M623" s="3">
        <f>IF(TRIM([1]RawShipmentData!L627)="","",IF(ISNUMBER(SEARCH("/",TRIM([1]RawShipmentData!L627))),DATE(VALUE(RIGHT(TRIM([1]RawShipmentData!L627),4)),VALUE(MID(TRIM([1]RawShipmentData!L627),FIND("/",TRIM([1]RawShipmentData!L627))+1,2)),VALUE(LEFT(TRIM([1]RawShipmentData!L627),FIND("/",TRIM([1]RawShipmentData!L627))-1))),DATEVALUE(TRIM([1]RawShipmentData!L627))))</f>
        <v>45408</v>
      </c>
      <c r="N623" s="2">
        <f t="shared" si="46"/>
        <v>6</v>
      </c>
      <c r="O623" s="2">
        <f t="shared" si="47"/>
        <v>0</v>
      </c>
      <c r="P623" s="2" t="str">
        <f t="shared" si="48"/>
        <v>On Time</v>
      </c>
      <c r="Q623" s="2" t="str">
        <f>PROPER(SUBSTITUTE(TRIM([1]RawShipmentData!M627)," ","-"))</f>
        <v>Delivered</v>
      </c>
      <c r="R623" s="4">
        <f t="shared" si="49"/>
        <v>55.418994413407823</v>
      </c>
      <c r="S623" s="2">
        <f>[1]RawShipmentData!N627</f>
        <v>4</v>
      </c>
      <c r="T623" s="2" t="str">
        <f>IF(OR(UPPER(TRIM([1]RawShipmentData!O627))="YES",UPPER(TRIM([1]RawShipmentData!O627))="Y"),"Yes","No")</f>
        <v>No</v>
      </c>
    </row>
    <row r="624" spans="1:20" x14ac:dyDescent="0.25">
      <c r="A624" s="2" t="str">
        <f>[1]RawShipmentData!A628</f>
        <v>SHP-100568</v>
      </c>
      <c r="B624" s="3">
        <f>IF(ISNUMBER(SEARCH("/",TRIM([1]RawShipmentData!B628))),DATE(VALUE(RIGHT(TRIM([1]RawShipmentData!B628),4)),VALUE(MID(TRIM([1]RawShipmentData!B628),FIND("/",TRIM([1]RawShipmentData!B628))+1,2)),VALUE(LEFT(TRIM([1]RawShipmentData!B628),FIND("/",TRIM([1]RawShipmentData!B628))-1))),DATEVALUE(TRIM([1]RawShipmentData!B628)))</f>
        <v>45428</v>
      </c>
      <c r="C624" s="2" t="str">
        <f>PROPER(TRIM([1]RawShipmentData!C628))</f>
        <v>Mumbai</v>
      </c>
      <c r="D624" s="2" t="str">
        <f>IFERROR(INDEX([1]HubMaster!$B$2:$B$7,MATCH(C624,[1]HubMaster!$A$2:$A$7,0)),"Unknown")</f>
        <v>West</v>
      </c>
      <c r="E624" s="2" t="str">
        <f>PROPER(TRIM(SUBSTITUTE([1]RawShipmentData!D628,"  "," ")))</f>
        <v>Ecom Express</v>
      </c>
      <c r="F624" s="2" t="str">
        <f>PROPER(TRIM([1]RawShipmentData!E628))</f>
        <v>Surface</v>
      </c>
      <c r="G624" s="2" t="str">
        <f>PROPER(TRIM(SUBSTITUTE([1]RawShipmentData!F628,"  "," ")))</f>
        <v>Pharma</v>
      </c>
      <c r="H624" s="2" t="str">
        <f>PROPER(TRIM([1]RawShipmentData!G628))</f>
        <v>South</v>
      </c>
      <c r="I624" s="2" t="str">
        <f t="shared" si="45"/>
        <v>Yes</v>
      </c>
      <c r="J624" s="2">
        <f>IFERROR(VALUE(TRIM(SUBSTITUTE(UPPER([1]RawShipmentData!I624),"KG",""))),"")</f>
        <v>14.8</v>
      </c>
      <c r="K624" s="2">
        <f>VALUE(SUBSTITUTE(SUBSTITUTE(SUBSTITUTE(TRIM([1]RawShipmentData!J628),"₹",""),"Rs",""),",",""))</f>
        <v>210</v>
      </c>
      <c r="L624" s="2">
        <f>[1]RawShipmentData!K628</f>
        <v>6</v>
      </c>
      <c r="M624" s="3">
        <f>IF(TRIM([1]RawShipmentData!L628)="","",IF(ISNUMBER(SEARCH("/",TRIM([1]RawShipmentData!L628))),DATE(VALUE(RIGHT(TRIM([1]RawShipmentData!L628),4)),VALUE(MID(TRIM([1]RawShipmentData!L628),FIND("/",TRIM([1]RawShipmentData!L628))+1,2)),VALUE(LEFT(TRIM([1]RawShipmentData!L628),FIND("/",TRIM([1]RawShipmentData!L628))-1))),DATEVALUE(TRIM([1]RawShipmentData!L628))))</f>
        <v>45435</v>
      </c>
      <c r="N624" s="2">
        <f t="shared" si="46"/>
        <v>7</v>
      </c>
      <c r="O624" s="2">
        <f t="shared" si="47"/>
        <v>1</v>
      </c>
      <c r="P624" s="2" t="str">
        <f t="shared" si="48"/>
        <v>Late</v>
      </c>
      <c r="Q624" s="2" t="str">
        <f>PROPER(SUBSTITUTE(TRIM([1]RawShipmentData!M628)," ","-"))</f>
        <v>Delayed</v>
      </c>
      <c r="R624" s="4">
        <f t="shared" si="49"/>
        <v>14.189189189189188</v>
      </c>
      <c r="S624" s="2">
        <f>[1]RawShipmentData!N628</f>
        <v>4</v>
      </c>
      <c r="T624" s="2" t="str">
        <f>IF(OR(UPPER(TRIM([1]RawShipmentData!O628))="YES",UPPER(TRIM([1]RawShipmentData!O628))="Y"),"Yes","No")</f>
        <v>No</v>
      </c>
    </row>
    <row r="625" spans="1:20" x14ac:dyDescent="0.25">
      <c r="A625" s="2" t="str">
        <f>[1]RawShipmentData!A629</f>
        <v>SHP-100802</v>
      </c>
      <c r="B625" s="3">
        <f>IF(ISNUMBER(SEARCH("/",TRIM([1]RawShipmentData!B629))),DATE(VALUE(RIGHT(TRIM([1]RawShipmentData!B629),4)),VALUE(MID(TRIM([1]RawShipmentData!B629),FIND("/",TRIM([1]RawShipmentData!B629))+1,2)),VALUE(LEFT(TRIM([1]RawShipmentData!B629),FIND("/",TRIM([1]RawShipmentData!B629))-1))),DATEVALUE(TRIM([1]RawShipmentData!B629)))</f>
        <v>45308</v>
      </c>
      <c r="C625" s="2" t="str">
        <f>PROPER(TRIM([1]RawShipmentData!C629))</f>
        <v>Chennai</v>
      </c>
      <c r="D625" s="2" t="str">
        <f>IFERROR(INDEX([1]HubMaster!$B$2:$B$7,MATCH(C625,[1]HubMaster!$A$2:$A$7,0)),"Unknown")</f>
        <v>South</v>
      </c>
      <c r="E625" s="2" t="str">
        <f>PROPER(TRIM(SUBSTITUTE([1]RawShipmentData!D629,"  "," ")))</f>
        <v>Xpressbees</v>
      </c>
      <c r="F625" s="2" t="str">
        <f>PROPER(TRIM([1]RawShipmentData!E629))</f>
        <v>Air</v>
      </c>
      <c r="G625" s="2" t="str">
        <f>PROPER(TRIM(SUBSTITUTE([1]RawShipmentData!F629,"  "," ")))</f>
        <v>Automotive Parts</v>
      </c>
      <c r="H625" s="2" t="str">
        <f>PROPER(TRIM([1]RawShipmentData!G629))</f>
        <v>East</v>
      </c>
      <c r="I625" s="2" t="str">
        <f t="shared" si="45"/>
        <v>Yes</v>
      </c>
      <c r="J625" s="2">
        <f>IFERROR(VALUE(TRIM(SUBSTITUTE(UPPER([1]RawShipmentData!I625),"KG",""))),"")</f>
        <v>3</v>
      </c>
      <c r="K625" s="2">
        <f>VALUE(SUBSTITUTE(SUBSTITUTE(SUBSTITUTE(TRIM([1]RawShipmentData!J629),"₹",""),"Rs",""),",",""))</f>
        <v>880</v>
      </c>
      <c r="L625" s="2">
        <f>[1]RawShipmentData!K629</f>
        <v>4</v>
      </c>
      <c r="M625" s="3">
        <f>IF(TRIM([1]RawShipmentData!L629)="","",IF(ISNUMBER(SEARCH("/",TRIM([1]RawShipmentData!L629))),DATE(VALUE(RIGHT(TRIM([1]RawShipmentData!L629),4)),VALUE(MID(TRIM([1]RawShipmentData!L629),FIND("/",TRIM([1]RawShipmentData!L629))+1,2)),VALUE(LEFT(TRIM([1]RawShipmentData!L629),FIND("/",TRIM([1]RawShipmentData!L629))-1))),DATEVALUE(TRIM([1]RawShipmentData!L629))))</f>
        <v>45313</v>
      </c>
      <c r="N625" s="2">
        <f t="shared" si="46"/>
        <v>5</v>
      </c>
      <c r="O625" s="2">
        <f t="shared" si="47"/>
        <v>1</v>
      </c>
      <c r="P625" s="2" t="str">
        <f t="shared" si="48"/>
        <v>Late</v>
      </c>
      <c r="Q625" s="2" t="str">
        <f>PROPER(SUBSTITUTE(TRIM([1]RawShipmentData!M629)," ","-"))</f>
        <v>Delayed</v>
      </c>
      <c r="R625" s="4">
        <f t="shared" si="49"/>
        <v>293.33333333333331</v>
      </c>
      <c r="S625" s="2">
        <f>[1]RawShipmentData!N629</f>
        <v>4</v>
      </c>
      <c r="T625" s="2" t="str">
        <f>IF(OR(UPPER(TRIM([1]RawShipmentData!O629))="YES",UPPER(TRIM([1]RawShipmentData!O629))="Y"),"Yes","No")</f>
        <v>Yes</v>
      </c>
    </row>
    <row r="626" spans="1:20" x14ac:dyDescent="0.25">
      <c r="A626" s="2" t="str">
        <f>[1]RawShipmentData!A630</f>
        <v>SHP-100711</v>
      </c>
      <c r="B626" s="3">
        <f>IF(ISNUMBER(SEARCH("/",TRIM([1]RawShipmentData!B630))),DATE(VALUE(RIGHT(TRIM([1]RawShipmentData!B630),4)),VALUE(MID(TRIM([1]RawShipmentData!B630),FIND("/",TRIM([1]RawShipmentData!B630))+1,2)),VALUE(LEFT(TRIM([1]RawShipmentData!B630),FIND("/",TRIM([1]RawShipmentData!B630))-1))),DATEVALUE(TRIM([1]RawShipmentData!B630)))</f>
        <v>45424</v>
      </c>
      <c r="C626" s="2" t="str">
        <f>PROPER(TRIM([1]RawShipmentData!C630))</f>
        <v>Bengaluru</v>
      </c>
      <c r="D626" s="2" t="str">
        <f>IFERROR(INDEX([1]HubMaster!$B$2:$B$7,MATCH(C626,[1]HubMaster!$A$2:$A$7,0)),"Unknown")</f>
        <v>South</v>
      </c>
      <c r="E626" s="2" t="str">
        <f>PROPER(TRIM(SUBSTITUTE([1]RawShipmentData!D630,"  "," ")))</f>
        <v>Xpressbees</v>
      </c>
      <c r="F626" s="2" t="str">
        <f>PROPER(TRIM([1]RawShipmentData!E630))</f>
        <v>Air</v>
      </c>
      <c r="G626" s="2" t="str">
        <f>PROPER(TRIM(SUBSTITUTE([1]RawShipmentData!F630,"  "," ")))</f>
        <v>Electronics</v>
      </c>
      <c r="H626" s="2" t="str">
        <f>PROPER(TRIM([1]RawShipmentData!G630))</f>
        <v>North</v>
      </c>
      <c r="I626" s="2" t="str">
        <f t="shared" si="45"/>
        <v>Yes</v>
      </c>
      <c r="J626" s="2">
        <f>IFERROR(VALUE(TRIM(SUBSTITUTE(UPPER([1]RawShipmentData!I626),"KG",""))),"")</f>
        <v>10.3</v>
      </c>
      <c r="K626" s="2">
        <f>VALUE(SUBSTITUTE(SUBSTITUTE(SUBSTITUTE(TRIM([1]RawShipmentData!J630),"₹",""),"Rs",""),",",""))</f>
        <v>569</v>
      </c>
      <c r="L626" s="2">
        <f>[1]RawShipmentData!K630</f>
        <v>4</v>
      </c>
      <c r="M626" s="3">
        <f>IF(TRIM([1]RawShipmentData!L630)="","",IF(ISNUMBER(SEARCH("/",TRIM([1]RawShipmentData!L630))),DATE(VALUE(RIGHT(TRIM([1]RawShipmentData!L630),4)),VALUE(MID(TRIM([1]RawShipmentData!L630),FIND("/",TRIM([1]RawShipmentData!L630))+1,2)),VALUE(LEFT(TRIM([1]RawShipmentData!L630),FIND("/",TRIM([1]RawShipmentData!L630))-1))),DATEVALUE(TRIM([1]RawShipmentData!L630))))</f>
        <v>45427</v>
      </c>
      <c r="N626" s="2">
        <f t="shared" si="46"/>
        <v>3</v>
      </c>
      <c r="O626" s="2">
        <f t="shared" si="47"/>
        <v>-1</v>
      </c>
      <c r="P626" s="2" t="str">
        <f t="shared" si="48"/>
        <v>On Time</v>
      </c>
      <c r="Q626" s="2" t="str">
        <f>PROPER(SUBSTITUTE(TRIM([1]RawShipmentData!M630)," ","-"))</f>
        <v>Delivered</v>
      </c>
      <c r="R626" s="4">
        <f t="shared" si="49"/>
        <v>55.242718446601941</v>
      </c>
      <c r="S626" s="2">
        <f>[1]RawShipmentData!N630</f>
        <v>5</v>
      </c>
      <c r="T626" s="2" t="str">
        <f>IF(OR(UPPER(TRIM([1]RawShipmentData!O630))="YES",UPPER(TRIM([1]RawShipmentData!O630))="Y"),"Yes","No")</f>
        <v>Yes</v>
      </c>
    </row>
    <row r="627" spans="1:20" x14ac:dyDescent="0.25">
      <c r="A627" s="2" t="str">
        <f>[1]RawShipmentData!A631</f>
        <v>SHP-101219</v>
      </c>
      <c r="B627" s="3">
        <f>IF(ISNUMBER(SEARCH("/",TRIM([1]RawShipmentData!B631))),DATE(VALUE(RIGHT(TRIM([1]RawShipmentData!B631),4)),VALUE(MID(TRIM([1]RawShipmentData!B631),FIND("/",TRIM([1]RawShipmentData!B631))+1,2)),VALUE(LEFT(TRIM([1]RawShipmentData!B631),FIND("/",TRIM([1]RawShipmentData!B631))-1))),DATEVALUE(TRIM([1]RawShipmentData!B631)))</f>
        <v>45376</v>
      </c>
      <c r="C627" s="2" t="str">
        <f>PROPER(TRIM([1]RawShipmentData!C631))</f>
        <v/>
      </c>
      <c r="D627" s="2" t="str">
        <f>IFERROR(INDEX([1]HubMaster!$B$2:$B$7,MATCH(C627,[1]HubMaster!$A$2:$A$7,0)),"Unknown")</f>
        <v>Unknown</v>
      </c>
      <c r="E627" s="2" t="str">
        <f>PROPER(TRIM(SUBSTITUTE([1]RawShipmentData!D631,"  "," ")))</f>
        <v>Delhivery</v>
      </c>
      <c r="F627" s="2" t="str">
        <f>PROPER(TRIM([1]RawShipmentData!E631))</f>
        <v>Surface</v>
      </c>
      <c r="G627" s="2" t="str">
        <f>PROPER(TRIM(SUBSTITUTE([1]RawShipmentData!F631,"  "," ")))</f>
        <v>Grocery &amp; Fmcg</v>
      </c>
      <c r="H627" s="2" t="str">
        <f>PROPER(TRIM([1]RawShipmentData!G631))</f>
        <v>East</v>
      </c>
      <c r="I627" s="2" t="str">
        <f t="shared" si="45"/>
        <v>Yes</v>
      </c>
      <c r="J627" s="2">
        <f>IFERROR(VALUE(TRIM(SUBSTITUTE(UPPER([1]RawShipmentData!I627),"KG",""))),"")</f>
        <v>37.799999999999997</v>
      </c>
      <c r="K627" s="2">
        <f>VALUE(SUBSTITUTE(SUBSTITUTE(SUBSTITUTE(TRIM([1]RawShipmentData!J631),"₹",""),"Rs",""),",",""))</f>
        <v>395</v>
      </c>
      <c r="L627" s="2">
        <f>[1]RawShipmentData!K631</f>
        <v>6</v>
      </c>
      <c r="M627" s="3">
        <f>IF(TRIM([1]RawShipmentData!L631)="","",IF(ISNUMBER(SEARCH("/",TRIM([1]RawShipmentData!L631))),DATE(VALUE(RIGHT(TRIM([1]RawShipmentData!L631),4)),VALUE(MID(TRIM([1]RawShipmentData!L631),FIND("/",TRIM([1]RawShipmentData!L631))+1,2)),VALUE(LEFT(TRIM([1]RawShipmentData!L631),FIND("/",TRIM([1]RawShipmentData!L631))-1))),DATEVALUE(TRIM([1]RawShipmentData!L631))))</f>
        <v>45382</v>
      </c>
      <c r="N627" s="2">
        <f t="shared" si="46"/>
        <v>6</v>
      </c>
      <c r="O627" s="2">
        <f t="shared" si="47"/>
        <v>0</v>
      </c>
      <c r="P627" s="2" t="str">
        <f t="shared" si="48"/>
        <v>On Time</v>
      </c>
      <c r="Q627" s="2" t="str">
        <f>PROPER(SUBSTITUTE(TRIM([1]RawShipmentData!M631)," ","-"))</f>
        <v>Delivered</v>
      </c>
      <c r="R627" s="4">
        <f t="shared" si="49"/>
        <v>10.449735449735451</v>
      </c>
      <c r="S627" s="2">
        <f>[1]RawShipmentData!N631</f>
        <v>5</v>
      </c>
      <c r="T627" s="2" t="str">
        <f>IF(OR(UPPER(TRIM([1]RawShipmentData!O631))="YES",UPPER(TRIM([1]RawShipmentData!O631))="Y"),"Yes","No")</f>
        <v>Yes</v>
      </c>
    </row>
    <row r="628" spans="1:20" x14ac:dyDescent="0.25">
      <c r="A628" s="2" t="str">
        <f>[1]RawShipmentData!A632</f>
        <v>SHP-101006</v>
      </c>
      <c r="B628" s="3">
        <f>IF(ISNUMBER(SEARCH("/",TRIM([1]RawShipmentData!B632))),DATE(VALUE(RIGHT(TRIM([1]RawShipmentData!B632),4)),VALUE(MID(TRIM([1]RawShipmentData!B632),FIND("/",TRIM([1]RawShipmentData!B632))+1,2)),VALUE(LEFT(TRIM([1]RawShipmentData!B632),FIND("/",TRIM([1]RawShipmentData!B632))-1))),DATEVALUE(TRIM([1]RawShipmentData!B632)))</f>
        <v>45396</v>
      </c>
      <c r="C628" s="2" t="str">
        <f>PROPER(TRIM([1]RawShipmentData!C632))</f>
        <v>Delhi</v>
      </c>
      <c r="D628" s="2" t="str">
        <f>IFERROR(INDEX([1]HubMaster!$B$2:$B$7,MATCH(C628,[1]HubMaster!$A$2:$A$7,0)),"Unknown")</f>
        <v>North</v>
      </c>
      <c r="E628" s="2" t="str">
        <f>PROPER(TRIM(SUBSTITUTE([1]RawShipmentData!D632,"  "," ")))</f>
        <v>Delhivery</v>
      </c>
      <c r="F628" s="2" t="str">
        <f>PROPER(TRIM([1]RawShipmentData!E632))</f>
        <v>Air</v>
      </c>
      <c r="G628" s="2" t="str">
        <f>PROPER(TRIM(SUBSTITUTE([1]RawShipmentData!F632,"  "," ")))</f>
        <v>Furniture</v>
      </c>
      <c r="H628" s="2" t="str">
        <f>PROPER(TRIM([1]RawShipmentData!G632))</f>
        <v>South</v>
      </c>
      <c r="I628" s="2" t="str">
        <f t="shared" si="45"/>
        <v>Yes</v>
      </c>
      <c r="J628" s="2">
        <f>IFERROR(VALUE(TRIM(SUBSTITUTE(UPPER([1]RawShipmentData!I628),"KG",""))),"")</f>
        <v>3.3</v>
      </c>
      <c r="K628" s="2">
        <f>VALUE(SUBSTITUTE(SUBSTITUTE(SUBSTITUTE(TRIM([1]RawShipmentData!J632),"₹",""),"Rs",""),",",""))</f>
        <v>1576</v>
      </c>
      <c r="L628" s="2">
        <f>[1]RawShipmentData!K632</f>
        <v>4</v>
      </c>
      <c r="M628" s="3">
        <f>IF(TRIM([1]RawShipmentData!L632)="","",IF(ISNUMBER(SEARCH("/",TRIM([1]RawShipmentData!L632))),DATE(VALUE(RIGHT(TRIM([1]RawShipmentData!L632),4)),VALUE(MID(TRIM([1]RawShipmentData!L632),FIND("/",TRIM([1]RawShipmentData!L632))+1,2)),VALUE(LEFT(TRIM([1]RawShipmentData!L632),FIND("/",TRIM([1]RawShipmentData!L632))-1))),DATEVALUE(TRIM([1]RawShipmentData!L632))))</f>
        <v>45399</v>
      </c>
      <c r="N628" s="2">
        <f t="shared" si="46"/>
        <v>3</v>
      </c>
      <c r="O628" s="2">
        <f t="shared" si="47"/>
        <v>-1</v>
      </c>
      <c r="P628" s="2" t="str">
        <f t="shared" si="48"/>
        <v>On Time</v>
      </c>
      <c r="Q628" s="2" t="str">
        <f>PROPER(SUBSTITUTE(TRIM([1]RawShipmentData!M632)," ","-"))</f>
        <v>Damaged</v>
      </c>
      <c r="R628" s="4">
        <f t="shared" si="49"/>
        <v>477.57575757575762</v>
      </c>
      <c r="S628" s="2">
        <f>[1]RawShipmentData!N632</f>
        <v>0</v>
      </c>
      <c r="T628" s="2" t="str">
        <f>IF(OR(UPPER(TRIM([1]RawShipmentData!O632))="YES",UPPER(TRIM([1]RawShipmentData!O632))="Y"),"Yes","No")</f>
        <v>No</v>
      </c>
    </row>
    <row r="629" spans="1:20" x14ac:dyDescent="0.25">
      <c r="A629" s="2" t="str">
        <f>[1]RawShipmentData!A633</f>
        <v>SHP-100952</v>
      </c>
      <c r="B629" s="3">
        <f>IF(ISNUMBER(SEARCH("/",TRIM([1]RawShipmentData!B633))),DATE(VALUE(RIGHT(TRIM([1]RawShipmentData!B633),4)),VALUE(MID(TRIM([1]RawShipmentData!B633),FIND("/",TRIM([1]RawShipmentData!B633))+1,2)),VALUE(LEFT(TRIM([1]RawShipmentData!B633),FIND("/",TRIM([1]RawShipmentData!B633))-1))),DATEVALUE(TRIM([1]RawShipmentData!B633)))</f>
        <v>45365</v>
      </c>
      <c r="C629" s="2" t="str">
        <f>PROPER(TRIM([1]RawShipmentData!C633))</f>
        <v>Delhi</v>
      </c>
      <c r="D629" s="2" t="str">
        <f>IFERROR(INDEX([1]HubMaster!$B$2:$B$7,MATCH(C629,[1]HubMaster!$A$2:$A$7,0)),"Unknown")</f>
        <v>North</v>
      </c>
      <c r="E629" s="2" t="str">
        <f>PROPER(TRIM(SUBSTITUTE([1]RawShipmentData!D633,"  "," ")))</f>
        <v>Ecom Express</v>
      </c>
      <c r="F629" s="2" t="str">
        <f>PROPER(TRIM([1]RawShipmentData!E633))</f>
        <v>Air</v>
      </c>
      <c r="G629" s="2" t="str">
        <f>PROPER(TRIM(SUBSTITUTE([1]RawShipmentData!F633,"  "," ")))</f>
        <v>Apparel</v>
      </c>
      <c r="H629" s="2" t="str">
        <f>PROPER(TRIM([1]RawShipmentData!G633))</f>
        <v>South</v>
      </c>
      <c r="I629" s="2" t="str">
        <f t="shared" si="45"/>
        <v>Yes</v>
      </c>
      <c r="J629" s="2">
        <f>IFERROR(VALUE(TRIM(SUBSTITUTE(UPPER([1]RawShipmentData!I629),"KG",""))),"")</f>
        <v>16.8</v>
      </c>
      <c r="K629" s="2">
        <f>VALUE(SUBSTITUTE(SUBSTITUTE(SUBSTITUTE(TRIM([1]RawShipmentData!J633),"₹",""),"Rs",""),",",""))</f>
        <v>472</v>
      </c>
      <c r="L629" s="2">
        <f>[1]RawShipmentData!K633</f>
        <v>4</v>
      </c>
      <c r="M629" s="3">
        <f>IF(TRIM([1]RawShipmentData!L633)="","",IF(ISNUMBER(SEARCH("/",TRIM([1]RawShipmentData!L633))),DATE(VALUE(RIGHT(TRIM([1]RawShipmentData!L633),4)),VALUE(MID(TRIM([1]RawShipmentData!L633),FIND("/",TRIM([1]RawShipmentData!L633))+1,2)),VALUE(LEFT(TRIM([1]RawShipmentData!L633),FIND("/",TRIM([1]RawShipmentData!L633))-1))),DATEVALUE(TRIM([1]RawShipmentData!L633))))</f>
        <v>45378</v>
      </c>
      <c r="N629" s="2">
        <f t="shared" si="46"/>
        <v>13</v>
      </c>
      <c r="O629" s="2">
        <f t="shared" si="47"/>
        <v>9</v>
      </c>
      <c r="P629" s="2" t="str">
        <f t="shared" si="48"/>
        <v>Late</v>
      </c>
      <c r="Q629" s="2" t="str">
        <f>PROPER(SUBSTITUTE(TRIM([1]RawShipmentData!M633)," ","-"))</f>
        <v>Delayed</v>
      </c>
      <c r="R629" s="4">
        <f t="shared" si="49"/>
        <v>28.095238095238095</v>
      </c>
      <c r="S629" s="2">
        <f>[1]RawShipmentData!N633</f>
        <v>5</v>
      </c>
      <c r="T629" s="2" t="str">
        <f>IF(OR(UPPER(TRIM([1]RawShipmentData!O633))="YES",UPPER(TRIM([1]RawShipmentData!O633))="Y"),"Yes","No")</f>
        <v>Yes</v>
      </c>
    </row>
    <row r="630" spans="1:20" x14ac:dyDescent="0.25">
      <c r="A630" s="2" t="str">
        <f>[1]RawShipmentData!A634</f>
        <v>SHP-100790</v>
      </c>
      <c r="B630" s="3">
        <f>IF(ISNUMBER(SEARCH("/",TRIM([1]RawShipmentData!B634))),DATE(VALUE(RIGHT(TRIM([1]RawShipmentData!B634),4)),VALUE(MID(TRIM([1]RawShipmentData!B634),FIND("/",TRIM([1]RawShipmentData!B634))+1,2)),VALUE(LEFT(TRIM([1]RawShipmentData!B634),FIND("/",TRIM([1]RawShipmentData!B634))-1))),DATEVALUE(TRIM([1]RawShipmentData!B634)))</f>
        <v>45459</v>
      </c>
      <c r="C630" s="2" t="str">
        <f>PROPER(TRIM([1]RawShipmentData!C634))</f>
        <v>Delhi</v>
      </c>
      <c r="D630" s="2" t="str">
        <f>IFERROR(INDEX([1]HubMaster!$B$2:$B$7,MATCH(C630,[1]HubMaster!$A$2:$A$7,0)),"Unknown")</f>
        <v>North</v>
      </c>
      <c r="E630" s="2" t="str">
        <f>PROPER(TRIM(SUBSTITUTE([1]RawShipmentData!D634,"  "," ")))</f>
        <v>Xpressbees</v>
      </c>
      <c r="F630" s="2" t="str">
        <f>PROPER(TRIM([1]RawShipmentData!E634))</f>
        <v>Surface</v>
      </c>
      <c r="G630" s="2" t="str">
        <f>PROPER(TRIM(SUBSTITUTE([1]RawShipmentData!F634,"  "," ")))</f>
        <v>Electronics</v>
      </c>
      <c r="H630" s="2" t="str">
        <f>PROPER(TRIM([1]RawShipmentData!G634))</f>
        <v>West</v>
      </c>
      <c r="I630" s="2" t="str">
        <f t="shared" si="45"/>
        <v>Yes</v>
      </c>
      <c r="J630" s="2">
        <f>IFERROR(VALUE(TRIM(SUBSTITUTE(UPPER([1]RawShipmentData!I630),"KG",""))),"")</f>
        <v>9.9</v>
      </c>
      <c r="K630" s="2">
        <f>VALUE(SUBSTITUTE(SUBSTITUTE(SUBSTITUTE(TRIM([1]RawShipmentData!J634),"₹",""),"Rs",""),",",""))</f>
        <v>264</v>
      </c>
      <c r="L630" s="2">
        <f>[1]RawShipmentData!K634</f>
        <v>6</v>
      </c>
      <c r="M630" s="3">
        <f>IF(TRIM([1]RawShipmentData!L634)="","",IF(ISNUMBER(SEARCH("/",TRIM([1]RawShipmentData!L634))),DATE(VALUE(RIGHT(TRIM([1]RawShipmentData!L634),4)),VALUE(MID(TRIM([1]RawShipmentData!L634),FIND("/",TRIM([1]RawShipmentData!L634))+1,2)),VALUE(LEFT(TRIM([1]RawShipmentData!L634),FIND("/",TRIM([1]RawShipmentData!L634))-1))),DATEVALUE(TRIM([1]RawShipmentData!L634))))</f>
        <v>45465</v>
      </c>
      <c r="N630" s="2">
        <f t="shared" si="46"/>
        <v>6</v>
      </c>
      <c r="O630" s="2">
        <f t="shared" si="47"/>
        <v>0</v>
      </c>
      <c r="P630" s="2" t="str">
        <f t="shared" si="48"/>
        <v>On Time</v>
      </c>
      <c r="Q630" s="2" t="str">
        <f>PROPER(SUBSTITUTE(TRIM([1]RawShipmentData!M634)," ","-"))</f>
        <v>Damaged</v>
      </c>
      <c r="R630" s="4">
        <f t="shared" si="49"/>
        <v>26.666666666666664</v>
      </c>
      <c r="S630" s="2">
        <f>[1]RawShipmentData!N634</f>
        <v>0</v>
      </c>
      <c r="T630" s="2" t="str">
        <f>IF(OR(UPPER(TRIM([1]RawShipmentData!O634))="YES",UPPER(TRIM([1]RawShipmentData!O634))="Y"),"Yes","No")</f>
        <v>Yes</v>
      </c>
    </row>
    <row r="631" spans="1:20" x14ac:dyDescent="0.25">
      <c r="A631" s="2" t="str">
        <f>[1]RawShipmentData!A635</f>
        <v>SHP-101203</v>
      </c>
      <c r="B631" s="3">
        <f>IF(ISNUMBER(SEARCH("/",TRIM([1]RawShipmentData!B635))),DATE(VALUE(RIGHT(TRIM([1]RawShipmentData!B635),4)),VALUE(MID(TRIM([1]RawShipmentData!B635),FIND("/",TRIM([1]RawShipmentData!B635))+1,2)),VALUE(LEFT(TRIM([1]RawShipmentData!B635),FIND("/",TRIM([1]RawShipmentData!B635))-1))),DATEVALUE(TRIM([1]RawShipmentData!B635)))</f>
        <v>45391</v>
      </c>
      <c r="C631" s="2" t="str">
        <f>PROPER(TRIM([1]RawShipmentData!C635))</f>
        <v>Hyderabad</v>
      </c>
      <c r="D631" s="2" t="str">
        <f>IFERROR(INDEX([1]HubMaster!$B$2:$B$7,MATCH(C631,[1]HubMaster!$A$2:$A$7,0)),"Unknown")</f>
        <v>West</v>
      </c>
      <c r="E631" s="2" t="str">
        <f>PROPER(TRIM(SUBSTITUTE([1]RawShipmentData!D635,"  "," ")))</f>
        <v>Bluedart</v>
      </c>
      <c r="F631" s="2" t="str">
        <f>PROPER(TRIM([1]RawShipmentData!E635))</f>
        <v>Road</v>
      </c>
      <c r="G631" s="2" t="str">
        <f>PROPER(TRIM(SUBSTITUTE([1]RawShipmentData!F635,"  "," ")))</f>
        <v>Electronics</v>
      </c>
      <c r="H631" s="2" t="str">
        <f>PROPER(TRIM([1]RawShipmentData!G635))</f>
        <v>West</v>
      </c>
      <c r="I631" s="2" t="str">
        <f t="shared" si="45"/>
        <v>No</v>
      </c>
      <c r="J631" s="2">
        <f>IFERROR(VALUE(TRIM(SUBSTITUTE(UPPER([1]RawShipmentData!I631),"KG",""))),"")</f>
        <v>9.6</v>
      </c>
      <c r="K631" s="2">
        <f>VALUE(SUBSTITUTE(SUBSTITUTE(SUBSTITUTE(TRIM([1]RawShipmentData!J635),"₹",""),"Rs",""),",",""))</f>
        <v>186</v>
      </c>
      <c r="L631" s="2">
        <f>[1]RawShipmentData!K635</f>
        <v>6</v>
      </c>
      <c r="M631" s="3">
        <f>IF(TRIM([1]RawShipmentData!L635)="","",IF(ISNUMBER(SEARCH("/",TRIM([1]RawShipmentData!L635))),DATE(VALUE(RIGHT(TRIM([1]RawShipmentData!L635),4)),VALUE(MID(TRIM([1]RawShipmentData!L635),FIND("/",TRIM([1]RawShipmentData!L635))+1,2)),VALUE(LEFT(TRIM([1]RawShipmentData!L635),FIND("/",TRIM([1]RawShipmentData!L635))-1))),DATEVALUE(TRIM([1]RawShipmentData!L635))))</f>
        <v>45398</v>
      </c>
      <c r="N631" s="2">
        <f t="shared" si="46"/>
        <v>7</v>
      </c>
      <c r="O631" s="2">
        <f t="shared" si="47"/>
        <v>1</v>
      </c>
      <c r="P631" s="2" t="str">
        <f t="shared" si="48"/>
        <v>Late</v>
      </c>
      <c r="Q631" s="2" t="str">
        <f>PROPER(SUBSTITUTE(TRIM([1]RawShipmentData!M635)," ","-"))</f>
        <v>Delayed</v>
      </c>
      <c r="R631" s="4">
        <f t="shared" si="49"/>
        <v>19.375</v>
      </c>
      <c r="S631" s="2">
        <f>[1]RawShipmentData!N635</f>
        <v>3</v>
      </c>
      <c r="T631" s="2" t="str">
        <f>IF(OR(UPPER(TRIM([1]RawShipmentData!O635))="YES",UPPER(TRIM([1]RawShipmentData!O635))="Y"),"Yes","No")</f>
        <v>No</v>
      </c>
    </row>
    <row r="632" spans="1:20" x14ac:dyDescent="0.25">
      <c r="A632" s="2" t="str">
        <f>[1]RawShipmentData!A636</f>
        <v>SHP-100317</v>
      </c>
      <c r="B632" s="3">
        <f>IF(ISNUMBER(SEARCH("/",TRIM([1]RawShipmentData!B636))),DATE(VALUE(RIGHT(TRIM([1]RawShipmentData!B636),4)),VALUE(MID(TRIM([1]RawShipmentData!B636),FIND("/",TRIM([1]RawShipmentData!B636))+1,2)),VALUE(LEFT(TRIM([1]RawShipmentData!B636),FIND("/",TRIM([1]RawShipmentData!B636))-1))),DATEVALUE(TRIM([1]RawShipmentData!B636)))</f>
        <v>45390</v>
      </c>
      <c r="C632" s="2" t="str">
        <f>PROPER(TRIM([1]RawShipmentData!C636))</f>
        <v>Mumbai</v>
      </c>
      <c r="D632" s="2" t="str">
        <f>IFERROR(INDEX([1]HubMaster!$B$2:$B$7,MATCH(C632,[1]HubMaster!$A$2:$A$7,0)),"Unknown")</f>
        <v>West</v>
      </c>
      <c r="E632" s="2" t="str">
        <f>PROPER(TRIM(SUBSTITUTE([1]RawShipmentData!D636,"  "," ")))</f>
        <v>Ecom Express</v>
      </c>
      <c r="F632" s="2" t="str">
        <f>PROPER(TRIM([1]RawShipmentData!E636))</f>
        <v>Air</v>
      </c>
      <c r="G632" s="2" t="str">
        <f>PROPER(TRIM(SUBSTITUTE([1]RawShipmentData!F636,"  "," ")))</f>
        <v>Automotive Parts</v>
      </c>
      <c r="H632" s="2" t="str">
        <f>PROPER(TRIM([1]RawShipmentData!G636))</f>
        <v>South</v>
      </c>
      <c r="I632" s="2" t="str">
        <f t="shared" si="45"/>
        <v>Yes</v>
      </c>
      <c r="J632" s="2">
        <f>IFERROR(VALUE(TRIM(SUBSTITUTE(UPPER([1]RawShipmentData!I632),"KG",""))),"")</f>
        <v>30.8</v>
      </c>
      <c r="K632" s="2">
        <f>VALUE(SUBSTITUTE(SUBSTITUTE(SUBSTITUTE(TRIM([1]RawShipmentData!J636),"₹",""),"Rs",""),",",""))</f>
        <v>1320</v>
      </c>
      <c r="L632" s="2">
        <f>[1]RawShipmentData!K636</f>
        <v>4</v>
      </c>
      <c r="M632" s="3">
        <f>IF(TRIM([1]RawShipmentData!L636)="","",IF(ISNUMBER(SEARCH("/",TRIM([1]RawShipmentData!L636))),DATE(VALUE(RIGHT(TRIM([1]RawShipmentData!L636),4)),VALUE(MID(TRIM([1]RawShipmentData!L636),FIND("/",TRIM([1]RawShipmentData!L636))+1,2)),VALUE(LEFT(TRIM([1]RawShipmentData!L636),FIND("/",TRIM([1]RawShipmentData!L636))-1))),DATEVALUE(TRIM([1]RawShipmentData!L636))))</f>
        <v>45397</v>
      </c>
      <c r="N632" s="2">
        <f t="shared" si="46"/>
        <v>7</v>
      </c>
      <c r="O632" s="2">
        <f t="shared" si="47"/>
        <v>3</v>
      </c>
      <c r="P632" s="2" t="str">
        <f t="shared" si="48"/>
        <v>Late</v>
      </c>
      <c r="Q632" s="2" t="str">
        <f>PROPER(SUBSTITUTE(TRIM([1]RawShipmentData!M636)," ","-"))</f>
        <v>Delayed</v>
      </c>
      <c r="R632" s="4">
        <f t="shared" si="49"/>
        <v>42.857142857142854</v>
      </c>
      <c r="S632" s="2">
        <f>[1]RawShipmentData!N636</f>
        <v>1</v>
      </c>
      <c r="T632" s="2" t="str">
        <f>IF(OR(UPPER(TRIM([1]RawShipmentData!O636))="YES",UPPER(TRIM([1]RawShipmentData!O636))="Y"),"Yes","No")</f>
        <v>Yes</v>
      </c>
    </row>
    <row r="633" spans="1:20" x14ac:dyDescent="0.25">
      <c r="A633" s="2" t="str">
        <f>[1]RawShipmentData!A637</f>
        <v>SHP-101038</v>
      </c>
      <c r="B633" s="3">
        <f>IF(ISNUMBER(SEARCH("/",TRIM([1]RawShipmentData!B637))),DATE(VALUE(RIGHT(TRIM([1]RawShipmentData!B637),4)),VALUE(MID(TRIM([1]RawShipmentData!B637),FIND("/",TRIM([1]RawShipmentData!B637))+1,2)),VALUE(LEFT(TRIM([1]RawShipmentData!B637),FIND("/",TRIM([1]RawShipmentData!B637))-1))),DATEVALUE(TRIM([1]RawShipmentData!B637)))</f>
        <v>45294</v>
      </c>
      <c r="C633" s="2" t="str">
        <f>PROPER(TRIM([1]RawShipmentData!C637))</f>
        <v>Kolkata</v>
      </c>
      <c r="D633" s="2" t="str">
        <f>IFERROR(INDEX([1]HubMaster!$B$2:$B$7,MATCH(C633,[1]HubMaster!$A$2:$A$7,0)),"Unknown")</f>
        <v>East</v>
      </c>
      <c r="E633" s="2" t="str">
        <f>PROPER(TRIM(SUBSTITUTE([1]RawShipmentData!D637,"  "," ")))</f>
        <v>Ecom Express</v>
      </c>
      <c r="F633" s="2" t="str">
        <f>PROPER(TRIM([1]RawShipmentData!E637))</f>
        <v>Surface</v>
      </c>
      <c r="G633" s="2" t="str">
        <f>PROPER(TRIM(SUBSTITUTE([1]RawShipmentData!F637,"  "," ")))</f>
        <v>Grocery &amp; Fmcg</v>
      </c>
      <c r="H633" s="2" t="str">
        <f>PROPER(TRIM([1]RawShipmentData!G637))</f>
        <v>East</v>
      </c>
      <c r="I633" s="2" t="str">
        <f t="shared" si="45"/>
        <v>No</v>
      </c>
      <c r="J633" s="2">
        <f>IFERROR(VALUE(TRIM(SUBSTITUTE(UPPER([1]RawShipmentData!I633),"KG",""))),"")</f>
        <v>7.6</v>
      </c>
      <c r="K633" s="2">
        <f>VALUE(SUBSTITUTE(SUBSTITUTE(SUBSTITUTE(TRIM([1]RawShipmentData!J637),"₹",""),"Rs",""),",",""))</f>
        <v>314</v>
      </c>
      <c r="L633" s="2">
        <f>[1]RawShipmentData!K637</f>
        <v>4</v>
      </c>
      <c r="M633" s="3">
        <f>IF(TRIM([1]RawShipmentData!L637)="","",IF(ISNUMBER(SEARCH("/",TRIM([1]RawShipmentData!L637))),DATE(VALUE(RIGHT(TRIM([1]RawShipmentData!L637),4)),VALUE(MID(TRIM([1]RawShipmentData!L637),FIND("/",TRIM([1]RawShipmentData!L637))+1,2)),VALUE(LEFT(TRIM([1]RawShipmentData!L637),FIND("/",TRIM([1]RawShipmentData!L637))-1))),DATEVALUE(TRIM([1]RawShipmentData!L637))))</f>
        <v>45299</v>
      </c>
      <c r="N633" s="2">
        <f t="shared" si="46"/>
        <v>5</v>
      </c>
      <c r="O633" s="2">
        <f t="shared" si="47"/>
        <v>1</v>
      </c>
      <c r="P633" s="2" t="str">
        <f t="shared" si="48"/>
        <v>Late</v>
      </c>
      <c r="Q633" s="2" t="str">
        <f>PROPER(SUBSTITUTE(TRIM([1]RawShipmentData!M637)," ","-"))</f>
        <v>Delayed</v>
      </c>
      <c r="R633" s="4">
        <f t="shared" si="49"/>
        <v>41.315789473684212</v>
      </c>
      <c r="S633" s="2">
        <f>[1]RawShipmentData!N637</f>
        <v>3</v>
      </c>
      <c r="T633" s="2" t="str">
        <f>IF(OR(UPPER(TRIM([1]RawShipmentData!O637))="YES",UPPER(TRIM([1]RawShipmentData!O637))="Y"),"Yes","No")</f>
        <v>Yes</v>
      </c>
    </row>
    <row r="634" spans="1:20" x14ac:dyDescent="0.25">
      <c r="A634" s="2" t="str">
        <f>[1]RawShipmentData!A638</f>
        <v>SHP-100837</v>
      </c>
      <c r="B634" s="3">
        <f>IF(ISNUMBER(SEARCH("/",TRIM([1]RawShipmentData!B638))),DATE(VALUE(RIGHT(TRIM([1]RawShipmentData!B638),4)),VALUE(MID(TRIM([1]RawShipmentData!B638),FIND("/",TRIM([1]RawShipmentData!B638))+1,2)),VALUE(LEFT(TRIM([1]RawShipmentData!B638),FIND("/",TRIM([1]RawShipmentData!B638))-1))),DATEVALUE(TRIM([1]RawShipmentData!B638)))</f>
        <v>45430</v>
      </c>
      <c r="C634" s="2" t="str">
        <f>PROPER(TRIM([1]RawShipmentData!C638))</f>
        <v>Bengaluru</v>
      </c>
      <c r="D634" s="2" t="str">
        <f>IFERROR(INDEX([1]HubMaster!$B$2:$B$7,MATCH(C634,[1]HubMaster!$A$2:$A$7,0)),"Unknown")</f>
        <v>South</v>
      </c>
      <c r="E634" s="2" t="str">
        <f>PROPER(TRIM(SUBSTITUTE([1]RawShipmentData!D638,"  "," ")))</f>
        <v>Delhivery</v>
      </c>
      <c r="F634" s="2" t="str">
        <f>PROPER(TRIM([1]RawShipmentData!E638))</f>
        <v>Air</v>
      </c>
      <c r="G634" s="2" t="str">
        <f>PROPER(TRIM(SUBSTITUTE([1]RawShipmentData!F638,"  "," ")))</f>
        <v>Pharma</v>
      </c>
      <c r="H634" s="2" t="str">
        <f>PROPER(TRIM([1]RawShipmentData!G638))</f>
        <v>North</v>
      </c>
      <c r="I634" s="2" t="str">
        <f t="shared" si="45"/>
        <v>Yes</v>
      </c>
      <c r="J634" s="2">
        <f>IFERROR(VALUE(TRIM(SUBSTITUTE(UPPER([1]RawShipmentData!I634),"KG",""))),"")</f>
        <v>4.5</v>
      </c>
      <c r="K634" s="2">
        <f>VALUE(SUBSTITUTE(SUBSTITUTE(SUBSTITUTE(TRIM([1]RawShipmentData!J638),"₹",""),"Rs",""),",",""))</f>
        <v>403</v>
      </c>
      <c r="L634" s="2">
        <f>[1]RawShipmentData!K638</f>
        <v>4</v>
      </c>
      <c r="M634" s="3">
        <f>IF(TRIM([1]RawShipmentData!L638)="","",IF(ISNUMBER(SEARCH("/",TRIM([1]RawShipmentData!L638))),DATE(VALUE(RIGHT(TRIM([1]RawShipmentData!L638),4)),VALUE(MID(TRIM([1]RawShipmentData!L638),FIND("/",TRIM([1]RawShipmentData!L638))+1,2)),VALUE(LEFT(TRIM([1]RawShipmentData!L638),FIND("/",TRIM([1]RawShipmentData!L638))-1))),DATEVALUE(TRIM([1]RawShipmentData!L638))))</f>
        <v>45435</v>
      </c>
      <c r="N634" s="2">
        <f t="shared" si="46"/>
        <v>5</v>
      </c>
      <c r="O634" s="2">
        <f t="shared" si="47"/>
        <v>1</v>
      </c>
      <c r="P634" s="2" t="str">
        <f t="shared" si="48"/>
        <v>Late</v>
      </c>
      <c r="Q634" s="2" t="str">
        <f>PROPER(SUBSTITUTE(TRIM([1]RawShipmentData!M638)," ","-"))</f>
        <v>Delayed</v>
      </c>
      <c r="R634" s="4">
        <f t="shared" si="49"/>
        <v>89.555555555555557</v>
      </c>
      <c r="S634" s="2">
        <f>[1]RawShipmentData!N638</f>
        <v>2</v>
      </c>
      <c r="T634" s="2" t="str">
        <f>IF(OR(UPPER(TRIM([1]RawShipmentData!O638))="YES",UPPER(TRIM([1]RawShipmentData!O638))="Y"),"Yes","No")</f>
        <v>Yes</v>
      </c>
    </row>
    <row r="635" spans="1:20" x14ac:dyDescent="0.25">
      <c r="A635" s="2" t="str">
        <f>[1]RawShipmentData!A639</f>
        <v>SHP-101272</v>
      </c>
      <c r="B635" s="3">
        <f>IF(ISNUMBER(SEARCH("/",TRIM([1]RawShipmentData!B639))),DATE(VALUE(RIGHT(TRIM([1]RawShipmentData!B639),4)),VALUE(MID(TRIM([1]RawShipmentData!B639),FIND("/",TRIM([1]RawShipmentData!B639))+1,2)),VALUE(LEFT(TRIM([1]RawShipmentData!B639),FIND("/",TRIM([1]RawShipmentData!B639))-1))),DATEVALUE(TRIM([1]RawShipmentData!B639)))</f>
        <v>45357</v>
      </c>
      <c r="C635" s="2" t="str">
        <f>PROPER(TRIM([1]RawShipmentData!C639))</f>
        <v>Chennai</v>
      </c>
      <c r="D635" s="2" t="str">
        <f>IFERROR(INDEX([1]HubMaster!$B$2:$B$7,MATCH(C635,[1]HubMaster!$A$2:$A$7,0)),"Unknown")</f>
        <v>South</v>
      </c>
      <c r="E635" s="2" t="str">
        <f>PROPER(TRIM(SUBSTITUTE([1]RawShipmentData!D639,"  "," ")))</f>
        <v>Xpress Bees</v>
      </c>
      <c r="F635" s="2" t="str">
        <f>PROPER(TRIM([1]RawShipmentData!E639))</f>
        <v>Road</v>
      </c>
      <c r="G635" s="2" t="str">
        <f>PROPER(TRIM(SUBSTITUTE([1]RawShipmentData!F639,"  "," ")))</f>
        <v>Grocery &amp; Fmcg</v>
      </c>
      <c r="H635" s="2" t="str">
        <f>PROPER(TRIM([1]RawShipmentData!G639))</f>
        <v>West</v>
      </c>
      <c r="I635" s="2" t="str">
        <f t="shared" si="45"/>
        <v>Yes</v>
      </c>
      <c r="J635" s="2">
        <f>IFERROR(VALUE(TRIM(SUBSTITUTE(UPPER([1]RawShipmentData!I635),"KG",""))),"")</f>
        <v>9.6</v>
      </c>
      <c r="K635" s="2">
        <f>VALUE(SUBSTITUTE(SUBSTITUTE(SUBSTITUTE(TRIM([1]RawShipmentData!J639),"₹",""),"Rs",""),",",""))</f>
        <v>352</v>
      </c>
      <c r="L635" s="2">
        <f>[1]RawShipmentData!K639</f>
        <v>8</v>
      </c>
      <c r="M635" s="3">
        <f>IF(TRIM([1]RawShipmentData!L639)="","",IF(ISNUMBER(SEARCH("/",TRIM([1]RawShipmentData!L639))),DATE(VALUE(RIGHT(TRIM([1]RawShipmentData!L639),4)),VALUE(MID(TRIM([1]RawShipmentData!L639),FIND("/",TRIM([1]RawShipmentData!L639))+1,2)),VALUE(LEFT(TRIM([1]RawShipmentData!L639),FIND("/",TRIM([1]RawShipmentData!L639))-1))),DATEVALUE(TRIM([1]RawShipmentData!L639))))</f>
        <v>45366</v>
      </c>
      <c r="N635" s="2">
        <f t="shared" si="46"/>
        <v>9</v>
      </c>
      <c r="O635" s="2">
        <f t="shared" si="47"/>
        <v>1</v>
      </c>
      <c r="P635" s="2" t="str">
        <f t="shared" si="48"/>
        <v>Late</v>
      </c>
      <c r="Q635" s="2" t="str">
        <f>PROPER(SUBSTITUTE(TRIM([1]RawShipmentData!M639)," ","-"))</f>
        <v>Delayed</v>
      </c>
      <c r="R635" s="4">
        <f t="shared" si="49"/>
        <v>36.666666666666671</v>
      </c>
      <c r="S635" s="2">
        <f>[1]RawShipmentData!N639</f>
        <v>2</v>
      </c>
      <c r="T635" s="2" t="str">
        <f>IF(OR(UPPER(TRIM([1]RawShipmentData!O639))="YES",UPPER(TRIM([1]RawShipmentData!O639))="Y"),"Yes","No")</f>
        <v>No</v>
      </c>
    </row>
    <row r="636" spans="1:20" x14ac:dyDescent="0.25">
      <c r="A636" s="2" t="str">
        <f>[1]RawShipmentData!A640</f>
        <v>SHP-101282</v>
      </c>
      <c r="B636" s="3">
        <f>IF(ISNUMBER(SEARCH("/",TRIM([1]RawShipmentData!B640))),DATE(VALUE(RIGHT(TRIM([1]RawShipmentData!B640),4)),VALUE(MID(TRIM([1]RawShipmentData!B640),FIND("/",TRIM([1]RawShipmentData!B640))+1,2)),VALUE(LEFT(TRIM([1]RawShipmentData!B640),FIND("/",TRIM([1]RawShipmentData!B640))-1))),DATEVALUE(TRIM([1]RawShipmentData!B640)))</f>
        <v>45375</v>
      </c>
      <c r="C636" s="2" t="str">
        <f>PROPER(TRIM([1]RawShipmentData!C640))</f>
        <v>Mumbai</v>
      </c>
      <c r="D636" s="2" t="str">
        <f>IFERROR(INDEX([1]HubMaster!$B$2:$B$7,MATCH(C636,[1]HubMaster!$A$2:$A$7,0)),"Unknown")</f>
        <v>West</v>
      </c>
      <c r="E636" s="2" t="str">
        <f>PROPER(TRIM(SUBSTITUTE([1]RawShipmentData!D640,"  "," ")))</f>
        <v>Dtdc</v>
      </c>
      <c r="F636" s="2" t="str">
        <f>PROPER(TRIM([1]RawShipmentData!E640))</f>
        <v>Road</v>
      </c>
      <c r="G636" s="2" t="str">
        <f>PROPER(TRIM(SUBSTITUTE([1]RawShipmentData!F640,"  "," ")))</f>
        <v>Grocery &amp; Fmcg</v>
      </c>
      <c r="H636" s="2" t="str">
        <f>PROPER(TRIM([1]RawShipmentData!G640))</f>
        <v>East</v>
      </c>
      <c r="I636" s="2" t="str">
        <f t="shared" si="45"/>
        <v>Yes</v>
      </c>
      <c r="J636" s="2">
        <f>IFERROR(VALUE(TRIM(SUBSTITUTE(UPPER([1]RawShipmentData!I636),"KG",""))),"")</f>
        <v>25.8</v>
      </c>
      <c r="K636" s="2">
        <f>VALUE(SUBSTITUTE(SUBSTITUTE(SUBSTITUTE(TRIM([1]RawShipmentData!J640),"₹",""),"Rs",""),",",""))</f>
        <v>383</v>
      </c>
      <c r="L636" s="2">
        <f>[1]RawShipmentData!K640</f>
        <v>8</v>
      </c>
      <c r="M636" s="3">
        <f>IF(TRIM([1]RawShipmentData!L640)="","",IF(ISNUMBER(SEARCH("/",TRIM([1]RawShipmentData!L640))),DATE(VALUE(RIGHT(TRIM([1]RawShipmentData!L640),4)),VALUE(MID(TRIM([1]RawShipmentData!L640),FIND("/",TRIM([1]RawShipmentData!L640))+1,2)),VALUE(LEFT(TRIM([1]RawShipmentData!L640),FIND("/",TRIM([1]RawShipmentData!L640))-1))),DATEVALUE(TRIM([1]RawShipmentData!L640))))</f>
        <v>45385</v>
      </c>
      <c r="N636" s="2">
        <f t="shared" si="46"/>
        <v>10</v>
      </c>
      <c r="O636" s="2">
        <f t="shared" si="47"/>
        <v>2</v>
      </c>
      <c r="P636" s="2" t="str">
        <f t="shared" si="48"/>
        <v>Late</v>
      </c>
      <c r="Q636" s="2" t="str">
        <f>PROPER(SUBSTITUTE(TRIM([1]RawShipmentData!M640)," ","-"))</f>
        <v>Delayed</v>
      </c>
      <c r="R636" s="4">
        <f t="shared" si="49"/>
        <v>14.844961240310077</v>
      </c>
      <c r="S636" s="2">
        <f>[1]RawShipmentData!N640</f>
        <v>3</v>
      </c>
      <c r="T636" s="2" t="str">
        <f>IF(OR(UPPER(TRIM([1]RawShipmentData!O640))="YES",UPPER(TRIM([1]RawShipmentData!O640))="Y"),"Yes","No")</f>
        <v>Yes</v>
      </c>
    </row>
    <row r="637" spans="1:20" x14ac:dyDescent="0.25">
      <c r="A637" s="2" t="str">
        <f>[1]RawShipmentData!A641</f>
        <v>SHP-100574</v>
      </c>
      <c r="B637" s="3">
        <f>IF(ISNUMBER(SEARCH("/",TRIM([1]RawShipmentData!B641))),DATE(VALUE(RIGHT(TRIM([1]RawShipmentData!B641),4)),VALUE(MID(TRIM([1]RawShipmentData!B641),FIND("/",TRIM([1]RawShipmentData!B641))+1,2)),VALUE(LEFT(TRIM([1]RawShipmentData!B641),FIND("/",TRIM([1]RawShipmentData!B641))-1))),DATEVALUE(TRIM([1]RawShipmentData!B641)))</f>
        <v>45304</v>
      </c>
      <c r="C637" s="2" t="str">
        <f>PROPER(TRIM([1]RawShipmentData!C641))</f>
        <v>Hyderabad</v>
      </c>
      <c r="D637" s="2" t="str">
        <f>IFERROR(INDEX([1]HubMaster!$B$2:$B$7,MATCH(C637,[1]HubMaster!$A$2:$A$7,0)),"Unknown")</f>
        <v>West</v>
      </c>
      <c r="E637" s="2" t="str">
        <f>PROPER(TRIM(SUBSTITUTE([1]RawShipmentData!D641,"  "," ")))</f>
        <v>Xpressbees</v>
      </c>
      <c r="F637" s="2" t="str">
        <f>PROPER(TRIM([1]RawShipmentData!E641))</f>
        <v>Air</v>
      </c>
      <c r="G637" s="2" t="str">
        <f>PROPER(TRIM(SUBSTITUTE([1]RawShipmentData!F641,"  "," ")))</f>
        <v>Pharma</v>
      </c>
      <c r="H637" s="2" t="str">
        <f>PROPER(TRIM([1]RawShipmentData!G641))</f>
        <v>East</v>
      </c>
      <c r="I637" s="2" t="str">
        <f t="shared" si="45"/>
        <v>Yes</v>
      </c>
      <c r="J637" s="2">
        <f>IFERROR(VALUE(TRIM(SUBSTITUTE(UPPER([1]RawShipmentData!I637),"KG",""))),"")</f>
        <v>12.8</v>
      </c>
      <c r="K637" s="2">
        <f>VALUE(SUBSTITUTE(SUBSTITUTE(SUBSTITUTE(TRIM([1]RawShipmentData!J641),"₹",""),"Rs",""),",",""))</f>
        <v>249</v>
      </c>
      <c r="L637" s="2">
        <f>[1]RawShipmentData!K641</f>
        <v>4</v>
      </c>
      <c r="M637" s="3">
        <f>IF(TRIM([1]RawShipmentData!L641)="","",IF(ISNUMBER(SEARCH("/",TRIM([1]RawShipmentData!L641))),DATE(VALUE(RIGHT(TRIM([1]RawShipmentData!L641),4)),VALUE(MID(TRIM([1]RawShipmentData!L641),FIND("/",TRIM([1]RawShipmentData!L641))+1,2)),VALUE(LEFT(TRIM([1]RawShipmentData!L641),FIND("/",TRIM([1]RawShipmentData!L641))-1))),DATEVALUE(TRIM([1]RawShipmentData!L641))))</f>
        <v>45309</v>
      </c>
      <c r="N637" s="2">
        <f t="shared" si="46"/>
        <v>5</v>
      </c>
      <c r="O637" s="2">
        <f t="shared" si="47"/>
        <v>1</v>
      </c>
      <c r="P637" s="2" t="str">
        <f t="shared" si="48"/>
        <v>Late</v>
      </c>
      <c r="Q637" s="2" t="str">
        <f>PROPER(SUBSTITUTE(TRIM([1]RawShipmentData!M641)," ","-"))</f>
        <v>Delayed</v>
      </c>
      <c r="R637" s="4">
        <f t="shared" si="49"/>
        <v>19.453125</v>
      </c>
      <c r="S637" s="2">
        <f>[1]RawShipmentData!N641</f>
        <v>1</v>
      </c>
      <c r="T637" s="2" t="str">
        <f>IF(OR(UPPER(TRIM([1]RawShipmentData!O641))="YES",UPPER(TRIM([1]RawShipmentData!O641))="Y"),"Yes","No")</f>
        <v>No</v>
      </c>
    </row>
    <row r="638" spans="1:20" x14ac:dyDescent="0.25">
      <c r="A638" s="2" t="str">
        <f>[1]RawShipmentData!A642</f>
        <v>SHP-100156</v>
      </c>
      <c r="B638" s="3">
        <f>IF(ISNUMBER(SEARCH("/",TRIM([1]RawShipmentData!B642))),DATE(VALUE(RIGHT(TRIM([1]RawShipmentData!B642),4)),VALUE(MID(TRIM([1]RawShipmentData!B642),FIND("/",TRIM([1]RawShipmentData!B642))+1,2)),VALUE(LEFT(TRIM([1]RawShipmentData!B642),FIND("/",TRIM([1]RawShipmentData!B642))-1))),DATEVALUE(TRIM([1]RawShipmentData!B642)))</f>
        <v>45368</v>
      </c>
      <c r="C638" s="2" t="str">
        <f>PROPER(TRIM([1]RawShipmentData!C642))</f>
        <v>Chennai</v>
      </c>
      <c r="D638" s="2" t="str">
        <f>IFERROR(INDEX([1]HubMaster!$B$2:$B$7,MATCH(C638,[1]HubMaster!$A$2:$A$7,0)),"Unknown")</f>
        <v>South</v>
      </c>
      <c r="E638" s="2" t="str">
        <f>PROPER(TRIM(SUBSTITUTE([1]RawShipmentData!D642,"  "," ")))</f>
        <v>Dtdc</v>
      </c>
      <c r="F638" s="2" t="str">
        <f>PROPER(TRIM([1]RawShipmentData!E642))</f>
        <v>Surface</v>
      </c>
      <c r="G638" s="2" t="str">
        <f>PROPER(TRIM(SUBSTITUTE([1]RawShipmentData!F642,"  "," ")))</f>
        <v>Automotive Parts</v>
      </c>
      <c r="H638" s="2" t="str">
        <f>PROPER(TRIM([1]RawShipmentData!G642))</f>
        <v>North</v>
      </c>
      <c r="I638" s="2" t="str">
        <f t="shared" si="45"/>
        <v>Yes</v>
      </c>
      <c r="J638" s="2">
        <f>IFERROR(VALUE(TRIM(SUBSTITUTE(UPPER([1]RawShipmentData!I638),"KG",""))),"")</f>
        <v>4.7</v>
      </c>
      <c r="K638" s="2">
        <f>VALUE(SUBSTITUTE(SUBSTITUTE(SUBSTITUTE(TRIM([1]RawShipmentData!J642),"₹",""),"Rs",""),",",""))</f>
        <v>836</v>
      </c>
      <c r="L638" s="2">
        <f>[1]RawShipmentData!K642</f>
        <v>6</v>
      </c>
      <c r="M638" s="3">
        <f>IF(TRIM([1]RawShipmentData!L642)="","",IF(ISNUMBER(SEARCH("/",TRIM([1]RawShipmentData!L642))),DATE(VALUE(RIGHT(TRIM([1]RawShipmentData!L642),4)),VALUE(MID(TRIM([1]RawShipmentData!L642),FIND("/",TRIM([1]RawShipmentData!L642))+1,2)),VALUE(LEFT(TRIM([1]RawShipmentData!L642),FIND("/",TRIM([1]RawShipmentData!L642))-1))),DATEVALUE(TRIM([1]RawShipmentData!L642))))</f>
        <v>45374</v>
      </c>
      <c r="N638" s="2">
        <f t="shared" si="46"/>
        <v>6</v>
      </c>
      <c r="O638" s="2">
        <f t="shared" si="47"/>
        <v>0</v>
      </c>
      <c r="P638" s="2" t="str">
        <f t="shared" si="48"/>
        <v>On Time</v>
      </c>
      <c r="Q638" s="2" t="str">
        <f>PROPER(SUBSTITUTE(TRIM([1]RawShipmentData!M642)," ","-"))</f>
        <v>Delivered</v>
      </c>
      <c r="R638" s="4">
        <f t="shared" si="49"/>
        <v>177.87234042553192</v>
      </c>
      <c r="S638" s="2">
        <f>[1]RawShipmentData!N642</f>
        <v>4</v>
      </c>
      <c r="T638" s="2" t="str">
        <f>IF(OR(UPPER(TRIM([1]RawShipmentData!O642))="YES",UPPER(TRIM([1]RawShipmentData!O642))="Y"),"Yes","No")</f>
        <v>Yes</v>
      </c>
    </row>
    <row r="639" spans="1:20" x14ac:dyDescent="0.25">
      <c r="A639" s="2" t="str">
        <f>[1]RawShipmentData!A643</f>
        <v>SHP-101214</v>
      </c>
      <c r="B639" s="3">
        <f>IF(ISNUMBER(SEARCH("/",TRIM([1]RawShipmentData!B643))),DATE(VALUE(RIGHT(TRIM([1]RawShipmentData!B643),4)),VALUE(MID(TRIM([1]RawShipmentData!B643),FIND("/",TRIM([1]RawShipmentData!B643))+1,2)),VALUE(LEFT(TRIM([1]RawShipmentData!B643),FIND("/",TRIM([1]RawShipmentData!B643))-1))),DATEVALUE(TRIM([1]RawShipmentData!B643)))</f>
        <v>45405</v>
      </c>
      <c r="C639" s="2" t="str">
        <f>PROPER(TRIM([1]RawShipmentData!C643))</f>
        <v>Chennai</v>
      </c>
      <c r="D639" s="2" t="str">
        <f>IFERROR(INDEX([1]HubMaster!$B$2:$B$7,MATCH(C639,[1]HubMaster!$A$2:$A$7,0)),"Unknown")</f>
        <v>South</v>
      </c>
      <c r="E639" s="2" t="str">
        <f>PROPER(TRIM(SUBSTITUTE([1]RawShipmentData!D643,"  "," ")))</f>
        <v>Dtdc</v>
      </c>
      <c r="F639" s="2" t="str">
        <f>PROPER(TRIM([1]RawShipmentData!E643))</f>
        <v>Road</v>
      </c>
      <c r="G639" s="2" t="str">
        <f>PROPER(TRIM(SUBSTITUTE([1]RawShipmentData!F643,"  "," ")))</f>
        <v>Pharma</v>
      </c>
      <c r="H639" s="2" t="str">
        <f>PROPER(TRIM([1]RawShipmentData!G643))</f>
        <v>West</v>
      </c>
      <c r="I639" s="2" t="str">
        <f t="shared" si="45"/>
        <v>Yes</v>
      </c>
      <c r="J639" s="2">
        <f>IFERROR(VALUE(TRIM(SUBSTITUTE(UPPER([1]RawShipmentData!I639),"KG",""))),"")</f>
        <v>11.9</v>
      </c>
      <c r="K639" s="2">
        <f>VALUE(SUBSTITUTE(SUBSTITUTE(SUBSTITUTE(TRIM([1]RawShipmentData!J643),"₹",""),"Rs",""),",",""))</f>
        <v>227</v>
      </c>
      <c r="L639" s="2">
        <f>[1]RawShipmentData!K643</f>
        <v>8</v>
      </c>
      <c r="M639" s="3">
        <f>IF(TRIM([1]RawShipmentData!L643)="","",IF(ISNUMBER(SEARCH("/",TRIM([1]RawShipmentData!L643))),DATE(VALUE(RIGHT(TRIM([1]RawShipmentData!L643),4)),VALUE(MID(TRIM([1]RawShipmentData!L643),FIND("/",TRIM([1]RawShipmentData!L643))+1,2)),VALUE(LEFT(TRIM([1]RawShipmentData!L643),FIND("/",TRIM([1]RawShipmentData!L643))-1))),DATEVALUE(TRIM([1]RawShipmentData!L643))))</f>
        <v>45413</v>
      </c>
      <c r="N639" s="2">
        <f t="shared" si="46"/>
        <v>8</v>
      </c>
      <c r="O639" s="2">
        <f t="shared" si="47"/>
        <v>0</v>
      </c>
      <c r="P639" s="2" t="str">
        <f t="shared" si="48"/>
        <v>On Time</v>
      </c>
      <c r="Q639" s="2" t="str">
        <f>PROPER(SUBSTITUTE(TRIM([1]RawShipmentData!M643)," ","-"))</f>
        <v>Delivered</v>
      </c>
      <c r="R639" s="4">
        <f t="shared" si="49"/>
        <v>19.07563025210084</v>
      </c>
      <c r="S639" s="2">
        <f>[1]RawShipmentData!N643</f>
        <v>4</v>
      </c>
      <c r="T639" s="2" t="str">
        <f>IF(OR(UPPER(TRIM([1]RawShipmentData!O643))="YES",UPPER(TRIM([1]RawShipmentData!O643))="Y"),"Yes","No")</f>
        <v>Yes</v>
      </c>
    </row>
    <row r="640" spans="1:20" x14ac:dyDescent="0.25">
      <c r="A640" s="2" t="str">
        <f>[1]RawShipmentData!A644</f>
        <v>SHP-101437</v>
      </c>
      <c r="B640" s="3">
        <f>IF(ISNUMBER(SEARCH("/",TRIM([1]RawShipmentData!B644))),DATE(VALUE(RIGHT(TRIM([1]RawShipmentData!B644),4)),VALUE(MID(TRIM([1]RawShipmentData!B644),FIND("/",TRIM([1]RawShipmentData!B644))+1,2)),VALUE(LEFT(TRIM([1]RawShipmentData!B644),FIND("/",TRIM([1]RawShipmentData!B644))-1))),DATEVALUE(TRIM([1]RawShipmentData!B644)))</f>
        <v>45299</v>
      </c>
      <c r="C640" s="2" t="str">
        <f>PROPER(TRIM([1]RawShipmentData!C644))</f>
        <v>Hyderabad</v>
      </c>
      <c r="D640" s="2" t="str">
        <f>IFERROR(INDEX([1]HubMaster!$B$2:$B$7,MATCH(C640,[1]HubMaster!$A$2:$A$7,0)),"Unknown")</f>
        <v>West</v>
      </c>
      <c r="E640" s="2" t="str">
        <f>PROPER(TRIM(SUBSTITUTE([1]RawShipmentData!D644,"  "," ")))</f>
        <v>Dtdc</v>
      </c>
      <c r="F640" s="2" t="str">
        <f>PROPER(TRIM([1]RawShipmentData!E644))</f>
        <v>Air</v>
      </c>
      <c r="G640" s="2" t="str">
        <f>PROPER(TRIM(SUBSTITUTE([1]RawShipmentData!F644,"  "," ")))</f>
        <v>Furniture</v>
      </c>
      <c r="H640" s="2" t="str">
        <f>PROPER(TRIM([1]RawShipmentData!G644))</f>
        <v>East</v>
      </c>
      <c r="I640" s="2" t="str">
        <f t="shared" si="45"/>
        <v>Yes</v>
      </c>
      <c r="J640" s="2">
        <f>IFERROR(VALUE(TRIM(SUBSTITUTE(UPPER([1]RawShipmentData!I640),"KG",""))),"")</f>
        <v>16.5</v>
      </c>
      <c r="K640" s="2">
        <f>VALUE(SUBSTITUTE(SUBSTITUTE(SUBSTITUTE(TRIM([1]RawShipmentData!J644),"₹",""),"Rs",""),",",""))</f>
        <v>3727</v>
      </c>
      <c r="L640" s="2">
        <f>[1]RawShipmentData!K644</f>
        <v>4</v>
      </c>
      <c r="M640" s="3">
        <f>IF(TRIM([1]RawShipmentData!L644)="","",IF(ISNUMBER(SEARCH("/",TRIM([1]RawShipmentData!L644))),DATE(VALUE(RIGHT(TRIM([1]RawShipmentData!L644),4)),VALUE(MID(TRIM([1]RawShipmentData!L644),FIND("/",TRIM([1]RawShipmentData!L644))+1,2)),VALUE(LEFT(TRIM([1]RawShipmentData!L644),FIND("/",TRIM([1]RawShipmentData!L644))-1))),DATEVALUE(TRIM([1]RawShipmentData!L644))))</f>
        <v>45310</v>
      </c>
      <c r="N640" s="2">
        <f t="shared" si="46"/>
        <v>11</v>
      </c>
      <c r="O640" s="2">
        <f t="shared" si="47"/>
        <v>7</v>
      </c>
      <c r="P640" s="2" t="str">
        <f t="shared" si="48"/>
        <v>Late</v>
      </c>
      <c r="Q640" s="2" t="str">
        <f>PROPER(SUBSTITUTE(TRIM([1]RawShipmentData!M644)," ","-"))</f>
        <v>Delayed</v>
      </c>
      <c r="R640" s="4">
        <f t="shared" si="49"/>
        <v>225.87878787878788</v>
      </c>
      <c r="S640" s="2">
        <f>[1]RawShipmentData!N644</f>
        <v>4</v>
      </c>
      <c r="T640" s="2" t="str">
        <f>IF(OR(UPPER(TRIM([1]RawShipmentData!O644))="YES",UPPER(TRIM([1]RawShipmentData!O644))="Y"),"Yes","No")</f>
        <v>Yes</v>
      </c>
    </row>
    <row r="641" spans="1:20" x14ac:dyDescent="0.25">
      <c r="A641" s="2" t="str">
        <f>[1]RawShipmentData!A645</f>
        <v>SHP-101419</v>
      </c>
      <c r="B641" s="3">
        <f>IF(ISNUMBER(SEARCH("/",TRIM([1]RawShipmentData!B645))),DATE(VALUE(RIGHT(TRIM([1]RawShipmentData!B645),4)),VALUE(MID(TRIM([1]RawShipmentData!B645),FIND("/",TRIM([1]RawShipmentData!B645))+1,2)),VALUE(LEFT(TRIM([1]RawShipmentData!B645),FIND("/",TRIM([1]RawShipmentData!B645))-1))),DATEVALUE(TRIM([1]RawShipmentData!B645)))</f>
        <v>45323</v>
      </c>
      <c r="C641" s="2" t="str">
        <f>PROPER(TRIM([1]RawShipmentData!C645))</f>
        <v>Delhi</v>
      </c>
      <c r="D641" s="2" t="str">
        <f>IFERROR(INDEX([1]HubMaster!$B$2:$B$7,MATCH(C641,[1]HubMaster!$A$2:$A$7,0)),"Unknown")</f>
        <v>North</v>
      </c>
      <c r="E641" s="2" t="str">
        <f>PROPER(TRIM(SUBSTITUTE([1]RawShipmentData!D645,"  "," ")))</f>
        <v>Bluedart</v>
      </c>
      <c r="F641" s="2" t="str">
        <f>PROPER(TRIM([1]RawShipmentData!E645))</f>
        <v>Road</v>
      </c>
      <c r="G641" s="2" t="str">
        <f>PROPER(TRIM(SUBSTITUTE([1]RawShipmentData!F645,"  "," ")))</f>
        <v>Furniture</v>
      </c>
      <c r="H641" s="2" t="str">
        <f>PROPER(TRIM([1]RawShipmentData!G645))</f>
        <v>East</v>
      </c>
      <c r="I641" s="2" t="str">
        <f t="shared" si="45"/>
        <v>Yes</v>
      </c>
      <c r="J641" s="2">
        <f>IFERROR(VALUE(TRIM(SUBSTITUTE(UPPER([1]RawShipmentData!I641),"KG",""))),"")</f>
        <v>1</v>
      </c>
      <c r="K641" s="2">
        <f>VALUE(SUBSTITUTE(SUBSTITUTE(SUBSTITUTE(TRIM([1]RawShipmentData!J645),"₹",""),"Rs",""),",",""))</f>
        <v>771</v>
      </c>
      <c r="L641" s="2">
        <f>[1]RawShipmentData!K645</f>
        <v>8</v>
      </c>
      <c r="M641" s="3">
        <f>IF(TRIM([1]RawShipmentData!L645)="","",IF(ISNUMBER(SEARCH("/",TRIM([1]RawShipmentData!L645))),DATE(VALUE(RIGHT(TRIM([1]RawShipmentData!L645),4)),VALUE(MID(TRIM([1]RawShipmentData!L645),FIND("/",TRIM([1]RawShipmentData!L645))+1,2)),VALUE(LEFT(TRIM([1]RawShipmentData!L645),FIND("/",TRIM([1]RawShipmentData!L645))-1))),DATEVALUE(TRIM([1]RawShipmentData!L645))))</f>
        <v>45331</v>
      </c>
      <c r="N641" s="2">
        <f t="shared" si="46"/>
        <v>8</v>
      </c>
      <c r="O641" s="2">
        <f t="shared" si="47"/>
        <v>0</v>
      </c>
      <c r="P641" s="2" t="str">
        <f t="shared" si="48"/>
        <v>On Time</v>
      </c>
      <c r="Q641" s="2" t="str">
        <f>PROPER(SUBSTITUTE(TRIM([1]RawShipmentData!M645)," ","-"))</f>
        <v>Delivered</v>
      </c>
      <c r="R641" s="4">
        <f t="shared" si="49"/>
        <v>771</v>
      </c>
      <c r="S641" s="2">
        <f>[1]RawShipmentData!N645</f>
        <v>2</v>
      </c>
      <c r="T641" s="2" t="str">
        <f>IF(OR(UPPER(TRIM([1]RawShipmentData!O645))="YES",UPPER(TRIM([1]RawShipmentData!O645))="Y"),"Yes","No")</f>
        <v>No</v>
      </c>
    </row>
    <row r="642" spans="1:20" x14ac:dyDescent="0.25">
      <c r="A642" s="2" t="str">
        <f>[1]RawShipmentData!A646</f>
        <v>SHP-100063</v>
      </c>
      <c r="B642" s="3">
        <f>IF(ISNUMBER(SEARCH("/",TRIM([1]RawShipmentData!B646))),DATE(VALUE(RIGHT(TRIM([1]RawShipmentData!B646),4)),VALUE(MID(TRIM([1]RawShipmentData!B646),FIND("/",TRIM([1]RawShipmentData!B646))+1,2)),VALUE(LEFT(TRIM([1]RawShipmentData!B646),FIND("/",TRIM([1]RawShipmentData!B646))-1))),DATEVALUE(TRIM([1]RawShipmentData!B646)))</f>
        <v>45415</v>
      </c>
      <c r="C642" s="2" t="str">
        <f>PROPER(TRIM([1]RawShipmentData!C646))</f>
        <v>Mumbai</v>
      </c>
      <c r="D642" s="2" t="str">
        <f>IFERROR(INDEX([1]HubMaster!$B$2:$B$7,MATCH(C642,[1]HubMaster!$A$2:$A$7,0)),"Unknown")</f>
        <v>West</v>
      </c>
      <c r="E642" s="2" t="str">
        <f>PROPER(TRIM(SUBSTITUTE([1]RawShipmentData!D646,"  "," ")))</f>
        <v>Xpressbees</v>
      </c>
      <c r="F642" s="2" t="str">
        <f>PROPER(TRIM([1]RawShipmentData!E646))</f>
        <v>Surface</v>
      </c>
      <c r="G642" s="2" t="str">
        <f>PROPER(TRIM(SUBSTITUTE([1]RawShipmentData!F646,"  "," ")))</f>
        <v>Apparel</v>
      </c>
      <c r="H642" s="2" t="str">
        <f>PROPER(TRIM([1]RawShipmentData!G646))</f>
        <v>West</v>
      </c>
      <c r="I642" s="2" t="str">
        <f t="shared" ref="I642:I705" si="50">IF(D642=H642,"No","Yes")</f>
        <v>No</v>
      </c>
      <c r="J642" s="2">
        <f>IFERROR(VALUE(TRIM(SUBSTITUTE(UPPER([1]RawShipmentData!I642),"KG",""))),"")</f>
        <v>29.4</v>
      </c>
      <c r="K642" s="2">
        <f>VALUE(SUBSTITUTE(SUBSTITUTE(SUBSTITUTE(TRIM([1]RawShipmentData!J646),"₹",""),"Rs",""),",",""))</f>
        <v>210</v>
      </c>
      <c r="L642" s="2">
        <f>[1]RawShipmentData!K646</f>
        <v>4</v>
      </c>
      <c r="M642" s="3">
        <f>IF(TRIM([1]RawShipmentData!L646)="","",IF(ISNUMBER(SEARCH("/",TRIM([1]RawShipmentData!L646))),DATE(VALUE(RIGHT(TRIM([1]RawShipmentData!L646),4)),VALUE(MID(TRIM([1]RawShipmentData!L646),FIND("/",TRIM([1]RawShipmentData!L646))+1,2)),VALUE(LEFT(TRIM([1]RawShipmentData!L646),FIND("/",TRIM([1]RawShipmentData!L646))-1))),DATEVALUE(TRIM([1]RawShipmentData!L646))))</f>
        <v>45418</v>
      </c>
      <c r="N642" s="2">
        <f t="shared" ref="N642:N705" si="51">IF(M642="","",M642-B642)</f>
        <v>3</v>
      </c>
      <c r="O642" s="2">
        <f t="shared" ref="O642:O705" si="52">IF(N642="","",N642-L642)</f>
        <v>-1</v>
      </c>
      <c r="P642" s="2" t="str">
        <f t="shared" ref="P642:P705" si="53">IF(N642="","N/A",IF(N642&lt;=L642,"On Time","Late"))</f>
        <v>On Time</v>
      </c>
      <c r="Q642" s="2" t="str">
        <f>PROPER(SUBSTITUTE(TRIM([1]RawShipmentData!M646)," ","-"))</f>
        <v>Delivered</v>
      </c>
      <c r="R642" s="4">
        <f t="shared" si="49"/>
        <v>7.1428571428571432</v>
      </c>
      <c r="S642" s="2">
        <f>[1]RawShipmentData!N646</f>
        <v>4</v>
      </c>
      <c r="T642" s="2" t="str">
        <f>IF(OR(UPPER(TRIM([1]RawShipmentData!O646))="YES",UPPER(TRIM([1]RawShipmentData!O646))="Y"),"Yes","No")</f>
        <v>No</v>
      </c>
    </row>
    <row r="643" spans="1:20" x14ac:dyDescent="0.25">
      <c r="A643" s="2" t="str">
        <f>[1]RawShipmentData!A647</f>
        <v>SHP-101059</v>
      </c>
      <c r="B643" s="3">
        <f>IF(ISNUMBER(SEARCH("/",TRIM([1]RawShipmentData!B647))),DATE(VALUE(RIGHT(TRIM([1]RawShipmentData!B647),4)),VALUE(MID(TRIM([1]RawShipmentData!B647),FIND("/",TRIM([1]RawShipmentData!B647))+1,2)),VALUE(LEFT(TRIM([1]RawShipmentData!B647),FIND("/",TRIM([1]RawShipmentData!B647))-1))),DATEVALUE(TRIM([1]RawShipmentData!B647)))</f>
        <v>45361</v>
      </c>
      <c r="C643" s="2" t="str">
        <f>PROPER(TRIM([1]RawShipmentData!C647))</f>
        <v>Delhi</v>
      </c>
      <c r="D643" s="2" t="str">
        <f>IFERROR(INDEX([1]HubMaster!$B$2:$B$7,MATCH(C643,[1]HubMaster!$A$2:$A$7,0)),"Unknown")</f>
        <v>North</v>
      </c>
      <c r="E643" s="2" t="str">
        <f>PROPER(TRIM(SUBSTITUTE([1]RawShipmentData!D647,"  "," ")))</f>
        <v>Ecom Express</v>
      </c>
      <c r="F643" s="2" t="str">
        <f>PROPER(TRIM([1]RawShipmentData!E647))</f>
        <v>Surface</v>
      </c>
      <c r="G643" s="2" t="str">
        <f>PROPER(TRIM(SUBSTITUTE([1]RawShipmentData!F647,"  "," ")))</f>
        <v>Grocery &amp; Fmcg</v>
      </c>
      <c r="H643" s="2" t="str">
        <f>PROPER(TRIM([1]RawShipmentData!G647))</f>
        <v>East</v>
      </c>
      <c r="I643" s="2" t="str">
        <f t="shared" si="50"/>
        <v>Yes</v>
      </c>
      <c r="J643" s="2">
        <f>IFERROR(VALUE(TRIM(SUBSTITUTE(UPPER([1]RawShipmentData!I643),"KG",""))),"")</f>
        <v>2.2000000000000002</v>
      </c>
      <c r="K643" s="2">
        <f>VALUE(SUBSTITUTE(SUBSTITUTE(SUBSTITUTE(TRIM([1]RawShipmentData!J647),"₹",""),"Rs",""),",",""))</f>
        <v>317</v>
      </c>
      <c r="L643" s="2">
        <f>[1]RawShipmentData!K647</f>
        <v>6</v>
      </c>
      <c r="M643" s="3">
        <f>IF(TRIM([1]RawShipmentData!L647)="","",IF(ISNUMBER(SEARCH("/",TRIM([1]RawShipmentData!L647))),DATE(VALUE(RIGHT(TRIM([1]RawShipmentData!L647),4)),VALUE(MID(TRIM([1]RawShipmentData!L647),FIND("/",TRIM([1]RawShipmentData!L647))+1,2)),VALUE(LEFT(TRIM([1]RawShipmentData!L647),FIND("/",TRIM([1]RawShipmentData!L647))-1))),DATEVALUE(TRIM([1]RawShipmentData!L647))))</f>
        <v>45367</v>
      </c>
      <c r="N643" s="2">
        <f t="shared" si="51"/>
        <v>6</v>
      </c>
      <c r="O643" s="2">
        <f t="shared" si="52"/>
        <v>0</v>
      </c>
      <c r="P643" s="2" t="str">
        <f t="shared" si="53"/>
        <v>On Time</v>
      </c>
      <c r="Q643" s="2" t="str">
        <f>PROPER(SUBSTITUTE(TRIM([1]RawShipmentData!M647)," ","-"))</f>
        <v>Delivered</v>
      </c>
      <c r="R643" s="4">
        <f t="shared" ref="R643:R706" si="54">IFERROR(K643/J643,"")</f>
        <v>144.09090909090907</v>
      </c>
      <c r="S643" s="2">
        <f>[1]RawShipmentData!N647</f>
        <v>4</v>
      </c>
      <c r="T643" s="2" t="str">
        <f>IF(OR(UPPER(TRIM([1]RawShipmentData!O647))="YES",UPPER(TRIM([1]RawShipmentData!O647))="Y"),"Yes","No")</f>
        <v>No</v>
      </c>
    </row>
    <row r="644" spans="1:20" x14ac:dyDescent="0.25">
      <c r="A644" s="2" t="str">
        <f>[1]RawShipmentData!A648</f>
        <v>SHP-100159</v>
      </c>
      <c r="B644" s="3">
        <f>IF(ISNUMBER(SEARCH("/",TRIM([1]RawShipmentData!B648))),DATE(VALUE(RIGHT(TRIM([1]RawShipmentData!B648),4)),VALUE(MID(TRIM([1]RawShipmentData!B648),FIND("/",TRIM([1]RawShipmentData!B648))+1,2)),VALUE(LEFT(TRIM([1]RawShipmentData!B648),FIND("/",TRIM([1]RawShipmentData!B648))-1))),DATEVALUE(TRIM([1]RawShipmentData!B648)))</f>
        <v>45323</v>
      </c>
      <c r="C644" s="2" t="str">
        <f>PROPER(TRIM([1]RawShipmentData!C648))</f>
        <v>Chennai</v>
      </c>
      <c r="D644" s="2" t="str">
        <f>IFERROR(INDEX([1]HubMaster!$B$2:$B$7,MATCH(C644,[1]HubMaster!$A$2:$A$7,0)),"Unknown")</f>
        <v>South</v>
      </c>
      <c r="E644" s="2" t="str">
        <f>PROPER(TRIM(SUBSTITUTE([1]RawShipmentData!D648,"  "," ")))</f>
        <v>Dtdc</v>
      </c>
      <c r="F644" s="2" t="str">
        <f>PROPER(TRIM([1]RawShipmentData!E648))</f>
        <v>Air</v>
      </c>
      <c r="G644" s="2" t="str">
        <f>PROPER(TRIM(SUBSTITUTE([1]RawShipmentData!F648,"  "," ")))</f>
        <v>Pharma</v>
      </c>
      <c r="H644" s="2" t="str">
        <f>PROPER(TRIM([1]RawShipmentData!G648))</f>
        <v>West</v>
      </c>
      <c r="I644" s="2" t="str">
        <f t="shared" si="50"/>
        <v>Yes</v>
      </c>
      <c r="J644" s="2">
        <f>IFERROR(VALUE(TRIM(SUBSTITUTE(UPPER([1]RawShipmentData!I644),"KG",""))),"")</f>
        <v>79.5</v>
      </c>
      <c r="K644" s="2">
        <f>VALUE(SUBSTITUTE(SUBSTITUTE(SUBSTITUTE(TRIM([1]RawShipmentData!J648),"₹",""),"Rs",""),",",""))</f>
        <v>317</v>
      </c>
      <c r="L644" s="2">
        <f>[1]RawShipmentData!K648</f>
        <v>4</v>
      </c>
      <c r="M644" s="3">
        <f>IF(TRIM([1]RawShipmentData!L648)="","",IF(ISNUMBER(SEARCH("/",TRIM([1]RawShipmentData!L648))),DATE(VALUE(RIGHT(TRIM([1]RawShipmentData!L648),4)),VALUE(MID(TRIM([1]RawShipmentData!L648),FIND("/",TRIM([1]RawShipmentData!L648))+1,2)),VALUE(LEFT(TRIM([1]RawShipmentData!L648),FIND("/",TRIM([1]RawShipmentData!L648))-1))),DATEVALUE(TRIM([1]RawShipmentData!L648))))</f>
        <v>45326</v>
      </c>
      <c r="N644" s="2">
        <f t="shared" si="51"/>
        <v>3</v>
      </c>
      <c r="O644" s="2">
        <f t="shared" si="52"/>
        <v>-1</v>
      </c>
      <c r="P644" s="2" t="str">
        <f t="shared" si="53"/>
        <v>On Time</v>
      </c>
      <c r="Q644" s="2" t="str">
        <f>PROPER(SUBSTITUTE(TRIM([1]RawShipmentData!M648)," ","-"))</f>
        <v>Delivered</v>
      </c>
      <c r="R644" s="4">
        <f t="shared" si="54"/>
        <v>3.9874213836477987</v>
      </c>
      <c r="S644" s="2">
        <f>[1]RawShipmentData!N648</f>
        <v>3</v>
      </c>
      <c r="T644" s="2" t="str">
        <f>IF(OR(UPPER(TRIM([1]RawShipmentData!O648))="YES",UPPER(TRIM([1]RawShipmentData!O648))="Y"),"Yes","No")</f>
        <v>Yes</v>
      </c>
    </row>
    <row r="645" spans="1:20" x14ac:dyDescent="0.25">
      <c r="A645" s="2" t="str">
        <f>[1]RawShipmentData!A649</f>
        <v>SHP-101542</v>
      </c>
      <c r="B645" s="3">
        <f>IF(ISNUMBER(SEARCH("/",TRIM([1]RawShipmentData!B649))),DATE(VALUE(RIGHT(TRIM([1]RawShipmentData!B649),4)),VALUE(MID(TRIM([1]RawShipmentData!B649),FIND("/",TRIM([1]RawShipmentData!B649))+1,2)),VALUE(LEFT(TRIM([1]RawShipmentData!B649),FIND("/",TRIM([1]RawShipmentData!B649))-1))),DATEVALUE(TRIM([1]RawShipmentData!B649)))</f>
        <v>45398</v>
      </c>
      <c r="C645" s="2" t="str">
        <f>PROPER(TRIM([1]RawShipmentData!C649))</f>
        <v>Bengaluru</v>
      </c>
      <c r="D645" s="2" t="str">
        <f>IFERROR(INDEX([1]HubMaster!$B$2:$B$7,MATCH(C645,[1]HubMaster!$A$2:$A$7,0)),"Unknown")</f>
        <v>South</v>
      </c>
      <c r="E645" s="2" t="str">
        <f>PROPER(TRIM(SUBSTITUTE([1]RawShipmentData!D649,"  "," ")))</f>
        <v>Bluedart</v>
      </c>
      <c r="F645" s="2" t="str">
        <f>PROPER(TRIM([1]RawShipmentData!E649))</f>
        <v>Air</v>
      </c>
      <c r="G645" s="2" t="str">
        <f>PROPER(TRIM(SUBSTITUTE([1]RawShipmentData!F649,"  "," ")))</f>
        <v>Automotive Parts</v>
      </c>
      <c r="H645" s="2" t="str">
        <f>PROPER(TRIM([1]RawShipmentData!G649))</f>
        <v>East</v>
      </c>
      <c r="I645" s="2" t="str">
        <f t="shared" si="50"/>
        <v>Yes</v>
      </c>
      <c r="J645" s="2">
        <f>IFERROR(VALUE(TRIM(SUBSTITUTE(UPPER([1]RawShipmentData!I645),"KG",""))),"")</f>
        <v>41.9</v>
      </c>
      <c r="K645" s="2">
        <f>VALUE(SUBSTITUTE(SUBSTITUTE(SUBSTITUTE(TRIM([1]RawShipmentData!J649),"₹",""),"Rs",""),",",""))</f>
        <v>770</v>
      </c>
      <c r="L645" s="2">
        <f>[1]RawShipmentData!K649</f>
        <v>4</v>
      </c>
      <c r="M645" s="3">
        <f>IF(TRIM([1]RawShipmentData!L649)="","",IF(ISNUMBER(SEARCH("/",TRIM([1]RawShipmentData!L649))),DATE(VALUE(RIGHT(TRIM([1]RawShipmentData!L649),4)),VALUE(MID(TRIM([1]RawShipmentData!L649),FIND("/",TRIM([1]RawShipmentData!L649))+1,2)),VALUE(LEFT(TRIM([1]RawShipmentData!L649),FIND("/",TRIM([1]RawShipmentData!L649))-1))),DATEVALUE(TRIM([1]RawShipmentData!L649))))</f>
        <v>45401</v>
      </c>
      <c r="N645" s="2">
        <f t="shared" si="51"/>
        <v>3</v>
      </c>
      <c r="O645" s="2">
        <f t="shared" si="52"/>
        <v>-1</v>
      </c>
      <c r="P645" s="2" t="str">
        <f t="shared" si="53"/>
        <v>On Time</v>
      </c>
      <c r="Q645" s="2" t="str">
        <f>PROPER(SUBSTITUTE(TRIM([1]RawShipmentData!M649)," ","-"))</f>
        <v>Delivered</v>
      </c>
      <c r="R645" s="4">
        <f t="shared" si="54"/>
        <v>18.377088305489259</v>
      </c>
      <c r="S645" s="2">
        <f>[1]RawShipmentData!N649</f>
        <v>5</v>
      </c>
      <c r="T645" s="2" t="str">
        <f>IF(OR(UPPER(TRIM([1]RawShipmentData!O649))="YES",UPPER(TRIM([1]RawShipmentData!O649))="Y"),"Yes","No")</f>
        <v>No</v>
      </c>
    </row>
    <row r="646" spans="1:20" x14ac:dyDescent="0.25">
      <c r="A646" s="2" t="str">
        <f>[1]RawShipmentData!A651</f>
        <v>SHP-101330</v>
      </c>
      <c r="B646" s="3">
        <f>IF(ISNUMBER(SEARCH("/",TRIM([1]RawShipmentData!B651))),DATE(VALUE(RIGHT(TRIM([1]RawShipmentData!B651),4)),VALUE(MID(TRIM([1]RawShipmentData!B651),FIND("/",TRIM([1]RawShipmentData!B651))+1,2)),VALUE(LEFT(TRIM([1]RawShipmentData!B651),FIND("/",TRIM([1]RawShipmentData!B651))-1))),DATEVALUE(TRIM([1]RawShipmentData!B651)))</f>
        <v>45418</v>
      </c>
      <c r="C646" s="2" t="str">
        <f>PROPER(TRIM([1]RawShipmentData!C651))</f>
        <v>Chennai</v>
      </c>
      <c r="D646" s="2" t="str">
        <f>IFERROR(INDEX([1]HubMaster!$B$2:$B$7,MATCH(C646,[1]HubMaster!$A$2:$A$7,0)),"Unknown")</f>
        <v>South</v>
      </c>
      <c r="E646" s="2" t="str">
        <f>PROPER(TRIM(SUBSTITUTE([1]RawShipmentData!D651,"  "," ")))</f>
        <v>Ecom Express</v>
      </c>
      <c r="F646" s="2" t="str">
        <f>PROPER(TRIM([1]RawShipmentData!E651))</f>
        <v>Air</v>
      </c>
      <c r="G646" s="2" t="str">
        <f>PROPER(TRIM(SUBSTITUTE([1]RawShipmentData!F651,"  "," ")))</f>
        <v>Electronics</v>
      </c>
      <c r="H646" s="2" t="str">
        <f>PROPER(TRIM([1]RawShipmentData!G651))</f>
        <v>West</v>
      </c>
      <c r="I646" s="2" t="str">
        <f t="shared" si="50"/>
        <v>Yes</v>
      </c>
      <c r="J646" s="2">
        <f>IFERROR(VALUE(TRIM(SUBSTITUTE(UPPER([1]RawShipmentData!I646),"KG",""))),"")</f>
        <v>7.2</v>
      </c>
      <c r="K646" s="2">
        <f>VALUE(SUBSTITUTE(SUBSTITUTE(SUBSTITUTE(TRIM([1]RawShipmentData!J651),"₹",""),"Rs",""),",",""))</f>
        <v>657</v>
      </c>
      <c r="L646" s="2">
        <f>[1]RawShipmentData!K651</f>
        <v>4</v>
      </c>
      <c r="M646" s="3">
        <f>IF(TRIM([1]RawShipmentData!L651)="","",IF(ISNUMBER(SEARCH("/",TRIM([1]RawShipmentData!L651))),DATE(VALUE(RIGHT(TRIM([1]RawShipmentData!L651),4)),VALUE(MID(TRIM([1]RawShipmentData!L651),FIND("/",TRIM([1]RawShipmentData!L651))+1,2)),VALUE(LEFT(TRIM([1]RawShipmentData!L651),FIND("/",TRIM([1]RawShipmentData!L651))-1))),DATEVALUE(TRIM([1]RawShipmentData!L651))))</f>
        <v>45422</v>
      </c>
      <c r="N646" s="2">
        <f t="shared" si="51"/>
        <v>4</v>
      </c>
      <c r="O646" s="2">
        <f t="shared" si="52"/>
        <v>0</v>
      </c>
      <c r="P646" s="2" t="str">
        <f t="shared" si="53"/>
        <v>On Time</v>
      </c>
      <c r="Q646" s="2" t="str">
        <f>PROPER(SUBSTITUTE(TRIM([1]RawShipmentData!M651)," ","-"))</f>
        <v>Delivered</v>
      </c>
      <c r="R646" s="4">
        <f t="shared" si="54"/>
        <v>91.25</v>
      </c>
      <c r="S646" s="2">
        <f>[1]RawShipmentData!N651</f>
        <v>3</v>
      </c>
      <c r="T646" s="2" t="str">
        <f>IF(OR(UPPER(TRIM([1]RawShipmentData!O651))="YES",UPPER(TRIM([1]RawShipmentData!O651))="Y"),"Yes","No")</f>
        <v>No</v>
      </c>
    </row>
    <row r="647" spans="1:20" x14ac:dyDescent="0.25">
      <c r="A647" s="2" t="str">
        <f>[1]RawShipmentData!A652</f>
        <v>SHP-100515</v>
      </c>
      <c r="B647" s="3">
        <f>IF(ISNUMBER(SEARCH("/",TRIM([1]RawShipmentData!B652))),DATE(VALUE(RIGHT(TRIM([1]RawShipmentData!B652),4)),VALUE(MID(TRIM([1]RawShipmentData!B652),FIND("/",TRIM([1]RawShipmentData!B652))+1,2)),VALUE(LEFT(TRIM([1]RawShipmentData!B652),FIND("/",TRIM([1]RawShipmentData!B652))-1))),DATEVALUE(TRIM([1]RawShipmentData!B652)))</f>
        <v>45316</v>
      </c>
      <c r="C647" s="2" t="str">
        <f>PROPER(TRIM([1]RawShipmentData!C652))</f>
        <v>Chennai</v>
      </c>
      <c r="D647" s="2" t="str">
        <f>IFERROR(INDEX([1]HubMaster!$B$2:$B$7,MATCH(C647,[1]HubMaster!$A$2:$A$7,0)),"Unknown")</f>
        <v>South</v>
      </c>
      <c r="E647" s="2" t="str">
        <f>PROPER(TRIM(SUBSTITUTE([1]RawShipmentData!D652,"  "," ")))</f>
        <v>Delhivery</v>
      </c>
      <c r="F647" s="2" t="str">
        <f>PROPER(TRIM([1]RawShipmentData!E652))</f>
        <v>Road</v>
      </c>
      <c r="G647" s="2" t="str">
        <f>PROPER(TRIM(SUBSTITUTE([1]RawShipmentData!F652,"  "," ")))</f>
        <v>Electronics</v>
      </c>
      <c r="H647" s="2" t="str">
        <f>PROPER(TRIM([1]RawShipmentData!G652))</f>
        <v>West</v>
      </c>
      <c r="I647" s="2" t="str">
        <f t="shared" si="50"/>
        <v>Yes</v>
      </c>
      <c r="J647" s="2">
        <f>IFERROR(VALUE(TRIM(SUBSTITUTE(UPPER([1]RawShipmentData!I647),"KG",""))),"")</f>
        <v>6.1</v>
      </c>
      <c r="K647" s="2">
        <f>VALUE(SUBSTITUTE(SUBSTITUTE(SUBSTITUTE(TRIM([1]RawShipmentData!J652),"₹",""),"Rs",""),",",""))</f>
        <v>166</v>
      </c>
      <c r="L647" s="2">
        <f>[1]RawShipmentData!K652</f>
        <v>8</v>
      </c>
      <c r="M647" s="3">
        <f>IF(TRIM([1]RawShipmentData!L652)="","",IF(ISNUMBER(SEARCH("/",TRIM([1]RawShipmentData!L652))),DATE(VALUE(RIGHT(TRIM([1]RawShipmentData!L652),4)),VALUE(MID(TRIM([1]RawShipmentData!L652),FIND("/",TRIM([1]RawShipmentData!L652))+1,2)),VALUE(LEFT(TRIM([1]RawShipmentData!L652),FIND("/",TRIM([1]RawShipmentData!L652))-1))),DATEVALUE(TRIM([1]RawShipmentData!L652))))</f>
        <v>45325</v>
      </c>
      <c r="N647" s="2">
        <f t="shared" si="51"/>
        <v>9</v>
      </c>
      <c r="O647" s="2">
        <f t="shared" si="52"/>
        <v>1</v>
      </c>
      <c r="P647" s="2" t="str">
        <f t="shared" si="53"/>
        <v>Late</v>
      </c>
      <c r="Q647" s="2" t="str">
        <f>PROPER(SUBSTITUTE(TRIM([1]RawShipmentData!M652)," ","-"))</f>
        <v>Delayed</v>
      </c>
      <c r="R647" s="4">
        <f t="shared" si="54"/>
        <v>27.213114754098363</v>
      </c>
      <c r="S647" s="2">
        <f>[1]RawShipmentData!N652</f>
        <v>4</v>
      </c>
      <c r="T647" s="2" t="str">
        <f>IF(OR(UPPER(TRIM([1]RawShipmentData!O652))="YES",UPPER(TRIM([1]RawShipmentData!O652))="Y"),"Yes","No")</f>
        <v>No</v>
      </c>
    </row>
    <row r="648" spans="1:20" x14ac:dyDescent="0.25">
      <c r="A648" s="2" t="str">
        <f>[1]RawShipmentData!A653</f>
        <v>SHP-100494</v>
      </c>
      <c r="B648" s="3">
        <f>IF(ISNUMBER(SEARCH("/",TRIM([1]RawShipmentData!B653))),DATE(VALUE(RIGHT(TRIM([1]RawShipmentData!B653),4)),VALUE(MID(TRIM([1]RawShipmentData!B653),FIND("/",TRIM([1]RawShipmentData!B653))+1,2)),VALUE(LEFT(TRIM([1]RawShipmentData!B653),FIND("/",TRIM([1]RawShipmentData!B653))-1))),DATEVALUE(TRIM([1]RawShipmentData!B653)))</f>
        <v>45332</v>
      </c>
      <c r="C648" s="2" t="str">
        <f>PROPER(TRIM([1]RawShipmentData!C653))</f>
        <v>Kolkata</v>
      </c>
      <c r="D648" s="2" t="str">
        <f>IFERROR(INDEX([1]HubMaster!$B$2:$B$7,MATCH(C648,[1]HubMaster!$A$2:$A$7,0)),"Unknown")</f>
        <v>East</v>
      </c>
      <c r="E648" s="2" t="str">
        <f>PROPER(TRIM(SUBSTITUTE([1]RawShipmentData!D653,"  "," ")))</f>
        <v>Ecom Express</v>
      </c>
      <c r="F648" s="2" t="str">
        <f>PROPER(TRIM([1]RawShipmentData!E653))</f>
        <v>Road</v>
      </c>
      <c r="G648" s="2" t="str">
        <f>PROPER(TRIM(SUBSTITUTE([1]RawShipmentData!F653,"  "," ")))</f>
        <v>Grocery &amp; Fmcg</v>
      </c>
      <c r="H648" s="2" t="str">
        <f>PROPER(TRIM([1]RawShipmentData!G653))</f>
        <v>East</v>
      </c>
      <c r="I648" s="2" t="str">
        <f t="shared" si="50"/>
        <v>No</v>
      </c>
      <c r="J648" s="2">
        <f>IFERROR(VALUE(TRIM(SUBSTITUTE(UPPER([1]RawShipmentData!I648),"KG",""))),"")</f>
        <v>3.9</v>
      </c>
      <c r="K648" s="2">
        <f>VALUE(SUBSTITUTE(SUBSTITUTE(SUBSTITUTE(TRIM([1]RawShipmentData!J653),"₹",""),"Rs",""),",",""))</f>
        <v>119</v>
      </c>
      <c r="L648" s="2">
        <f>[1]RawShipmentData!K653</f>
        <v>6</v>
      </c>
      <c r="M648" s="3">
        <f>IF(TRIM([1]RawShipmentData!L653)="","",IF(ISNUMBER(SEARCH("/",TRIM([1]RawShipmentData!L653))),DATE(VALUE(RIGHT(TRIM([1]RawShipmentData!L653),4)),VALUE(MID(TRIM([1]RawShipmentData!L653),FIND("/",TRIM([1]RawShipmentData!L653))+1,2)),VALUE(LEFT(TRIM([1]RawShipmentData!L653),FIND("/",TRIM([1]RawShipmentData!L653))-1))),DATEVALUE(TRIM([1]RawShipmentData!L653))))</f>
        <v>45339</v>
      </c>
      <c r="N648" s="2">
        <f t="shared" si="51"/>
        <v>7</v>
      </c>
      <c r="O648" s="2">
        <f t="shared" si="52"/>
        <v>1</v>
      </c>
      <c r="P648" s="2" t="str">
        <f t="shared" si="53"/>
        <v>Late</v>
      </c>
      <c r="Q648" s="2" t="str">
        <f>PROPER(SUBSTITUTE(TRIM([1]RawShipmentData!M653)," ","-"))</f>
        <v>Delayed</v>
      </c>
      <c r="R648" s="4">
        <f t="shared" si="54"/>
        <v>30.512820512820515</v>
      </c>
      <c r="S648" s="2">
        <f>[1]RawShipmentData!N653</f>
        <v>1</v>
      </c>
      <c r="T648" s="2" t="str">
        <f>IF(OR(UPPER(TRIM([1]RawShipmentData!O653))="YES",UPPER(TRIM([1]RawShipmentData!O653))="Y"),"Yes","No")</f>
        <v>No</v>
      </c>
    </row>
    <row r="649" spans="1:20" x14ac:dyDescent="0.25">
      <c r="A649" s="2" t="str">
        <f>[1]RawShipmentData!A654</f>
        <v>SHP-100760</v>
      </c>
      <c r="B649" s="3">
        <f>IF(ISNUMBER(SEARCH("/",TRIM([1]RawShipmentData!B654))),DATE(VALUE(RIGHT(TRIM([1]RawShipmentData!B654),4)),VALUE(MID(TRIM([1]RawShipmentData!B654),FIND("/",TRIM([1]RawShipmentData!B654))+1,2)),VALUE(LEFT(TRIM([1]RawShipmentData!B654),FIND("/",TRIM([1]RawShipmentData!B654))-1))),DATEVALUE(TRIM([1]RawShipmentData!B654)))</f>
        <v>45421</v>
      </c>
      <c r="C649" s="2" t="str">
        <f>PROPER(TRIM([1]RawShipmentData!C654))</f>
        <v>Bengaluru</v>
      </c>
      <c r="D649" s="2" t="str">
        <f>IFERROR(INDEX([1]HubMaster!$B$2:$B$7,MATCH(C649,[1]HubMaster!$A$2:$A$7,0)),"Unknown")</f>
        <v>South</v>
      </c>
      <c r="E649" s="2" t="str">
        <f>PROPER(TRIM(SUBSTITUTE([1]RawShipmentData!D654,"  "," ")))</f>
        <v>Bluedart</v>
      </c>
      <c r="F649" s="2" t="str">
        <f>PROPER(TRIM([1]RawShipmentData!E654))</f>
        <v>Road</v>
      </c>
      <c r="G649" s="2" t="str">
        <f>PROPER(TRIM(SUBSTITUTE([1]RawShipmentData!F654,"  "," ")))</f>
        <v>Grocery &amp; Fmcg</v>
      </c>
      <c r="H649" s="2" t="str">
        <f>PROPER(TRIM([1]RawShipmentData!G654))</f>
        <v>South</v>
      </c>
      <c r="I649" s="2" t="str">
        <f t="shared" si="50"/>
        <v>No</v>
      </c>
      <c r="J649" s="2">
        <f>IFERROR(VALUE(TRIM(SUBSTITUTE(UPPER([1]RawShipmentData!I649),"KG",""))),"")</f>
        <v>14</v>
      </c>
      <c r="K649" s="2">
        <f>VALUE(SUBSTITUTE(SUBSTITUTE(SUBSTITUTE(TRIM([1]RawShipmentData!J654),"₹",""),"Rs",""),",",""))</f>
        <v>80</v>
      </c>
      <c r="L649" s="2">
        <f>[1]RawShipmentData!K654</f>
        <v>6</v>
      </c>
      <c r="M649" s="3">
        <f>IF(TRIM([1]RawShipmentData!L654)="","",IF(ISNUMBER(SEARCH("/",TRIM([1]RawShipmentData!L654))),DATE(VALUE(RIGHT(TRIM([1]RawShipmentData!L654),4)),VALUE(MID(TRIM([1]RawShipmentData!L654),FIND("/",TRIM([1]RawShipmentData!L654))+1,2)),VALUE(LEFT(TRIM([1]RawShipmentData!L654),FIND("/",TRIM([1]RawShipmentData!L654))-1))),DATEVALUE(TRIM([1]RawShipmentData!L654))))</f>
        <v>45426</v>
      </c>
      <c r="N649" s="2">
        <f t="shared" si="51"/>
        <v>5</v>
      </c>
      <c r="O649" s="2">
        <f t="shared" si="52"/>
        <v>-1</v>
      </c>
      <c r="P649" s="2" t="str">
        <f t="shared" si="53"/>
        <v>On Time</v>
      </c>
      <c r="Q649" s="2" t="str">
        <f>PROPER(SUBSTITUTE(TRIM([1]RawShipmentData!M654)," ","-"))</f>
        <v>Damaged</v>
      </c>
      <c r="R649" s="4">
        <f t="shared" si="54"/>
        <v>5.7142857142857144</v>
      </c>
      <c r="S649" s="2">
        <f>[1]RawShipmentData!N654</f>
        <v>0</v>
      </c>
      <c r="T649" s="2" t="str">
        <f>IF(OR(UPPER(TRIM([1]RawShipmentData!O654))="YES",UPPER(TRIM([1]RawShipmentData!O654))="Y"),"Yes","No")</f>
        <v>Yes</v>
      </c>
    </row>
    <row r="650" spans="1:20" x14ac:dyDescent="0.25">
      <c r="A650" s="2" t="str">
        <f>[1]RawShipmentData!A655</f>
        <v>SHP-100450</v>
      </c>
      <c r="B650" s="3">
        <f>IF(ISNUMBER(SEARCH("/",TRIM([1]RawShipmentData!B655))),DATE(VALUE(RIGHT(TRIM([1]RawShipmentData!B655),4)),VALUE(MID(TRIM([1]RawShipmentData!B655),FIND("/",TRIM([1]RawShipmentData!B655))+1,2)),VALUE(LEFT(TRIM([1]RawShipmentData!B655),FIND("/",TRIM([1]RawShipmentData!B655))-1))),DATEVALUE(TRIM([1]RawShipmentData!B655)))</f>
        <v>45440</v>
      </c>
      <c r="C650" s="2" t="str">
        <f>PROPER(TRIM([1]RawShipmentData!C655))</f>
        <v>Bengaluru</v>
      </c>
      <c r="D650" s="2" t="str">
        <f>IFERROR(INDEX([1]HubMaster!$B$2:$B$7,MATCH(C650,[1]HubMaster!$A$2:$A$7,0)),"Unknown")</f>
        <v>South</v>
      </c>
      <c r="E650" s="2" t="str">
        <f>PROPER(TRIM(SUBSTITUTE([1]RawShipmentData!D655,"  "," ")))</f>
        <v>Delhivery</v>
      </c>
      <c r="F650" s="2" t="str">
        <f>PROPER(TRIM([1]RawShipmentData!E655))</f>
        <v>Air</v>
      </c>
      <c r="G650" s="2" t="str">
        <f>PROPER(TRIM(SUBSTITUTE([1]RawShipmentData!F655,"  "," ")))</f>
        <v>Electronics</v>
      </c>
      <c r="H650" s="2" t="str">
        <f>PROPER(TRIM([1]RawShipmentData!G655))</f>
        <v>North</v>
      </c>
      <c r="I650" s="2" t="str">
        <f t="shared" si="50"/>
        <v>Yes</v>
      </c>
      <c r="J650" s="2">
        <f>IFERROR(VALUE(TRIM(SUBSTITUTE(UPPER([1]RawShipmentData!I650),"KG",""))),"")</f>
        <v>32.700000000000003</v>
      </c>
      <c r="K650" s="2">
        <f>VALUE(SUBSTITUTE(SUBSTITUTE(SUBSTITUTE(TRIM([1]RawShipmentData!J655),"₹",""),"Rs",""),",",""))</f>
        <v>339</v>
      </c>
      <c r="L650" s="2">
        <f>[1]RawShipmentData!K655</f>
        <v>4</v>
      </c>
      <c r="M650" s="3">
        <f>IF(TRIM([1]RawShipmentData!L655)="","",IF(ISNUMBER(SEARCH("/",TRIM([1]RawShipmentData!L655))),DATE(VALUE(RIGHT(TRIM([1]RawShipmentData!L655),4)),VALUE(MID(TRIM([1]RawShipmentData!L655),FIND("/",TRIM([1]RawShipmentData!L655))+1,2)),VALUE(LEFT(TRIM([1]RawShipmentData!L655),FIND("/",TRIM([1]RawShipmentData!L655))-1))),DATEVALUE(TRIM([1]RawShipmentData!L655))))</f>
        <v>45443</v>
      </c>
      <c r="N650" s="2">
        <f t="shared" si="51"/>
        <v>3</v>
      </c>
      <c r="O650" s="2">
        <f t="shared" si="52"/>
        <v>-1</v>
      </c>
      <c r="P650" s="2" t="str">
        <f t="shared" si="53"/>
        <v>On Time</v>
      </c>
      <c r="Q650" s="2" t="str">
        <f>PROPER(SUBSTITUTE(TRIM([1]RawShipmentData!M655)," ","-"))</f>
        <v>Delivered</v>
      </c>
      <c r="R650" s="4">
        <f t="shared" si="54"/>
        <v>10.36697247706422</v>
      </c>
      <c r="S650" s="2">
        <f>[1]RawShipmentData!N655</f>
        <v>4</v>
      </c>
      <c r="T650" s="2" t="str">
        <f>IF(OR(UPPER(TRIM([1]RawShipmentData!O655))="YES",UPPER(TRIM([1]RawShipmentData!O655))="Y"),"Yes","No")</f>
        <v>Yes</v>
      </c>
    </row>
    <row r="651" spans="1:20" x14ac:dyDescent="0.25">
      <c r="A651" s="2" t="str">
        <f>[1]RawShipmentData!A656</f>
        <v>SHP-101140</v>
      </c>
      <c r="B651" s="3">
        <f>IF(ISNUMBER(SEARCH("/",TRIM([1]RawShipmentData!B656))),DATE(VALUE(RIGHT(TRIM([1]RawShipmentData!B656),4)),VALUE(MID(TRIM([1]RawShipmentData!B656),FIND("/",TRIM([1]RawShipmentData!B656))+1,2)),VALUE(LEFT(TRIM([1]RawShipmentData!B656),FIND("/",TRIM([1]RawShipmentData!B656))-1))),DATEVALUE(TRIM([1]RawShipmentData!B656)))</f>
        <v>45345</v>
      </c>
      <c r="C651" s="2" t="str">
        <f>PROPER(TRIM([1]RawShipmentData!C656))</f>
        <v>Chennai</v>
      </c>
      <c r="D651" s="2" t="str">
        <f>IFERROR(INDEX([1]HubMaster!$B$2:$B$7,MATCH(C651,[1]HubMaster!$A$2:$A$7,0)),"Unknown")</f>
        <v>South</v>
      </c>
      <c r="E651" s="2" t="str">
        <f>PROPER(TRIM(SUBSTITUTE([1]RawShipmentData!D656,"  "," ")))</f>
        <v>Ecom Express</v>
      </c>
      <c r="F651" s="2" t="str">
        <f>PROPER(TRIM([1]RawShipmentData!E656))</f>
        <v>Air</v>
      </c>
      <c r="G651" s="2" t="str">
        <f>PROPER(TRIM(SUBSTITUTE([1]RawShipmentData!F656,"  "," ")))</f>
        <v>Electronics</v>
      </c>
      <c r="H651" s="2" t="str">
        <f>PROPER(TRIM([1]RawShipmentData!G656))</f>
        <v>South</v>
      </c>
      <c r="I651" s="2" t="str">
        <f t="shared" si="50"/>
        <v>No</v>
      </c>
      <c r="J651" s="2">
        <f>IFERROR(VALUE(TRIM(SUBSTITUTE(UPPER([1]RawShipmentData!I651),"KG",""))),"")</f>
        <v>11.6</v>
      </c>
      <c r="K651" s="2">
        <f>VALUE(SUBSTITUTE(SUBSTITUTE(SUBSTITUTE(TRIM([1]RawShipmentData!J656),"₹",""),"Rs",""),",",""))</f>
        <v>597</v>
      </c>
      <c r="L651" s="2">
        <f>[1]RawShipmentData!K656</f>
        <v>2</v>
      </c>
      <c r="M651" s="3">
        <f>IF(TRIM([1]RawShipmentData!L656)="","",IF(ISNUMBER(SEARCH("/",TRIM([1]RawShipmentData!L656))),DATE(VALUE(RIGHT(TRIM([1]RawShipmentData!L656),4)),VALUE(MID(TRIM([1]RawShipmentData!L656),FIND("/",TRIM([1]RawShipmentData!L656))+1,2)),VALUE(LEFT(TRIM([1]RawShipmentData!L656),FIND("/",TRIM([1]RawShipmentData!L656))-1))),DATEVALUE(TRIM([1]RawShipmentData!L656))))</f>
        <v>45348</v>
      </c>
      <c r="N651" s="2">
        <f t="shared" si="51"/>
        <v>3</v>
      </c>
      <c r="O651" s="2">
        <f t="shared" si="52"/>
        <v>1</v>
      </c>
      <c r="P651" s="2" t="str">
        <f t="shared" si="53"/>
        <v>Late</v>
      </c>
      <c r="Q651" s="2" t="str">
        <f>PROPER(SUBSTITUTE(TRIM([1]RawShipmentData!M656)," ","-"))</f>
        <v>Damaged</v>
      </c>
      <c r="R651" s="4">
        <f t="shared" si="54"/>
        <v>51.46551724137931</v>
      </c>
      <c r="S651" s="2">
        <f>[1]RawShipmentData!N656</f>
        <v>0</v>
      </c>
      <c r="T651" s="2" t="str">
        <f>IF(OR(UPPER(TRIM([1]RawShipmentData!O656))="YES",UPPER(TRIM([1]RawShipmentData!O656))="Y"),"Yes","No")</f>
        <v>No</v>
      </c>
    </row>
    <row r="652" spans="1:20" x14ac:dyDescent="0.25">
      <c r="A652" s="2" t="str">
        <f>[1]RawShipmentData!A657</f>
        <v>SHP-100761</v>
      </c>
      <c r="B652" s="3">
        <f>IF(ISNUMBER(SEARCH("/",TRIM([1]RawShipmentData!B657))),DATE(VALUE(RIGHT(TRIM([1]RawShipmentData!B657),4)),VALUE(MID(TRIM([1]RawShipmentData!B657),FIND("/",TRIM([1]RawShipmentData!B657))+1,2)),VALUE(LEFT(TRIM([1]RawShipmentData!B657),FIND("/",TRIM([1]RawShipmentData!B657))-1))),DATEVALUE(TRIM([1]RawShipmentData!B657)))</f>
        <v>45358</v>
      </c>
      <c r="C652" s="2" t="str">
        <f>PROPER(TRIM([1]RawShipmentData!C657))</f>
        <v>Mumbai</v>
      </c>
      <c r="D652" s="2" t="str">
        <f>IFERROR(INDEX([1]HubMaster!$B$2:$B$7,MATCH(C652,[1]HubMaster!$A$2:$A$7,0)),"Unknown")</f>
        <v>West</v>
      </c>
      <c r="E652" s="2" t="str">
        <f>PROPER(TRIM(SUBSTITUTE([1]RawShipmentData!D657,"  "," ")))</f>
        <v>Delhivery</v>
      </c>
      <c r="F652" s="2" t="str">
        <f>PROPER(TRIM([1]RawShipmentData!E657))</f>
        <v>Road</v>
      </c>
      <c r="G652" s="2" t="str">
        <f>PROPER(TRIM(SUBSTITUTE([1]RawShipmentData!F657,"  "," ")))</f>
        <v>Automotive Parts</v>
      </c>
      <c r="H652" s="2" t="str">
        <f>PROPER(TRIM([1]RawShipmentData!G657))</f>
        <v>South</v>
      </c>
      <c r="I652" s="2" t="str">
        <f t="shared" si="50"/>
        <v>Yes</v>
      </c>
      <c r="J652" s="2">
        <f>IFERROR(VALUE(TRIM(SUBSTITUTE(UPPER([1]RawShipmentData!I652),"KG",""))),"")</f>
        <v>1.4</v>
      </c>
      <c r="K652" s="2">
        <f>VALUE(SUBSTITUTE(SUBSTITUTE(SUBSTITUTE(TRIM([1]RawShipmentData!J657),"₹",""),"Rs",""),",",""))</f>
        <v>226</v>
      </c>
      <c r="L652" s="2">
        <f>[1]RawShipmentData!K657</f>
        <v>8</v>
      </c>
      <c r="M652" s="3">
        <f>IF(TRIM([1]RawShipmentData!L657)="","",IF(ISNUMBER(SEARCH("/",TRIM([1]RawShipmentData!L657))),DATE(VALUE(RIGHT(TRIM([1]RawShipmentData!L657),4)),VALUE(MID(TRIM([1]RawShipmentData!L657),FIND("/",TRIM([1]RawShipmentData!L657))+1,2)),VALUE(LEFT(TRIM([1]RawShipmentData!L657),FIND("/",TRIM([1]RawShipmentData!L657))-1))),DATEVALUE(TRIM([1]RawShipmentData!L657))))</f>
        <v>45367</v>
      </c>
      <c r="N652" s="2">
        <f t="shared" si="51"/>
        <v>9</v>
      </c>
      <c r="O652" s="2">
        <f t="shared" si="52"/>
        <v>1</v>
      </c>
      <c r="P652" s="2" t="str">
        <f t="shared" si="53"/>
        <v>Late</v>
      </c>
      <c r="Q652" s="2" t="str">
        <f>PROPER(SUBSTITUTE(TRIM([1]RawShipmentData!M657)," ","-"))</f>
        <v>Delayed</v>
      </c>
      <c r="R652" s="4">
        <f t="shared" si="54"/>
        <v>161.42857142857144</v>
      </c>
      <c r="S652" s="2">
        <f>[1]RawShipmentData!N657</f>
        <v>1</v>
      </c>
      <c r="T652" s="2" t="str">
        <f>IF(OR(UPPER(TRIM([1]RawShipmentData!O657))="YES",UPPER(TRIM([1]RawShipmentData!O657))="Y"),"Yes","No")</f>
        <v>No</v>
      </c>
    </row>
    <row r="653" spans="1:20" x14ac:dyDescent="0.25">
      <c r="A653" s="2" t="str">
        <f>[1]RawShipmentData!A658</f>
        <v>SHP-100322</v>
      </c>
      <c r="B653" s="3">
        <f>IF(ISNUMBER(SEARCH("/",TRIM([1]RawShipmentData!B658))),DATE(VALUE(RIGHT(TRIM([1]RawShipmentData!B658),4)),VALUE(MID(TRIM([1]RawShipmentData!B658),FIND("/",TRIM([1]RawShipmentData!B658))+1,2)),VALUE(LEFT(TRIM([1]RawShipmentData!B658),FIND("/",TRIM([1]RawShipmentData!B658))-1))),DATEVALUE(TRIM([1]RawShipmentData!B658)))</f>
        <v>45456</v>
      </c>
      <c r="C653" s="2" t="str">
        <f>PROPER(TRIM([1]RawShipmentData!C658))</f>
        <v>Kolkata</v>
      </c>
      <c r="D653" s="2" t="str">
        <f>IFERROR(INDEX([1]HubMaster!$B$2:$B$7,MATCH(C653,[1]HubMaster!$A$2:$A$7,0)),"Unknown")</f>
        <v>East</v>
      </c>
      <c r="E653" s="2" t="str">
        <f>PROPER(TRIM(SUBSTITUTE([1]RawShipmentData!D658,"  "," ")))</f>
        <v>Dtdc</v>
      </c>
      <c r="F653" s="2" t="str">
        <f>PROPER(TRIM([1]RawShipmentData!E658))</f>
        <v>Surface</v>
      </c>
      <c r="G653" s="2" t="str">
        <f>PROPER(TRIM(SUBSTITUTE([1]RawShipmentData!F658,"  "," ")))</f>
        <v>Apparel</v>
      </c>
      <c r="H653" s="2" t="str">
        <f>PROPER(TRIM([1]RawShipmentData!G658))</f>
        <v>West</v>
      </c>
      <c r="I653" s="2" t="str">
        <f t="shared" si="50"/>
        <v>Yes</v>
      </c>
      <c r="J653" s="2">
        <f>IFERROR(VALUE(TRIM(SUBSTITUTE(UPPER([1]RawShipmentData!I653),"KG",""))),"")</f>
        <v>6.2</v>
      </c>
      <c r="K653" s="2">
        <f>VALUE(SUBSTITUTE(SUBSTITUTE(SUBSTITUTE(TRIM([1]RawShipmentData!J658),"₹",""),"Rs",""),",",""))</f>
        <v>262</v>
      </c>
      <c r="L653" s="2">
        <f>[1]RawShipmentData!K658</f>
        <v>6</v>
      </c>
      <c r="M653" s="3">
        <f>IF(TRIM([1]RawShipmentData!L658)="","",IF(ISNUMBER(SEARCH("/",TRIM([1]RawShipmentData!L658))),DATE(VALUE(RIGHT(TRIM([1]RawShipmentData!L658),4)),VALUE(MID(TRIM([1]RawShipmentData!L658),FIND("/",TRIM([1]RawShipmentData!L658))+1,2)),VALUE(LEFT(TRIM([1]RawShipmentData!L658),FIND("/",TRIM([1]RawShipmentData!L658))-1))),DATEVALUE(TRIM([1]RawShipmentData!L658))))</f>
        <v>45463</v>
      </c>
      <c r="N653" s="2">
        <f t="shared" si="51"/>
        <v>7</v>
      </c>
      <c r="O653" s="2">
        <f t="shared" si="52"/>
        <v>1</v>
      </c>
      <c r="P653" s="2" t="str">
        <f t="shared" si="53"/>
        <v>Late</v>
      </c>
      <c r="Q653" s="2" t="str">
        <f>PROPER(SUBSTITUTE(TRIM([1]RawShipmentData!M658)," ","-"))</f>
        <v>Delayed</v>
      </c>
      <c r="R653" s="4">
        <f t="shared" si="54"/>
        <v>42.258064516129032</v>
      </c>
      <c r="S653" s="2">
        <f>[1]RawShipmentData!N658</f>
        <v>2</v>
      </c>
      <c r="T653" s="2" t="str">
        <f>IF(OR(UPPER(TRIM([1]RawShipmentData!O658))="YES",UPPER(TRIM([1]RawShipmentData!O658))="Y"),"Yes","No")</f>
        <v>No</v>
      </c>
    </row>
    <row r="654" spans="1:20" x14ac:dyDescent="0.25">
      <c r="A654" s="2" t="str">
        <f>[1]RawShipmentData!A659</f>
        <v>SHP-100980</v>
      </c>
      <c r="B654" s="3">
        <f>IF(ISNUMBER(SEARCH("/",TRIM([1]RawShipmentData!B659))),DATE(VALUE(RIGHT(TRIM([1]RawShipmentData!B659),4)),VALUE(MID(TRIM([1]RawShipmentData!B659),FIND("/",TRIM([1]RawShipmentData!B659))+1,2)),VALUE(LEFT(TRIM([1]RawShipmentData!B659),FIND("/",TRIM([1]RawShipmentData!B659))-1))),DATEVALUE(TRIM([1]RawShipmentData!B659)))</f>
        <v>45430</v>
      </c>
      <c r="C654" s="2" t="str">
        <f>PROPER(TRIM([1]RawShipmentData!C659))</f>
        <v>Chennai</v>
      </c>
      <c r="D654" s="2" t="str">
        <f>IFERROR(INDEX([1]HubMaster!$B$2:$B$7,MATCH(C654,[1]HubMaster!$A$2:$A$7,0)),"Unknown")</f>
        <v>South</v>
      </c>
      <c r="E654" s="2" t="str">
        <f>PROPER(TRIM(SUBSTITUTE([1]RawShipmentData!D659,"  "," ")))</f>
        <v>Ecom Express</v>
      </c>
      <c r="F654" s="2" t="str">
        <f>PROPER(TRIM([1]RawShipmentData!E659))</f>
        <v>Air</v>
      </c>
      <c r="G654" s="2" t="str">
        <f>PROPER(TRIM(SUBSTITUTE([1]RawShipmentData!F659,"  "," ")))</f>
        <v>Grocery &amp; Fmcg</v>
      </c>
      <c r="H654" s="2" t="str">
        <f>PROPER(TRIM([1]RawShipmentData!G659))</f>
        <v>East</v>
      </c>
      <c r="I654" s="2" t="str">
        <f t="shared" si="50"/>
        <v>Yes</v>
      </c>
      <c r="J654" s="2">
        <f>IFERROR(VALUE(TRIM(SUBSTITUTE(UPPER([1]RawShipmentData!I654),"KG",""))),"")</f>
        <v>4.3</v>
      </c>
      <c r="K654" s="2">
        <f>VALUE(SUBSTITUTE(SUBSTITUTE(SUBSTITUTE(TRIM([1]RawShipmentData!J659),"₹",""),"Rs",""),",",""))</f>
        <v>968</v>
      </c>
      <c r="L654" s="2">
        <f>[1]RawShipmentData!K659</f>
        <v>4</v>
      </c>
      <c r="M654" s="3">
        <f>IF(TRIM([1]RawShipmentData!L659)="","",IF(ISNUMBER(SEARCH("/",TRIM([1]RawShipmentData!L659))),DATE(VALUE(RIGHT(TRIM([1]RawShipmentData!L659),4)),VALUE(MID(TRIM([1]RawShipmentData!L659),FIND("/",TRIM([1]RawShipmentData!L659))+1,2)),VALUE(LEFT(TRIM([1]RawShipmentData!L659),FIND("/",TRIM([1]RawShipmentData!L659))-1))),DATEVALUE(TRIM([1]RawShipmentData!L659))))</f>
        <v>45443</v>
      </c>
      <c r="N654" s="2">
        <f t="shared" si="51"/>
        <v>13</v>
      </c>
      <c r="O654" s="2">
        <f t="shared" si="52"/>
        <v>9</v>
      </c>
      <c r="P654" s="2" t="str">
        <f t="shared" si="53"/>
        <v>Late</v>
      </c>
      <c r="Q654" s="2" t="str">
        <f>PROPER(SUBSTITUTE(TRIM([1]RawShipmentData!M659)," ","-"))</f>
        <v>Delayed</v>
      </c>
      <c r="R654" s="4">
        <f t="shared" si="54"/>
        <v>225.11627906976744</v>
      </c>
      <c r="S654" s="2">
        <f>[1]RawShipmentData!N659</f>
        <v>4</v>
      </c>
      <c r="T654" s="2" t="str">
        <f>IF(OR(UPPER(TRIM([1]RawShipmentData!O659))="YES",UPPER(TRIM([1]RawShipmentData!O659))="Y"),"Yes","No")</f>
        <v>Yes</v>
      </c>
    </row>
    <row r="655" spans="1:20" x14ac:dyDescent="0.25">
      <c r="A655" s="2" t="str">
        <f>[1]RawShipmentData!A660</f>
        <v>SHP-100594</v>
      </c>
      <c r="B655" s="3">
        <f>IF(ISNUMBER(SEARCH("/",TRIM([1]RawShipmentData!B660))),DATE(VALUE(RIGHT(TRIM([1]RawShipmentData!B660),4)),VALUE(MID(TRIM([1]RawShipmentData!B660),FIND("/",TRIM([1]RawShipmentData!B660))+1,2)),VALUE(LEFT(TRIM([1]RawShipmentData!B660),FIND("/",TRIM([1]RawShipmentData!B660))-1))),DATEVALUE(TRIM([1]RawShipmentData!B660)))</f>
        <v>45346</v>
      </c>
      <c r="C655" s="2" t="str">
        <f>PROPER(TRIM([1]RawShipmentData!C660))</f>
        <v>Delhi</v>
      </c>
      <c r="D655" s="2" t="str">
        <f>IFERROR(INDEX([1]HubMaster!$B$2:$B$7,MATCH(C655,[1]HubMaster!$A$2:$A$7,0)),"Unknown")</f>
        <v>North</v>
      </c>
      <c r="E655" s="2" t="str">
        <f>PROPER(TRIM(SUBSTITUTE([1]RawShipmentData!D660,"  "," ")))</f>
        <v>Delhivery</v>
      </c>
      <c r="F655" s="2" t="str">
        <f>PROPER(TRIM([1]RawShipmentData!E660))</f>
        <v>Air</v>
      </c>
      <c r="G655" s="2" t="str">
        <f>PROPER(TRIM(SUBSTITUTE([1]RawShipmentData!F660,"  "," ")))</f>
        <v>Automotive Parts</v>
      </c>
      <c r="H655" s="2" t="str">
        <f>PROPER(TRIM([1]RawShipmentData!G660))</f>
        <v>East</v>
      </c>
      <c r="I655" s="2" t="str">
        <f t="shared" si="50"/>
        <v>Yes</v>
      </c>
      <c r="J655" s="2">
        <f>IFERROR(VALUE(TRIM(SUBSTITUTE(UPPER([1]RawShipmentData!I655),"KG",""))),"")</f>
        <v>4.2</v>
      </c>
      <c r="K655" s="2">
        <f>VALUE(SUBSTITUTE(SUBSTITUTE(SUBSTITUTE(TRIM([1]RawShipmentData!J660),"₹",""),"Rs",""),",",""))</f>
        <v>479</v>
      </c>
      <c r="L655" s="2">
        <f>[1]RawShipmentData!K660</f>
        <v>4</v>
      </c>
      <c r="M655" s="3">
        <f>IF(TRIM([1]RawShipmentData!L660)="","",IF(ISNUMBER(SEARCH("/",TRIM([1]RawShipmentData!L660))),DATE(VALUE(RIGHT(TRIM([1]RawShipmentData!L660),4)),VALUE(MID(TRIM([1]RawShipmentData!L660),FIND("/",TRIM([1]RawShipmentData!L660))+1,2)),VALUE(LEFT(TRIM([1]RawShipmentData!L660),FIND("/",TRIM([1]RawShipmentData!L660))-1))),DATEVALUE(TRIM([1]RawShipmentData!L660))))</f>
        <v>45350</v>
      </c>
      <c r="N655" s="2">
        <f t="shared" si="51"/>
        <v>4</v>
      </c>
      <c r="O655" s="2">
        <f t="shared" si="52"/>
        <v>0</v>
      </c>
      <c r="P655" s="2" t="str">
        <f t="shared" si="53"/>
        <v>On Time</v>
      </c>
      <c r="Q655" s="2" t="str">
        <f>PROPER(SUBSTITUTE(TRIM([1]RawShipmentData!M660)," ","-"))</f>
        <v>Delivered</v>
      </c>
      <c r="R655" s="4">
        <f t="shared" si="54"/>
        <v>114.04761904761904</v>
      </c>
      <c r="S655" s="2">
        <f>[1]RawShipmentData!N660</f>
        <v>2</v>
      </c>
      <c r="T655" s="2" t="str">
        <f>IF(OR(UPPER(TRIM([1]RawShipmentData!O660))="YES",UPPER(TRIM([1]RawShipmentData!O660))="Y"),"Yes","No")</f>
        <v>Yes</v>
      </c>
    </row>
    <row r="656" spans="1:20" x14ac:dyDescent="0.25">
      <c r="A656" s="2" t="str">
        <f>[1]RawShipmentData!A661</f>
        <v>SHP-100774</v>
      </c>
      <c r="B656" s="3">
        <f>IF(ISNUMBER(SEARCH("/",TRIM([1]RawShipmentData!B661))),DATE(VALUE(RIGHT(TRIM([1]RawShipmentData!B661),4)),VALUE(MID(TRIM([1]RawShipmentData!B661),FIND("/",TRIM([1]RawShipmentData!B661))+1,2)),VALUE(LEFT(TRIM([1]RawShipmentData!B661),FIND("/",TRIM([1]RawShipmentData!B661))-1))),DATEVALUE(TRIM([1]RawShipmentData!B661)))</f>
        <v>45449</v>
      </c>
      <c r="C656" s="2" t="str">
        <f>PROPER(TRIM([1]RawShipmentData!C661))</f>
        <v>Mumbai</v>
      </c>
      <c r="D656" s="2" t="str">
        <f>IFERROR(INDEX([1]HubMaster!$B$2:$B$7,MATCH(C656,[1]HubMaster!$A$2:$A$7,0)),"Unknown")</f>
        <v>West</v>
      </c>
      <c r="E656" s="2" t="str">
        <f>PROPER(TRIM(SUBSTITUTE([1]RawShipmentData!D661,"  "," ")))</f>
        <v>Ecom Express</v>
      </c>
      <c r="F656" s="2" t="str">
        <f>PROPER(TRIM([1]RawShipmentData!E661))</f>
        <v>Road</v>
      </c>
      <c r="G656" s="2" t="str">
        <f>PROPER(TRIM(SUBSTITUTE([1]RawShipmentData!F661,"  "," ")))</f>
        <v>Electronics</v>
      </c>
      <c r="H656" s="2" t="str">
        <f>PROPER(TRIM([1]RawShipmentData!G661))</f>
        <v>South</v>
      </c>
      <c r="I656" s="2" t="str">
        <f t="shared" si="50"/>
        <v>Yes</v>
      </c>
      <c r="J656" s="2">
        <f>IFERROR(VALUE(TRIM(SUBSTITUTE(UPPER([1]RawShipmentData!I656),"KG",""))),"")</f>
        <v>12.2</v>
      </c>
      <c r="K656" s="2">
        <f>VALUE(SUBSTITUTE(SUBSTITUTE(SUBSTITUTE(TRIM([1]RawShipmentData!J661),"₹",""),"Rs",""),",",""))</f>
        <v>223</v>
      </c>
      <c r="L656" s="2">
        <f>[1]RawShipmentData!K661</f>
        <v>8</v>
      </c>
      <c r="M656" s="3">
        <f>IF(TRIM([1]RawShipmentData!L661)="","",IF(ISNUMBER(SEARCH("/",TRIM([1]RawShipmentData!L661))),DATE(VALUE(RIGHT(TRIM([1]RawShipmentData!L661),4)),VALUE(MID(TRIM([1]RawShipmentData!L661),FIND("/",TRIM([1]RawShipmentData!L661))+1,2)),VALUE(LEFT(TRIM([1]RawShipmentData!L661),FIND("/",TRIM([1]RawShipmentData!L661))-1))),DATEVALUE(TRIM([1]RawShipmentData!L661))))</f>
        <v>45458</v>
      </c>
      <c r="N656" s="2">
        <f t="shared" si="51"/>
        <v>9</v>
      </c>
      <c r="O656" s="2">
        <f t="shared" si="52"/>
        <v>1</v>
      </c>
      <c r="P656" s="2" t="str">
        <f t="shared" si="53"/>
        <v>Late</v>
      </c>
      <c r="Q656" s="2" t="str">
        <f>PROPER(SUBSTITUTE(TRIM([1]RawShipmentData!M661)," ","-"))</f>
        <v>Delayed</v>
      </c>
      <c r="R656" s="4">
        <f t="shared" si="54"/>
        <v>18.278688524590166</v>
      </c>
      <c r="S656" s="2">
        <f>[1]RawShipmentData!N661</f>
        <v>4</v>
      </c>
      <c r="T656" s="2" t="str">
        <f>IF(OR(UPPER(TRIM([1]RawShipmentData!O661))="YES",UPPER(TRIM([1]RawShipmentData!O661))="Y"),"Yes","No")</f>
        <v>Yes</v>
      </c>
    </row>
    <row r="657" spans="1:20" x14ac:dyDescent="0.25">
      <c r="A657" s="2" t="str">
        <f>[1]RawShipmentData!A662</f>
        <v>SHP-100526</v>
      </c>
      <c r="B657" s="3">
        <f>IF(ISNUMBER(SEARCH("/",TRIM([1]RawShipmentData!B662))),DATE(VALUE(RIGHT(TRIM([1]RawShipmentData!B662),4)),VALUE(MID(TRIM([1]RawShipmentData!B662),FIND("/",TRIM([1]RawShipmentData!B662))+1,2)),VALUE(LEFT(TRIM([1]RawShipmentData!B662),FIND("/",TRIM([1]RawShipmentData!B662))-1))),DATEVALUE(TRIM([1]RawShipmentData!B662)))</f>
        <v>45329</v>
      </c>
      <c r="C657" s="2" t="str">
        <f>PROPER(TRIM([1]RawShipmentData!C662))</f>
        <v>Hyderabad</v>
      </c>
      <c r="D657" s="2" t="str">
        <f>IFERROR(INDEX([1]HubMaster!$B$2:$B$7,MATCH(C657,[1]HubMaster!$A$2:$A$7,0)),"Unknown")</f>
        <v>West</v>
      </c>
      <c r="E657" s="2" t="str">
        <f>PROPER(TRIM(SUBSTITUTE([1]RawShipmentData!D662,"  "," ")))</f>
        <v>Delhivery</v>
      </c>
      <c r="F657" s="2" t="str">
        <f>PROPER(TRIM([1]RawShipmentData!E662))</f>
        <v>Air</v>
      </c>
      <c r="G657" s="2" t="str">
        <f>PROPER(TRIM(SUBSTITUTE([1]RawShipmentData!F662,"  "," ")))</f>
        <v>Electronics</v>
      </c>
      <c r="H657" s="2" t="str">
        <f>PROPER(TRIM([1]RawShipmentData!G662))</f>
        <v>West</v>
      </c>
      <c r="I657" s="2" t="str">
        <f t="shared" si="50"/>
        <v>No</v>
      </c>
      <c r="J657" s="2">
        <f>IFERROR(VALUE(TRIM(SUBSTITUTE(UPPER([1]RawShipmentData!I657),"KG",""))),"")</f>
        <v>6.2</v>
      </c>
      <c r="K657" s="2">
        <f>VALUE(SUBSTITUTE(SUBSTITUTE(SUBSTITUTE(TRIM([1]RawShipmentData!J662),"₹",""),"Rs",""),",",""))</f>
        <v>330</v>
      </c>
      <c r="L657" s="2">
        <f>[1]RawShipmentData!K662</f>
        <v>2</v>
      </c>
      <c r="M657" s="3">
        <f>IF(TRIM([1]RawShipmentData!L662)="","",IF(ISNUMBER(SEARCH("/",TRIM([1]RawShipmentData!L662))),DATE(VALUE(RIGHT(TRIM([1]RawShipmentData!L662),4)),VALUE(MID(TRIM([1]RawShipmentData!L662),FIND("/",TRIM([1]RawShipmentData!L662))+1,2)),VALUE(LEFT(TRIM([1]RawShipmentData!L662),FIND("/",TRIM([1]RawShipmentData!L662))-1))),DATEVALUE(TRIM([1]RawShipmentData!L662))))</f>
        <v>45332</v>
      </c>
      <c r="N657" s="2">
        <f t="shared" si="51"/>
        <v>3</v>
      </c>
      <c r="O657" s="2">
        <f t="shared" si="52"/>
        <v>1</v>
      </c>
      <c r="P657" s="2" t="str">
        <f t="shared" si="53"/>
        <v>Late</v>
      </c>
      <c r="Q657" s="2" t="str">
        <f>PROPER(SUBSTITUTE(TRIM([1]RawShipmentData!M662)," ","-"))</f>
        <v>Delayed</v>
      </c>
      <c r="R657" s="4">
        <f t="shared" si="54"/>
        <v>53.225806451612904</v>
      </c>
      <c r="S657" s="2">
        <f>[1]RawShipmentData!N662</f>
        <v>3</v>
      </c>
      <c r="T657" s="2" t="str">
        <f>IF(OR(UPPER(TRIM([1]RawShipmentData!O662))="YES",UPPER(TRIM([1]RawShipmentData!O662))="Y"),"Yes","No")</f>
        <v>No</v>
      </c>
    </row>
    <row r="658" spans="1:20" x14ac:dyDescent="0.25">
      <c r="A658" s="2" t="str">
        <f>[1]RawShipmentData!A663</f>
        <v>SHP-100845</v>
      </c>
      <c r="B658" s="3">
        <f>IF(ISNUMBER(SEARCH("/",TRIM([1]RawShipmentData!B663))),DATE(VALUE(RIGHT(TRIM([1]RawShipmentData!B663),4)),VALUE(MID(TRIM([1]RawShipmentData!B663),FIND("/",TRIM([1]RawShipmentData!B663))+1,2)),VALUE(LEFT(TRIM([1]RawShipmentData!B663),FIND("/",TRIM([1]RawShipmentData!B663))-1))),DATEVALUE(TRIM([1]RawShipmentData!B663)))</f>
        <v>45439</v>
      </c>
      <c r="C658" s="2" t="str">
        <f>PROPER(TRIM([1]RawShipmentData!C663))</f>
        <v>Kolkata</v>
      </c>
      <c r="D658" s="2" t="str">
        <f>IFERROR(INDEX([1]HubMaster!$B$2:$B$7,MATCH(C658,[1]HubMaster!$A$2:$A$7,0)),"Unknown")</f>
        <v>East</v>
      </c>
      <c r="E658" s="2" t="str">
        <f>PROPER(TRIM(SUBSTITUTE([1]RawShipmentData!D663,"  "," ")))</f>
        <v>Bluedart</v>
      </c>
      <c r="F658" s="2" t="str">
        <f>PROPER(TRIM([1]RawShipmentData!E663))</f>
        <v>Surface</v>
      </c>
      <c r="G658" s="2" t="str">
        <f>PROPER(TRIM(SUBSTITUTE([1]RawShipmentData!F663,"  "," ")))</f>
        <v>Apparel</v>
      </c>
      <c r="H658" s="2" t="str">
        <f>PROPER(TRIM([1]RawShipmentData!G663))</f>
        <v>South</v>
      </c>
      <c r="I658" s="2" t="str">
        <f t="shared" si="50"/>
        <v>Yes</v>
      </c>
      <c r="J658" s="2">
        <f>IFERROR(VALUE(TRIM(SUBSTITUTE(UPPER([1]RawShipmentData!I658),"KG",""))),"")</f>
        <v>5.0999999999999996</v>
      </c>
      <c r="K658" s="2">
        <f>VALUE(SUBSTITUTE(SUBSTITUTE(SUBSTITUTE(TRIM([1]RawShipmentData!J663),"₹",""),"Rs",""),",",""))</f>
        <v>219</v>
      </c>
      <c r="L658" s="2">
        <f>[1]RawShipmentData!K663</f>
        <v>6</v>
      </c>
      <c r="M658" s="3">
        <f>IF(TRIM([1]RawShipmentData!L663)="","",IF(ISNUMBER(SEARCH("/",TRIM([1]RawShipmentData!L663))),DATE(VALUE(RIGHT(TRIM([1]RawShipmentData!L663),4)),VALUE(MID(TRIM([1]RawShipmentData!L663),FIND("/",TRIM([1]RawShipmentData!L663))+1,2)),VALUE(LEFT(TRIM([1]RawShipmentData!L663),FIND("/",TRIM([1]RawShipmentData!L663))-1))),DATEVALUE(TRIM([1]RawShipmentData!L663))))</f>
        <v>45446</v>
      </c>
      <c r="N658" s="2">
        <f t="shared" si="51"/>
        <v>7</v>
      </c>
      <c r="O658" s="2">
        <f t="shared" si="52"/>
        <v>1</v>
      </c>
      <c r="P658" s="2" t="str">
        <f t="shared" si="53"/>
        <v>Late</v>
      </c>
      <c r="Q658" s="2" t="str">
        <f>PROPER(SUBSTITUTE(TRIM([1]RawShipmentData!M663)," ","-"))</f>
        <v>Delayed</v>
      </c>
      <c r="R658" s="4">
        <f t="shared" si="54"/>
        <v>42.941176470588239</v>
      </c>
      <c r="S658" s="2">
        <f>[1]RawShipmentData!N663</f>
        <v>4</v>
      </c>
      <c r="T658" s="2" t="str">
        <f>IF(OR(UPPER(TRIM([1]RawShipmentData!O663))="YES",UPPER(TRIM([1]RawShipmentData!O663))="Y"),"Yes","No")</f>
        <v>Yes</v>
      </c>
    </row>
    <row r="659" spans="1:20" x14ac:dyDescent="0.25">
      <c r="A659" s="2" t="str">
        <f>[1]RawShipmentData!A664</f>
        <v>SHP-101590</v>
      </c>
      <c r="B659" s="3">
        <f>IF(ISNUMBER(SEARCH("/",TRIM([1]RawShipmentData!B664))),DATE(VALUE(RIGHT(TRIM([1]RawShipmentData!B664),4)),VALUE(MID(TRIM([1]RawShipmentData!B664),FIND("/",TRIM([1]RawShipmentData!B664))+1,2)),VALUE(LEFT(TRIM([1]RawShipmentData!B664),FIND("/",TRIM([1]RawShipmentData!B664))-1))),DATEVALUE(TRIM([1]RawShipmentData!B664)))</f>
        <v>45345</v>
      </c>
      <c r="C659" s="2" t="str">
        <f>PROPER(TRIM([1]RawShipmentData!C664))</f>
        <v>Delhi</v>
      </c>
      <c r="D659" s="2" t="str">
        <f>IFERROR(INDEX([1]HubMaster!$B$2:$B$7,MATCH(C659,[1]HubMaster!$A$2:$A$7,0)),"Unknown")</f>
        <v>North</v>
      </c>
      <c r="E659" s="2" t="str">
        <f>PROPER(TRIM(SUBSTITUTE([1]RawShipmentData!D664,"  "," ")))</f>
        <v>Xpressbees</v>
      </c>
      <c r="F659" s="2" t="str">
        <f>PROPER(TRIM([1]RawShipmentData!E664))</f>
        <v>Air</v>
      </c>
      <c r="G659" s="2" t="str">
        <f>PROPER(TRIM(SUBSTITUTE([1]RawShipmentData!F664,"  "," ")))</f>
        <v>Grocery &amp; Fmcg</v>
      </c>
      <c r="H659" s="2" t="str">
        <f>PROPER(TRIM([1]RawShipmentData!G664))</f>
        <v>West</v>
      </c>
      <c r="I659" s="2" t="str">
        <f t="shared" si="50"/>
        <v>Yes</v>
      </c>
      <c r="J659" s="2">
        <f>IFERROR(VALUE(TRIM(SUBSTITUTE(UPPER([1]RawShipmentData!I659),"KG",""))),"")</f>
        <v>17.5</v>
      </c>
      <c r="K659" s="2">
        <f>VALUE(SUBSTITUTE(SUBSTITUTE(SUBSTITUTE(TRIM([1]RawShipmentData!J664),"₹",""),"Rs",""),",",""))</f>
        <v>354</v>
      </c>
      <c r="L659" s="2">
        <f>[1]RawShipmentData!K664</f>
        <v>4</v>
      </c>
      <c r="M659" s="3">
        <f>IF(TRIM([1]RawShipmentData!L664)="","",IF(ISNUMBER(SEARCH("/",TRIM([1]RawShipmentData!L664))),DATE(VALUE(RIGHT(TRIM([1]RawShipmentData!L664),4)),VALUE(MID(TRIM([1]RawShipmentData!L664),FIND("/",TRIM([1]RawShipmentData!L664))+1,2)),VALUE(LEFT(TRIM([1]RawShipmentData!L664),FIND("/",TRIM([1]RawShipmentData!L664))-1))),DATEVALUE(TRIM([1]RawShipmentData!L664))))</f>
        <v>45348</v>
      </c>
      <c r="N659" s="2">
        <f t="shared" si="51"/>
        <v>3</v>
      </c>
      <c r="O659" s="2">
        <f t="shared" si="52"/>
        <v>-1</v>
      </c>
      <c r="P659" s="2" t="str">
        <f t="shared" si="53"/>
        <v>On Time</v>
      </c>
      <c r="Q659" s="2" t="str">
        <f>PROPER(SUBSTITUTE(TRIM([1]RawShipmentData!M664)," ","-"))</f>
        <v>Delivered</v>
      </c>
      <c r="R659" s="4">
        <f t="shared" si="54"/>
        <v>20.228571428571428</v>
      </c>
      <c r="S659" s="2">
        <f>[1]RawShipmentData!N664</f>
        <v>3</v>
      </c>
      <c r="T659" s="2" t="str">
        <f>IF(OR(UPPER(TRIM([1]RawShipmentData!O664))="YES",UPPER(TRIM([1]RawShipmentData!O664))="Y"),"Yes","No")</f>
        <v>No</v>
      </c>
    </row>
    <row r="660" spans="1:20" x14ac:dyDescent="0.25">
      <c r="A660" s="2" t="str">
        <f>[1]RawShipmentData!A665</f>
        <v>SHP-100283</v>
      </c>
      <c r="B660" s="3">
        <f>IF(ISNUMBER(SEARCH("/",TRIM([1]RawShipmentData!B665))),DATE(VALUE(RIGHT(TRIM([1]RawShipmentData!B665),4)),VALUE(MID(TRIM([1]RawShipmentData!B665),FIND("/",TRIM([1]RawShipmentData!B665))+1,2)),VALUE(LEFT(TRIM([1]RawShipmentData!B665),FIND("/",TRIM([1]RawShipmentData!B665))-1))),DATEVALUE(TRIM([1]RawShipmentData!B665)))</f>
        <v>45340</v>
      </c>
      <c r="C660" s="2" t="str">
        <f>PROPER(TRIM([1]RawShipmentData!C665))</f>
        <v>Chennai</v>
      </c>
      <c r="D660" s="2" t="str">
        <f>IFERROR(INDEX([1]HubMaster!$B$2:$B$7,MATCH(C660,[1]HubMaster!$A$2:$A$7,0)),"Unknown")</f>
        <v>South</v>
      </c>
      <c r="E660" s="2" t="str">
        <f>PROPER(TRIM(SUBSTITUTE([1]RawShipmentData!D665,"  "," ")))</f>
        <v>Delhivery</v>
      </c>
      <c r="F660" s="2" t="str">
        <f>PROPER(TRIM([1]RawShipmentData!E665))</f>
        <v>Air</v>
      </c>
      <c r="G660" s="2" t="str">
        <f>PROPER(TRIM(SUBSTITUTE([1]RawShipmentData!F665,"  "," ")))</f>
        <v>Pharma</v>
      </c>
      <c r="H660" s="2" t="str">
        <f>PROPER(TRIM([1]RawShipmentData!G665))</f>
        <v>West</v>
      </c>
      <c r="I660" s="2" t="str">
        <f t="shared" si="50"/>
        <v>Yes</v>
      </c>
      <c r="J660" s="2">
        <f>IFERROR(VALUE(TRIM(SUBSTITUTE(UPPER([1]RawShipmentData!I660),"KG",""))),"")</f>
        <v>6.5</v>
      </c>
      <c r="K660" s="2">
        <f>VALUE(SUBSTITUTE(SUBSTITUTE(SUBSTITUTE(TRIM([1]RawShipmentData!J665),"₹",""),"Rs",""),",",""))</f>
        <v>268</v>
      </c>
      <c r="L660" s="2">
        <f>[1]RawShipmentData!K665</f>
        <v>4</v>
      </c>
      <c r="M660" s="3">
        <f>IF(TRIM([1]RawShipmentData!L665)="","",IF(ISNUMBER(SEARCH("/",TRIM([1]RawShipmentData!L665))),DATE(VALUE(RIGHT(TRIM([1]RawShipmentData!L665),4)),VALUE(MID(TRIM([1]RawShipmentData!L665),FIND("/",TRIM([1]RawShipmentData!L665))+1,2)),VALUE(LEFT(TRIM([1]RawShipmentData!L665),FIND("/",TRIM([1]RawShipmentData!L665))-1))),DATEVALUE(TRIM([1]RawShipmentData!L665))))</f>
        <v>45343</v>
      </c>
      <c r="N660" s="2">
        <f t="shared" si="51"/>
        <v>3</v>
      </c>
      <c r="O660" s="2">
        <f t="shared" si="52"/>
        <v>-1</v>
      </c>
      <c r="P660" s="2" t="str">
        <f t="shared" si="53"/>
        <v>On Time</v>
      </c>
      <c r="Q660" s="2" t="str">
        <f>PROPER(SUBSTITUTE(TRIM([1]RawShipmentData!M665)," ","-"))</f>
        <v>Delivered</v>
      </c>
      <c r="R660" s="4">
        <f t="shared" si="54"/>
        <v>41.230769230769234</v>
      </c>
      <c r="S660" s="2">
        <f>[1]RawShipmentData!N665</f>
        <v>4</v>
      </c>
      <c r="T660" s="2" t="str">
        <f>IF(OR(UPPER(TRIM([1]RawShipmentData!O665))="YES",UPPER(TRIM([1]RawShipmentData!O665))="Y"),"Yes","No")</f>
        <v>No</v>
      </c>
    </row>
    <row r="661" spans="1:20" x14ac:dyDescent="0.25">
      <c r="A661" s="2" t="str">
        <f>[1]RawShipmentData!A666</f>
        <v>SHP-101462</v>
      </c>
      <c r="B661" s="3">
        <f>IF(ISNUMBER(SEARCH("/",TRIM([1]RawShipmentData!B666))),DATE(VALUE(RIGHT(TRIM([1]RawShipmentData!B666),4)),VALUE(MID(TRIM([1]RawShipmentData!B666),FIND("/",TRIM([1]RawShipmentData!B666))+1,2)),VALUE(LEFT(TRIM([1]RawShipmentData!B666),FIND("/",TRIM([1]RawShipmentData!B666))-1))),DATEVALUE(TRIM([1]RawShipmentData!B666)))</f>
        <v>45436</v>
      </c>
      <c r="C661" s="2" t="str">
        <f>PROPER(TRIM([1]RawShipmentData!C666))</f>
        <v>Bengaluru</v>
      </c>
      <c r="D661" s="2" t="str">
        <f>IFERROR(INDEX([1]HubMaster!$B$2:$B$7,MATCH(C661,[1]HubMaster!$A$2:$A$7,0)),"Unknown")</f>
        <v>South</v>
      </c>
      <c r="E661" s="2" t="str">
        <f>PROPER(TRIM(SUBSTITUTE([1]RawShipmentData!D666,"  "," ")))</f>
        <v>Delhivery</v>
      </c>
      <c r="F661" s="2" t="str">
        <f>PROPER(TRIM([1]RawShipmentData!E666))</f>
        <v>Road</v>
      </c>
      <c r="G661" s="2" t="str">
        <f>PROPER(TRIM(SUBSTITUTE([1]RawShipmentData!F666,"  "," ")))</f>
        <v>Pharma</v>
      </c>
      <c r="H661" s="2" t="str">
        <f>PROPER(TRIM([1]RawShipmentData!G666))</f>
        <v>South</v>
      </c>
      <c r="I661" s="2" t="str">
        <f t="shared" si="50"/>
        <v>No</v>
      </c>
      <c r="J661" s="2">
        <f>IFERROR(VALUE(TRIM(SUBSTITUTE(UPPER([1]RawShipmentData!I661),"KG",""))),"")</f>
        <v>4.0999999999999996</v>
      </c>
      <c r="K661" s="2">
        <f>VALUE(SUBSTITUTE(SUBSTITUTE(SUBSTITUTE(TRIM([1]RawShipmentData!J666),"₹",""),"Rs",""),",",""))</f>
        <v>80</v>
      </c>
      <c r="L661" s="2">
        <f>[1]RawShipmentData!K666</f>
        <v>6</v>
      </c>
      <c r="M661" s="3">
        <f>IF(TRIM([1]RawShipmentData!L666)="","",IF(ISNUMBER(SEARCH("/",TRIM([1]RawShipmentData!L666))),DATE(VALUE(RIGHT(TRIM([1]RawShipmentData!L666),4)),VALUE(MID(TRIM([1]RawShipmentData!L666),FIND("/",TRIM([1]RawShipmentData!L666))+1,2)),VALUE(LEFT(TRIM([1]RawShipmentData!L666),FIND("/",TRIM([1]RawShipmentData!L666))-1))),DATEVALUE(TRIM([1]RawShipmentData!L666))))</f>
        <v>45447</v>
      </c>
      <c r="N661" s="2">
        <f t="shared" si="51"/>
        <v>11</v>
      </c>
      <c r="O661" s="2">
        <f t="shared" si="52"/>
        <v>5</v>
      </c>
      <c r="P661" s="2" t="str">
        <f t="shared" si="53"/>
        <v>Late</v>
      </c>
      <c r="Q661" s="2" t="str">
        <f>PROPER(SUBSTITUTE(TRIM([1]RawShipmentData!M666)," ","-"))</f>
        <v>Delayed</v>
      </c>
      <c r="R661" s="4">
        <f t="shared" si="54"/>
        <v>19.512195121951223</v>
      </c>
      <c r="S661" s="2">
        <f>[1]RawShipmentData!N666</f>
        <v>4</v>
      </c>
      <c r="T661" s="2" t="str">
        <f>IF(OR(UPPER(TRIM([1]RawShipmentData!O666))="YES",UPPER(TRIM([1]RawShipmentData!O666))="Y"),"Yes","No")</f>
        <v>Yes</v>
      </c>
    </row>
    <row r="662" spans="1:20" x14ac:dyDescent="0.25">
      <c r="A662" s="2" t="str">
        <f>[1]RawShipmentData!A667</f>
        <v>SHP-101438</v>
      </c>
      <c r="B662" s="3">
        <f>IF(ISNUMBER(SEARCH("/",TRIM([1]RawShipmentData!B667))),DATE(VALUE(RIGHT(TRIM([1]RawShipmentData!B667),4)),VALUE(MID(TRIM([1]RawShipmentData!B667),FIND("/",TRIM([1]RawShipmentData!B667))+1,2)),VALUE(LEFT(TRIM([1]RawShipmentData!B667),FIND("/",TRIM([1]RawShipmentData!B667))-1))),DATEVALUE(TRIM([1]RawShipmentData!B667)))</f>
        <v>45374</v>
      </c>
      <c r="C662" s="2" t="str">
        <f>PROPER(TRIM([1]RawShipmentData!C667))</f>
        <v>Chennai</v>
      </c>
      <c r="D662" s="2" t="str">
        <f>IFERROR(INDEX([1]HubMaster!$B$2:$B$7,MATCH(C662,[1]HubMaster!$A$2:$A$7,0)),"Unknown")</f>
        <v>South</v>
      </c>
      <c r="E662" s="2" t="str">
        <f>PROPER(TRIM(SUBSTITUTE([1]RawShipmentData!D667,"  "," ")))</f>
        <v>Delhivery</v>
      </c>
      <c r="F662" s="2" t="str">
        <f>PROPER(TRIM([1]RawShipmentData!E667))</f>
        <v>Road</v>
      </c>
      <c r="G662" s="2" t="str">
        <f>PROPER(TRIM(SUBSTITUTE([1]RawShipmentData!F667,"  "," ")))</f>
        <v>Grocery &amp; Fmcg</v>
      </c>
      <c r="H662" s="2" t="str">
        <f>PROPER(TRIM([1]RawShipmentData!G667))</f>
        <v>East</v>
      </c>
      <c r="I662" s="2" t="str">
        <f t="shared" si="50"/>
        <v>Yes</v>
      </c>
      <c r="J662" s="2">
        <f>IFERROR(VALUE(TRIM(SUBSTITUTE(UPPER([1]RawShipmentData!I662),"KG",""))),"")</f>
        <v>7.5</v>
      </c>
      <c r="K662" s="2">
        <f>VALUE(SUBSTITUTE(SUBSTITUTE(SUBSTITUTE(TRIM([1]RawShipmentData!J667),"₹",""),"Rs",""),",",""))</f>
        <v>239</v>
      </c>
      <c r="L662" s="2">
        <f>[1]RawShipmentData!K667</f>
        <v>8</v>
      </c>
      <c r="M662" s="3">
        <f>IF(TRIM([1]RawShipmentData!L667)="","",IF(ISNUMBER(SEARCH("/",TRIM([1]RawShipmentData!L667))),DATE(VALUE(RIGHT(TRIM([1]RawShipmentData!L667),4)),VALUE(MID(TRIM([1]RawShipmentData!L667),FIND("/",TRIM([1]RawShipmentData!L667))+1,2)),VALUE(LEFT(TRIM([1]RawShipmentData!L667),FIND("/",TRIM([1]RawShipmentData!L667))-1))),DATEVALUE(TRIM([1]RawShipmentData!L667))))</f>
        <v>45384</v>
      </c>
      <c r="N662" s="2">
        <f t="shared" si="51"/>
        <v>10</v>
      </c>
      <c r="O662" s="2">
        <f t="shared" si="52"/>
        <v>2</v>
      </c>
      <c r="P662" s="2" t="str">
        <f t="shared" si="53"/>
        <v>Late</v>
      </c>
      <c r="Q662" s="2" t="str">
        <f>PROPER(SUBSTITUTE(TRIM([1]RawShipmentData!M667)," ","-"))</f>
        <v>Delayed</v>
      </c>
      <c r="R662" s="4">
        <f t="shared" si="54"/>
        <v>31.866666666666667</v>
      </c>
      <c r="S662" s="2">
        <f>[1]RawShipmentData!N667</f>
        <v>1</v>
      </c>
      <c r="T662" s="2" t="str">
        <f>IF(OR(UPPER(TRIM([1]RawShipmentData!O667))="YES",UPPER(TRIM([1]RawShipmentData!O667))="Y"),"Yes","No")</f>
        <v>No</v>
      </c>
    </row>
    <row r="663" spans="1:20" x14ac:dyDescent="0.25">
      <c r="A663" s="2" t="str">
        <f>[1]RawShipmentData!A668</f>
        <v>SHP-101345</v>
      </c>
      <c r="B663" s="3">
        <f>IF(ISNUMBER(SEARCH("/",TRIM([1]RawShipmentData!B668))),DATE(VALUE(RIGHT(TRIM([1]RawShipmentData!B668),4)),VALUE(MID(TRIM([1]RawShipmentData!B668),FIND("/",TRIM([1]RawShipmentData!B668))+1,2)),VALUE(LEFT(TRIM([1]RawShipmentData!B668),FIND("/",TRIM([1]RawShipmentData!B668))-1))),DATEVALUE(TRIM([1]RawShipmentData!B668)))</f>
        <v>45293</v>
      </c>
      <c r="C663" s="2" t="str">
        <f>PROPER(TRIM([1]RawShipmentData!C668))</f>
        <v/>
      </c>
      <c r="D663" s="2" t="str">
        <f>IFERROR(INDEX([1]HubMaster!$B$2:$B$7,MATCH(C663,[1]HubMaster!$A$2:$A$7,0)),"Unknown")</f>
        <v>Unknown</v>
      </c>
      <c r="E663" s="2" t="str">
        <f>PROPER(TRIM(SUBSTITUTE([1]RawShipmentData!D668,"  "," ")))</f>
        <v>Delhivery</v>
      </c>
      <c r="F663" s="2" t="str">
        <f>PROPER(TRIM([1]RawShipmentData!E668))</f>
        <v>Air</v>
      </c>
      <c r="G663" s="2" t="str">
        <f>PROPER(TRIM(SUBSTITUTE([1]RawShipmentData!F668,"  "," ")))</f>
        <v>Grocery &amp; Fmcg</v>
      </c>
      <c r="H663" s="2" t="str">
        <f>PROPER(TRIM([1]RawShipmentData!G668))</f>
        <v>South</v>
      </c>
      <c r="I663" s="2" t="str">
        <f t="shared" si="50"/>
        <v>Yes</v>
      </c>
      <c r="J663" s="2">
        <f>IFERROR(VALUE(TRIM(SUBSTITUTE(UPPER([1]RawShipmentData!I663),"KG",""))),"")</f>
        <v>3.4</v>
      </c>
      <c r="K663" s="2">
        <f>VALUE(SUBSTITUTE(SUBSTITUTE(SUBSTITUTE(TRIM([1]RawShipmentData!J668),"₹",""),"Rs",""),",",""))</f>
        <v>523</v>
      </c>
      <c r="L663" s="2">
        <f>[1]RawShipmentData!K668</f>
        <v>2</v>
      </c>
      <c r="M663" s="3">
        <f>IF(TRIM([1]RawShipmentData!L668)="","",IF(ISNUMBER(SEARCH("/",TRIM([1]RawShipmentData!L668))),DATE(VALUE(RIGHT(TRIM([1]RawShipmentData!L668),4)),VALUE(MID(TRIM([1]RawShipmentData!L668),FIND("/",TRIM([1]RawShipmentData!L668))+1,2)),VALUE(LEFT(TRIM([1]RawShipmentData!L668),FIND("/",TRIM([1]RawShipmentData!L668))-1))),DATEVALUE(TRIM([1]RawShipmentData!L668))))</f>
        <v>45295</v>
      </c>
      <c r="N663" s="2">
        <f t="shared" si="51"/>
        <v>2</v>
      </c>
      <c r="O663" s="2">
        <f t="shared" si="52"/>
        <v>0</v>
      </c>
      <c r="P663" s="2" t="str">
        <f t="shared" si="53"/>
        <v>On Time</v>
      </c>
      <c r="Q663" s="2" t="str">
        <f>PROPER(SUBSTITUTE(TRIM([1]RawShipmentData!M668)," ","-"))</f>
        <v>Delivered</v>
      </c>
      <c r="R663" s="4">
        <f t="shared" si="54"/>
        <v>153.8235294117647</v>
      </c>
      <c r="S663" s="2">
        <f>[1]RawShipmentData!N668</f>
        <v>2</v>
      </c>
      <c r="T663" s="2" t="str">
        <f>IF(OR(UPPER(TRIM([1]RawShipmentData!O668))="YES",UPPER(TRIM([1]RawShipmentData!O668))="Y"),"Yes","No")</f>
        <v>No</v>
      </c>
    </row>
    <row r="664" spans="1:20" x14ac:dyDescent="0.25">
      <c r="A664" s="2" t="str">
        <f>[1]RawShipmentData!A669</f>
        <v>SHP-100743</v>
      </c>
      <c r="B664" s="3">
        <f>IF(ISNUMBER(SEARCH("/",TRIM([1]RawShipmentData!B669))),DATE(VALUE(RIGHT(TRIM([1]RawShipmentData!B669),4)),VALUE(MID(TRIM([1]RawShipmentData!B669),FIND("/",TRIM([1]RawShipmentData!B669))+1,2)),VALUE(LEFT(TRIM([1]RawShipmentData!B669),FIND("/",TRIM([1]RawShipmentData!B669))-1))),DATEVALUE(TRIM([1]RawShipmentData!B669)))</f>
        <v>45446</v>
      </c>
      <c r="C664" s="2" t="str">
        <f>PROPER(TRIM([1]RawShipmentData!C669))</f>
        <v>Kolkata</v>
      </c>
      <c r="D664" s="2" t="str">
        <f>IFERROR(INDEX([1]HubMaster!$B$2:$B$7,MATCH(C664,[1]HubMaster!$A$2:$A$7,0)),"Unknown")</f>
        <v>East</v>
      </c>
      <c r="E664" s="2" t="str">
        <f>PROPER(TRIM(SUBSTITUTE([1]RawShipmentData!D669,"  "," ")))</f>
        <v>Xpressbees</v>
      </c>
      <c r="F664" s="2" t="str">
        <f>PROPER(TRIM([1]RawShipmentData!E669))</f>
        <v>Road</v>
      </c>
      <c r="G664" s="2" t="str">
        <f>PROPER(TRIM(SUBSTITUTE([1]RawShipmentData!F669,"  "," ")))</f>
        <v>Pharma</v>
      </c>
      <c r="H664" s="2" t="str">
        <f>PROPER(TRIM([1]RawShipmentData!G669))</f>
        <v>East</v>
      </c>
      <c r="I664" s="2" t="str">
        <f t="shared" si="50"/>
        <v>No</v>
      </c>
      <c r="J664" s="2">
        <f>IFERROR(VALUE(TRIM(SUBSTITUTE(UPPER([1]RawShipmentData!I664),"KG",""))),"")</f>
        <v>3.6</v>
      </c>
      <c r="K664" s="2">
        <f>VALUE(SUBSTITUTE(SUBSTITUTE(SUBSTITUTE(TRIM([1]RawShipmentData!J669),"₹",""),"Rs",""),",",""))</f>
        <v>80</v>
      </c>
      <c r="L664" s="2">
        <f>[1]RawShipmentData!K669</f>
        <v>6</v>
      </c>
      <c r="M664" s="3">
        <f>IF(TRIM([1]RawShipmentData!L669)="","",IF(ISNUMBER(SEARCH("/",TRIM([1]RawShipmentData!L669))),DATE(VALUE(RIGHT(TRIM([1]RawShipmentData!L669),4)),VALUE(MID(TRIM([1]RawShipmentData!L669),FIND("/",TRIM([1]RawShipmentData!L669))+1,2)),VALUE(LEFT(TRIM([1]RawShipmentData!L669),FIND("/",TRIM([1]RawShipmentData!L669))-1))),DATEVALUE(TRIM([1]RawShipmentData!L669))))</f>
        <v>45452</v>
      </c>
      <c r="N664" s="2">
        <f t="shared" si="51"/>
        <v>6</v>
      </c>
      <c r="O664" s="2">
        <f t="shared" si="52"/>
        <v>0</v>
      </c>
      <c r="P664" s="2" t="str">
        <f t="shared" si="53"/>
        <v>On Time</v>
      </c>
      <c r="Q664" s="2" t="str">
        <f>PROPER(SUBSTITUTE(TRIM([1]RawShipmentData!M669)," ","-"))</f>
        <v>Delivered</v>
      </c>
      <c r="R664" s="4">
        <f t="shared" si="54"/>
        <v>22.222222222222221</v>
      </c>
      <c r="S664" s="2">
        <f>[1]RawShipmentData!N669</f>
        <v>4</v>
      </c>
      <c r="T664" s="2" t="str">
        <f>IF(OR(UPPER(TRIM([1]RawShipmentData!O669))="YES",UPPER(TRIM([1]RawShipmentData!O669))="Y"),"Yes","No")</f>
        <v>Yes</v>
      </c>
    </row>
    <row r="665" spans="1:20" x14ac:dyDescent="0.25">
      <c r="A665" s="2" t="str">
        <f>[1]RawShipmentData!A670</f>
        <v>SHP-100552</v>
      </c>
      <c r="B665" s="3">
        <f>IF(ISNUMBER(SEARCH("/",TRIM([1]RawShipmentData!B670))),DATE(VALUE(RIGHT(TRIM([1]RawShipmentData!B670),4)),VALUE(MID(TRIM([1]RawShipmentData!B670),FIND("/",TRIM([1]RawShipmentData!B670))+1,2)),VALUE(LEFT(TRIM([1]RawShipmentData!B670),FIND("/",TRIM([1]RawShipmentData!B670))-1))),DATEVALUE(TRIM([1]RawShipmentData!B670)))</f>
        <v>45402</v>
      </c>
      <c r="C665" s="2" t="str">
        <f>PROPER(TRIM([1]RawShipmentData!C670))</f>
        <v>Delhi</v>
      </c>
      <c r="D665" s="2" t="str">
        <f>IFERROR(INDEX([1]HubMaster!$B$2:$B$7,MATCH(C665,[1]HubMaster!$A$2:$A$7,0)),"Unknown")</f>
        <v>North</v>
      </c>
      <c r="E665" s="2" t="str">
        <f>PROPER(TRIM(SUBSTITUTE([1]RawShipmentData!D670,"  "," ")))</f>
        <v>Ecom Express</v>
      </c>
      <c r="F665" s="2" t="str">
        <f>PROPER(TRIM([1]RawShipmentData!E670))</f>
        <v>Air</v>
      </c>
      <c r="G665" s="2" t="str">
        <f>PROPER(TRIM(SUBSTITUTE([1]RawShipmentData!F670,"  "," ")))</f>
        <v>Grocery &amp; Fmcg</v>
      </c>
      <c r="H665" s="2" t="str">
        <f>PROPER(TRIM([1]RawShipmentData!G670))</f>
        <v>South</v>
      </c>
      <c r="I665" s="2" t="str">
        <f t="shared" si="50"/>
        <v>Yes</v>
      </c>
      <c r="J665" s="2">
        <f>IFERROR(VALUE(TRIM(SUBSTITUTE(UPPER([1]RawShipmentData!I665),"KG",""))),"")</f>
        <v>1.4</v>
      </c>
      <c r="K665" s="2">
        <f>VALUE(SUBSTITUTE(SUBSTITUTE(SUBSTITUTE(TRIM([1]RawShipmentData!J670),"₹",""),"Rs",""),",",""))</f>
        <v>374</v>
      </c>
      <c r="L665" s="2">
        <f>[1]RawShipmentData!K670</f>
        <v>4</v>
      </c>
      <c r="M665" s="3">
        <f>IF(TRIM([1]RawShipmentData!L670)="","",IF(ISNUMBER(SEARCH("/",TRIM([1]RawShipmentData!L670))),DATE(VALUE(RIGHT(TRIM([1]RawShipmentData!L670),4)),VALUE(MID(TRIM([1]RawShipmentData!L670),FIND("/",TRIM([1]RawShipmentData!L670))+1,2)),VALUE(LEFT(TRIM([1]RawShipmentData!L670),FIND("/",TRIM([1]RawShipmentData!L670))-1))),DATEVALUE(TRIM([1]RawShipmentData!L670))))</f>
        <v>45407</v>
      </c>
      <c r="N665" s="2">
        <f t="shared" si="51"/>
        <v>5</v>
      </c>
      <c r="O665" s="2">
        <f t="shared" si="52"/>
        <v>1</v>
      </c>
      <c r="P665" s="2" t="str">
        <f t="shared" si="53"/>
        <v>Late</v>
      </c>
      <c r="Q665" s="2" t="str">
        <f>PROPER(SUBSTITUTE(TRIM([1]RawShipmentData!M670)," ","-"))</f>
        <v>Delayed</v>
      </c>
      <c r="R665" s="4">
        <f t="shared" si="54"/>
        <v>267.14285714285717</v>
      </c>
      <c r="S665" s="2">
        <f>[1]RawShipmentData!N670</f>
        <v>1</v>
      </c>
      <c r="T665" s="2" t="str">
        <f>IF(OR(UPPER(TRIM([1]RawShipmentData!O670))="YES",UPPER(TRIM([1]RawShipmentData!O670))="Y"),"Yes","No")</f>
        <v>No</v>
      </c>
    </row>
    <row r="666" spans="1:20" x14ac:dyDescent="0.25">
      <c r="A666" s="2" t="str">
        <f>[1]RawShipmentData!A671</f>
        <v>SHP-100449</v>
      </c>
      <c r="B666" s="3">
        <f>IF(ISNUMBER(SEARCH("/",TRIM([1]RawShipmentData!B671))),DATE(VALUE(RIGHT(TRIM([1]RawShipmentData!B671),4)),VALUE(MID(TRIM([1]RawShipmentData!B671),FIND("/",TRIM([1]RawShipmentData!B671))+1,2)),VALUE(LEFT(TRIM([1]RawShipmentData!B671),FIND("/",TRIM([1]RawShipmentData!B671))-1))),DATEVALUE(TRIM([1]RawShipmentData!B671)))</f>
        <v>45413</v>
      </c>
      <c r="C666" s="2" t="str">
        <f>PROPER(TRIM([1]RawShipmentData!C671))</f>
        <v>Delhi</v>
      </c>
      <c r="D666" s="2" t="str">
        <f>IFERROR(INDEX([1]HubMaster!$B$2:$B$7,MATCH(C666,[1]HubMaster!$A$2:$A$7,0)),"Unknown")</f>
        <v>North</v>
      </c>
      <c r="E666" s="2" t="str">
        <f>PROPER(TRIM(SUBSTITUTE([1]RawShipmentData!D671,"  "," ")))</f>
        <v>Dtdc</v>
      </c>
      <c r="F666" s="2" t="str">
        <f>PROPER(TRIM([1]RawShipmentData!E671))</f>
        <v>Air</v>
      </c>
      <c r="G666" s="2" t="str">
        <f>PROPER(TRIM(SUBSTITUTE([1]RawShipmentData!F671,"  "," ")))</f>
        <v>Electronics</v>
      </c>
      <c r="H666" s="2" t="str">
        <f>PROPER(TRIM([1]RawShipmentData!G671))</f>
        <v>East</v>
      </c>
      <c r="I666" s="2" t="str">
        <f t="shared" si="50"/>
        <v>Yes</v>
      </c>
      <c r="J666" s="2">
        <f>IFERROR(VALUE(TRIM(SUBSTITUTE(UPPER([1]RawShipmentData!I666),"KG",""))),"")</f>
        <v>4</v>
      </c>
      <c r="K666" s="2">
        <f>VALUE(SUBSTITUTE(SUBSTITUTE(SUBSTITUTE(TRIM([1]RawShipmentData!J671),"₹",""),"Rs",""),",",""))</f>
        <v>763</v>
      </c>
      <c r="L666" s="2">
        <f>[1]RawShipmentData!K671</f>
        <v>4</v>
      </c>
      <c r="M666" s="3">
        <f>IF(TRIM([1]RawShipmentData!L671)="","",IF(ISNUMBER(SEARCH("/",TRIM([1]RawShipmentData!L671))),DATE(VALUE(RIGHT(TRIM([1]RawShipmentData!L671),4)),VALUE(MID(TRIM([1]RawShipmentData!L671),FIND("/",TRIM([1]RawShipmentData!L671))+1,2)),VALUE(LEFT(TRIM([1]RawShipmentData!L671),FIND("/",TRIM([1]RawShipmentData!L671))-1))),DATEVALUE(TRIM([1]RawShipmentData!L671))))</f>
        <v>45417</v>
      </c>
      <c r="N666" s="2">
        <f t="shared" si="51"/>
        <v>4</v>
      </c>
      <c r="O666" s="2">
        <f t="shared" si="52"/>
        <v>0</v>
      </c>
      <c r="P666" s="2" t="str">
        <f t="shared" si="53"/>
        <v>On Time</v>
      </c>
      <c r="Q666" s="2" t="str">
        <f>PROPER(SUBSTITUTE(TRIM([1]RawShipmentData!M671)," ","-"))</f>
        <v>Delivered</v>
      </c>
      <c r="R666" s="4">
        <f t="shared" si="54"/>
        <v>190.75</v>
      </c>
      <c r="S666" s="2">
        <f>[1]RawShipmentData!N671</f>
        <v>5</v>
      </c>
      <c r="T666" s="2" t="str">
        <f>IF(OR(UPPER(TRIM([1]RawShipmentData!O671))="YES",UPPER(TRIM([1]RawShipmentData!O671))="Y"),"Yes","No")</f>
        <v>No</v>
      </c>
    </row>
    <row r="667" spans="1:20" x14ac:dyDescent="0.25">
      <c r="A667" s="2" t="str">
        <f>[1]RawShipmentData!A672</f>
        <v>SHP-101432</v>
      </c>
      <c r="B667" s="3">
        <f>IF(ISNUMBER(SEARCH("/",TRIM([1]RawShipmentData!B672))),DATE(VALUE(RIGHT(TRIM([1]RawShipmentData!B672),4)),VALUE(MID(TRIM([1]RawShipmentData!B672),FIND("/",TRIM([1]RawShipmentData!B672))+1,2)),VALUE(LEFT(TRIM([1]RawShipmentData!B672),FIND("/",TRIM([1]RawShipmentData!B672))-1))),DATEVALUE(TRIM([1]RawShipmentData!B672)))</f>
        <v>45301</v>
      </c>
      <c r="C667" s="2" t="str">
        <f>PROPER(TRIM([1]RawShipmentData!C672))</f>
        <v>Mumbai</v>
      </c>
      <c r="D667" s="2" t="str">
        <f>IFERROR(INDEX([1]HubMaster!$B$2:$B$7,MATCH(C667,[1]HubMaster!$A$2:$A$7,0)),"Unknown")</f>
        <v>West</v>
      </c>
      <c r="E667" s="2" t="str">
        <f>PROPER(TRIM(SUBSTITUTE([1]RawShipmentData!D672,"  "," ")))</f>
        <v>Xpress Bees</v>
      </c>
      <c r="F667" s="2" t="str">
        <f>PROPER(TRIM([1]RawShipmentData!E672))</f>
        <v>Road</v>
      </c>
      <c r="G667" s="2" t="str">
        <f>PROPER(TRIM(SUBSTITUTE([1]RawShipmentData!F672,"  "," ")))</f>
        <v>Grocery &amp; Fmcg</v>
      </c>
      <c r="H667" s="2" t="str">
        <f>PROPER(TRIM([1]RawShipmentData!G672))</f>
        <v>East</v>
      </c>
      <c r="I667" s="2" t="str">
        <f t="shared" si="50"/>
        <v>Yes</v>
      </c>
      <c r="J667" s="2">
        <f>IFERROR(VALUE(TRIM(SUBSTITUTE(UPPER([1]RawShipmentData!I667),"KG",""))),"")</f>
        <v>8.1</v>
      </c>
      <c r="K667" s="2">
        <f>VALUE(SUBSTITUTE(SUBSTITUTE(SUBSTITUTE(TRIM([1]RawShipmentData!J672),"₹",""),"Rs",""),",",""))</f>
        <v>383</v>
      </c>
      <c r="L667" s="2">
        <f>[1]RawShipmentData!K672</f>
        <v>8</v>
      </c>
      <c r="M667" s="3">
        <f>IF(TRIM([1]RawShipmentData!L672)="","",IF(ISNUMBER(SEARCH("/",TRIM([1]RawShipmentData!L672))),DATE(VALUE(RIGHT(TRIM([1]RawShipmentData!L672),4)),VALUE(MID(TRIM([1]RawShipmentData!L672),FIND("/",TRIM([1]RawShipmentData!L672))+1,2)),VALUE(LEFT(TRIM([1]RawShipmentData!L672),FIND("/",TRIM([1]RawShipmentData!L672))-1))),DATEVALUE(TRIM([1]RawShipmentData!L672))))</f>
        <v>45313</v>
      </c>
      <c r="N667" s="2">
        <f t="shared" si="51"/>
        <v>12</v>
      </c>
      <c r="O667" s="2">
        <f t="shared" si="52"/>
        <v>4</v>
      </c>
      <c r="P667" s="2" t="str">
        <f t="shared" si="53"/>
        <v>Late</v>
      </c>
      <c r="Q667" s="2" t="str">
        <f>PROPER(SUBSTITUTE(TRIM([1]RawShipmentData!M672)," ","-"))</f>
        <v>Delayed</v>
      </c>
      <c r="R667" s="4">
        <f t="shared" si="54"/>
        <v>47.283950617283949</v>
      </c>
      <c r="S667" s="2">
        <f>[1]RawShipmentData!N672</f>
        <v>1</v>
      </c>
      <c r="T667" s="2" t="str">
        <f>IF(OR(UPPER(TRIM([1]RawShipmentData!O672))="YES",UPPER(TRIM([1]RawShipmentData!O672))="Y"),"Yes","No")</f>
        <v>No</v>
      </c>
    </row>
    <row r="668" spans="1:20" x14ac:dyDescent="0.25">
      <c r="A668" s="2" t="str">
        <f>[1]RawShipmentData!A673</f>
        <v>SHP-101253</v>
      </c>
      <c r="B668" s="3">
        <f>IF(ISNUMBER(SEARCH("/",TRIM([1]RawShipmentData!B673))),DATE(VALUE(RIGHT(TRIM([1]RawShipmentData!B673),4)),VALUE(MID(TRIM([1]RawShipmentData!B673),FIND("/",TRIM([1]RawShipmentData!B673))+1,2)),VALUE(LEFT(TRIM([1]RawShipmentData!B673),FIND("/",TRIM([1]RawShipmentData!B673))-1))),DATEVALUE(TRIM([1]RawShipmentData!B673)))</f>
        <v>45466</v>
      </c>
      <c r="C668" s="2" t="str">
        <f>PROPER(TRIM([1]RawShipmentData!C673))</f>
        <v>Bengaluru</v>
      </c>
      <c r="D668" s="2" t="str">
        <f>IFERROR(INDEX([1]HubMaster!$B$2:$B$7,MATCH(C668,[1]HubMaster!$A$2:$A$7,0)),"Unknown")</f>
        <v>South</v>
      </c>
      <c r="E668" s="2" t="str">
        <f>PROPER(TRIM(SUBSTITUTE([1]RawShipmentData!D673,"  "," ")))</f>
        <v>Bluedart</v>
      </c>
      <c r="F668" s="2" t="str">
        <f>PROPER(TRIM([1]RawShipmentData!E673))</f>
        <v>Road</v>
      </c>
      <c r="G668" s="2" t="str">
        <f>PROPER(TRIM(SUBSTITUTE([1]RawShipmentData!F673,"  "," ")))</f>
        <v>Pharma</v>
      </c>
      <c r="H668" s="2" t="str">
        <f>PROPER(TRIM([1]RawShipmentData!G673))</f>
        <v>West</v>
      </c>
      <c r="I668" s="2" t="str">
        <f t="shared" si="50"/>
        <v>Yes</v>
      </c>
      <c r="J668" s="2">
        <f>IFERROR(VALUE(TRIM(SUBSTITUTE(UPPER([1]RawShipmentData!I668),"KG",""))),"")</f>
        <v>11.9</v>
      </c>
      <c r="K668" s="2">
        <f>VALUE(SUBSTITUTE(SUBSTITUTE(SUBSTITUTE(TRIM([1]RawShipmentData!J673),"₹",""),"Rs",""),",",""))</f>
        <v>149</v>
      </c>
      <c r="L668" s="2">
        <f>[1]RawShipmentData!K673</f>
        <v>8</v>
      </c>
      <c r="M668" s="3">
        <f>IF(TRIM([1]RawShipmentData!L673)="","",IF(ISNUMBER(SEARCH("/",TRIM([1]RawShipmentData!L673))),DATE(VALUE(RIGHT(TRIM([1]RawShipmentData!L673),4)),VALUE(MID(TRIM([1]RawShipmentData!L673),FIND("/",TRIM([1]RawShipmentData!L673))+1,2)),VALUE(LEFT(TRIM([1]RawShipmentData!L673),FIND("/",TRIM([1]RawShipmentData!L673))-1))),DATEVALUE(TRIM([1]RawShipmentData!L673))))</f>
        <v>45475</v>
      </c>
      <c r="N668" s="2">
        <f t="shared" si="51"/>
        <v>9</v>
      </c>
      <c r="O668" s="2">
        <f t="shared" si="52"/>
        <v>1</v>
      </c>
      <c r="P668" s="2" t="str">
        <f t="shared" si="53"/>
        <v>Late</v>
      </c>
      <c r="Q668" s="2" t="str">
        <f>PROPER(SUBSTITUTE(TRIM([1]RawShipmentData!M673)," ","-"))</f>
        <v>Delayed</v>
      </c>
      <c r="R668" s="4">
        <f t="shared" si="54"/>
        <v>12.521008403361344</v>
      </c>
      <c r="S668" s="2">
        <f>[1]RawShipmentData!N673</f>
        <v>1</v>
      </c>
      <c r="T668" s="2" t="str">
        <f>IF(OR(UPPER(TRIM([1]RawShipmentData!O673))="YES",UPPER(TRIM([1]RawShipmentData!O673))="Y"),"Yes","No")</f>
        <v>No</v>
      </c>
    </row>
    <row r="669" spans="1:20" x14ac:dyDescent="0.25">
      <c r="A669" s="2" t="str">
        <f>[1]RawShipmentData!A674</f>
        <v>SHP-100351</v>
      </c>
      <c r="B669" s="3">
        <f>IF(ISNUMBER(SEARCH("/",TRIM([1]RawShipmentData!B674))),DATE(VALUE(RIGHT(TRIM([1]RawShipmentData!B674),4)),VALUE(MID(TRIM([1]RawShipmentData!B674),FIND("/",TRIM([1]RawShipmentData!B674))+1,2)),VALUE(LEFT(TRIM([1]RawShipmentData!B674),FIND("/",TRIM([1]RawShipmentData!B674))-1))),DATEVALUE(TRIM([1]RawShipmentData!B674)))</f>
        <v>45302</v>
      </c>
      <c r="C669" s="2" t="str">
        <f>PROPER(TRIM([1]RawShipmentData!C674))</f>
        <v>Kolkata</v>
      </c>
      <c r="D669" s="2" t="str">
        <f>IFERROR(INDEX([1]HubMaster!$B$2:$B$7,MATCH(C669,[1]HubMaster!$A$2:$A$7,0)),"Unknown")</f>
        <v>East</v>
      </c>
      <c r="E669" s="2" t="str">
        <f>PROPER(TRIM(SUBSTITUTE([1]RawShipmentData!D674,"  "," ")))</f>
        <v>Delhivery</v>
      </c>
      <c r="F669" s="2" t="str">
        <f>PROPER(TRIM([1]RawShipmentData!E674))</f>
        <v>Air</v>
      </c>
      <c r="G669" s="2" t="str">
        <f>PROPER(TRIM(SUBSTITUTE([1]RawShipmentData!F674,"  "," ")))</f>
        <v>Pharma</v>
      </c>
      <c r="H669" s="2" t="str">
        <f>PROPER(TRIM([1]RawShipmentData!G674))</f>
        <v>South</v>
      </c>
      <c r="I669" s="2" t="str">
        <f t="shared" si="50"/>
        <v>Yes</v>
      </c>
      <c r="J669" s="2">
        <f>IFERROR(VALUE(TRIM(SUBSTITUTE(UPPER([1]RawShipmentData!I669),"KG",""))),"")</f>
        <v>4.0999999999999996</v>
      </c>
      <c r="K669" s="2">
        <f>VALUE(SUBSTITUTE(SUBSTITUTE(SUBSTITUTE(TRIM([1]RawShipmentData!J674),"₹",""),"Rs",""),",",""))</f>
        <v>254</v>
      </c>
      <c r="L669" s="2">
        <f>[1]RawShipmentData!K674</f>
        <v>4</v>
      </c>
      <c r="M669" s="3">
        <f>IF(TRIM([1]RawShipmentData!L674)="","",IF(ISNUMBER(SEARCH("/",TRIM([1]RawShipmentData!L674))),DATE(VALUE(RIGHT(TRIM([1]RawShipmentData!L674),4)),VALUE(MID(TRIM([1]RawShipmentData!L674),FIND("/",TRIM([1]RawShipmentData!L674))+1,2)),VALUE(LEFT(TRIM([1]RawShipmentData!L674),FIND("/",TRIM([1]RawShipmentData!L674))-1))),DATEVALUE(TRIM([1]RawShipmentData!L674))))</f>
        <v>45306</v>
      </c>
      <c r="N669" s="2">
        <f t="shared" si="51"/>
        <v>4</v>
      </c>
      <c r="O669" s="2">
        <f t="shared" si="52"/>
        <v>0</v>
      </c>
      <c r="P669" s="2" t="str">
        <f t="shared" si="53"/>
        <v>On Time</v>
      </c>
      <c r="Q669" s="2" t="str">
        <f>PROPER(SUBSTITUTE(TRIM([1]RawShipmentData!M674)," ","-"))</f>
        <v>Delivered</v>
      </c>
      <c r="R669" s="4">
        <f t="shared" si="54"/>
        <v>61.951219512195131</v>
      </c>
      <c r="S669" s="2">
        <f>[1]RawShipmentData!N674</f>
        <v>5</v>
      </c>
      <c r="T669" s="2" t="str">
        <f>IF(OR(UPPER(TRIM([1]RawShipmentData!O674))="YES",UPPER(TRIM([1]RawShipmentData!O674))="Y"),"Yes","No")</f>
        <v>No</v>
      </c>
    </row>
    <row r="670" spans="1:20" x14ac:dyDescent="0.25">
      <c r="A670" s="2" t="str">
        <f>[1]RawShipmentData!A675</f>
        <v>SHP-100231</v>
      </c>
      <c r="B670" s="3">
        <f>IF(ISNUMBER(SEARCH("/",TRIM([1]RawShipmentData!B675))),DATE(VALUE(RIGHT(TRIM([1]RawShipmentData!B675),4)),VALUE(MID(TRIM([1]RawShipmentData!B675),FIND("/",TRIM([1]RawShipmentData!B675))+1,2)),VALUE(LEFT(TRIM([1]RawShipmentData!B675),FIND("/",TRIM([1]RawShipmentData!B675))-1))),DATEVALUE(TRIM([1]RawShipmentData!B675)))</f>
        <v>45469</v>
      </c>
      <c r="C670" s="2" t="str">
        <f>PROPER(TRIM([1]RawShipmentData!C675))</f>
        <v>Hyderabad</v>
      </c>
      <c r="D670" s="2" t="str">
        <f>IFERROR(INDEX([1]HubMaster!$B$2:$B$7,MATCH(C670,[1]HubMaster!$A$2:$A$7,0)),"Unknown")</f>
        <v>West</v>
      </c>
      <c r="E670" s="2" t="str">
        <f>PROPER(TRIM(SUBSTITUTE([1]RawShipmentData!D675,"  "," ")))</f>
        <v>Blue Dart</v>
      </c>
      <c r="F670" s="2" t="str">
        <f>PROPER(TRIM([1]RawShipmentData!E675))</f>
        <v>Road</v>
      </c>
      <c r="G670" s="2" t="str">
        <f>PROPER(TRIM(SUBSTITUTE([1]RawShipmentData!F675,"  "," ")))</f>
        <v>Electronics</v>
      </c>
      <c r="H670" s="2" t="str">
        <f>PROPER(TRIM([1]RawShipmentData!G675))</f>
        <v>West</v>
      </c>
      <c r="I670" s="2" t="str">
        <f t="shared" si="50"/>
        <v>No</v>
      </c>
      <c r="J670" s="2">
        <f>IFERROR(VALUE(TRIM(SUBSTITUTE(UPPER([1]RawShipmentData!I670),"KG",""))),"")</f>
        <v>4.0999999999999996</v>
      </c>
      <c r="K670" s="2">
        <f>VALUE(SUBSTITUTE(SUBSTITUTE(SUBSTITUTE(TRIM([1]RawShipmentData!J675),"₹",""),"Rs",""),",",""))</f>
        <v>137</v>
      </c>
      <c r="L670" s="2">
        <f>[1]RawShipmentData!K675</f>
        <v>6</v>
      </c>
      <c r="M670" s="3">
        <f>IF(TRIM([1]RawShipmentData!L675)="","",IF(ISNUMBER(SEARCH("/",TRIM([1]RawShipmentData!L675))),DATE(VALUE(RIGHT(TRIM([1]RawShipmentData!L675),4)),VALUE(MID(TRIM([1]RawShipmentData!L675),FIND("/",TRIM([1]RawShipmentData!L675))+1,2)),VALUE(LEFT(TRIM([1]RawShipmentData!L675),FIND("/",TRIM([1]RawShipmentData!L675))-1))),DATEVALUE(TRIM([1]RawShipmentData!L675))))</f>
        <v>45474</v>
      </c>
      <c r="N670" s="2">
        <f t="shared" si="51"/>
        <v>5</v>
      </c>
      <c r="O670" s="2">
        <f t="shared" si="52"/>
        <v>-1</v>
      </c>
      <c r="P670" s="2" t="str">
        <f t="shared" si="53"/>
        <v>On Time</v>
      </c>
      <c r="Q670" s="2" t="str">
        <f>PROPER(SUBSTITUTE(TRIM([1]RawShipmentData!M675)," ","-"))</f>
        <v>Damaged</v>
      </c>
      <c r="R670" s="4">
        <f t="shared" si="54"/>
        <v>33.414634146341463</v>
      </c>
      <c r="S670" s="2">
        <f>[1]RawShipmentData!N675</f>
        <v>0</v>
      </c>
      <c r="T670" s="2" t="str">
        <f>IF(OR(UPPER(TRIM([1]RawShipmentData!O675))="YES",UPPER(TRIM([1]RawShipmentData!O675))="Y"),"Yes","No")</f>
        <v>Yes</v>
      </c>
    </row>
    <row r="671" spans="1:20" x14ac:dyDescent="0.25">
      <c r="A671" s="2" t="str">
        <f>[1]RawShipmentData!A676</f>
        <v>SHP-101084</v>
      </c>
      <c r="B671" s="3">
        <f>IF(ISNUMBER(SEARCH("/",TRIM([1]RawShipmentData!B676))),DATE(VALUE(RIGHT(TRIM([1]RawShipmentData!B676),4)),VALUE(MID(TRIM([1]RawShipmentData!B676),FIND("/",TRIM([1]RawShipmentData!B676))+1,2)),VALUE(LEFT(TRIM([1]RawShipmentData!B676),FIND("/",TRIM([1]RawShipmentData!B676))-1))),DATEVALUE(TRIM([1]RawShipmentData!B676)))</f>
        <v>45464</v>
      </c>
      <c r="C671" s="2" t="str">
        <f>PROPER(TRIM([1]RawShipmentData!C676))</f>
        <v>Mumbai</v>
      </c>
      <c r="D671" s="2" t="str">
        <f>IFERROR(INDEX([1]HubMaster!$B$2:$B$7,MATCH(C671,[1]HubMaster!$A$2:$A$7,0)),"Unknown")</f>
        <v>West</v>
      </c>
      <c r="E671" s="2" t="str">
        <f>PROPER(TRIM(SUBSTITUTE([1]RawShipmentData!D676,"  "," ")))</f>
        <v>Ecom Express</v>
      </c>
      <c r="F671" s="2" t="str">
        <f>PROPER(TRIM([1]RawShipmentData!E676))</f>
        <v>Road</v>
      </c>
      <c r="G671" s="2" t="str">
        <f>PROPER(TRIM(SUBSTITUTE([1]RawShipmentData!F676,"  "," ")))</f>
        <v>Furniture</v>
      </c>
      <c r="H671" s="2" t="str">
        <f>PROPER(TRIM([1]RawShipmentData!G676))</f>
        <v>West</v>
      </c>
      <c r="I671" s="2" t="str">
        <f t="shared" si="50"/>
        <v>No</v>
      </c>
      <c r="J671" s="2">
        <f>IFERROR(VALUE(TRIM(SUBSTITUTE(UPPER([1]RawShipmentData!I671),"KG",""))),"")</f>
        <v>13.8</v>
      </c>
      <c r="K671" s="2">
        <f>VALUE(SUBSTITUTE(SUBSTITUTE(SUBSTITUTE(TRIM([1]RawShipmentData!J676),"₹",""),"Rs",""),",",""))</f>
        <v>607</v>
      </c>
      <c r="L671" s="2">
        <f>[1]RawShipmentData!K676</f>
        <v>6</v>
      </c>
      <c r="M671" s="3">
        <f>IF(TRIM([1]RawShipmentData!L676)="","",IF(ISNUMBER(SEARCH("/",TRIM([1]RawShipmentData!L676))),DATE(VALUE(RIGHT(TRIM([1]RawShipmentData!L676),4)),VALUE(MID(TRIM([1]RawShipmentData!L676),FIND("/",TRIM([1]RawShipmentData!L676))+1,2)),VALUE(LEFT(TRIM([1]RawShipmentData!L676),FIND("/",TRIM([1]RawShipmentData!L676))-1))),DATEVALUE(TRIM([1]RawShipmentData!L676))))</f>
        <v>45469</v>
      </c>
      <c r="N671" s="2">
        <f t="shared" si="51"/>
        <v>5</v>
      </c>
      <c r="O671" s="2">
        <f t="shared" si="52"/>
        <v>-1</v>
      </c>
      <c r="P671" s="2" t="str">
        <f t="shared" si="53"/>
        <v>On Time</v>
      </c>
      <c r="Q671" s="2" t="str">
        <f>PROPER(SUBSTITUTE(TRIM([1]RawShipmentData!M676)," ","-"))</f>
        <v>Delivered</v>
      </c>
      <c r="R671" s="4">
        <f t="shared" si="54"/>
        <v>43.985507246376812</v>
      </c>
      <c r="S671" s="2">
        <f>[1]RawShipmentData!N676</f>
        <v>5</v>
      </c>
      <c r="T671" s="2" t="str">
        <f>IF(OR(UPPER(TRIM([1]RawShipmentData!O676))="YES",UPPER(TRIM([1]RawShipmentData!O676))="Y"),"Yes","No")</f>
        <v>Yes</v>
      </c>
    </row>
    <row r="672" spans="1:20" x14ac:dyDescent="0.25">
      <c r="A672" s="2" t="str">
        <f>[1]RawShipmentData!A677</f>
        <v>SHP-101274</v>
      </c>
      <c r="B672" s="3">
        <f>IF(ISNUMBER(SEARCH("/",TRIM([1]RawShipmentData!B677))),DATE(VALUE(RIGHT(TRIM([1]RawShipmentData!B677),4)),VALUE(MID(TRIM([1]RawShipmentData!B677),FIND("/",TRIM([1]RawShipmentData!B677))+1,2)),VALUE(LEFT(TRIM([1]RawShipmentData!B677),FIND("/",TRIM([1]RawShipmentData!B677))-1))),DATEVALUE(TRIM([1]RawShipmentData!B677)))</f>
        <v>45435</v>
      </c>
      <c r="C672" s="2" t="str">
        <f>PROPER(TRIM([1]RawShipmentData!C677))</f>
        <v>Mumbai</v>
      </c>
      <c r="D672" s="2" t="str">
        <f>IFERROR(INDEX([1]HubMaster!$B$2:$B$7,MATCH(C672,[1]HubMaster!$A$2:$A$7,0)),"Unknown")</f>
        <v>West</v>
      </c>
      <c r="E672" s="2" t="str">
        <f>PROPER(TRIM(SUBSTITUTE([1]RawShipmentData!D677,"  "," ")))</f>
        <v>Ecom Express</v>
      </c>
      <c r="F672" s="2" t="str">
        <f>PROPER(TRIM([1]RawShipmentData!E677))</f>
        <v>Road</v>
      </c>
      <c r="G672" s="2" t="str">
        <f>PROPER(TRIM(SUBSTITUTE([1]RawShipmentData!F677,"  "," ")))</f>
        <v>Grocery &amp; Fmcg</v>
      </c>
      <c r="H672" s="2" t="str">
        <f>PROPER(TRIM([1]RawShipmentData!G677))</f>
        <v>South</v>
      </c>
      <c r="I672" s="2" t="str">
        <f t="shared" si="50"/>
        <v>Yes</v>
      </c>
      <c r="J672" s="2">
        <f>IFERROR(VALUE(TRIM(SUBSTITUTE(UPPER([1]RawShipmentData!I672),"KG",""))),"")</f>
        <v>17.2</v>
      </c>
      <c r="K672" s="2">
        <f>VALUE(SUBSTITUTE(SUBSTITUTE(SUBSTITUTE(TRIM([1]RawShipmentData!J677),"₹",""),"Rs",""),",",""))</f>
        <v>369</v>
      </c>
      <c r="L672" s="2">
        <f>[1]RawShipmentData!K677</f>
        <v>8</v>
      </c>
      <c r="M672" s="3">
        <f>IF(TRIM([1]RawShipmentData!L677)="","",IF(ISNUMBER(SEARCH("/",TRIM([1]RawShipmentData!L677))),DATE(VALUE(RIGHT(TRIM([1]RawShipmentData!L677),4)),VALUE(MID(TRIM([1]RawShipmentData!L677),FIND("/",TRIM([1]RawShipmentData!L677))+1,2)),VALUE(LEFT(TRIM([1]RawShipmentData!L677),FIND("/",TRIM([1]RawShipmentData!L677))-1))),DATEVALUE(TRIM([1]RawShipmentData!L677))))</f>
        <v>45443</v>
      </c>
      <c r="N672" s="2">
        <f t="shared" si="51"/>
        <v>8</v>
      </c>
      <c r="O672" s="2">
        <f t="shared" si="52"/>
        <v>0</v>
      </c>
      <c r="P672" s="2" t="str">
        <f t="shared" si="53"/>
        <v>On Time</v>
      </c>
      <c r="Q672" s="2" t="str">
        <f>PROPER(SUBSTITUTE(TRIM([1]RawShipmentData!M677)," ","-"))</f>
        <v>Delivered</v>
      </c>
      <c r="R672" s="4">
        <f t="shared" si="54"/>
        <v>21.453488372093023</v>
      </c>
      <c r="S672" s="2">
        <f>[1]RawShipmentData!N677</f>
        <v>4</v>
      </c>
      <c r="T672" s="2" t="str">
        <f>IF(OR(UPPER(TRIM([1]RawShipmentData!O677))="YES",UPPER(TRIM([1]RawShipmentData!O677))="Y"),"Yes","No")</f>
        <v>No</v>
      </c>
    </row>
    <row r="673" spans="1:20" x14ac:dyDescent="0.25">
      <c r="A673" s="2" t="str">
        <f>[1]RawShipmentData!A678</f>
        <v>SHP-101386</v>
      </c>
      <c r="B673" s="3">
        <f>IF(ISNUMBER(SEARCH("/",TRIM([1]RawShipmentData!B678))),DATE(VALUE(RIGHT(TRIM([1]RawShipmentData!B678),4)),VALUE(MID(TRIM([1]RawShipmentData!B678),FIND("/",TRIM([1]RawShipmentData!B678))+1,2)),VALUE(LEFT(TRIM([1]RawShipmentData!B678),FIND("/",TRIM([1]RawShipmentData!B678))-1))),DATEVALUE(TRIM([1]RawShipmentData!B678)))</f>
        <v>45455</v>
      </c>
      <c r="C673" s="2" t="str">
        <f>PROPER(TRIM([1]RawShipmentData!C678))</f>
        <v>Delhi</v>
      </c>
      <c r="D673" s="2" t="str">
        <f>IFERROR(INDEX([1]HubMaster!$B$2:$B$7,MATCH(C673,[1]HubMaster!$A$2:$A$7,0)),"Unknown")</f>
        <v>North</v>
      </c>
      <c r="E673" s="2" t="str">
        <f>PROPER(TRIM(SUBSTITUTE([1]RawShipmentData!D678,"  "," ")))</f>
        <v>Bluedart</v>
      </c>
      <c r="F673" s="2" t="str">
        <f>PROPER(TRIM([1]RawShipmentData!E678))</f>
        <v>Surface</v>
      </c>
      <c r="G673" s="2" t="str">
        <f>PROPER(TRIM(SUBSTITUTE([1]RawShipmentData!F678,"  "," ")))</f>
        <v>Apparel</v>
      </c>
      <c r="H673" s="2" t="str">
        <f>PROPER(TRIM([1]RawShipmentData!G678))</f>
        <v>East</v>
      </c>
      <c r="I673" s="2" t="str">
        <f t="shared" si="50"/>
        <v>Yes</v>
      </c>
      <c r="J673" s="2">
        <f>IFERROR(VALUE(TRIM(SUBSTITUTE(UPPER([1]RawShipmentData!I673),"KG",""))),"")</f>
        <v>1</v>
      </c>
      <c r="K673" s="2">
        <f>VALUE(SUBSTITUTE(SUBSTITUTE(SUBSTITUTE(TRIM([1]RawShipmentData!J678),"₹",""),"Rs",""),",",""))</f>
        <v>153</v>
      </c>
      <c r="L673" s="2">
        <f>[1]RawShipmentData!K678</f>
        <v>6</v>
      </c>
      <c r="M673" s="3">
        <f>IF(TRIM([1]RawShipmentData!L678)="","",IF(ISNUMBER(SEARCH("/",TRIM([1]RawShipmentData!L678))),DATE(VALUE(RIGHT(TRIM([1]RawShipmentData!L678),4)),VALUE(MID(TRIM([1]RawShipmentData!L678),FIND("/",TRIM([1]RawShipmentData!L678))+1,2)),VALUE(LEFT(TRIM([1]RawShipmentData!L678),FIND("/",TRIM([1]RawShipmentData!L678))-1))),DATEVALUE(TRIM([1]RawShipmentData!L678))))</f>
        <v>45460</v>
      </c>
      <c r="N673" s="2">
        <f t="shared" si="51"/>
        <v>5</v>
      </c>
      <c r="O673" s="2">
        <f t="shared" si="52"/>
        <v>-1</v>
      </c>
      <c r="P673" s="2" t="str">
        <f t="shared" si="53"/>
        <v>On Time</v>
      </c>
      <c r="Q673" s="2" t="str">
        <f>PROPER(SUBSTITUTE(TRIM([1]RawShipmentData!M678)," ","-"))</f>
        <v>Delivered</v>
      </c>
      <c r="R673" s="4">
        <f t="shared" si="54"/>
        <v>153</v>
      </c>
      <c r="S673" s="2">
        <f>[1]RawShipmentData!N678</f>
        <v>4</v>
      </c>
      <c r="T673" s="2" t="str">
        <f>IF(OR(UPPER(TRIM([1]RawShipmentData!O678))="YES",UPPER(TRIM([1]RawShipmentData!O678))="Y"),"Yes","No")</f>
        <v>No</v>
      </c>
    </row>
    <row r="674" spans="1:20" x14ac:dyDescent="0.25">
      <c r="A674" s="2" t="str">
        <f>[1]RawShipmentData!A680</f>
        <v>SHP-100523</v>
      </c>
      <c r="B674" s="3">
        <f>IF(ISNUMBER(SEARCH("/",TRIM([1]RawShipmentData!B680))),DATE(VALUE(RIGHT(TRIM([1]RawShipmentData!B680),4)),VALUE(MID(TRIM([1]RawShipmentData!B680),FIND("/",TRIM([1]RawShipmentData!B680))+1,2)),VALUE(LEFT(TRIM([1]RawShipmentData!B680),FIND("/",TRIM([1]RawShipmentData!B680))-1))),DATEVALUE(TRIM([1]RawShipmentData!B680)))</f>
        <v>45395</v>
      </c>
      <c r="C674" s="2" t="str">
        <f>PROPER(TRIM([1]RawShipmentData!C680))</f>
        <v/>
      </c>
      <c r="D674" s="2" t="str">
        <f>IFERROR(INDEX([1]HubMaster!$B$2:$B$7,MATCH(C674,[1]HubMaster!$A$2:$A$7,0)),"Unknown")</f>
        <v>Unknown</v>
      </c>
      <c r="E674" s="2" t="str">
        <f>PROPER(TRIM(SUBSTITUTE([1]RawShipmentData!D680,"  "," ")))</f>
        <v>Xpressbees</v>
      </c>
      <c r="F674" s="2" t="str">
        <f>PROPER(TRIM([1]RawShipmentData!E680))</f>
        <v>Air</v>
      </c>
      <c r="G674" s="2" t="str">
        <f>PROPER(TRIM(SUBSTITUTE([1]RawShipmentData!F680,"  "," ")))</f>
        <v>Automotive Parts</v>
      </c>
      <c r="H674" s="2" t="str">
        <f>PROPER(TRIM([1]RawShipmentData!G680))</f>
        <v>South</v>
      </c>
      <c r="I674" s="2" t="str">
        <f t="shared" si="50"/>
        <v>Yes</v>
      </c>
      <c r="J674" s="2">
        <f>IFERROR(VALUE(TRIM(SUBSTITUTE(UPPER([1]RawShipmentData!I674),"KG",""))),"")</f>
        <v>2.5</v>
      </c>
      <c r="K674" s="2">
        <f>VALUE(SUBSTITUTE(SUBSTITUTE(SUBSTITUTE(TRIM([1]RawShipmentData!J680),"₹",""),"Rs",""),",",""))</f>
        <v>830</v>
      </c>
      <c r="L674" s="2">
        <f>[1]RawShipmentData!K680</f>
        <v>4</v>
      </c>
      <c r="M674" s="3">
        <f>IF(TRIM([1]RawShipmentData!L680)="","",IF(ISNUMBER(SEARCH("/",TRIM([1]RawShipmentData!L680))),DATE(VALUE(RIGHT(TRIM([1]RawShipmentData!L680),4)),VALUE(MID(TRIM([1]RawShipmentData!L680),FIND("/",TRIM([1]RawShipmentData!L680))+1,2)),VALUE(LEFT(TRIM([1]RawShipmentData!L680),FIND("/",TRIM([1]RawShipmentData!L680))-1))),DATEVALUE(TRIM([1]RawShipmentData!L680))))</f>
        <v>45398</v>
      </c>
      <c r="N674" s="2">
        <f t="shared" si="51"/>
        <v>3</v>
      </c>
      <c r="O674" s="2">
        <f t="shared" si="52"/>
        <v>-1</v>
      </c>
      <c r="P674" s="2" t="str">
        <f t="shared" si="53"/>
        <v>On Time</v>
      </c>
      <c r="Q674" s="2" t="str">
        <f>PROPER(SUBSTITUTE(TRIM([1]RawShipmentData!M680)," ","-"))</f>
        <v>Delivered</v>
      </c>
      <c r="R674" s="4">
        <f t="shared" si="54"/>
        <v>332</v>
      </c>
      <c r="S674" s="2">
        <f>[1]RawShipmentData!N680</f>
        <v>4</v>
      </c>
      <c r="T674" s="2" t="str">
        <f>IF(OR(UPPER(TRIM([1]RawShipmentData!O680))="YES",UPPER(TRIM([1]RawShipmentData!O680))="Y"),"Yes","No")</f>
        <v>No</v>
      </c>
    </row>
    <row r="675" spans="1:20" x14ac:dyDescent="0.25">
      <c r="A675" s="2" t="str">
        <f>[1]RawShipmentData!A681</f>
        <v>SHP-100329</v>
      </c>
      <c r="B675" s="3">
        <f>IF(ISNUMBER(SEARCH("/",TRIM([1]RawShipmentData!B681))),DATE(VALUE(RIGHT(TRIM([1]RawShipmentData!B681),4)),VALUE(MID(TRIM([1]RawShipmentData!B681),FIND("/",TRIM([1]RawShipmentData!B681))+1,2)),VALUE(LEFT(TRIM([1]RawShipmentData!B681),FIND("/",TRIM([1]RawShipmentData!B681))-1))),DATEVALUE(TRIM([1]RawShipmentData!B681)))</f>
        <v>45439</v>
      </c>
      <c r="C675" s="2" t="str">
        <f>PROPER(TRIM([1]RawShipmentData!C681))</f>
        <v>Delhi</v>
      </c>
      <c r="D675" s="2" t="str">
        <f>IFERROR(INDEX([1]HubMaster!$B$2:$B$7,MATCH(C675,[1]HubMaster!$A$2:$A$7,0)),"Unknown")</f>
        <v>North</v>
      </c>
      <c r="E675" s="2" t="str">
        <f>PROPER(TRIM(SUBSTITUTE([1]RawShipmentData!D681,"  "," ")))</f>
        <v>Xpressbees</v>
      </c>
      <c r="F675" s="2" t="str">
        <f>PROPER(TRIM([1]RawShipmentData!E681))</f>
        <v>Air</v>
      </c>
      <c r="G675" s="2" t="str">
        <f>PROPER(TRIM(SUBSTITUTE([1]RawShipmentData!F681,"  "," ")))</f>
        <v>Apparel</v>
      </c>
      <c r="H675" s="2" t="str">
        <f>PROPER(TRIM([1]RawShipmentData!G681))</f>
        <v>East</v>
      </c>
      <c r="I675" s="2" t="str">
        <f t="shared" si="50"/>
        <v>Yes</v>
      </c>
      <c r="J675" s="2">
        <f>IFERROR(VALUE(TRIM(SUBSTITUTE(UPPER([1]RawShipmentData!I675),"KG",""))),"")</f>
        <v>7.2</v>
      </c>
      <c r="K675" s="2">
        <f>VALUE(SUBSTITUTE(SUBSTITUTE(SUBSTITUTE(TRIM([1]RawShipmentData!J681),"₹",""),"Rs",""),",",""))</f>
        <v>230</v>
      </c>
      <c r="L675" s="2">
        <f>[1]RawShipmentData!K681</f>
        <v>4</v>
      </c>
      <c r="M675" s="3">
        <f>IF(TRIM([1]RawShipmentData!L681)="","",IF(ISNUMBER(SEARCH("/",TRIM([1]RawShipmentData!L681))),DATE(VALUE(RIGHT(TRIM([1]RawShipmentData!L681),4)),VALUE(MID(TRIM([1]RawShipmentData!L681),FIND("/",TRIM([1]RawShipmentData!L681))+1,2)),VALUE(LEFT(TRIM([1]RawShipmentData!L681),FIND("/",TRIM([1]RawShipmentData!L681))-1))),DATEVALUE(TRIM([1]RawShipmentData!L681))))</f>
        <v>45450</v>
      </c>
      <c r="N675" s="2">
        <f t="shared" si="51"/>
        <v>11</v>
      </c>
      <c r="O675" s="2">
        <f t="shared" si="52"/>
        <v>7</v>
      </c>
      <c r="P675" s="2" t="str">
        <f t="shared" si="53"/>
        <v>Late</v>
      </c>
      <c r="Q675" s="2" t="str">
        <f>PROPER(SUBSTITUTE(TRIM([1]RawShipmentData!M681)," ","-"))</f>
        <v>Damaged</v>
      </c>
      <c r="R675" s="4">
        <f t="shared" si="54"/>
        <v>31.944444444444443</v>
      </c>
      <c r="S675" s="2">
        <f>[1]RawShipmentData!N681</f>
        <v>0</v>
      </c>
      <c r="T675" s="2" t="str">
        <f>IF(OR(UPPER(TRIM([1]RawShipmentData!O681))="YES",UPPER(TRIM([1]RawShipmentData!O681))="Y"),"Yes","No")</f>
        <v>No</v>
      </c>
    </row>
    <row r="676" spans="1:20" x14ac:dyDescent="0.25">
      <c r="A676" s="2" t="str">
        <f>[1]RawShipmentData!A682</f>
        <v>SHP-100600</v>
      </c>
      <c r="B676" s="3">
        <f>IF(ISNUMBER(SEARCH("/",TRIM([1]RawShipmentData!B682))),DATE(VALUE(RIGHT(TRIM([1]RawShipmentData!B682),4)),VALUE(MID(TRIM([1]RawShipmentData!B682),FIND("/",TRIM([1]RawShipmentData!B682))+1,2)),VALUE(LEFT(TRIM([1]RawShipmentData!B682),FIND("/",TRIM([1]RawShipmentData!B682))-1))),DATEVALUE(TRIM([1]RawShipmentData!B682)))</f>
        <v>45338</v>
      </c>
      <c r="C676" s="2" t="str">
        <f>PROPER(TRIM([1]RawShipmentData!C682))</f>
        <v>Chennai</v>
      </c>
      <c r="D676" s="2" t="str">
        <f>IFERROR(INDEX([1]HubMaster!$B$2:$B$7,MATCH(C676,[1]HubMaster!$A$2:$A$7,0)),"Unknown")</f>
        <v>South</v>
      </c>
      <c r="E676" s="2" t="str">
        <f>PROPER(TRIM(SUBSTITUTE([1]RawShipmentData!D682,"  "," ")))</f>
        <v>Dtdc</v>
      </c>
      <c r="F676" s="2" t="str">
        <f>PROPER(TRIM([1]RawShipmentData!E682))</f>
        <v>Air</v>
      </c>
      <c r="G676" s="2" t="str">
        <f>PROPER(TRIM(SUBSTITUTE([1]RawShipmentData!F682,"  "," ")))</f>
        <v>Electronics</v>
      </c>
      <c r="H676" s="2" t="str">
        <f>PROPER(TRIM([1]RawShipmentData!G682))</f>
        <v>South</v>
      </c>
      <c r="I676" s="2" t="str">
        <f t="shared" si="50"/>
        <v>No</v>
      </c>
      <c r="J676" s="2">
        <f>IFERROR(VALUE(TRIM(SUBSTITUTE(UPPER([1]RawShipmentData!I676),"KG",""))),"")</f>
        <v>40.6</v>
      </c>
      <c r="K676" s="2">
        <f>VALUE(SUBSTITUTE(SUBSTITUTE(SUBSTITUTE(TRIM([1]RawShipmentData!J682),"₹",""),"Rs",""),",",""))</f>
        <v>80</v>
      </c>
      <c r="L676" s="2">
        <f>[1]RawShipmentData!K682</f>
        <v>2</v>
      </c>
      <c r="M676" s="3">
        <f>IF(TRIM([1]RawShipmentData!L682)="","",IF(ISNUMBER(SEARCH("/",TRIM([1]RawShipmentData!L682))),DATE(VALUE(RIGHT(TRIM([1]RawShipmentData!L682),4)),VALUE(MID(TRIM([1]RawShipmentData!L682),FIND("/",TRIM([1]RawShipmentData!L682))+1,2)),VALUE(LEFT(TRIM([1]RawShipmentData!L682),FIND("/",TRIM([1]RawShipmentData!L682))-1))),DATEVALUE(TRIM([1]RawShipmentData!L682))))</f>
        <v>45339</v>
      </c>
      <c r="N676" s="2">
        <f t="shared" si="51"/>
        <v>1</v>
      </c>
      <c r="O676" s="2">
        <f t="shared" si="52"/>
        <v>-1</v>
      </c>
      <c r="P676" s="2" t="str">
        <f t="shared" si="53"/>
        <v>On Time</v>
      </c>
      <c r="Q676" s="2" t="str">
        <f>PROPER(SUBSTITUTE(TRIM([1]RawShipmentData!M682)," ","-"))</f>
        <v>Delivered</v>
      </c>
      <c r="R676" s="4">
        <f t="shared" si="54"/>
        <v>1.9704433497536946</v>
      </c>
      <c r="S676" s="2">
        <f>[1]RawShipmentData!N682</f>
        <v>5</v>
      </c>
      <c r="T676" s="2" t="str">
        <f>IF(OR(UPPER(TRIM([1]RawShipmentData!O682))="YES",UPPER(TRIM([1]RawShipmentData!O682))="Y"),"Yes","No")</f>
        <v>No</v>
      </c>
    </row>
    <row r="677" spans="1:20" x14ac:dyDescent="0.25">
      <c r="A677" s="2" t="str">
        <f>[1]RawShipmentData!A683</f>
        <v>SHP-101210</v>
      </c>
      <c r="B677" s="3">
        <f>IF(ISNUMBER(SEARCH("/",TRIM([1]RawShipmentData!B683))),DATE(VALUE(RIGHT(TRIM([1]RawShipmentData!B683),4)),VALUE(MID(TRIM([1]RawShipmentData!B683),FIND("/",TRIM([1]RawShipmentData!B683))+1,2)),VALUE(LEFT(TRIM([1]RawShipmentData!B683),FIND("/",TRIM([1]RawShipmentData!B683))-1))),DATEVALUE(TRIM([1]RawShipmentData!B683)))</f>
        <v>45299</v>
      </c>
      <c r="C677" s="2" t="str">
        <f>PROPER(TRIM([1]RawShipmentData!C683))</f>
        <v/>
      </c>
      <c r="D677" s="2" t="str">
        <f>IFERROR(INDEX([1]HubMaster!$B$2:$B$7,MATCH(C677,[1]HubMaster!$A$2:$A$7,0)),"Unknown")</f>
        <v>Unknown</v>
      </c>
      <c r="E677" s="2" t="str">
        <f>PROPER(TRIM(SUBSTITUTE([1]RawShipmentData!D683,"  "," ")))</f>
        <v>Blue Dart</v>
      </c>
      <c r="F677" s="2" t="str">
        <f>PROPER(TRIM([1]RawShipmentData!E683))</f>
        <v>Road</v>
      </c>
      <c r="G677" s="2" t="str">
        <f>PROPER(TRIM(SUBSTITUTE([1]RawShipmentData!F683,"  "," ")))</f>
        <v>Automotive Parts</v>
      </c>
      <c r="H677" s="2" t="str">
        <f>PROPER(TRIM([1]RawShipmentData!G683))</f>
        <v>East</v>
      </c>
      <c r="I677" s="2" t="str">
        <f t="shared" si="50"/>
        <v>Yes</v>
      </c>
      <c r="J677" s="2">
        <f>IFERROR(VALUE(TRIM(SUBSTITUTE(UPPER([1]RawShipmentData!I677),"KG",""))),"")</f>
        <v>13.9</v>
      </c>
      <c r="K677" s="2">
        <f>VALUE(SUBSTITUTE(SUBSTITUTE(SUBSTITUTE(TRIM([1]RawShipmentData!J683),"₹",""),"Rs",""),",",""))</f>
        <v>321</v>
      </c>
      <c r="L677" s="2">
        <f>[1]RawShipmentData!K683</f>
        <v>8</v>
      </c>
      <c r="M677" s="3">
        <f>IF(TRIM([1]RawShipmentData!L683)="","",IF(ISNUMBER(SEARCH("/",TRIM([1]RawShipmentData!L683))),DATE(VALUE(RIGHT(TRIM([1]RawShipmentData!L683),4)),VALUE(MID(TRIM([1]RawShipmentData!L683),FIND("/",TRIM([1]RawShipmentData!L683))+1,2)),VALUE(LEFT(TRIM([1]RawShipmentData!L683),FIND("/",TRIM([1]RawShipmentData!L683))-1))),DATEVALUE(TRIM([1]RawShipmentData!L683))))</f>
        <v>45308</v>
      </c>
      <c r="N677" s="2">
        <f t="shared" si="51"/>
        <v>9</v>
      </c>
      <c r="O677" s="2">
        <f t="shared" si="52"/>
        <v>1</v>
      </c>
      <c r="P677" s="2" t="str">
        <f t="shared" si="53"/>
        <v>Late</v>
      </c>
      <c r="Q677" s="2" t="str">
        <f>PROPER(SUBSTITUTE(TRIM([1]RawShipmentData!M683)," ","-"))</f>
        <v>Delayed</v>
      </c>
      <c r="R677" s="4">
        <f t="shared" si="54"/>
        <v>23.093525179856115</v>
      </c>
      <c r="S677" s="2">
        <f>[1]RawShipmentData!N683</f>
        <v>4</v>
      </c>
      <c r="T677" s="2" t="str">
        <f>IF(OR(UPPER(TRIM([1]RawShipmentData!O683))="YES",UPPER(TRIM([1]RawShipmentData!O683))="Y"),"Yes","No")</f>
        <v>No</v>
      </c>
    </row>
    <row r="678" spans="1:20" x14ac:dyDescent="0.25">
      <c r="A678" s="2" t="str">
        <f>[1]RawShipmentData!A684</f>
        <v>SHP-100554</v>
      </c>
      <c r="B678" s="3">
        <f>IF(ISNUMBER(SEARCH("/",TRIM([1]RawShipmentData!B684))),DATE(VALUE(RIGHT(TRIM([1]RawShipmentData!B684),4)),VALUE(MID(TRIM([1]RawShipmentData!B684),FIND("/",TRIM([1]RawShipmentData!B684))+1,2)),VALUE(LEFT(TRIM([1]RawShipmentData!B684),FIND("/",TRIM([1]RawShipmentData!B684))-1))),DATEVALUE(TRIM([1]RawShipmentData!B684)))</f>
        <v>45333</v>
      </c>
      <c r="C678" s="2" t="str">
        <f>PROPER(TRIM([1]RawShipmentData!C684))</f>
        <v>Kolkata</v>
      </c>
      <c r="D678" s="2" t="str">
        <f>IFERROR(INDEX([1]HubMaster!$B$2:$B$7,MATCH(C678,[1]HubMaster!$A$2:$A$7,0)),"Unknown")</f>
        <v>East</v>
      </c>
      <c r="E678" s="2" t="str">
        <f>PROPER(TRIM(SUBSTITUTE([1]RawShipmentData!D684,"  "," ")))</f>
        <v>Bluedart</v>
      </c>
      <c r="F678" s="2" t="str">
        <f>PROPER(TRIM([1]RawShipmentData!E684))</f>
        <v>Surface</v>
      </c>
      <c r="G678" s="2" t="str">
        <f>PROPER(TRIM(SUBSTITUTE([1]RawShipmentData!F684,"  "," ")))</f>
        <v>Pharma</v>
      </c>
      <c r="H678" s="2" t="str">
        <f>PROPER(TRIM([1]RawShipmentData!G684))</f>
        <v>East</v>
      </c>
      <c r="I678" s="2" t="str">
        <f t="shared" si="50"/>
        <v>No</v>
      </c>
      <c r="J678" s="2">
        <f>IFERROR(VALUE(TRIM(SUBSTITUTE(UPPER([1]RawShipmentData!I678),"KG",""))),"")</f>
        <v>1</v>
      </c>
      <c r="K678" s="2">
        <f>VALUE(SUBSTITUTE(SUBSTITUTE(SUBSTITUTE(TRIM([1]RawShipmentData!J684),"₹",""),"Rs",""),",",""))</f>
        <v>98</v>
      </c>
      <c r="L678" s="2">
        <f>[1]RawShipmentData!K684</f>
        <v>4</v>
      </c>
      <c r="M678" s="3">
        <f>IF(TRIM([1]RawShipmentData!L684)="","",IF(ISNUMBER(SEARCH("/",TRIM([1]RawShipmentData!L684))),DATE(VALUE(RIGHT(TRIM([1]RawShipmentData!L684),4)),VALUE(MID(TRIM([1]RawShipmentData!L684),FIND("/",TRIM([1]RawShipmentData!L684))+1,2)),VALUE(LEFT(TRIM([1]RawShipmentData!L684),FIND("/",TRIM([1]RawShipmentData!L684))-1))),DATEVALUE(TRIM([1]RawShipmentData!L684))))</f>
        <v>45337</v>
      </c>
      <c r="N678" s="2">
        <f t="shared" si="51"/>
        <v>4</v>
      </c>
      <c r="O678" s="2">
        <f t="shared" si="52"/>
        <v>0</v>
      </c>
      <c r="P678" s="2" t="str">
        <f t="shared" si="53"/>
        <v>On Time</v>
      </c>
      <c r="Q678" s="2" t="str">
        <f>PROPER(SUBSTITUTE(TRIM([1]RawShipmentData!M684)," ","-"))</f>
        <v>Delivered</v>
      </c>
      <c r="R678" s="4">
        <f t="shared" si="54"/>
        <v>98</v>
      </c>
      <c r="S678" s="2">
        <f>[1]RawShipmentData!N684</f>
        <v>5</v>
      </c>
      <c r="T678" s="2" t="str">
        <f>IF(OR(UPPER(TRIM([1]RawShipmentData!O684))="YES",UPPER(TRIM([1]RawShipmentData!O684))="Y"),"Yes","No")</f>
        <v>No</v>
      </c>
    </row>
    <row r="679" spans="1:20" x14ac:dyDescent="0.25">
      <c r="A679" s="2" t="str">
        <f>[1]RawShipmentData!A685</f>
        <v>SHP-100089</v>
      </c>
      <c r="B679" s="3">
        <f>IF(ISNUMBER(SEARCH("/",TRIM([1]RawShipmentData!B685))),DATE(VALUE(RIGHT(TRIM([1]RawShipmentData!B685),4)),VALUE(MID(TRIM([1]RawShipmentData!B685),FIND("/",TRIM([1]RawShipmentData!B685))+1,2)),VALUE(LEFT(TRIM([1]RawShipmentData!B685),FIND("/",TRIM([1]RawShipmentData!B685))-1))),DATEVALUE(TRIM([1]RawShipmentData!B685)))</f>
        <v>45431</v>
      </c>
      <c r="C679" s="2" t="str">
        <f>PROPER(TRIM([1]RawShipmentData!C685))</f>
        <v/>
      </c>
      <c r="D679" s="2" t="str">
        <f>IFERROR(INDEX([1]HubMaster!$B$2:$B$7,MATCH(C679,[1]HubMaster!$A$2:$A$7,0)),"Unknown")</f>
        <v>Unknown</v>
      </c>
      <c r="E679" s="2" t="str">
        <f>PROPER(TRIM(SUBSTITUTE([1]RawShipmentData!D685,"  "," ")))</f>
        <v>Ecom Express</v>
      </c>
      <c r="F679" s="2" t="str">
        <f>PROPER(TRIM([1]RawShipmentData!E685))</f>
        <v>Air</v>
      </c>
      <c r="G679" s="2" t="str">
        <f>PROPER(TRIM(SUBSTITUTE([1]RawShipmentData!F685,"  "," ")))</f>
        <v>Automotive Parts</v>
      </c>
      <c r="H679" s="2" t="str">
        <f>PROPER(TRIM([1]RawShipmentData!G685))</f>
        <v>East</v>
      </c>
      <c r="I679" s="2" t="str">
        <f t="shared" si="50"/>
        <v>Yes</v>
      </c>
      <c r="J679" s="2">
        <f>IFERROR(VALUE(TRIM(SUBSTITUTE(UPPER([1]RawShipmentData!I679),"KG",""))),"")</f>
        <v>25.7</v>
      </c>
      <c r="K679" s="2">
        <f>VALUE(SUBSTITUTE(SUBSTITUTE(SUBSTITUTE(TRIM([1]RawShipmentData!J685),"₹",""),"Rs",""),",",""))</f>
        <v>581</v>
      </c>
      <c r="L679" s="2">
        <f>[1]RawShipmentData!K685</f>
        <v>4</v>
      </c>
      <c r="M679" s="3">
        <f>IF(TRIM([1]RawShipmentData!L685)="","",IF(ISNUMBER(SEARCH("/",TRIM([1]RawShipmentData!L685))),DATE(VALUE(RIGHT(TRIM([1]RawShipmentData!L685),4)),VALUE(MID(TRIM([1]RawShipmentData!L685),FIND("/",TRIM([1]RawShipmentData!L685))+1,2)),VALUE(LEFT(TRIM([1]RawShipmentData!L685),FIND("/",TRIM([1]RawShipmentData!L685))-1))),DATEVALUE(TRIM([1]RawShipmentData!L685))))</f>
        <v>45434</v>
      </c>
      <c r="N679" s="2">
        <f t="shared" si="51"/>
        <v>3</v>
      </c>
      <c r="O679" s="2">
        <f t="shared" si="52"/>
        <v>-1</v>
      </c>
      <c r="P679" s="2" t="str">
        <f t="shared" si="53"/>
        <v>On Time</v>
      </c>
      <c r="Q679" s="2" t="str">
        <f>PROPER(SUBSTITUTE(TRIM([1]RawShipmentData!M685)," ","-"))</f>
        <v>Delivered</v>
      </c>
      <c r="R679" s="4">
        <f t="shared" si="54"/>
        <v>22.607003891050585</v>
      </c>
      <c r="S679" s="2">
        <f>[1]RawShipmentData!N685</f>
        <v>5</v>
      </c>
      <c r="T679" s="2" t="str">
        <f>IF(OR(UPPER(TRIM([1]RawShipmentData!O685))="YES",UPPER(TRIM([1]RawShipmentData!O685))="Y"),"Yes","No")</f>
        <v>No</v>
      </c>
    </row>
    <row r="680" spans="1:20" x14ac:dyDescent="0.25">
      <c r="A680" s="2" t="str">
        <f>[1]RawShipmentData!A686</f>
        <v>SHP-101541</v>
      </c>
      <c r="B680" s="3">
        <f>IF(ISNUMBER(SEARCH("/",TRIM([1]RawShipmentData!B686))),DATE(VALUE(RIGHT(TRIM([1]RawShipmentData!B686),4)),VALUE(MID(TRIM([1]RawShipmentData!B686),FIND("/",TRIM([1]RawShipmentData!B686))+1,2)),VALUE(LEFT(TRIM([1]RawShipmentData!B686),FIND("/",TRIM([1]RawShipmentData!B686))-1))),DATEVALUE(TRIM([1]RawShipmentData!B686)))</f>
        <v>45305</v>
      </c>
      <c r="C680" s="2" t="str">
        <f>PROPER(TRIM([1]RawShipmentData!C686))</f>
        <v>Bengaluru</v>
      </c>
      <c r="D680" s="2" t="str">
        <f>IFERROR(INDEX([1]HubMaster!$B$2:$B$7,MATCH(C680,[1]HubMaster!$A$2:$A$7,0)),"Unknown")</f>
        <v>South</v>
      </c>
      <c r="E680" s="2" t="str">
        <f>PROPER(TRIM(SUBSTITUTE([1]RawShipmentData!D686,"  "," ")))</f>
        <v>Ecom Express</v>
      </c>
      <c r="F680" s="2" t="str">
        <f>PROPER(TRIM([1]RawShipmentData!E686))</f>
        <v>Surface</v>
      </c>
      <c r="G680" s="2" t="str">
        <f>PROPER(TRIM(SUBSTITUTE([1]RawShipmentData!F686,"  "," ")))</f>
        <v>Automotive Parts</v>
      </c>
      <c r="H680" s="2" t="str">
        <f>PROPER(TRIM([1]RawShipmentData!G686))</f>
        <v>South</v>
      </c>
      <c r="I680" s="2" t="str">
        <f t="shared" si="50"/>
        <v>No</v>
      </c>
      <c r="J680" s="2">
        <f>IFERROR(VALUE(TRIM(SUBSTITUTE(UPPER([1]RawShipmentData!I680),"KG",""))),"")</f>
        <v>14.5</v>
      </c>
      <c r="K680" s="2">
        <f>VALUE(SUBSTITUTE(SUBSTITUTE(SUBSTITUTE(TRIM([1]RawShipmentData!J686),"₹",""),"Rs",""),",",""))</f>
        <v>167</v>
      </c>
      <c r="L680" s="2">
        <f>[1]RawShipmentData!K686</f>
        <v>4</v>
      </c>
      <c r="M680" s="3">
        <f>IF(TRIM([1]RawShipmentData!L686)="","",IF(ISNUMBER(SEARCH("/",TRIM([1]RawShipmentData!L686))),DATE(VALUE(RIGHT(TRIM([1]RawShipmentData!L686),4)),VALUE(MID(TRIM([1]RawShipmentData!L686),FIND("/",TRIM([1]RawShipmentData!L686))+1,2)),VALUE(LEFT(TRIM([1]RawShipmentData!L686),FIND("/",TRIM([1]RawShipmentData!L686))-1))),DATEVALUE(TRIM([1]RawShipmentData!L686))))</f>
        <v>45310</v>
      </c>
      <c r="N680" s="2">
        <f t="shared" si="51"/>
        <v>5</v>
      </c>
      <c r="O680" s="2">
        <f t="shared" si="52"/>
        <v>1</v>
      </c>
      <c r="P680" s="2" t="str">
        <f t="shared" si="53"/>
        <v>Late</v>
      </c>
      <c r="Q680" s="2" t="str">
        <f>PROPER(SUBSTITUTE(TRIM([1]RawShipmentData!M686)," ","-"))</f>
        <v>Delayed</v>
      </c>
      <c r="R680" s="4">
        <f t="shared" si="54"/>
        <v>11.517241379310345</v>
      </c>
      <c r="S680" s="2">
        <f>[1]RawShipmentData!N686</f>
        <v>1</v>
      </c>
      <c r="T680" s="2" t="str">
        <f>IF(OR(UPPER(TRIM([1]RawShipmentData!O686))="YES",UPPER(TRIM([1]RawShipmentData!O686))="Y"),"Yes","No")</f>
        <v>No</v>
      </c>
    </row>
    <row r="681" spans="1:20" x14ac:dyDescent="0.25">
      <c r="A681" s="2" t="str">
        <f>[1]RawShipmentData!A687</f>
        <v>SHP-100922</v>
      </c>
      <c r="B681" s="3">
        <f>IF(ISNUMBER(SEARCH("/",TRIM([1]RawShipmentData!B687))),DATE(VALUE(RIGHT(TRIM([1]RawShipmentData!B687),4)),VALUE(MID(TRIM([1]RawShipmentData!B687),FIND("/",TRIM([1]RawShipmentData!B687))+1,2)),VALUE(LEFT(TRIM([1]RawShipmentData!B687),FIND("/",TRIM([1]RawShipmentData!B687))-1))),DATEVALUE(TRIM([1]RawShipmentData!B687)))</f>
        <v>45389</v>
      </c>
      <c r="C681" s="2" t="str">
        <f>PROPER(TRIM([1]RawShipmentData!C687))</f>
        <v>Kolkata</v>
      </c>
      <c r="D681" s="2" t="str">
        <f>IFERROR(INDEX([1]HubMaster!$B$2:$B$7,MATCH(C681,[1]HubMaster!$A$2:$A$7,0)),"Unknown")</f>
        <v>East</v>
      </c>
      <c r="E681" s="2" t="str">
        <f>PROPER(TRIM(SUBSTITUTE([1]RawShipmentData!D687,"  "," ")))</f>
        <v>Dtdc</v>
      </c>
      <c r="F681" s="2" t="str">
        <f>PROPER(TRIM([1]RawShipmentData!E687))</f>
        <v>Road</v>
      </c>
      <c r="G681" s="2" t="str">
        <f>PROPER(TRIM(SUBSTITUTE([1]RawShipmentData!F687,"  "," ")))</f>
        <v>Automotive Parts</v>
      </c>
      <c r="H681" s="2" t="str">
        <f>PROPER(TRIM([1]RawShipmentData!G687))</f>
        <v>South</v>
      </c>
      <c r="I681" s="2" t="str">
        <f t="shared" si="50"/>
        <v>Yes</v>
      </c>
      <c r="J681" s="2">
        <f>IFERROR(VALUE(TRIM(SUBSTITUTE(UPPER([1]RawShipmentData!I681),"KG",""))),"")</f>
        <v>1.9</v>
      </c>
      <c r="K681" s="2">
        <f>VALUE(SUBSTITUTE(SUBSTITUTE(SUBSTITUTE(TRIM([1]RawShipmentData!J687),"₹",""),"Rs",""),",",""))</f>
        <v>356</v>
      </c>
      <c r="L681" s="2">
        <f>[1]RawShipmentData!K687</f>
        <v>8</v>
      </c>
      <c r="M681" s="3">
        <f>IF(TRIM([1]RawShipmentData!L687)="","",IF(ISNUMBER(SEARCH("/",TRIM([1]RawShipmentData!L687))),DATE(VALUE(RIGHT(TRIM([1]RawShipmentData!L687),4)),VALUE(MID(TRIM([1]RawShipmentData!L687),FIND("/",TRIM([1]RawShipmentData!L687))+1,2)),VALUE(LEFT(TRIM([1]RawShipmentData!L687),FIND("/",TRIM([1]RawShipmentData!L687))-1))),DATEVALUE(TRIM([1]RawShipmentData!L687))))</f>
        <v>45397</v>
      </c>
      <c r="N681" s="2">
        <f t="shared" si="51"/>
        <v>8</v>
      </c>
      <c r="O681" s="2">
        <f t="shared" si="52"/>
        <v>0</v>
      </c>
      <c r="P681" s="2" t="str">
        <f t="shared" si="53"/>
        <v>On Time</v>
      </c>
      <c r="Q681" s="2" t="str">
        <f>PROPER(SUBSTITUTE(TRIM([1]RawShipmentData!M687)," ","-"))</f>
        <v>Delivered</v>
      </c>
      <c r="R681" s="4">
        <f t="shared" si="54"/>
        <v>187.36842105263159</v>
      </c>
      <c r="S681" s="2">
        <f>[1]RawShipmentData!N687</f>
        <v>2</v>
      </c>
      <c r="T681" s="2" t="str">
        <f>IF(OR(UPPER(TRIM([1]RawShipmentData!O687))="YES",UPPER(TRIM([1]RawShipmentData!O687))="Y"),"Yes","No")</f>
        <v>No</v>
      </c>
    </row>
    <row r="682" spans="1:20" x14ac:dyDescent="0.25">
      <c r="A682" s="2" t="str">
        <f>[1]RawShipmentData!A688</f>
        <v>SHP-101470</v>
      </c>
      <c r="B682" s="3">
        <f>IF(ISNUMBER(SEARCH("/",TRIM([1]RawShipmentData!B688))),DATE(VALUE(RIGHT(TRIM([1]RawShipmentData!B688),4)),VALUE(MID(TRIM([1]RawShipmentData!B688),FIND("/",TRIM([1]RawShipmentData!B688))+1,2)),VALUE(LEFT(TRIM([1]RawShipmentData!B688),FIND("/",TRIM([1]RawShipmentData!B688))-1))),DATEVALUE(TRIM([1]RawShipmentData!B688)))</f>
        <v>45468</v>
      </c>
      <c r="C682" s="2" t="str">
        <f>PROPER(TRIM([1]RawShipmentData!C688))</f>
        <v>Chennai</v>
      </c>
      <c r="D682" s="2" t="str">
        <f>IFERROR(INDEX([1]HubMaster!$B$2:$B$7,MATCH(C682,[1]HubMaster!$A$2:$A$7,0)),"Unknown")</f>
        <v>South</v>
      </c>
      <c r="E682" s="2" t="str">
        <f>PROPER(TRIM(SUBSTITUTE([1]RawShipmentData!D688,"  "," ")))</f>
        <v>Xpress Bees</v>
      </c>
      <c r="F682" s="2" t="str">
        <f>PROPER(TRIM([1]RawShipmentData!E688))</f>
        <v>Air</v>
      </c>
      <c r="G682" s="2" t="str">
        <f>PROPER(TRIM(SUBSTITUTE([1]RawShipmentData!F688,"  "," ")))</f>
        <v>Automotive Parts</v>
      </c>
      <c r="H682" s="2" t="str">
        <f>PROPER(TRIM([1]RawShipmentData!G688))</f>
        <v>East</v>
      </c>
      <c r="I682" s="2" t="str">
        <f t="shared" si="50"/>
        <v>Yes</v>
      </c>
      <c r="J682" s="2">
        <f>IFERROR(VALUE(TRIM(SUBSTITUTE(UPPER([1]RawShipmentData!I682),"KG",""))),"")</f>
        <v>1.5</v>
      </c>
      <c r="K682" s="2">
        <f>VALUE(SUBSTITUTE(SUBSTITUTE(SUBSTITUTE(TRIM([1]RawShipmentData!J688),"₹",""),"Rs",""),",",""))</f>
        <v>1953</v>
      </c>
      <c r="L682" s="2">
        <f>[1]RawShipmentData!K688</f>
        <v>4</v>
      </c>
      <c r="M682" s="3">
        <f>IF(TRIM([1]RawShipmentData!L688)="","",IF(ISNUMBER(SEARCH("/",TRIM([1]RawShipmentData!L688))),DATE(VALUE(RIGHT(TRIM([1]RawShipmentData!L688),4)),VALUE(MID(TRIM([1]RawShipmentData!L688),FIND("/",TRIM([1]RawShipmentData!L688))+1,2)),VALUE(LEFT(TRIM([1]RawShipmentData!L688),FIND("/",TRIM([1]RawShipmentData!L688))-1))),DATEVALUE(TRIM([1]RawShipmentData!L688))))</f>
        <v>45473</v>
      </c>
      <c r="N682" s="2">
        <f t="shared" si="51"/>
        <v>5</v>
      </c>
      <c r="O682" s="2">
        <f t="shared" si="52"/>
        <v>1</v>
      </c>
      <c r="P682" s="2" t="str">
        <f t="shared" si="53"/>
        <v>Late</v>
      </c>
      <c r="Q682" s="2" t="str">
        <f>PROPER(SUBSTITUTE(TRIM([1]RawShipmentData!M688)," ","-"))</f>
        <v>Delayed</v>
      </c>
      <c r="R682" s="4">
        <f t="shared" si="54"/>
        <v>1302</v>
      </c>
      <c r="S682" s="2">
        <f>[1]RawShipmentData!N688</f>
        <v>3</v>
      </c>
      <c r="T682" s="2" t="str">
        <f>IF(OR(UPPER(TRIM([1]RawShipmentData!O688))="YES",UPPER(TRIM([1]RawShipmentData!O688))="Y"),"Yes","No")</f>
        <v>Yes</v>
      </c>
    </row>
    <row r="683" spans="1:20" x14ac:dyDescent="0.25">
      <c r="A683" s="2" t="str">
        <f>[1]RawShipmentData!A689</f>
        <v>SHP-101356</v>
      </c>
      <c r="B683" s="3">
        <f>IF(ISNUMBER(SEARCH("/",TRIM([1]RawShipmentData!B689))),DATE(VALUE(RIGHT(TRIM([1]RawShipmentData!B689),4)),VALUE(MID(TRIM([1]RawShipmentData!B689),FIND("/",TRIM([1]RawShipmentData!B689))+1,2)),VALUE(LEFT(TRIM([1]RawShipmentData!B689),FIND("/",TRIM([1]RawShipmentData!B689))-1))),DATEVALUE(TRIM([1]RawShipmentData!B689)))</f>
        <v>45467</v>
      </c>
      <c r="C683" s="2" t="str">
        <f>PROPER(TRIM([1]RawShipmentData!C689))</f>
        <v>Mumbai</v>
      </c>
      <c r="D683" s="2" t="str">
        <f>IFERROR(INDEX([1]HubMaster!$B$2:$B$7,MATCH(C683,[1]HubMaster!$A$2:$A$7,0)),"Unknown")</f>
        <v>West</v>
      </c>
      <c r="E683" s="2" t="str">
        <f>PROPER(TRIM(SUBSTITUTE([1]RawShipmentData!D689,"  "," ")))</f>
        <v>Xpressbees</v>
      </c>
      <c r="F683" s="2" t="str">
        <f>PROPER(TRIM([1]RawShipmentData!E689))</f>
        <v>Air</v>
      </c>
      <c r="G683" s="2" t="str">
        <f>PROPER(TRIM(SUBSTITUTE([1]RawShipmentData!F689,"  "," ")))</f>
        <v>Pharma</v>
      </c>
      <c r="H683" s="2" t="str">
        <f>PROPER(TRIM([1]RawShipmentData!G689))</f>
        <v>North</v>
      </c>
      <c r="I683" s="2" t="str">
        <f t="shared" si="50"/>
        <v>Yes</v>
      </c>
      <c r="J683" s="2">
        <f>IFERROR(VALUE(TRIM(SUBSTITUTE(UPPER([1]RawShipmentData!I683),"KG",""))),"")</f>
        <v>10.7</v>
      </c>
      <c r="K683" s="2">
        <f>VALUE(SUBSTITUTE(SUBSTITUTE(SUBSTITUTE(TRIM([1]RawShipmentData!J689),"₹",""),"Rs",""),",",""))</f>
        <v>305</v>
      </c>
      <c r="L683" s="2">
        <f>[1]RawShipmentData!K689</f>
        <v>4</v>
      </c>
      <c r="M683" s="3">
        <f>IF(TRIM([1]RawShipmentData!L689)="","",IF(ISNUMBER(SEARCH("/",TRIM([1]RawShipmentData!L689))),DATE(VALUE(RIGHT(TRIM([1]RawShipmentData!L689),4)),VALUE(MID(TRIM([1]RawShipmentData!L689),FIND("/",TRIM([1]RawShipmentData!L689))+1,2)),VALUE(LEFT(TRIM([1]RawShipmentData!L689),FIND("/",TRIM([1]RawShipmentData!L689))-1))),DATEVALUE(TRIM([1]RawShipmentData!L689))))</f>
        <v>45476</v>
      </c>
      <c r="N683" s="2">
        <f t="shared" si="51"/>
        <v>9</v>
      </c>
      <c r="O683" s="2">
        <f t="shared" si="52"/>
        <v>5</v>
      </c>
      <c r="P683" s="2" t="str">
        <f t="shared" si="53"/>
        <v>Late</v>
      </c>
      <c r="Q683" s="2" t="str">
        <f>PROPER(SUBSTITUTE(TRIM([1]RawShipmentData!M689)," ","-"))</f>
        <v>Delayed</v>
      </c>
      <c r="R683" s="4">
        <f t="shared" si="54"/>
        <v>28.504672897196265</v>
      </c>
      <c r="S683" s="2">
        <f>[1]RawShipmentData!N689</f>
        <v>3</v>
      </c>
      <c r="T683" s="2" t="str">
        <f>IF(OR(UPPER(TRIM([1]RawShipmentData!O689))="YES",UPPER(TRIM([1]RawShipmentData!O689))="Y"),"Yes","No")</f>
        <v>No</v>
      </c>
    </row>
    <row r="684" spans="1:20" x14ac:dyDescent="0.25">
      <c r="A684" s="2" t="str">
        <f>[1]RawShipmentData!A690</f>
        <v>SHP-100990</v>
      </c>
      <c r="B684" s="3">
        <f>IF(ISNUMBER(SEARCH("/",TRIM([1]RawShipmentData!B690))),DATE(VALUE(RIGHT(TRIM([1]RawShipmentData!B690),4)),VALUE(MID(TRIM([1]RawShipmentData!B690),FIND("/",TRIM([1]RawShipmentData!B690))+1,2)),VALUE(LEFT(TRIM([1]RawShipmentData!B690),FIND("/",TRIM([1]RawShipmentData!B690))-1))),DATEVALUE(TRIM([1]RawShipmentData!B690)))</f>
        <v>45343</v>
      </c>
      <c r="C684" s="2" t="str">
        <f>PROPER(TRIM([1]RawShipmentData!C690))</f>
        <v>Hyderabad</v>
      </c>
      <c r="D684" s="2" t="str">
        <f>IFERROR(INDEX([1]HubMaster!$B$2:$B$7,MATCH(C684,[1]HubMaster!$A$2:$A$7,0)),"Unknown")</f>
        <v>West</v>
      </c>
      <c r="E684" s="2" t="str">
        <f>PROPER(TRIM(SUBSTITUTE([1]RawShipmentData!D690,"  "," ")))</f>
        <v>Delhivery</v>
      </c>
      <c r="F684" s="2" t="str">
        <f>PROPER(TRIM([1]RawShipmentData!E690))</f>
        <v>Road</v>
      </c>
      <c r="G684" s="2" t="str">
        <f>PROPER(TRIM(SUBSTITUTE([1]RawShipmentData!F690,"  "," ")))</f>
        <v>Pharma</v>
      </c>
      <c r="H684" s="2" t="str">
        <f>PROPER(TRIM([1]RawShipmentData!G690))</f>
        <v>East</v>
      </c>
      <c r="I684" s="2" t="str">
        <f t="shared" si="50"/>
        <v>Yes</v>
      </c>
      <c r="J684" s="2">
        <f>IFERROR(VALUE(TRIM(SUBSTITUTE(UPPER([1]RawShipmentData!I684),"KG",""))),"")</f>
        <v>4.5</v>
      </c>
      <c r="K684" s="2">
        <f>VALUE(SUBSTITUTE(SUBSTITUTE(SUBSTITUTE(TRIM([1]RawShipmentData!J690),"₹",""),"Rs",""),",",""))</f>
        <v>220</v>
      </c>
      <c r="L684" s="2">
        <f>[1]RawShipmentData!K690</f>
        <v>8</v>
      </c>
      <c r="M684" s="3">
        <f>IF(TRIM([1]RawShipmentData!L690)="","",IF(ISNUMBER(SEARCH("/",TRIM([1]RawShipmentData!L690))),DATE(VALUE(RIGHT(TRIM([1]RawShipmentData!L690),4)),VALUE(MID(TRIM([1]RawShipmentData!L690),FIND("/",TRIM([1]RawShipmentData!L690))+1,2)),VALUE(LEFT(TRIM([1]RawShipmentData!L690),FIND("/",TRIM([1]RawShipmentData!L690))-1))),DATEVALUE(TRIM([1]RawShipmentData!L690))))</f>
        <v>45352</v>
      </c>
      <c r="N684" s="2">
        <f t="shared" si="51"/>
        <v>9</v>
      </c>
      <c r="O684" s="2">
        <f t="shared" si="52"/>
        <v>1</v>
      </c>
      <c r="P684" s="2" t="str">
        <f t="shared" si="53"/>
        <v>Late</v>
      </c>
      <c r="Q684" s="2" t="str">
        <f>PROPER(SUBSTITUTE(TRIM([1]RawShipmentData!M690)," ","-"))</f>
        <v>Delayed</v>
      </c>
      <c r="R684" s="4">
        <f t="shared" si="54"/>
        <v>48.888888888888886</v>
      </c>
      <c r="S684" s="2">
        <f>[1]RawShipmentData!N690</f>
        <v>3</v>
      </c>
      <c r="T684" s="2" t="str">
        <f>IF(OR(UPPER(TRIM([1]RawShipmentData!O690))="YES",UPPER(TRIM([1]RawShipmentData!O690))="Y"),"Yes","No")</f>
        <v>No</v>
      </c>
    </row>
    <row r="685" spans="1:20" x14ac:dyDescent="0.25">
      <c r="A685" s="2" t="str">
        <f>[1]RawShipmentData!A691</f>
        <v>SHP-101398</v>
      </c>
      <c r="B685" s="3">
        <f>IF(ISNUMBER(SEARCH("/",TRIM([1]RawShipmentData!B691))),DATE(VALUE(RIGHT(TRIM([1]RawShipmentData!B691),4)),VALUE(MID(TRIM([1]RawShipmentData!B691),FIND("/",TRIM([1]RawShipmentData!B691))+1,2)),VALUE(LEFT(TRIM([1]RawShipmentData!B691),FIND("/",TRIM([1]RawShipmentData!B691))-1))),DATEVALUE(TRIM([1]RawShipmentData!B691)))</f>
        <v>45354</v>
      </c>
      <c r="C685" s="2" t="str">
        <f>PROPER(TRIM([1]RawShipmentData!C691))</f>
        <v>Mumbai</v>
      </c>
      <c r="D685" s="2" t="str">
        <f>IFERROR(INDEX([1]HubMaster!$B$2:$B$7,MATCH(C685,[1]HubMaster!$A$2:$A$7,0)),"Unknown")</f>
        <v>West</v>
      </c>
      <c r="E685" s="2" t="str">
        <f>PROPER(TRIM(SUBSTITUTE([1]RawShipmentData!D691,"  "," ")))</f>
        <v>Delhivery</v>
      </c>
      <c r="F685" s="2" t="str">
        <f>PROPER(TRIM([1]RawShipmentData!E691))</f>
        <v>Surface</v>
      </c>
      <c r="G685" s="2" t="str">
        <f>PROPER(TRIM(SUBSTITUTE([1]RawShipmentData!F691,"  "," ")))</f>
        <v>Pharma</v>
      </c>
      <c r="H685" s="2" t="str">
        <f>PROPER(TRIM([1]RawShipmentData!G691))</f>
        <v>North</v>
      </c>
      <c r="I685" s="2" t="str">
        <f t="shared" si="50"/>
        <v>Yes</v>
      </c>
      <c r="J685" s="2">
        <f>IFERROR(VALUE(TRIM(SUBSTITUTE(UPPER([1]RawShipmentData!I685),"KG",""))),"")</f>
        <v>8.3000000000000007</v>
      </c>
      <c r="K685" s="2">
        <f>VALUE(SUBSTITUTE(SUBSTITUTE(SUBSTITUTE(TRIM([1]RawShipmentData!J691),"₹",""),"Rs",""),",",""))</f>
        <v>197</v>
      </c>
      <c r="L685" s="2">
        <f>[1]RawShipmentData!K691</f>
        <v>6</v>
      </c>
      <c r="M685" s="3">
        <f>IF(TRIM([1]RawShipmentData!L691)="","",IF(ISNUMBER(SEARCH("/",TRIM([1]RawShipmentData!L691))),DATE(VALUE(RIGHT(TRIM([1]RawShipmentData!L691),4)),VALUE(MID(TRIM([1]RawShipmentData!L691),FIND("/",TRIM([1]RawShipmentData!L691))+1,2)),VALUE(LEFT(TRIM([1]RawShipmentData!L691),FIND("/",TRIM([1]RawShipmentData!L691))-1))),DATEVALUE(TRIM([1]RawShipmentData!L691))))</f>
        <v>45363</v>
      </c>
      <c r="N685" s="2">
        <f t="shared" si="51"/>
        <v>9</v>
      </c>
      <c r="O685" s="2">
        <f t="shared" si="52"/>
        <v>3</v>
      </c>
      <c r="P685" s="2" t="str">
        <f t="shared" si="53"/>
        <v>Late</v>
      </c>
      <c r="Q685" s="2" t="str">
        <f>PROPER(SUBSTITUTE(TRIM([1]RawShipmentData!M691)," ","-"))</f>
        <v>Delayed</v>
      </c>
      <c r="R685" s="4">
        <f t="shared" si="54"/>
        <v>23.734939759036141</v>
      </c>
      <c r="S685" s="2">
        <f>[1]RawShipmentData!N691</f>
        <v>2</v>
      </c>
      <c r="T685" s="2" t="str">
        <f>IF(OR(UPPER(TRIM([1]RawShipmentData!O691))="YES",UPPER(TRIM([1]RawShipmentData!O691))="Y"),"Yes","No")</f>
        <v>No</v>
      </c>
    </row>
    <row r="686" spans="1:20" x14ac:dyDescent="0.25">
      <c r="A686" s="2" t="str">
        <f>[1]RawShipmentData!A692</f>
        <v>SHP-100059</v>
      </c>
      <c r="B686" s="3">
        <f>IF(ISNUMBER(SEARCH("/",TRIM([1]RawShipmentData!B692))),DATE(VALUE(RIGHT(TRIM([1]RawShipmentData!B692),4)),VALUE(MID(TRIM([1]RawShipmentData!B692),FIND("/",TRIM([1]RawShipmentData!B692))+1,2)),VALUE(LEFT(TRIM([1]RawShipmentData!B692),FIND("/",TRIM([1]RawShipmentData!B692))-1))),DATEVALUE(TRIM([1]RawShipmentData!B692)))</f>
        <v>45410</v>
      </c>
      <c r="C686" s="2" t="str">
        <f>PROPER(TRIM([1]RawShipmentData!C692))</f>
        <v>Kolkata</v>
      </c>
      <c r="D686" s="2" t="str">
        <f>IFERROR(INDEX([1]HubMaster!$B$2:$B$7,MATCH(C686,[1]HubMaster!$A$2:$A$7,0)),"Unknown")</f>
        <v>East</v>
      </c>
      <c r="E686" s="2" t="str">
        <f>PROPER(TRIM(SUBSTITUTE([1]RawShipmentData!D692,"  "," ")))</f>
        <v>Delhivery</v>
      </c>
      <c r="F686" s="2" t="str">
        <f>PROPER(TRIM([1]RawShipmentData!E692))</f>
        <v>Surface</v>
      </c>
      <c r="G686" s="2" t="str">
        <f>PROPER(TRIM(SUBSTITUTE([1]RawShipmentData!F692,"  "," ")))</f>
        <v>Grocery &amp; Fmcg</v>
      </c>
      <c r="H686" s="2" t="str">
        <f>PROPER(TRIM([1]RawShipmentData!G692))</f>
        <v>South</v>
      </c>
      <c r="I686" s="2" t="str">
        <f t="shared" si="50"/>
        <v>Yes</v>
      </c>
      <c r="J686" s="2">
        <f>IFERROR(VALUE(TRIM(SUBSTITUTE(UPPER([1]RawShipmentData!I686),"KG",""))),"")</f>
        <v>6.7</v>
      </c>
      <c r="K686" s="2">
        <f>VALUE(SUBSTITUTE(SUBSTITUTE(SUBSTITUTE(TRIM([1]RawShipmentData!J692),"₹",""),"Rs",""),",",""))</f>
        <v>233</v>
      </c>
      <c r="L686" s="2">
        <f>[1]RawShipmentData!K692</f>
        <v>6</v>
      </c>
      <c r="M686" s="3">
        <f>IF(TRIM([1]RawShipmentData!L692)="","",IF(ISNUMBER(SEARCH("/",TRIM([1]RawShipmentData!L692))),DATE(VALUE(RIGHT(TRIM([1]RawShipmentData!L692),4)),VALUE(MID(TRIM([1]RawShipmentData!L692),FIND("/",TRIM([1]RawShipmentData!L692))+1,2)),VALUE(LEFT(TRIM([1]RawShipmentData!L692),FIND("/",TRIM([1]RawShipmentData!L692))-1))),DATEVALUE(TRIM([1]RawShipmentData!L692))))</f>
        <v>45417</v>
      </c>
      <c r="N686" s="2">
        <f t="shared" si="51"/>
        <v>7</v>
      </c>
      <c r="O686" s="2">
        <f t="shared" si="52"/>
        <v>1</v>
      </c>
      <c r="P686" s="2" t="str">
        <f t="shared" si="53"/>
        <v>Late</v>
      </c>
      <c r="Q686" s="2" t="str">
        <f>PROPER(SUBSTITUTE(TRIM([1]RawShipmentData!M692)," ","-"))</f>
        <v>Delayed</v>
      </c>
      <c r="R686" s="4">
        <f t="shared" si="54"/>
        <v>34.776119402985074</v>
      </c>
      <c r="S686" s="2">
        <f>[1]RawShipmentData!N692</f>
        <v>3</v>
      </c>
      <c r="T686" s="2" t="str">
        <f>IF(OR(UPPER(TRIM([1]RawShipmentData!O692))="YES",UPPER(TRIM([1]RawShipmentData!O692))="Y"),"Yes","No")</f>
        <v>No</v>
      </c>
    </row>
    <row r="687" spans="1:20" x14ac:dyDescent="0.25">
      <c r="A687" s="2" t="str">
        <f>[1]RawShipmentData!A693</f>
        <v>SHP-100043</v>
      </c>
      <c r="B687" s="3">
        <f>IF(ISNUMBER(SEARCH("/",TRIM([1]RawShipmentData!B693))),DATE(VALUE(RIGHT(TRIM([1]RawShipmentData!B693),4)),VALUE(MID(TRIM([1]RawShipmentData!B693),FIND("/",TRIM([1]RawShipmentData!B693))+1,2)),VALUE(LEFT(TRIM([1]RawShipmentData!B693),FIND("/",TRIM([1]RawShipmentData!B693))-1))),DATEVALUE(TRIM([1]RawShipmentData!B693)))</f>
        <v>45331</v>
      </c>
      <c r="C687" s="2" t="str">
        <f>PROPER(TRIM([1]RawShipmentData!C693))</f>
        <v>Chennai</v>
      </c>
      <c r="D687" s="2" t="str">
        <f>IFERROR(INDEX([1]HubMaster!$B$2:$B$7,MATCH(C687,[1]HubMaster!$A$2:$A$7,0)),"Unknown")</f>
        <v>South</v>
      </c>
      <c r="E687" s="2" t="str">
        <f>PROPER(TRIM(SUBSTITUTE([1]RawShipmentData!D693,"  "," ")))</f>
        <v>Bluedart</v>
      </c>
      <c r="F687" s="2" t="str">
        <f>PROPER(TRIM([1]RawShipmentData!E693))</f>
        <v>Surface</v>
      </c>
      <c r="G687" s="2" t="str">
        <f>PROPER(TRIM(SUBSTITUTE([1]RawShipmentData!F693,"  "," ")))</f>
        <v>Furniture</v>
      </c>
      <c r="H687" s="2" t="str">
        <f>PROPER(TRIM([1]RawShipmentData!G693))</f>
        <v>South</v>
      </c>
      <c r="I687" s="2" t="str">
        <f t="shared" si="50"/>
        <v>No</v>
      </c>
      <c r="J687" s="2">
        <f>IFERROR(VALUE(TRIM(SUBSTITUTE(UPPER([1]RawShipmentData!I687),"KG",""))),"")</f>
        <v>10.8</v>
      </c>
      <c r="K687" s="2">
        <f>VALUE(SUBSTITUTE(SUBSTITUTE(SUBSTITUTE(TRIM([1]RawShipmentData!J693),"₹",""),"Rs",""),",",""))</f>
        <v>588</v>
      </c>
      <c r="L687" s="2">
        <f>[1]RawShipmentData!K693</f>
        <v>4</v>
      </c>
      <c r="M687" s="3">
        <f>IF(TRIM([1]RawShipmentData!L693)="","",IF(ISNUMBER(SEARCH("/",TRIM([1]RawShipmentData!L693))),DATE(VALUE(RIGHT(TRIM([1]RawShipmentData!L693),4)),VALUE(MID(TRIM([1]RawShipmentData!L693),FIND("/",TRIM([1]RawShipmentData!L693))+1,2)),VALUE(LEFT(TRIM([1]RawShipmentData!L693),FIND("/",TRIM([1]RawShipmentData!L693))-1))),DATEVALUE(TRIM([1]RawShipmentData!L693))))</f>
        <v>45334</v>
      </c>
      <c r="N687" s="2">
        <f t="shared" si="51"/>
        <v>3</v>
      </c>
      <c r="O687" s="2">
        <f t="shared" si="52"/>
        <v>-1</v>
      </c>
      <c r="P687" s="2" t="str">
        <f t="shared" si="53"/>
        <v>On Time</v>
      </c>
      <c r="Q687" s="2" t="str">
        <f>PROPER(SUBSTITUTE(TRIM([1]RawShipmentData!M693)," ","-"))</f>
        <v>Delivered</v>
      </c>
      <c r="R687" s="4">
        <f t="shared" si="54"/>
        <v>54.444444444444443</v>
      </c>
      <c r="S687" s="2">
        <f>[1]RawShipmentData!N693</f>
        <v>5</v>
      </c>
      <c r="T687" s="2" t="str">
        <f>IF(OR(UPPER(TRIM([1]RawShipmentData!O693))="YES",UPPER(TRIM([1]RawShipmentData!O693))="Y"),"Yes","No")</f>
        <v>No</v>
      </c>
    </row>
    <row r="688" spans="1:20" x14ac:dyDescent="0.25">
      <c r="A688" s="2" t="str">
        <f>[1]RawShipmentData!A694</f>
        <v>SHP-101368</v>
      </c>
      <c r="B688" s="3">
        <f>IF(ISNUMBER(SEARCH("/",TRIM([1]RawShipmentData!B694))),DATE(VALUE(RIGHT(TRIM([1]RawShipmentData!B694),4)),VALUE(MID(TRIM([1]RawShipmentData!B694),FIND("/",TRIM([1]RawShipmentData!B694))+1,2)),VALUE(LEFT(TRIM([1]RawShipmentData!B694),FIND("/",TRIM([1]RawShipmentData!B694))-1))),DATEVALUE(TRIM([1]RawShipmentData!B694)))</f>
        <v>45450</v>
      </c>
      <c r="C688" s="2" t="str">
        <f>PROPER(TRIM([1]RawShipmentData!C694))</f>
        <v>Bengaluru</v>
      </c>
      <c r="D688" s="2" t="str">
        <f>IFERROR(INDEX([1]HubMaster!$B$2:$B$7,MATCH(C688,[1]HubMaster!$A$2:$A$7,0)),"Unknown")</f>
        <v>South</v>
      </c>
      <c r="E688" s="2" t="str">
        <f>PROPER(TRIM(SUBSTITUTE([1]RawShipmentData!D694,"  "," ")))</f>
        <v>Dtdc</v>
      </c>
      <c r="F688" s="2" t="str">
        <f>PROPER(TRIM([1]RawShipmentData!E694))</f>
        <v>Air</v>
      </c>
      <c r="G688" s="2" t="str">
        <f>PROPER(TRIM(SUBSTITUTE([1]RawShipmentData!F694,"  "," ")))</f>
        <v>Grocery &amp; Fmcg</v>
      </c>
      <c r="H688" s="2" t="str">
        <f>PROPER(TRIM([1]RawShipmentData!G694))</f>
        <v>South</v>
      </c>
      <c r="I688" s="2" t="str">
        <f t="shared" si="50"/>
        <v>No</v>
      </c>
      <c r="J688" s="2">
        <f>IFERROR(VALUE(TRIM(SUBSTITUTE(UPPER([1]RawShipmentData!I688),"KG",""))),"")</f>
        <v>39.6</v>
      </c>
      <c r="K688" s="2">
        <f>VALUE(SUBSTITUTE(SUBSTITUTE(SUBSTITUTE(TRIM([1]RawShipmentData!J694),"₹",""),"Rs",""),",",""))</f>
        <v>456</v>
      </c>
      <c r="L688" s="2">
        <f>[1]RawShipmentData!K694</f>
        <v>2</v>
      </c>
      <c r="M688" s="3">
        <f>IF(TRIM([1]RawShipmentData!L694)="","",IF(ISNUMBER(SEARCH("/",TRIM([1]RawShipmentData!L694))),DATE(VALUE(RIGHT(TRIM([1]RawShipmentData!L694),4)),VALUE(MID(TRIM([1]RawShipmentData!L694),FIND("/",TRIM([1]RawShipmentData!L694))+1,2)),VALUE(LEFT(TRIM([1]RawShipmentData!L694),FIND("/",TRIM([1]RawShipmentData!L694))-1))),DATEVALUE(TRIM([1]RawShipmentData!L694))))</f>
        <v>45453</v>
      </c>
      <c r="N688" s="2">
        <f t="shared" si="51"/>
        <v>3</v>
      </c>
      <c r="O688" s="2">
        <f t="shared" si="52"/>
        <v>1</v>
      </c>
      <c r="P688" s="2" t="str">
        <f t="shared" si="53"/>
        <v>Late</v>
      </c>
      <c r="Q688" s="2" t="str">
        <f>PROPER(SUBSTITUTE(TRIM([1]RawShipmentData!M694)," ","-"))</f>
        <v>Delayed</v>
      </c>
      <c r="R688" s="4">
        <f t="shared" si="54"/>
        <v>11.515151515151516</v>
      </c>
      <c r="S688" s="2">
        <f>[1]RawShipmentData!N694</f>
        <v>2</v>
      </c>
      <c r="T688" s="2" t="str">
        <f>IF(OR(UPPER(TRIM([1]RawShipmentData!O694))="YES",UPPER(TRIM([1]RawShipmentData!O694))="Y"),"Yes","No")</f>
        <v>No</v>
      </c>
    </row>
    <row r="689" spans="1:20" x14ac:dyDescent="0.25">
      <c r="A689" s="2" t="str">
        <f>[1]RawShipmentData!A695</f>
        <v>SHP-101410</v>
      </c>
      <c r="B689" s="3">
        <f>IF(ISNUMBER(SEARCH("/",TRIM([1]RawShipmentData!B695))),DATE(VALUE(RIGHT(TRIM([1]RawShipmentData!B695),4)),VALUE(MID(TRIM([1]RawShipmentData!B695),FIND("/",TRIM([1]RawShipmentData!B695))+1,2)),VALUE(LEFT(TRIM([1]RawShipmentData!B695),FIND("/",TRIM([1]RawShipmentData!B695))-1))),DATEVALUE(TRIM([1]RawShipmentData!B695)))</f>
        <v>45398</v>
      </c>
      <c r="C689" s="2" t="str">
        <f>PROPER(TRIM([1]RawShipmentData!C695))</f>
        <v>Mumbai</v>
      </c>
      <c r="D689" s="2" t="str">
        <f>IFERROR(INDEX([1]HubMaster!$B$2:$B$7,MATCH(C689,[1]HubMaster!$A$2:$A$7,0)),"Unknown")</f>
        <v>West</v>
      </c>
      <c r="E689" s="2" t="str">
        <f>PROPER(TRIM(SUBSTITUTE([1]RawShipmentData!D695,"  "," ")))</f>
        <v>Xpressbees</v>
      </c>
      <c r="F689" s="2" t="str">
        <f>PROPER(TRIM([1]RawShipmentData!E695))</f>
        <v>Road</v>
      </c>
      <c r="G689" s="2" t="str">
        <f>PROPER(TRIM(SUBSTITUTE([1]RawShipmentData!F695,"  "," ")))</f>
        <v>Apparel</v>
      </c>
      <c r="H689" s="2" t="str">
        <f>PROPER(TRIM([1]RawShipmentData!G695))</f>
        <v>South</v>
      </c>
      <c r="I689" s="2" t="str">
        <f t="shared" si="50"/>
        <v>Yes</v>
      </c>
      <c r="J689" s="2">
        <f>IFERROR(VALUE(TRIM(SUBSTITUTE(UPPER([1]RawShipmentData!I689),"KG",""))),"")</f>
        <v>3.9</v>
      </c>
      <c r="K689" s="2">
        <f>VALUE(SUBSTITUTE(SUBSTITUTE(SUBSTITUTE(TRIM([1]RawShipmentData!J695),"₹",""),"Rs",""),",",""))</f>
        <v>157</v>
      </c>
      <c r="L689" s="2">
        <f>[1]RawShipmentData!K695</f>
        <v>8</v>
      </c>
      <c r="M689" s="3">
        <f>IF(TRIM([1]RawShipmentData!L695)="","",IF(ISNUMBER(SEARCH("/",TRIM([1]RawShipmentData!L695))),DATE(VALUE(RIGHT(TRIM([1]RawShipmentData!L695),4)),VALUE(MID(TRIM([1]RawShipmentData!L695),FIND("/",TRIM([1]RawShipmentData!L695))+1,2)),VALUE(LEFT(TRIM([1]RawShipmentData!L695),FIND("/",TRIM([1]RawShipmentData!L695))-1))),DATEVALUE(TRIM([1]RawShipmentData!L695))))</f>
        <v>45407</v>
      </c>
      <c r="N689" s="2">
        <f t="shared" si="51"/>
        <v>9</v>
      </c>
      <c r="O689" s="2">
        <f t="shared" si="52"/>
        <v>1</v>
      </c>
      <c r="P689" s="2" t="str">
        <f t="shared" si="53"/>
        <v>Late</v>
      </c>
      <c r="Q689" s="2" t="str">
        <f>PROPER(SUBSTITUTE(TRIM([1]RawShipmentData!M695)," ","-"))</f>
        <v>Delayed</v>
      </c>
      <c r="R689" s="4">
        <f t="shared" si="54"/>
        <v>40.256410256410255</v>
      </c>
      <c r="S689" s="2">
        <f>[1]RawShipmentData!N695</f>
        <v>1</v>
      </c>
      <c r="T689" s="2" t="str">
        <f>IF(OR(UPPER(TRIM([1]RawShipmentData!O695))="YES",UPPER(TRIM([1]RawShipmentData!O695))="Y"),"Yes","No")</f>
        <v>No</v>
      </c>
    </row>
    <row r="690" spans="1:20" x14ac:dyDescent="0.25">
      <c r="A690" s="2" t="str">
        <f>[1]RawShipmentData!A696</f>
        <v>SHP-100823</v>
      </c>
      <c r="B690" s="3">
        <f>IF(ISNUMBER(SEARCH("/",TRIM([1]RawShipmentData!B696))),DATE(VALUE(RIGHT(TRIM([1]RawShipmentData!B696),4)),VALUE(MID(TRIM([1]RawShipmentData!B696),FIND("/",TRIM([1]RawShipmentData!B696))+1,2)),VALUE(LEFT(TRIM([1]RawShipmentData!B696),FIND("/",TRIM([1]RawShipmentData!B696))-1))),DATEVALUE(TRIM([1]RawShipmentData!B696)))</f>
        <v>45414</v>
      </c>
      <c r="C690" s="2" t="str">
        <f>PROPER(TRIM([1]RawShipmentData!C696))</f>
        <v>Hyderabad</v>
      </c>
      <c r="D690" s="2" t="str">
        <f>IFERROR(INDEX([1]HubMaster!$B$2:$B$7,MATCH(C690,[1]HubMaster!$A$2:$A$7,0)),"Unknown")</f>
        <v>West</v>
      </c>
      <c r="E690" s="2" t="str">
        <f>PROPER(TRIM(SUBSTITUTE([1]RawShipmentData!D696,"  "," ")))</f>
        <v>Dtdc</v>
      </c>
      <c r="F690" s="2" t="str">
        <f>PROPER(TRIM([1]RawShipmentData!E696))</f>
        <v>Surface</v>
      </c>
      <c r="G690" s="2" t="str">
        <f>PROPER(TRIM(SUBSTITUTE([1]RawShipmentData!F696,"  "," ")))</f>
        <v>Pharma</v>
      </c>
      <c r="H690" s="2" t="str">
        <f>PROPER(TRIM([1]RawShipmentData!G696))</f>
        <v>South</v>
      </c>
      <c r="I690" s="2" t="str">
        <f t="shared" si="50"/>
        <v>Yes</v>
      </c>
      <c r="J690" s="2">
        <f>IFERROR(VALUE(TRIM(SUBSTITUTE(UPPER([1]RawShipmentData!I690),"KG",""))),"")</f>
        <v>3.4</v>
      </c>
      <c r="K690" s="2">
        <f>VALUE(SUBSTITUTE(SUBSTITUTE(SUBSTITUTE(TRIM([1]RawShipmentData!J696),"₹",""),"Rs",""),",",""))</f>
        <v>233</v>
      </c>
      <c r="L690" s="2">
        <f>[1]RawShipmentData!K696</f>
        <v>6</v>
      </c>
      <c r="M690" s="3">
        <f>IF(TRIM([1]RawShipmentData!L696)="","",IF(ISNUMBER(SEARCH("/",TRIM([1]RawShipmentData!L696))),DATE(VALUE(RIGHT(TRIM([1]RawShipmentData!L696),4)),VALUE(MID(TRIM([1]RawShipmentData!L696),FIND("/",TRIM([1]RawShipmentData!L696))+1,2)),VALUE(LEFT(TRIM([1]RawShipmentData!L696),FIND("/",TRIM([1]RawShipmentData!L696))-1))),DATEVALUE(TRIM([1]RawShipmentData!L696))))</f>
        <v>45420</v>
      </c>
      <c r="N690" s="2">
        <f t="shared" si="51"/>
        <v>6</v>
      </c>
      <c r="O690" s="2">
        <f t="shared" si="52"/>
        <v>0</v>
      </c>
      <c r="P690" s="2" t="str">
        <f t="shared" si="53"/>
        <v>On Time</v>
      </c>
      <c r="Q690" s="2" t="str">
        <f>PROPER(SUBSTITUTE(TRIM([1]RawShipmentData!M696)," ","-"))</f>
        <v>Delivered</v>
      </c>
      <c r="R690" s="4">
        <f t="shared" si="54"/>
        <v>68.529411764705884</v>
      </c>
      <c r="S690" s="2">
        <f>[1]RawShipmentData!N696</f>
        <v>4</v>
      </c>
      <c r="T690" s="2" t="str">
        <f>IF(OR(UPPER(TRIM([1]RawShipmentData!O696))="YES",UPPER(TRIM([1]RawShipmentData!O696))="Y"),"Yes","No")</f>
        <v>No</v>
      </c>
    </row>
    <row r="691" spans="1:20" x14ac:dyDescent="0.25">
      <c r="A691" s="2" t="str">
        <f>[1]RawShipmentData!A697</f>
        <v>SHP-101102</v>
      </c>
      <c r="B691" s="3">
        <f>IF(ISNUMBER(SEARCH("/",TRIM([1]RawShipmentData!B697))),DATE(VALUE(RIGHT(TRIM([1]RawShipmentData!B697),4)),VALUE(MID(TRIM([1]RawShipmentData!B697),FIND("/",TRIM([1]RawShipmentData!B697))+1,2)),VALUE(LEFT(TRIM([1]RawShipmentData!B697),FIND("/",TRIM([1]RawShipmentData!B697))-1))),DATEVALUE(TRIM([1]RawShipmentData!B697)))</f>
        <v>45439</v>
      </c>
      <c r="C691" s="2" t="str">
        <f>PROPER(TRIM([1]RawShipmentData!C697))</f>
        <v>Bengaluru</v>
      </c>
      <c r="D691" s="2" t="str">
        <f>IFERROR(INDEX([1]HubMaster!$B$2:$B$7,MATCH(C691,[1]HubMaster!$A$2:$A$7,0)),"Unknown")</f>
        <v>South</v>
      </c>
      <c r="E691" s="2" t="str">
        <f>PROPER(TRIM(SUBSTITUTE([1]RawShipmentData!D697,"  "," ")))</f>
        <v>Ecom Express</v>
      </c>
      <c r="F691" s="2" t="str">
        <f>PROPER(TRIM([1]RawShipmentData!E697))</f>
        <v>Surface</v>
      </c>
      <c r="G691" s="2" t="str">
        <f>PROPER(TRIM(SUBSTITUTE([1]RawShipmentData!F697,"  "," ")))</f>
        <v>Electronics</v>
      </c>
      <c r="H691" s="2" t="str">
        <f>PROPER(TRIM([1]RawShipmentData!G697))</f>
        <v>North</v>
      </c>
      <c r="I691" s="2" t="str">
        <f t="shared" si="50"/>
        <v>Yes</v>
      </c>
      <c r="J691" s="2">
        <f>IFERROR(VALUE(TRIM(SUBSTITUTE(UPPER([1]RawShipmentData!I691),"KG",""))),"")</f>
        <v>1.5</v>
      </c>
      <c r="K691" s="2">
        <f>VALUE(SUBSTITUTE(SUBSTITUTE(SUBSTITUTE(TRIM([1]RawShipmentData!J697),"₹",""),"Rs",""),",",""))</f>
        <v>508</v>
      </c>
      <c r="L691" s="2">
        <f>[1]RawShipmentData!K697</f>
        <v>6</v>
      </c>
      <c r="M691" s="3">
        <f>IF(TRIM([1]RawShipmentData!L697)="","",IF(ISNUMBER(SEARCH("/",TRIM([1]RawShipmentData!L697))),DATE(VALUE(RIGHT(TRIM([1]RawShipmentData!L697),4)),VALUE(MID(TRIM([1]RawShipmentData!L697),FIND("/",TRIM([1]RawShipmentData!L697))+1,2)),VALUE(LEFT(TRIM([1]RawShipmentData!L697),FIND("/",TRIM([1]RawShipmentData!L697))-1))),DATEVALUE(TRIM([1]RawShipmentData!L697))))</f>
        <v>45446</v>
      </c>
      <c r="N691" s="2">
        <f t="shared" si="51"/>
        <v>7</v>
      </c>
      <c r="O691" s="2">
        <f t="shared" si="52"/>
        <v>1</v>
      </c>
      <c r="P691" s="2" t="str">
        <f t="shared" si="53"/>
        <v>Late</v>
      </c>
      <c r="Q691" s="2" t="str">
        <f>PROPER(SUBSTITUTE(TRIM([1]RawShipmentData!M697)," ","-"))</f>
        <v>Delayed</v>
      </c>
      <c r="R691" s="4">
        <f t="shared" si="54"/>
        <v>338.66666666666669</v>
      </c>
      <c r="S691" s="2">
        <f>[1]RawShipmentData!N697</f>
        <v>3</v>
      </c>
      <c r="T691" s="2" t="str">
        <f>IF(OR(UPPER(TRIM([1]RawShipmentData!O697))="YES",UPPER(TRIM([1]RawShipmentData!O697))="Y"),"Yes","No")</f>
        <v>Yes</v>
      </c>
    </row>
    <row r="692" spans="1:20" x14ac:dyDescent="0.25">
      <c r="A692" s="2" t="str">
        <f>[1]RawShipmentData!A698</f>
        <v>SHP-100396</v>
      </c>
      <c r="B692" s="3">
        <f>IF(ISNUMBER(SEARCH("/",TRIM([1]RawShipmentData!B698))),DATE(VALUE(RIGHT(TRIM([1]RawShipmentData!B698),4)),VALUE(MID(TRIM([1]RawShipmentData!B698),FIND("/",TRIM([1]RawShipmentData!B698))+1,2)),VALUE(LEFT(TRIM([1]RawShipmentData!B698),FIND("/",TRIM([1]RawShipmentData!B698))-1))),DATEVALUE(TRIM([1]RawShipmentData!B698)))</f>
        <v>45324</v>
      </c>
      <c r="C692" s="2" t="str">
        <f>PROPER(TRIM([1]RawShipmentData!C698))</f>
        <v>Mumbai</v>
      </c>
      <c r="D692" s="2" t="str">
        <f>IFERROR(INDEX([1]HubMaster!$B$2:$B$7,MATCH(C692,[1]HubMaster!$A$2:$A$7,0)),"Unknown")</f>
        <v>West</v>
      </c>
      <c r="E692" s="2" t="str">
        <f>PROPER(TRIM(SUBSTITUTE([1]RawShipmentData!D698,"  "," ")))</f>
        <v>Xpressbees</v>
      </c>
      <c r="F692" s="2" t="str">
        <f>PROPER(TRIM([1]RawShipmentData!E698))</f>
        <v>Surface</v>
      </c>
      <c r="G692" s="2" t="str">
        <f>PROPER(TRIM(SUBSTITUTE([1]RawShipmentData!F698,"  "," ")))</f>
        <v>Pharma</v>
      </c>
      <c r="H692" s="2" t="str">
        <f>PROPER(TRIM([1]RawShipmentData!G698))</f>
        <v>West</v>
      </c>
      <c r="I692" s="2" t="str">
        <f t="shared" si="50"/>
        <v>No</v>
      </c>
      <c r="J692" s="2">
        <f>IFERROR(VALUE(TRIM(SUBSTITUTE(UPPER([1]RawShipmentData!I692),"KG",""))),"")</f>
        <v>3.4</v>
      </c>
      <c r="K692" s="2">
        <f>VALUE(SUBSTITUTE(SUBSTITUTE(SUBSTITUTE(TRIM([1]RawShipmentData!J698),"₹",""),"Rs",""),",",""))</f>
        <v>80</v>
      </c>
      <c r="L692" s="2">
        <f>[1]RawShipmentData!K698</f>
        <v>4</v>
      </c>
      <c r="M692" s="3">
        <f>IF(TRIM([1]RawShipmentData!L698)="","",IF(ISNUMBER(SEARCH("/",TRIM([1]RawShipmentData!L698))),DATE(VALUE(RIGHT(TRIM([1]RawShipmentData!L698),4)),VALUE(MID(TRIM([1]RawShipmentData!L698),FIND("/",TRIM([1]RawShipmentData!L698))+1,2)),VALUE(LEFT(TRIM([1]RawShipmentData!L698),FIND("/",TRIM([1]RawShipmentData!L698))-1))),DATEVALUE(TRIM([1]RawShipmentData!L698))))</f>
        <v>45328</v>
      </c>
      <c r="N692" s="2">
        <f t="shared" si="51"/>
        <v>4</v>
      </c>
      <c r="O692" s="2">
        <f t="shared" si="52"/>
        <v>0</v>
      </c>
      <c r="P692" s="2" t="str">
        <f t="shared" si="53"/>
        <v>On Time</v>
      </c>
      <c r="Q692" s="2" t="str">
        <f>PROPER(SUBSTITUTE(TRIM([1]RawShipmentData!M698)," ","-"))</f>
        <v>Delivered</v>
      </c>
      <c r="R692" s="4">
        <f t="shared" si="54"/>
        <v>23.529411764705884</v>
      </c>
      <c r="S692" s="2">
        <f>[1]RawShipmentData!N698</f>
        <v>3</v>
      </c>
      <c r="T692" s="2" t="str">
        <f>IF(OR(UPPER(TRIM([1]RawShipmentData!O698))="YES",UPPER(TRIM([1]RawShipmentData!O698))="Y"),"Yes","No")</f>
        <v>No</v>
      </c>
    </row>
    <row r="693" spans="1:20" x14ac:dyDescent="0.25">
      <c r="A693" s="2" t="str">
        <f>[1]RawShipmentData!A699</f>
        <v>SHP-100645</v>
      </c>
      <c r="B693" s="3">
        <f>IF(ISNUMBER(SEARCH("/",TRIM([1]RawShipmentData!B699))),DATE(VALUE(RIGHT(TRIM([1]RawShipmentData!B699),4)),VALUE(MID(TRIM([1]RawShipmentData!B699),FIND("/",TRIM([1]RawShipmentData!B699))+1,2)),VALUE(LEFT(TRIM([1]RawShipmentData!B699),FIND("/",TRIM([1]RawShipmentData!B699))-1))),DATEVALUE(TRIM([1]RawShipmentData!B699)))</f>
        <v>45356</v>
      </c>
      <c r="C693" s="2" t="str">
        <f>PROPER(TRIM([1]RawShipmentData!C699))</f>
        <v>Mumbai</v>
      </c>
      <c r="D693" s="2" t="str">
        <f>IFERROR(INDEX([1]HubMaster!$B$2:$B$7,MATCH(C693,[1]HubMaster!$A$2:$A$7,0)),"Unknown")</f>
        <v>West</v>
      </c>
      <c r="E693" s="2" t="str">
        <f>PROPER(TRIM(SUBSTITUTE([1]RawShipmentData!D699,"  "," ")))</f>
        <v>Dtdc</v>
      </c>
      <c r="F693" s="2" t="str">
        <f>PROPER(TRIM([1]RawShipmentData!E699))</f>
        <v>Surface</v>
      </c>
      <c r="G693" s="2" t="str">
        <f>PROPER(TRIM(SUBSTITUTE([1]RawShipmentData!F699,"  "," ")))</f>
        <v>Electronics</v>
      </c>
      <c r="H693" s="2" t="str">
        <f>PROPER(TRIM([1]RawShipmentData!G699))</f>
        <v>West</v>
      </c>
      <c r="I693" s="2" t="str">
        <f t="shared" si="50"/>
        <v>No</v>
      </c>
      <c r="J693" s="2">
        <f>IFERROR(VALUE(TRIM(SUBSTITUTE(UPPER([1]RawShipmentData!I693),"KG",""))),"")</f>
        <v>26.3</v>
      </c>
      <c r="K693" s="2">
        <f>VALUE(SUBSTITUTE(SUBSTITUTE(SUBSTITUTE(TRIM([1]RawShipmentData!J699),"₹",""),"Rs",""),",",""))</f>
        <v>279</v>
      </c>
      <c r="L693" s="2">
        <f>[1]RawShipmentData!K699</f>
        <v>4</v>
      </c>
      <c r="M693" s="3">
        <f>IF(TRIM([1]RawShipmentData!L699)="","",IF(ISNUMBER(SEARCH("/",TRIM([1]RawShipmentData!L699))),DATE(VALUE(RIGHT(TRIM([1]RawShipmentData!L699),4)),VALUE(MID(TRIM([1]RawShipmentData!L699),FIND("/",TRIM([1]RawShipmentData!L699))+1,2)),VALUE(LEFT(TRIM([1]RawShipmentData!L699),FIND("/",TRIM([1]RawShipmentData!L699))-1))),DATEVALUE(TRIM([1]RawShipmentData!L699))))</f>
        <v>45359</v>
      </c>
      <c r="N693" s="2">
        <f t="shared" si="51"/>
        <v>3</v>
      </c>
      <c r="O693" s="2">
        <f t="shared" si="52"/>
        <v>-1</v>
      </c>
      <c r="P693" s="2" t="str">
        <f t="shared" si="53"/>
        <v>On Time</v>
      </c>
      <c r="Q693" s="2" t="str">
        <f>PROPER(SUBSTITUTE(TRIM([1]RawShipmentData!M699)," ","-"))</f>
        <v>Delivered</v>
      </c>
      <c r="R693" s="4">
        <f t="shared" si="54"/>
        <v>10.608365019011407</v>
      </c>
      <c r="S693" s="2">
        <f>[1]RawShipmentData!N699</f>
        <v>4</v>
      </c>
      <c r="T693" s="2" t="str">
        <f>IF(OR(UPPER(TRIM([1]RawShipmentData!O699))="YES",UPPER(TRIM([1]RawShipmentData!O699))="Y"),"Yes","No")</f>
        <v>Yes</v>
      </c>
    </row>
    <row r="694" spans="1:20" x14ac:dyDescent="0.25">
      <c r="A694" s="2" t="str">
        <f>[1]RawShipmentData!A700</f>
        <v>SHP-101577</v>
      </c>
      <c r="B694" s="3">
        <f>IF(ISNUMBER(SEARCH("/",TRIM([1]RawShipmentData!B700))),DATE(VALUE(RIGHT(TRIM([1]RawShipmentData!B700),4)),VALUE(MID(TRIM([1]RawShipmentData!B700),FIND("/",TRIM([1]RawShipmentData!B700))+1,2)),VALUE(LEFT(TRIM([1]RawShipmentData!B700),FIND("/",TRIM([1]RawShipmentData!B700))-1))),DATEVALUE(TRIM([1]RawShipmentData!B700)))</f>
        <v>45301</v>
      </c>
      <c r="C694" s="2" t="str">
        <f>PROPER(TRIM([1]RawShipmentData!C700))</f>
        <v>Chennai</v>
      </c>
      <c r="D694" s="2" t="str">
        <f>IFERROR(INDEX([1]HubMaster!$B$2:$B$7,MATCH(C694,[1]HubMaster!$A$2:$A$7,0)),"Unknown")</f>
        <v>South</v>
      </c>
      <c r="E694" s="2" t="str">
        <f>PROPER(TRIM(SUBSTITUTE([1]RawShipmentData!D700,"  "," ")))</f>
        <v>Bluedart</v>
      </c>
      <c r="F694" s="2" t="str">
        <f>PROPER(TRIM([1]RawShipmentData!E700))</f>
        <v>Road</v>
      </c>
      <c r="G694" s="2" t="str">
        <f>PROPER(TRIM(SUBSTITUTE([1]RawShipmentData!F700,"  "," ")))</f>
        <v>Electronics</v>
      </c>
      <c r="H694" s="2" t="str">
        <f>PROPER(TRIM([1]RawShipmentData!G700))</f>
        <v>South</v>
      </c>
      <c r="I694" s="2" t="str">
        <f t="shared" si="50"/>
        <v>No</v>
      </c>
      <c r="J694" s="2">
        <f>IFERROR(VALUE(TRIM(SUBSTITUTE(UPPER([1]RawShipmentData!I694),"KG",""))),"")</f>
        <v>10.3</v>
      </c>
      <c r="K694" s="2">
        <f>VALUE(SUBSTITUTE(SUBSTITUTE(SUBSTITUTE(TRIM([1]RawShipmentData!J700),"₹",""),"Rs",""),",",""))</f>
        <v>80</v>
      </c>
      <c r="L694" s="2">
        <f>[1]RawShipmentData!K700</f>
        <v>6</v>
      </c>
      <c r="M694" s="3">
        <f>IF(TRIM([1]RawShipmentData!L700)="","",IF(ISNUMBER(SEARCH("/",TRIM([1]RawShipmentData!L700))),DATE(VALUE(RIGHT(TRIM([1]RawShipmentData!L700),4)),VALUE(MID(TRIM([1]RawShipmentData!L700),FIND("/",TRIM([1]RawShipmentData!L700))+1,2)),VALUE(LEFT(TRIM([1]RawShipmentData!L700),FIND("/",TRIM([1]RawShipmentData!L700))-1))),DATEVALUE(TRIM([1]RawShipmentData!L700))))</f>
        <v>45307</v>
      </c>
      <c r="N694" s="2">
        <f t="shared" si="51"/>
        <v>6</v>
      </c>
      <c r="O694" s="2">
        <f t="shared" si="52"/>
        <v>0</v>
      </c>
      <c r="P694" s="2" t="str">
        <f t="shared" si="53"/>
        <v>On Time</v>
      </c>
      <c r="Q694" s="2" t="str">
        <f>PROPER(SUBSTITUTE(TRIM([1]RawShipmentData!M700)," ","-"))</f>
        <v>Delivered</v>
      </c>
      <c r="R694" s="4">
        <f t="shared" si="54"/>
        <v>7.7669902912621351</v>
      </c>
      <c r="S694" s="2">
        <f>[1]RawShipmentData!N700</f>
        <v>4</v>
      </c>
      <c r="T694" s="2" t="str">
        <f>IF(OR(UPPER(TRIM([1]RawShipmentData!O700))="YES",UPPER(TRIM([1]RawShipmentData!O700))="Y"),"Yes","No")</f>
        <v>Yes</v>
      </c>
    </row>
    <row r="695" spans="1:20" x14ac:dyDescent="0.25">
      <c r="A695" s="2" t="str">
        <f>[1]RawShipmentData!A701</f>
        <v>SHP-100496</v>
      </c>
      <c r="B695" s="3">
        <f>IF(ISNUMBER(SEARCH("/",TRIM([1]RawShipmentData!B701))),DATE(VALUE(RIGHT(TRIM([1]RawShipmentData!B701),4)),VALUE(MID(TRIM([1]RawShipmentData!B701),FIND("/",TRIM([1]RawShipmentData!B701))+1,2)),VALUE(LEFT(TRIM([1]RawShipmentData!B701),FIND("/",TRIM([1]RawShipmentData!B701))-1))),DATEVALUE(TRIM([1]RawShipmentData!B701)))</f>
        <v>45425</v>
      </c>
      <c r="C695" s="2" t="str">
        <f>PROPER(TRIM([1]RawShipmentData!C701))</f>
        <v>Chennai</v>
      </c>
      <c r="D695" s="2" t="str">
        <f>IFERROR(INDEX([1]HubMaster!$B$2:$B$7,MATCH(C695,[1]HubMaster!$A$2:$A$7,0)),"Unknown")</f>
        <v>South</v>
      </c>
      <c r="E695" s="2" t="str">
        <f>PROPER(TRIM(SUBSTITUTE([1]RawShipmentData!D701,"  "," ")))</f>
        <v>Xpressbees</v>
      </c>
      <c r="F695" s="2" t="str">
        <f>PROPER(TRIM([1]RawShipmentData!E701))</f>
        <v>Road</v>
      </c>
      <c r="G695" s="2" t="str">
        <f>PROPER(TRIM(SUBSTITUTE([1]RawShipmentData!F701,"  "," ")))</f>
        <v>Furniture</v>
      </c>
      <c r="H695" s="2" t="str">
        <f>PROPER(TRIM([1]RawShipmentData!G701))</f>
        <v>West</v>
      </c>
      <c r="I695" s="2" t="str">
        <f t="shared" si="50"/>
        <v>Yes</v>
      </c>
      <c r="J695" s="2">
        <f>IFERROR(VALUE(TRIM(SUBSTITUTE(UPPER([1]RawShipmentData!I695),"KG",""))),"")</f>
        <v>1.4</v>
      </c>
      <c r="K695" s="2">
        <f>VALUE(SUBSTITUTE(SUBSTITUTE(SUBSTITUTE(TRIM([1]RawShipmentData!J701),"₹",""),"Rs",""),",",""))</f>
        <v>362</v>
      </c>
      <c r="L695" s="2">
        <f>[1]RawShipmentData!K701</f>
        <v>8</v>
      </c>
      <c r="M695" s="3">
        <f>IF(TRIM([1]RawShipmentData!L701)="","",IF(ISNUMBER(SEARCH("/",TRIM([1]RawShipmentData!L701))),DATE(VALUE(RIGHT(TRIM([1]RawShipmentData!L701),4)),VALUE(MID(TRIM([1]RawShipmentData!L701),FIND("/",TRIM([1]RawShipmentData!L701))+1,2)),VALUE(LEFT(TRIM([1]RawShipmentData!L701),FIND("/",TRIM([1]RawShipmentData!L701))-1))),DATEVALUE(TRIM([1]RawShipmentData!L701))))</f>
        <v>45434</v>
      </c>
      <c r="N695" s="2">
        <f t="shared" si="51"/>
        <v>9</v>
      </c>
      <c r="O695" s="2">
        <f t="shared" si="52"/>
        <v>1</v>
      </c>
      <c r="P695" s="2" t="str">
        <f t="shared" si="53"/>
        <v>Late</v>
      </c>
      <c r="Q695" s="2" t="str">
        <f>PROPER(SUBSTITUTE(TRIM([1]RawShipmentData!M701)," ","-"))</f>
        <v>Delayed</v>
      </c>
      <c r="R695" s="4">
        <f t="shared" si="54"/>
        <v>258.57142857142861</v>
      </c>
      <c r="S695" s="2">
        <f>[1]RawShipmentData!N701</f>
        <v>1</v>
      </c>
      <c r="T695" s="2" t="str">
        <f>IF(OR(UPPER(TRIM([1]RawShipmentData!O701))="YES",UPPER(TRIM([1]RawShipmentData!O701))="Y"),"Yes","No")</f>
        <v>No</v>
      </c>
    </row>
    <row r="696" spans="1:20" x14ac:dyDescent="0.25">
      <c r="A696" s="2" t="str">
        <f>[1]RawShipmentData!A702</f>
        <v>SHP-100640</v>
      </c>
      <c r="B696" s="3">
        <f>IF(ISNUMBER(SEARCH("/",TRIM([1]RawShipmentData!B702))),DATE(VALUE(RIGHT(TRIM([1]RawShipmentData!B702),4)),VALUE(MID(TRIM([1]RawShipmentData!B702),FIND("/",TRIM([1]RawShipmentData!B702))+1,2)),VALUE(LEFT(TRIM([1]RawShipmentData!B702),FIND("/",TRIM([1]RawShipmentData!B702))-1))),DATEVALUE(TRIM([1]RawShipmentData!B702)))</f>
        <v>45410</v>
      </c>
      <c r="C696" s="2" t="str">
        <f>PROPER(TRIM([1]RawShipmentData!C702))</f>
        <v>Kolkata</v>
      </c>
      <c r="D696" s="2" t="str">
        <f>IFERROR(INDEX([1]HubMaster!$B$2:$B$7,MATCH(C696,[1]HubMaster!$A$2:$A$7,0)),"Unknown")</f>
        <v>East</v>
      </c>
      <c r="E696" s="2" t="str">
        <f>PROPER(TRIM(SUBSTITUTE([1]RawShipmentData!D702,"  "," ")))</f>
        <v>Dtdc</v>
      </c>
      <c r="F696" s="2" t="str">
        <f>PROPER(TRIM([1]RawShipmentData!E702))</f>
        <v>Surface</v>
      </c>
      <c r="G696" s="2" t="str">
        <f>PROPER(TRIM(SUBSTITUTE([1]RawShipmentData!F702,"  "," ")))</f>
        <v>Apparel</v>
      </c>
      <c r="H696" s="2" t="str">
        <f>PROPER(TRIM([1]RawShipmentData!G702))</f>
        <v>West</v>
      </c>
      <c r="I696" s="2" t="str">
        <f t="shared" si="50"/>
        <v>Yes</v>
      </c>
      <c r="J696" s="2">
        <f>IFERROR(VALUE(TRIM(SUBSTITUTE(UPPER([1]RawShipmentData!I696),"KG",""))),"")</f>
        <v>2.2999999999999998</v>
      </c>
      <c r="K696" s="2">
        <f>VALUE(SUBSTITUTE(SUBSTITUTE(SUBSTITUTE(TRIM([1]RawShipmentData!J702),"₹",""),"Rs",""),",",""))</f>
        <v>283</v>
      </c>
      <c r="L696" s="2">
        <f>[1]RawShipmentData!K702</f>
        <v>6</v>
      </c>
      <c r="M696" s="3">
        <f>IF(TRIM([1]RawShipmentData!L702)="","",IF(ISNUMBER(SEARCH("/",TRIM([1]RawShipmentData!L702))),DATE(VALUE(RIGHT(TRIM([1]RawShipmentData!L702),4)),VALUE(MID(TRIM([1]RawShipmentData!L702),FIND("/",TRIM([1]RawShipmentData!L702))+1,2)),VALUE(LEFT(TRIM([1]RawShipmentData!L702),FIND("/",TRIM([1]RawShipmentData!L702))-1))),DATEVALUE(TRIM([1]RawShipmentData!L702))))</f>
        <v>45417</v>
      </c>
      <c r="N696" s="2">
        <f t="shared" si="51"/>
        <v>7</v>
      </c>
      <c r="O696" s="2">
        <f t="shared" si="52"/>
        <v>1</v>
      </c>
      <c r="P696" s="2" t="str">
        <f t="shared" si="53"/>
        <v>Late</v>
      </c>
      <c r="Q696" s="2" t="str">
        <f>PROPER(SUBSTITUTE(TRIM([1]RawShipmentData!M702)," ","-"))</f>
        <v>Delayed</v>
      </c>
      <c r="R696" s="4">
        <f t="shared" si="54"/>
        <v>123.04347826086958</v>
      </c>
      <c r="S696" s="2">
        <f>[1]RawShipmentData!N702</f>
        <v>4</v>
      </c>
      <c r="T696" s="2" t="str">
        <f>IF(OR(UPPER(TRIM([1]RawShipmentData!O702))="YES",UPPER(TRIM([1]RawShipmentData!O702))="Y"),"Yes","No")</f>
        <v>No</v>
      </c>
    </row>
    <row r="697" spans="1:20" x14ac:dyDescent="0.25">
      <c r="A697" s="2" t="str">
        <f>[1]RawShipmentData!A703</f>
        <v>SHP-100388</v>
      </c>
      <c r="B697" s="3">
        <f>IF(ISNUMBER(SEARCH("/",TRIM([1]RawShipmentData!B703))),DATE(VALUE(RIGHT(TRIM([1]RawShipmentData!B703),4)),VALUE(MID(TRIM([1]RawShipmentData!B703),FIND("/",TRIM([1]RawShipmentData!B703))+1,2)),VALUE(LEFT(TRIM([1]RawShipmentData!B703),FIND("/",TRIM([1]RawShipmentData!B703))-1))),DATEVALUE(TRIM([1]RawShipmentData!B703)))</f>
        <v>45353</v>
      </c>
      <c r="C697" s="2" t="str">
        <f>PROPER(TRIM([1]RawShipmentData!C703))</f>
        <v>Kolkata</v>
      </c>
      <c r="D697" s="2" t="str">
        <f>IFERROR(INDEX([1]HubMaster!$B$2:$B$7,MATCH(C697,[1]HubMaster!$A$2:$A$7,0)),"Unknown")</f>
        <v>East</v>
      </c>
      <c r="E697" s="2" t="str">
        <f>PROPER(TRIM(SUBSTITUTE([1]RawShipmentData!D703,"  "," ")))</f>
        <v>Ecom Express</v>
      </c>
      <c r="F697" s="2" t="str">
        <f>PROPER(TRIM([1]RawShipmentData!E703))</f>
        <v>Air</v>
      </c>
      <c r="G697" s="2" t="str">
        <f>PROPER(TRIM(SUBSTITUTE([1]RawShipmentData!F703,"  "," ")))</f>
        <v>Apparel</v>
      </c>
      <c r="H697" s="2" t="str">
        <f>PROPER(TRIM([1]RawShipmentData!G703))</f>
        <v>South</v>
      </c>
      <c r="I697" s="2" t="str">
        <f t="shared" si="50"/>
        <v>Yes</v>
      </c>
      <c r="J697" s="2">
        <f>IFERROR(VALUE(TRIM(SUBSTITUTE(UPPER([1]RawShipmentData!I697),"KG",""))),"")</f>
        <v>13.9</v>
      </c>
      <c r="K697" s="2">
        <f>VALUE(SUBSTITUTE(SUBSTITUTE(SUBSTITUTE(TRIM([1]RawShipmentData!J703),"₹",""),"Rs",""),",",""))</f>
        <v>327</v>
      </c>
      <c r="L697" s="2">
        <f>[1]RawShipmentData!K703</f>
        <v>4</v>
      </c>
      <c r="M697" s="3">
        <f>IF(TRIM([1]RawShipmentData!L703)="","",IF(ISNUMBER(SEARCH("/",TRIM([1]RawShipmentData!L703))),DATE(VALUE(RIGHT(TRIM([1]RawShipmentData!L703),4)),VALUE(MID(TRIM([1]RawShipmentData!L703),FIND("/",TRIM([1]RawShipmentData!L703))+1,2)),VALUE(LEFT(TRIM([1]RawShipmentData!L703),FIND("/",TRIM([1]RawShipmentData!L703))-1))),DATEVALUE(TRIM([1]RawShipmentData!L703))))</f>
        <v>45364</v>
      </c>
      <c r="N697" s="2">
        <f t="shared" si="51"/>
        <v>11</v>
      </c>
      <c r="O697" s="2">
        <f t="shared" si="52"/>
        <v>7</v>
      </c>
      <c r="P697" s="2" t="str">
        <f t="shared" si="53"/>
        <v>Late</v>
      </c>
      <c r="Q697" s="2" t="str">
        <f>PROPER(SUBSTITUTE(TRIM([1]RawShipmentData!M703)," ","-"))</f>
        <v>Delayed</v>
      </c>
      <c r="R697" s="4">
        <f t="shared" si="54"/>
        <v>23.525179856115109</v>
      </c>
      <c r="S697" s="2">
        <f>[1]RawShipmentData!N703</f>
        <v>4</v>
      </c>
      <c r="T697" s="2" t="str">
        <f>IF(OR(UPPER(TRIM([1]RawShipmentData!O703))="YES",UPPER(TRIM([1]RawShipmentData!O703))="Y"),"Yes","No")</f>
        <v>No</v>
      </c>
    </row>
    <row r="698" spans="1:20" x14ac:dyDescent="0.25">
      <c r="A698" s="2" t="str">
        <f>[1]RawShipmentData!A704</f>
        <v>SHP-100371</v>
      </c>
      <c r="B698" s="3">
        <f>IF(ISNUMBER(SEARCH("/",TRIM([1]RawShipmentData!B704))),DATE(VALUE(RIGHT(TRIM([1]RawShipmentData!B704),4)),VALUE(MID(TRIM([1]RawShipmentData!B704),FIND("/",TRIM([1]RawShipmentData!B704))+1,2)),VALUE(LEFT(TRIM([1]RawShipmentData!B704),FIND("/",TRIM([1]RawShipmentData!B704))-1))),DATEVALUE(TRIM([1]RawShipmentData!B704)))</f>
        <v>45421</v>
      </c>
      <c r="C698" s="2" t="str">
        <f>PROPER(TRIM([1]RawShipmentData!C704))</f>
        <v>Mumbai</v>
      </c>
      <c r="D698" s="2" t="str">
        <f>IFERROR(INDEX([1]HubMaster!$B$2:$B$7,MATCH(C698,[1]HubMaster!$A$2:$A$7,0)),"Unknown")</f>
        <v>West</v>
      </c>
      <c r="E698" s="2" t="str">
        <f>PROPER(TRIM(SUBSTITUTE([1]RawShipmentData!D704,"  "," ")))</f>
        <v>Ecom Express</v>
      </c>
      <c r="F698" s="2" t="str">
        <f>PROPER(TRIM([1]RawShipmentData!E704))</f>
        <v>Road</v>
      </c>
      <c r="G698" s="2" t="str">
        <f>PROPER(TRIM(SUBSTITUTE([1]RawShipmentData!F704,"  "," ")))</f>
        <v>Grocery &amp; Fmcg</v>
      </c>
      <c r="H698" s="2" t="str">
        <f>PROPER(TRIM([1]RawShipmentData!G704))</f>
        <v>South</v>
      </c>
      <c r="I698" s="2" t="str">
        <f t="shared" si="50"/>
        <v>Yes</v>
      </c>
      <c r="J698" s="2">
        <f>IFERROR(VALUE(TRIM(SUBSTITUTE(UPPER([1]RawShipmentData!I698),"KG",""))),"")</f>
        <v>0.8</v>
      </c>
      <c r="K698" s="2">
        <f>VALUE(SUBSTITUTE(SUBSTITUTE(SUBSTITUTE(TRIM([1]RawShipmentData!J704),"₹",""),"Rs",""),",",""))</f>
        <v>370</v>
      </c>
      <c r="L698" s="2">
        <f>[1]RawShipmentData!K704</f>
        <v>8</v>
      </c>
      <c r="M698" s="3">
        <f>IF(TRIM([1]RawShipmentData!L704)="","",IF(ISNUMBER(SEARCH("/",TRIM([1]RawShipmentData!L704))),DATE(VALUE(RIGHT(TRIM([1]RawShipmentData!L704),4)),VALUE(MID(TRIM([1]RawShipmentData!L704),FIND("/",TRIM([1]RawShipmentData!L704))+1,2)),VALUE(LEFT(TRIM([1]RawShipmentData!L704),FIND("/",TRIM([1]RawShipmentData!L704))-1))),DATEVALUE(TRIM([1]RawShipmentData!L704))))</f>
        <v>45433</v>
      </c>
      <c r="N698" s="2">
        <f t="shared" si="51"/>
        <v>12</v>
      </c>
      <c r="O698" s="2">
        <f t="shared" si="52"/>
        <v>4</v>
      </c>
      <c r="P698" s="2" t="str">
        <f t="shared" si="53"/>
        <v>Late</v>
      </c>
      <c r="Q698" s="2" t="str">
        <f>PROPER(SUBSTITUTE(TRIM([1]RawShipmentData!M704)," ","-"))</f>
        <v>Delayed</v>
      </c>
      <c r="R698" s="4">
        <f t="shared" si="54"/>
        <v>462.5</v>
      </c>
      <c r="S698" s="2">
        <f>[1]RawShipmentData!N704</f>
        <v>3</v>
      </c>
      <c r="T698" s="2" t="str">
        <f>IF(OR(UPPER(TRIM([1]RawShipmentData!O704))="YES",UPPER(TRIM([1]RawShipmentData!O704))="Y"),"Yes","No")</f>
        <v>Yes</v>
      </c>
    </row>
    <row r="699" spans="1:20" x14ac:dyDescent="0.25">
      <c r="A699" s="2" t="str">
        <f>[1]RawShipmentData!A705</f>
        <v>SHP-100966</v>
      </c>
      <c r="B699" s="3">
        <f>IF(ISNUMBER(SEARCH("/",TRIM([1]RawShipmentData!B705))),DATE(VALUE(RIGHT(TRIM([1]RawShipmentData!B705),4)),VALUE(MID(TRIM([1]RawShipmentData!B705),FIND("/",TRIM([1]RawShipmentData!B705))+1,2)),VALUE(LEFT(TRIM([1]RawShipmentData!B705),FIND("/",TRIM([1]RawShipmentData!B705))-1))),DATEVALUE(TRIM([1]RawShipmentData!B705)))</f>
        <v>45302</v>
      </c>
      <c r="C699" s="2" t="str">
        <f>PROPER(TRIM([1]RawShipmentData!C705))</f>
        <v>Bengaluru</v>
      </c>
      <c r="D699" s="2" t="str">
        <f>IFERROR(INDEX([1]HubMaster!$B$2:$B$7,MATCH(C699,[1]HubMaster!$A$2:$A$7,0)),"Unknown")</f>
        <v>South</v>
      </c>
      <c r="E699" s="2" t="str">
        <f>PROPER(TRIM(SUBSTITUTE([1]RawShipmentData!D705,"  "," ")))</f>
        <v>Delhivery</v>
      </c>
      <c r="F699" s="2" t="str">
        <f>PROPER(TRIM([1]RawShipmentData!E705))</f>
        <v>Surface</v>
      </c>
      <c r="G699" s="2" t="str">
        <f>PROPER(TRIM(SUBSTITUTE([1]RawShipmentData!F705,"  "," ")))</f>
        <v>Electronics</v>
      </c>
      <c r="H699" s="2" t="str">
        <f>PROPER(TRIM([1]RawShipmentData!G705))</f>
        <v>East</v>
      </c>
      <c r="I699" s="2" t="str">
        <f t="shared" si="50"/>
        <v>Yes</v>
      </c>
      <c r="J699" s="2">
        <f>IFERROR(VALUE(TRIM(SUBSTITUTE(UPPER([1]RawShipmentData!I699),"KG",""))),"")</f>
        <v>12</v>
      </c>
      <c r="K699" s="2">
        <f>VALUE(SUBSTITUTE(SUBSTITUTE(SUBSTITUTE(TRIM([1]RawShipmentData!J705),"₹",""),"Rs",""),",",""))</f>
        <v>316</v>
      </c>
      <c r="L699" s="2">
        <f>[1]RawShipmentData!K705</f>
        <v>6</v>
      </c>
      <c r="M699" s="3">
        <f>IF(TRIM([1]RawShipmentData!L705)="","",IF(ISNUMBER(SEARCH("/",TRIM([1]RawShipmentData!L705))),DATE(VALUE(RIGHT(TRIM([1]RawShipmentData!L705),4)),VALUE(MID(TRIM([1]RawShipmentData!L705),FIND("/",TRIM([1]RawShipmentData!L705))+1,2)),VALUE(LEFT(TRIM([1]RawShipmentData!L705),FIND("/",TRIM([1]RawShipmentData!L705))-1))),DATEVALUE(TRIM([1]RawShipmentData!L705))))</f>
        <v>45308</v>
      </c>
      <c r="N699" s="2">
        <f t="shared" si="51"/>
        <v>6</v>
      </c>
      <c r="O699" s="2">
        <f t="shared" si="52"/>
        <v>0</v>
      </c>
      <c r="P699" s="2" t="str">
        <f t="shared" si="53"/>
        <v>On Time</v>
      </c>
      <c r="Q699" s="2" t="str">
        <f>PROPER(SUBSTITUTE(TRIM([1]RawShipmentData!M705)," ","-"))</f>
        <v>Delivered</v>
      </c>
      <c r="R699" s="4">
        <f t="shared" si="54"/>
        <v>26.333333333333332</v>
      </c>
      <c r="S699" s="2">
        <f>[1]RawShipmentData!N705</f>
        <v>3</v>
      </c>
      <c r="T699" s="2" t="str">
        <f>IF(OR(UPPER(TRIM([1]RawShipmentData!O705))="YES",UPPER(TRIM([1]RawShipmentData!O705))="Y"),"Yes","No")</f>
        <v>No</v>
      </c>
    </row>
    <row r="700" spans="1:20" x14ac:dyDescent="0.25">
      <c r="A700" s="2" t="str">
        <f>[1]RawShipmentData!A706</f>
        <v>SHP-101422</v>
      </c>
      <c r="B700" s="3">
        <f>IF(ISNUMBER(SEARCH("/",TRIM([1]RawShipmentData!B706))),DATE(VALUE(RIGHT(TRIM([1]RawShipmentData!B706),4)),VALUE(MID(TRIM([1]RawShipmentData!B706),FIND("/",TRIM([1]RawShipmentData!B706))+1,2)),VALUE(LEFT(TRIM([1]RawShipmentData!B706),FIND("/",TRIM([1]RawShipmentData!B706))-1))),DATEVALUE(TRIM([1]RawShipmentData!B706)))</f>
        <v>45395</v>
      </c>
      <c r="C700" s="2" t="str">
        <f>PROPER(TRIM([1]RawShipmentData!C706))</f>
        <v>Mumbai</v>
      </c>
      <c r="D700" s="2" t="str">
        <f>IFERROR(INDEX([1]HubMaster!$B$2:$B$7,MATCH(C700,[1]HubMaster!$A$2:$A$7,0)),"Unknown")</f>
        <v>West</v>
      </c>
      <c r="E700" s="2" t="str">
        <f>PROPER(TRIM(SUBSTITUTE([1]RawShipmentData!D706,"  "," ")))</f>
        <v>Ecom Express</v>
      </c>
      <c r="F700" s="2" t="str">
        <f>PROPER(TRIM([1]RawShipmentData!E706))</f>
        <v>Air</v>
      </c>
      <c r="G700" s="2" t="str">
        <f>PROPER(TRIM(SUBSTITUTE([1]RawShipmentData!F706,"  "," ")))</f>
        <v>Electronics</v>
      </c>
      <c r="H700" s="2" t="str">
        <f>PROPER(TRIM([1]RawShipmentData!G706))</f>
        <v>North</v>
      </c>
      <c r="I700" s="2" t="str">
        <f t="shared" si="50"/>
        <v>Yes</v>
      </c>
      <c r="J700" s="2">
        <f>IFERROR(VALUE(TRIM(SUBSTITUTE(UPPER([1]RawShipmentData!I700),"KG",""))),"")</f>
        <v>1.1000000000000001</v>
      </c>
      <c r="K700" s="2">
        <f>VALUE(SUBSTITUTE(SUBSTITUTE(SUBSTITUTE(TRIM([1]RawShipmentData!J706),"₹",""),"Rs",""),",",""))</f>
        <v>396</v>
      </c>
      <c r="L700" s="2">
        <f>[1]RawShipmentData!K706</f>
        <v>4</v>
      </c>
      <c r="M700" s="3">
        <f>IF(TRIM([1]RawShipmentData!L706)="","",IF(ISNUMBER(SEARCH("/",TRIM([1]RawShipmentData!L706))),DATE(VALUE(RIGHT(TRIM([1]RawShipmentData!L706),4)),VALUE(MID(TRIM([1]RawShipmentData!L706),FIND("/",TRIM([1]RawShipmentData!L706))+1,2)),VALUE(LEFT(TRIM([1]RawShipmentData!L706),FIND("/",TRIM([1]RawShipmentData!L706))-1))),DATEVALUE(TRIM([1]RawShipmentData!L706))))</f>
        <v>45404</v>
      </c>
      <c r="N700" s="2">
        <f t="shared" si="51"/>
        <v>9</v>
      </c>
      <c r="O700" s="2">
        <f t="shared" si="52"/>
        <v>5</v>
      </c>
      <c r="P700" s="2" t="str">
        <f t="shared" si="53"/>
        <v>Late</v>
      </c>
      <c r="Q700" s="2" t="str">
        <f>PROPER(SUBSTITUTE(TRIM([1]RawShipmentData!M706)," ","-"))</f>
        <v>Damaged</v>
      </c>
      <c r="R700" s="4">
        <f t="shared" si="54"/>
        <v>359.99999999999994</v>
      </c>
      <c r="S700" s="2">
        <f>[1]RawShipmentData!N706</f>
        <v>0</v>
      </c>
      <c r="T700" s="2" t="str">
        <f>IF(OR(UPPER(TRIM([1]RawShipmentData!O706))="YES",UPPER(TRIM([1]RawShipmentData!O706))="Y"),"Yes","No")</f>
        <v>No</v>
      </c>
    </row>
    <row r="701" spans="1:20" x14ac:dyDescent="0.25">
      <c r="A701" s="2" t="str">
        <f>[1]RawShipmentData!A707</f>
        <v>SHP-100747</v>
      </c>
      <c r="B701" s="3">
        <f>IF(ISNUMBER(SEARCH("/",TRIM([1]RawShipmentData!B707))),DATE(VALUE(RIGHT(TRIM([1]RawShipmentData!B707),4)),VALUE(MID(TRIM([1]RawShipmentData!B707),FIND("/",TRIM([1]RawShipmentData!B707))+1,2)),VALUE(LEFT(TRIM([1]RawShipmentData!B707),FIND("/",TRIM([1]RawShipmentData!B707))-1))),DATEVALUE(TRIM([1]RawShipmentData!B707)))</f>
        <v>45369</v>
      </c>
      <c r="C701" s="2" t="str">
        <f>PROPER(TRIM([1]RawShipmentData!C707))</f>
        <v>Mumbai</v>
      </c>
      <c r="D701" s="2" t="str">
        <f>IFERROR(INDEX([1]HubMaster!$B$2:$B$7,MATCH(C701,[1]HubMaster!$A$2:$A$7,0)),"Unknown")</f>
        <v>West</v>
      </c>
      <c r="E701" s="2" t="str">
        <f>PROPER(TRIM(SUBSTITUTE([1]RawShipmentData!D707,"  "," ")))</f>
        <v>Delhivery</v>
      </c>
      <c r="F701" s="2" t="str">
        <f>PROPER(TRIM([1]RawShipmentData!E707))</f>
        <v>Surface</v>
      </c>
      <c r="G701" s="2" t="str">
        <f>PROPER(TRIM(SUBSTITUTE([1]RawShipmentData!F707,"  "," ")))</f>
        <v>Apparel</v>
      </c>
      <c r="H701" s="2" t="str">
        <f>PROPER(TRIM([1]RawShipmentData!G707))</f>
        <v>East</v>
      </c>
      <c r="I701" s="2" t="str">
        <f t="shared" si="50"/>
        <v>Yes</v>
      </c>
      <c r="J701" s="2">
        <f>IFERROR(VALUE(TRIM(SUBSTITUTE(UPPER([1]RawShipmentData!I701),"KG",""))),"")</f>
        <v>16.399999999999999</v>
      </c>
      <c r="K701" s="2">
        <f>VALUE(SUBSTITUTE(SUBSTITUTE(SUBSTITUTE(TRIM([1]RawShipmentData!J707),"₹",""),"Rs",""),",",""))</f>
        <v>326</v>
      </c>
      <c r="L701" s="2">
        <f>[1]RawShipmentData!K707</f>
        <v>6</v>
      </c>
      <c r="M701" s="3">
        <f>IF(TRIM([1]RawShipmentData!L707)="","",IF(ISNUMBER(SEARCH("/",TRIM([1]RawShipmentData!L707))),DATE(VALUE(RIGHT(TRIM([1]RawShipmentData!L707),4)),VALUE(MID(TRIM([1]RawShipmentData!L707),FIND("/",TRIM([1]RawShipmentData!L707))+1,2)),VALUE(LEFT(TRIM([1]RawShipmentData!L707),FIND("/",TRIM([1]RawShipmentData!L707))-1))),DATEVALUE(TRIM([1]RawShipmentData!L707))))</f>
        <v>45375</v>
      </c>
      <c r="N701" s="2">
        <f t="shared" si="51"/>
        <v>6</v>
      </c>
      <c r="O701" s="2">
        <f t="shared" si="52"/>
        <v>0</v>
      </c>
      <c r="P701" s="2" t="str">
        <f t="shared" si="53"/>
        <v>On Time</v>
      </c>
      <c r="Q701" s="2" t="str">
        <f>PROPER(SUBSTITUTE(TRIM([1]RawShipmentData!M707)," ","-"))</f>
        <v>Delivered</v>
      </c>
      <c r="R701" s="4">
        <f t="shared" si="54"/>
        <v>19.878048780487806</v>
      </c>
      <c r="S701" s="2">
        <f>[1]RawShipmentData!N707</f>
        <v>4</v>
      </c>
      <c r="T701" s="2" t="str">
        <f>IF(OR(UPPER(TRIM([1]RawShipmentData!O707))="YES",UPPER(TRIM([1]RawShipmentData!O707))="Y"),"Yes","No")</f>
        <v>No</v>
      </c>
    </row>
    <row r="702" spans="1:20" x14ac:dyDescent="0.25">
      <c r="A702" s="2" t="str">
        <f>[1]RawShipmentData!A708</f>
        <v>SHP-100581</v>
      </c>
      <c r="B702" s="3">
        <f>IF(ISNUMBER(SEARCH("/",TRIM([1]RawShipmentData!B708))),DATE(VALUE(RIGHT(TRIM([1]RawShipmentData!B708),4)),VALUE(MID(TRIM([1]RawShipmentData!B708),FIND("/",TRIM([1]RawShipmentData!B708))+1,2)),VALUE(LEFT(TRIM([1]RawShipmentData!B708),FIND("/",TRIM([1]RawShipmentData!B708))-1))),DATEVALUE(TRIM([1]RawShipmentData!B708)))</f>
        <v>45394</v>
      </c>
      <c r="C702" s="2" t="str">
        <f>PROPER(TRIM([1]RawShipmentData!C708))</f>
        <v>Mumbai</v>
      </c>
      <c r="D702" s="2" t="str">
        <f>IFERROR(INDEX([1]HubMaster!$B$2:$B$7,MATCH(C702,[1]HubMaster!$A$2:$A$7,0)),"Unknown")</f>
        <v>West</v>
      </c>
      <c r="E702" s="2" t="str">
        <f>PROPER(TRIM(SUBSTITUTE([1]RawShipmentData!D708,"  "," ")))</f>
        <v>Xpressbees</v>
      </c>
      <c r="F702" s="2" t="str">
        <f>PROPER(TRIM([1]RawShipmentData!E708))</f>
        <v>Air</v>
      </c>
      <c r="G702" s="2" t="str">
        <f>PROPER(TRIM(SUBSTITUTE([1]RawShipmentData!F708,"  "," ")))</f>
        <v>Furniture</v>
      </c>
      <c r="H702" s="2" t="str">
        <f>PROPER(TRIM([1]RawShipmentData!G708))</f>
        <v>South</v>
      </c>
      <c r="I702" s="2" t="str">
        <f t="shared" si="50"/>
        <v>Yes</v>
      </c>
      <c r="J702" s="2">
        <f>IFERROR(VALUE(TRIM(SUBSTITUTE(UPPER([1]RawShipmentData!I702),"KG",""))),"")</f>
        <v>3.7</v>
      </c>
      <c r="K702" s="2">
        <f>VALUE(SUBSTITUTE(SUBSTITUTE(SUBSTITUTE(TRIM([1]RawShipmentData!J708),"₹",""),"Rs",""),",",""))</f>
        <v>1591</v>
      </c>
      <c r="L702" s="2">
        <f>[1]RawShipmentData!K708</f>
        <v>4</v>
      </c>
      <c r="M702" s="3">
        <f>IF(TRIM([1]RawShipmentData!L708)="","",IF(ISNUMBER(SEARCH("/",TRIM([1]RawShipmentData!L708))),DATE(VALUE(RIGHT(TRIM([1]RawShipmentData!L708),4)),VALUE(MID(TRIM([1]RawShipmentData!L708),FIND("/",TRIM([1]RawShipmentData!L708))+1,2)),VALUE(LEFT(TRIM([1]RawShipmentData!L708),FIND("/",TRIM([1]RawShipmentData!L708))-1))),DATEVALUE(TRIM([1]RawShipmentData!L708))))</f>
        <v>45398</v>
      </c>
      <c r="N702" s="2">
        <f t="shared" si="51"/>
        <v>4</v>
      </c>
      <c r="O702" s="2">
        <f t="shared" si="52"/>
        <v>0</v>
      </c>
      <c r="P702" s="2" t="str">
        <f t="shared" si="53"/>
        <v>On Time</v>
      </c>
      <c r="Q702" s="2" t="str">
        <f>PROPER(SUBSTITUTE(TRIM([1]RawShipmentData!M708)," ","-"))</f>
        <v>Delivered</v>
      </c>
      <c r="R702" s="4">
        <f t="shared" si="54"/>
        <v>430</v>
      </c>
      <c r="S702" s="2">
        <f>[1]RawShipmentData!N708</f>
        <v>5</v>
      </c>
      <c r="T702" s="2" t="str">
        <f>IF(OR(UPPER(TRIM([1]RawShipmentData!O708))="YES",UPPER(TRIM([1]RawShipmentData!O708))="Y"),"Yes","No")</f>
        <v>Yes</v>
      </c>
    </row>
    <row r="703" spans="1:20" x14ac:dyDescent="0.25">
      <c r="A703" s="2" t="str">
        <f>[1]RawShipmentData!A709</f>
        <v>SHP-100578</v>
      </c>
      <c r="B703" s="3">
        <f>IF(ISNUMBER(SEARCH("/",TRIM([1]RawShipmentData!B709))),DATE(VALUE(RIGHT(TRIM([1]RawShipmentData!B709),4)),VALUE(MID(TRIM([1]RawShipmentData!B709),FIND("/",TRIM([1]RawShipmentData!B709))+1,2)),VALUE(LEFT(TRIM([1]RawShipmentData!B709),FIND("/",TRIM([1]RawShipmentData!B709))-1))),DATEVALUE(TRIM([1]RawShipmentData!B709)))</f>
        <v>45318</v>
      </c>
      <c r="C703" s="2" t="str">
        <f>PROPER(TRIM([1]RawShipmentData!C709))</f>
        <v>Bengaluru</v>
      </c>
      <c r="D703" s="2" t="str">
        <f>IFERROR(INDEX([1]HubMaster!$B$2:$B$7,MATCH(C703,[1]HubMaster!$A$2:$A$7,0)),"Unknown")</f>
        <v>South</v>
      </c>
      <c r="E703" s="2" t="str">
        <f>PROPER(TRIM(SUBSTITUTE([1]RawShipmentData!D709,"  "," ")))</f>
        <v>Blue Dart</v>
      </c>
      <c r="F703" s="2" t="str">
        <f>PROPER(TRIM([1]RawShipmentData!E709))</f>
        <v>Surface</v>
      </c>
      <c r="G703" s="2" t="str">
        <f>PROPER(TRIM(SUBSTITUTE([1]RawShipmentData!F709,"  "," ")))</f>
        <v>Automotive Parts</v>
      </c>
      <c r="H703" s="2" t="str">
        <f>PROPER(TRIM([1]RawShipmentData!G709))</f>
        <v>North</v>
      </c>
      <c r="I703" s="2" t="str">
        <f t="shared" si="50"/>
        <v>Yes</v>
      </c>
      <c r="J703" s="2">
        <f>IFERROR(VALUE(TRIM(SUBSTITUTE(UPPER([1]RawShipmentData!I703),"KG",""))),"")</f>
        <v>4.4000000000000004</v>
      </c>
      <c r="K703" s="2">
        <f>VALUE(SUBSTITUTE(SUBSTITUTE(SUBSTITUTE(TRIM([1]RawShipmentData!J709),"₹",""),"Rs",""),",",""))</f>
        <v>558</v>
      </c>
      <c r="L703" s="2">
        <f>[1]RawShipmentData!K709</f>
        <v>6</v>
      </c>
      <c r="M703" s="3">
        <f>IF(TRIM([1]RawShipmentData!L709)="","",IF(ISNUMBER(SEARCH("/",TRIM([1]RawShipmentData!L709))),DATE(VALUE(RIGHT(TRIM([1]RawShipmentData!L709),4)),VALUE(MID(TRIM([1]RawShipmentData!L709),FIND("/",TRIM([1]RawShipmentData!L709))+1,2)),VALUE(LEFT(TRIM([1]RawShipmentData!L709),FIND("/",TRIM([1]RawShipmentData!L709))-1))),DATEVALUE(TRIM([1]RawShipmentData!L709))))</f>
        <v>45325</v>
      </c>
      <c r="N703" s="2">
        <f t="shared" si="51"/>
        <v>7</v>
      </c>
      <c r="O703" s="2">
        <f t="shared" si="52"/>
        <v>1</v>
      </c>
      <c r="P703" s="2" t="str">
        <f t="shared" si="53"/>
        <v>Late</v>
      </c>
      <c r="Q703" s="2" t="str">
        <f>PROPER(SUBSTITUTE(TRIM([1]RawShipmentData!M709)," ","-"))</f>
        <v>Damaged</v>
      </c>
      <c r="R703" s="4">
        <f t="shared" si="54"/>
        <v>126.81818181818181</v>
      </c>
      <c r="S703" s="2">
        <f>[1]RawShipmentData!N709</f>
        <v>0</v>
      </c>
      <c r="T703" s="2" t="str">
        <f>IF(OR(UPPER(TRIM([1]RawShipmentData!O709))="YES",UPPER(TRIM([1]RawShipmentData!O709))="Y"),"Yes","No")</f>
        <v>Yes</v>
      </c>
    </row>
    <row r="704" spans="1:20" x14ac:dyDescent="0.25">
      <c r="A704" s="2" t="str">
        <f>[1]RawShipmentData!A710</f>
        <v>SHP-100171</v>
      </c>
      <c r="B704" s="3">
        <f>IF(ISNUMBER(SEARCH("/",TRIM([1]RawShipmentData!B710))),DATE(VALUE(RIGHT(TRIM([1]RawShipmentData!B710),4)),VALUE(MID(TRIM([1]RawShipmentData!B710),FIND("/",TRIM([1]RawShipmentData!B710))+1,2)),VALUE(LEFT(TRIM([1]RawShipmentData!B710),FIND("/",TRIM([1]RawShipmentData!B710))-1))),DATEVALUE(TRIM([1]RawShipmentData!B710)))</f>
        <v>45437</v>
      </c>
      <c r="C704" s="2" t="str">
        <f>PROPER(TRIM([1]RawShipmentData!C710))</f>
        <v>Mumbai</v>
      </c>
      <c r="D704" s="2" t="str">
        <f>IFERROR(INDEX([1]HubMaster!$B$2:$B$7,MATCH(C704,[1]HubMaster!$A$2:$A$7,0)),"Unknown")</f>
        <v>West</v>
      </c>
      <c r="E704" s="2" t="str">
        <f>PROPER(TRIM(SUBSTITUTE([1]RawShipmentData!D710,"  "," ")))</f>
        <v>Ecom Express</v>
      </c>
      <c r="F704" s="2" t="str">
        <f>PROPER(TRIM([1]RawShipmentData!E710))</f>
        <v>Road</v>
      </c>
      <c r="G704" s="2" t="str">
        <f>PROPER(TRIM(SUBSTITUTE([1]RawShipmentData!F710,"  "," ")))</f>
        <v>Pharma</v>
      </c>
      <c r="H704" s="2" t="str">
        <f>PROPER(TRIM([1]RawShipmentData!G710))</f>
        <v>North</v>
      </c>
      <c r="I704" s="2" t="str">
        <f t="shared" si="50"/>
        <v>Yes</v>
      </c>
      <c r="J704" s="2">
        <f>IFERROR(VALUE(TRIM(SUBSTITUTE(UPPER([1]RawShipmentData!I704),"KG",""))),"")</f>
        <v>15.7</v>
      </c>
      <c r="K704" s="2">
        <f>VALUE(SUBSTITUTE(SUBSTITUTE(SUBSTITUTE(TRIM([1]RawShipmentData!J710),"₹",""),"Rs",""),",",""))</f>
        <v>196</v>
      </c>
      <c r="L704" s="2">
        <f>[1]RawShipmentData!K710</f>
        <v>8</v>
      </c>
      <c r="M704" s="3">
        <f>IF(TRIM([1]RawShipmentData!L710)="","",IF(ISNUMBER(SEARCH("/",TRIM([1]RawShipmentData!L710))),DATE(VALUE(RIGHT(TRIM([1]RawShipmentData!L710),4)),VALUE(MID(TRIM([1]RawShipmentData!L710),FIND("/",TRIM([1]RawShipmentData!L710))+1,2)),VALUE(LEFT(TRIM([1]RawShipmentData!L710),FIND("/",TRIM([1]RawShipmentData!L710))-1))),DATEVALUE(TRIM([1]RawShipmentData!L710))))</f>
        <v>45446</v>
      </c>
      <c r="N704" s="2">
        <f t="shared" si="51"/>
        <v>9</v>
      </c>
      <c r="O704" s="2">
        <f t="shared" si="52"/>
        <v>1</v>
      </c>
      <c r="P704" s="2" t="str">
        <f t="shared" si="53"/>
        <v>Late</v>
      </c>
      <c r="Q704" s="2" t="str">
        <f>PROPER(SUBSTITUTE(TRIM([1]RawShipmentData!M710)," ","-"))</f>
        <v>Delayed</v>
      </c>
      <c r="R704" s="4">
        <f t="shared" si="54"/>
        <v>12.48407643312102</v>
      </c>
      <c r="S704" s="2">
        <f>[1]RawShipmentData!N710</f>
        <v>2</v>
      </c>
      <c r="T704" s="2" t="str">
        <f>IF(OR(UPPER(TRIM([1]RawShipmentData!O710))="YES",UPPER(TRIM([1]RawShipmentData!O710))="Y"),"Yes","No")</f>
        <v>No</v>
      </c>
    </row>
    <row r="705" spans="1:20" x14ac:dyDescent="0.25">
      <c r="A705" s="2" t="str">
        <f>[1]RawShipmentData!A711</f>
        <v>SHP-101100</v>
      </c>
      <c r="B705" s="3">
        <f>IF(ISNUMBER(SEARCH("/",TRIM([1]RawShipmentData!B711))),DATE(VALUE(RIGHT(TRIM([1]RawShipmentData!B711),4)),VALUE(MID(TRIM([1]RawShipmentData!B711),FIND("/",TRIM([1]RawShipmentData!B711))+1,2)),VALUE(LEFT(TRIM([1]RawShipmentData!B711),FIND("/",TRIM([1]RawShipmentData!B711))-1))),DATEVALUE(TRIM([1]RawShipmentData!B711)))</f>
        <v>45326</v>
      </c>
      <c r="C705" s="2" t="str">
        <f>PROPER(TRIM([1]RawShipmentData!C711))</f>
        <v>Kolkata</v>
      </c>
      <c r="D705" s="2" t="str">
        <f>IFERROR(INDEX([1]HubMaster!$B$2:$B$7,MATCH(C705,[1]HubMaster!$A$2:$A$7,0)),"Unknown")</f>
        <v>East</v>
      </c>
      <c r="E705" s="2" t="str">
        <f>PROPER(TRIM(SUBSTITUTE([1]RawShipmentData!D711,"  "," ")))</f>
        <v>Blue Dart</v>
      </c>
      <c r="F705" s="2" t="str">
        <f>PROPER(TRIM([1]RawShipmentData!E711))</f>
        <v>Air</v>
      </c>
      <c r="G705" s="2" t="str">
        <f>PROPER(TRIM(SUBSTITUTE([1]RawShipmentData!F711,"  "," ")))</f>
        <v>Furniture</v>
      </c>
      <c r="H705" s="2" t="str">
        <f>PROPER(TRIM([1]RawShipmentData!G711))</f>
        <v>South</v>
      </c>
      <c r="I705" s="2" t="str">
        <f t="shared" si="50"/>
        <v>Yes</v>
      </c>
      <c r="J705" s="2">
        <f>IFERROR(VALUE(TRIM(SUBSTITUTE(UPPER([1]RawShipmentData!I705),"KG",""))),"")</f>
        <v>5.5</v>
      </c>
      <c r="K705" s="2">
        <f>VALUE(SUBSTITUTE(SUBSTITUTE(SUBSTITUTE(TRIM([1]RawShipmentData!J711),"₹",""),"Rs",""),",",""))</f>
        <v>2025</v>
      </c>
      <c r="L705" s="2">
        <f>[1]RawShipmentData!K711</f>
        <v>4</v>
      </c>
      <c r="M705" s="3">
        <f>IF(TRIM([1]RawShipmentData!L711)="","",IF(ISNUMBER(SEARCH("/",TRIM([1]RawShipmentData!L711))),DATE(VALUE(RIGHT(TRIM([1]RawShipmentData!L711),4)),VALUE(MID(TRIM([1]RawShipmentData!L711),FIND("/",TRIM([1]RawShipmentData!L711))+1,2)),VALUE(LEFT(TRIM([1]RawShipmentData!L711),FIND("/",TRIM([1]RawShipmentData!L711))-1))),DATEVALUE(TRIM([1]RawShipmentData!L711))))</f>
        <v>45330</v>
      </c>
      <c r="N705" s="2">
        <f t="shared" si="51"/>
        <v>4</v>
      </c>
      <c r="O705" s="2">
        <f t="shared" si="52"/>
        <v>0</v>
      </c>
      <c r="P705" s="2" t="str">
        <f t="shared" si="53"/>
        <v>On Time</v>
      </c>
      <c r="Q705" s="2" t="str">
        <f>PROPER(SUBSTITUTE(TRIM([1]RawShipmentData!M711)," ","-"))</f>
        <v>Delivered</v>
      </c>
      <c r="R705" s="4">
        <f t="shared" si="54"/>
        <v>368.18181818181819</v>
      </c>
      <c r="S705" s="2">
        <f>[1]RawShipmentData!N711</f>
        <v>3</v>
      </c>
      <c r="T705" s="2" t="str">
        <f>IF(OR(UPPER(TRIM([1]RawShipmentData!O711))="YES",UPPER(TRIM([1]RawShipmentData!O711))="Y"),"Yes","No")</f>
        <v>Yes</v>
      </c>
    </row>
    <row r="706" spans="1:20" x14ac:dyDescent="0.25">
      <c r="A706" s="2" t="str">
        <f>[1]RawShipmentData!A712</f>
        <v>SHP-100135</v>
      </c>
      <c r="B706" s="3">
        <f>IF(ISNUMBER(SEARCH("/",TRIM([1]RawShipmentData!B712))),DATE(VALUE(RIGHT(TRIM([1]RawShipmentData!B712),4)),VALUE(MID(TRIM([1]RawShipmentData!B712),FIND("/",TRIM([1]RawShipmentData!B712))+1,2)),VALUE(LEFT(TRIM([1]RawShipmentData!B712),FIND("/",TRIM([1]RawShipmentData!B712))-1))),DATEVALUE(TRIM([1]RawShipmentData!B712)))</f>
        <v>45325</v>
      </c>
      <c r="C706" s="2" t="str">
        <f>PROPER(TRIM([1]RawShipmentData!C712))</f>
        <v>Delhi</v>
      </c>
      <c r="D706" s="2" t="str">
        <f>IFERROR(INDEX([1]HubMaster!$B$2:$B$7,MATCH(C706,[1]HubMaster!$A$2:$A$7,0)),"Unknown")</f>
        <v>North</v>
      </c>
      <c r="E706" s="2" t="str">
        <f>PROPER(TRIM(SUBSTITUTE([1]RawShipmentData!D712,"  "," ")))</f>
        <v>Ecom Express</v>
      </c>
      <c r="F706" s="2" t="str">
        <f>PROPER(TRIM([1]RawShipmentData!E712))</f>
        <v>Surface</v>
      </c>
      <c r="G706" s="2" t="str">
        <f>PROPER(TRIM(SUBSTITUTE([1]RawShipmentData!F712,"  "," ")))</f>
        <v>Furniture</v>
      </c>
      <c r="H706" s="2" t="str">
        <f>PROPER(TRIM([1]RawShipmentData!G712))</f>
        <v>East</v>
      </c>
      <c r="I706" s="2" t="str">
        <f t="shared" ref="I706:I769" si="55">IF(D706=H706,"No","Yes")</f>
        <v>Yes</v>
      </c>
      <c r="J706" s="2">
        <f>IFERROR(VALUE(TRIM(SUBSTITUTE(UPPER([1]RawShipmentData!I706),"KG",""))),"")</f>
        <v>4.5999999999999996</v>
      </c>
      <c r="K706" s="2">
        <f>VALUE(SUBSTITUTE(SUBSTITUTE(SUBSTITUTE(TRIM([1]RawShipmentData!J712),"₹",""),"Rs",""),",",""))</f>
        <v>660</v>
      </c>
      <c r="L706" s="2">
        <f>[1]RawShipmentData!K712</f>
        <v>6</v>
      </c>
      <c r="M706" s="3">
        <f>IF(TRIM([1]RawShipmentData!L712)="","",IF(ISNUMBER(SEARCH("/",TRIM([1]RawShipmentData!L712))),DATE(VALUE(RIGHT(TRIM([1]RawShipmentData!L712),4)),VALUE(MID(TRIM([1]RawShipmentData!L712),FIND("/",TRIM([1]RawShipmentData!L712))+1,2)),VALUE(LEFT(TRIM([1]RawShipmentData!L712),FIND("/",TRIM([1]RawShipmentData!L712))-1))),DATEVALUE(TRIM([1]RawShipmentData!L712))))</f>
        <v>45331</v>
      </c>
      <c r="N706" s="2">
        <f t="shared" ref="N706:N769" si="56">IF(M706="","",M706-B706)</f>
        <v>6</v>
      </c>
      <c r="O706" s="2">
        <f t="shared" ref="O706:O769" si="57">IF(N706="","",N706-L706)</f>
        <v>0</v>
      </c>
      <c r="P706" s="2" t="str">
        <f t="shared" ref="P706:P769" si="58">IF(N706="","N/A",IF(N706&lt;=L706,"On Time","Late"))</f>
        <v>On Time</v>
      </c>
      <c r="Q706" s="2" t="str">
        <f>PROPER(SUBSTITUTE(TRIM([1]RawShipmentData!M712)," ","-"))</f>
        <v>Delivered</v>
      </c>
      <c r="R706" s="4">
        <f t="shared" si="54"/>
        <v>143.47826086956522</v>
      </c>
      <c r="S706" s="2">
        <f>[1]RawShipmentData!N712</f>
        <v>5</v>
      </c>
      <c r="T706" s="2" t="str">
        <f>IF(OR(UPPER(TRIM([1]RawShipmentData!O712))="YES",UPPER(TRIM([1]RawShipmentData!O712))="Y"),"Yes","No")</f>
        <v>No</v>
      </c>
    </row>
    <row r="707" spans="1:20" x14ac:dyDescent="0.25">
      <c r="A707" s="2" t="str">
        <f>[1]RawShipmentData!A713</f>
        <v>SHP-100859</v>
      </c>
      <c r="B707" s="3">
        <f>IF(ISNUMBER(SEARCH("/",TRIM([1]RawShipmentData!B713))),DATE(VALUE(RIGHT(TRIM([1]RawShipmentData!B713),4)),VALUE(MID(TRIM([1]RawShipmentData!B713),FIND("/",TRIM([1]RawShipmentData!B713))+1,2)),VALUE(LEFT(TRIM([1]RawShipmentData!B713),FIND("/",TRIM([1]RawShipmentData!B713))-1))),DATEVALUE(TRIM([1]RawShipmentData!B713)))</f>
        <v>45367</v>
      </c>
      <c r="C707" s="2" t="str">
        <f>PROPER(TRIM([1]RawShipmentData!C713))</f>
        <v>Kolkata</v>
      </c>
      <c r="D707" s="2" t="str">
        <f>IFERROR(INDEX([1]HubMaster!$B$2:$B$7,MATCH(C707,[1]HubMaster!$A$2:$A$7,0)),"Unknown")</f>
        <v>East</v>
      </c>
      <c r="E707" s="2" t="str">
        <f>PROPER(TRIM(SUBSTITUTE([1]RawShipmentData!D713,"  "," ")))</f>
        <v>Dtdc</v>
      </c>
      <c r="F707" s="2" t="str">
        <f>PROPER(TRIM([1]RawShipmentData!E713))</f>
        <v>Air</v>
      </c>
      <c r="G707" s="2" t="str">
        <f>PROPER(TRIM(SUBSTITUTE([1]RawShipmentData!F713,"  "," ")))</f>
        <v>Apparel</v>
      </c>
      <c r="H707" s="2" t="str">
        <f>PROPER(TRIM([1]RawShipmentData!G713))</f>
        <v>West</v>
      </c>
      <c r="I707" s="2" t="str">
        <f t="shared" si="55"/>
        <v>Yes</v>
      </c>
      <c r="J707" s="2">
        <f>IFERROR(VALUE(TRIM(SUBSTITUTE(UPPER([1]RawShipmentData!I707),"KG",""))),"")</f>
        <v>5.9</v>
      </c>
      <c r="K707" s="2">
        <f>VALUE(SUBSTITUTE(SUBSTITUTE(SUBSTITUTE(TRIM([1]RawShipmentData!J713),"₹",""),"Rs",""),",",""))</f>
        <v>331</v>
      </c>
      <c r="L707" s="2">
        <f>[1]RawShipmentData!K713</f>
        <v>4</v>
      </c>
      <c r="M707" s="3">
        <f>IF(TRIM([1]RawShipmentData!L713)="","",IF(ISNUMBER(SEARCH("/",TRIM([1]RawShipmentData!L713))),DATE(VALUE(RIGHT(TRIM([1]RawShipmentData!L713),4)),VALUE(MID(TRIM([1]RawShipmentData!L713),FIND("/",TRIM([1]RawShipmentData!L713))+1,2)),VALUE(LEFT(TRIM([1]RawShipmentData!L713),FIND("/",TRIM([1]RawShipmentData!L713))-1))),DATEVALUE(TRIM([1]RawShipmentData!L713))))</f>
        <v>45370</v>
      </c>
      <c r="N707" s="2">
        <f t="shared" si="56"/>
        <v>3</v>
      </c>
      <c r="O707" s="2">
        <f t="shared" si="57"/>
        <v>-1</v>
      </c>
      <c r="P707" s="2" t="str">
        <f t="shared" si="58"/>
        <v>On Time</v>
      </c>
      <c r="Q707" s="2" t="str">
        <f>PROPER(SUBSTITUTE(TRIM([1]RawShipmentData!M713)," ","-"))</f>
        <v>Returned</v>
      </c>
      <c r="R707" s="4">
        <f t="shared" ref="R707:R770" si="59">IFERROR(K707/J707,"")</f>
        <v>56.101694915254235</v>
      </c>
      <c r="S707" s="2">
        <f>[1]RawShipmentData!N713</f>
        <v>0</v>
      </c>
      <c r="T707" s="2" t="str">
        <f>IF(OR(UPPER(TRIM([1]RawShipmentData!O713))="YES",UPPER(TRIM([1]RawShipmentData!O713))="Y"),"Yes","No")</f>
        <v>Yes</v>
      </c>
    </row>
    <row r="708" spans="1:20" x14ac:dyDescent="0.25">
      <c r="A708" s="2" t="str">
        <f>[1]RawShipmentData!A714</f>
        <v>SHP-101564</v>
      </c>
      <c r="B708" s="3">
        <f>IF(ISNUMBER(SEARCH("/",TRIM([1]RawShipmentData!B714))),DATE(VALUE(RIGHT(TRIM([1]RawShipmentData!B714),4)),VALUE(MID(TRIM([1]RawShipmentData!B714),FIND("/",TRIM([1]RawShipmentData!B714))+1,2)),VALUE(LEFT(TRIM([1]RawShipmentData!B714),FIND("/",TRIM([1]RawShipmentData!B714))-1))),DATEVALUE(TRIM([1]RawShipmentData!B714)))</f>
        <v>45451</v>
      </c>
      <c r="C708" s="2" t="str">
        <f>PROPER(TRIM([1]RawShipmentData!C714))</f>
        <v>Bengaluru</v>
      </c>
      <c r="D708" s="2" t="str">
        <f>IFERROR(INDEX([1]HubMaster!$B$2:$B$7,MATCH(C708,[1]HubMaster!$A$2:$A$7,0)),"Unknown")</f>
        <v>South</v>
      </c>
      <c r="E708" s="2" t="str">
        <f>PROPER(TRIM(SUBSTITUTE([1]RawShipmentData!D714,"  "," ")))</f>
        <v>Xpressbees</v>
      </c>
      <c r="F708" s="2" t="str">
        <f>PROPER(TRIM([1]RawShipmentData!E714))</f>
        <v>Road</v>
      </c>
      <c r="G708" s="2" t="str">
        <f>PROPER(TRIM(SUBSTITUTE([1]RawShipmentData!F714,"  "," ")))</f>
        <v>Electronics</v>
      </c>
      <c r="H708" s="2" t="str">
        <f>PROPER(TRIM([1]RawShipmentData!G714))</f>
        <v>South</v>
      </c>
      <c r="I708" s="2" t="str">
        <f t="shared" si="55"/>
        <v>No</v>
      </c>
      <c r="J708" s="2">
        <f>IFERROR(VALUE(TRIM(SUBSTITUTE(UPPER([1]RawShipmentData!I708),"KG",""))),"")</f>
        <v>31.7</v>
      </c>
      <c r="K708" s="2">
        <f>VALUE(SUBSTITUTE(SUBSTITUTE(SUBSTITUTE(TRIM([1]RawShipmentData!J714),"₹",""),"Rs",""),",",""))</f>
        <v>89</v>
      </c>
      <c r="L708" s="2">
        <f>[1]RawShipmentData!K714</f>
        <v>6</v>
      </c>
      <c r="M708" s="3">
        <f>IF(TRIM([1]RawShipmentData!L714)="","",IF(ISNUMBER(SEARCH("/",TRIM([1]RawShipmentData!L714))),DATE(VALUE(RIGHT(TRIM([1]RawShipmentData!L714),4)),VALUE(MID(TRIM([1]RawShipmentData!L714),FIND("/",TRIM([1]RawShipmentData!L714))+1,2)),VALUE(LEFT(TRIM([1]RawShipmentData!L714),FIND("/",TRIM([1]RawShipmentData!L714))-1))),DATEVALUE(TRIM([1]RawShipmentData!L714))))</f>
        <v>45458</v>
      </c>
      <c r="N708" s="2">
        <f t="shared" si="56"/>
        <v>7</v>
      </c>
      <c r="O708" s="2">
        <f t="shared" si="57"/>
        <v>1</v>
      </c>
      <c r="P708" s="2" t="str">
        <f t="shared" si="58"/>
        <v>Late</v>
      </c>
      <c r="Q708" s="2" t="str">
        <f>PROPER(SUBSTITUTE(TRIM([1]RawShipmentData!M714)," ","-"))</f>
        <v>Delayed</v>
      </c>
      <c r="R708" s="4">
        <f t="shared" si="59"/>
        <v>2.8075709779179809</v>
      </c>
      <c r="S708" s="2">
        <f>[1]RawShipmentData!N714</f>
        <v>5</v>
      </c>
      <c r="T708" s="2" t="str">
        <f>IF(OR(UPPER(TRIM([1]RawShipmentData!O714))="YES",UPPER(TRIM([1]RawShipmentData!O714))="Y"),"Yes","No")</f>
        <v>Yes</v>
      </c>
    </row>
    <row r="709" spans="1:20" x14ac:dyDescent="0.25">
      <c r="A709" s="2" t="str">
        <f>[1]RawShipmentData!A715</f>
        <v>SHP-100570</v>
      </c>
      <c r="B709" s="3">
        <f>IF(ISNUMBER(SEARCH("/",TRIM([1]RawShipmentData!B715))),DATE(VALUE(RIGHT(TRIM([1]RawShipmentData!B715),4)),VALUE(MID(TRIM([1]RawShipmentData!B715),FIND("/",TRIM([1]RawShipmentData!B715))+1,2)),VALUE(LEFT(TRIM([1]RawShipmentData!B715),FIND("/",TRIM([1]RawShipmentData!B715))-1))),DATEVALUE(TRIM([1]RawShipmentData!B715)))</f>
        <v>45300</v>
      </c>
      <c r="C709" s="2" t="str">
        <f>PROPER(TRIM([1]RawShipmentData!C715))</f>
        <v>Mumbai</v>
      </c>
      <c r="D709" s="2" t="str">
        <f>IFERROR(INDEX([1]HubMaster!$B$2:$B$7,MATCH(C709,[1]HubMaster!$A$2:$A$7,0)),"Unknown")</f>
        <v>West</v>
      </c>
      <c r="E709" s="2" t="str">
        <f>PROPER(TRIM(SUBSTITUTE([1]RawShipmentData!D715,"  "," ")))</f>
        <v>Xpressbees</v>
      </c>
      <c r="F709" s="2" t="str">
        <f>PROPER(TRIM([1]RawShipmentData!E715))</f>
        <v>Surface</v>
      </c>
      <c r="G709" s="2" t="str">
        <f>PROPER(TRIM(SUBSTITUTE([1]RawShipmentData!F715,"  "," ")))</f>
        <v>Grocery &amp; Fmcg</v>
      </c>
      <c r="H709" s="2" t="str">
        <f>PROPER(TRIM([1]RawShipmentData!G715))</f>
        <v>West</v>
      </c>
      <c r="I709" s="2" t="str">
        <f t="shared" si="55"/>
        <v>No</v>
      </c>
      <c r="J709" s="2">
        <f>IFERROR(VALUE(TRIM(SUBSTITUTE(UPPER([1]RawShipmentData!I709),"KG",""))),"")</f>
        <v>16.600000000000001</v>
      </c>
      <c r="K709" s="2">
        <f>VALUE(SUBSTITUTE(SUBSTITUTE(SUBSTITUTE(TRIM([1]RawShipmentData!J715),"₹",""),"Rs",""),",",""))</f>
        <v>84</v>
      </c>
      <c r="L709" s="2">
        <f>[1]RawShipmentData!K715</f>
        <v>4</v>
      </c>
      <c r="M709" s="3">
        <f>IF(TRIM([1]RawShipmentData!L715)="","",IF(ISNUMBER(SEARCH("/",TRIM([1]RawShipmentData!L715))),DATE(VALUE(RIGHT(TRIM([1]RawShipmentData!L715),4)),VALUE(MID(TRIM([1]RawShipmentData!L715),FIND("/",TRIM([1]RawShipmentData!L715))+1,2)),VALUE(LEFT(TRIM([1]RawShipmentData!L715),FIND("/",TRIM([1]RawShipmentData!L715))-1))),DATEVALUE(TRIM([1]RawShipmentData!L715))))</f>
        <v>45305</v>
      </c>
      <c r="N709" s="2">
        <f t="shared" si="56"/>
        <v>5</v>
      </c>
      <c r="O709" s="2">
        <f t="shared" si="57"/>
        <v>1</v>
      </c>
      <c r="P709" s="2" t="str">
        <f t="shared" si="58"/>
        <v>Late</v>
      </c>
      <c r="Q709" s="2" t="str">
        <f>PROPER(SUBSTITUTE(TRIM([1]RawShipmentData!M715)," ","-"))</f>
        <v>Delayed</v>
      </c>
      <c r="R709" s="4">
        <f t="shared" si="59"/>
        <v>5.0602409638554215</v>
      </c>
      <c r="S709" s="2">
        <f>[1]RawShipmentData!N715</f>
        <v>1</v>
      </c>
      <c r="T709" s="2" t="str">
        <f>IF(OR(UPPER(TRIM([1]RawShipmentData!O715))="YES",UPPER(TRIM([1]RawShipmentData!O715))="Y"),"Yes","No")</f>
        <v>Yes</v>
      </c>
    </row>
    <row r="710" spans="1:20" x14ac:dyDescent="0.25">
      <c r="A710" s="2" t="str">
        <f>[1]RawShipmentData!A716</f>
        <v>SHP-101030</v>
      </c>
      <c r="B710" s="3">
        <f>IF(ISNUMBER(SEARCH("/",TRIM([1]RawShipmentData!B716))),DATE(VALUE(RIGHT(TRIM([1]RawShipmentData!B716),4)),VALUE(MID(TRIM([1]RawShipmentData!B716),FIND("/",TRIM([1]RawShipmentData!B716))+1,2)),VALUE(LEFT(TRIM([1]RawShipmentData!B716),FIND("/",TRIM([1]RawShipmentData!B716))-1))),DATEVALUE(TRIM([1]RawShipmentData!B716)))</f>
        <v>45360</v>
      </c>
      <c r="C710" s="2" t="str">
        <f>PROPER(TRIM([1]RawShipmentData!C716))</f>
        <v>Hyderabad</v>
      </c>
      <c r="D710" s="2" t="str">
        <f>IFERROR(INDEX([1]HubMaster!$B$2:$B$7,MATCH(C710,[1]HubMaster!$A$2:$A$7,0)),"Unknown")</f>
        <v>West</v>
      </c>
      <c r="E710" s="2" t="str">
        <f>PROPER(TRIM(SUBSTITUTE([1]RawShipmentData!D716,"  "," ")))</f>
        <v>Bluedart</v>
      </c>
      <c r="F710" s="2" t="str">
        <f>PROPER(TRIM([1]RawShipmentData!E716))</f>
        <v>Surface</v>
      </c>
      <c r="G710" s="2" t="str">
        <f>PROPER(TRIM(SUBSTITUTE([1]RawShipmentData!F716,"  "," ")))</f>
        <v>Furniture</v>
      </c>
      <c r="H710" s="2" t="str">
        <f>PROPER(TRIM([1]RawShipmentData!G716))</f>
        <v>West</v>
      </c>
      <c r="I710" s="2" t="str">
        <f t="shared" si="55"/>
        <v>No</v>
      </c>
      <c r="J710" s="2">
        <f>IFERROR(VALUE(TRIM(SUBSTITUTE(UPPER([1]RawShipmentData!I710),"KG",""))),"")</f>
        <v>2.4</v>
      </c>
      <c r="K710" s="2">
        <f>VALUE(SUBSTITUTE(SUBSTITUTE(SUBSTITUTE(TRIM([1]RawShipmentData!J716),"₹",""),"Rs",""),",",""))</f>
        <v>1465</v>
      </c>
      <c r="L710" s="2">
        <f>[1]RawShipmentData!K716</f>
        <v>4</v>
      </c>
      <c r="M710" s="3">
        <f>IF(TRIM([1]RawShipmentData!L716)="","",IF(ISNUMBER(SEARCH("/",TRIM([1]RawShipmentData!L716))),DATE(VALUE(RIGHT(TRIM([1]RawShipmentData!L716),4)),VALUE(MID(TRIM([1]RawShipmentData!L716),FIND("/",TRIM([1]RawShipmentData!L716))+1,2)),VALUE(LEFT(TRIM([1]RawShipmentData!L716),FIND("/",TRIM([1]RawShipmentData!L716))-1))),DATEVALUE(TRIM([1]RawShipmentData!L716))))</f>
        <v>45364</v>
      </c>
      <c r="N710" s="2">
        <f t="shared" si="56"/>
        <v>4</v>
      </c>
      <c r="O710" s="2">
        <f t="shared" si="57"/>
        <v>0</v>
      </c>
      <c r="P710" s="2" t="str">
        <f t="shared" si="58"/>
        <v>On Time</v>
      </c>
      <c r="Q710" s="2" t="str">
        <f>PROPER(SUBSTITUTE(TRIM([1]RawShipmentData!M716)," ","-"))</f>
        <v>Delivered</v>
      </c>
      <c r="R710" s="4">
        <f t="shared" si="59"/>
        <v>610.41666666666674</v>
      </c>
      <c r="S710" s="2">
        <f>[1]RawShipmentData!N716</f>
        <v>5</v>
      </c>
      <c r="T710" s="2" t="str">
        <f>IF(OR(UPPER(TRIM([1]RawShipmentData!O716))="YES",UPPER(TRIM([1]RawShipmentData!O716))="Y"),"Yes","No")</f>
        <v>Yes</v>
      </c>
    </row>
    <row r="711" spans="1:20" x14ac:dyDescent="0.25">
      <c r="A711" s="2" t="str">
        <f>[1]RawShipmentData!A717</f>
        <v>SHP-101417</v>
      </c>
      <c r="B711" s="3">
        <f>IF(ISNUMBER(SEARCH("/",TRIM([1]RawShipmentData!B717))),DATE(VALUE(RIGHT(TRIM([1]RawShipmentData!B717),4)),VALUE(MID(TRIM([1]RawShipmentData!B717),FIND("/",TRIM([1]RawShipmentData!B717))+1,2)),VALUE(LEFT(TRIM([1]RawShipmentData!B717),FIND("/",TRIM([1]RawShipmentData!B717))-1))),DATEVALUE(TRIM([1]RawShipmentData!B717)))</f>
        <v>45356</v>
      </c>
      <c r="C711" s="2" t="str">
        <f>PROPER(TRIM([1]RawShipmentData!C717))</f>
        <v>Kolkata</v>
      </c>
      <c r="D711" s="2" t="str">
        <f>IFERROR(INDEX([1]HubMaster!$B$2:$B$7,MATCH(C711,[1]HubMaster!$A$2:$A$7,0)),"Unknown")</f>
        <v>East</v>
      </c>
      <c r="E711" s="2" t="str">
        <f>PROPER(TRIM(SUBSTITUTE([1]RawShipmentData!D717,"  "," ")))</f>
        <v>Ecom Express</v>
      </c>
      <c r="F711" s="2" t="str">
        <f>PROPER(TRIM([1]RawShipmentData!E717))</f>
        <v>Road</v>
      </c>
      <c r="G711" s="2" t="str">
        <f>PROPER(TRIM(SUBSTITUTE([1]RawShipmentData!F717,"  "," ")))</f>
        <v>Pharma</v>
      </c>
      <c r="H711" s="2" t="str">
        <f>PROPER(TRIM([1]RawShipmentData!G717))</f>
        <v>South</v>
      </c>
      <c r="I711" s="2" t="str">
        <f t="shared" si="55"/>
        <v>Yes</v>
      </c>
      <c r="J711" s="2">
        <f>IFERROR(VALUE(TRIM(SUBSTITUTE(UPPER([1]RawShipmentData!I711),"KG",""))),"")</f>
        <v>40.6</v>
      </c>
      <c r="K711" s="2">
        <f>VALUE(SUBSTITUTE(SUBSTITUTE(SUBSTITUTE(TRIM([1]RawShipmentData!J717),"₹",""),"Rs",""),",",""))</f>
        <v>216</v>
      </c>
      <c r="L711" s="2">
        <f>[1]RawShipmentData!K717</f>
        <v>8</v>
      </c>
      <c r="M711" s="3">
        <f>IF(TRIM([1]RawShipmentData!L717)="","",IF(ISNUMBER(SEARCH("/",TRIM([1]RawShipmentData!L717))),DATE(VALUE(RIGHT(TRIM([1]RawShipmentData!L717),4)),VALUE(MID(TRIM([1]RawShipmentData!L717),FIND("/",TRIM([1]RawShipmentData!L717))+1,2)),VALUE(LEFT(TRIM([1]RawShipmentData!L717),FIND("/",TRIM([1]RawShipmentData!L717))-1))),DATEVALUE(TRIM([1]RawShipmentData!L717))))</f>
        <v>45364</v>
      </c>
      <c r="N711" s="2">
        <f t="shared" si="56"/>
        <v>8</v>
      </c>
      <c r="O711" s="2">
        <f t="shared" si="57"/>
        <v>0</v>
      </c>
      <c r="P711" s="2" t="str">
        <f t="shared" si="58"/>
        <v>On Time</v>
      </c>
      <c r="Q711" s="2" t="str">
        <f>PROPER(SUBSTITUTE(TRIM([1]RawShipmentData!M717)," ","-"))</f>
        <v>Delivered</v>
      </c>
      <c r="R711" s="4">
        <f t="shared" si="59"/>
        <v>5.3201970443349751</v>
      </c>
      <c r="S711" s="2">
        <f>[1]RawShipmentData!N717</f>
        <v>5</v>
      </c>
      <c r="T711" s="2" t="str">
        <f>IF(OR(UPPER(TRIM([1]RawShipmentData!O717))="YES",UPPER(TRIM([1]RawShipmentData!O717))="Y"),"Yes","No")</f>
        <v>No</v>
      </c>
    </row>
    <row r="712" spans="1:20" x14ac:dyDescent="0.25">
      <c r="A712" s="2" t="str">
        <f>[1]RawShipmentData!A719</f>
        <v>SHP-100773</v>
      </c>
      <c r="B712" s="3">
        <f>IF(ISNUMBER(SEARCH("/",TRIM([1]RawShipmentData!B719))),DATE(VALUE(RIGHT(TRIM([1]RawShipmentData!B719),4)),VALUE(MID(TRIM([1]RawShipmentData!B719),FIND("/",TRIM([1]RawShipmentData!B719))+1,2)),VALUE(LEFT(TRIM([1]RawShipmentData!B719),FIND("/",TRIM([1]RawShipmentData!B719))-1))),DATEVALUE(TRIM([1]RawShipmentData!B719)))</f>
        <v>45432</v>
      </c>
      <c r="C712" s="2" t="str">
        <f>PROPER(TRIM([1]RawShipmentData!C719))</f>
        <v>Bengaluru</v>
      </c>
      <c r="D712" s="2" t="str">
        <f>IFERROR(INDEX([1]HubMaster!$B$2:$B$7,MATCH(C712,[1]HubMaster!$A$2:$A$7,0)),"Unknown")</f>
        <v>South</v>
      </c>
      <c r="E712" s="2" t="str">
        <f>PROPER(TRIM(SUBSTITUTE([1]RawShipmentData!D719,"  "," ")))</f>
        <v>Delhivery</v>
      </c>
      <c r="F712" s="2" t="str">
        <f>PROPER(TRIM([1]RawShipmentData!E719))</f>
        <v>Surface</v>
      </c>
      <c r="G712" s="2" t="str">
        <f>PROPER(TRIM(SUBSTITUTE([1]RawShipmentData!F719,"  "," ")))</f>
        <v>Pharma</v>
      </c>
      <c r="H712" s="2" t="str">
        <f>PROPER(TRIM([1]RawShipmentData!G719))</f>
        <v>South</v>
      </c>
      <c r="I712" s="2" t="str">
        <f t="shared" si="55"/>
        <v>No</v>
      </c>
      <c r="J712" s="2">
        <f>IFERROR(VALUE(TRIM(SUBSTITUTE(UPPER([1]RawShipmentData!I712),"KG",""))),"")</f>
        <v>23.2</v>
      </c>
      <c r="K712" s="2">
        <f>VALUE(SUBSTITUTE(SUBSTITUTE(SUBSTITUTE(TRIM([1]RawShipmentData!J719),"₹",""),"Rs",""),",",""))</f>
        <v>80</v>
      </c>
      <c r="L712" s="2">
        <f>[1]RawShipmentData!K719</f>
        <v>4</v>
      </c>
      <c r="M712" s="3">
        <f>IF(TRIM([1]RawShipmentData!L719)="","",IF(ISNUMBER(SEARCH("/",TRIM([1]RawShipmentData!L719))),DATE(VALUE(RIGHT(TRIM([1]RawShipmentData!L719),4)),VALUE(MID(TRIM([1]RawShipmentData!L719),FIND("/",TRIM([1]RawShipmentData!L719))+1,2)),VALUE(LEFT(TRIM([1]RawShipmentData!L719),FIND("/",TRIM([1]RawShipmentData!L719))-1))),DATEVALUE(TRIM([1]RawShipmentData!L719))))</f>
        <v>45436</v>
      </c>
      <c r="N712" s="2">
        <f t="shared" si="56"/>
        <v>4</v>
      </c>
      <c r="O712" s="2">
        <f t="shared" si="57"/>
        <v>0</v>
      </c>
      <c r="P712" s="2" t="str">
        <f t="shared" si="58"/>
        <v>On Time</v>
      </c>
      <c r="Q712" s="2" t="str">
        <f>PROPER(SUBSTITUTE(TRIM([1]RawShipmentData!M719)," ","-"))</f>
        <v>Delivered</v>
      </c>
      <c r="R712" s="4">
        <f t="shared" si="59"/>
        <v>3.4482758620689657</v>
      </c>
      <c r="S712" s="2">
        <f>[1]RawShipmentData!N719</f>
        <v>4</v>
      </c>
      <c r="T712" s="2" t="str">
        <f>IF(OR(UPPER(TRIM([1]RawShipmentData!O719))="YES",UPPER(TRIM([1]RawShipmentData!O719))="Y"),"Yes","No")</f>
        <v>No</v>
      </c>
    </row>
    <row r="713" spans="1:20" x14ac:dyDescent="0.25">
      <c r="A713" s="2" t="str">
        <f>[1]RawShipmentData!A720</f>
        <v>SHP-100851</v>
      </c>
      <c r="B713" s="3">
        <f>IF(ISNUMBER(SEARCH("/",TRIM([1]RawShipmentData!B720))),DATE(VALUE(RIGHT(TRIM([1]RawShipmentData!B720),4)),VALUE(MID(TRIM([1]RawShipmentData!B720),FIND("/",TRIM([1]RawShipmentData!B720))+1,2)),VALUE(LEFT(TRIM([1]RawShipmentData!B720),FIND("/",TRIM([1]RawShipmentData!B720))-1))),DATEVALUE(TRIM([1]RawShipmentData!B720)))</f>
        <v>45313</v>
      </c>
      <c r="C713" s="2" t="str">
        <f>PROPER(TRIM([1]RawShipmentData!C720))</f>
        <v>Mumbai</v>
      </c>
      <c r="D713" s="2" t="str">
        <f>IFERROR(INDEX([1]HubMaster!$B$2:$B$7,MATCH(C713,[1]HubMaster!$A$2:$A$7,0)),"Unknown")</f>
        <v>West</v>
      </c>
      <c r="E713" s="2" t="str">
        <f>PROPER(TRIM(SUBSTITUTE([1]RawShipmentData!D720,"  "," ")))</f>
        <v>Dtdc</v>
      </c>
      <c r="F713" s="2" t="str">
        <f>PROPER(TRIM([1]RawShipmentData!E720))</f>
        <v>Air</v>
      </c>
      <c r="G713" s="2" t="str">
        <f>PROPER(TRIM(SUBSTITUTE([1]RawShipmentData!F720,"  "," ")))</f>
        <v>Furniture</v>
      </c>
      <c r="H713" s="2" t="str">
        <f>PROPER(TRIM([1]RawShipmentData!G720))</f>
        <v>North</v>
      </c>
      <c r="I713" s="2" t="str">
        <f t="shared" si="55"/>
        <v>Yes</v>
      </c>
      <c r="J713" s="2">
        <f>IFERROR(VALUE(TRIM(SUBSTITUTE(UPPER([1]RawShipmentData!I713),"KG",""))),"")</f>
        <v>2.9</v>
      </c>
      <c r="K713" s="2">
        <f>VALUE(SUBSTITUTE(SUBSTITUTE(SUBSTITUTE(TRIM([1]RawShipmentData!J720),"₹",""),"Rs",""),",",""))</f>
        <v>907</v>
      </c>
      <c r="L713" s="2">
        <f>[1]RawShipmentData!K720</f>
        <v>4</v>
      </c>
      <c r="M713" s="3">
        <f>IF(TRIM([1]RawShipmentData!L720)="","",IF(ISNUMBER(SEARCH("/",TRIM([1]RawShipmentData!L720))),DATE(VALUE(RIGHT(TRIM([1]RawShipmentData!L720),4)),VALUE(MID(TRIM([1]RawShipmentData!L720),FIND("/",TRIM([1]RawShipmentData!L720))+1,2)),VALUE(LEFT(TRIM([1]RawShipmentData!L720),FIND("/",TRIM([1]RawShipmentData!L720))-1))),DATEVALUE(TRIM([1]RawShipmentData!L720))))</f>
        <v>45318</v>
      </c>
      <c r="N713" s="2">
        <f t="shared" si="56"/>
        <v>5</v>
      </c>
      <c r="O713" s="2">
        <f t="shared" si="57"/>
        <v>1</v>
      </c>
      <c r="P713" s="2" t="str">
        <f t="shared" si="58"/>
        <v>Late</v>
      </c>
      <c r="Q713" s="2" t="str">
        <f>PROPER(SUBSTITUTE(TRIM([1]RawShipmentData!M720)," ","-"))</f>
        <v>Delayed</v>
      </c>
      <c r="R713" s="4">
        <f t="shared" si="59"/>
        <v>312.75862068965517</v>
      </c>
      <c r="S713" s="2">
        <f>[1]RawShipmentData!N720</f>
        <v>3</v>
      </c>
      <c r="T713" s="2" t="str">
        <f>IF(OR(UPPER(TRIM([1]RawShipmentData!O720))="YES",UPPER(TRIM([1]RawShipmentData!O720))="Y"),"Yes","No")</f>
        <v>Yes</v>
      </c>
    </row>
    <row r="714" spans="1:20" x14ac:dyDescent="0.25">
      <c r="A714" s="2" t="str">
        <f>[1]RawShipmentData!A721</f>
        <v>SHP-101118</v>
      </c>
      <c r="B714" s="3">
        <f>IF(ISNUMBER(SEARCH("/",TRIM([1]RawShipmentData!B721))),DATE(VALUE(RIGHT(TRIM([1]RawShipmentData!B721),4)),VALUE(MID(TRIM([1]RawShipmentData!B721),FIND("/",TRIM([1]RawShipmentData!B721))+1,2)),VALUE(LEFT(TRIM([1]RawShipmentData!B721),FIND("/",TRIM([1]RawShipmentData!B721))-1))),DATEVALUE(TRIM([1]RawShipmentData!B721)))</f>
        <v>45333</v>
      </c>
      <c r="C714" s="2" t="str">
        <f>PROPER(TRIM([1]RawShipmentData!C721))</f>
        <v>Delhi</v>
      </c>
      <c r="D714" s="2" t="str">
        <f>IFERROR(INDEX([1]HubMaster!$B$2:$B$7,MATCH(C714,[1]HubMaster!$A$2:$A$7,0)),"Unknown")</f>
        <v>North</v>
      </c>
      <c r="E714" s="2" t="str">
        <f>PROPER(TRIM(SUBSTITUTE([1]RawShipmentData!D721,"  "," ")))</f>
        <v>Dtdc</v>
      </c>
      <c r="F714" s="2" t="str">
        <f>PROPER(TRIM([1]RawShipmentData!E721))</f>
        <v>Road</v>
      </c>
      <c r="G714" s="2" t="str">
        <f>PROPER(TRIM(SUBSTITUTE([1]RawShipmentData!F721,"  "," ")))</f>
        <v>Electronics</v>
      </c>
      <c r="H714" s="2" t="str">
        <f>PROPER(TRIM([1]RawShipmentData!G721))</f>
        <v>North</v>
      </c>
      <c r="I714" s="2" t="str">
        <f t="shared" si="55"/>
        <v>No</v>
      </c>
      <c r="J714" s="2">
        <f>IFERROR(VALUE(TRIM(SUBSTITUTE(UPPER([1]RawShipmentData!I714),"KG",""))),"")</f>
        <v>5.5</v>
      </c>
      <c r="K714" s="2">
        <f>VALUE(SUBSTITUTE(SUBSTITUTE(SUBSTITUTE(TRIM([1]RawShipmentData!J721),"₹",""),"Rs",""),",",""))</f>
        <v>195</v>
      </c>
      <c r="L714" s="2">
        <f>[1]RawShipmentData!K721</f>
        <v>6</v>
      </c>
      <c r="M714" s="3">
        <f>IF(TRIM([1]RawShipmentData!L721)="","",IF(ISNUMBER(SEARCH("/",TRIM([1]RawShipmentData!L721))),DATE(VALUE(RIGHT(TRIM([1]RawShipmentData!L721),4)),VALUE(MID(TRIM([1]RawShipmentData!L721),FIND("/",TRIM([1]RawShipmentData!L721))+1,2)),VALUE(LEFT(TRIM([1]RawShipmentData!L721),FIND("/",TRIM([1]RawShipmentData!L721))-1))),DATEVALUE(TRIM([1]RawShipmentData!L721))))</f>
        <v>45339</v>
      </c>
      <c r="N714" s="2">
        <f t="shared" si="56"/>
        <v>6</v>
      </c>
      <c r="O714" s="2">
        <f t="shared" si="57"/>
        <v>0</v>
      </c>
      <c r="P714" s="2" t="str">
        <f t="shared" si="58"/>
        <v>On Time</v>
      </c>
      <c r="Q714" s="2" t="str">
        <f>PROPER(SUBSTITUTE(TRIM([1]RawShipmentData!M721)," ","-"))</f>
        <v>Delivered</v>
      </c>
      <c r="R714" s="4">
        <f t="shared" si="59"/>
        <v>35.454545454545453</v>
      </c>
      <c r="S714" s="2">
        <f>[1]RawShipmentData!N721</f>
        <v>5</v>
      </c>
      <c r="T714" s="2" t="str">
        <f>IF(OR(UPPER(TRIM([1]RawShipmentData!O721))="YES",UPPER(TRIM([1]RawShipmentData!O721))="Y"),"Yes","No")</f>
        <v>Yes</v>
      </c>
    </row>
    <row r="715" spans="1:20" x14ac:dyDescent="0.25">
      <c r="A715" s="2" t="str">
        <f>[1]RawShipmentData!A722</f>
        <v>SHP-101335</v>
      </c>
      <c r="B715" s="3">
        <f>IF(ISNUMBER(SEARCH("/",TRIM([1]RawShipmentData!B722))),DATE(VALUE(RIGHT(TRIM([1]RawShipmentData!B722),4)),VALUE(MID(TRIM([1]RawShipmentData!B722),FIND("/",TRIM([1]RawShipmentData!B722))+1,2)),VALUE(LEFT(TRIM([1]RawShipmentData!B722),FIND("/",TRIM([1]RawShipmentData!B722))-1))),DATEVALUE(TRIM([1]RawShipmentData!B722)))</f>
        <v>45325</v>
      </c>
      <c r="C715" s="2" t="str">
        <f>PROPER(TRIM([1]RawShipmentData!C722))</f>
        <v>Chennai</v>
      </c>
      <c r="D715" s="2" t="str">
        <f>IFERROR(INDEX([1]HubMaster!$B$2:$B$7,MATCH(C715,[1]HubMaster!$A$2:$A$7,0)),"Unknown")</f>
        <v>South</v>
      </c>
      <c r="E715" s="2" t="str">
        <f>PROPER(TRIM(SUBSTITUTE([1]RawShipmentData!D722,"  "," ")))</f>
        <v>Xpressbees</v>
      </c>
      <c r="F715" s="2" t="str">
        <f>PROPER(TRIM([1]RawShipmentData!E722))</f>
        <v>Air</v>
      </c>
      <c r="G715" s="2" t="str">
        <f>PROPER(TRIM(SUBSTITUTE([1]RawShipmentData!F722,"  "," ")))</f>
        <v>Pharma</v>
      </c>
      <c r="H715" s="2" t="str">
        <f>PROPER(TRIM([1]RawShipmentData!G722))</f>
        <v>West</v>
      </c>
      <c r="I715" s="2" t="str">
        <f t="shared" si="55"/>
        <v>Yes</v>
      </c>
      <c r="J715" s="2" t="str">
        <f>IFERROR(VALUE(TRIM(SUBSTITUTE(UPPER([1]RawShipmentData!I715),"KG",""))),"")</f>
        <v/>
      </c>
      <c r="K715" s="2">
        <f>VALUE(SUBSTITUTE(SUBSTITUTE(SUBSTITUTE(TRIM([1]RawShipmentData!J722),"₹",""),"Rs",""),",",""))</f>
        <v>281</v>
      </c>
      <c r="L715" s="2">
        <f>[1]RawShipmentData!K722</f>
        <v>4</v>
      </c>
      <c r="M715" s="3">
        <f>IF(TRIM([1]RawShipmentData!L722)="","",IF(ISNUMBER(SEARCH("/",TRIM([1]RawShipmentData!L722))),DATE(VALUE(RIGHT(TRIM([1]RawShipmentData!L722),4)),VALUE(MID(TRIM([1]RawShipmentData!L722),FIND("/",TRIM([1]RawShipmentData!L722))+1,2)),VALUE(LEFT(TRIM([1]RawShipmentData!L722),FIND("/",TRIM([1]RawShipmentData!L722))-1))),DATEVALUE(TRIM([1]RawShipmentData!L722))))</f>
        <v>45328</v>
      </c>
      <c r="N715" s="2">
        <f t="shared" si="56"/>
        <v>3</v>
      </c>
      <c r="O715" s="2">
        <f t="shared" si="57"/>
        <v>-1</v>
      </c>
      <c r="P715" s="2" t="str">
        <f t="shared" si="58"/>
        <v>On Time</v>
      </c>
      <c r="Q715" s="2" t="str">
        <f>PROPER(SUBSTITUTE(TRIM([1]RawShipmentData!M722)," ","-"))</f>
        <v>Delivered</v>
      </c>
      <c r="R715" s="4" t="str">
        <f t="shared" si="59"/>
        <v/>
      </c>
      <c r="S715" s="2">
        <f>[1]RawShipmentData!N722</f>
        <v>5</v>
      </c>
      <c r="T715" s="2" t="str">
        <f>IF(OR(UPPER(TRIM([1]RawShipmentData!O722))="YES",UPPER(TRIM([1]RawShipmentData!O722))="Y"),"Yes","No")</f>
        <v>Yes</v>
      </c>
    </row>
    <row r="716" spans="1:20" x14ac:dyDescent="0.25">
      <c r="A716" s="2" t="str">
        <f>[1]RawShipmentData!A723</f>
        <v>SHP-100601</v>
      </c>
      <c r="B716" s="3">
        <f>IF(ISNUMBER(SEARCH("/",TRIM([1]RawShipmentData!B723))),DATE(VALUE(RIGHT(TRIM([1]RawShipmentData!B723),4)),VALUE(MID(TRIM([1]RawShipmentData!B723),FIND("/",TRIM([1]RawShipmentData!B723))+1,2)),VALUE(LEFT(TRIM([1]RawShipmentData!B723),FIND("/",TRIM([1]RawShipmentData!B723))-1))),DATEVALUE(TRIM([1]RawShipmentData!B723)))</f>
        <v>45426</v>
      </c>
      <c r="C716" s="2" t="str">
        <f>PROPER(TRIM([1]RawShipmentData!C723))</f>
        <v>Delhi</v>
      </c>
      <c r="D716" s="2" t="str">
        <f>IFERROR(INDEX([1]HubMaster!$B$2:$B$7,MATCH(C716,[1]HubMaster!$A$2:$A$7,0)),"Unknown")</f>
        <v>North</v>
      </c>
      <c r="E716" s="2" t="str">
        <f>PROPER(TRIM(SUBSTITUTE([1]RawShipmentData!D723,"  "," ")))</f>
        <v>Dtdc</v>
      </c>
      <c r="F716" s="2" t="str">
        <f>PROPER(TRIM([1]RawShipmentData!E723))</f>
        <v>Air</v>
      </c>
      <c r="G716" s="2" t="str">
        <f>PROPER(TRIM(SUBSTITUTE([1]RawShipmentData!F723,"  "," ")))</f>
        <v>Grocery &amp; Fmcg</v>
      </c>
      <c r="H716" s="2" t="str">
        <f>PROPER(TRIM([1]RawShipmentData!G723))</f>
        <v>East</v>
      </c>
      <c r="I716" s="2" t="str">
        <f t="shared" si="55"/>
        <v>Yes</v>
      </c>
      <c r="J716" s="2">
        <f>IFERROR(VALUE(TRIM(SUBSTITUTE(UPPER([1]RawShipmentData!I716),"KG",""))),"")</f>
        <v>64.900000000000006</v>
      </c>
      <c r="K716" s="2">
        <f>VALUE(SUBSTITUTE(SUBSTITUTE(SUBSTITUTE(TRIM([1]RawShipmentData!J723),"₹",""),"Rs",""),",",""))</f>
        <v>726</v>
      </c>
      <c r="L716" s="2">
        <f>[1]RawShipmentData!K723</f>
        <v>4</v>
      </c>
      <c r="M716" s="3">
        <f>IF(TRIM([1]RawShipmentData!L723)="","",IF(ISNUMBER(SEARCH("/",TRIM([1]RawShipmentData!L723))),DATE(VALUE(RIGHT(TRIM([1]RawShipmentData!L723),4)),VALUE(MID(TRIM([1]RawShipmentData!L723),FIND("/",TRIM([1]RawShipmentData!L723))+1,2)),VALUE(LEFT(TRIM([1]RawShipmentData!L723),FIND("/",TRIM([1]RawShipmentData!L723))-1))),DATEVALUE(TRIM([1]RawShipmentData!L723))))</f>
        <v>45434</v>
      </c>
      <c r="N716" s="2">
        <f t="shared" si="56"/>
        <v>8</v>
      </c>
      <c r="O716" s="2">
        <f t="shared" si="57"/>
        <v>4</v>
      </c>
      <c r="P716" s="2" t="str">
        <f t="shared" si="58"/>
        <v>Late</v>
      </c>
      <c r="Q716" s="2" t="str">
        <f>PROPER(SUBSTITUTE(TRIM([1]RawShipmentData!M723)," ","-"))</f>
        <v>Delayed</v>
      </c>
      <c r="R716" s="4">
        <f t="shared" si="59"/>
        <v>11.1864406779661</v>
      </c>
      <c r="S716" s="2">
        <f>[1]RawShipmentData!N723</f>
        <v>3</v>
      </c>
      <c r="T716" s="2" t="str">
        <f>IF(OR(UPPER(TRIM([1]RawShipmentData!O723))="YES",UPPER(TRIM([1]RawShipmentData!O723))="Y"),"Yes","No")</f>
        <v>No</v>
      </c>
    </row>
    <row r="717" spans="1:20" x14ac:dyDescent="0.25">
      <c r="A717" s="2" t="str">
        <f>[1]RawShipmentData!A724</f>
        <v>SHP-100663</v>
      </c>
      <c r="B717" s="3">
        <f>IF(ISNUMBER(SEARCH("/",TRIM([1]RawShipmentData!B724))),DATE(VALUE(RIGHT(TRIM([1]RawShipmentData!B724),4)),VALUE(MID(TRIM([1]RawShipmentData!B724),FIND("/",TRIM([1]RawShipmentData!B724))+1,2)),VALUE(LEFT(TRIM([1]RawShipmentData!B724),FIND("/",TRIM([1]RawShipmentData!B724))-1))),DATEVALUE(TRIM([1]RawShipmentData!B724)))</f>
        <v>45358</v>
      </c>
      <c r="C717" s="2" t="str">
        <f>PROPER(TRIM([1]RawShipmentData!C724))</f>
        <v>Delhi</v>
      </c>
      <c r="D717" s="2" t="str">
        <f>IFERROR(INDEX([1]HubMaster!$B$2:$B$7,MATCH(C717,[1]HubMaster!$A$2:$A$7,0)),"Unknown")</f>
        <v>North</v>
      </c>
      <c r="E717" s="2" t="str">
        <f>PROPER(TRIM(SUBSTITUTE([1]RawShipmentData!D724,"  "," ")))</f>
        <v>Ecom Express</v>
      </c>
      <c r="F717" s="2" t="str">
        <f>PROPER(TRIM([1]RawShipmentData!E724))</f>
        <v>Road</v>
      </c>
      <c r="G717" s="2" t="str">
        <f>PROPER(TRIM(SUBSTITUTE([1]RawShipmentData!F724,"  "," ")))</f>
        <v>Apparel</v>
      </c>
      <c r="H717" s="2" t="str">
        <f>PROPER(TRIM([1]RawShipmentData!G724))</f>
        <v>South</v>
      </c>
      <c r="I717" s="2" t="str">
        <f t="shared" si="55"/>
        <v>Yes</v>
      </c>
      <c r="J717" s="2">
        <f>IFERROR(VALUE(TRIM(SUBSTITUTE(UPPER([1]RawShipmentData!I717),"KG",""))),"")</f>
        <v>1.4</v>
      </c>
      <c r="K717" s="2">
        <f>VALUE(SUBSTITUTE(SUBSTITUTE(SUBSTITUTE(TRIM([1]RawShipmentData!J724),"₹",""),"Rs",""),",",""))</f>
        <v>169</v>
      </c>
      <c r="L717" s="2">
        <f>[1]RawShipmentData!K724</f>
        <v>8</v>
      </c>
      <c r="M717" s="3">
        <f>IF(TRIM([1]RawShipmentData!L724)="","",IF(ISNUMBER(SEARCH("/",TRIM([1]RawShipmentData!L724))),DATE(VALUE(RIGHT(TRIM([1]RawShipmentData!L724),4)),VALUE(MID(TRIM([1]RawShipmentData!L724),FIND("/",TRIM([1]RawShipmentData!L724))+1,2)),VALUE(LEFT(TRIM([1]RawShipmentData!L724),FIND("/",TRIM([1]RawShipmentData!L724))-1))),DATEVALUE(TRIM([1]RawShipmentData!L724))))</f>
        <v>45365</v>
      </c>
      <c r="N717" s="2">
        <f t="shared" si="56"/>
        <v>7</v>
      </c>
      <c r="O717" s="2">
        <f t="shared" si="57"/>
        <v>-1</v>
      </c>
      <c r="P717" s="2" t="str">
        <f t="shared" si="58"/>
        <v>On Time</v>
      </c>
      <c r="Q717" s="2" t="str">
        <f>PROPER(SUBSTITUTE(TRIM([1]RawShipmentData!M724)," ","-"))</f>
        <v>Delivered</v>
      </c>
      <c r="R717" s="4">
        <f t="shared" si="59"/>
        <v>120.71428571428572</v>
      </c>
      <c r="S717" s="2">
        <f>[1]RawShipmentData!N724</f>
        <v>1</v>
      </c>
      <c r="T717" s="2" t="str">
        <f>IF(OR(UPPER(TRIM([1]RawShipmentData!O724))="YES",UPPER(TRIM([1]RawShipmentData!O724))="Y"),"Yes","No")</f>
        <v>No</v>
      </c>
    </row>
    <row r="718" spans="1:20" x14ac:dyDescent="0.25">
      <c r="A718" s="2" t="str">
        <f>[1]RawShipmentData!A725</f>
        <v>SHP-100548</v>
      </c>
      <c r="B718" s="3">
        <f>IF(ISNUMBER(SEARCH("/",TRIM([1]RawShipmentData!B725))),DATE(VALUE(RIGHT(TRIM([1]RawShipmentData!B725),4)),VALUE(MID(TRIM([1]RawShipmentData!B725),FIND("/",TRIM([1]RawShipmentData!B725))+1,2)),VALUE(LEFT(TRIM([1]RawShipmentData!B725),FIND("/",TRIM([1]RawShipmentData!B725))-1))),DATEVALUE(TRIM([1]RawShipmentData!B725)))</f>
        <v>45457</v>
      </c>
      <c r="C718" s="2" t="str">
        <f>PROPER(TRIM([1]RawShipmentData!C725))</f>
        <v>Hyderabad</v>
      </c>
      <c r="D718" s="2" t="str">
        <f>IFERROR(INDEX([1]HubMaster!$B$2:$B$7,MATCH(C718,[1]HubMaster!$A$2:$A$7,0)),"Unknown")</f>
        <v>West</v>
      </c>
      <c r="E718" s="2" t="str">
        <f>PROPER(TRIM(SUBSTITUTE([1]RawShipmentData!D725,"  "," ")))</f>
        <v>Delhivery</v>
      </c>
      <c r="F718" s="2" t="str">
        <f>PROPER(TRIM([1]RawShipmentData!E725))</f>
        <v>Air</v>
      </c>
      <c r="G718" s="2" t="str">
        <f>PROPER(TRIM(SUBSTITUTE([1]RawShipmentData!F725,"  "," ")))</f>
        <v>Grocery &amp; Fmcg</v>
      </c>
      <c r="H718" s="2" t="str">
        <f>PROPER(TRIM([1]RawShipmentData!G725))</f>
        <v>West</v>
      </c>
      <c r="I718" s="2" t="str">
        <f t="shared" si="55"/>
        <v>No</v>
      </c>
      <c r="J718" s="2">
        <f>IFERROR(VALUE(TRIM(SUBSTITUTE(UPPER([1]RawShipmentData!I718),"KG",""))),"")</f>
        <v>1.5</v>
      </c>
      <c r="K718" s="2">
        <f>VALUE(SUBSTITUTE(SUBSTITUTE(SUBSTITUTE(TRIM([1]RawShipmentData!J725),"₹",""),"Rs",""),",",""))</f>
        <v>469</v>
      </c>
      <c r="L718" s="2">
        <f>[1]RawShipmentData!K725</f>
        <v>2</v>
      </c>
      <c r="M718" s="3">
        <f>IF(TRIM([1]RawShipmentData!L725)="","",IF(ISNUMBER(SEARCH("/",TRIM([1]RawShipmentData!L725))),DATE(VALUE(RIGHT(TRIM([1]RawShipmentData!L725),4)),VALUE(MID(TRIM([1]RawShipmentData!L725),FIND("/",TRIM([1]RawShipmentData!L725))+1,2)),VALUE(LEFT(TRIM([1]RawShipmentData!L725),FIND("/",TRIM([1]RawShipmentData!L725))-1))),DATEVALUE(TRIM([1]RawShipmentData!L725))))</f>
        <v>45460</v>
      </c>
      <c r="N718" s="2">
        <f t="shared" si="56"/>
        <v>3</v>
      </c>
      <c r="O718" s="2">
        <f t="shared" si="57"/>
        <v>1</v>
      </c>
      <c r="P718" s="2" t="str">
        <f t="shared" si="58"/>
        <v>Late</v>
      </c>
      <c r="Q718" s="2" t="str">
        <f>PROPER(SUBSTITUTE(TRIM([1]RawShipmentData!M725)," ","-"))</f>
        <v>Delayed</v>
      </c>
      <c r="R718" s="4">
        <f t="shared" si="59"/>
        <v>312.66666666666669</v>
      </c>
      <c r="S718" s="2">
        <f>[1]RawShipmentData!N725</f>
        <v>1</v>
      </c>
      <c r="T718" s="2" t="str">
        <f>IF(OR(UPPER(TRIM([1]RawShipmentData!O725))="YES",UPPER(TRIM([1]RawShipmentData!O725))="Y"),"Yes","No")</f>
        <v>No</v>
      </c>
    </row>
    <row r="719" spans="1:20" x14ac:dyDescent="0.25">
      <c r="A719" s="2" t="str">
        <f>[1]RawShipmentData!A726</f>
        <v>SHP-100781</v>
      </c>
      <c r="B719" s="3">
        <f>IF(ISNUMBER(SEARCH("/",TRIM([1]RawShipmentData!B726))),DATE(VALUE(RIGHT(TRIM([1]RawShipmentData!B726),4)),VALUE(MID(TRIM([1]RawShipmentData!B726),FIND("/",TRIM([1]RawShipmentData!B726))+1,2)),VALUE(LEFT(TRIM([1]RawShipmentData!B726),FIND("/",TRIM([1]RawShipmentData!B726))-1))),DATEVALUE(TRIM([1]RawShipmentData!B726)))</f>
        <v>45303</v>
      </c>
      <c r="C719" s="2" t="str">
        <f>PROPER(TRIM([1]RawShipmentData!C726))</f>
        <v>Delhi</v>
      </c>
      <c r="D719" s="2" t="str">
        <f>IFERROR(INDEX([1]HubMaster!$B$2:$B$7,MATCH(C719,[1]HubMaster!$A$2:$A$7,0)),"Unknown")</f>
        <v>North</v>
      </c>
      <c r="E719" s="2" t="str">
        <f>PROPER(TRIM(SUBSTITUTE([1]RawShipmentData!D726,"  "," ")))</f>
        <v>Dtdc</v>
      </c>
      <c r="F719" s="2" t="str">
        <f>PROPER(TRIM([1]RawShipmentData!E726))</f>
        <v>Surface</v>
      </c>
      <c r="G719" s="2" t="str">
        <f>PROPER(TRIM(SUBSTITUTE([1]RawShipmentData!F726,"  "," ")))</f>
        <v>Pharma</v>
      </c>
      <c r="H719" s="2" t="str">
        <f>PROPER(TRIM([1]RawShipmentData!G726))</f>
        <v>East</v>
      </c>
      <c r="I719" s="2" t="str">
        <f t="shared" si="55"/>
        <v>Yes</v>
      </c>
      <c r="J719" s="2">
        <f>IFERROR(VALUE(TRIM(SUBSTITUTE(UPPER([1]RawShipmentData!I719),"KG",""))),"")</f>
        <v>2.7</v>
      </c>
      <c r="K719" s="2">
        <f>VALUE(SUBSTITUTE(SUBSTITUTE(SUBSTITUTE(TRIM([1]RawShipmentData!J726),"₹",""),"Rs",""),",",""))</f>
        <v>239</v>
      </c>
      <c r="L719" s="2">
        <f>[1]RawShipmentData!K726</f>
        <v>6</v>
      </c>
      <c r="M719" s="3">
        <f>IF(TRIM([1]RawShipmentData!L726)="","",IF(ISNUMBER(SEARCH("/",TRIM([1]RawShipmentData!L726))),DATE(VALUE(RIGHT(TRIM([1]RawShipmentData!L726),4)),VALUE(MID(TRIM([1]RawShipmentData!L726),FIND("/",TRIM([1]RawShipmentData!L726))+1,2)),VALUE(LEFT(TRIM([1]RawShipmentData!L726),FIND("/",TRIM([1]RawShipmentData!L726))-1))),DATEVALUE(TRIM([1]RawShipmentData!L726))))</f>
        <v>45310</v>
      </c>
      <c r="N719" s="2">
        <f t="shared" si="56"/>
        <v>7</v>
      </c>
      <c r="O719" s="2">
        <f t="shared" si="57"/>
        <v>1</v>
      </c>
      <c r="P719" s="2" t="str">
        <f t="shared" si="58"/>
        <v>Late</v>
      </c>
      <c r="Q719" s="2" t="str">
        <f>PROPER(SUBSTITUTE(TRIM([1]RawShipmentData!M726)," ","-"))</f>
        <v>Delayed</v>
      </c>
      <c r="R719" s="4">
        <f t="shared" si="59"/>
        <v>88.518518518518519</v>
      </c>
      <c r="S719" s="2">
        <f>[1]RawShipmentData!N726</f>
        <v>4</v>
      </c>
      <c r="T719" s="2" t="str">
        <f>IF(OR(UPPER(TRIM([1]RawShipmentData!O726))="YES",UPPER(TRIM([1]RawShipmentData!O726))="Y"),"Yes","No")</f>
        <v>No</v>
      </c>
    </row>
    <row r="720" spans="1:20" x14ac:dyDescent="0.25">
      <c r="A720" s="2" t="str">
        <f>[1]RawShipmentData!A727</f>
        <v>SHP-101477</v>
      </c>
      <c r="B720" s="3">
        <f>IF(ISNUMBER(SEARCH("/",TRIM([1]RawShipmentData!B727))),DATE(VALUE(RIGHT(TRIM([1]RawShipmentData!B727),4)),VALUE(MID(TRIM([1]RawShipmentData!B727),FIND("/",TRIM([1]RawShipmentData!B727))+1,2)),VALUE(LEFT(TRIM([1]RawShipmentData!B727),FIND("/",TRIM([1]RawShipmentData!B727))-1))),DATEVALUE(TRIM([1]RawShipmentData!B727)))</f>
        <v>45386</v>
      </c>
      <c r="C720" s="2" t="str">
        <f>PROPER(TRIM([1]RawShipmentData!C727))</f>
        <v>Hyderabad</v>
      </c>
      <c r="D720" s="2" t="str">
        <f>IFERROR(INDEX([1]HubMaster!$B$2:$B$7,MATCH(C720,[1]HubMaster!$A$2:$A$7,0)),"Unknown")</f>
        <v>West</v>
      </c>
      <c r="E720" s="2" t="str">
        <f>PROPER(TRIM(SUBSTITUTE([1]RawShipmentData!D727,"  "," ")))</f>
        <v>Bluedart</v>
      </c>
      <c r="F720" s="2" t="str">
        <f>PROPER(TRIM([1]RawShipmentData!E727))</f>
        <v>Road</v>
      </c>
      <c r="G720" s="2" t="str">
        <f>PROPER(TRIM(SUBSTITUTE([1]RawShipmentData!F727,"  "," ")))</f>
        <v>Furniture</v>
      </c>
      <c r="H720" s="2" t="str">
        <f>PROPER(TRIM([1]RawShipmentData!G727))</f>
        <v>North</v>
      </c>
      <c r="I720" s="2" t="str">
        <f t="shared" si="55"/>
        <v>Yes</v>
      </c>
      <c r="J720" s="2">
        <f>IFERROR(VALUE(TRIM(SUBSTITUTE(UPPER([1]RawShipmentData!I720),"KG",""))),"")</f>
        <v>17</v>
      </c>
      <c r="K720" s="2">
        <f>VALUE(SUBSTITUTE(SUBSTITUTE(SUBSTITUTE(TRIM([1]RawShipmentData!J727),"₹",""),"Rs",""),",",""))</f>
        <v>1094</v>
      </c>
      <c r="L720" s="2">
        <f>[1]RawShipmentData!K727</f>
        <v>8</v>
      </c>
      <c r="M720" s="3">
        <f>IF(TRIM([1]RawShipmentData!L727)="","",IF(ISNUMBER(SEARCH("/",TRIM([1]RawShipmentData!L727))),DATE(VALUE(RIGHT(TRIM([1]RawShipmentData!L727),4)),VALUE(MID(TRIM([1]RawShipmentData!L727),FIND("/",TRIM([1]RawShipmentData!L727))+1,2)),VALUE(LEFT(TRIM([1]RawShipmentData!L727),FIND("/",TRIM([1]RawShipmentData!L727))-1))),DATEVALUE(TRIM([1]RawShipmentData!L727))))</f>
        <v>45394</v>
      </c>
      <c r="N720" s="2">
        <f t="shared" si="56"/>
        <v>8</v>
      </c>
      <c r="O720" s="2">
        <f t="shared" si="57"/>
        <v>0</v>
      </c>
      <c r="P720" s="2" t="str">
        <f t="shared" si="58"/>
        <v>On Time</v>
      </c>
      <c r="Q720" s="2" t="str">
        <f>PROPER(SUBSTITUTE(TRIM([1]RawShipmentData!M727)," ","-"))</f>
        <v>Delivered</v>
      </c>
      <c r="R720" s="4">
        <f t="shared" si="59"/>
        <v>64.352941176470594</v>
      </c>
      <c r="S720" s="2">
        <f>[1]RawShipmentData!N727</f>
        <v>2</v>
      </c>
      <c r="T720" s="2" t="str">
        <f>IF(OR(UPPER(TRIM([1]RawShipmentData!O727))="YES",UPPER(TRIM([1]RawShipmentData!O727))="Y"),"Yes","No")</f>
        <v>No</v>
      </c>
    </row>
    <row r="721" spans="1:20" x14ac:dyDescent="0.25">
      <c r="A721" s="2" t="str">
        <f>[1]RawShipmentData!A728</f>
        <v>SHP-101310</v>
      </c>
      <c r="B721" s="3">
        <f>IF(ISNUMBER(SEARCH("/",TRIM([1]RawShipmentData!B728))),DATE(VALUE(RIGHT(TRIM([1]RawShipmentData!B728),4)),VALUE(MID(TRIM([1]RawShipmentData!B728),FIND("/",TRIM([1]RawShipmentData!B728))+1,2)),VALUE(LEFT(TRIM([1]RawShipmentData!B728),FIND("/",TRIM([1]RawShipmentData!B728))-1))),DATEVALUE(TRIM([1]RawShipmentData!B728)))</f>
        <v>45433</v>
      </c>
      <c r="C721" s="2" t="str">
        <f>PROPER(TRIM([1]RawShipmentData!C728))</f>
        <v>Bengaluru</v>
      </c>
      <c r="D721" s="2" t="str">
        <f>IFERROR(INDEX([1]HubMaster!$B$2:$B$7,MATCH(C721,[1]HubMaster!$A$2:$A$7,0)),"Unknown")</f>
        <v>South</v>
      </c>
      <c r="E721" s="2" t="str">
        <f>PROPER(TRIM(SUBSTITUTE([1]RawShipmentData!D728,"  "," ")))</f>
        <v>Xpressbees</v>
      </c>
      <c r="F721" s="2" t="str">
        <f>PROPER(TRIM([1]RawShipmentData!E728))</f>
        <v>Air</v>
      </c>
      <c r="G721" s="2" t="str">
        <f>PROPER(TRIM(SUBSTITUTE([1]RawShipmentData!F728,"  "," ")))</f>
        <v>Apparel</v>
      </c>
      <c r="H721" s="2" t="str">
        <f>PROPER(TRIM([1]RawShipmentData!G728))</f>
        <v>West</v>
      </c>
      <c r="I721" s="2" t="str">
        <f t="shared" si="55"/>
        <v>Yes</v>
      </c>
      <c r="J721" s="2">
        <f>IFERROR(VALUE(TRIM(SUBSTITUTE(UPPER([1]RawShipmentData!I721),"KG",""))),"")</f>
        <v>10.7</v>
      </c>
      <c r="K721" s="2">
        <f>VALUE(SUBSTITUTE(SUBSTITUTE(SUBSTITUTE(TRIM([1]RawShipmentData!J728),"₹",""),"Rs",""),",",""))</f>
        <v>434</v>
      </c>
      <c r="L721" s="2">
        <f>[1]RawShipmentData!K728</f>
        <v>4</v>
      </c>
      <c r="M721" s="3">
        <f>IF(TRIM([1]RawShipmentData!L728)="","",IF(ISNUMBER(SEARCH("/",TRIM([1]RawShipmentData!L728))),DATE(VALUE(RIGHT(TRIM([1]RawShipmentData!L728),4)),VALUE(MID(TRIM([1]RawShipmentData!L728),FIND("/",TRIM([1]RawShipmentData!L728))+1,2)),VALUE(LEFT(TRIM([1]RawShipmentData!L728),FIND("/",TRIM([1]RawShipmentData!L728))-1))),DATEVALUE(TRIM([1]RawShipmentData!L728))))</f>
        <v>45440</v>
      </c>
      <c r="N721" s="2">
        <f t="shared" si="56"/>
        <v>7</v>
      </c>
      <c r="O721" s="2">
        <f t="shared" si="57"/>
        <v>3</v>
      </c>
      <c r="P721" s="2" t="str">
        <f t="shared" si="58"/>
        <v>Late</v>
      </c>
      <c r="Q721" s="2" t="str">
        <f>PROPER(SUBSTITUTE(TRIM([1]RawShipmentData!M728)," ","-"))</f>
        <v>Delayed</v>
      </c>
      <c r="R721" s="4">
        <f t="shared" si="59"/>
        <v>40.560747663551403</v>
      </c>
      <c r="S721" s="2">
        <f>[1]RawShipmentData!N728</f>
        <v>1</v>
      </c>
      <c r="T721" s="2" t="str">
        <f>IF(OR(UPPER(TRIM([1]RawShipmentData!O728))="YES",UPPER(TRIM([1]RawShipmentData!O728))="Y"),"Yes","No")</f>
        <v>Yes</v>
      </c>
    </row>
    <row r="722" spans="1:20" x14ac:dyDescent="0.25">
      <c r="A722" s="2" t="str">
        <f>[1]RawShipmentData!A729</f>
        <v>SHP-100027</v>
      </c>
      <c r="B722" s="3">
        <f>IF(ISNUMBER(SEARCH("/",TRIM([1]RawShipmentData!B729))),DATE(VALUE(RIGHT(TRIM([1]RawShipmentData!B729),4)),VALUE(MID(TRIM([1]RawShipmentData!B729),FIND("/",TRIM([1]RawShipmentData!B729))+1,2)),VALUE(LEFT(TRIM([1]RawShipmentData!B729),FIND("/",TRIM([1]RawShipmentData!B729))-1))),DATEVALUE(TRIM([1]RawShipmentData!B729)))</f>
        <v>45300</v>
      </c>
      <c r="C722" s="2" t="str">
        <f>PROPER(TRIM([1]RawShipmentData!C729))</f>
        <v>Mumbai</v>
      </c>
      <c r="D722" s="2" t="str">
        <f>IFERROR(INDEX([1]HubMaster!$B$2:$B$7,MATCH(C722,[1]HubMaster!$A$2:$A$7,0)),"Unknown")</f>
        <v>West</v>
      </c>
      <c r="E722" s="2" t="str">
        <f>PROPER(TRIM(SUBSTITUTE([1]RawShipmentData!D729,"  "," ")))</f>
        <v>Delhivery</v>
      </c>
      <c r="F722" s="2" t="str">
        <f>PROPER(TRIM([1]RawShipmentData!E729))</f>
        <v>Surface</v>
      </c>
      <c r="G722" s="2" t="str">
        <f>PROPER(TRIM(SUBSTITUTE([1]RawShipmentData!F729,"  "," ")))</f>
        <v>Automotive Parts</v>
      </c>
      <c r="H722" s="2" t="str">
        <f>PROPER(TRIM([1]RawShipmentData!G729))</f>
        <v>North</v>
      </c>
      <c r="I722" s="2" t="str">
        <f t="shared" si="55"/>
        <v>Yes</v>
      </c>
      <c r="J722" s="2">
        <f>IFERROR(VALUE(TRIM(SUBSTITUTE(UPPER([1]RawShipmentData!I722),"KG",""))),"")</f>
        <v>3.1</v>
      </c>
      <c r="K722" s="2">
        <f>VALUE(SUBSTITUTE(SUBSTITUTE(SUBSTITUTE(TRIM([1]RawShipmentData!J729),"₹",""),"Rs",""),",",""))</f>
        <v>858</v>
      </c>
      <c r="L722" s="2">
        <f>[1]RawShipmentData!K729</f>
        <v>6</v>
      </c>
      <c r="M722" s="3">
        <f>IF(TRIM([1]RawShipmentData!L729)="","",IF(ISNUMBER(SEARCH("/",TRIM([1]RawShipmentData!L729))),DATE(VALUE(RIGHT(TRIM([1]RawShipmentData!L729),4)),VALUE(MID(TRIM([1]RawShipmentData!L729),FIND("/",TRIM([1]RawShipmentData!L729))+1,2)),VALUE(LEFT(TRIM([1]RawShipmentData!L729),FIND("/",TRIM([1]RawShipmentData!L729))-1))),DATEVALUE(TRIM([1]RawShipmentData!L729))))</f>
        <v>45305</v>
      </c>
      <c r="N722" s="2">
        <f t="shared" si="56"/>
        <v>5</v>
      </c>
      <c r="O722" s="2">
        <f t="shared" si="57"/>
        <v>-1</v>
      </c>
      <c r="P722" s="2" t="str">
        <f t="shared" si="58"/>
        <v>On Time</v>
      </c>
      <c r="Q722" s="2" t="str">
        <f>PROPER(SUBSTITUTE(TRIM([1]RawShipmentData!M729)," ","-"))</f>
        <v>Delivered</v>
      </c>
      <c r="R722" s="4">
        <f t="shared" si="59"/>
        <v>276.77419354838707</v>
      </c>
      <c r="S722" s="2">
        <f>[1]RawShipmentData!N729</f>
        <v>5</v>
      </c>
      <c r="T722" s="2" t="str">
        <f>IF(OR(UPPER(TRIM([1]RawShipmentData!O729))="YES",UPPER(TRIM([1]RawShipmentData!O729))="Y"),"Yes","No")</f>
        <v>Yes</v>
      </c>
    </row>
    <row r="723" spans="1:20" x14ac:dyDescent="0.25">
      <c r="A723" s="2" t="str">
        <f>[1]RawShipmentData!A730</f>
        <v>SHP-101057</v>
      </c>
      <c r="B723" s="3">
        <f>IF(ISNUMBER(SEARCH("/",TRIM([1]RawShipmentData!B730))),DATE(VALUE(RIGHT(TRIM([1]RawShipmentData!B730),4)),VALUE(MID(TRIM([1]RawShipmentData!B730),FIND("/",TRIM([1]RawShipmentData!B730))+1,2)),VALUE(LEFT(TRIM([1]RawShipmentData!B730),FIND("/",TRIM([1]RawShipmentData!B730))-1))),DATEVALUE(TRIM([1]RawShipmentData!B730)))</f>
        <v>45414</v>
      </c>
      <c r="C723" s="2" t="str">
        <f>PROPER(TRIM([1]RawShipmentData!C730))</f>
        <v>Chennai</v>
      </c>
      <c r="D723" s="2" t="str">
        <f>IFERROR(INDEX([1]HubMaster!$B$2:$B$7,MATCH(C723,[1]HubMaster!$A$2:$A$7,0)),"Unknown")</f>
        <v>South</v>
      </c>
      <c r="E723" s="2" t="str">
        <f>PROPER(TRIM(SUBSTITUTE([1]RawShipmentData!D730,"  "," ")))</f>
        <v>Bluedart</v>
      </c>
      <c r="F723" s="2" t="str">
        <f>PROPER(TRIM([1]RawShipmentData!E730))</f>
        <v>Air</v>
      </c>
      <c r="G723" s="2" t="str">
        <f>PROPER(TRIM(SUBSTITUTE([1]RawShipmentData!F730,"  "," ")))</f>
        <v>Grocery &amp; Fmcg</v>
      </c>
      <c r="H723" s="2" t="str">
        <f>PROPER(TRIM([1]RawShipmentData!G730))</f>
        <v>East</v>
      </c>
      <c r="I723" s="2" t="str">
        <f t="shared" si="55"/>
        <v>Yes</v>
      </c>
      <c r="J723" s="2">
        <f>IFERROR(VALUE(TRIM(SUBSTITUTE(UPPER([1]RawShipmentData!I723),"KG",""))),"")</f>
        <v>12.9</v>
      </c>
      <c r="K723" s="2">
        <f>VALUE(SUBSTITUTE(SUBSTITUTE(SUBSTITUTE(TRIM([1]RawShipmentData!J730),"₹",""),"Rs",""),",",""))</f>
        <v>933</v>
      </c>
      <c r="L723" s="2">
        <f>[1]RawShipmentData!K730</f>
        <v>4</v>
      </c>
      <c r="M723" s="3">
        <f>IF(TRIM([1]RawShipmentData!L730)="","",IF(ISNUMBER(SEARCH("/",TRIM([1]RawShipmentData!L730))),DATE(VALUE(RIGHT(TRIM([1]RawShipmentData!L730),4)),VALUE(MID(TRIM([1]RawShipmentData!L730),FIND("/",TRIM([1]RawShipmentData!L730))+1,2)),VALUE(LEFT(TRIM([1]RawShipmentData!L730),FIND("/",TRIM([1]RawShipmentData!L730))-1))),DATEVALUE(TRIM([1]RawShipmentData!L730))))</f>
        <v>45417</v>
      </c>
      <c r="N723" s="2">
        <f t="shared" si="56"/>
        <v>3</v>
      </c>
      <c r="O723" s="2">
        <f t="shared" si="57"/>
        <v>-1</v>
      </c>
      <c r="P723" s="2" t="str">
        <f t="shared" si="58"/>
        <v>On Time</v>
      </c>
      <c r="Q723" s="2" t="str">
        <f>PROPER(SUBSTITUTE(TRIM([1]RawShipmentData!M730)," ","-"))</f>
        <v>Delivered</v>
      </c>
      <c r="R723" s="4">
        <f t="shared" si="59"/>
        <v>72.325581395348834</v>
      </c>
      <c r="S723" s="2">
        <f>[1]RawShipmentData!N730</f>
        <v>4</v>
      </c>
      <c r="T723" s="2" t="str">
        <f>IF(OR(UPPER(TRIM([1]RawShipmentData!O730))="YES",UPPER(TRIM([1]RawShipmentData!O730))="Y"),"Yes","No")</f>
        <v>No</v>
      </c>
    </row>
    <row r="724" spans="1:20" x14ac:dyDescent="0.25">
      <c r="A724" s="2" t="str">
        <f>[1]RawShipmentData!A731</f>
        <v>SHP-100921</v>
      </c>
      <c r="B724" s="3">
        <f>IF(ISNUMBER(SEARCH("/",TRIM([1]RawShipmentData!B731))),DATE(VALUE(RIGHT(TRIM([1]RawShipmentData!B731),4)),VALUE(MID(TRIM([1]RawShipmentData!B731),FIND("/",TRIM([1]RawShipmentData!B731))+1,2)),VALUE(LEFT(TRIM([1]RawShipmentData!B731),FIND("/",TRIM([1]RawShipmentData!B731))-1))),DATEVALUE(TRIM([1]RawShipmentData!B731)))</f>
        <v>45431</v>
      </c>
      <c r="C724" s="2" t="str">
        <f>PROPER(TRIM([1]RawShipmentData!C731))</f>
        <v>Bengaluru</v>
      </c>
      <c r="D724" s="2" t="str">
        <f>IFERROR(INDEX([1]HubMaster!$B$2:$B$7,MATCH(C724,[1]HubMaster!$A$2:$A$7,0)),"Unknown")</f>
        <v>South</v>
      </c>
      <c r="E724" s="2" t="str">
        <f>PROPER(TRIM(SUBSTITUTE([1]RawShipmentData!D731,"  "," ")))</f>
        <v>Ecom Express</v>
      </c>
      <c r="F724" s="2" t="str">
        <f>PROPER(TRIM([1]RawShipmentData!E731))</f>
        <v>Surface</v>
      </c>
      <c r="G724" s="2" t="str">
        <f>PROPER(TRIM(SUBSTITUTE([1]RawShipmentData!F731,"  "," ")))</f>
        <v>Apparel</v>
      </c>
      <c r="H724" s="2" t="str">
        <f>PROPER(TRIM([1]RawShipmentData!G731))</f>
        <v>West</v>
      </c>
      <c r="I724" s="2" t="str">
        <f t="shared" si="55"/>
        <v>Yes</v>
      </c>
      <c r="J724" s="2">
        <f>IFERROR(VALUE(TRIM(SUBSTITUTE(UPPER([1]RawShipmentData!I724),"KG",""))),"")</f>
        <v>3.4</v>
      </c>
      <c r="K724" s="2">
        <f>VALUE(SUBSTITUTE(SUBSTITUTE(SUBSTITUTE(TRIM([1]RawShipmentData!J731),"₹",""),"Rs",""),",",""))</f>
        <v>328</v>
      </c>
      <c r="L724" s="2">
        <f>[1]RawShipmentData!K731</f>
        <v>6</v>
      </c>
      <c r="M724" s="3">
        <f>IF(TRIM([1]RawShipmentData!L731)="","",IF(ISNUMBER(SEARCH("/",TRIM([1]RawShipmentData!L731))),DATE(VALUE(RIGHT(TRIM([1]RawShipmentData!L731),4)),VALUE(MID(TRIM([1]RawShipmentData!L731),FIND("/",TRIM([1]RawShipmentData!L731))+1,2)),VALUE(LEFT(TRIM([1]RawShipmentData!L731),FIND("/",TRIM([1]RawShipmentData!L731))-1))),DATEVALUE(TRIM([1]RawShipmentData!L731))))</f>
        <v>45438</v>
      </c>
      <c r="N724" s="2">
        <f t="shared" si="56"/>
        <v>7</v>
      </c>
      <c r="O724" s="2">
        <f t="shared" si="57"/>
        <v>1</v>
      </c>
      <c r="P724" s="2" t="str">
        <f t="shared" si="58"/>
        <v>Late</v>
      </c>
      <c r="Q724" s="2" t="str">
        <f>PROPER(SUBSTITUTE(TRIM([1]RawShipmentData!M731)," ","-"))</f>
        <v>Delayed</v>
      </c>
      <c r="R724" s="4">
        <f t="shared" si="59"/>
        <v>96.470588235294116</v>
      </c>
      <c r="S724" s="2">
        <f>[1]RawShipmentData!N731</f>
        <v>2</v>
      </c>
      <c r="T724" s="2" t="str">
        <f>IF(OR(UPPER(TRIM([1]RawShipmentData!O731))="YES",UPPER(TRIM([1]RawShipmentData!O731))="Y"),"Yes","No")</f>
        <v>No</v>
      </c>
    </row>
    <row r="725" spans="1:20" x14ac:dyDescent="0.25">
      <c r="A725" s="2" t="str">
        <f>[1]RawShipmentData!A732</f>
        <v>SHP-101050</v>
      </c>
      <c r="B725" s="3">
        <f>IF(ISNUMBER(SEARCH("/",TRIM([1]RawShipmentData!B732))),DATE(VALUE(RIGHT(TRIM([1]RawShipmentData!B732),4)),VALUE(MID(TRIM([1]RawShipmentData!B732),FIND("/",TRIM([1]RawShipmentData!B732))+1,2)),VALUE(LEFT(TRIM([1]RawShipmentData!B732),FIND("/",TRIM([1]RawShipmentData!B732))-1))),DATEVALUE(TRIM([1]RawShipmentData!B732)))</f>
        <v>45432</v>
      </c>
      <c r="C725" s="2" t="str">
        <f>PROPER(TRIM([1]RawShipmentData!C732))</f>
        <v>Delhi</v>
      </c>
      <c r="D725" s="2" t="str">
        <f>IFERROR(INDEX([1]HubMaster!$B$2:$B$7,MATCH(C725,[1]HubMaster!$A$2:$A$7,0)),"Unknown")</f>
        <v>North</v>
      </c>
      <c r="E725" s="2" t="str">
        <f>PROPER(TRIM(SUBSTITUTE([1]RawShipmentData!D732,"  "," ")))</f>
        <v>Dtdc</v>
      </c>
      <c r="F725" s="2" t="str">
        <f>PROPER(TRIM([1]RawShipmentData!E732))</f>
        <v>Air</v>
      </c>
      <c r="G725" s="2" t="str">
        <f>PROPER(TRIM(SUBSTITUTE([1]RawShipmentData!F732,"  "," ")))</f>
        <v>Electronics</v>
      </c>
      <c r="H725" s="2" t="str">
        <f>PROPER(TRIM([1]RawShipmentData!G732))</f>
        <v>West</v>
      </c>
      <c r="I725" s="2" t="str">
        <f t="shared" si="55"/>
        <v>Yes</v>
      </c>
      <c r="J725" s="2">
        <f>IFERROR(VALUE(TRIM(SUBSTITUTE(UPPER([1]RawShipmentData!I725),"KG",""))),"")</f>
        <v>9.1999999999999993</v>
      </c>
      <c r="K725" s="2">
        <f>VALUE(SUBSTITUTE(SUBSTITUTE(SUBSTITUTE(TRIM([1]RawShipmentData!J732),"₹",""),"Rs",""),",",""))</f>
        <v>594</v>
      </c>
      <c r="L725" s="2">
        <f>[1]RawShipmentData!K732</f>
        <v>4</v>
      </c>
      <c r="M725" s="3">
        <f>IF(TRIM([1]RawShipmentData!L732)="","",IF(ISNUMBER(SEARCH("/",TRIM([1]RawShipmentData!L732))),DATE(VALUE(RIGHT(TRIM([1]RawShipmentData!L732),4)),VALUE(MID(TRIM([1]RawShipmentData!L732),FIND("/",TRIM([1]RawShipmentData!L732))+1,2)),VALUE(LEFT(TRIM([1]RawShipmentData!L732),FIND("/",TRIM([1]RawShipmentData!L732))-1))),DATEVALUE(TRIM([1]RawShipmentData!L732))))</f>
        <v>45437</v>
      </c>
      <c r="N725" s="2">
        <f t="shared" si="56"/>
        <v>5</v>
      </c>
      <c r="O725" s="2">
        <f t="shared" si="57"/>
        <v>1</v>
      </c>
      <c r="P725" s="2" t="str">
        <f t="shared" si="58"/>
        <v>Late</v>
      </c>
      <c r="Q725" s="2" t="str">
        <f>PROPER(SUBSTITUTE(TRIM([1]RawShipmentData!M732)," ","-"))</f>
        <v>Delayed</v>
      </c>
      <c r="R725" s="4">
        <f t="shared" si="59"/>
        <v>64.565217391304358</v>
      </c>
      <c r="S725" s="2">
        <f>[1]RawShipmentData!N732</f>
        <v>2</v>
      </c>
      <c r="T725" s="2" t="str">
        <f>IF(OR(UPPER(TRIM([1]RawShipmentData!O732))="YES",UPPER(TRIM([1]RawShipmentData!O732))="Y"),"Yes","No")</f>
        <v>No</v>
      </c>
    </row>
    <row r="726" spans="1:20" x14ac:dyDescent="0.25">
      <c r="A726" s="2" t="str">
        <f>[1]RawShipmentData!A733</f>
        <v>SHP-100878</v>
      </c>
      <c r="B726" s="3">
        <f>IF(ISNUMBER(SEARCH("/",TRIM([1]RawShipmentData!B733))),DATE(VALUE(RIGHT(TRIM([1]RawShipmentData!B733),4)),VALUE(MID(TRIM([1]RawShipmentData!B733),FIND("/",TRIM([1]RawShipmentData!B733))+1,2)),VALUE(LEFT(TRIM([1]RawShipmentData!B733),FIND("/",TRIM([1]RawShipmentData!B733))-1))),DATEVALUE(TRIM([1]RawShipmentData!B733)))</f>
        <v>45367</v>
      </c>
      <c r="C726" s="2" t="str">
        <f>PROPER(TRIM([1]RawShipmentData!C733))</f>
        <v>Bengaluru</v>
      </c>
      <c r="D726" s="2" t="str">
        <f>IFERROR(INDEX([1]HubMaster!$B$2:$B$7,MATCH(C726,[1]HubMaster!$A$2:$A$7,0)),"Unknown")</f>
        <v>South</v>
      </c>
      <c r="E726" s="2" t="str">
        <f>PROPER(TRIM(SUBSTITUTE([1]RawShipmentData!D733,"  "," ")))</f>
        <v>Bluedart</v>
      </c>
      <c r="F726" s="2" t="str">
        <f>PROPER(TRIM([1]RawShipmentData!E733))</f>
        <v>Road</v>
      </c>
      <c r="G726" s="2" t="str">
        <f>PROPER(TRIM(SUBSTITUTE([1]RawShipmentData!F733,"  "," ")))</f>
        <v>Automotive Parts</v>
      </c>
      <c r="H726" s="2" t="str">
        <f>PROPER(TRIM([1]RawShipmentData!G733))</f>
        <v>South</v>
      </c>
      <c r="I726" s="2" t="str">
        <f t="shared" si="55"/>
        <v>No</v>
      </c>
      <c r="J726" s="2">
        <f>IFERROR(VALUE(TRIM(SUBSTITUTE(UPPER([1]RawShipmentData!I726),"KG",""))),"")</f>
        <v>3.3</v>
      </c>
      <c r="K726" s="2">
        <f>VALUE(SUBSTITUTE(SUBSTITUTE(SUBSTITUTE(TRIM([1]RawShipmentData!J733),"₹",""),"Rs",""),",",""))</f>
        <v>303</v>
      </c>
      <c r="L726" s="2">
        <f>[1]RawShipmentData!K733</f>
        <v>6</v>
      </c>
      <c r="M726" s="3">
        <f>IF(TRIM([1]RawShipmentData!L733)="","",IF(ISNUMBER(SEARCH("/",TRIM([1]RawShipmentData!L733))),DATE(VALUE(RIGHT(TRIM([1]RawShipmentData!L733),4)),VALUE(MID(TRIM([1]RawShipmentData!L733),FIND("/",TRIM([1]RawShipmentData!L733))+1,2)),VALUE(LEFT(TRIM([1]RawShipmentData!L733),FIND("/",TRIM([1]RawShipmentData!L733))-1))),DATEVALUE(TRIM([1]RawShipmentData!L733))))</f>
        <v>45372</v>
      </c>
      <c r="N726" s="2">
        <f t="shared" si="56"/>
        <v>5</v>
      </c>
      <c r="O726" s="2">
        <f t="shared" si="57"/>
        <v>-1</v>
      </c>
      <c r="P726" s="2" t="str">
        <f t="shared" si="58"/>
        <v>On Time</v>
      </c>
      <c r="Q726" s="2" t="str">
        <f>PROPER(SUBSTITUTE(TRIM([1]RawShipmentData!M733)," ","-"))</f>
        <v>Delivered</v>
      </c>
      <c r="R726" s="4">
        <f t="shared" si="59"/>
        <v>91.818181818181827</v>
      </c>
      <c r="S726" s="2">
        <f>[1]RawShipmentData!N733</f>
        <v>5</v>
      </c>
      <c r="T726" s="2" t="str">
        <f>IF(OR(UPPER(TRIM([1]RawShipmentData!O733))="YES",UPPER(TRIM([1]RawShipmentData!O733))="Y"),"Yes","No")</f>
        <v>Yes</v>
      </c>
    </row>
    <row r="727" spans="1:20" x14ac:dyDescent="0.25">
      <c r="A727" s="2" t="str">
        <f>[1]RawShipmentData!A734</f>
        <v>SHP-101412</v>
      </c>
      <c r="B727" s="3">
        <f>IF(ISNUMBER(SEARCH("/",TRIM([1]RawShipmentData!B734))),DATE(VALUE(RIGHT(TRIM([1]RawShipmentData!B734),4)),VALUE(MID(TRIM([1]RawShipmentData!B734),FIND("/",TRIM([1]RawShipmentData!B734))+1,2)),VALUE(LEFT(TRIM([1]RawShipmentData!B734),FIND("/",TRIM([1]RawShipmentData!B734))-1))),DATEVALUE(TRIM([1]RawShipmentData!B734)))</f>
        <v>45295</v>
      </c>
      <c r="C727" s="2" t="str">
        <f>PROPER(TRIM([1]RawShipmentData!C734))</f>
        <v>Hyderabad</v>
      </c>
      <c r="D727" s="2" t="str">
        <f>IFERROR(INDEX([1]HubMaster!$B$2:$B$7,MATCH(C727,[1]HubMaster!$A$2:$A$7,0)),"Unknown")</f>
        <v>West</v>
      </c>
      <c r="E727" s="2" t="str">
        <f>PROPER(TRIM(SUBSTITUTE([1]RawShipmentData!D734,"  "," ")))</f>
        <v>Dtdc</v>
      </c>
      <c r="F727" s="2" t="str">
        <f>PROPER(TRIM([1]RawShipmentData!E734))</f>
        <v>Air</v>
      </c>
      <c r="G727" s="2" t="str">
        <f>PROPER(TRIM(SUBSTITUTE([1]RawShipmentData!F734,"  "," ")))</f>
        <v>Automotive Parts</v>
      </c>
      <c r="H727" s="2" t="str">
        <f>PROPER(TRIM([1]RawShipmentData!G734))</f>
        <v>West</v>
      </c>
      <c r="I727" s="2" t="str">
        <f t="shared" si="55"/>
        <v>No</v>
      </c>
      <c r="J727" s="2">
        <f>IFERROR(VALUE(TRIM(SUBSTITUTE(UPPER([1]RawShipmentData!I727),"KG",""))),"")</f>
        <v>66.2</v>
      </c>
      <c r="K727" s="2">
        <f>VALUE(SUBSTITUTE(SUBSTITUTE(SUBSTITUTE(TRIM([1]RawShipmentData!J734),"₹",""),"Rs",""),",",""))</f>
        <v>512</v>
      </c>
      <c r="L727" s="2">
        <f>[1]RawShipmentData!K734</f>
        <v>2</v>
      </c>
      <c r="M727" s="3">
        <f>IF(TRIM([1]RawShipmentData!L734)="","",IF(ISNUMBER(SEARCH("/",TRIM([1]RawShipmentData!L734))),DATE(VALUE(RIGHT(TRIM([1]RawShipmentData!L734),4)),VALUE(MID(TRIM([1]RawShipmentData!L734),FIND("/",TRIM([1]RawShipmentData!L734))+1,2)),VALUE(LEFT(TRIM([1]RawShipmentData!L734),FIND("/",TRIM([1]RawShipmentData!L734))-1))),DATEVALUE(TRIM([1]RawShipmentData!L734))))</f>
        <v>45297</v>
      </c>
      <c r="N727" s="2">
        <f t="shared" si="56"/>
        <v>2</v>
      </c>
      <c r="O727" s="2">
        <f t="shared" si="57"/>
        <v>0</v>
      </c>
      <c r="P727" s="2" t="str">
        <f t="shared" si="58"/>
        <v>On Time</v>
      </c>
      <c r="Q727" s="2" t="str">
        <f>PROPER(SUBSTITUTE(TRIM([1]RawShipmentData!M734)," ","-"))</f>
        <v>Delivered</v>
      </c>
      <c r="R727" s="4">
        <f t="shared" si="59"/>
        <v>7.7341389728096672</v>
      </c>
      <c r="S727" s="2">
        <f>[1]RawShipmentData!N734</f>
        <v>5</v>
      </c>
      <c r="T727" s="2" t="str">
        <f>IF(OR(UPPER(TRIM([1]RawShipmentData!O734))="YES",UPPER(TRIM([1]RawShipmentData!O734))="Y"),"Yes","No")</f>
        <v>No</v>
      </c>
    </row>
    <row r="728" spans="1:20" x14ac:dyDescent="0.25">
      <c r="A728" s="2" t="str">
        <f>[1]RawShipmentData!A735</f>
        <v>SHP-100695</v>
      </c>
      <c r="B728" s="3">
        <f>IF(ISNUMBER(SEARCH("/",TRIM([1]RawShipmentData!B735))),DATE(VALUE(RIGHT(TRIM([1]RawShipmentData!B735),4)),VALUE(MID(TRIM([1]RawShipmentData!B735),FIND("/",TRIM([1]RawShipmentData!B735))+1,2)),VALUE(LEFT(TRIM([1]RawShipmentData!B735),FIND("/",TRIM([1]RawShipmentData!B735))-1))),DATEVALUE(TRIM([1]RawShipmentData!B735)))</f>
        <v>45391</v>
      </c>
      <c r="C728" s="2" t="str">
        <f>PROPER(TRIM([1]RawShipmentData!C735))</f>
        <v>Kolkata</v>
      </c>
      <c r="D728" s="2" t="str">
        <f>IFERROR(INDEX([1]HubMaster!$B$2:$B$7,MATCH(C728,[1]HubMaster!$A$2:$A$7,0)),"Unknown")</f>
        <v>East</v>
      </c>
      <c r="E728" s="2" t="str">
        <f>PROPER(TRIM(SUBSTITUTE([1]RawShipmentData!D735,"  "," ")))</f>
        <v>Dtdc</v>
      </c>
      <c r="F728" s="2" t="str">
        <f>PROPER(TRIM([1]RawShipmentData!E735))</f>
        <v>Air</v>
      </c>
      <c r="G728" s="2" t="str">
        <f>PROPER(TRIM(SUBSTITUTE([1]RawShipmentData!F735,"  "," ")))</f>
        <v>Grocery &amp; Fmcg</v>
      </c>
      <c r="H728" s="2" t="str">
        <f>PROPER(TRIM([1]RawShipmentData!G735))</f>
        <v>South</v>
      </c>
      <c r="I728" s="2" t="str">
        <f t="shared" si="55"/>
        <v>Yes</v>
      </c>
      <c r="J728" s="2">
        <f>IFERROR(VALUE(TRIM(SUBSTITUTE(UPPER([1]RawShipmentData!I728),"KG",""))),"")</f>
        <v>5.9</v>
      </c>
      <c r="K728" s="2">
        <f>VALUE(SUBSTITUTE(SUBSTITUTE(SUBSTITUTE(TRIM([1]RawShipmentData!J735),"₹",""),"Rs",""),",",""))</f>
        <v>621</v>
      </c>
      <c r="L728" s="2">
        <f>[1]RawShipmentData!K735</f>
        <v>4</v>
      </c>
      <c r="M728" s="3">
        <f>IF(TRIM([1]RawShipmentData!L735)="","",IF(ISNUMBER(SEARCH("/",TRIM([1]RawShipmentData!L735))),DATE(VALUE(RIGHT(TRIM([1]RawShipmentData!L735),4)),VALUE(MID(TRIM([1]RawShipmentData!L735),FIND("/",TRIM([1]RawShipmentData!L735))+1,2)),VALUE(LEFT(TRIM([1]RawShipmentData!L735),FIND("/",TRIM([1]RawShipmentData!L735))-1))),DATEVALUE(TRIM([1]RawShipmentData!L735))))</f>
        <v>45396</v>
      </c>
      <c r="N728" s="2">
        <f t="shared" si="56"/>
        <v>5</v>
      </c>
      <c r="O728" s="2">
        <f t="shared" si="57"/>
        <v>1</v>
      </c>
      <c r="P728" s="2" t="str">
        <f t="shared" si="58"/>
        <v>Late</v>
      </c>
      <c r="Q728" s="2" t="str">
        <f>PROPER(SUBSTITUTE(TRIM([1]RawShipmentData!M735)," ","-"))</f>
        <v>Delayed</v>
      </c>
      <c r="R728" s="4">
        <f t="shared" si="59"/>
        <v>105.25423728813558</v>
      </c>
      <c r="S728" s="2">
        <f>[1]RawShipmentData!N735</f>
        <v>1</v>
      </c>
      <c r="T728" s="2" t="str">
        <f>IF(OR(UPPER(TRIM([1]RawShipmentData!O735))="YES",UPPER(TRIM([1]RawShipmentData!O735))="Y"),"Yes","No")</f>
        <v>Yes</v>
      </c>
    </row>
    <row r="729" spans="1:20" x14ac:dyDescent="0.25">
      <c r="A729" s="2" t="str">
        <f>[1]RawShipmentData!A736</f>
        <v>SHP-100509</v>
      </c>
      <c r="B729" s="3">
        <f>IF(ISNUMBER(SEARCH("/",TRIM([1]RawShipmentData!B736))),DATE(VALUE(RIGHT(TRIM([1]RawShipmentData!B736),4)),VALUE(MID(TRIM([1]RawShipmentData!B736),FIND("/",TRIM([1]RawShipmentData!B736))+1,2)),VALUE(LEFT(TRIM([1]RawShipmentData!B736),FIND("/",TRIM([1]RawShipmentData!B736))-1))),DATEVALUE(TRIM([1]RawShipmentData!B736)))</f>
        <v>45371</v>
      </c>
      <c r="C729" s="2" t="str">
        <f>PROPER(TRIM([1]RawShipmentData!C736))</f>
        <v>Hyderabad</v>
      </c>
      <c r="D729" s="2" t="str">
        <f>IFERROR(INDEX([1]HubMaster!$B$2:$B$7,MATCH(C729,[1]HubMaster!$A$2:$A$7,0)),"Unknown")</f>
        <v>West</v>
      </c>
      <c r="E729" s="2" t="str">
        <f>PROPER(TRIM(SUBSTITUTE([1]RawShipmentData!D736,"  "," ")))</f>
        <v>Dtdc</v>
      </c>
      <c r="F729" s="2" t="str">
        <f>PROPER(TRIM([1]RawShipmentData!E736))</f>
        <v>Surface</v>
      </c>
      <c r="G729" s="2" t="str">
        <f>PROPER(TRIM(SUBSTITUTE([1]RawShipmentData!F736,"  "," ")))</f>
        <v>Automotive Parts</v>
      </c>
      <c r="H729" s="2" t="str">
        <f>PROPER(TRIM([1]RawShipmentData!G736))</f>
        <v>East</v>
      </c>
      <c r="I729" s="2" t="str">
        <f t="shared" si="55"/>
        <v>Yes</v>
      </c>
      <c r="J729" s="2">
        <f>IFERROR(VALUE(TRIM(SUBSTITUTE(UPPER([1]RawShipmentData!I729),"KG",""))),"")</f>
        <v>30.3</v>
      </c>
      <c r="K729" s="2">
        <f>VALUE(SUBSTITUTE(SUBSTITUTE(SUBSTITUTE(TRIM([1]RawShipmentData!J736),"₹",""),"Rs",""),",",""))</f>
        <v>323</v>
      </c>
      <c r="L729" s="2">
        <f>[1]RawShipmentData!K736</f>
        <v>6</v>
      </c>
      <c r="M729" s="3">
        <f>IF(TRIM([1]RawShipmentData!L736)="","",IF(ISNUMBER(SEARCH("/",TRIM([1]RawShipmentData!L736))),DATE(VALUE(RIGHT(TRIM([1]RawShipmentData!L736),4)),VALUE(MID(TRIM([1]RawShipmentData!L736),FIND("/",TRIM([1]RawShipmentData!L736))+1,2)),VALUE(LEFT(TRIM([1]RawShipmentData!L736),FIND("/",TRIM([1]RawShipmentData!L736))-1))),DATEVALUE(TRIM([1]RawShipmentData!L736))))</f>
        <v>45377</v>
      </c>
      <c r="N729" s="2">
        <f t="shared" si="56"/>
        <v>6</v>
      </c>
      <c r="O729" s="2">
        <f t="shared" si="57"/>
        <v>0</v>
      </c>
      <c r="P729" s="2" t="str">
        <f t="shared" si="58"/>
        <v>On Time</v>
      </c>
      <c r="Q729" s="2" t="str">
        <f>PROPER(SUBSTITUTE(TRIM([1]RawShipmentData!M736)," ","-"))</f>
        <v>Delivered</v>
      </c>
      <c r="R729" s="4">
        <f t="shared" si="59"/>
        <v>10.66006600660066</v>
      </c>
      <c r="S729" s="2">
        <f>[1]RawShipmentData!N736</f>
        <v>5</v>
      </c>
      <c r="T729" s="2" t="str">
        <f>IF(OR(UPPER(TRIM([1]RawShipmentData!O736))="YES",UPPER(TRIM([1]RawShipmentData!O736))="Y"),"Yes","No")</f>
        <v>No</v>
      </c>
    </row>
    <row r="730" spans="1:20" x14ac:dyDescent="0.25">
      <c r="A730" s="2" t="str">
        <f>[1]RawShipmentData!A737</f>
        <v>SHP-100801</v>
      </c>
      <c r="B730" s="3">
        <f>IF(ISNUMBER(SEARCH("/",TRIM([1]RawShipmentData!B737))),DATE(VALUE(RIGHT(TRIM([1]RawShipmentData!B737),4)),VALUE(MID(TRIM([1]RawShipmentData!B737),FIND("/",TRIM([1]RawShipmentData!B737))+1,2)),VALUE(LEFT(TRIM([1]RawShipmentData!B737),FIND("/",TRIM([1]RawShipmentData!B737))-1))),DATEVALUE(TRIM([1]RawShipmentData!B737)))</f>
        <v>45414</v>
      </c>
      <c r="C730" s="2" t="str">
        <f>PROPER(TRIM([1]RawShipmentData!C737))</f>
        <v>Chennai</v>
      </c>
      <c r="D730" s="2" t="str">
        <f>IFERROR(INDEX([1]HubMaster!$B$2:$B$7,MATCH(C730,[1]HubMaster!$A$2:$A$7,0)),"Unknown")</f>
        <v>South</v>
      </c>
      <c r="E730" s="2" t="str">
        <f>PROPER(TRIM(SUBSTITUTE([1]RawShipmentData!D737,"  "," ")))</f>
        <v>Dtdc</v>
      </c>
      <c r="F730" s="2" t="str">
        <f>PROPER(TRIM([1]RawShipmentData!E737))</f>
        <v>Road</v>
      </c>
      <c r="G730" s="2" t="str">
        <f>PROPER(TRIM(SUBSTITUTE([1]RawShipmentData!F737,"  "," ")))</f>
        <v>Automotive Parts</v>
      </c>
      <c r="H730" s="2" t="str">
        <f>PROPER(TRIM([1]RawShipmentData!G737))</f>
        <v>North</v>
      </c>
      <c r="I730" s="2" t="str">
        <f t="shared" si="55"/>
        <v>Yes</v>
      </c>
      <c r="J730" s="2">
        <f>IFERROR(VALUE(TRIM(SUBSTITUTE(UPPER([1]RawShipmentData!I730),"KG",""))),"")</f>
        <v>16.600000000000001</v>
      </c>
      <c r="K730" s="2">
        <f>VALUE(SUBSTITUTE(SUBSTITUTE(SUBSTITUTE(TRIM([1]RawShipmentData!J737),"₹",""),"Rs",""),",",""))</f>
        <v>610</v>
      </c>
      <c r="L730" s="2">
        <f>[1]RawShipmentData!K737</f>
        <v>8</v>
      </c>
      <c r="M730" s="3">
        <f>IF(TRIM([1]RawShipmentData!L737)="","",IF(ISNUMBER(SEARCH("/",TRIM([1]RawShipmentData!L737))),DATE(VALUE(RIGHT(TRIM([1]RawShipmentData!L737),4)),VALUE(MID(TRIM([1]RawShipmentData!L737),FIND("/",TRIM([1]RawShipmentData!L737))+1,2)),VALUE(LEFT(TRIM([1]RawShipmentData!L737),FIND("/",TRIM([1]RawShipmentData!L737))-1))),DATEVALUE(TRIM([1]RawShipmentData!L737))))</f>
        <v>45422</v>
      </c>
      <c r="N730" s="2">
        <f t="shared" si="56"/>
        <v>8</v>
      </c>
      <c r="O730" s="2">
        <f t="shared" si="57"/>
        <v>0</v>
      </c>
      <c r="P730" s="2" t="str">
        <f t="shared" si="58"/>
        <v>On Time</v>
      </c>
      <c r="Q730" s="2" t="str">
        <f>PROPER(SUBSTITUTE(TRIM([1]RawShipmentData!M737)," ","-"))</f>
        <v>Delivered</v>
      </c>
      <c r="R730" s="4">
        <f t="shared" si="59"/>
        <v>36.746987951807228</v>
      </c>
      <c r="S730" s="2">
        <f>[1]RawShipmentData!N737</f>
        <v>3</v>
      </c>
      <c r="T730" s="2" t="str">
        <f>IF(OR(UPPER(TRIM([1]RawShipmentData!O737))="YES",UPPER(TRIM([1]RawShipmentData!O737))="Y"),"Yes","No")</f>
        <v>No</v>
      </c>
    </row>
    <row r="731" spans="1:20" x14ac:dyDescent="0.25">
      <c r="A731" s="2" t="str">
        <f>[1]RawShipmentData!A738</f>
        <v>SHP-101433</v>
      </c>
      <c r="B731" s="3">
        <f>IF(ISNUMBER(SEARCH("/",TRIM([1]RawShipmentData!B738))),DATE(VALUE(RIGHT(TRIM([1]RawShipmentData!B738),4)),VALUE(MID(TRIM([1]RawShipmentData!B738),FIND("/",TRIM([1]RawShipmentData!B738))+1,2)),VALUE(LEFT(TRIM([1]RawShipmentData!B738),FIND("/",TRIM([1]RawShipmentData!B738))-1))),DATEVALUE(TRIM([1]RawShipmentData!B738)))</f>
        <v>45365</v>
      </c>
      <c r="C731" s="2" t="str">
        <f>PROPER(TRIM([1]RawShipmentData!C738))</f>
        <v>Kolkata</v>
      </c>
      <c r="D731" s="2" t="str">
        <f>IFERROR(INDEX([1]HubMaster!$B$2:$B$7,MATCH(C731,[1]HubMaster!$A$2:$A$7,0)),"Unknown")</f>
        <v>East</v>
      </c>
      <c r="E731" s="2" t="str">
        <f>PROPER(TRIM(SUBSTITUTE([1]RawShipmentData!D738,"  "," ")))</f>
        <v>Delhivery</v>
      </c>
      <c r="F731" s="2" t="str">
        <f>PROPER(TRIM([1]RawShipmentData!E738))</f>
        <v>Road</v>
      </c>
      <c r="G731" s="2" t="str">
        <f>PROPER(TRIM(SUBSTITUTE([1]RawShipmentData!F738,"  "," ")))</f>
        <v>Pharma</v>
      </c>
      <c r="H731" s="2" t="str">
        <f>PROPER(TRIM([1]RawShipmentData!G738))</f>
        <v>West</v>
      </c>
      <c r="I731" s="2" t="str">
        <f t="shared" si="55"/>
        <v>Yes</v>
      </c>
      <c r="J731" s="2">
        <f>IFERROR(VALUE(TRIM(SUBSTITUTE(UPPER([1]RawShipmentData!I731),"KG",""))),"")</f>
        <v>7.6</v>
      </c>
      <c r="K731" s="2">
        <f>VALUE(SUBSTITUTE(SUBSTITUTE(SUBSTITUTE(TRIM([1]RawShipmentData!J738),"₹",""),"Rs",""),",",""))</f>
        <v>271</v>
      </c>
      <c r="L731" s="2">
        <f>[1]RawShipmentData!K738</f>
        <v>8</v>
      </c>
      <c r="M731" s="3">
        <f>IF(TRIM([1]RawShipmentData!L738)="","",IF(ISNUMBER(SEARCH("/",TRIM([1]RawShipmentData!L738))),DATE(VALUE(RIGHT(TRIM([1]RawShipmentData!L738),4)),VALUE(MID(TRIM([1]RawShipmentData!L738),FIND("/",TRIM([1]RawShipmentData!L738))+1,2)),VALUE(LEFT(TRIM([1]RawShipmentData!L738),FIND("/",TRIM([1]RawShipmentData!L738))-1))),DATEVALUE(TRIM([1]RawShipmentData!L738))))</f>
        <v>45372</v>
      </c>
      <c r="N731" s="2">
        <f t="shared" si="56"/>
        <v>7</v>
      </c>
      <c r="O731" s="2">
        <f t="shared" si="57"/>
        <v>-1</v>
      </c>
      <c r="P731" s="2" t="str">
        <f t="shared" si="58"/>
        <v>On Time</v>
      </c>
      <c r="Q731" s="2" t="str">
        <f>PROPER(SUBSTITUTE(TRIM([1]RawShipmentData!M738)," ","-"))</f>
        <v>Delivered</v>
      </c>
      <c r="R731" s="4">
        <f t="shared" si="59"/>
        <v>35.65789473684211</v>
      </c>
      <c r="S731" s="2">
        <f>[1]RawShipmentData!N738</f>
        <v>3</v>
      </c>
      <c r="T731" s="2" t="str">
        <f>IF(OR(UPPER(TRIM([1]RawShipmentData!O738))="YES",UPPER(TRIM([1]RawShipmentData!O738))="Y"),"Yes","No")</f>
        <v>Yes</v>
      </c>
    </row>
    <row r="732" spans="1:20" x14ac:dyDescent="0.25">
      <c r="A732" s="2" t="str">
        <f>[1]RawShipmentData!A739</f>
        <v>SHP-100865</v>
      </c>
      <c r="B732" s="3">
        <f>IF(ISNUMBER(SEARCH("/",TRIM([1]RawShipmentData!B739))),DATE(VALUE(RIGHT(TRIM([1]RawShipmentData!B739),4)),VALUE(MID(TRIM([1]RawShipmentData!B739),FIND("/",TRIM([1]RawShipmentData!B739))+1,2)),VALUE(LEFT(TRIM([1]RawShipmentData!B739),FIND("/",TRIM([1]RawShipmentData!B739))-1))),DATEVALUE(TRIM([1]RawShipmentData!B739)))</f>
        <v>45433</v>
      </c>
      <c r="C732" s="2" t="str">
        <f>PROPER(TRIM([1]RawShipmentData!C739))</f>
        <v>Hyderabad</v>
      </c>
      <c r="D732" s="2" t="str">
        <f>IFERROR(INDEX([1]HubMaster!$B$2:$B$7,MATCH(C732,[1]HubMaster!$A$2:$A$7,0)),"Unknown")</f>
        <v>West</v>
      </c>
      <c r="E732" s="2" t="str">
        <f>PROPER(TRIM(SUBSTITUTE([1]RawShipmentData!D739,"  "," ")))</f>
        <v>Xpressbees</v>
      </c>
      <c r="F732" s="2" t="str">
        <f>PROPER(TRIM([1]RawShipmentData!E739))</f>
        <v>Air</v>
      </c>
      <c r="G732" s="2" t="str">
        <f>PROPER(TRIM(SUBSTITUTE([1]RawShipmentData!F739,"  "," ")))</f>
        <v>Pharma</v>
      </c>
      <c r="H732" s="2" t="str">
        <f>PROPER(TRIM([1]RawShipmentData!G739))</f>
        <v>North</v>
      </c>
      <c r="I732" s="2" t="str">
        <f t="shared" si="55"/>
        <v>Yes</v>
      </c>
      <c r="J732" s="2">
        <f>IFERROR(VALUE(TRIM(SUBSTITUTE(UPPER([1]RawShipmentData!I732),"KG",""))),"")</f>
        <v>9.8000000000000007</v>
      </c>
      <c r="K732" s="2">
        <f>VALUE(SUBSTITUTE(SUBSTITUTE(SUBSTITUTE(TRIM([1]RawShipmentData!J739),"₹",""),"Rs",""),",",""))</f>
        <v>335</v>
      </c>
      <c r="L732" s="2">
        <f>[1]RawShipmentData!K739</f>
        <v>4</v>
      </c>
      <c r="M732" s="3">
        <f>IF(TRIM([1]RawShipmentData!L739)="","",IF(ISNUMBER(SEARCH("/",TRIM([1]RawShipmentData!L739))),DATE(VALUE(RIGHT(TRIM([1]RawShipmentData!L739),4)),VALUE(MID(TRIM([1]RawShipmentData!L739),FIND("/",TRIM([1]RawShipmentData!L739))+1,2)),VALUE(LEFT(TRIM([1]RawShipmentData!L739),FIND("/",TRIM([1]RawShipmentData!L739))-1))),DATEVALUE(TRIM([1]RawShipmentData!L739))))</f>
        <v>45437</v>
      </c>
      <c r="N732" s="2">
        <f t="shared" si="56"/>
        <v>4</v>
      </c>
      <c r="O732" s="2">
        <f t="shared" si="57"/>
        <v>0</v>
      </c>
      <c r="P732" s="2" t="str">
        <f t="shared" si="58"/>
        <v>On Time</v>
      </c>
      <c r="Q732" s="2" t="str">
        <f>PROPER(SUBSTITUTE(TRIM([1]RawShipmentData!M739)," ","-"))</f>
        <v>Delivered</v>
      </c>
      <c r="R732" s="4">
        <f t="shared" si="59"/>
        <v>34.183673469387756</v>
      </c>
      <c r="S732" s="2">
        <f>[1]RawShipmentData!N739</f>
        <v>5</v>
      </c>
      <c r="T732" s="2" t="str">
        <f>IF(OR(UPPER(TRIM([1]RawShipmentData!O739))="YES",UPPER(TRIM([1]RawShipmentData!O739))="Y"),"Yes","No")</f>
        <v>No</v>
      </c>
    </row>
    <row r="733" spans="1:20" x14ac:dyDescent="0.25">
      <c r="A733" s="2" t="str">
        <f>[1]RawShipmentData!A740</f>
        <v>SHP-100853</v>
      </c>
      <c r="B733" s="3">
        <f>IF(ISNUMBER(SEARCH("/",TRIM([1]RawShipmentData!B740))),DATE(VALUE(RIGHT(TRIM([1]RawShipmentData!B740),4)),VALUE(MID(TRIM([1]RawShipmentData!B740),FIND("/",TRIM([1]RawShipmentData!B740))+1,2)),VALUE(LEFT(TRIM([1]RawShipmentData!B740),FIND("/",TRIM([1]RawShipmentData!B740))-1))),DATEVALUE(TRIM([1]RawShipmentData!B740)))</f>
        <v>45334</v>
      </c>
      <c r="C733" s="2" t="str">
        <f>PROPER(TRIM([1]RawShipmentData!C740))</f>
        <v>Chennai</v>
      </c>
      <c r="D733" s="2" t="str">
        <f>IFERROR(INDEX([1]HubMaster!$B$2:$B$7,MATCH(C733,[1]HubMaster!$A$2:$A$7,0)),"Unknown")</f>
        <v>South</v>
      </c>
      <c r="E733" s="2" t="str">
        <f>PROPER(TRIM(SUBSTITUTE([1]RawShipmentData!D740,"  "," ")))</f>
        <v>Xpressbees</v>
      </c>
      <c r="F733" s="2" t="str">
        <f>PROPER(TRIM([1]RawShipmentData!E740))</f>
        <v>Air</v>
      </c>
      <c r="G733" s="2" t="str">
        <f>PROPER(TRIM(SUBSTITUTE([1]RawShipmentData!F740,"  "," ")))</f>
        <v>Automotive Parts</v>
      </c>
      <c r="H733" s="2" t="str">
        <f>PROPER(TRIM([1]RawShipmentData!G740))</f>
        <v>West</v>
      </c>
      <c r="I733" s="2" t="str">
        <f t="shared" si="55"/>
        <v>Yes</v>
      </c>
      <c r="J733" s="2">
        <f>IFERROR(VALUE(TRIM(SUBSTITUTE(UPPER([1]RawShipmentData!I733),"KG",""))),"")</f>
        <v>20.8</v>
      </c>
      <c r="K733" s="2">
        <f>VALUE(SUBSTITUTE(SUBSTITUTE(SUBSTITUTE(TRIM([1]RawShipmentData!J740),"₹",""),"Rs",""),",",""))</f>
        <v>1378</v>
      </c>
      <c r="L733" s="2">
        <f>[1]RawShipmentData!K740</f>
        <v>4</v>
      </c>
      <c r="M733" s="3">
        <f>IF(TRIM([1]RawShipmentData!L740)="","",IF(ISNUMBER(SEARCH("/",TRIM([1]RawShipmentData!L740))),DATE(VALUE(RIGHT(TRIM([1]RawShipmentData!L740),4)),VALUE(MID(TRIM([1]RawShipmentData!L740),FIND("/",TRIM([1]RawShipmentData!L740))+1,2)),VALUE(LEFT(TRIM([1]RawShipmentData!L740),FIND("/",TRIM([1]RawShipmentData!L740))-1))),DATEVALUE(TRIM([1]RawShipmentData!L740))))</f>
        <v>45338</v>
      </c>
      <c r="N733" s="2">
        <f t="shared" si="56"/>
        <v>4</v>
      </c>
      <c r="O733" s="2">
        <f t="shared" si="57"/>
        <v>0</v>
      </c>
      <c r="P733" s="2" t="str">
        <f t="shared" si="58"/>
        <v>On Time</v>
      </c>
      <c r="Q733" s="2" t="str">
        <f>PROPER(SUBSTITUTE(TRIM([1]RawShipmentData!M740)," ","-"))</f>
        <v>Delivered</v>
      </c>
      <c r="R733" s="4">
        <f t="shared" si="59"/>
        <v>66.25</v>
      </c>
      <c r="S733" s="2">
        <f>[1]RawShipmentData!N740</f>
        <v>4</v>
      </c>
      <c r="T733" s="2" t="str">
        <f>IF(OR(UPPER(TRIM([1]RawShipmentData!O740))="YES",UPPER(TRIM([1]RawShipmentData!O740))="Y"),"Yes","No")</f>
        <v>Yes</v>
      </c>
    </row>
    <row r="734" spans="1:20" x14ac:dyDescent="0.25">
      <c r="A734" s="2" t="str">
        <f>[1]RawShipmentData!A741</f>
        <v>SHP-100037</v>
      </c>
      <c r="B734" s="3">
        <f>IF(ISNUMBER(SEARCH("/",TRIM([1]RawShipmentData!B741))),DATE(VALUE(RIGHT(TRIM([1]RawShipmentData!B741),4)),VALUE(MID(TRIM([1]RawShipmentData!B741),FIND("/",TRIM([1]RawShipmentData!B741))+1,2)),VALUE(LEFT(TRIM([1]RawShipmentData!B741),FIND("/",TRIM([1]RawShipmentData!B741))-1))),DATEVALUE(TRIM([1]RawShipmentData!B741)))</f>
        <v>45342</v>
      </c>
      <c r="C734" s="2" t="str">
        <f>PROPER(TRIM([1]RawShipmentData!C741))</f>
        <v>Delhi</v>
      </c>
      <c r="D734" s="2" t="str">
        <f>IFERROR(INDEX([1]HubMaster!$B$2:$B$7,MATCH(C734,[1]HubMaster!$A$2:$A$7,0)),"Unknown")</f>
        <v>North</v>
      </c>
      <c r="E734" s="2" t="str">
        <f>PROPER(TRIM(SUBSTITUTE([1]RawShipmentData!D741,"  "," ")))</f>
        <v>Bluedart</v>
      </c>
      <c r="F734" s="2" t="str">
        <f>PROPER(TRIM([1]RawShipmentData!E741))</f>
        <v>Road</v>
      </c>
      <c r="G734" s="2" t="str">
        <f>PROPER(TRIM(SUBSTITUTE([1]RawShipmentData!F741,"  "," ")))</f>
        <v>Automotive Parts</v>
      </c>
      <c r="H734" s="2" t="str">
        <f>PROPER(TRIM([1]RawShipmentData!G741))</f>
        <v>North</v>
      </c>
      <c r="I734" s="2" t="str">
        <f t="shared" si="55"/>
        <v>No</v>
      </c>
      <c r="J734" s="2">
        <f>IFERROR(VALUE(TRIM(SUBSTITUTE(UPPER([1]RawShipmentData!I734),"KG",""))),"")</f>
        <v>11.4</v>
      </c>
      <c r="K734" s="2">
        <f>VALUE(SUBSTITUTE(SUBSTITUTE(SUBSTITUTE(TRIM([1]RawShipmentData!J741),"₹",""),"Rs",""),",",""))</f>
        <v>227</v>
      </c>
      <c r="L734" s="2">
        <f>[1]RawShipmentData!K741</f>
        <v>6</v>
      </c>
      <c r="M734" s="3">
        <f>IF(TRIM([1]RawShipmentData!L741)="","",IF(ISNUMBER(SEARCH("/",TRIM([1]RawShipmentData!L741))),DATE(VALUE(RIGHT(TRIM([1]RawShipmentData!L741),4)),VALUE(MID(TRIM([1]RawShipmentData!L741),FIND("/",TRIM([1]RawShipmentData!L741))+1,2)),VALUE(LEFT(TRIM([1]RawShipmentData!L741),FIND("/",TRIM([1]RawShipmentData!L741))-1))),DATEVALUE(TRIM([1]RawShipmentData!L741))))</f>
        <v>45349</v>
      </c>
      <c r="N734" s="2">
        <f t="shared" si="56"/>
        <v>7</v>
      </c>
      <c r="O734" s="2">
        <f t="shared" si="57"/>
        <v>1</v>
      </c>
      <c r="P734" s="2" t="str">
        <f t="shared" si="58"/>
        <v>Late</v>
      </c>
      <c r="Q734" s="2" t="str">
        <f>PROPER(SUBSTITUTE(TRIM([1]RawShipmentData!M741)," ","-"))</f>
        <v>Delayed</v>
      </c>
      <c r="R734" s="4">
        <f t="shared" si="59"/>
        <v>19.912280701754387</v>
      </c>
      <c r="S734" s="2">
        <f>[1]RawShipmentData!N741</f>
        <v>2</v>
      </c>
      <c r="T734" s="2" t="str">
        <f>IF(OR(UPPER(TRIM([1]RawShipmentData!O741))="YES",UPPER(TRIM([1]RawShipmentData!O741))="Y"),"Yes","No")</f>
        <v>Yes</v>
      </c>
    </row>
    <row r="735" spans="1:20" x14ac:dyDescent="0.25">
      <c r="A735" s="2" t="str">
        <f>[1]RawShipmentData!A742</f>
        <v>SHP-100809</v>
      </c>
      <c r="B735" s="3">
        <f>IF(ISNUMBER(SEARCH("/",TRIM([1]RawShipmentData!B742))),DATE(VALUE(RIGHT(TRIM([1]RawShipmentData!B742),4)),VALUE(MID(TRIM([1]RawShipmentData!B742),FIND("/",TRIM([1]RawShipmentData!B742))+1,2)),VALUE(LEFT(TRIM([1]RawShipmentData!B742),FIND("/",TRIM([1]RawShipmentData!B742))-1))),DATEVALUE(TRIM([1]RawShipmentData!B742)))</f>
        <v>45373</v>
      </c>
      <c r="C735" s="2" t="str">
        <f>PROPER(TRIM([1]RawShipmentData!C742))</f>
        <v>Bengaluru</v>
      </c>
      <c r="D735" s="2" t="str">
        <f>IFERROR(INDEX([1]HubMaster!$B$2:$B$7,MATCH(C735,[1]HubMaster!$A$2:$A$7,0)),"Unknown")</f>
        <v>South</v>
      </c>
      <c r="E735" s="2" t="str">
        <f>PROPER(TRIM(SUBSTITUTE([1]RawShipmentData!D742,"  "," ")))</f>
        <v>Xpressbees</v>
      </c>
      <c r="F735" s="2" t="str">
        <f>PROPER(TRIM([1]RawShipmentData!E742))</f>
        <v>Air</v>
      </c>
      <c r="G735" s="2" t="str">
        <f>PROPER(TRIM(SUBSTITUTE([1]RawShipmentData!F742,"  "," ")))</f>
        <v>Grocery &amp; Fmcg</v>
      </c>
      <c r="H735" s="2" t="str">
        <f>PROPER(TRIM([1]RawShipmentData!G742))</f>
        <v>East</v>
      </c>
      <c r="I735" s="2" t="str">
        <f t="shared" si="55"/>
        <v>Yes</v>
      </c>
      <c r="J735" s="2">
        <f>IFERROR(VALUE(TRIM(SUBSTITUTE(UPPER([1]RawShipmentData!I735),"KG",""))),"")</f>
        <v>10.8</v>
      </c>
      <c r="K735" s="2">
        <f>VALUE(SUBSTITUTE(SUBSTITUTE(SUBSTITUTE(TRIM([1]RawShipmentData!J742),"₹",""),"Rs",""),",",""))</f>
        <v>368</v>
      </c>
      <c r="L735" s="2">
        <f>[1]RawShipmentData!K742</f>
        <v>4</v>
      </c>
      <c r="M735" s="3">
        <f>IF(TRIM([1]RawShipmentData!L742)="","",IF(ISNUMBER(SEARCH("/",TRIM([1]RawShipmentData!L742))),DATE(VALUE(RIGHT(TRIM([1]RawShipmentData!L742),4)),VALUE(MID(TRIM([1]RawShipmentData!L742),FIND("/",TRIM([1]RawShipmentData!L742))+1,2)),VALUE(LEFT(TRIM([1]RawShipmentData!L742),FIND("/",TRIM([1]RawShipmentData!L742))-1))),DATEVALUE(TRIM([1]RawShipmentData!L742))))</f>
        <v>45376</v>
      </c>
      <c r="N735" s="2">
        <f t="shared" si="56"/>
        <v>3</v>
      </c>
      <c r="O735" s="2">
        <f t="shared" si="57"/>
        <v>-1</v>
      </c>
      <c r="P735" s="2" t="str">
        <f t="shared" si="58"/>
        <v>On Time</v>
      </c>
      <c r="Q735" s="2" t="str">
        <f>PROPER(SUBSTITUTE(TRIM([1]RawShipmentData!M742)," ","-"))</f>
        <v>Delivered</v>
      </c>
      <c r="R735" s="4">
        <f t="shared" si="59"/>
        <v>34.074074074074069</v>
      </c>
      <c r="S735" s="2">
        <f>[1]RawShipmentData!N742</f>
        <v>5</v>
      </c>
      <c r="T735" s="2" t="str">
        <f>IF(OR(UPPER(TRIM([1]RawShipmentData!O742))="YES",UPPER(TRIM([1]RawShipmentData!O742))="Y"),"Yes","No")</f>
        <v>Yes</v>
      </c>
    </row>
    <row r="736" spans="1:20" x14ac:dyDescent="0.25">
      <c r="A736" s="2" t="str">
        <f>[1]RawShipmentData!A743</f>
        <v>SHP-100163</v>
      </c>
      <c r="B736" s="3">
        <f>IF(ISNUMBER(SEARCH("/",TRIM([1]RawShipmentData!B743))),DATE(VALUE(RIGHT(TRIM([1]RawShipmentData!B743),4)),VALUE(MID(TRIM([1]RawShipmentData!B743),FIND("/",TRIM([1]RawShipmentData!B743))+1,2)),VALUE(LEFT(TRIM([1]RawShipmentData!B743),FIND("/",TRIM([1]RawShipmentData!B743))-1))),DATEVALUE(TRIM([1]RawShipmentData!B743)))</f>
        <v>45343</v>
      </c>
      <c r="C736" s="2" t="str">
        <f>PROPER(TRIM([1]RawShipmentData!C743))</f>
        <v>Mumbai</v>
      </c>
      <c r="D736" s="2" t="str">
        <f>IFERROR(INDEX([1]HubMaster!$B$2:$B$7,MATCH(C736,[1]HubMaster!$A$2:$A$7,0)),"Unknown")</f>
        <v>West</v>
      </c>
      <c r="E736" s="2" t="str">
        <f>PROPER(TRIM(SUBSTITUTE([1]RawShipmentData!D743,"  "," ")))</f>
        <v>Xpressbees</v>
      </c>
      <c r="F736" s="2" t="str">
        <f>PROPER(TRIM([1]RawShipmentData!E743))</f>
        <v>Surface</v>
      </c>
      <c r="G736" s="2" t="str">
        <f>PROPER(TRIM(SUBSTITUTE([1]RawShipmentData!F743,"  "," ")))</f>
        <v>Electronics</v>
      </c>
      <c r="H736" s="2" t="str">
        <f>PROPER(TRIM([1]RawShipmentData!G743))</f>
        <v>West</v>
      </c>
      <c r="I736" s="2" t="str">
        <f t="shared" si="55"/>
        <v>No</v>
      </c>
      <c r="J736" s="2">
        <f>IFERROR(VALUE(TRIM(SUBSTITUTE(UPPER([1]RawShipmentData!I736),"KG",""))),"")</f>
        <v>7.7</v>
      </c>
      <c r="K736" s="2">
        <f>VALUE(SUBSTITUTE(SUBSTITUTE(SUBSTITUTE(TRIM([1]RawShipmentData!J743),"₹",""),"Rs",""),",",""))</f>
        <v>339</v>
      </c>
      <c r="L736" s="2">
        <f>[1]RawShipmentData!K743</f>
        <v>4</v>
      </c>
      <c r="M736" s="3">
        <f>IF(TRIM([1]RawShipmentData!L743)="","",IF(ISNUMBER(SEARCH("/",TRIM([1]RawShipmentData!L743))),DATE(VALUE(RIGHT(TRIM([1]RawShipmentData!L743),4)),VALUE(MID(TRIM([1]RawShipmentData!L743),FIND("/",TRIM([1]RawShipmentData!L743))+1,2)),VALUE(LEFT(TRIM([1]RawShipmentData!L743),FIND("/",TRIM([1]RawShipmentData!L743))-1))),DATEVALUE(TRIM([1]RawShipmentData!L743))))</f>
        <v>45348</v>
      </c>
      <c r="N736" s="2">
        <f t="shared" si="56"/>
        <v>5</v>
      </c>
      <c r="O736" s="2">
        <f t="shared" si="57"/>
        <v>1</v>
      </c>
      <c r="P736" s="2" t="str">
        <f t="shared" si="58"/>
        <v>Late</v>
      </c>
      <c r="Q736" s="2" t="str">
        <f>PROPER(SUBSTITUTE(TRIM([1]RawShipmentData!M743)," ","-"))</f>
        <v>Delayed</v>
      </c>
      <c r="R736" s="4">
        <f t="shared" si="59"/>
        <v>44.025974025974023</v>
      </c>
      <c r="S736" s="2">
        <f>[1]RawShipmentData!N743</f>
        <v>2</v>
      </c>
      <c r="T736" s="2" t="str">
        <f>IF(OR(UPPER(TRIM([1]RawShipmentData!O743))="YES",UPPER(TRIM([1]RawShipmentData!O743))="Y"),"Yes","No")</f>
        <v>Yes</v>
      </c>
    </row>
    <row r="737" spans="1:20" x14ac:dyDescent="0.25">
      <c r="A737" s="2" t="str">
        <f>[1]RawShipmentData!A744</f>
        <v>SHP-101576</v>
      </c>
      <c r="B737" s="3">
        <f>IF(ISNUMBER(SEARCH("/",TRIM([1]RawShipmentData!B744))),DATE(VALUE(RIGHT(TRIM([1]RawShipmentData!B744),4)),VALUE(MID(TRIM([1]RawShipmentData!B744),FIND("/",TRIM([1]RawShipmentData!B744))+1,2)),VALUE(LEFT(TRIM([1]RawShipmentData!B744),FIND("/",TRIM([1]RawShipmentData!B744))-1))),DATEVALUE(TRIM([1]RawShipmentData!B744)))</f>
        <v>45352</v>
      </c>
      <c r="C737" s="2" t="str">
        <f>PROPER(TRIM([1]RawShipmentData!C744))</f>
        <v>Mumbai</v>
      </c>
      <c r="D737" s="2" t="str">
        <f>IFERROR(INDEX([1]HubMaster!$B$2:$B$7,MATCH(C737,[1]HubMaster!$A$2:$A$7,0)),"Unknown")</f>
        <v>West</v>
      </c>
      <c r="E737" s="2" t="str">
        <f>PROPER(TRIM(SUBSTITUTE([1]RawShipmentData!D744,"  "," ")))</f>
        <v>Dtdc</v>
      </c>
      <c r="F737" s="2" t="str">
        <f>PROPER(TRIM([1]RawShipmentData!E744))</f>
        <v>Surface</v>
      </c>
      <c r="G737" s="2" t="str">
        <f>PROPER(TRIM(SUBSTITUTE([1]RawShipmentData!F744,"  "," ")))</f>
        <v>Automotive Parts</v>
      </c>
      <c r="H737" s="2" t="str">
        <f>PROPER(TRIM([1]RawShipmentData!G744))</f>
        <v>North</v>
      </c>
      <c r="I737" s="2" t="str">
        <f t="shared" si="55"/>
        <v>Yes</v>
      </c>
      <c r="J737" s="2">
        <f>IFERROR(VALUE(TRIM(SUBSTITUTE(UPPER([1]RawShipmentData!I737),"KG",""))),"")</f>
        <v>34.1</v>
      </c>
      <c r="K737" s="2">
        <f>VALUE(SUBSTITUTE(SUBSTITUTE(SUBSTITUTE(TRIM([1]RawShipmentData!J744),"₹",""),"Rs",""),",",""))</f>
        <v>577</v>
      </c>
      <c r="L737" s="2">
        <f>[1]RawShipmentData!K744</f>
        <v>6</v>
      </c>
      <c r="M737" s="3">
        <f>IF(TRIM([1]RawShipmentData!L744)="","",IF(ISNUMBER(SEARCH("/",TRIM([1]RawShipmentData!L744))),DATE(VALUE(RIGHT(TRIM([1]RawShipmentData!L744),4)),VALUE(MID(TRIM([1]RawShipmentData!L744),FIND("/",TRIM([1]RawShipmentData!L744))+1,2)),VALUE(LEFT(TRIM([1]RawShipmentData!L744),FIND("/",TRIM([1]RawShipmentData!L744))-1))),DATEVALUE(TRIM([1]RawShipmentData!L744))))</f>
        <v>45358</v>
      </c>
      <c r="N737" s="2">
        <f t="shared" si="56"/>
        <v>6</v>
      </c>
      <c r="O737" s="2">
        <f t="shared" si="57"/>
        <v>0</v>
      </c>
      <c r="P737" s="2" t="str">
        <f t="shared" si="58"/>
        <v>On Time</v>
      </c>
      <c r="Q737" s="2" t="str">
        <f>PROPER(SUBSTITUTE(TRIM([1]RawShipmentData!M744)," ","-"))</f>
        <v>Delivered</v>
      </c>
      <c r="R737" s="4">
        <f t="shared" si="59"/>
        <v>16.920821114369502</v>
      </c>
      <c r="S737" s="2">
        <f>[1]RawShipmentData!N744</f>
        <v>4</v>
      </c>
      <c r="T737" s="2" t="str">
        <f>IF(OR(UPPER(TRIM([1]RawShipmentData!O744))="YES",UPPER(TRIM([1]RawShipmentData!O744))="Y"),"Yes","No")</f>
        <v>Yes</v>
      </c>
    </row>
    <row r="738" spans="1:20" x14ac:dyDescent="0.25">
      <c r="A738" s="2" t="str">
        <f>[1]RawShipmentData!A745</f>
        <v>SHP-101075</v>
      </c>
      <c r="B738" s="3">
        <f>IF(ISNUMBER(SEARCH("/",TRIM([1]RawShipmentData!B745))),DATE(VALUE(RIGHT(TRIM([1]RawShipmentData!B745),4)),VALUE(MID(TRIM([1]RawShipmentData!B745),FIND("/",TRIM([1]RawShipmentData!B745))+1,2)),VALUE(LEFT(TRIM([1]RawShipmentData!B745),FIND("/",TRIM([1]RawShipmentData!B745))-1))),DATEVALUE(TRIM([1]RawShipmentData!B745)))</f>
        <v>45361</v>
      </c>
      <c r="C738" s="2" t="str">
        <f>PROPER(TRIM([1]RawShipmentData!C745))</f>
        <v>Delhi</v>
      </c>
      <c r="D738" s="2" t="str">
        <f>IFERROR(INDEX([1]HubMaster!$B$2:$B$7,MATCH(C738,[1]HubMaster!$A$2:$A$7,0)),"Unknown")</f>
        <v>North</v>
      </c>
      <c r="E738" s="2" t="str">
        <f>PROPER(TRIM(SUBSTITUTE([1]RawShipmentData!D745,"  "," ")))</f>
        <v>Bluedart</v>
      </c>
      <c r="F738" s="2" t="str">
        <f>PROPER(TRIM([1]RawShipmentData!E745))</f>
        <v>Air</v>
      </c>
      <c r="G738" s="2" t="str">
        <f>PROPER(TRIM(SUBSTITUTE([1]RawShipmentData!F745,"  "," ")))</f>
        <v>Apparel</v>
      </c>
      <c r="H738" s="2" t="str">
        <f>PROPER(TRIM([1]RawShipmentData!G745))</f>
        <v>West</v>
      </c>
      <c r="I738" s="2" t="str">
        <f t="shared" si="55"/>
        <v>Yes</v>
      </c>
      <c r="J738" s="2">
        <f>IFERROR(VALUE(TRIM(SUBSTITUTE(UPPER([1]RawShipmentData!I738),"KG",""))),"")</f>
        <v>4.8</v>
      </c>
      <c r="K738" s="2">
        <f>VALUE(SUBSTITUTE(SUBSTITUTE(SUBSTITUTE(TRIM([1]RawShipmentData!J745),"₹",""),"Rs",""),",",""))</f>
        <v>514</v>
      </c>
      <c r="L738" s="2">
        <f>[1]RawShipmentData!K745</f>
        <v>4</v>
      </c>
      <c r="M738" s="3">
        <f>IF(TRIM([1]RawShipmentData!L745)="","",IF(ISNUMBER(SEARCH("/",TRIM([1]RawShipmentData!L745))),DATE(VALUE(RIGHT(TRIM([1]RawShipmentData!L745),4)),VALUE(MID(TRIM([1]RawShipmentData!L745),FIND("/",TRIM([1]RawShipmentData!L745))+1,2)),VALUE(LEFT(TRIM([1]RawShipmentData!L745),FIND("/",TRIM([1]RawShipmentData!L745))-1))),DATEVALUE(TRIM([1]RawShipmentData!L745))))</f>
        <v>45364</v>
      </c>
      <c r="N738" s="2">
        <f t="shared" si="56"/>
        <v>3</v>
      </c>
      <c r="O738" s="2">
        <f t="shared" si="57"/>
        <v>-1</v>
      </c>
      <c r="P738" s="2" t="str">
        <f t="shared" si="58"/>
        <v>On Time</v>
      </c>
      <c r="Q738" s="2" t="str">
        <f>PROPER(SUBSTITUTE(TRIM([1]RawShipmentData!M745)," ","-"))</f>
        <v>Delivered</v>
      </c>
      <c r="R738" s="4">
        <f t="shared" si="59"/>
        <v>107.08333333333334</v>
      </c>
      <c r="S738" s="2">
        <f>[1]RawShipmentData!N745</f>
        <v>5</v>
      </c>
      <c r="T738" s="2" t="str">
        <f>IF(OR(UPPER(TRIM([1]RawShipmentData!O745))="YES",UPPER(TRIM([1]RawShipmentData!O745))="Y"),"Yes","No")</f>
        <v>No</v>
      </c>
    </row>
    <row r="739" spans="1:20" x14ac:dyDescent="0.25">
      <c r="A739" s="2" t="str">
        <f>[1]RawShipmentData!A746</f>
        <v>SHP-100015</v>
      </c>
      <c r="B739" s="3">
        <f>IF(ISNUMBER(SEARCH("/",TRIM([1]RawShipmentData!B746))),DATE(VALUE(RIGHT(TRIM([1]RawShipmentData!B746),4)),VALUE(MID(TRIM([1]RawShipmentData!B746),FIND("/",TRIM([1]RawShipmentData!B746))+1,2)),VALUE(LEFT(TRIM([1]RawShipmentData!B746),FIND("/",TRIM([1]RawShipmentData!B746))-1))),DATEVALUE(TRIM([1]RawShipmentData!B746)))</f>
        <v>45386</v>
      </c>
      <c r="C739" s="2" t="str">
        <f>PROPER(TRIM([1]RawShipmentData!C746))</f>
        <v>Kolkata</v>
      </c>
      <c r="D739" s="2" t="str">
        <f>IFERROR(INDEX([1]HubMaster!$B$2:$B$7,MATCH(C739,[1]HubMaster!$A$2:$A$7,0)),"Unknown")</f>
        <v>East</v>
      </c>
      <c r="E739" s="2" t="str">
        <f>PROPER(TRIM(SUBSTITUTE([1]RawShipmentData!D746,"  "," ")))</f>
        <v>Blue Dart</v>
      </c>
      <c r="F739" s="2" t="str">
        <f>PROPER(TRIM([1]RawShipmentData!E746))</f>
        <v>Surface</v>
      </c>
      <c r="G739" s="2" t="str">
        <f>PROPER(TRIM(SUBSTITUTE([1]RawShipmentData!F746,"  "," ")))</f>
        <v>Electronics</v>
      </c>
      <c r="H739" s="2" t="str">
        <f>PROPER(TRIM([1]RawShipmentData!G746))</f>
        <v>West</v>
      </c>
      <c r="I739" s="2" t="str">
        <f t="shared" si="55"/>
        <v>Yes</v>
      </c>
      <c r="J739" s="2">
        <f>IFERROR(VALUE(TRIM(SUBSTITUTE(UPPER([1]RawShipmentData!I739),"KG",""))),"")</f>
        <v>4.2</v>
      </c>
      <c r="K739" s="2">
        <f>VALUE(SUBSTITUTE(SUBSTITUTE(SUBSTITUTE(TRIM([1]RawShipmentData!J746),"₹",""),"Rs",""),",",""))</f>
        <v>430</v>
      </c>
      <c r="L739" s="2">
        <f>[1]RawShipmentData!K746</f>
        <v>6</v>
      </c>
      <c r="M739" s="3">
        <f>IF(TRIM([1]RawShipmentData!L746)="","",IF(ISNUMBER(SEARCH("/",TRIM([1]RawShipmentData!L746))),DATE(VALUE(RIGHT(TRIM([1]RawShipmentData!L746),4)),VALUE(MID(TRIM([1]RawShipmentData!L746),FIND("/",TRIM([1]RawShipmentData!L746))+1,2)),VALUE(LEFT(TRIM([1]RawShipmentData!L746),FIND("/",TRIM([1]RawShipmentData!L746))-1))),DATEVALUE(TRIM([1]RawShipmentData!L746))))</f>
        <v>45392</v>
      </c>
      <c r="N739" s="2">
        <f t="shared" si="56"/>
        <v>6</v>
      </c>
      <c r="O739" s="2">
        <f t="shared" si="57"/>
        <v>0</v>
      </c>
      <c r="P739" s="2" t="str">
        <f t="shared" si="58"/>
        <v>On Time</v>
      </c>
      <c r="Q739" s="2" t="str">
        <f>PROPER(SUBSTITUTE(TRIM([1]RawShipmentData!M746)," ","-"))</f>
        <v>Delivered</v>
      </c>
      <c r="R739" s="4">
        <f t="shared" si="59"/>
        <v>102.38095238095238</v>
      </c>
      <c r="S739" s="2">
        <f>[1]RawShipmentData!N746</f>
        <v>4</v>
      </c>
      <c r="T739" s="2" t="str">
        <f>IF(OR(UPPER(TRIM([1]RawShipmentData!O746))="YES",UPPER(TRIM([1]RawShipmentData!O746))="Y"),"Yes","No")</f>
        <v>No</v>
      </c>
    </row>
    <row r="740" spans="1:20" x14ac:dyDescent="0.25">
      <c r="A740" s="2" t="str">
        <f>[1]RawShipmentData!A747</f>
        <v>SHP-101122</v>
      </c>
      <c r="B740" s="3">
        <f>IF(ISNUMBER(SEARCH("/",TRIM([1]RawShipmentData!B747))),DATE(VALUE(RIGHT(TRIM([1]RawShipmentData!B747),4)),VALUE(MID(TRIM([1]RawShipmentData!B747),FIND("/",TRIM([1]RawShipmentData!B747))+1,2)),VALUE(LEFT(TRIM([1]RawShipmentData!B747),FIND("/",TRIM([1]RawShipmentData!B747))-1))),DATEVALUE(TRIM([1]RawShipmentData!B747)))</f>
        <v>45384</v>
      </c>
      <c r="C740" s="2" t="str">
        <f>PROPER(TRIM([1]RawShipmentData!C747))</f>
        <v>Mumbai</v>
      </c>
      <c r="D740" s="2" t="str">
        <f>IFERROR(INDEX([1]HubMaster!$B$2:$B$7,MATCH(C740,[1]HubMaster!$A$2:$A$7,0)),"Unknown")</f>
        <v>West</v>
      </c>
      <c r="E740" s="2" t="str">
        <f>PROPER(TRIM(SUBSTITUTE([1]RawShipmentData!D747,"  "," ")))</f>
        <v>Delhivery</v>
      </c>
      <c r="F740" s="2" t="str">
        <f>PROPER(TRIM([1]RawShipmentData!E747))</f>
        <v>Road</v>
      </c>
      <c r="G740" s="2" t="str">
        <f>PROPER(TRIM(SUBSTITUTE([1]RawShipmentData!F747,"  "," ")))</f>
        <v>Automotive Parts</v>
      </c>
      <c r="H740" s="2" t="str">
        <f>PROPER(TRIM([1]RawShipmentData!G747))</f>
        <v>West</v>
      </c>
      <c r="I740" s="2" t="str">
        <f t="shared" si="55"/>
        <v>No</v>
      </c>
      <c r="J740" s="2">
        <f>IFERROR(VALUE(TRIM(SUBSTITUTE(UPPER([1]RawShipmentData!I740),"KG",""))),"")</f>
        <v>26.4</v>
      </c>
      <c r="K740" s="2">
        <f>VALUE(SUBSTITUTE(SUBSTITUTE(SUBSTITUTE(TRIM([1]RawShipmentData!J747),"₹",""),"Rs",""),",",""))</f>
        <v>520</v>
      </c>
      <c r="L740" s="2">
        <f>[1]RawShipmentData!K747</f>
        <v>6</v>
      </c>
      <c r="M740" s="3">
        <f>IF(TRIM([1]RawShipmentData!L747)="","",IF(ISNUMBER(SEARCH("/",TRIM([1]RawShipmentData!L747))),DATE(VALUE(RIGHT(TRIM([1]RawShipmentData!L747),4)),VALUE(MID(TRIM([1]RawShipmentData!L747),FIND("/",TRIM([1]RawShipmentData!L747))+1,2)),VALUE(LEFT(TRIM([1]RawShipmentData!L747),FIND("/",TRIM([1]RawShipmentData!L747))-1))),DATEVALUE(TRIM([1]RawShipmentData!L747))))</f>
        <v>45389</v>
      </c>
      <c r="N740" s="2">
        <f t="shared" si="56"/>
        <v>5</v>
      </c>
      <c r="O740" s="2">
        <f t="shared" si="57"/>
        <v>-1</v>
      </c>
      <c r="P740" s="2" t="str">
        <f t="shared" si="58"/>
        <v>On Time</v>
      </c>
      <c r="Q740" s="2" t="str">
        <f>PROPER(SUBSTITUTE(TRIM([1]RawShipmentData!M747)," ","-"))</f>
        <v>Delivered</v>
      </c>
      <c r="R740" s="4">
        <f t="shared" si="59"/>
        <v>19.696969696969699</v>
      </c>
      <c r="S740" s="2">
        <f>[1]RawShipmentData!N747</f>
        <v>4</v>
      </c>
      <c r="T740" s="2" t="str">
        <f>IF(OR(UPPER(TRIM([1]RawShipmentData!O747))="YES",UPPER(TRIM([1]RawShipmentData!O747))="Y"),"Yes","No")</f>
        <v>No</v>
      </c>
    </row>
    <row r="741" spans="1:20" x14ac:dyDescent="0.25">
      <c r="A741" s="2" t="str">
        <f>[1]RawShipmentData!A748</f>
        <v>SHP-100814</v>
      </c>
      <c r="B741" s="3">
        <f>IF(ISNUMBER(SEARCH("/",TRIM([1]RawShipmentData!B748))),DATE(VALUE(RIGHT(TRIM([1]RawShipmentData!B748),4)),VALUE(MID(TRIM([1]RawShipmentData!B748),FIND("/",TRIM([1]RawShipmentData!B748))+1,2)),VALUE(LEFT(TRIM([1]RawShipmentData!B748),FIND("/",TRIM([1]RawShipmentData!B748))-1))),DATEVALUE(TRIM([1]RawShipmentData!B748)))</f>
        <v>45402</v>
      </c>
      <c r="C741" s="2" t="str">
        <f>PROPER(TRIM([1]RawShipmentData!C748))</f>
        <v>Chennai</v>
      </c>
      <c r="D741" s="2" t="str">
        <f>IFERROR(INDEX([1]HubMaster!$B$2:$B$7,MATCH(C741,[1]HubMaster!$A$2:$A$7,0)),"Unknown")</f>
        <v>South</v>
      </c>
      <c r="E741" s="2" t="str">
        <f>PROPER(TRIM(SUBSTITUTE([1]RawShipmentData!D748,"  "," ")))</f>
        <v>Dtdc</v>
      </c>
      <c r="F741" s="2" t="str">
        <f>PROPER(TRIM([1]RawShipmentData!E748))</f>
        <v>Road</v>
      </c>
      <c r="G741" s="2" t="str">
        <f>PROPER(TRIM(SUBSTITUTE([1]RawShipmentData!F748,"  "," ")))</f>
        <v>Grocery &amp; Fmcg</v>
      </c>
      <c r="H741" s="2" t="str">
        <f>PROPER(TRIM([1]RawShipmentData!G748))</f>
        <v>North</v>
      </c>
      <c r="I741" s="2" t="str">
        <f t="shared" si="55"/>
        <v>Yes</v>
      </c>
      <c r="J741" s="2">
        <f>IFERROR(VALUE(TRIM(SUBSTITUTE(UPPER([1]RawShipmentData!I741),"KG",""))),"")</f>
        <v>14.7</v>
      </c>
      <c r="K741" s="2">
        <f>VALUE(SUBSTITUTE(SUBSTITUTE(SUBSTITUTE(TRIM([1]RawShipmentData!J748),"₹",""),"Rs",""),",",""))</f>
        <v>423</v>
      </c>
      <c r="L741" s="2">
        <f>[1]RawShipmentData!K748</f>
        <v>8</v>
      </c>
      <c r="M741" s="3">
        <f>IF(TRIM([1]RawShipmentData!L748)="","",IF(ISNUMBER(SEARCH("/",TRIM([1]RawShipmentData!L748))),DATE(VALUE(RIGHT(TRIM([1]RawShipmentData!L748),4)),VALUE(MID(TRIM([1]RawShipmentData!L748),FIND("/",TRIM([1]RawShipmentData!L748))+1,2)),VALUE(LEFT(TRIM([1]RawShipmentData!L748),FIND("/",TRIM([1]RawShipmentData!L748))-1))),DATEVALUE(TRIM([1]RawShipmentData!L748))))</f>
        <v>45410</v>
      </c>
      <c r="N741" s="2">
        <f t="shared" si="56"/>
        <v>8</v>
      </c>
      <c r="O741" s="2">
        <f t="shared" si="57"/>
        <v>0</v>
      </c>
      <c r="P741" s="2" t="str">
        <f t="shared" si="58"/>
        <v>On Time</v>
      </c>
      <c r="Q741" s="2" t="str">
        <f>PROPER(SUBSTITUTE(TRIM([1]RawShipmentData!M748)," ","-"))</f>
        <v>Delivered</v>
      </c>
      <c r="R741" s="4">
        <f t="shared" si="59"/>
        <v>28.775510204081634</v>
      </c>
      <c r="S741" s="2">
        <f>[1]RawShipmentData!N748</f>
        <v>5</v>
      </c>
      <c r="T741" s="2" t="str">
        <f>IF(OR(UPPER(TRIM([1]RawShipmentData!O748))="YES",UPPER(TRIM([1]RawShipmentData!O748))="Y"),"Yes","No")</f>
        <v>Yes</v>
      </c>
    </row>
    <row r="742" spans="1:20" x14ac:dyDescent="0.25">
      <c r="A742" s="2" t="str">
        <f>[1]RawShipmentData!A749</f>
        <v>SHP-100584</v>
      </c>
      <c r="B742" s="3">
        <f>IF(ISNUMBER(SEARCH("/",TRIM([1]RawShipmentData!B749))),DATE(VALUE(RIGHT(TRIM([1]RawShipmentData!B749),4)),VALUE(MID(TRIM([1]RawShipmentData!B749),FIND("/",TRIM([1]RawShipmentData!B749))+1,2)),VALUE(LEFT(TRIM([1]RawShipmentData!B749),FIND("/",TRIM([1]RawShipmentData!B749))-1))),DATEVALUE(TRIM([1]RawShipmentData!B749)))</f>
        <v>45421</v>
      </c>
      <c r="C742" s="2" t="str">
        <f>PROPER(TRIM([1]RawShipmentData!C749))</f>
        <v>Chennai</v>
      </c>
      <c r="D742" s="2" t="str">
        <f>IFERROR(INDEX([1]HubMaster!$B$2:$B$7,MATCH(C742,[1]HubMaster!$A$2:$A$7,0)),"Unknown")</f>
        <v>South</v>
      </c>
      <c r="E742" s="2" t="str">
        <f>PROPER(TRIM(SUBSTITUTE([1]RawShipmentData!D749,"  "," ")))</f>
        <v>Dtdc</v>
      </c>
      <c r="F742" s="2" t="str">
        <f>PROPER(TRIM([1]RawShipmentData!E749))</f>
        <v>Air</v>
      </c>
      <c r="G742" s="2" t="str">
        <f>PROPER(TRIM(SUBSTITUTE([1]RawShipmentData!F749,"  "," ")))</f>
        <v>Furniture</v>
      </c>
      <c r="H742" s="2" t="str">
        <f>PROPER(TRIM([1]RawShipmentData!G749))</f>
        <v>East</v>
      </c>
      <c r="I742" s="2" t="str">
        <f t="shared" si="55"/>
        <v>Yes</v>
      </c>
      <c r="J742" s="2">
        <f>IFERROR(VALUE(TRIM(SUBSTITUTE(UPPER([1]RawShipmentData!I742),"KG",""))),"")</f>
        <v>5</v>
      </c>
      <c r="K742" s="2">
        <f>VALUE(SUBSTITUTE(SUBSTITUTE(SUBSTITUTE(TRIM([1]RawShipmentData!J749),"₹",""),"Rs",""),",",""))</f>
        <v>3710</v>
      </c>
      <c r="L742" s="2">
        <f>[1]RawShipmentData!K749</f>
        <v>4</v>
      </c>
      <c r="M742" s="3">
        <f>IF(TRIM([1]RawShipmentData!L749)="","",IF(ISNUMBER(SEARCH("/",TRIM([1]RawShipmentData!L749))),DATE(VALUE(RIGHT(TRIM([1]RawShipmentData!L749),4)),VALUE(MID(TRIM([1]RawShipmentData!L749),FIND("/",TRIM([1]RawShipmentData!L749))+1,2)),VALUE(LEFT(TRIM([1]RawShipmentData!L749),FIND("/",TRIM([1]RawShipmentData!L749))-1))),DATEVALUE(TRIM([1]RawShipmentData!L749))))</f>
        <v>45424</v>
      </c>
      <c r="N742" s="2">
        <f t="shared" si="56"/>
        <v>3</v>
      </c>
      <c r="O742" s="2">
        <f t="shared" si="57"/>
        <v>-1</v>
      </c>
      <c r="P742" s="2" t="str">
        <f t="shared" si="58"/>
        <v>On Time</v>
      </c>
      <c r="Q742" s="2" t="str">
        <f>PROPER(SUBSTITUTE(TRIM([1]RawShipmentData!M749)," ","-"))</f>
        <v>Delivered</v>
      </c>
      <c r="R742" s="4">
        <f t="shared" si="59"/>
        <v>742</v>
      </c>
      <c r="S742" s="2">
        <f>[1]RawShipmentData!N749</f>
        <v>5</v>
      </c>
      <c r="T742" s="2" t="str">
        <f>IF(OR(UPPER(TRIM([1]RawShipmentData!O749))="YES",UPPER(TRIM([1]RawShipmentData!O749))="Y"),"Yes","No")</f>
        <v>Yes</v>
      </c>
    </row>
    <row r="743" spans="1:20" x14ac:dyDescent="0.25">
      <c r="A743" s="2" t="str">
        <f>[1]RawShipmentData!A750</f>
        <v>SHP-100121</v>
      </c>
      <c r="B743" s="3">
        <f>IF(ISNUMBER(SEARCH("/",TRIM([1]RawShipmentData!B750))),DATE(VALUE(RIGHT(TRIM([1]RawShipmentData!B750),4)),VALUE(MID(TRIM([1]RawShipmentData!B750),FIND("/",TRIM([1]RawShipmentData!B750))+1,2)),VALUE(LEFT(TRIM([1]RawShipmentData!B750),FIND("/",TRIM([1]RawShipmentData!B750))-1))),DATEVALUE(TRIM([1]RawShipmentData!B750)))</f>
        <v>45332</v>
      </c>
      <c r="C743" s="2" t="str">
        <f>PROPER(TRIM([1]RawShipmentData!C750))</f>
        <v>Bengaluru</v>
      </c>
      <c r="D743" s="2" t="str">
        <f>IFERROR(INDEX([1]HubMaster!$B$2:$B$7,MATCH(C743,[1]HubMaster!$A$2:$A$7,0)),"Unknown")</f>
        <v>South</v>
      </c>
      <c r="E743" s="2" t="str">
        <f>PROPER(TRIM(SUBSTITUTE([1]RawShipmentData!D750,"  "," ")))</f>
        <v>Xpressbees</v>
      </c>
      <c r="F743" s="2" t="str">
        <f>PROPER(TRIM([1]RawShipmentData!E750))</f>
        <v>Road</v>
      </c>
      <c r="G743" s="2" t="str">
        <f>PROPER(TRIM(SUBSTITUTE([1]RawShipmentData!F750,"  "," ")))</f>
        <v>Automotive Parts</v>
      </c>
      <c r="H743" s="2" t="str">
        <f>PROPER(TRIM([1]RawShipmentData!G750))</f>
        <v>East</v>
      </c>
      <c r="I743" s="2" t="str">
        <f t="shared" si="55"/>
        <v>Yes</v>
      </c>
      <c r="J743" s="2">
        <f>IFERROR(VALUE(TRIM(SUBSTITUTE(UPPER([1]RawShipmentData!I743),"KG",""))),"")</f>
        <v>14.2</v>
      </c>
      <c r="K743" s="2">
        <f>VALUE(SUBSTITUTE(SUBSTITUTE(SUBSTITUTE(TRIM([1]RawShipmentData!J750),"₹",""),"Rs",""),",",""))</f>
        <v>574</v>
      </c>
      <c r="L743" s="2">
        <f>[1]RawShipmentData!K750</f>
        <v>8</v>
      </c>
      <c r="M743" s="3">
        <f>IF(TRIM([1]RawShipmentData!L750)="","",IF(ISNUMBER(SEARCH("/",TRIM([1]RawShipmentData!L750))),DATE(VALUE(RIGHT(TRIM([1]RawShipmentData!L750),4)),VALUE(MID(TRIM([1]RawShipmentData!L750),FIND("/",TRIM([1]RawShipmentData!L750))+1,2)),VALUE(LEFT(TRIM([1]RawShipmentData!L750),FIND("/",TRIM([1]RawShipmentData!L750))-1))),DATEVALUE(TRIM([1]RawShipmentData!L750))))</f>
        <v>45340</v>
      </c>
      <c r="N743" s="2">
        <f t="shared" si="56"/>
        <v>8</v>
      </c>
      <c r="O743" s="2">
        <f t="shared" si="57"/>
        <v>0</v>
      </c>
      <c r="P743" s="2" t="str">
        <f t="shared" si="58"/>
        <v>On Time</v>
      </c>
      <c r="Q743" s="2" t="str">
        <f>PROPER(SUBSTITUTE(TRIM([1]RawShipmentData!M750)," ","-"))</f>
        <v>Delivered</v>
      </c>
      <c r="R743" s="4">
        <f t="shared" si="59"/>
        <v>40.422535211267608</v>
      </c>
      <c r="S743" s="2">
        <f>[1]RawShipmentData!N750</f>
        <v>5</v>
      </c>
      <c r="T743" s="2" t="str">
        <f>IF(OR(UPPER(TRIM([1]RawShipmentData!O750))="YES",UPPER(TRIM([1]RawShipmentData!O750))="Y"),"Yes","No")</f>
        <v>No</v>
      </c>
    </row>
    <row r="744" spans="1:20" x14ac:dyDescent="0.25">
      <c r="A744" s="2" t="str">
        <f>[1]RawShipmentData!A751</f>
        <v>SHP-100379</v>
      </c>
      <c r="B744" s="3">
        <f>IF(ISNUMBER(SEARCH("/",TRIM([1]RawShipmentData!B751))),DATE(VALUE(RIGHT(TRIM([1]RawShipmentData!B751),4)),VALUE(MID(TRIM([1]RawShipmentData!B751),FIND("/",TRIM([1]RawShipmentData!B751))+1,2)),VALUE(LEFT(TRIM([1]RawShipmentData!B751),FIND("/",TRIM([1]RawShipmentData!B751))-1))),DATEVALUE(TRIM([1]RawShipmentData!B751)))</f>
        <v>45344</v>
      </c>
      <c r="C744" s="2" t="str">
        <f>PROPER(TRIM([1]RawShipmentData!C751))</f>
        <v>Kolkata</v>
      </c>
      <c r="D744" s="2" t="str">
        <f>IFERROR(INDEX([1]HubMaster!$B$2:$B$7,MATCH(C744,[1]HubMaster!$A$2:$A$7,0)),"Unknown")</f>
        <v>East</v>
      </c>
      <c r="E744" s="2" t="str">
        <f>PROPER(TRIM(SUBSTITUTE([1]RawShipmentData!D751,"  "," ")))</f>
        <v>Xpressbees</v>
      </c>
      <c r="F744" s="2" t="str">
        <f>PROPER(TRIM([1]RawShipmentData!E751))</f>
        <v>Road</v>
      </c>
      <c r="G744" s="2" t="str">
        <f>PROPER(TRIM(SUBSTITUTE([1]RawShipmentData!F751,"  "," ")))</f>
        <v>Grocery &amp; Fmcg</v>
      </c>
      <c r="H744" s="2" t="str">
        <f>PROPER(TRIM([1]RawShipmentData!G751))</f>
        <v>East</v>
      </c>
      <c r="I744" s="2" t="str">
        <f t="shared" si="55"/>
        <v>No</v>
      </c>
      <c r="J744" s="2">
        <f>IFERROR(VALUE(TRIM(SUBSTITUTE(UPPER([1]RawShipmentData!I744),"KG",""))),"")</f>
        <v>19.2</v>
      </c>
      <c r="K744" s="2">
        <f>VALUE(SUBSTITUTE(SUBSTITUTE(SUBSTITUTE(TRIM([1]RawShipmentData!J751),"₹",""),"Rs",""),",",""))</f>
        <v>249</v>
      </c>
      <c r="L744" s="2">
        <f>[1]RawShipmentData!K751</f>
        <v>6</v>
      </c>
      <c r="M744" s="3">
        <f>IF(TRIM([1]RawShipmentData!L751)="","",IF(ISNUMBER(SEARCH("/",TRIM([1]RawShipmentData!L751))),DATE(VALUE(RIGHT(TRIM([1]RawShipmentData!L751),4)),VALUE(MID(TRIM([1]RawShipmentData!L751),FIND("/",TRIM([1]RawShipmentData!L751))+1,2)),VALUE(LEFT(TRIM([1]RawShipmentData!L751),FIND("/",TRIM([1]RawShipmentData!L751))-1))),DATEVALUE(TRIM([1]RawShipmentData!L751))))</f>
        <v>45349</v>
      </c>
      <c r="N744" s="2">
        <f t="shared" si="56"/>
        <v>5</v>
      </c>
      <c r="O744" s="2">
        <f t="shared" si="57"/>
        <v>-1</v>
      </c>
      <c r="P744" s="2" t="str">
        <f t="shared" si="58"/>
        <v>On Time</v>
      </c>
      <c r="Q744" s="2" t="str">
        <f>PROPER(SUBSTITUTE(TRIM([1]RawShipmentData!M751)," ","-"))</f>
        <v>Delivered</v>
      </c>
      <c r="R744" s="4">
        <f t="shared" si="59"/>
        <v>12.96875</v>
      </c>
      <c r="S744" s="2">
        <f>[1]RawShipmentData!N751</f>
        <v>5</v>
      </c>
      <c r="T744" s="2" t="str">
        <f>IF(OR(UPPER(TRIM([1]RawShipmentData!O751))="YES",UPPER(TRIM([1]RawShipmentData!O751))="Y"),"Yes","No")</f>
        <v>Yes</v>
      </c>
    </row>
    <row r="745" spans="1:20" x14ac:dyDescent="0.25">
      <c r="A745" s="2" t="str">
        <f>[1]RawShipmentData!A752</f>
        <v>SHP-101451</v>
      </c>
      <c r="B745" s="3">
        <f>IF(ISNUMBER(SEARCH("/",TRIM([1]RawShipmentData!B752))),DATE(VALUE(RIGHT(TRIM([1]RawShipmentData!B752),4)),VALUE(MID(TRIM([1]RawShipmentData!B752),FIND("/",TRIM([1]RawShipmentData!B752))+1,2)),VALUE(LEFT(TRIM([1]RawShipmentData!B752),FIND("/",TRIM([1]RawShipmentData!B752))-1))),DATEVALUE(TRIM([1]RawShipmentData!B752)))</f>
        <v>45439</v>
      </c>
      <c r="C745" s="2" t="str">
        <f>PROPER(TRIM([1]RawShipmentData!C752))</f>
        <v>Mumbai</v>
      </c>
      <c r="D745" s="2" t="str">
        <f>IFERROR(INDEX([1]HubMaster!$B$2:$B$7,MATCH(C745,[1]HubMaster!$A$2:$A$7,0)),"Unknown")</f>
        <v>West</v>
      </c>
      <c r="E745" s="2" t="str">
        <f>PROPER(TRIM(SUBSTITUTE([1]RawShipmentData!D752,"  "," ")))</f>
        <v>Delhivery</v>
      </c>
      <c r="F745" s="2" t="str">
        <f>PROPER(TRIM([1]RawShipmentData!E752))</f>
        <v>Surface</v>
      </c>
      <c r="G745" s="2" t="str">
        <f>PROPER(TRIM(SUBSTITUTE([1]RawShipmentData!F752,"  "," ")))</f>
        <v>Apparel</v>
      </c>
      <c r="H745" s="2" t="str">
        <f>PROPER(TRIM([1]RawShipmentData!G752))</f>
        <v>West</v>
      </c>
      <c r="I745" s="2" t="str">
        <f t="shared" si="55"/>
        <v>No</v>
      </c>
      <c r="J745" s="2">
        <f>IFERROR(VALUE(TRIM(SUBSTITUTE(UPPER([1]RawShipmentData!I745),"KG",""))),"")</f>
        <v>7.6</v>
      </c>
      <c r="K745" s="2">
        <f>VALUE(SUBSTITUTE(SUBSTITUTE(SUBSTITUTE(TRIM([1]RawShipmentData!J752),"₹",""),"Rs",""),",",""))</f>
        <v>187</v>
      </c>
      <c r="L745" s="2">
        <f>[1]RawShipmentData!K752</f>
        <v>4</v>
      </c>
      <c r="M745" s="3">
        <f>IF(TRIM([1]RawShipmentData!L752)="","",IF(ISNUMBER(SEARCH("/",TRIM([1]RawShipmentData!L752))),DATE(VALUE(RIGHT(TRIM([1]RawShipmentData!L752),4)),VALUE(MID(TRIM([1]RawShipmentData!L752),FIND("/",TRIM([1]RawShipmentData!L752))+1,2)),VALUE(LEFT(TRIM([1]RawShipmentData!L752),FIND("/",TRIM([1]RawShipmentData!L752))-1))),DATEVALUE(TRIM([1]RawShipmentData!L752))))</f>
        <v>45443</v>
      </c>
      <c r="N745" s="2">
        <f t="shared" si="56"/>
        <v>4</v>
      </c>
      <c r="O745" s="2">
        <f t="shared" si="57"/>
        <v>0</v>
      </c>
      <c r="P745" s="2" t="str">
        <f t="shared" si="58"/>
        <v>On Time</v>
      </c>
      <c r="Q745" s="2" t="str">
        <f>PROPER(SUBSTITUTE(TRIM([1]RawShipmentData!M752)," ","-"))</f>
        <v>Returned</v>
      </c>
      <c r="R745" s="4">
        <f t="shared" si="59"/>
        <v>24.605263157894736</v>
      </c>
      <c r="S745" s="2">
        <f>[1]RawShipmentData!N752</f>
        <v>0</v>
      </c>
      <c r="T745" s="2" t="str">
        <f>IF(OR(UPPER(TRIM([1]RawShipmentData!O752))="YES",UPPER(TRIM([1]RawShipmentData!O752))="Y"),"Yes","No")</f>
        <v>No</v>
      </c>
    </row>
    <row r="746" spans="1:20" x14ac:dyDescent="0.25">
      <c r="A746" s="2" t="str">
        <f>[1]RawShipmentData!A753</f>
        <v>SHP-101027</v>
      </c>
      <c r="B746" s="3">
        <f>IF(ISNUMBER(SEARCH("/",TRIM([1]RawShipmentData!B753))),DATE(VALUE(RIGHT(TRIM([1]RawShipmentData!B753),4)),VALUE(MID(TRIM([1]RawShipmentData!B753),FIND("/",TRIM([1]RawShipmentData!B753))+1,2)),VALUE(LEFT(TRIM([1]RawShipmentData!B753),FIND("/",TRIM([1]RawShipmentData!B753))-1))),DATEVALUE(TRIM([1]RawShipmentData!B753)))</f>
        <v>45316</v>
      </c>
      <c r="C746" s="2" t="str">
        <f>PROPER(TRIM([1]RawShipmentData!C753))</f>
        <v>Mumbai</v>
      </c>
      <c r="D746" s="2" t="str">
        <f>IFERROR(INDEX([1]HubMaster!$B$2:$B$7,MATCH(C746,[1]HubMaster!$A$2:$A$7,0)),"Unknown")</f>
        <v>West</v>
      </c>
      <c r="E746" s="2" t="str">
        <f>PROPER(TRIM(SUBSTITUTE([1]RawShipmentData!D753,"  "," ")))</f>
        <v>Delhivery</v>
      </c>
      <c r="F746" s="2" t="str">
        <f>PROPER(TRIM([1]RawShipmentData!E753))</f>
        <v>Surface</v>
      </c>
      <c r="G746" s="2" t="str">
        <f>PROPER(TRIM(SUBSTITUTE([1]RawShipmentData!F753,"  "," ")))</f>
        <v>Apparel</v>
      </c>
      <c r="H746" s="2" t="str">
        <f>PROPER(TRIM([1]RawShipmentData!G753))</f>
        <v>West</v>
      </c>
      <c r="I746" s="2" t="str">
        <f t="shared" si="55"/>
        <v>No</v>
      </c>
      <c r="J746" s="2">
        <f>IFERROR(VALUE(TRIM(SUBSTITUTE(UPPER([1]RawShipmentData!I746),"KG",""))),"")</f>
        <v>14</v>
      </c>
      <c r="K746" s="2">
        <f>VALUE(SUBSTITUTE(SUBSTITUTE(SUBSTITUTE(TRIM([1]RawShipmentData!J753),"₹",""),"Rs",""),",",""))</f>
        <v>88</v>
      </c>
      <c r="L746" s="2">
        <f>[1]RawShipmentData!K753</f>
        <v>4</v>
      </c>
      <c r="M746" s="3">
        <f>IF(TRIM([1]RawShipmentData!L753)="","",IF(ISNUMBER(SEARCH("/",TRIM([1]RawShipmentData!L753))),DATE(VALUE(RIGHT(TRIM([1]RawShipmentData!L753),4)),VALUE(MID(TRIM([1]RawShipmentData!L753),FIND("/",TRIM([1]RawShipmentData!L753))+1,2)),VALUE(LEFT(TRIM([1]RawShipmentData!L753),FIND("/",TRIM([1]RawShipmentData!L753))-1))),DATEVALUE(TRIM([1]RawShipmentData!L753))))</f>
        <v>45320</v>
      </c>
      <c r="N746" s="2">
        <f t="shared" si="56"/>
        <v>4</v>
      </c>
      <c r="O746" s="2">
        <f t="shared" si="57"/>
        <v>0</v>
      </c>
      <c r="P746" s="2" t="str">
        <f t="shared" si="58"/>
        <v>On Time</v>
      </c>
      <c r="Q746" s="2" t="str">
        <f>PROPER(SUBSTITUTE(TRIM([1]RawShipmentData!M753)," ","-"))</f>
        <v>Delivered</v>
      </c>
      <c r="R746" s="4">
        <f t="shared" si="59"/>
        <v>6.2857142857142856</v>
      </c>
      <c r="S746" s="2">
        <f>[1]RawShipmentData!N753</f>
        <v>5</v>
      </c>
      <c r="T746" s="2" t="str">
        <f>IF(OR(UPPER(TRIM([1]RawShipmentData!O753))="YES",UPPER(TRIM([1]RawShipmentData!O753))="Y"),"Yes","No")</f>
        <v>No</v>
      </c>
    </row>
    <row r="747" spans="1:20" x14ac:dyDescent="0.25">
      <c r="A747" s="2" t="str">
        <f>[1]RawShipmentData!A754</f>
        <v>SHP-101533</v>
      </c>
      <c r="B747" s="3">
        <f>IF(ISNUMBER(SEARCH("/",TRIM([1]RawShipmentData!B754))),DATE(VALUE(RIGHT(TRIM([1]RawShipmentData!B754),4)),VALUE(MID(TRIM([1]RawShipmentData!B754),FIND("/",TRIM([1]RawShipmentData!B754))+1,2)),VALUE(LEFT(TRIM([1]RawShipmentData!B754),FIND("/",TRIM([1]RawShipmentData!B754))-1))),DATEVALUE(TRIM([1]RawShipmentData!B754)))</f>
        <v>45329</v>
      </c>
      <c r="C747" s="2" t="str">
        <f>PROPER(TRIM([1]RawShipmentData!C754))</f>
        <v>Kolkata</v>
      </c>
      <c r="D747" s="2" t="str">
        <f>IFERROR(INDEX([1]HubMaster!$B$2:$B$7,MATCH(C747,[1]HubMaster!$A$2:$A$7,0)),"Unknown")</f>
        <v>East</v>
      </c>
      <c r="E747" s="2" t="str">
        <f>PROPER(TRIM(SUBSTITUTE([1]RawShipmentData!D754,"  "," ")))</f>
        <v>Blue Dart</v>
      </c>
      <c r="F747" s="2" t="str">
        <f>PROPER(TRIM([1]RawShipmentData!E754))</f>
        <v>Surface</v>
      </c>
      <c r="G747" s="2" t="str">
        <f>PROPER(TRIM(SUBSTITUTE([1]RawShipmentData!F754,"  "," ")))</f>
        <v>Furniture</v>
      </c>
      <c r="H747" s="2" t="str">
        <f>PROPER(TRIM([1]RawShipmentData!G754))</f>
        <v>North</v>
      </c>
      <c r="I747" s="2" t="str">
        <f t="shared" si="55"/>
        <v>Yes</v>
      </c>
      <c r="J747" s="2">
        <f>IFERROR(VALUE(TRIM(SUBSTITUTE(UPPER([1]RawShipmentData!I747),"KG",""))),"")</f>
        <v>36.9</v>
      </c>
      <c r="K747" s="2">
        <f>VALUE(SUBSTITUTE(SUBSTITUTE(SUBSTITUTE(TRIM([1]RawShipmentData!J754),"₹",""),"Rs",""),",",""))</f>
        <v>1642</v>
      </c>
      <c r="L747" s="2">
        <f>[1]RawShipmentData!K754</f>
        <v>6</v>
      </c>
      <c r="M747" s="3">
        <f>IF(TRIM([1]RawShipmentData!L754)="","",IF(ISNUMBER(SEARCH("/",TRIM([1]RawShipmentData!L754))),DATE(VALUE(RIGHT(TRIM([1]RawShipmentData!L754),4)),VALUE(MID(TRIM([1]RawShipmentData!L754),FIND("/",TRIM([1]RawShipmentData!L754))+1,2)),VALUE(LEFT(TRIM([1]RawShipmentData!L754),FIND("/",TRIM([1]RawShipmentData!L754))-1))),DATEVALUE(TRIM([1]RawShipmentData!L754))))</f>
        <v>45334</v>
      </c>
      <c r="N747" s="2">
        <f t="shared" si="56"/>
        <v>5</v>
      </c>
      <c r="O747" s="2">
        <f t="shared" si="57"/>
        <v>-1</v>
      </c>
      <c r="P747" s="2" t="str">
        <f t="shared" si="58"/>
        <v>On Time</v>
      </c>
      <c r="Q747" s="2" t="str">
        <f>PROPER(SUBSTITUTE(TRIM([1]RawShipmentData!M754)," ","-"))</f>
        <v>Delivered</v>
      </c>
      <c r="R747" s="4">
        <f t="shared" si="59"/>
        <v>44.498644986449868</v>
      </c>
      <c r="S747" s="2">
        <f>[1]RawShipmentData!N754</f>
        <v>4</v>
      </c>
      <c r="T747" s="2" t="str">
        <f>IF(OR(UPPER(TRIM([1]RawShipmentData!O754))="YES",UPPER(TRIM([1]RawShipmentData!O754))="Y"),"Yes","No")</f>
        <v>Yes</v>
      </c>
    </row>
    <row r="748" spans="1:20" x14ac:dyDescent="0.25">
      <c r="A748" s="2" t="str">
        <f>[1]RawShipmentData!A755</f>
        <v>SHP-101364</v>
      </c>
      <c r="B748" s="3">
        <f>IF(ISNUMBER(SEARCH("/",TRIM([1]RawShipmentData!B755))),DATE(VALUE(RIGHT(TRIM([1]RawShipmentData!B755),4)),VALUE(MID(TRIM([1]RawShipmentData!B755),FIND("/",TRIM([1]RawShipmentData!B755))+1,2)),VALUE(LEFT(TRIM([1]RawShipmentData!B755),FIND("/",TRIM([1]RawShipmentData!B755))-1))),DATEVALUE(TRIM([1]RawShipmentData!B755)))</f>
        <v>45419</v>
      </c>
      <c r="C748" s="2" t="str">
        <f>PROPER(TRIM([1]RawShipmentData!C755))</f>
        <v>Chennai</v>
      </c>
      <c r="D748" s="2" t="str">
        <f>IFERROR(INDEX([1]HubMaster!$B$2:$B$7,MATCH(C748,[1]HubMaster!$A$2:$A$7,0)),"Unknown")</f>
        <v>South</v>
      </c>
      <c r="E748" s="2" t="str">
        <f>PROPER(TRIM(SUBSTITUTE([1]RawShipmentData!D755,"  "," ")))</f>
        <v>Xpressbees</v>
      </c>
      <c r="F748" s="2" t="str">
        <f>PROPER(TRIM([1]RawShipmentData!E755))</f>
        <v>Surface</v>
      </c>
      <c r="G748" s="2" t="str">
        <f>PROPER(TRIM(SUBSTITUTE([1]RawShipmentData!F755,"  "," ")))</f>
        <v>Apparel</v>
      </c>
      <c r="H748" s="2" t="str">
        <f>PROPER(TRIM([1]RawShipmentData!G755))</f>
        <v>South</v>
      </c>
      <c r="I748" s="2" t="str">
        <f t="shared" si="55"/>
        <v>No</v>
      </c>
      <c r="J748" s="2" t="str">
        <f>IFERROR(VALUE(TRIM(SUBSTITUTE(UPPER([1]RawShipmentData!I748),"KG",""))),"")</f>
        <v/>
      </c>
      <c r="K748" s="2">
        <f>VALUE(SUBSTITUTE(SUBSTITUTE(SUBSTITUTE(TRIM([1]RawShipmentData!J755),"₹",""),"Rs",""),",",""))</f>
        <v>150</v>
      </c>
      <c r="L748" s="2">
        <f>[1]RawShipmentData!K755</f>
        <v>4</v>
      </c>
      <c r="M748" s="3">
        <f>IF(TRIM([1]RawShipmentData!L755)="","",IF(ISNUMBER(SEARCH("/",TRIM([1]RawShipmentData!L755))),DATE(VALUE(RIGHT(TRIM([1]RawShipmentData!L755),4)),VALUE(MID(TRIM([1]RawShipmentData!L755),FIND("/",TRIM([1]RawShipmentData!L755))+1,2)),VALUE(LEFT(TRIM([1]RawShipmentData!L755),FIND("/",TRIM([1]RawShipmentData!L755))-1))),DATEVALUE(TRIM([1]RawShipmentData!L755))))</f>
        <v>45423</v>
      </c>
      <c r="N748" s="2">
        <f t="shared" si="56"/>
        <v>4</v>
      </c>
      <c r="O748" s="2">
        <f t="shared" si="57"/>
        <v>0</v>
      </c>
      <c r="P748" s="2" t="str">
        <f t="shared" si="58"/>
        <v>On Time</v>
      </c>
      <c r="Q748" s="2" t="str">
        <f>PROPER(SUBSTITUTE(TRIM([1]RawShipmentData!M755)," ","-"))</f>
        <v>Delivered</v>
      </c>
      <c r="R748" s="4" t="str">
        <f t="shared" si="59"/>
        <v/>
      </c>
      <c r="S748" s="2">
        <f>[1]RawShipmentData!N755</f>
        <v>5</v>
      </c>
      <c r="T748" s="2" t="str">
        <f>IF(OR(UPPER(TRIM([1]RawShipmentData!O755))="YES",UPPER(TRIM([1]RawShipmentData!O755))="Y"),"Yes","No")</f>
        <v>No</v>
      </c>
    </row>
    <row r="749" spans="1:20" x14ac:dyDescent="0.25">
      <c r="A749" s="2" t="str">
        <f>[1]RawShipmentData!A756</f>
        <v>SHP-100376</v>
      </c>
      <c r="B749" s="3">
        <f>IF(ISNUMBER(SEARCH("/",TRIM([1]RawShipmentData!B756))),DATE(VALUE(RIGHT(TRIM([1]RawShipmentData!B756),4)),VALUE(MID(TRIM([1]RawShipmentData!B756),FIND("/",TRIM([1]RawShipmentData!B756))+1,2)),VALUE(LEFT(TRIM([1]RawShipmentData!B756),FIND("/",TRIM([1]RawShipmentData!B756))-1))),DATEVALUE(TRIM([1]RawShipmentData!B756)))</f>
        <v>45378</v>
      </c>
      <c r="C749" s="2" t="str">
        <f>PROPER(TRIM([1]RawShipmentData!C756))</f>
        <v>Bengaluru</v>
      </c>
      <c r="D749" s="2" t="str">
        <f>IFERROR(INDEX([1]HubMaster!$B$2:$B$7,MATCH(C749,[1]HubMaster!$A$2:$A$7,0)),"Unknown")</f>
        <v>South</v>
      </c>
      <c r="E749" s="2" t="str">
        <f>PROPER(TRIM(SUBSTITUTE([1]RawShipmentData!D756,"  "," ")))</f>
        <v>Ecom Express</v>
      </c>
      <c r="F749" s="2" t="str">
        <f>PROPER(TRIM([1]RawShipmentData!E756))</f>
        <v>Road</v>
      </c>
      <c r="G749" s="2" t="str">
        <f>PROPER(TRIM(SUBSTITUTE([1]RawShipmentData!F756,"  "," ")))</f>
        <v>Grocery &amp; Fmcg</v>
      </c>
      <c r="H749" s="2" t="str">
        <f>PROPER(TRIM([1]RawShipmentData!G756))</f>
        <v>North</v>
      </c>
      <c r="I749" s="2" t="str">
        <f t="shared" si="55"/>
        <v>Yes</v>
      </c>
      <c r="J749" s="2">
        <f>IFERROR(VALUE(TRIM(SUBSTITUTE(UPPER([1]RawShipmentData!I749),"KG",""))),"")</f>
        <v>78.400000000000006</v>
      </c>
      <c r="K749" s="2">
        <f>VALUE(SUBSTITUTE(SUBSTITUTE(SUBSTITUTE(TRIM([1]RawShipmentData!J756),"₹",""),"Rs",""),",",""))</f>
        <v>415</v>
      </c>
      <c r="L749" s="2">
        <f>[1]RawShipmentData!K756</f>
        <v>8</v>
      </c>
      <c r="M749" s="3">
        <f>IF(TRIM([1]RawShipmentData!L756)="","",IF(ISNUMBER(SEARCH("/",TRIM([1]RawShipmentData!L756))),DATE(VALUE(RIGHT(TRIM([1]RawShipmentData!L756),4)),VALUE(MID(TRIM([1]RawShipmentData!L756),FIND("/",TRIM([1]RawShipmentData!L756))+1,2)),VALUE(LEFT(TRIM([1]RawShipmentData!L756),FIND("/",TRIM([1]RawShipmentData!L756))-1))),DATEVALUE(TRIM([1]RawShipmentData!L756))))</f>
        <v>45385</v>
      </c>
      <c r="N749" s="2">
        <f t="shared" si="56"/>
        <v>7</v>
      </c>
      <c r="O749" s="2">
        <f t="shared" si="57"/>
        <v>-1</v>
      </c>
      <c r="P749" s="2" t="str">
        <f t="shared" si="58"/>
        <v>On Time</v>
      </c>
      <c r="Q749" s="2" t="str">
        <f>PROPER(SUBSTITUTE(TRIM([1]RawShipmentData!M756)," ","-"))</f>
        <v>Delivered</v>
      </c>
      <c r="R749" s="4">
        <f t="shared" si="59"/>
        <v>5.2933673469387754</v>
      </c>
      <c r="S749" s="2">
        <f>[1]RawShipmentData!N756</f>
        <v>5</v>
      </c>
      <c r="T749" s="2" t="str">
        <f>IF(OR(UPPER(TRIM([1]RawShipmentData!O756))="YES",UPPER(TRIM([1]RawShipmentData!O756))="Y"),"Yes","No")</f>
        <v>No</v>
      </c>
    </row>
    <row r="750" spans="1:20" x14ac:dyDescent="0.25">
      <c r="A750" s="2" t="str">
        <f>[1]RawShipmentData!A757</f>
        <v>SHP-101584</v>
      </c>
      <c r="B750" s="3">
        <f>IF(ISNUMBER(SEARCH("/",TRIM([1]RawShipmentData!B757))),DATE(VALUE(RIGHT(TRIM([1]RawShipmentData!B757),4)),VALUE(MID(TRIM([1]RawShipmentData!B757),FIND("/",TRIM([1]RawShipmentData!B757))+1,2)),VALUE(LEFT(TRIM([1]RawShipmentData!B757),FIND("/",TRIM([1]RawShipmentData!B757))-1))),DATEVALUE(TRIM([1]RawShipmentData!B757)))</f>
        <v>45446</v>
      </c>
      <c r="C750" s="2" t="str">
        <f>PROPER(TRIM([1]RawShipmentData!C757))</f>
        <v>Kolkata</v>
      </c>
      <c r="D750" s="2" t="str">
        <f>IFERROR(INDEX([1]HubMaster!$B$2:$B$7,MATCH(C750,[1]HubMaster!$A$2:$A$7,0)),"Unknown")</f>
        <v>East</v>
      </c>
      <c r="E750" s="2" t="str">
        <f>PROPER(TRIM(SUBSTITUTE([1]RawShipmentData!D757,"  "," ")))</f>
        <v>Dtdc</v>
      </c>
      <c r="F750" s="2" t="str">
        <f>PROPER(TRIM([1]RawShipmentData!E757))</f>
        <v>Surface</v>
      </c>
      <c r="G750" s="2" t="str">
        <f>PROPER(TRIM(SUBSTITUTE([1]RawShipmentData!F757,"  "," ")))</f>
        <v>Apparel</v>
      </c>
      <c r="H750" s="2" t="str">
        <f>PROPER(TRIM([1]RawShipmentData!G757))</f>
        <v>South</v>
      </c>
      <c r="I750" s="2" t="str">
        <f t="shared" si="55"/>
        <v>Yes</v>
      </c>
      <c r="J750" s="2">
        <f>IFERROR(VALUE(TRIM(SUBSTITUTE(UPPER([1]RawShipmentData!I750),"KG",""))),"")</f>
        <v>27.7</v>
      </c>
      <c r="K750" s="2">
        <f>VALUE(SUBSTITUTE(SUBSTITUTE(SUBSTITUTE(TRIM([1]RawShipmentData!J757),"₹",""),"Rs",""),",",""))</f>
        <v>222</v>
      </c>
      <c r="L750" s="2">
        <f>[1]RawShipmentData!K757</f>
        <v>6</v>
      </c>
      <c r="M750" s="3">
        <f>IF(TRIM([1]RawShipmentData!L757)="","",IF(ISNUMBER(SEARCH("/",TRIM([1]RawShipmentData!L757))),DATE(VALUE(RIGHT(TRIM([1]RawShipmentData!L757),4)),VALUE(MID(TRIM([1]RawShipmentData!L757),FIND("/",TRIM([1]RawShipmentData!L757))+1,2)),VALUE(LEFT(TRIM([1]RawShipmentData!L757),FIND("/",TRIM([1]RawShipmentData!L757))-1))),DATEVALUE(TRIM([1]RawShipmentData!L757))))</f>
        <v>45452</v>
      </c>
      <c r="N750" s="2">
        <f t="shared" si="56"/>
        <v>6</v>
      </c>
      <c r="O750" s="2">
        <f t="shared" si="57"/>
        <v>0</v>
      </c>
      <c r="P750" s="2" t="str">
        <f t="shared" si="58"/>
        <v>On Time</v>
      </c>
      <c r="Q750" s="2" t="str">
        <f>PROPER(SUBSTITUTE(TRIM([1]RawShipmentData!M757)," ","-"))</f>
        <v>Delivered</v>
      </c>
      <c r="R750" s="4">
        <f t="shared" si="59"/>
        <v>8.0144404332129966</v>
      </c>
      <c r="S750" s="2">
        <f>[1]RawShipmentData!N757</f>
        <v>5</v>
      </c>
      <c r="T750" s="2" t="str">
        <f>IF(OR(UPPER(TRIM([1]RawShipmentData!O757))="YES",UPPER(TRIM([1]RawShipmentData!O757))="Y"),"Yes","No")</f>
        <v>No</v>
      </c>
    </row>
    <row r="751" spans="1:20" x14ac:dyDescent="0.25">
      <c r="A751" s="2" t="str">
        <f>[1]RawShipmentData!A758</f>
        <v>SHP-100754</v>
      </c>
      <c r="B751" s="3">
        <f>IF(ISNUMBER(SEARCH("/",TRIM([1]RawShipmentData!B758))),DATE(VALUE(RIGHT(TRIM([1]RawShipmentData!B758),4)),VALUE(MID(TRIM([1]RawShipmentData!B758),FIND("/",TRIM([1]RawShipmentData!B758))+1,2)),VALUE(LEFT(TRIM([1]RawShipmentData!B758),FIND("/",TRIM([1]RawShipmentData!B758))-1))),DATEVALUE(TRIM([1]RawShipmentData!B758)))</f>
        <v>45371</v>
      </c>
      <c r="C751" s="2" t="str">
        <f>PROPER(TRIM([1]RawShipmentData!C758))</f>
        <v>Bengaluru</v>
      </c>
      <c r="D751" s="2" t="str">
        <f>IFERROR(INDEX([1]HubMaster!$B$2:$B$7,MATCH(C751,[1]HubMaster!$A$2:$A$7,0)),"Unknown")</f>
        <v>South</v>
      </c>
      <c r="E751" s="2" t="str">
        <f>PROPER(TRIM(SUBSTITUTE([1]RawShipmentData!D758,"  "," ")))</f>
        <v>Dtdc</v>
      </c>
      <c r="F751" s="2" t="str">
        <f>PROPER(TRIM([1]RawShipmentData!E758))</f>
        <v>Air</v>
      </c>
      <c r="G751" s="2" t="str">
        <f>PROPER(TRIM(SUBSTITUTE([1]RawShipmentData!F758,"  "," ")))</f>
        <v>Apparel</v>
      </c>
      <c r="H751" s="2" t="str">
        <f>PROPER(TRIM([1]RawShipmentData!G758))</f>
        <v>East</v>
      </c>
      <c r="I751" s="2" t="str">
        <f t="shared" si="55"/>
        <v>Yes</v>
      </c>
      <c r="J751" s="2">
        <f>IFERROR(VALUE(TRIM(SUBSTITUTE(UPPER([1]RawShipmentData!I751),"KG",""))),"")</f>
        <v>18.8</v>
      </c>
      <c r="K751" s="2">
        <f>VALUE(SUBSTITUTE(SUBSTITUTE(SUBSTITUTE(TRIM([1]RawShipmentData!J758),"₹",""),"Rs",""),",",""))</f>
        <v>391</v>
      </c>
      <c r="L751" s="2">
        <f>[1]RawShipmentData!K758</f>
        <v>4</v>
      </c>
      <c r="M751" s="3">
        <f>IF(TRIM([1]RawShipmentData!L758)="","",IF(ISNUMBER(SEARCH("/",TRIM([1]RawShipmentData!L758))),DATE(VALUE(RIGHT(TRIM([1]RawShipmentData!L758),4)),VALUE(MID(TRIM([1]RawShipmentData!L758),FIND("/",TRIM([1]RawShipmentData!L758))+1,2)),VALUE(LEFT(TRIM([1]RawShipmentData!L758),FIND("/",TRIM([1]RawShipmentData!L758))-1))),DATEVALUE(TRIM([1]RawShipmentData!L758))))</f>
        <v>45374</v>
      </c>
      <c r="N751" s="2">
        <f t="shared" si="56"/>
        <v>3</v>
      </c>
      <c r="O751" s="2">
        <f t="shared" si="57"/>
        <v>-1</v>
      </c>
      <c r="P751" s="2" t="str">
        <f t="shared" si="58"/>
        <v>On Time</v>
      </c>
      <c r="Q751" s="2" t="str">
        <f>PROPER(SUBSTITUTE(TRIM([1]RawShipmentData!M758)," ","-"))</f>
        <v>Delivered</v>
      </c>
      <c r="R751" s="4">
        <f t="shared" si="59"/>
        <v>20.797872340425531</v>
      </c>
      <c r="S751" s="2">
        <f>[1]RawShipmentData!N758</f>
        <v>5</v>
      </c>
      <c r="T751" s="2" t="str">
        <f>IF(OR(UPPER(TRIM([1]RawShipmentData!O758))="YES",UPPER(TRIM([1]RawShipmentData!O758))="Y"),"Yes","No")</f>
        <v>Yes</v>
      </c>
    </row>
    <row r="752" spans="1:20" x14ac:dyDescent="0.25">
      <c r="A752" s="2" t="str">
        <f>[1]RawShipmentData!A759</f>
        <v>SHP-101377</v>
      </c>
      <c r="B752" s="3">
        <f>IF(ISNUMBER(SEARCH("/",TRIM([1]RawShipmentData!B759))),DATE(VALUE(RIGHT(TRIM([1]RawShipmentData!B759),4)),VALUE(MID(TRIM([1]RawShipmentData!B759),FIND("/",TRIM([1]RawShipmentData!B759))+1,2)),VALUE(LEFT(TRIM([1]RawShipmentData!B759),FIND("/",TRIM([1]RawShipmentData!B759))-1))),DATEVALUE(TRIM([1]RawShipmentData!B759)))</f>
        <v>45316</v>
      </c>
      <c r="C752" s="2" t="str">
        <f>PROPER(TRIM([1]RawShipmentData!C759))</f>
        <v>Delhi</v>
      </c>
      <c r="D752" s="2" t="str">
        <f>IFERROR(INDEX([1]HubMaster!$B$2:$B$7,MATCH(C752,[1]HubMaster!$A$2:$A$7,0)),"Unknown")</f>
        <v>North</v>
      </c>
      <c r="E752" s="2" t="str">
        <f>PROPER(TRIM(SUBSTITUTE([1]RawShipmentData!D759,"  "," ")))</f>
        <v>Dtdc</v>
      </c>
      <c r="F752" s="2" t="str">
        <f>PROPER(TRIM([1]RawShipmentData!E759))</f>
        <v>Road</v>
      </c>
      <c r="G752" s="2" t="str">
        <f>PROPER(TRIM(SUBSTITUTE([1]RawShipmentData!F759,"  "," ")))</f>
        <v>Furniture</v>
      </c>
      <c r="H752" s="2" t="str">
        <f>PROPER(TRIM([1]RawShipmentData!G759))</f>
        <v>East</v>
      </c>
      <c r="I752" s="2" t="str">
        <f t="shared" si="55"/>
        <v>Yes</v>
      </c>
      <c r="J752" s="2">
        <f>IFERROR(VALUE(TRIM(SUBSTITUTE(UPPER([1]RawShipmentData!I752),"KG",""))),"")</f>
        <v>6.7</v>
      </c>
      <c r="K752" s="2">
        <f>VALUE(SUBSTITUTE(SUBSTITUTE(SUBSTITUTE(TRIM([1]RawShipmentData!J759),"₹",""),"Rs",""),",",""))</f>
        <v>363</v>
      </c>
      <c r="L752" s="2">
        <f>[1]RawShipmentData!K759</f>
        <v>8</v>
      </c>
      <c r="M752" s="3">
        <f>IF(TRIM([1]RawShipmentData!L759)="","",IF(ISNUMBER(SEARCH("/",TRIM([1]RawShipmentData!L759))),DATE(VALUE(RIGHT(TRIM([1]RawShipmentData!L759),4)),VALUE(MID(TRIM([1]RawShipmentData!L759),FIND("/",TRIM([1]RawShipmentData!L759))+1,2)),VALUE(LEFT(TRIM([1]RawShipmentData!L759),FIND("/",TRIM([1]RawShipmentData!L759))-1))),DATEVALUE(TRIM([1]RawShipmentData!L759))))</f>
        <v>45332</v>
      </c>
      <c r="N752" s="2">
        <f t="shared" si="56"/>
        <v>16</v>
      </c>
      <c r="O752" s="2">
        <f t="shared" si="57"/>
        <v>8</v>
      </c>
      <c r="P752" s="2" t="str">
        <f t="shared" si="58"/>
        <v>Late</v>
      </c>
      <c r="Q752" s="2" t="str">
        <f>PROPER(SUBSTITUTE(TRIM([1]RawShipmentData!M759)," ","-"))</f>
        <v>Delayed</v>
      </c>
      <c r="R752" s="4">
        <f t="shared" si="59"/>
        <v>54.179104477611936</v>
      </c>
      <c r="S752" s="2">
        <f>[1]RawShipmentData!N759</f>
        <v>4</v>
      </c>
      <c r="T752" s="2" t="str">
        <f>IF(OR(UPPER(TRIM([1]RawShipmentData!O759))="YES",UPPER(TRIM([1]RawShipmentData!O759))="Y"),"Yes","No")</f>
        <v>No</v>
      </c>
    </row>
    <row r="753" spans="1:20" x14ac:dyDescent="0.25">
      <c r="A753" s="2" t="str">
        <f>[1]RawShipmentData!A760</f>
        <v>SHP-100426</v>
      </c>
      <c r="B753" s="3">
        <f>IF(ISNUMBER(SEARCH("/",TRIM([1]RawShipmentData!B760))),DATE(VALUE(RIGHT(TRIM([1]RawShipmentData!B760),4)),VALUE(MID(TRIM([1]RawShipmentData!B760),FIND("/",TRIM([1]RawShipmentData!B760))+1,2)),VALUE(LEFT(TRIM([1]RawShipmentData!B760),FIND("/",TRIM([1]RawShipmentData!B760))-1))),DATEVALUE(TRIM([1]RawShipmentData!B760)))</f>
        <v>45469</v>
      </c>
      <c r="C753" s="2" t="str">
        <f>PROPER(TRIM([1]RawShipmentData!C760))</f>
        <v>Delhi</v>
      </c>
      <c r="D753" s="2" t="str">
        <f>IFERROR(INDEX([1]HubMaster!$B$2:$B$7,MATCH(C753,[1]HubMaster!$A$2:$A$7,0)),"Unknown")</f>
        <v>North</v>
      </c>
      <c r="E753" s="2" t="str">
        <f>PROPER(TRIM(SUBSTITUTE([1]RawShipmentData!D760,"  "," ")))</f>
        <v>Ecom Express</v>
      </c>
      <c r="F753" s="2" t="str">
        <f>PROPER(TRIM([1]RawShipmentData!E760))</f>
        <v>Air</v>
      </c>
      <c r="G753" s="2" t="str">
        <f>PROPER(TRIM(SUBSTITUTE([1]RawShipmentData!F760,"  "," ")))</f>
        <v>Furniture</v>
      </c>
      <c r="H753" s="2" t="str">
        <f>PROPER(TRIM([1]RawShipmentData!G760))</f>
        <v>East</v>
      </c>
      <c r="I753" s="2" t="str">
        <f t="shared" si="55"/>
        <v>Yes</v>
      </c>
      <c r="J753" s="2">
        <f>IFERROR(VALUE(TRIM(SUBSTITUTE(UPPER([1]RawShipmentData!I753),"KG",""))),"")</f>
        <v>2.5</v>
      </c>
      <c r="K753" s="2">
        <f>VALUE(SUBSTITUTE(SUBSTITUTE(SUBSTITUTE(TRIM([1]RawShipmentData!J760),"₹",""),"Rs",""),",",""))</f>
        <v>2134</v>
      </c>
      <c r="L753" s="2">
        <f>[1]RawShipmentData!K760</f>
        <v>4</v>
      </c>
      <c r="M753" s="3">
        <f>IF(TRIM([1]RawShipmentData!L760)="","",IF(ISNUMBER(SEARCH("/",TRIM([1]RawShipmentData!L760))),DATE(VALUE(RIGHT(TRIM([1]RawShipmentData!L760),4)),VALUE(MID(TRIM([1]RawShipmentData!L760),FIND("/",TRIM([1]RawShipmentData!L760))+1,2)),VALUE(LEFT(TRIM([1]RawShipmentData!L760),FIND("/",TRIM([1]RawShipmentData!L760))-1))),DATEVALUE(TRIM([1]RawShipmentData!L760))))</f>
        <v>45472</v>
      </c>
      <c r="N753" s="2">
        <f t="shared" si="56"/>
        <v>3</v>
      </c>
      <c r="O753" s="2">
        <f t="shared" si="57"/>
        <v>-1</v>
      </c>
      <c r="P753" s="2" t="str">
        <f t="shared" si="58"/>
        <v>On Time</v>
      </c>
      <c r="Q753" s="2" t="str">
        <f>PROPER(SUBSTITUTE(TRIM([1]RawShipmentData!M760)," ","-"))</f>
        <v>Delivered</v>
      </c>
      <c r="R753" s="4">
        <f t="shared" si="59"/>
        <v>853.6</v>
      </c>
      <c r="S753" s="2">
        <f>[1]RawShipmentData!N760</f>
        <v>3</v>
      </c>
      <c r="T753" s="2" t="str">
        <f>IF(OR(UPPER(TRIM([1]RawShipmentData!O760))="YES",UPPER(TRIM([1]RawShipmentData!O760))="Y"),"Yes","No")</f>
        <v>No</v>
      </c>
    </row>
    <row r="754" spans="1:20" x14ac:dyDescent="0.25">
      <c r="A754" s="2" t="str">
        <f>[1]RawShipmentData!A761</f>
        <v>SHP-100586</v>
      </c>
      <c r="B754" s="3">
        <f>IF(ISNUMBER(SEARCH("/",TRIM([1]RawShipmentData!B761))),DATE(VALUE(RIGHT(TRIM([1]RawShipmentData!B761),4)),VALUE(MID(TRIM([1]RawShipmentData!B761),FIND("/",TRIM([1]RawShipmentData!B761))+1,2)),VALUE(LEFT(TRIM([1]RawShipmentData!B761),FIND("/",TRIM([1]RawShipmentData!B761))-1))),DATEVALUE(TRIM([1]RawShipmentData!B761)))</f>
        <v>45342</v>
      </c>
      <c r="C754" s="2" t="str">
        <f>PROPER(TRIM([1]RawShipmentData!C761))</f>
        <v>Kolkata</v>
      </c>
      <c r="D754" s="2" t="str">
        <f>IFERROR(INDEX([1]HubMaster!$B$2:$B$7,MATCH(C754,[1]HubMaster!$A$2:$A$7,0)),"Unknown")</f>
        <v>East</v>
      </c>
      <c r="E754" s="2" t="str">
        <f>PROPER(TRIM(SUBSTITUTE([1]RawShipmentData!D761,"  "," ")))</f>
        <v>Xpressbees</v>
      </c>
      <c r="F754" s="2" t="str">
        <f>PROPER(TRIM([1]RawShipmentData!E761))</f>
        <v>Surface</v>
      </c>
      <c r="G754" s="2" t="str">
        <f>PROPER(TRIM(SUBSTITUTE([1]RawShipmentData!F761,"  "," ")))</f>
        <v>Electronics</v>
      </c>
      <c r="H754" s="2" t="str">
        <f>PROPER(TRIM([1]RawShipmentData!G761))</f>
        <v>West</v>
      </c>
      <c r="I754" s="2" t="str">
        <f t="shared" si="55"/>
        <v>Yes</v>
      </c>
      <c r="J754" s="2">
        <f>IFERROR(VALUE(TRIM(SUBSTITUTE(UPPER([1]RawShipmentData!I754),"KG",""))),"")</f>
        <v>66.2</v>
      </c>
      <c r="K754" s="2">
        <f>VALUE(SUBSTITUTE(SUBSTITUTE(SUBSTITUTE(TRIM([1]RawShipmentData!J761),"₹",""),"Rs",""),",",""))</f>
        <v>360</v>
      </c>
      <c r="L754" s="2">
        <f>[1]RawShipmentData!K761</f>
        <v>6</v>
      </c>
      <c r="M754" s="3">
        <f>IF(TRIM([1]RawShipmentData!L761)="","",IF(ISNUMBER(SEARCH("/",TRIM([1]RawShipmentData!L761))),DATE(VALUE(RIGHT(TRIM([1]RawShipmentData!L761),4)),VALUE(MID(TRIM([1]RawShipmentData!L761),FIND("/",TRIM([1]RawShipmentData!L761))+1,2)),VALUE(LEFT(TRIM([1]RawShipmentData!L761),FIND("/",TRIM([1]RawShipmentData!L761))-1))),DATEVALUE(TRIM([1]RawShipmentData!L761))))</f>
        <v>45349</v>
      </c>
      <c r="N754" s="2">
        <f t="shared" si="56"/>
        <v>7</v>
      </c>
      <c r="O754" s="2">
        <f t="shared" si="57"/>
        <v>1</v>
      </c>
      <c r="P754" s="2" t="str">
        <f t="shared" si="58"/>
        <v>Late</v>
      </c>
      <c r="Q754" s="2" t="str">
        <f>PROPER(SUBSTITUTE(TRIM([1]RawShipmentData!M761)," ","-"))</f>
        <v>Delayed</v>
      </c>
      <c r="R754" s="4">
        <f t="shared" si="59"/>
        <v>5.4380664652567976</v>
      </c>
      <c r="S754" s="2">
        <f>[1]RawShipmentData!N761</f>
        <v>4</v>
      </c>
      <c r="T754" s="2" t="str">
        <f>IF(OR(UPPER(TRIM([1]RawShipmentData!O761))="YES",UPPER(TRIM([1]RawShipmentData!O761))="Y"),"Yes","No")</f>
        <v>No</v>
      </c>
    </row>
    <row r="755" spans="1:20" x14ac:dyDescent="0.25">
      <c r="A755" s="2" t="str">
        <f>[1]RawShipmentData!A762</f>
        <v>SHP-101008</v>
      </c>
      <c r="B755" s="3">
        <f>IF(ISNUMBER(SEARCH("/",TRIM([1]RawShipmentData!B762))),DATE(VALUE(RIGHT(TRIM([1]RawShipmentData!B762),4)),VALUE(MID(TRIM([1]RawShipmentData!B762),FIND("/",TRIM([1]RawShipmentData!B762))+1,2)),VALUE(LEFT(TRIM([1]RawShipmentData!B762),FIND("/",TRIM([1]RawShipmentData!B762))-1))),DATEVALUE(TRIM([1]RawShipmentData!B762)))</f>
        <v>45374</v>
      </c>
      <c r="C755" s="2" t="str">
        <f>PROPER(TRIM([1]RawShipmentData!C762))</f>
        <v>Hyderabad</v>
      </c>
      <c r="D755" s="2" t="str">
        <f>IFERROR(INDEX([1]HubMaster!$B$2:$B$7,MATCH(C755,[1]HubMaster!$A$2:$A$7,0)),"Unknown")</f>
        <v>West</v>
      </c>
      <c r="E755" s="2" t="str">
        <f>PROPER(TRIM(SUBSTITUTE([1]RawShipmentData!D762,"  "," ")))</f>
        <v>Bluedart</v>
      </c>
      <c r="F755" s="2" t="str">
        <f>PROPER(TRIM([1]RawShipmentData!E762))</f>
        <v>Road</v>
      </c>
      <c r="G755" s="2" t="str">
        <f>PROPER(TRIM(SUBSTITUTE([1]RawShipmentData!F762,"  "," ")))</f>
        <v>Grocery &amp; Fmcg</v>
      </c>
      <c r="H755" s="2" t="str">
        <f>PROPER(TRIM([1]RawShipmentData!G762))</f>
        <v>North</v>
      </c>
      <c r="I755" s="2" t="str">
        <f t="shared" si="55"/>
        <v>Yes</v>
      </c>
      <c r="J755" s="2">
        <f>IFERROR(VALUE(TRIM(SUBSTITUTE(UPPER([1]RawShipmentData!I755),"KG",""))),"")</f>
        <v>6.1</v>
      </c>
      <c r="K755" s="2">
        <f>VALUE(SUBSTITUTE(SUBSTITUTE(SUBSTITUTE(TRIM([1]RawShipmentData!J762),"₹",""),"Rs",""),",",""))</f>
        <v>397</v>
      </c>
      <c r="L755" s="2">
        <f>[1]RawShipmentData!K762</f>
        <v>8</v>
      </c>
      <c r="M755" s="3">
        <f>IF(TRIM([1]RawShipmentData!L762)="","",IF(ISNUMBER(SEARCH("/",TRIM([1]RawShipmentData!L762))),DATE(VALUE(RIGHT(TRIM([1]RawShipmentData!L762),4)),VALUE(MID(TRIM([1]RawShipmentData!L762),FIND("/",TRIM([1]RawShipmentData!L762))+1,2)),VALUE(LEFT(TRIM([1]RawShipmentData!L762),FIND("/",TRIM([1]RawShipmentData!L762))-1))),DATEVALUE(TRIM([1]RawShipmentData!L762))))</f>
        <v>45382</v>
      </c>
      <c r="N755" s="2">
        <f t="shared" si="56"/>
        <v>8</v>
      </c>
      <c r="O755" s="2">
        <f t="shared" si="57"/>
        <v>0</v>
      </c>
      <c r="P755" s="2" t="str">
        <f t="shared" si="58"/>
        <v>On Time</v>
      </c>
      <c r="Q755" s="2" t="str">
        <f>PROPER(SUBSTITUTE(TRIM([1]RawShipmentData!M762)," ","-"))</f>
        <v>Delivered</v>
      </c>
      <c r="R755" s="4">
        <f t="shared" si="59"/>
        <v>65.081967213114751</v>
      </c>
      <c r="S755" s="2">
        <f>[1]RawShipmentData!N762</f>
        <v>5</v>
      </c>
      <c r="T755" s="2" t="str">
        <f>IF(OR(UPPER(TRIM([1]RawShipmentData!O762))="YES",UPPER(TRIM([1]RawShipmentData!O762))="Y"),"Yes","No")</f>
        <v>Yes</v>
      </c>
    </row>
    <row r="756" spans="1:20" x14ac:dyDescent="0.25">
      <c r="A756" s="2" t="str">
        <f>[1]RawShipmentData!A763</f>
        <v>SHP-100232</v>
      </c>
      <c r="B756" s="3">
        <f>IF(ISNUMBER(SEARCH("/",TRIM([1]RawShipmentData!B763))),DATE(VALUE(RIGHT(TRIM([1]RawShipmentData!B763),4)),VALUE(MID(TRIM([1]RawShipmentData!B763),FIND("/",TRIM([1]RawShipmentData!B763))+1,2)),VALUE(LEFT(TRIM([1]RawShipmentData!B763),FIND("/",TRIM([1]RawShipmentData!B763))-1))),DATEVALUE(TRIM([1]RawShipmentData!B763)))</f>
        <v>45438</v>
      </c>
      <c r="C756" s="2" t="str">
        <f>PROPER(TRIM([1]RawShipmentData!C763))</f>
        <v>Kolkata</v>
      </c>
      <c r="D756" s="2" t="str">
        <f>IFERROR(INDEX([1]HubMaster!$B$2:$B$7,MATCH(C756,[1]HubMaster!$A$2:$A$7,0)),"Unknown")</f>
        <v>East</v>
      </c>
      <c r="E756" s="2" t="str">
        <f>PROPER(TRIM(SUBSTITUTE([1]RawShipmentData!D763,"  "," ")))</f>
        <v>Ecom Express</v>
      </c>
      <c r="F756" s="2" t="str">
        <f>PROPER(TRIM([1]RawShipmentData!E763))</f>
        <v>Air</v>
      </c>
      <c r="G756" s="2" t="str">
        <f>PROPER(TRIM(SUBSTITUTE([1]RawShipmentData!F763,"  "," ")))</f>
        <v>Grocery &amp; Fmcg</v>
      </c>
      <c r="H756" s="2" t="str">
        <f>PROPER(TRIM([1]RawShipmentData!G763))</f>
        <v>North</v>
      </c>
      <c r="I756" s="2" t="str">
        <f t="shared" si="55"/>
        <v>Yes</v>
      </c>
      <c r="J756" s="2">
        <f>IFERROR(VALUE(TRIM(SUBSTITUTE(UPPER([1]RawShipmentData!I756),"KG",""))),"")</f>
        <v>15.9</v>
      </c>
      <c r="K756" s="2">
        <f>VALUE(SUBSTITUTE(SUBSTITUTE(SUBSTITUTE(TRIM([1]RawShipmentData!J763),"₹",""),"Rs",""),",",""))</f>
        <v>478</v>
      </c>
      <c r="L756" s="2">
        <f>[1]RawShipmentData!K763</f>
        <v>4</v>
      </c>
      <c r="M756" s="3">
        <f>IF(TRIM([1]RawShipmentData!L763)="","",IF(ISNUMBER(SEARCH("/",TRIM([1]RawShipmentData!L763))),DATE(VALUE(RIGHT(TRIM([1]RawShipmentData!L763),4)),VALUE(MID(TRIM([1]RawShipmentData!L763),FIND("/",TRIM([1]RawShipmentData!L763))+1,2)),VALUE(LEFT(TRIM([1]RawShipmentData!L763),FIND("/",TRIM([1]RawShipmentData!L763))-1))),DATEVALUE(TRIM([1]RawShipmentData!L763))))</f>
        <v>45450</v>
      </c>
      <c r="N756" s="2">
        <f t="shared" si="56"/>
        <v>12</v>
      </c>
      <c r="O756" s="2">
        <f t="shared" si="57"/>
        <v>8</v>
      </c>
      <c r="P756" s="2" t="str">
        <f t="shared" si="58"/>
        <v>Late</v>
      </c>
      <c r="Q756" s="2" t="str">
        <f>PROPER(SUBSTITUTE(TRIM([1]RawShipmentData!M763)," ","-"))</f>
        <v>Delayed</v>
      </c>
      <c r="R756" s="4">
        <f t="shared" si="59"/>
        <v>30.062893081761004</v>
      </c>
      <c r="S756" s="2">
        <f>[1]RawShipmentData!N763</f>
        <v>4</v>
      </c>
      <c r="T756" s="2" t="str">
        <f>IF(OR(UPPER(TRIM([1]RawShipmentData!O763))="YES",UPPER(TRIM([1]RawShipmentData!O763))="Y"),"Yes","No")</f>
        <v>Yes</v>
      </c>
    </row>
    <row r="757" spans="1:20" x14ac:dyDescent="0.25">
      <c r="A757" s="2" t="str">
        <f>[1]RawShipmentData!A764</f>
        <v>SHP-100186</v>
      </c>
      <c r="B757" s="3">
        <f>IF(ISNUMBER(SEARCH("/",TRIM([1]RawShipmentData!B764))),DATE(VALUE(RIGHT(TRIM([1]RawShipmentData!B764),4)),VALUE(MID(TRIM([1]RawShipmentData!B764),FIND("/",TRIM([1]RawShipmentData!B764))+1,2)),VALUE(LEFT(TRIM([1]RawShipmentData!B764),FIND("/",TRIM([1]RawShipmentData!B764))-1))),DATEVALUE(TRIM([1]RawShipmentData!B764)))</f>
        <v>45370</v>
      </c>
      <c r="C757" s="2" t="str">
        <f>PROPER(TRIM([1]RawShipmentData!C764))</f>
        <v>Hyderabad</v>
      </c>
      <c r="D757" s="2" t="str">
        <f>IFERROR(INDEX([1]HubMaster!$B$2:$B$7,MATCH(C757,[1]HubMaster!$A$2:$A$7,0)),"Unknown")</f>
        <v>West</v>
      </c>
      <c r="E757" s="2" t="str">
        <f>PROPER(TRIM(SUBSTITUTE([1]RawShipmentData!D764,"  "," ")))</f>
        <v>Blue Dart</v>
      </c>
      <c r="F757" s="2" t="str">
        <f>PROPER(TRIM([1]RawShipmentData!E764))</f>
        <v>Road</v>
      </c>
      <c r="G757" s="2" t="str">
        <f>PROPER(TRIM(SUBSTITUTE([1]RawShipmentData!F764,"  "," ")))</f>
        <v>Electronics</v>
      </c>
      <c r="H757" s="2" t="str">
        <f>PROPER(TRIM([1]RawShipmentData!G764))</f>
        <v>West</v>
      </c>
      <c r="I757" s="2" t="str">
        <f t="shared" si="55"/>
        <v>No</v>
      </c>
      <c r="J757" s="2">
        <f>IFERROR(VALUE(TRIM(SUBSTITUTE(UPPER([1]RawShipmentData!I757),"KG",""))),"")</f>
        <v>2.8</v>
      </c>
      <c r="K757" s="2">
        <f>VALUE(SUBSTITUTE(SUBSTITUTE(SUBSTITUTE(TRIM([1]RawShipmentData!J764),"₹",""),"Rs",""),",",""))</f>
        <v>177</v>
      </c>
      <c r="L757" s="2">
        <f>[1]RawShipmentData!K764</f>
        <v>6</v>
      </c>
      <c r="M757" s="3">
        <f>IF(TRIM([1]RawShipmentData!L764)="","",IF(ISNUMBER(SEARCH("/",TRIM([1]RawShipmentData!L764))),DATE(VALUE(RIGHT(TRIM([1]RawShipmentData!L764),4)),VALUE(MID(TRIM([1]RawShipmentData!L764),FIND("/",TRIM([1]RawShipmentData!L764))+1,2)),VALUE(LEFT(TRIM([1]RawShipmentData!L764),FIND("/",TRIM([1]RawShipmentData!L764))-1))),DATEVALUE(TRIM([1]RawShipmentData!L764))))</f>
        <v>45375</v>
      </c>
      <c r="N757" s="2">
        <f t="shared" si="56"/>
        <v>5</v>
      </c>
      <c r="O757" s="2">
        <f t="shared" si="57"/>
        <v>-1</v>
      </c>
      <c r="P757" s="2" t="str">
        <f t="shared" si="58"/>
        <v>On Time</v>
      </c>
      <c r="Q757" s="2" t="str">
        <f>PROPER(SUBSTITUTE(TRIM([1]RawShipmentData!M764)," ","-"))</f>
        <v>Delivered</v>
      </c>
      <c r="R757" s="4">
        <f t="shared" si="59"/>
        <v>63.214285714285715</v>
      </c>
      <c r="S757" s="2">
        <f>[1]RawShipmentData!N764</f>
        <v>4</v>
      </c>
      <c r="T757" s="2" t="str">
        <f>IF(OR(UPPER(TRIM([1]RawShipmentData!O764))="YES",UPPER(TRIM([1]RawShipmentData!O764))="Y"),"Yes","No")</f>
        <v>No</v>
      </c>
    </row>
    <row r="758" spans="1:20" x14ac:dyDescent="0.25">
      <c r="A758" s="2" t="str">
        <f>[1]RawShipmentData!A765</f>
        <v>SHP-100643</v>
      </c>
      <c r="B758" s="3">
        <f>IF(ISNUMBER(SEARCH("/",TRIM([1]RawShipmentData!B765))),DATE(VALUE(RIGHT(TRIM([1]RawShipmentData!B765),4)),VALUE(MID(TRIM([1]RawShipmentData!B765),FIND("/",TRIM([1]RawShipmentData!B765))+1,2)),VALUE(LEFT(TRIM([1]RawShipmentData!B765),FIND("/",TRIM([1]RawShipmentData!B765))-1))),DATEVALUE(TRIM([1]RawShipmentData!B765)))</f>
        <v>45333</v>
      </c>
      <c r="C758" s="2" t="str">
        <f>PROPER(TRIM([1]RawShipmentData!C765))</f>
        <v>Kolkata</v>
      </c>
      <c r="D758" s="2" t="str">
        <f>IFERROR(INDEX([1]HubMaster!$B$2:$B$7,MATCH(C758,[1]HubMaster!$A$2:$A$7,0)),"Unknown")</f>
        <v>East</v>
      </c>
      <c r="E758" s="2" t="str">
        <f>PROPER(TRIM(SUBSTITUTE([1]RawShipmentData!D765,"  "," ")))</f>
        <v>Bluedart</v>
      </c>
      <c r="F758" s="2" t="str">
        <f>PROPER(TRIM([1]RawShipmentData!E765))</f>
        <v>Road</v>
      </c>
      <c r="G758" s="2" t="str">
        <f>PROPER(TRIM(SUBSTITUTE([1]RawShipmentData!F765,"  "," ")))</f>
        <v>Electronics</v>
      </c>
      <c r="H758" s="2" t="str">
        <f>PROPER(TRIM([1]RawShipmentData!G765))</f>
        <v>West</v>
      </c>
      <c r="I758" s="2" t="str">
        <f t="shared" si="55"/>
        <v>Yes</v>
      </c>
      <c r="J758" s="2">
        <f>IFERROR(VALUE(TRIM(SUBSTITUTE(UPPER([1]RawShipmentData!I758),"KG",""))),"")</f>
        <v>4.5999999999999996</v>
      </c>
      <c r="K758" s="2">
        <f>VALUE(SUBSTITUTE(SUBSTITUTE(SUBSTITUTE(TRIM([1]RawShipmentData!J765),"₹",""),"Rs",""),",",""))</f>
        <v>297</v>
      </c>
      <c r="L758" s="2">
        <f>[1]RawShipmentData!K765</f>
        <v>8</v>
      </c>
      <c r="M758" s="3">
        <f>IF(TRIM([1]RawShipmentData!L765)="","",IF(ISNUMBER(SEARCH("/",TRIM([1]RawShipmentData!L765))),DATE(VALUE(RIGHT(TRIM([1]RawShipmentData!L765),4)),VALUE(MID(TRIM([1]RawShipmentData!L765),FIND("/",TRIM([1]RawShipmentData!L765))+1,2)),VALUE(LEFT(TRIM([1]RawShipmentData!L765),FIND("/",TRIM([1]RawShipmentData!L765))-1))),DATEVALUE(TRIM([1]RawShipmentData!L765))))</f>
        <v>45342</v>
      </c>
      <c r="N758" s="2">
        <f t="shared" si="56"/>
        <v>9</v>
      </c>
      <c r="O758" s="2">
        <f t="shared" si="57"/>
        <v>1</v>
      </c>
      <c r="P758" s="2" t="str">
        <f t="shared" si="58"/>
        <v>Late</v>
      </c>
      <c r="Q758" s="2" t="str">
        <f>PROPER(SUBSTITUTE(TRIM([1]RawShipmentData!M765)," ","-"))</f>
        <v>Delayed</v>
      </c>
      <c r="R758" s="4">
        <f t="shared" si="59"/>
        <v>64.565217391304358</v>
      </c>
      <c r="S758" s="2">
        <f>[1]RawShipmentData!N765</f>
        <v>3</v>
      </c>
      <c r="T758" s="2" t="str">
        <f>IF(OR(UPPER(TRIM([1]RawShipmentData!O765))="YES",UPPER(TRIM([1]RawShipmentData!O765))="Y"),"Yes","No")</f>
        <v>Yes</v>
      </c>
    </row>
    <row r="759" spans="1:20" x14ac:dyDescent="0.25">
      <c r="A759" s="2" t="str">
        <f>[1]RawShipmentData!A766</f>
        <v>SHP-100689</v>
      </c>
      <c r="B759" s="3">
        <f>IF(ISNUMBER(SEARCH("/",TRIM([1]RawShipmentData!B766))),DATE(VALUE(RIGHT(TRIM([1]RawShipmentData!B766),4)),VALUE(MID(TRIM([1]RawShipmentData!B766),FIND("/",TRIM([1]RawShipmentData!B766))+1,2)),VALUE(LEFT(TRIM([1]RawShipmentData!B766),FIND("/",TRIM([1]RawShipmentData!B766))-1))),DATEVALUE(TRIM([1]RawShipmentData!B766)))</f>
        <v>45462</v>
      </c>
      <c r="C759" s="2" t="str">
        <f>PROPER(TRIM([1]RawShipmentData!C766))</f>
        <v>Chennai</v>
      </c>
      <c r="D759" s="2" t="str">
        <f>IFERROR(INDEX([1]HubMaster!$B$2:$B$7,MATCH(C759,[1]HubMaster!$A$2:$A$7,0)),"Unknown")</f>
        <v>South</v>
      </c>
      <c r="E759" s="2" t="str">
        <f>PROPER(TRIM(SUBSTITUTE([1]RawShipmentData!D766,"  "," ")))</f>
        <v>Ecom Express</v>
      </c>
      <c r="F759" s="2" t="str">
        <f>PROPER(TRIM([1]RawShipmentData!E766))</f>
        <v>Surface</v>
      </c>
      <c r="G759" s="2" t="str">
        <f>PROPER(TRIM(SUBSTITUTE([1]RawShipmentData!F766,"  "," ")))</f>
        <v>Automotive Parts</v>
      </c>
      <c r="H759" s="2" t="str">
        <f>PROPER(TRIM([1]RawShipmentData!G766))</f>
        <v>East</v>
      </c>
      <c r="I759" s="2" t="str">
        <f t="shared" si="55"/>
        <v>Yes</v>
      </c>
      <c r="J759" s="2">
        <f>IFERROR(VALUE(TRIM(SUBSTITUTE(UPPER([1]RawShipmentData!I759),"KG",""))),"")</f>
        <v>16.899999999999999</v>
      </c>
      <c r="K759" s="2">
        <f>VALUE(SUBSTITUTE(SUBSTITUTE(SUBSTITUTE(TRIM([1]RawShipmentData!J766),"₹",""),"Rs",""),",",""))</f>
        <v>305</v>
      </c>
      <c r="L759" s="2">
        <f>[1]RawShipmentData!K766</f>
        <v>6</v>
      </c>
      <c r="M759" s="3">
        <f>IF(TRIM([1]RawShipmentData!L766)="","",IF(ISNUMBER(SEARCH("/",TRIM([1]RawShipmentData!L766))),DATE(VALUE(RIGHT(TRIM([1]RawShipmentData!L766),4)),VALUE(MID(TRIM([1]RawShipmentData!L766),FIND("/",TRIM([1]RawShipmentData!L766))+1,2)),VALUE(LEFT(TRIM([1]RawShipmentData!L766),FIND("/",TRIM([1]RawShipmentData!L766))-1))),DATEVALUE(TRIM([1]RawShipmentData!L766))))</f>
        <v>45473</v>
      </c>
      <c r="N759" s="2">
        <f t="shared" si="56"/>
        <v>11</v>
      </c>
      <c r="O759" s="2">
        <f t="shared" si="57"/>
        <v>5</v>
      </c>
      <c r="P759" s="2" t="str">
        <f t="shared" si="58"/>
        <v>Late</v>
      </c>
      <c r="Q759" s="2" t="str">
        <f>PROPER(SUBSTITUTE(TRIM([1]RawShipmentData!M766)," ","-"))</f>
        <v>Delayed</v>
      </c>
      <c r="R759" s="4">
        <f t="shared" si="59"/>
        <v>18.047337278106511</v>
      </c>
      <c r="S759" s="2">
        <f>[1]RawShipmentData!N766</f>
        <v>2</v>
      </c>
      <c r="T759" s="2" t="str">
        <f>IF(OR(UPPER(TRIM([1]RawShipmentData!O766))="YES",UPPER(TRIM([1]RawShipmentData!O766))="Y"),"Yes","No")</f>
        <v>Yes</v>
      </c>
    </row>
    <row r="760" spans="1:20" x14ac:dyDescent="0.25">
      <c r="A760" s="2" t="str">
        <f>[1]RawShipmentData!A767</f>
        <v>SHP-100170</v>
      </c>
      <c r="B760" s="3">
        <f>IF(ISNUMBER(SEARCH("/",TRIM([1]RawShipmentData!B767))),DATE(VALUE(RIGHT(TRIM([1]RawShipmentData!B767),4)),VALUE(MID(TRIM([1]RawShipmentData!B767),FIND("/",TRIM([1]RawShipmentData!B767))+1,2)),VALUE(LEFT(TRIM([1]RawShipmentData!B767),FIND("/",TRIM([1]RawShipmentData!B767))-1))),DATEVALUE(TRIM([1]RawShipmentData!B767)))</f>
        <v>45332</v>
      </c>
      <c r="C760" s="2" t="str">
        <f>PROPER(TRIM([1]RawShipmentData!C767))</f>
        <v>Mumbai</v>
      </c>
      <c r="D760" s="2" t="str">
        <f>IFERROR(INDEX([1]HubMaster!$B$2:$B$7,MATCH(C760,[1]HubMaster!$A$2:$A$7,0)),"Unknown")</f>
        <v>West</v>
      </c>
      <c r="E760" s="2" t="str">
        <f>PROPER(TRIM(SUBSTITUTE([1]RawShipmentData!D767,"  "," ")))</f>
        <v>Xpressbees</v>
      </c>
      <c r="F760" s="2" t="str">
        <f>PROPER(TRIM([1]RawShipmentData!E767))</f>
        <v>Road</v>
      </c>
      <c r="G760" s="2" t="str">
        <f>PROPER(TRIM(SUBSTITUTE([1]RawShipmentData!F767,"  "," ")))</f>
        <v>Grocery &amp; Fmcg</v>
      </c>
      <c r="H760" s="2" t="str">
        <f>PROPER(TRIM([1]RawShipmentData!G767))</f>
        <v>West</v>
      </c>
      <c r="I760" s="2" t="str">
        <f t="shared" si="55"/>
        <v>No</v>
      </c>
      <c r="J760" s="2">
        <f>IFERROR(VALUE(TRIM(SUBSTITUTE(UPPER([1]RawShipmentData!I760),"KG",""))),"")</f>
        <v>44.2</v>
      </c>
      <c r="K760" s="2">
        <f>VALUE(SUBSTITUTE(SUBSTITUTE(SUBSTITUTE(TRIM([1]RawShipmentData!J767),"₹",""),"Rs",""),",",""))</f>
        <v>95</v>
      </c>
      <c r="L760" s="2">
        <f>[1]RawShipmentData!K767</f>
        <v>6</v>
      </c>
      <c r="M760" s="3">
        <f>IF(TRIM([1]RawShipmentData!L767)="","",IF(ISNUMBER(SEARCH("/",TRIM([1]RawShipmentData!L767))),DATE(VALUE(RIGHT(TRIM([1]RawShipmentData!L767),4)),VALUE(MID(TRIM([1]RawShipmentData!L767),FIND("/",TRIM([1]RawShipmentData!L767))+1,2)),VALUE(LEFT(TRIM([1]RawShipmentData!L767),FIND("/",TRIM([1]RawShipmentData!L767))-1))),DATEVALUE(TRIM([1]RawShipmentData!L767))))</f>
        <v>45337</v>
      </c>
      <c r="N760" s="2">
        <f t="shared" si="56"/>
        <v>5</v>
      </c>
      <c r="O760" s="2">
        <f t="shared" si="57"/>
        <v>-1</v>
      </c>
      <c r="P760" s="2" t="str">
        <f t="shared" si="58"/>
        <v>On Time</v>
      </c>
      <c r="Q760" s="2" t="str">
        <f>PROPER(SUBSTITUTE(TRIM([1]RawShipmentData!M767)," ","-"))</f>
        <v>Delivered</v>
      </c>
      <c r="R760" s="4">
        <f t="shared" si="59"/>
        <v>2.1493212669683257</v>
      </c>
      <c r="S760" s="2">
        <f>[1]RawShipmentData!N767</f>
        <v>4</v>
      </c>
      <c r="T760" s="2" t="str">
        <f>IF(OR(UPPER(TRIM([1]RawShipmentData!O767))="YES",UPPER(TRIM([1]RawShipmentData!O767))="Y"),"Yes","No")</f>
        <v>No</v>
      </c>
    </row>
    <row r="761" spans="1:20" x14ac:dyDescent="0.25">
      <c r="A761" s="2" t="str">
        <f>[1]RawShipmentData!A768</f>
        <v>SHP-101273</v>
      </c>
      <c r="B761" s="3">
        <f>IF(ISNUMBER(SEARCH("/",TRIM([1]RawShipmentData!B768))),DATE(VALUE(RIGHT(TRIM([1]RawShipmentData!B768),4)),VALUE(MID(TRIM([1]RawShipmentData!B768),FIND("/",TRIM([1]RawShipmentData!B768))+1,2)),VALUE(LEFT(TRIM([1]RawShipmentData!B768),FIND("/",TRIM([1]RawShipmentData!B768))-1))),DATEVALUE(TRIM([1]RawShipmentData!B768)))</f>
        <v>45424</v>
      </c>
      <c r="C761" s="2" t="str">
        <f>PROPER(TRIM([1]RawShipmentData!C768))</f>
        <v>Kolkata</v>
      </c>
      <c r="D761" s="2" t="str">
        <f>IFERROR(INDEX([1]HubMaster!$B$2:$B$7,MATCH(C761,[1]HubMaster!$A$2:$A$7,0)),"Unknown")</f>
        <v>East</v>
      </c>
      <c r="E761" s="2" t="str">
        <f>PROPER(TRIM(SUBSTITUTE([1]RawShipmentData!D768,"  "," ")))</f>
        <v>Blue Dart</v>
      </c>
      <c r="F761" s="2" t="str">
        <f>PROPER(TRIM([1]RawShipmentData!E768))</f>
        <v>Road</v>
      </c>
      <c r="G761" s="2" t="str">
        <f>PROPER(TRIM(SUBSTITUTE([1]RawShipmentData!F768,"  "," ")))</f>
        <v>Furniture</v>
      </c>
      <c r="H761" s="2" t="str">
        <f>PROPER(TRIM([1]RawShipmentData!G768))</f>
        <v>South</v>
      </c>
      <c r="I761" s="2" t="str">
        <f t="shared" si="55"/>
        <v>Yes</v>
      </c>
      <c r="J761" s="2">
        <f>IFERROR(VALUE(TRIM(SUBSTITUTE(UPPER([1]RawShipmentData!I761),"KG",""))),"")</f>
        <v>9.3000000000000007</v>
      </c>
      <c r="K761" s="2">
        <f>VALUE(SUBSTITUTE(SUBSTITUTE(SUBSTITUTE(TRIM([1]RawShipmentData!J768),"₹",""),"Rs",""),",",""))</f>
        <v>881</v>
      </c>
      <c r="L761" s="2">
        <f>[1]RawShipmentData!K768</f>
        <v>8</v>
      </c>
      <c r="M761" s="3">
        <f>IF(TRIM([1]RawShipmentData!L768)="","",IF(ISNUMBER(SEARCH("/",TRIM([1]RawShipmentData!L768))),DATE(VALUE(RIGHT(TRIM([1]RawShipmentData!L768),4)),VALUE(MID(TRIM([1]RawShipmentData!L768),FIND("/",TRIM([1]RawShipmentData!L768))+1,2)),VALUE(LEFT(TRIM([1]RawShipmentData!L768),FIND("/",TRIM([1]RawShipmentData!L768))-1))),DATEVALUE(TRIM([1]RawShipmentData!L768))))</f>
        <v>45433</v>
      </c>
      <c r="N761" s="2">
        <f t="shared" si="56"/>
        <v>9</v>
      </c>
      <c r="O761" s="2">
        <f t="shared" si="57"/>
        <v>1</v>
      </c>
      <c r="P761" s="2" t="str">
        <f t="shared" si="58"/>
        <v>Late</v>
      </c>
      <c r="Q761" s="2" t="str">
        <f>PROPER(SUBSTITUTE(TRIM([1]RawShipmentData!M768)," ","-"))</f>
        <v>Delayed</v>
      </c>
      <c r="R761" s="4">
        <f t="shared" si="59"/>
        <v>94.731182795698913</v>
      </c>
      <c r="S761" s="2">
        <f>[1]RawShipmentData!N768</f>
        <v>1</v>
      </c>
      <c r="T761" s="2" t="str">
        <f>IF(OR(UPPER(TRIM([1]RawShipmentData!O768))="YES",UPPER(TRIM([1]RawShipmentData!O768))="Y"),"Yes","No")</f>
        <v>Yes</v>
      </c>
    </row>
    <row r="762" spans="1:20" x14ac:dyDescent="0.25">
      <c r="A762" s="2" t="str">
        <f>[1]RawShipmentData!A769</f>
        <v>SHP-100166</v>
      </c>
      <c r="B762" s="3">
        <f>IF(ISNUMBER(SEARCH("/",TRIM([1]RawShipmentData!B769))),DATE(VALUE(RIGHT(TRIM([1]RawShipmentData!B769),4)),VALUE(MID(TRIM([1]RawShipmentData!B769),FIND("/",TRIM([1]RawShipmentData!B769))+1,2)),VALUE(LEFT(TRIM([1]RawShipmentData!B769),FIND("/",TRIM([1]RawShipmentData!B769))-1))),DATEVALUE(TRIM([1]RawShipmentData!B769)))</f>
        <v>45350</v>
      </c>
      <c r="C762" s="2" t="str">
        <f>PROPER(TRIM([1]RawShipmentData!C769))</f>
        <v>Kolkata</v>
      </c>
      <c r="D762" s="2" t="str">
        <f>IFERROR(INDEX([1]HubMaster!$B$2:$B$7,MATCH(C762,[1]HubMaster!$A$2:$A$7,0)),"Unknown")</f>
        <v>East</v>
      </c>
      <c r="E762" s="2" t="str">
        <f>PROPER(TRIM(SUBSTITUTE([1]RawShipmentData!D769,"  "," ")))</f>
        <v>Delhivery</v>
      </c>
      <c r="F762" s="2" t="str">
        <f>PROPER(TRIM([1]RawShipmentData!E769))</f>
        <v>Road</v>
      </c>
      <c r="G762" s="2" t="str">
        <f>PROPER(TRIM(SUBSTITUTE([1]RawShipmentData!F769,"  "," ")))</f>
        <v>Apparel</v>
      </c>
      <c r="H762" s="2" t="str">
        <f>PROPER(TRIM([1]RawShipmentData!G769))</f>
        <v>East</v>
      </c>
      <c r="I762" s="2" t="str">
        <f t="shared" si="55"/>
        <v>No</v>
      </c>
      <c r="J762" s="2">
        <f>IFERROR(VALUE(TRIM(SUBSTITUTE(UPPER([1]RawShipmentData!I762),"KG",""))),"")</f>
        <v>19.600000000000001</v>
      </c>
      <c r="K762" s="2">
        <f>VALUE(SUBSTITUTE(SUBSTITUTE(SUBSTITUTE(TRIM([1]RawShipmentData!J769),"₹",""),"Rs",""),",",""))</f>
        <v>80</v>
      </c>
      <c r="L762" s="2">
        <f>[1]RawShipmentData!K769</f>
        <v>6</v>
      </c>
      <c r="M762" s="3">
        <f>IF(TRIM([1]RawShipmentData!L769)="","",IF(ISNUMBER(SEARCH("/",TRIM([1]RawShipmentData!L769))),DATE(VALUE(RIGHT(TRIM([1]RawShipmentData!L769),4)),VALUE(MID(TRIM([1]RawShipmentData!L769),FIND("/",TRIM([1]RawShipmentData!L769))+1,2)),VALUE(LEFT(TRIM([1]RawShipmentData!L769),FIND("/",TRIM([1]RawShipmentData!L769))-1))),DATEVALUE(TRIM([1]RawShipmentData!L769))))</f>
        <v>45355</v>
      </c>
      <c r="N762" s="2">
        <f t="shared" si="56"/>
        <v>5</v>
      </c>
      <c r="O762" s="2">
        <f t="shared" si="57"/>
        <v>-1</v>
      </c>
      <c r="P762" s="2" t="str">
        <f t="shared" si="58"/>
        <v>On Time</v>
      </c>
      <c r="Q762" s="2" t="str">
        <f>PROPER(SUBSTITUTE(TRIM([1]RawShipmentData!M769)," ","-"))</f>
        <v>Damaged</v>
      </c>
      <c r="R762" s="4">
        <f t="shared" si="59"/>
        <v>4.0816326530612246</v>
      </c>
      <c r="S762" s="2">
        <f>[1]RawShipmentData!N769</f>
        <v>0</v>
      </c>
      <c r="T762" s="2" t="str">
        <f>IF(OR(UPPER(TRIM([1]RawShipmentData!O769))="YES",UPPER(TRIM([1]RawShipmentData!O769))="Y"),"Yes","No")</f>
        <v>No</v>
      </c>
    </row>
    <row r="763" spans="1:20" x14ac:dyDescent="0.25">
      <c r="A763" s="2" t="str">
        <f>[1]RawShipmentData!A770</f>
        <v>SHP-101051</v>
      </c>
      <c r="B763" s="3">
        <f>IF(ISNUMBER(SEARCH("/",TRIM([1]RawShipmentData!B770))),DATE(VALUE(RIGHT(TRIM([1]RawShipmentData!B770),4)),VALUE(MID(TRIM([1]RawShipmentData!B770),FIND("/",TRIM([1]RawShipmentData!B770))+1,2)),VALUE(LEFT(TRIM([1]RawShipmentData!B770),FIND("/",TRIM([1]RawShipmentData!B770))-1))),DATEVALUE(TRIM([1]RawShipmentData!B770)))</f>
        <v>45464</v>
      </c>
      <c r="C763" s="2" t="str">
        <f>PROPER(TRIM([1]RawShipmentData!C770))</f>
        <v>Hyderabad</v>
      </c>
      <c r="D763" s="2" t="str">
        <f>IFERROR(INDEX([1]HubMaster!$B$2:$B$7,MATCH(C763,[1]HubMaster!$A$2:$A$7,0)),"Unknown")</f>
        <v>West</v>
      </c>
      <c r="E763" s="2" t="str">
        <f>PROPER(TRIM(SUBSTITUTE([1]RawShipmentData!D770,"  "," ")))</f>
        <v>Blue Dart</v>
      </c>
      <c r="F763" s="2" t="str">
        <f>PROPER(TRIM([1]RawShipmentData!E770))</f>
        <v>Air</v>
      </c>
      <c r="G763" s="2" t="str">
        <f>PROPER(TRIM(SUBSTITUTE([1]RawShipmentData!F770,"  "," ")))</f>
        <v>Furniture</v>
      </c>
      <c r="H763" s="2" t="str">
        <f>PROPER(TRIM([1]RawShipmentData!G770))</f>
        <v>East</v>
      </c>
      <c r="I763" s="2" t="str">
        <f t="shared" si="55"/>
        <v>Yes</v>
      </c>
      <c r="J763" s="2">
        <f>IFERROR(VALUE(TRIM(SUBSTITUTE(UPPER([1]RawShipmentData!I763),"KG",""))),"")</f>
        <v>6.3</v>
      </c>
      <c r="K763" s="2">
        <f>VALUE(SUBSTITUTE(SUBSTITUTE(SUBSTITUTE(TRIM([1]RawShipmentData!J770),"₹",""),"Rs",""),",",""))</f>
        <v>3113</v>
      </c>
      <c r="L763" s="2">
        <f>[1]RawShipmentData!K770</f>
        <v>4</v>
      </c>
      <c r="M763" s="3">
        <f>IF(TRIM([1]RawShipmentData!L770)="","",IF(ISNUMBER(SEARCH("/",TRIM([1]RawShipmentData!L770))),DATE(VALUE(RIGHT(TRIM([1]RawShipmentData!L770),4)),VALUE(MID(TRIM([1]RawShipmentData!L770),FIND("/",TRIM([1]RawShipmentData!L770))+1,2)),VALUE(LEFT(TRIM([1]RawShipmentData!L770),FIND("/",TRIM([1]RawShipmentData!L770))-1))),DATEVALUE(TRIM([1]RawShipmentData!L770))))</f>
        <v>45468</v>
      </c>
      <c r="N763" s="2">
        <f t="shared" si="56"/>
        <v>4</v>
      </c>
      <c r="O763" s="2">
        <f t="shared" si="57"/>
        <v>0</v>
      </c>
      <c r="P763" s="2" t="str">
        <f t="shared" si="58"/>
        <v>On Time</v>
      </c>
      <c r="Q763" s="2" t="str">
        <f>PROPER(SUBSTITUTE(TRIM([1]RawShipmentData!M770)," ","-"))</f>
        <v>Delivered</v>
      </c>
      <c r="R763" s="4">
        <f t="shared" si="59"/>
        <v>494.12698412698415</v>
      </c>
      <c r="S763" s="2">
        <f>[1]RawShipmentData!N770</f>
        <v>4</v>
      </c>
      <c r="T763" s="2" t="str">
        <f>IF(OR(UPPER(TRIM([1]RawShipmentData!O770))="YES",UPPER(TRIM([1]RawShipmentData!O770))="Y"),"Yes","No")</f>
        <v>No</v>
      </c>
    </row>
    <row r="764" spans="1:20" x14ac:dyDescent="0.25">
      <c r="A764" s="2" t="str">
        <f>[1]RawShipmentData!A771</f>
        <v>SHP-101471</v>
      </c>
      <c r="B764" s="3">
        <f>IF(ISNUMBER(SEARCH("/",TRIM([1]RawShipmentData!B771))),DATE(VALUE(RIGHT(TRIM([1]RawShipmentData!B771),4)),VALUE(MID(TRIM([1]RawShipmentData!B771),FIND("/",TRIM([1]RawShipmentData!B771))+1,2)),VALUE(LEFT(TRIM([1]RawShipmentData!B771),FIND("/",TRIM([1]RawShipmentData!B771))-1))),DATEVALUE(TRIM([1]RawShipmentData!B771)))</f>
        <v>45302</v>
      </c>
      <c r="C764" s="2" t="str">
        <f>PROPER(TRIM([1]RawShipmentData!C771))</f>
        <v>Chennai</v>
      </c>
      <c r="D764" s="2" t="str">
        <f>IFERROR(INDEX([1]HubMaster!$B$2:$B$7,MATCH(C764,[1]HubMaster!$A$2:$A$7,0)),"Unknown")</f>
        <v>South</v>
      </c>
      <c r="E764" s="2" t="str">
        <f>PROPER(TRIM(SUBSTITUTE([1]RawShipmentData!D771,"  "," ")))</f>
        <v>Ecom Express</v>
      </c>
      <c r="F764" s="2" t="str">
        <f>PROPER(TRIM([1]RawShipmentData!E771))</f>
        <v>Surface</v>
      </c>
      <c r="G764" s="2" t="str">
        <f>PROPER(TRIM(SUBSTITUTE([1]RawShipmentData!F771,"  "," ")))</f>
        <v>Furniture</v>
      </c>
      <c r="H764" s="2" t="str">
        <f>PROPER(TRIM([1]RawShipmentData!G771))</f>
        <v>West</v>
      </c>
      <c r="I764" s="2" t="str">
        <f t="shared" si="55"/>
        <v>Yes</v>
      </c>
      <c r="J764" s="2">
        <f>IFERROR(VALUE(TRIM(SUBSTITUTE(UPPER([1]RawShipmentData!I764),"KG",""))),"")</f>
        <v>9.1999999999999993</v>
      </c>
      <c r="K764" s="2">
        <f>VALUE(SUBSTITUTE(SUBSTITUTE(SUBSTITUTE(TRIM([1]RawShipmentData!J771),"₹",""),"Rs",""),",",""))</f>
        <v>1604</v>
      </c>
      <c r="L764" s="2">
        <f>[1]RawShipmentData!K771</f>
        <v>6</v>
      </c>
      <c r="M764" s="3">
        <f>IF(TRIM([1]RawShipmentData!L771)="","",IF(ISNUMBER(SEARCH("/",TRIM([1]RawShipmentData!L771))),DATE(VALUE(RIGHT(TRIM([1]RawShipmentData!L771),4)),VALUE(MID(TRIM([1]RawShipmentData!L771),FIND("/",TRIM([1]RawShipmentData!L771))+1,2)),VALUE(LEFT(TRIM([1]RawShipmentData!L771),FIND("/",TRIM([1]RawShipmentData!L771))-1))),DATEVALUE(TRIM([1]RawShipmentData!L771))))</f>
        <v>45308</v>
      </c>
      <c r="N764" s="2">
        <f t="shared" si="56"/>
        <v>6</v>
      </c>
      <c r="O764" s="2">
        <f t="shared" si="57"/>
        <v>0</v>
      </c>
      <c r="P764" s="2" t="str">
        <f t="shared" si="58"/>
        <v>On Time</v>
      </c>
      <c r="Q764" s="2" t="str">
        <f>PROPER(SUBSTITUTE(TRIM([1]RawShipmentData!M771)," ","-"))</f>
        <v>Delivered</v>
      </c>
      <c r="R764" s="4">
        <f t="shared" si="59"/>
        <v>174.34782608695653</v>
      </c>
      <c r="S764" s="2">
        <f>[1]RawShipmentData!N771</f>
        <v>3</v>
      </c>
      <c r="T764" s="2" t="str">
        <f>IF(OR(UPPER(TRIM([1]RawShipmentData!O771))="YES",UPPER(TRIM([1]RawShipmentData!O771))="Y"),"Yes","No")</f>
        <v>Yes</v>
      </c>
    </row>
    <row r="765" spans="1:20" x14ac:dyDescent="0.25">
      <c r="A765" s="2" t="str">
        <f>[1]RawShipmentData!A772</f>
        <v>SHP-101141</v>
      </c>
      <c r="B765" s="3">
        <f>IF(ISNUMBER(SEARCH("/",TRIM([1]RawShipmentData!B772))),DATE(VALUE(RIGHT(TRIM([1]RawShipmentData!B772),4)),VALUE(MID(TRIM([1]RawShipmentData!B772),FIND("/",TRIM([1]RawShipmentData!B772))+1,2)),VALUE(LEFT(TRIM([1]RawShipmentData!B772),FIND("/",TRIM([1]RawShipmentData!B772))-1))),DATEVALUE(TRIM([1]RawShipmentData!B772)))</f>
        <v>45389</v>
      </c>
      <c r="C765" s="2" t="str">
        <f>PROPER(TRIM([1]RawShipmentData!C772))</f>
        <v>Chennai</v>
      </c>
      <c r="D765" s="2" t="str">
        <f>IFERROR(INDEX([1]HubMaster!$B$2:$B$7,MATCH(C765,[1]HubMaster!$A$2:$A$7,0)),"Unknown")</f>
        <v>South</v>
      </c>
      <c r="E765" s="2" t="str">
        <f>PROPER(TRIM(SUBSTITUTE([1]RawShipmentData!D772,"  "," ")))</f>
        <v>Ecom Express</v>
      </c>
      <c r="F765" s="2" t="str">
        <f>PROPER(TRIM([1]RawShipmentData!E772))</f>
        <v>Road</v>
      </c>
      <c r="G765" s="2" t="str">
        <f>PROPER(TRIM(SUBSTITUTE([1]RawShipmentData!F772,"  "," ")))</f>
        <v>Electronics</v>
      </c>
      <c r="H765" s="2" t="str">
        <f>PROPER(TRIM([1]RawShipmentData!G772))</f>
        <v>West</v>
      </c>
      <c r="I765" s="2" t="str">
        <f t="shared" si="55"/>
        <v>Yes</v>
      </c>
      <c r="J765" s="2">
        <f>IFERROR(VALUE(TRIM(SUBSTITUTE(UPPER([1]RawShipmentData!I765),"KG",""))),"")</f>
        <v>10.6</v>
      </c>
      <c r="K765" s="2">
        <f>VALUE(SUBSTITUTE(SUBSTITUTE(SUBSTITUTE(TRIM([1]RawShipmentData!J772),"₹",""),"Rs",""),",",""))</f>
        <v>264</v>
      </c>
      <c r="L765" s="2">
        <f>[1]RawShipmentData!K772</f>
        <v>8</v>
      </c>
      <c r="M765" s="3">
        <f>IF(TRIM([1]RawShipmentData!L772)="","",IF(ISNUMBER(SEARCH("/",TRIM([1]RawShipmentData!L772))),DATE(VALUE(RIGHT(TRIM([1]RawShipmentData!L772),4)),VALUE(MID(TRIM([1]RawShipmentData!L772),FIND("/",TRIM([1]RawShipmentData!L772))+1,2)),VALUE(LEFT(TRIM([1]RawShipmentData!L772),FIND("/",TRIM([1]RawShipmentData!L772))-1))),DATEVALUE(TRIM([1]RawShipmentData!L772))))</f>
        <v>45396</v>
      </c>
      <c r="N765" s="2">
        <f t="shared" si="56"/>
        <v>7</v>
      </c>
      <c r="O765" s="2">
        <f t="shared" si="57"/>
        <v>-1</v>
      </c>
      <c r="P765" s="2" t="str">
        <f t="shared" si="58"/>
        <v>On Time</v>
      </c>
      <c r="Q765" s="2" t="str">
        <f>PROPER(SUBSTITUTE(TRIM([1]RawShipmentData!M772)," ","-"))</f>
        <v>Delivered</v>
      </c>
      <c r="R765" s="4">
        <f t="shared" si="59"/>
        <v>24.90566037735849</v>
      </c>
      <c r="S765" s="2">
        <f>[1]RawShipmentData!N772</f>
        <v>4</v>
      </c>
      <c r="T765" s="2" t="str">
        <f>IF(OR(UPPER(TRIM([1]RawShipmentData!O772))="YES",UPPER(TRIM([1]RawShipmentData!O772))="Y"),"Yes","No")</f>
        <v>Yes</v>
      </c>
    </row>
    <row r="766" spans="1:20" x14ac:dyDescent="0.25">
      <c r="A766" s="2" t="str">
        <f>[1]RawShipmentData!A773</f>
        <v>SHP-100863</v>
      </c>
      <c r="B766" s="3">
        <f>IF(ISNUMBER(SEARCH("/",TRIM([1]RawShipmentData!B773))),DATE(VALUE(RIGHT(TRIM([1]RawShipmentData!B773),4)),VALUE(MID(TRIM([1]RawShipmentData!B773),FIND("/",TRIM([1]RawShipmentData!B773))+1,2)),VALUE(LEFT(TRIM([1]RawShipmentData!B773),FIND("/",TRIM([1]RawShipmentData!B773))-1))),DATEVALUE(TRIM([1]RawShipmentData!B773)))</f>
        <v>45318</v>
      </c>
      <c r="C766" s="2" t="str">
        <f>PROPER(TRIM([1]RawShipmentData!C773))</f>
        <v>Bengaluru</v>
      </c>
      <c r="D766" s="2" t="str">
        <f>IFERROR(INDEX([1]HubMaster!$B$2:$B$7,MATCH(C766,[1]HubMaster!$A$2:$A$7,0)),"Unknown")</f>
        <v>South</v>
      </c>
      <c r="E766" s="2" t="str">
        <f>PROPER(TRIM(SUBSTITUTE([1]RawShipmentData!D773,"  "," ")))</f>
        <v>Bluedart</v>
      </c>
      <c r="F766" s="2" t="str">
        <f>PROPER(TRIM([1]RawShipmentData!E773))</f>
        <v>Air</v>
      </c>
      <c r="G766" s="2" t="str">
        <f>PROPER(TRIM(SUBSTITUTE([1]RawShipmentData!F773,"  "," ")))</f>
        <v>Apparel</v>
      </c>
      <c r="H766" s="2" t="str">
        <f>PROPER(TRIM([1]RawShipmentData!G773))</f>
        <v>East</v>
      </c>
      <c r="I766" s="2" t="str">
        <f t="shared" si="55"/>
        <v>Yes</v>
      </c>
      <c r="J766" s="2">
        <f>IFERROR(VALUE(TRIM(SUBSTITUTE(UPPER([1]RawShipmentData!I766),"KG",""))),"")</f>
        <v>7.3</v>
      </c>
      <c r="K766" s="2">
        <f>VALUE(SUBSTITUTE(SUBSTITUTE(SUBSTITUTE(TRIM([1]RawShipmentData!J773),"₹",""),"Rs",""),",",""))</f>
        <v>461</v>
      </c>
      <c r="L766" s="2">
        <f>[1]RawShipmentData!K773</f>
        <v>4</v>
      </c>
      <c r="M766" s="3">
        <f>IF(TRIM([1]RawShipmentData!L773)="","",IF(ISNUMBER(SEARCH("/",TRIM([1]RawShipmentData!L773))),DATE(VALUE(RIGHT(TRIM([1]RawShipmentData!L773),4)),VALUE(MID(TRIM([1]RawShipmentData!L773),FIND("/",TRIM([1]RawShipmentData!L773))+1,2)),VALUE(LEFT(TRIM([1]RawShipmentData!L773),FIND("/",TRIM([1]RawShipmentData!L773))-1))),DATEVALUE(TRIM([1]RawShipmentData!L773))))</f>
        <v>45322</v>
      </c>
      <c r="N766" s="2">
        <f t="shared" si="56"/>
        <v>4</v>
      </c>
      <c r="O766" s="2">
        <f t="shared" si="57"/>
        <v>0</v>
      </c>
      <c r="P766" s="2" t="str">
        <f t="shared" si="58"/>
        <v>On Time</v>
      </c>
      <c r="Q766" s="2" t="str">
        <f>PROPER(SUBSTITUTE(TRIM([1]RawShipmentData!M773)," ","-"))</f>
        <v>Delivered</v>
      </c>
      <c r="R766" s="4">
        <f t="shared" si="59"/>
        <v>63.150684931506852</v>
      </c>
      <c r="S766" s="2">
        <f>[1]RawShipmentData!N773</f>
        <v>4</v>
      </c>
      <c r="T766" s="2" t="str">
        <f>IF(OR(UPPER(TRIM([1]RawShipmentData!O773))="YES",UPPER(TRIM([1]RawShipmentData!O773))="Y"),"Yes","No")</f>
        <v>Yes</v>
      </c>
    </row>
    <row r="767" spans="1:20" x14ac:dyDescent="0.25">
      <c r="A767" s="2" t="str">
        <f>[1]RawShipmentData!A774</f>
        <v>SHP-100858</v>
      </c>
      <c r="B767" s="3">
        <f>IF(ISNUMBER(SEARCH("/",TRIM([1]RawShipmentData!B774))),DATE(VALUE(RIGHT(TRIM([1]RawShipmentData!B774),4)),VALUE(MID(TRIM([1]RawShipmentData!B774),FIND("/",TRIM([1]RawShipmentData!B774))+1,2)),VALUE(LEFT(TRIM([1]RawShipmentData!B774),FIND("/",TRIM([1]RawShipmentData!B774))-1))),DATEVALUE(TRIM([1]RawShipmentData!B774)))</f>
        <v>45434</v>
      </c>
      <c r="C767" s="2" t="str">
        <f>PROPER(TRIM([1]RawShipmentData!C774))</f>
        <v>Bengaluru</v>
      </c>
      <c r="D767" s="2" t="str">
        <f>IFERROR(INDEX([1]HubMaster!$B$2:$B$7,MATCH(C767,[1]HubMaster!$A$2:$A$7,0)),"Unknown")</f>
        <v>South</v>
      </c>
      <c r="E767" s="2" t="str">
        <f>PROPER(TRIM(SUBSTITUTE([1]RawShipmentData!D774,"  "," ")))</f>
        <v>Xpressbees</v>
      </c>
      <c r="F767" s="2" t="str">
        <f>PROPER(TRIM([1]RawShipmentData!E774))</f>
        <v>Air</v>
      </c>
      <c r="G767" s="2" t="str">
        <f>PROPER(TRIM(SUBSTITUTE([1]RawShipmentData!F774,"  "," ")))</f>
        <v>Grocery &amp; Fmcg</v>
      </c>
      <c r="H767" s="2" t="str">
        <f>PROPER(TRIM([1]RawShipmentData!G774))</f>
        <v>East</v>
      </c>
      <c r="I767" s="2" t="str">
        <f t="shared" si="55"/>
        <v>Yes</v>
      </c>
      <c r="J767" s="2">
        <f>IFERROR(VALUE(TRIM(SUBSTITUTE(UPPER([1]RawShipmentData!I767),"KG",""))),"")</f>
        <v>4.2</v>
      </c>
      <c r="K767" s="2">
        <f>VALUE(SUBSTITUTE(SUBSTITUTE(SUBSTITUTE(TRIM([1]RawShipmentData!J774),"₹",""),"Rs",""),",",""))</f>
        <v>808</v>
      </c>
      <c r="L767" s="2">
        <f>[1]RawShipmentData!K774</f>
        <v>4</v>
      </c>
      <c r="M767" s="3">
        <f>IF(TRIM([1]RawShipmentData!L774)="","",IF(ISNUMBER(SEARCH("/",TRIM([1]RawShipmentData!L774))),DATE(VALUE(RIGHT(TRIM([1]RawShipmentData!L774),4)),VALUE(MID(TRIM([1]RawShipmentData!L774),FIND("/",TRIM([1]RawShipmentData!L774))+1,2)),VALUE(LEFT(TRIM([1]RawShipmentData!L774),FIND("/",TRIM([1]RawShipmentData!L774))-1))),DATEVALUE(TRIM([1]RawShipmentData!L774))))</f>
        <v>45438</v>
      </c>
      <c r="N767" s="2">
        <f t="shared" si="56"/>
        <v>4</v>
      </c>
      <c r="O767" s="2">
        <f t="shared" si="57"/>
        <v>0</v>
      </c>
      <c r="P767" s="2" t="str">
        <f t="shared" si="58"/>
        <v>On Time</v>
      </c>
      <c r="Q767" s="2" t="str">
        <f>PROPER(SUBSTITUTE(TRIM([1]RawShipmentData!M774)," ","-"))</f>
        <v>Delivered</v>
      </c>
      <c r="R767" s="4">
        <f t="shared" si="59"/>
        <v>192.38095238095238</v>
      </c>
      <c r="S767" s="2">
        <f>[1]RawShipmentData!N774</f>
        <v>4</v>
      </c>
      <c r="T767" s="2" t="str">
        <f>IF(OR(UPPER(TRIM([1]RawShipmentData!O774))="YES",UPPER(TRIM([1]RawShipmentData!O774))="Y"),"Yes","No")</f>
        <v>Yes</v>
      </c>
    </row>
    <row r="768" spans="1:20" x14ac:dyDescent="0.25">
      <c r="A768" s="2" t="str">
        <f>[1]RawShipmentData!A775</f>
        <v>SHP-100633</v>
      </c>
      <c r="B768" s="3">
        <f>IF(ISNUMBER(SEARCH("/",TRIM([1]RawShipmentData!B775))),DATE(VALUE(RIGHT(TRIM([1]RawShipmentData!B775),4)),VALUE(MID(TRIM([1]RawShipmentData!B775),FIND("/",TRIM([1]RawShipmentData!B775))+1,2)),VALUE(LEFT(TRIM([1]RawShipmentData!B775),FIND("/",TRIM([1]RawShipmentData!B775))-1))),DATEVALUE(TRIM([1]RawShipmentData!B775)))</f>
        <v>45338</v>
      </c>
      <c r="C768" s="2" t="str">
        <f>PROPER(TRIM([1]RawShipmentData!C775))</f>
        <v>Bengaluru</v>
      </c>
      <c r="D768" s="2" t="str">
        <f>IFERROR(INDEX([1]HubMaster!$B$2:$B$7,MATCH(C768,[1]HubMaster!$A$2:$A$7,0)),"Unknown")</f>
        <v>South</v>
      </c>
      <c r="E768" s="2" t="str">
        <f>PROPER(TRIM(SUBSTITUTE([1]RawShipmentData!D775,"  "," ")))</f>
        <v>Bluedart</v>
      </c>
      <c r="F768" s="2" t="str">
        <f>PROPER(TRIM([1]RawShipmentData!E775))</f>
        <v>Road</v>
      </c>
      <c r="G768" s="2" t="str">
        <f>PROPER(TRIM(SUBSTITUTE([1]RawShipmentData!F775,"  "," ")))</f>
        <v>Pharma</v>
      </c>
      <c r="H768" s="2" t="str">
        <f>PROPER(TRIM([1]RawShipmentData!G775))</f>
        <v>South</v>
      </c>
      <c r="I768" s="2" t="str">
        <f t="shared" si="55"/>
        <v>No</v>
      </c>
      <c r="J768" s="2">
        <f>IFERROR(VALUE(TRIM(SUBSTITUTE(UPPER([1]RawShipmentData!I768),"KG",""))),"")</f>
        <v>53</v>
      </c>
      <c r="K768" s="2">
        <f>VALUE(SUBSTITUTE(SUBSTITUTE(SUBSTITUTE(TRIM([1]RawShipmentData!J775),"₹",""),"Rs",""),",",""))</f>
        <v>80</v>
      </c>
      <c r="L768" s="2">
        <f>[1]RawShipmentData!K775</f>
        <v>6</v>
      </c>
      <c r="M768" s="3">
        <f>IF(TRIM([1]RawShipmentData!L775)="","",IF(ISNUMBER(SEARCH("/",TRIM([1]RawShipmentData!L775))),DATE(VALUE(RIGHT(TRIM([1]RawShipmentData!L775),4)),VALUE(MID(TRIM([1]RawShipmentData!L775),FIND("/",TRIM([1]RawShipmentData!L775))+1,2)),VALUE(LEFT(TRIM([1]RawShipmentData!L775),FIND("/",TRIM([1]RawShipmentData!L775))-1))),DATEVALUE(TRIM([1]RawShipmentData!L775))))</f>
        <v>45345</v>
      </c>
      <c r="N768" s="2">
        <f t="shared" si="56"/>
        <v>7</v>
      </c>
      <c r="O768" s="2">
        <f t="shared" si="57"/>
        <v>1</v>
      </c>
      <c r="P768" s="2" t="str">
        <f t="shared" si="58"/>
        <v>Late</v>
      </c>
      <c r="Q768" s="2" t="str">
        <f>PROPER(SUBSTITUTE(TRIM([1]RawShipmentData!M775)," ","-"))</f>
        <v>Delayed</v>
      </c>
      <c r="R768" s="4">
        <f t="shared" si="59"/>
        <v>1.5094339622641511</v>
      </c>
      <c r="S768" s="2">
        <f>[1]RawShipmentData!N775</f>
        <v>1</v>
      </c>
      <c r="T768" s="2" t="str">
        <f>IF(OR(UPPER(TRIM([1]RawShipmentData!O775))="YES",UPPER(TRIM([1]RawShipmentData!O775))="Y"),"Yes","No")</f>
        <v>No</v>
      </c>
    </row>
    <row r="769" spans="1:20" x14ac:dyDescent="0.25">
      <c r="A769" s="2" t="str">
        <f>[1]RawShipmentData!A776</f>
        <v>SHP-101304</v>
      </c>
      <c r="B769" s="3">
        <f>IF(ISNUMBER(SEARCH("/",TRIM([1]RawShipmentData!B776))),DATE(VALUE(RIGHT(TRIM([1]RawShipmentData!B776),4)),VALUE(MID(TRIM([1]RawShipmentData!B776),FIND("/",TRIM([1]RawShipmentData!B776))+1,2)),VALUE(LEFT(TRIM([1]RawShipmentData!B776),FIND("/",TRIM([1]RawShipmentData!B776))-1))),DATEVALUE(TRIM([1]RawShipmentData!B776)))</f>
        <v>45294</v>
      </c>
      <c r="C769" s="2" t="str">
        <f>PROPER(TRIM([1]RawShipmentData!C776))</f>
        <v>Chennai</v>
      </c>
      <c r="D769" s="2" t="str">
        <f>IFERROR(INDEX([1]HubMaster!$B$2:$B$7,MATCH(C769,[1]HubMaster!$A$2:$A$7,0)),"Unknown")</f>
        <v>South</v>
      </c>
      <c r="E769" s="2" t="str">
        <f>PROPER(TRIM(SUBSTITUTE([1]RawShipmentData!D776,"  "," ")))</f>
        <v>Blue Dart</v>
      </c>
      <c r="F769" s="2" t="str">
        <f>PROPER(TRIM([1]RawShipmentData!E776))</f>
        <v>Road</v>
      </c>
      <c r="G769" s="2" t="str">
        <f>PROPER(TRIM(SUBSTITUTE([1]RawShipmentData!F776,"  "," ")))</f>
        <v>Automotive Parts</v>
      </c>
      <c r="H769" s="2" t="str">
        <f>PROPER(TRIM([1]RawShipmentData!G776))</f>
        <v>East</v>
      </c>
      <c r="I769" s="2" t="str">
        <f t="shared" si="55"/>
        <v>Yes</v>
      </c>
      <c r="J769" s="2">
        <f>IFERROR(VALUE(TRIM(SUBSTITUTE(UPPER([1]RawShipmentData!I769),"KG",""))),"")</f>
        <v>2.2000000000000002</v>
      </c>
      <c r="K769" s="2">
        <f>VALUE(SUBSTITUTE(SUBSTITUTE(SUBSTITUTE(TRIM([1]RawShipmentData!J776),"₹",""),"Rs",""),",",""))</f>
        <v>323</v>
      </c>
      <c r="L769" s="2">
        <f>[1]RawShipmentData!K776</f>
        <v>8</v>
      </c>
      <c r="M769" s="3">
        <f>IF(TRIM([1]RawShipmentData!L776)="","",IF(ISNUMBER(SEARCH("/",TRIM([1]RawShipmentData!L776))),DATE(VALUE(RIGHT(TRIM([1]RawShipmentData!L776),4)),VALUE(MID(TRIM([1]RawShipmentData!L776),FIND("/",TRIM([1]RawShipmentData!L776))+1,2)),VALUE(LEFT(TRIM([1]RawShipmentData!L776),FIND("/",TRIM([1]RawShipmentData!L776))-1))),DATEVALUE(TRIM([1]RawShipmentData!L776))))</f>
        <v>45303</v>
      </c>
      <c r="N769" s="2">
        <f t="shared" si="56"/>
        <v>9</v>
      </c>
      <c r="O769" s="2">
        <f t="shared" si="57"/>
        <v>1</v>
      </c>
      <c r="P769" s="2" t="str">
        <f t="shared" si="58"/>
        <v>Late</v>
      </c>
      <c r="Q769" s="2" t="str">
        <f>PROPER(SUBSTITUTE(TRIM([1]RawShipmentData!M776)," ","-"))</f>
        <v>Damaged</v>
      </c>
      <c r="R769" s="4">
        <f t="shared" si="59"/>
        <v>146.81818181818181</v>
      </c>
      <c r="S769" s="2">
        <f>[1]RawShipmentData!N776</f>
        <v>0</v>
      </c>
      <c r="T769" s="2" t="str">
        <f>IF(OR(UPPER(TRIM([1]RawShipmentData!O776))="YES",UPPER(TRIM([1]RawShipmentData!O776))="Y"),"Yes","No")</f>
        <v>No</v>
      </c>
    </row>
    <row r="770" spans="1:20" x14ac:dyDescent="0.25">
      <c r="A770" s="2" t="str">
        <f>[1]RawShipmentData!A777</f>
        <v>SHP-101402</v>
      </c>
      <c r="B770" s="3">
        <f>IF(ISNUMBER(SEARCH("/",TRIM([1]RawShipmentData!B777))),DATE(VALUE(RIGHT(TRIM([1]RawShipmentData!B777),4)),VALUE(MID(TRIM([1]RawShipmentData!B777),FIND("/",TRIM([1]RawShipmentData!B777))+1,2)),VALUE(LEFT(TRIM([1]RawShipmentData!B777),FIND("/",TRIM([1]RawShipmentData!B777))-1))),DATEVALUE(TRIM([1]RawShipmentData!B777)))</f>
        <v>45307</v>
      </c>
      <c r="C770" s="2" t="str">
        <f>PROPER(TRIM([1]RawShipmentData!C777))</f>
        <v>Chennai</v>
      </c>
      <c r="D770" s="2" t="str">
        <f>IFERROR(INDEX([1]HubMaster!$B$2:$B$7,MATCH(C770,[1]HubMaster!$A$2:$A$7,0)),"Unknown")</f>
        <v>South</v>
      </c>
      <c r="E770" s="2" t="str">
        <f>PROPER(TRIM(SUBSTITUTE([1]RawShipmentData!D777,"  "," ")))</f>
        <v>Xpressbees</v>
      </c>
      <c r="F770" s="2" t="str">
        <f>PROPER(TRIM([1]RawShipmentData!E777))</f>
        <v>Air</v>
      </c>
      <c r="G770" s="2" t="str">
        <f>PROPER(TRIM(SUBSTITUTE([1]RawShipmentData!F777,"  "," ")))</f>
        <v>Electronics</v>
      </c>
      <c r="H770" s="2" t="str">
        <f>PROPER(TRIM([1]RawShipmentData!G777))</f>
        <v>East</v>
      </c>
      <c r="I770" s="2" t="str">
        <f t="shared" ref="I770:I833" si="60">IF(D770=H770,"No","Yes")</f>
        <v>Yes</v>
      </c>
      <c r="J770" s="2">
        <f>IFERROR(VALUE(TRIM(SUBSTITUTE(UPPER([1]RawShipmentData!I770),"KG",""))),"")</f>
        <v>65.7</v>
      </c>
      <c r="K770" s="2">
        <f>VALUE(SUBSTITUTE(SUBSTITUTE(SUBSTITUTE(TRIM([1]RawShipmentData!J777),"₹",""),"Rs",""),",",""))</f>
        <v>755</v>
      </c>
      <c r="L770" s="2">
        <f>[1]RawShipmentData!K777</f>
        <v>4</v>
      </c>
      <c r="M770" s="3">
        <f>IF(TRIM([1]RawShipmentData!L777)="","",IF(ISNUMBER(SEARCH("/",TRIM([1]RawShipmentData!L777))),DATE(VALUE(RIGHT(TRIM([1]RawShipmentData!L777),4)),VALUE(MID(TRIM([1]RawShipmentData!L777),FIND("/",TRIM([1]RawShipmentData!L777))+1,2)),VALUE(LEFT(TRIM([1]RawShipmentData!L777),FIND("/",TRIM([1]RawShipmentData!L777))-1))),DATEVALUE(TRIM([1]RawShipmentData!L777))))</f>
        <v>45310</v>
      </c>
      <c r="N770" s="2">
        <f t="shared" ref="N770:N833" si="61">IF(M770="","",M770-B770)</f>
        <v>3</v>
      </c>
      <c r="O770" s="2">
        <f t="shared" ref="O770:O833" si="62">IF(N770="","",N770-L770)</f>
        <v>-1</v>
      </c>
      <c r="P770" s="2" t="str">
        <f t="shared" ref="P770:P833" si="63">IF(N770="","N/A",IF(N770&lt;=L770,"On Time","Late"))</f>
        <v>On Time</v>
      </c>
      <c r="Q770" s="2" t="str">
        <f>PROPER(SUBSTITUTE(TRIM([1]RawShipmentData!M777)," ","-"))</f>
        <v>Delivered</v>
      </c>
      <c r="R770" s="4">
        <f t="shared" si="59"/>
        <v>11.491628614916285</v>
      </c>
      <c r="S770" s="2">
        <f>[1]RawShipmentData!N777</f>
        <v>5</v>
      </c>
      <c r="T770" s="2" t="str">
        <f>IF(OR(UPPER(TRIM([1]RawShipmentData!O777))="YES",UPPER(TRIM([1]RawShipmentData!O777))="Y"),"Yes","No")</f>
        <v>No</v>
      </c>
    </row>
    <row r="771" spans="1:20" x14ac:dyDescent="0.25">
      <c r="A771" s="2" t="str">
        <f>[1]RawShipmentData!A778</f>
        <v>SHP-100248</v>
      </c>
      <c r="B771" s="3">
        <f>IF(ISNUMBER(SEARCH("/",TRIM([1]RawShipmentData!B778))),DATE(VALUE(RIGHT(TRIM([1]RawShipmentData!B778),4)),VALUE(MID(TRIM([1]RawShipmentData!B778),FIND("/",TRIM([1]RawShipmentData!B778))+1,2)),VALUE(LEFT(TRIM([1]RawShipmentData!B778),FIND("/",TRIM([1]RawShipmentData!B778))-1))),DATEVALUE(TRIM([1]RawShipmentData!B778)))</f>
        <v>45407</v>
      </c>
      <c r="C771" s="2" t="str">
        <f>PROPER(TRIM([1]RawShipmentData!C778))</f>
        <v>Kolkata</v>
      </c>
      <c r="D771" s="2" t="str">
        <f>IFERROR(INDEX([1]HubMaster!$B$2:$B$7,MATCH(C771,[1]HubMaster!$A$2:$A$7,0)),"Unknown")</f>
        <v>East</v>
      </c>
      <c r="E771" s="2" t="str">
        <f>PROPER(TRIM(SUBSTITUTE([1]RawShipmentData!D778,"  "," ")))</f>
        <v>Ecom Express</v>
      </c>
      <c r="F771" s="2" t="str">
        <f>PROPER(TRIM([1]RawShipmentData!E778))</f>
        <v>Surface</v>
      </c>
      <c r="G771" s="2" t="str">
        <f>PROPER(TRIM(SUBSTITUTE([1]RawShipmentData!F778,"  "," ")))</f>
        <v>Grocery &amp; Fmcg</v>
      </c>
      <c r="H771" s="2" t="str">
        <f>PROPER(TRIM([1]RawShipmentData!G778))</f>
        <v>East</v>
      </c>
      <c r="I771" s="2" t="str">
        <f t="shared" si="60"/>
        <v>No</v>
      </c>
      <c r="J771" s="2">
        <f>IFERROR(VALUE(TRIM(SUBSTITUTE(UPPER([1]RawShipmentData!I771),"KG",""))),"")</f>
        <v>65.2</v>
      </c>
      <c r="K771" s="2">
        <f>VALUE(SUBSTITUTE(SUBSTITUTE(SUBSTITUTE(TRIM([1]RawShipmentData!J778),"₹",""),"Rs",""),",",""))</f>
        <v>304</v>
      </c>
      <c r="L771" s="2">
        <f>[1]RawShipmentData!K778</f>
        <v>4</v>
      </c>
      <c r="M771" s="3">
        <f>IF(TRIM([1]RawShipmentData!L778)="","",IF(ISNUMBER(SEARCH("/",TRIM([1]RawShipmentData!L778))),DATE(VALUE(RIGHT(TRIM([1]RawShipmentData!L778),4)),VALUE(MID(TRIM([1]RawShipmentData!L778),FIND("/",TRIM([1]RawShipmentData!L778))+1,2)),VALUE(LEFT(TRIM([1]RawShipmentData!L778),FIND("/",TRIM([1]RawShipmentData!L778))-1))),DATEVALUE(TRIM([1]RawShipmentData!L778))))</f>
        <v>45410</v>
      </c>
      <c r="N771" s="2">
        <f t="shared" si="61"/>
        <v>3</v>
      </c>
      <c r="O771" s="2">
        <f t="shared" si="62"/>
        <v>-1</v>
      </c>
      <c r="P771" s="2" t="str">
        <f t="shared" si="63"/>
        <v>On Time</v>
      </c>
      <c r="Q771" s="2" t="str">
        <f>PROPER(SUBSTITUTE(TRIM([1]RawShipmentData!M778)," ","-"))</f>
        <v>Delivered</v>
      </c>
      <c r="R771" s="4">
        <f t="shared" ref="R771:R834" si="64">IFERROR(K771/J771,"")</f>
        <v>4.6625766871165641</v>
      </c>
      <c r="S771" s="2">
        <f>[1]RawShipmentData!N778</f>
        <v>3</v>
      </c>
      <c r="T771" s="2" t="str">
        <f>IF(OR(UPPER(TRIM([1]RawShipmentData!O778))="YES",UPPER(TRIM([1]RawShipmentData!O778))="Y"),"Yes","No")</f>
        <v>No</v>
      </c>
    </row>
    <row r="772" spans="1:20" x14ac:dyDescent="0.25">
      <c r="A772" s="2" t="str">
        <f>[1]RawShipmentData!A779</f>
        <v>SHP-101268</v>
      </c>
      <c r="B772" s="3">
        <f>IF(ISNUMBER(SEARCH("/",TRIM([1]RawShipmentData!B779))),DATE(VALUE(RIGHT(TRIM([1]RawShipmentData!B779),4)),VALUE(MID(TRIM([1]RawShipmentData!B779),FIND("/",TRIM([1]RawShipmentData!B779))+1,2)),VALUE(LEFT(TRIM([1]RawShipmentData!B779),FIND("/",TRIM([1]RawShipmentData!B779))-1))),DATEVALUE(TRIM([1]RawShipmentData!B779)))</f>
        <v>45413</v>
      </c>
      <c r="C772" s="2" t="str">
        <f>PROPER(TRIM([1]RawShipmentData!C779))</f>
        <v>Kolkata</v>
      </c>
      <c r="D772" s="2" t="str">
        <f>IFERROR(INDEX([1]HubMaster!$B$2:$B$7,MATCH(C772,[1]HubMaster!$A$2:$A$7,0)),"Unknown")</f>
        <v>East</v>
      </c>
      <c r="E772" s="2" t="str">
        <f>PROPER(TRIM(SUBSTITUTE([1]RawShipmentData!D779,"  "," ")))</f>
        <v>Delhivery</v>
      </c>
      <c r="F772" s="2" t="str">
        <f>PROPER(TRIM([1]RawShipmentData!E779))</f>
        <v>Road</v>
      </c>
      <c r="G772" s="2" t="str">
        <f>PROPER(TRIM(SUBSTITUTE([1]RawShipmentData!F779,"  "," ")))</f>
        <v>Pharma</v>
      </c>
      <c r="H772" s="2" t="str">
        <f>PROPER(TRIM([1]RawShipmentData!G779))</f>
        <v>South</v>
      </c>
      <c r="I772" s="2" t="str">
        <f t="shared" si="60"/>
        <v>Yes</v>
      </c>
      <c r="J772" s="2">
        <f>IFERROR(VALUE(TRIM(SUBSTITUTE(UPPER([1]RawShipmentData!I772),"KG",""))),"")</f>
        <v>3.9</v>
      </c>
      <c r="K772" s="2">
        <f>VALUE(SUBSTITUTE(SUBSTITUTE(SUBSTITUTE(TRIM([1]RawShipmentData!J779),"₹",""),"Rs",""),",",""))</f>
        <v>185</v>
      </c>
      <c r="L772" s="2">
        <f>[1]RawShipmentData!K779</f>
        <v>8</v>
      </c>
      <c r="M772" s="3">
        <f>IF(TRIM([1]RawShipmentData!L779)="","",IF(ISNUMBER(SEARCH("/",TRIM([1]RawShipmentData!L779))),DATE(VALUE(RIGHT(TRIM([1]RawShipmentData!L779),4)),VALUE(MID(TRIM([1]RawShipmentData!L779),FIND("/",TRIM([1]RawShipmentData!L779))+1,2)),VALUE(LEFT(TRIM([1]RawShipmentData!L779),FIND("/",TRIM([1]RawShipmentData!L779))-1))),DATEVALUE(TRIM([1]RawShipmentData!L779))))</f>
        <v>45422</v>
      </c>
      <c r="N772" s="2">
        <f t="shared" si="61"/>
        <v>9</v>
      </c>
      <c r="O772" s="2">
        <f t="shared" si="62"/>
        <v>1</v>
      </c>
      <c r="P772" s="2" t="str">
        <f t="shared" si="63"/>
        <v>Late</v>
      </c>
      <c r="Q772" s="2" t="str">
        <f>PROPER(SUBSTITUTE(TRIM([1]RawShipmentData!M779)," ","-"))</f>
        <v>Delayed</v>
      </c>
      <c r="R772" s="4">
        <f t="shared" si="64"/>
        <v>47.435897435897438</v>
      </c>
      <c r="S772" s="2">
        <f>[1]RawShipmentData!N779</f>
        <v>3</v>
      </c>
      <c r="T772" s="2" t="str">
        <f>IF(OR(UPPER(TRIM([1]RawShipmentData!O779))="YES",UPPER(TRIM([1]RawShipmentData!O779))="Y"),"Yes","No")</f>
        <v>No</v>
      </c>
    </row>
    <row r="773" spans="1:20" x14ac:dyDescent="0.25">
      <c r="A773" s="2" t="str">
        <f>[1]RawShipmentData!A780</f>
        <v>SHP-100925</v>
      </c>
      <c r="B773" s="3">
        <f>IF(ISNUMBER(SEARCH("/",TRIM([1]RawShipmentData!B780))),DATE(VALUE(RIGHT(TRIM([1]RawShipmentData!B780),4)),VALUE(MID(TRIM([1]RawShipmentData!B780),FIND("/",TRIM([1]RawShipmentData!B780))+1,2)),VALUE(LEFT(TRIM([1]RawShipmentData!B780),FIND("/",TRIM([1]RawShipmentData!B780))-1))),DATEVALUE(TRIM([1]RawShipmentData!B780)))</f>
        <v>45409</v>
      </c>
      <c r="C773" s="2" t="str">
        <f>PROPER(TRIM([1]RawShipmentData!C780))</f>
        <v>Chennai</v>
      </c>
      <c r="D773" s="2" t="str">
        <f>IFERROR(INDEX([1]HubMaster!$B$2:$B$7,MATCH(C773,[1]HubMaster!$A$2:$A$7,0)),"Unknown")</f>
        <v>South</v>
      </c>
      <c r="E773" s="2" t="str">
        <f>PROPER(TRIM(SUBSTITUTE([1]RawShipmentData!D780,"  "," ")))</f>
        <v>Delhivery</v>
      </c>
      <c r="F773" s="2" t="str">
        <f>PROPER(TRIM([1]RawShipmentData!E780))</f>
        <v>Surface</v>
      </c>
      <c r="G773" s="2" t="str">
        <f>PROPER(TRIM(SUBSTITUTE([1]RawShipmentData!F780,"  "," ")))</f>
        <v>Pharma</v>
      </c>
      <c r="H773" s="2" t="str">
        <f>PROPER(TRIM([1]RawShipmentData!G780))</f>
        <v>North</v>
      </c>
      <c r="I773" s="2" t="str">
        <f t="shared" si="60"/>
        <v>Yes</v>
      </c>
      <c r="J773" s="2">
        <f>IFERROR(VALUE(TRIM(SUBSTITUTE(UPPER([1]RawShipmentData!I773),"KG",""))),"")</f>
        <v>6.1</v>
      </c>
      <c r="K773" s="2">
        <f>VALUE(SUBSTITUTE(SUBSTITUTE(SUBSTITUTE(TRIM([1]RawShipmentData!J780),"₹",""),"Rs",""),",",""))</f>
        <v>287</v>
      </c>
      <c r="L773" s="2">
        <f>[1]RawShipmentData!K780</f>
        <v>6</v>
      </c>
      <c r="M773" s="3">
        <f>IF(TRIM([1]RawShipmentData!L780)="","",IF(ISNUMBER(SEARCH("/",TRIM([1]RawShipmentData!L780))),DATE(VALUE(RIGHT(TRIM([1]RawShipmentData!L780),4)),VALUE(MID(TRIM([1]RawShipmentData!L780),FIND("/",TRIM([1]RawShipmentData!L780))+1,2)),VALUE(LEFT(TRIM([1]RawShipmentData!L780),FIND("/",TRIM([1]RawShipmentData!L780))-1))),DATEVALUE(TRIM([1]RawShipmentData!L780))))</f>
        <v>45414</v>
      </c>
      <c r="N773" s="2">
        <f t="shared" si="61"/>
        <v>5</v>
      </c>
      <c r="O773" s="2">
        <f t="shared" si="62"/>
        <v>-1</v>
      </c>
      <c r="P773" s="2" t="str">
        <f t="shared" si="63"/>
        <v>On Time</v>
      </c>
      <c r="Q773" s="2" t="str">
        <f>PROPER(SUBSTITUTE(TRIM([1]RawShipmentData!M780)," ","-"))</f>
        <v>Delivered</v>
      </c>
      <c r="R773" s="4">
        <f t="shared" si="64"/>
        <v>47.049180327868854</v>
      </c>
      <c r="S773" s="2">
        <f>[1]RawShipmentData!N780</f>
        <v>4</v>
      </c>
      <c r="T773" s="2" t="str">
        <f>IF(OR(UPPER(TRIM([1]RawShipmentData!O780))="YES",UPPER(TRIM([1]RawShipmentData!O780))="Y"),"Yes","No")</f>
        <v>No</v>
      </c>
    </row>
    <row r="774" spans="1:20" x14ac:dyDescent="0.25">
      <c r="A774" s="2" t="str">
        <f>[1]RawShipmentData!A781</f>
        <v>SHP-101151</v>
      </c>
      <c r="B774" s="3">
        <f>IF(ISNUMBER(SEARCH("/",TRIM([1]RawShipmentData!B781))),DATE(VALUE(RIGHT(TRIM([1]RawShipmentData!B781),4)),VALUE(MID(TRIM([1]RawShipmentData!B781),FIND("/",TRIM([1]RawShipmentData!B781))+1,2)),VALUE(LEFT(TRIM([1]RawShipmentData!B781),FIND("/",TRIM([1]RawShipmentData!B781))-1))),DATEVALUE(TRIM([1]RawShipmentData!B781)))</f>
        <v>45413</v>
      </c>
      <c r="C774" s="2" t="str">
        <f>PROPER(TRIM([1]RawShipmentData!C781))</f>
        <v>Kolkata</v>
      </c>
      <c r="D774" s="2" t="str">
        <f>IFERROR(INDEX([1]HubMaster!$B$2:$B$7,MATCH(C774,[1]HubMaster!$A$2:$A$7,0)),"Unknown")</f>
        <v>East</v>
      </c>
      <c r="E774" s="2" t="str">
        <f>PROPER(TRIM(SUBSTITUTE([1]RawShipmentData!D781,"  "," ")))</f>
        <v>Dtdc</v>
      </c>
      <c r="F774" s="2" t="str">
        <f>PROPER(TRIM([1]RawShipmentData!E781))</f>
        <v>Road</v>
      </c>
      <c r="G774" s="2" t="str">
        <f>PROPER(TRIM(SUBSTITUTE([1]RawShipmentData!F781,"  "," ")))</f>
        <v>Grocery &amp; Fmcg</v>
      </c>
      <c r="H774" s="2" t="str">
        <f>PROPER(TRIM([1]RawShipmentData!G781))</f>
        <v>South</v>
      </c>
      <c r="I774" s="2" t="str">
        <f t="shared" si="60"/>
        <v>Yes</v>
      </c>
      <c r="J774" s="2">
        <f>IFERROR(VALUE(TRIM(SUBSTITUTE(UPPER([1]RawShipmentData!I774),"KG",""))),"")</f>
        <v>15.1</v>
      </c>
      <c r="K774" s="2">
        <f>VALUE(SUBSTITUTE(SUBSTITUTE(SUBSTITUTE(TRIM([1]RawShipmentData!J781),"₹",""),"Rs",""),",",""))</f>
        <v>369</v>
      </c>
      <c r="L774" s="2">
        <f>[1]RawShipmentData!K781</f>
        <v>8</v>
      </c>
      <c r="M774" s="3">
        <f>IF(TRIM([1]RawShipmentData!L781)="","",IF(ISNUMBER(SEARCH("/",TRIM([1]RawShipmentData!L781))),DATE(VALUE(RIGHT(TRIM([1]RawShipmentData!L781),4)),VALUE(MID(TRIM([1]RawShipmentData!L781),FIND("/",TRIM([1]RawShipmentData!L781))+1,2)),VALUE(LEFT(TRIM([1]RawShipmentData!L781),FIND("/",TRIM([1]RawShipmentData!L781))-1))),DATEVALUE(TRIM([1]RawShipmentData!L781))))</f>
        <v>45422</v>
      </c>
      <c r="N774" s="2">
        <f t="shared" si="61"/>
        <v>9</v>
      </c>
      <c r="O774" s="2">
        <f t="shared" si="62"/>
        <v>1</v>
      </c>
      <c r="P774" s="2" t="str">
        <f t="shared" si="63"/>
        <v>Late</v>
      </c>
      <c r="Q774" s="2" t="str">
        <f>PROPER(SUBSTITUTE(TRIM([1]RawShipmentData!M781)," ","-"))</f>
        <v>Delayed</v>
      </c>
      <c r="R774" s="4">
        <f t="shared" si="64"/>
        <v>24.437086092715234</v>
      </c>
      <c r="S774" s="2">
        <f>[1]RawShipmentData!N781</f>
        <v>3</v>
      </c>
      <c r="T774" s="2" t="str">
        <f>IF(OR(UPPER(TRIM([1]RawShipmentData!O781))="YES",UPPER(TRIM([1]RawShipmentData!O781))="Y"),"Yes","No")</f>
        <v>Yes</v>
      </c>
    </row>
    <row r="775" spans="1:20" x14ac:dyDescent="0.25">
      <c r="A775" s="2" t="str">
        <f>[1]RawShipmentData!A782</f>
        <v>SHP-101358</v>
      </c>
      <c r="B775" s="3">
        <f>IF(ISNUMBER(SEARCH("/",TRIM([1]RawShipmentData!B782))),DATE(VALUE(RIGHT(TRIM([1]RawShipmentData!B782),4)),VALUE(MID(TRIM([1]RawShipmentData!B782),FIND("/",TRIM([1]RawShipmentData!B782))+1,2)),VALUE(LEFT(TRIM([1]RawShipmentData!B782),FIND("/",TRIM([1]RawShipmentData!B782))-1))),DATEVALUE(TRIM([1]RawShipmentData!B782)))</f>
        <v>45415</v>
      </c>
      <c r="C775" s="2" t="str">
        <f>PROPER(TRIM([1]RawShipmentData!C782))</f>
        <v>Delhi</v>
      </c>
      <c r="D775" s="2" t="str">
        <f>IFERROR(INDEX([1]HubMaster!$B$2:$B$7,MATCH(C775,[1]HubMaster!$A$2:$A$7,0)),"Unknown")</f>
        <v>North</v>
      </c>
      <c r="E775" s="2" t="str">
        <f>PROPER(TRIM(SUBSTITUTE([1]RawShipmentData!D782,"  "," ")))</f>
        <v>Dtdc</v>
      </c>
      <c r="F775" s="2" t="str">
        <f>PROPER(TRIM([1]RawShipmentData!E782))</f>
        <v>Road</v>
      </c>
      <c r="G775" s="2" t="str">
        <f>PROPER(TRIM(SUBSTITUTE([1]RawShipmentData!F782,"  "," ")))</f>
        <v>Furniture</v>
      </c>
      <c r="H775" s="2" t="str">
        <f>PROPER(TRIM([1]RawShipmentData!G782))</f>
        <v>North</v>
      </c>
      <c r="I775" s="2" t="str">
        <f t="shared" si="60"/>
        <v>No</v>
      </c>
      <c r="J775" s="2">
        <f>IFERROR(VALUE(TRIM(SUBSTITUTE(UPPER([1]RawShipmentData!I775),"KG",""))),"")</f>
        <v>2.7</v>
      </c>
      <c r="K775" s="2">
        <f>VALUE(SUBSTITUTE(SUBSTITUTE(SUBSTITUTE(TRIM([1]RawShipmentData!J782),"₹",""),"Rs",""),",",""))</f>
        <v>438</v>
      </c>
      <c r="L775" s="2">
        <f>[1]RawShipmentData!K782</f>
        <v>6</v>
      </c>
      <c r="M775" s="3">
        <f>IF(TRIM([1]RawShipmentData!L782)="","",IF(ISNUMBER(SEARCH("/",TRIM([1]RawShipmentData!L782))),DATE(VALUE(RIGHT(TRIM([1]RawShipmentData!L782),4)),VALUE(MID(TRIM([1]RawShipmentData!L782),FIND("/",TRIM([1]RawShipmentData!L782))+1,2)),VALUE(LEFT(TRIM([1]RawShipmentData!L782),FIND("/",TRIM([1]RawShipmentData!L782))-1))),DATEVALUE(TRIM([1]RawShipmentData!L782))))</f>
        <v>45427</v>
      </c>
      <c r="N775" s="2">
        <f t="shared" si="61"/>
        <v>12</v>
      </c>
      <c r="O775" s="2">
        <f t="shared" si="62"/>
        <v>6</v>
      </c>
      <c r="P775" s="2" t="str">
        <f t="shared" si="63"/>
        <v>Late</v>
      </c>
      <c r="Q775" s="2" t="str">
        <f>PROPER(SUBSTITUTE(TRIM([1]RawShipmentData!M782)," ","-"))</f>
        <v>Delayed</v>
      </c>
      <c r="R775" s="4">
        <f t="shared" si="64"/>
        <v>162.2222222222222</v>
      </c>
      <c r="S775" s="2">
        <f>[1]RawShipmentData!N782</f>
        <v>3</v>
      </c>
      <c r="T775" s="2" t="str">
        <f>IF(OR(UPPER(TRIM([1]RawShipmentData!O782))="YES",UPPER(TRIM([1]RawShipmentData!O782))="Y"),"Yes","No")</f>
        <v>No</v>
      </c>
    </row>
    <row r="776" spans="1:20" x14ac:dyDescent="0.25">
      <c r="A776" s="2" t="str">
        <f>[1]RawShipmentData!A783</f>
        <v>SHP-100883</v>
      </c>
      <c r="B776" s="3">
        <f>IF(ISNUMBER(SEARCH("/",TRIM([1]RawShipmentData!B783))),DATE(VALUE(RIGHT(TRIM([1]RawShipmentData!B783),4)),VALUE(MID(TRIM([1]RawShipmentData!B783),FIND("/",TRIM([1]RawShipmentData!B783))+1,2)),VALUE(LEFT(TRIM([1]RawShipmentData!B783),FIND("/",TRIM([1]RawShipmentData!B783))-1))),DATEVALUE(TRIM([1]RawShipmentData!B783)))</f>
        <v>45385</v>
      </c>
      <c r="C776" s="2" t="str">
        <f>PROPER(TRIM([1]RawShipmentData!C783))</f>
        <v>Bengaluru</v>
      </c>
      <c r="D776" s="2" t="str">
        <f>IFERROR(INDEX([1]HubMaster!$B$2:$B$7,MATCH(C776,[1]HubMaster!$A$2:$A$7,0)),"Unknown")</f>
        <v>South</v>
      </c>
      <c r="E776" s="2" t="str">
        <f>PROPER(TRIM(SUBSTITUTE([1]RawShipmentData!D783,"  "," ")))</f>
        <v>Xpressbees</v>
      </c>
      <c r="F776" s="2" t="str">
        <f>PROPER(TRIM([1]RawShipmentData!E783))</f>
        <v>Surface</v>
      </c>
      <c r="G776" s="2" t="str">
        <f>PROPER(TRIM(SUBSTITUTE([1]RawShipmentData!F783,"  "," ")))</f>
        <v>Grocery &amp; Fmcg</v>
      </c>
      <c r="H776" s="2" t="str">
        <f>PROPER(TRIM([1]RawShipmentData!G783))</f>
        <v>East</v>
      </c>
      <c r="I776" s="2" t="str">
        <f t="shared" si="60"/>
        <v>Yes</v>
      </c>
      <c r="J776" s="2">
        <f>IFERROR(VALUE(TRIM(SUBSTITUTE(UPPER([1]RawShipmentData!I776),"KG",""))),"")</f>
        <v>8.3000000000000007</v>
      </c>
      <c r="K776" s="2">
        <f>VALUE(SUBSTITUTE(SUBSTITUTE(SUBSTITUTE(TRIM([1]RawShipmentData!J783),"₹",""),"Rs",""),",",""))</f>
        <v>526</v>
      </c>
      <c r="L776" s="2">
        <f>[1]RawShipmentData!K783</f>
        <v>6</v>
      </c>
      <c r="M776" s="3">
        <f>IF(TRIM([1]RawShipmentData!L783)="","",IF(ISNUMBER(SEARCH("/",TRIM([1]RawShipmentData!L783))),DATE(VALUE(RIGHT(TRIM([1]RawShipmentData!L783),4)),VALUE(MID(TRIM([1]RawShipmentData!L783),FIND("/",TRIM([1]RawShipmentData!L783))+1,2)),VALUE(LEFT(TRIM([1]RawShipmentData!L783),FIND("/",TRIM([1]RawShipmentData!L783))-1))),DATEVALUE(TRIM([1]RawShipmentData!L783))))</f>
        <v>45392</v>
      </c>
      <c r="N776" s="2">
        <f t="shared" si="61"/>
        <v>7</v>
      </c>
      <c r="O776" s="2">
        <f t="shared" si="62"/>
        <v>1</v>
      </c>
      <c r="P776" s="2" t="str">
        <f t="shared" si="63"/>
        <v>Late</v>
      </c>
      <c r="Q776" s="2" t="str">
        <f>PROPER(SUBSTITUTE(TRIM([1]RawShipmentData!M783)," ","-"))</f>
        <v>Delayed</v>
      </c>
      <c r="R776" s="4">
        <f t="shared" si="64"/>
        <v>63.373493975903607</v>
      </c>
      <c r="S776" s="2">
        <f>[1]RawShipmentData!N783</f>
        <v>3</v>
      </c>
      <c r="T776" s="2" t="str">
        <f>IF(OR(UPPER(TRIM([1]RawShipmentData!O783))="YES",UPPER(TRIM([1]RawShipmentData!O783))="Y"),"Yes","No")</f>
        <v>Yes</v>
      </c>
    </row>
    <row r="777" spans="1:20" x14ac:dyDescent="0.25">
      <c r="A777" s="2" t="str">
        <f>[1]RawShipmentData!A784</f>
        <v>SHP-100203</v>
      </c>
      <c r="B777" s="3">
        <f>IF(ISNUMBER(SEARCH("/",TRIM([1]RawShipmentData!B784))),DATE(VALUE(RIGHT(TRIM([1]RawShipmentData!B784),4)),VALUE(MID(TRIM([1]RawShipmentData!B784),FIND("/",TRIM([1]RawShipmentData!B784))+1,2)),VALUE(LEFT(TRIM([1]RawShipmentData!B784),FIND("/",TRIM([1]RawShipmentData!B784))-1))),DATEVALUE(TRIM([1]RawShipmentData!B784)))</f>
        <v>45426</v>
      </c>
      <c r="C777" s="2" t="str">
        <f>PROPER(TRIM([1]RawShipmentData!C784))</f>
        <v>Mumbai</v>
      </c>
      <c r="D777" s="2" t="str">
        <f>IFERROR(INDEX([1]HubMaster!$B$2:$B$7,MATCH(C777,[1]HubMaster!$A$2:$A$7,0)),"Unknown")</f>
        <v>West</v>
      </c>
      <c r="E777" s="2" t="str">
        <f>PROPER(TRIM(SUBSTITUTE([1]RawShipmentData!D784,"  "," ")))</f>
        <v>Delhivery</v>
      </c>
      <c r="F777" s="2" t="str">
        <f>PROPER(TRIM([1]RawShipmentData!E784))</f>
        <v>Air</v>
      </c>
      <c r="G777" s="2" t="str">
        <f>PROPER(TRIM(SUBSTITUTE([1]RawShipmentData!F784,"  "," ")))</f>
        <v>Electronics</v>
      </c>
      <c r="H777" s="2" t="str">
        <f>PROPER(TRIM([1]RawShipmentData!G784))</f>
        <v>East</v>
      </c>
      <c r="I777" s="2" t="str">
        <f t="shared" si="60"/>
        <v>Yes</v>
      </c>
      <c r="J777" s="2">
        <f>IFERROR(VALUE(TRIM(SUBSTITUTE(UPPER([1]RawShipmentData!I777),"KG",""))),"")</f>
        <v>12.2</v>
      </c>
      <c r="K777" s="2">
        <f>VALUE(SUBSTITUTE(SUBSTITUTE(SUBSTITUTE(TRIM([1]RawShipmentData!J784),"₹",""),"Rs",""),",",""))</f>
        <v>700</v>
      </c>
      <c r="L777" s="2">
        <f>[1]RawShipmentData!K784</f>
        <v>4</v>
      </c>
      <c r="M777" s="3">
        <f>IF(TRIM([1]RawShipmentData!L784)="","",IF(ISNUMBER(SEARCH("/",TRIM([1]RawShipmentData!L784))),DATE(VALUE(RIGHT(TRIM([1]RawShipmentData!L784),4)),VALUE(MID(TRIM([1]RawShipmentData!L784),FIND("/",TRIM([1]RawShipmentData!L784))+1,2)),VALUE(LEFT(TRIM([1]RawShipmentData!L784),FIND("/",TRIM([1]RawShipmentData!L784))-1))),DATEVALUE(TRIM([1]RawShipmentData!L784))))</f>
        <v>45435</v>
      </c>
      <c r="N777" s="2">
        <f t="shared" si="61"/>
        <v>9</v>
      </c>
      <c r="O777" s="2">
        <f t="shared" si="62"/>
        <v>5</v>
      </c>
      <c r="P777" s="2" t="str">
        <f t="shared" si="63"/>
        <v>Late</v>
      </c>
      <c r="Q777" s="2" t="str">
        <f>PROPER(SUBSTITUTE(TRIM([1]RawShipmentData!M784)," ","-"))</f>
        <v>Delayed</v>
      </c>
      <c r="R777" s="4">
        <f t="shared" si="64"/>
        <v>57.377049180327873</v>
      </c>
      <c r="S777" s="2">
        <f>[1]RawShipmentData!N784</f>
        <v>2</v>
      </c>
      <c r="T777" s="2" t="str">
        <f>IF(OR(UPPER(TRIM([1]RawShipmentData!O784))="YES",UPPER(TRIM([1]RawShipmentData!O784))="Y"),"Yes","No")</f>
        <v>Yes</v>
      </c>
    </row>
    <row r="778" spans="1:20" x14ac:dyDescent="0.25">
      <c r="A778" s="2" t="str">
        <f>[1]RawShipmentData!A785</f>
        <v>SHP-100189</v>
      </c>
      <c r="B778" s="3">
        <f>IF(ISNUMBER(SEARCH("/",TRIM([1]RawShipmentData!B785))),DATE(VALUE(RIGHT(TRIM([1]RawShipmentData!B785),4)),VALUE(MID(TRIM([1]RawShipmentData!B785),FIND("/",TRIM([1]RawShipmentData!B785))+1,2)),VALUE(LEFT(TRIM([1]RawShipmentData!B785),FIND("/",TRIM([1]RawShipmentData!B785))-1))),DATEVALUE(TRIM([1]RawShipmentData!B785)))</f>
        <v>45444</v>
      </c>
      <c r="C778" s="2" t="str">
        <f>PROPER(TRIM([1]RawShipmentData!C785))</f>
        <v>Delhi</v>
      </c>
      <c r="D778" s="2" t="str">
        <f>IFERROR(INDEX([1]HubMaster!$B$2:$B$7,MATCH(C778,[1]HubMaster!$A$2:$A$7,0)),"Unknown")</f>
        <v>North</v>
      </c>
      <c r="E778" s="2" t="str">
        <f>PROPER(TRIM(SUBSTITUTE([1]RawShipmentData!D785,"  "," ")))</f>
        <v>Ecom Express</v>
      </c>
      <c r="F778" s="2" t="str">
        <f>PROPER(TRIM([1]RawShipmentData!E785))</f>
        <v>Road</v>
      </c>
      <c r="G778" s="2" t="str">
        <f>PROPER(TRIM(SUBSTITUTE([1]RawShipmentData!F785,"  "," ")))</f>
        <v>Furniture</v>
      </c>
      <c r="H778" s="2" t="str">
        <f>PROPER(TRIM([1]RawShipmentData!G785))</f>
        <v>South</v>
      </c>
      <c r="I778" s="2" t="str">
        <f t="shared" si="60"/>
        <v>Yes</v>
      </c>
      <c r="J778" s="2">
        <f>IFERROR(VALUE(TRIM(SUBSTITUTE(UPPER([1]RawShipmentData!I778),"KG",""))),"")</f>
        <v>11.9</v>
      </c>
      <c r="K778" s="2">
        <f>VALUE(SUBSTITUTE(SUBSTITUTE(SUBSTITUTE(TRIM([1]RawShipmentData!J785),"₹",""),"Rs",""),",",""))</f>
        <v>1108</v>
      </c>
      <c r="L778" s="2">
        <f>[1]RawShipmentData!K785</f>
        <v>8</v>
      </c>
      <c r="M778" s="3">
        <f>IF(TRIM([1]RawShipmentData!L785)="","",IF(ISNUMBER(SEARCH("/",TRIM([1]RawShipmentData!L785))),DATE(VALUE(RIGHT(TRIM([1]RawShipmentData!L785),4)),VALUE(MID(TRIM([1]RawShipmentData!L785),FIND("/",TRIM([1]RawShipmentData!L785))+1,2)),VALUE(LEFT(TRIM([1]RawShipmentData!L785),FIND("/",TRIM([1]RawShipmentData!L785))-1))),DATEVALUE(TRIM([1]RawShipmentData!L785))))</f>
        <v>45453</v>
      </c>
      <c r="N778" s="2">
        <f t="shared" si="61"/>
        <v>9</v>
      </c>
      <c r="O778" s="2">
        <f t="shared" si="62"/>
        <v>1</v>
      </c>
      <c r="P778" s="2" t="str">
        <f t="shared" si="63"/>
        <v>Late</v>
      </c>
      <c r="Q778" s="2" t="str">
        <f>PROPER(SUBSTITUTE(TRIM([1]RawShipmentData!M785)," ","-"))</f>
        <v>Delayed</v>
      </c>
      <c r="R778" s="4">
        <f t="shared" si="64"/>
        <v>93.109243697478988</v>
      </c>
      <c r="S778" s="2">
        <f>[1]RawShipmentData!N785</f>
        <v>2</v>
      </c>
      <c r="T778" s="2" t="str">
        <f>IF(OR(UPPER(TRIM([1]RawShipmentData!O785))="YES",UPPER(TRIM([1]RawShipmentData!O785))="Y"),"Yes","No")</f>
        <v>No</v>
      </c>
    </row>
    <row r="779" spans="1:20" x14ac:dyDescent="0.25">
      <c r="A779" s="2" t="str">
        <f>[1]RawShipmentData!A786</f>
        <v>SHP-100370</v>
      </c>
      <c r="B779" s="3">
        <f>IF(ISNUMBER(SEARCH("/",TRIM([1]RawShipmentData!B786))),DATE(VALUE(RIGHT(TRIM([1]RawShipmentData!B786),4)),VALUE(MID(TRIM([1]RawShipmentData!B786),FIND("/",TRIM([1]RawShipmentData!B786))+1,2)),VALUE(LEFT(TRIM([1]RawShipmentData!B786),FIND("/",TRIM([1]RawShipmentData!B786))-1))),DATEVALUE(TRIM([1]RawShipmentData!B786)))</f>
        <v>45312</v>
      </c>
      <c r="C779" s="2" t="str">
        <f>PROPER(TRIM([1]RawShipmentData!C786))</f>
        <v>Mumbai</v>
      </c>
      <c r="D779" s="2" t="str">
        <f>IFERROR(INDEX([1]HubMaster!$B$2:$B$7,MATCH(C779,[1]HubMaster!$A$2:$A$7,0)),"Unknown")</f>
        <v>West</v>
      </c>
      <c r="E779" s="2" t="str">
        <f>PROPER(TRIM(SUBSTITUTE([1]RawShipmentData!D786,"  "," ")))</f>
        <v>Bluedart</v>
      </c>
      <c r="F779" s="2" t="str">
        <f>PROPER(TRIM([1]RawShipmentData!E786))</f>
        <v>Road</v>
      </c>
      <c r="G779" s="2" t="str">
        <f>PROPER(TRIM(SUBSTITUTE([1]RawShipmentData!F786,"  "," ")))</f>
        <v>Apparel</v>
      </c>
      <c r="H779" s="2" t="str">
        <f>PROPER(TRIM([1]RawShipmentData!G786))</f>
        <v>West</v>
      </c>
      <c r="I779" s="2" t="str">
        <f t="shared" si="60"/>
        <v>No</v>
      </c>
      <c r="J779" s="2">
        <f>IFERROR(VALUE(TRIM(SUBSTITUTE(UPPER([1]RawShipmentData!I779),"KG",""))),"")</f>
        <v>1.6</v>
      </c>
      <c r="K779" s="2">
        <f>VALUE(SUBSTITUTE(SUBSTITUTE(SUBSTITUTE(TRIM([1]RawShipmentData!J786),"₹",""),"Rs",""),",",""))</f>
        <v>80</v>
      </c>
      <c r="L779" s="2">
        <f>[1]RawShipmentData!K786</f>
        <v>6</v>
      </c>
      <c r="M779" s="3">
        <f>IF(TRIM([1]RawShipmentData!L786)="","",IF(ISNUMBER(SEARCH("/",TRIM([1]RawShipmentData!L786))),DATE(VALUE(RIGHT(TRIM([1]RawShipmentData!L786),4)),VALUE(MID(TRIM([1]RawShipmentData!L786),FIND("/",TRIM([1]RawShipmentData!L786))+1,2)),VALUE(LEFT(TRIM([1]RawShipmentData!L786),FIND("/",TRIM([1]RawShipmentData!L786))-1))),DATEVALUE(TRIM([1]RawShipmentData!L786))))</f>
        <v>45317</v>
      </c>
      <c r="N779" s="2">
        <f t="shared" si="61"/>
        <v>5</v>
      </c>
      <c r="O779" s="2">
        <f t="shared" si="62"/>
        <v>-1</v>
      </c>
      <c r="P779" s="2" t="str">
        <f t="shared" si="63"/>
        <v>On Time</v>
      </c>
      <c r="Q779" s="2" t="str">
        <f>PROPER(SUBSTITUTE(TRIM([1]RawShipmentData!M786)," ","-"))</f>
        <v>Delivered</v>
      </c>
      <c r="R779" s="4">
        <f t="shared" si="64"/>
        <v>50</v>
      </c>
      <c r="S779" s="2">
        <f>[1]RawShipmentData!N786</f>
        <v>4</v>
      </c>
      <c r="T779" s="2" t="str">
        <f>IF(OR(UPPER(TRIM([1]RawShipmentData!O786))="YES",UPPER(TRIM([1]RawShipmentData!O786))="Y"),"Yes","No")</f>
        <v>Yes</v>
      </c>
    </row>
    <row r="780" spans="1:20" x14ac:dyDescent="0.25">
      <c r="A780" s="2" t="str">
        <f>[1]RawShipmentData!A787</f>
        <v>SHP-100679</v>
      </c>
      <c r="B780" s="3">
        <f>IF(ISNUMBER(SEARCH("/",TRIM([1]RawShipmentData!B787))),DATE(VALUE(RIGHT(TRIM([1]RawShipmentData!B787),4)),VALUE(MID(TRIM([1]RawShipmentData!B787),FIND("/",TRIM([1]RawShipmentData!B787))+1,2)),VALUE(LEFT(TRIM([1]RawShipmentData!B787),FIND("/",TRIM([1]RawShipmentData!B787))-1))),DATEVALUE(TRIM([1]RawShipmentData!B787)))</f>
        <v>45431</v>
      </c>
      <c r="C780" s="2" t="str">
        <f>PROPER(TRIM([1]RawShipmentData!C787))</f>
        <v>Delhi</v>
      </c>
      <c r="D780" s="2" t="str">
        <f>IFERROR(INDEX([1]HubMaster!$B$2:$B$7,MATCH(C780,[1]HubMaster!$A$2:$A$7,0)),"Unknown")</f>
        <v>North</v>
      </c>
      <c r="E780" s="2" t="str">
        <f>PROPER(TRIM(SUBSTITUTE([1]RawShipmentData!D787,"  "," ")))</f>
        <v>Xpress Bees</v>
      </c>
      <c r="F780" s="2" t="str">
        <f>PROPER(TRIM([1]RawShipmentData!E787))</f>
        <v>Road</v>
      </c>
      <c r="G780" s="2" t="str">
        <f>PROPER(TRIM(SUBSTITUTE([1]RawShipmentData!F787,"  "," ")))</f>
        <v>Furniture</v>
      </c>
      <c r="H780" s="2" t="str">
        <f>PROPER(TRIM([1]RawShipmentData!G787))</f>
        <v>South</v>
      </c>
      <c r="I780" s="2" t="str">
        <f t="shared" si="60"/>
        <v>Yes</v>
      </c>
      <c r="J780" s="2">
        <f>IFERROR(VALUE(TRIM(SUBSTITUTE(UPPER([1]RawShipmentData!I780),"KG",""))),"")</f>
        <v>4.3</v>
      </c>
      <c r="K780" s="2">
        <f>VALUE(SUBSTITUTE(SUBSTITUTE(SUBSTITUTE(TRIM([1]RawShipmentData!J787),"₹",""),"Rs",""),",",""))</f>
        <v>806</v>
      </c>
      <c r="L780" s="2">
        <f>[1]RawShipmentData!K787</f>
        <v>8</v>
      </c>
      <c r="M780" s="3">
        <f>IF(TRIM([1]RawShipmentData!L787)="","",IF(ISNUMBER(SEARCH("/",TRIM([1]RawShipmentData!L787))),DATE(VALUE(RIGHT(TRIM([1]RawShipmentData!L787),4)),VALUE(MID(TRIM([1]RawShipmentData!L787),FIND("/",TRIM([1]RawShipmentData!L787))+1,2)),VALUE(LEFT(TRIM([1]RawShipmentData!L787),FIND("/",TRIM([1]RawShipmentData!L787))-1))),DATEVALUE(TRIM([1]RawShipmentData!L787))))</f>
        <v>45440</v>
      </c>
      <c r="N780" s="2">
        <f t="shared" si="61"/>
        <v>9</v>
      </c>
      <c r="O780" s="2">
        <f t="shared" si="62"/>
        <v>1</v>
      </c>
      <c r="P780" s="2" t="str">
        <f t="shared" si="63"/>
        <v>Late</v>
      </c>
      <c r="Q780" s="2" t="str">
        <f>PROPER(SUBSTITUTE(TRIM([1]RawShipmentData!M787)," ","-"))</f>
        <v>Delayed</v>
      </c>
      <c r="R780" s="4">
        <f t="shared" si="64"/>
        <v>187.44186046511629</v>
      </c>
      <c r="S780" s="2">
        <f>[1]RawShipmentData!N787</f>
        <v>2</v>
      </c>
      <c r="T780" s="2" t="str">
        <f>IF(OR(UPPER(TRIM([1]RawShipmentData!O787))="YES",UPPER(TRIM([1]RawShipmentData!O787))="Y"),"Yes","No")</f>
        <v>No</v>
      </c>
    </row>
    <row r="781" spans="1:20" x14ac:dyDescent="0.25">
      <c r="A781" s="2" t="str">
        <f>[1]RawShipmentData!A788</f>
        <v>SHP-101531</v>
      </c>
      <c r="B781" s="3">
        <f>IF(ISNUMBER(SEARCH("/",TRIM([1]RawShipmentData!B788))),DATE(VALUE(RIGHT(TRIM([1]RawShipmentData!B788),4)),VALUE(MID(TRIM([1]RawShipmentData!B788),FIND("/",TRIM([1]RawShipmentData!B788))+1,2)),VALUE(LEFT(TRIM([1]RawShipmentData!B788),FIND("/",TRIM([1]RawShipmentData!B788))-1))),DATEVALUE(TRIM([1]RawShipmentData!B788)))</f>
        <v>45307</v>
      </c>
      <c r="C781" s="2" t="str">
        <f>PROPER(TRIM([1]RawShipmentData!C788))</f>
        <v>Kolkata</v>
      </c>
      <c r="D781" s="2" t="str">
        <f>IFERROR(INDEX([1]HubMaster!$B$2:$B$7,MATCH(C781,[1]HubMaster!$A$2:$A$7,0)),"Unknown")</f>
        <v>East</v>
      </c>
      <c r="E781" s="2" t="str">
        <f>PROPER(TRIM(SUBSTITUTE([1]RawShipmentData!D788,"  "," ")))</f>
        <v>Xpressbees</v>
      </c>
      <c r="F781" s="2" t="str">
        <f>PROPER(TRIM([1]RawShipmentData!E788))</f>
        <v>Surface</v>
      </c>
      <c r="G781" s="2" t="str">
        <f>PROPER(TRIM(SUBSTITUTE([1]RawShipmentData!F788,"  "," ")))</f>
        <v>Pharma</v>
      </c>
      <c r="H781" s="2" t="str">
        <f>PROPER(TRIM([1]RawShipmentData!G788))</f>
        <v>East</v>
      </c>
      <c r="I781" s="2" t="str">
        <f t="shared" si="60"/>
        <v>No</v>
      </c>
      <c r="J781" s="2">
        <f>IFERROR(VALUE(TRIM(SUBSTITUTE(UPPER([1]RawShipmentData!I781),"KG",""))),"")</f>
        <v>13.6</v>
      </c>
      <c r="K781" s="2">
        <f>VALUE(SUBSTITUTE(SUBSTITUTE(SUBSTITUTE(TRIM([1]RawShipmentData!J788),"₹",""),"Rs",""),",",""))</f>
        <v>100</v>
      </c>
      <c r="L781" s="2">
        <f>[1]RawShipmentData!K788</f>
        <v>4</v>
      </c>
      <c r="M781" s="3">
        <f>IF(TRIM([1]RawShipmentData!L788)="","",IF(ISNUMBER(SEARCH("/",TRIM([1]RawShipmentData!L788))),DATE(VALUE(RIGHT(TRIM([1]RawShipmentData!L788),4)),VALUE(MID(TRIM([1]RawShipmentData!L788),FIND("/",TRIM([1]RawShipmentData!L788))+1,2)),VALUE(LEFT(TRIM([1]RawShipmentData!L788),FIND("/",TRIM([1]RawShipmentData!L788))-1))),DATEVALUE(TRIM([1]RawShipmentData!L788))))</f>
        <v>45311</v>
      </c>
      <c r="N781" s="2">
        <f t="shared" si="61"/>
        <v>4</v>
      </c>
      <c r="O781" s="2">
        <f t="shared" si="62"/>
        <v>0</v>
      </c>
      <c r="P781" s="2" t="str">
        <f t="shared" si="63"/>
        <v>On Time</v>
      </c>
      <c r="Q781" s="2" t="str">
        <f>PROPER(SUBSTITUTE(TRIM([1]RawShipmentData!M788)," ","-"))</f>
        <v>Delivered</v>
      </c>
      <c r="R781" s="4">
        <f t="shared" si="64"/>
        <v>7.3529411764705888</v>
      </c>
      <c r="S781" s="2">
        <f>[1]RawShipmentData!N788</f>
        <v>5</v>
      </c>
      <c r="T781" s="2" t="str">
        <f>IF(OR(UPPER(TRIM([1]RawShipmentData!O788))="YES",UPPER(TRIM([1]RawShipmentData!O788))="Y"),"Yes","No")</f>
        <v>No</v>
      </c>
    </row>
    <row r="782" spans="1:20" x14ac:dyDescent="0.25">
      <c r="A782" s="2" t="str">
        <f>[1]RawShipmentData!A789</f>
        <v>SHP-100525</v>
      </c>
      <c r="B782" s="3">
        <f>IF(ISNUMBER(SEARCH("/",TRIM([1]RawShipmentData!B789))),DATE(VALUE(RIGHT(TRIM([1]RawShipmentData!B789),4)),VALUE(MID(TRIM([1]RawShipmentData!B789),FIND("/",TRIM([1]RawShipmentData!B789))+1,2)),VALUE(LEFT(TRIM([1]RawShipmentData!B789),FIND("/",TRIM([1]RawShipmentData!B789))-1))),DATEVALUE(TRIM([1]RawShipmentData!B789)))</f>
        <v>45403</v>
      </c>
      <c r="C782" s="2" t="str">
        <f>PROPER(TRIM([1]RawShipmentData!C789))</f>
        <v>Kolkata</v>
      </c>
      <c r="D782" s="2" t="str">
        <f>IFERROR(INDEX([1]HubMaster!$B$2:$B$7,MATCH(C782,[1]HubMaster!$A$2:$A$7,0)),"Unknown")</f>
        <v>East</v>
      </c>
      <c r="E782" s="2" t="str">
        <f>PROPER(TRIM(SUBSTITUTE([1]RawShipmentData!D789,"  "," ")))</f>
        <v>Ecom Express</v>
      </c>
      <c r="F782" s="2" t="str">
        <f>PROPER(TRIM([1]RawShipmentData!E789))</f>
        <v>Road</v>
      </c>
      <c r="G782" s="2" t="str">
        <f>PROPER(TRIM(SUBSTITUTE([1]RawShipmentData!F789,"  "," ")))</f>
        <v>Apparel</v>
      </c>
      <c r="H782" s="2" t="str">
        <f>PROPER(TRIM([1]RawShipmentData!G789))</f>
        <v>South</v>
      </c>
      <c r="I782" s="2" t="str">
        <f t="shared" si="60"/>
        <v>Yes</v>
      </c>
      <c r="J782" s="2">
        <f>IFERROR(VALUE(TRIM(SUBSTITUTE(UPPER([1]RawShipmentData!I782),"KG",""))),"")</f>
        <v>27.1</v>
      </c>
      <c r="K782" s="2">
        <f>VALUE(SUBSTITUTE(SUBSTITUTE(SUBSTITUTE(TRIM([1]RawShipmentData!J789),"₹",""),"Rs",""),",",""))</f>
        <v>217</v>
      </c>
      <c r="L782" s="2">
        <f>[1]RawShipmentData!K789</f>
        <v>8</v>
      </c>
      <c r="M782" s="3">
        <f>IF(TRIM([1]RawShipmentData!L789)="","",IF(ISNUMBER(SEARCH("/",TRIM([1]RawShipmentData!L789))),DATE(VALUE(RIGHT(TRIM([1]RawShipmentData!L789),4)),VALUE(MID(TRIM([1]RawShipmentData!L789),FIND("/",TRIM([1]RawShipmentData!L789))+1,2)),VALUE(LEFT(TRIM([1]RawShipmentData!L789),FIND("/",TRIM([1]RawShipmentData!L789))-1))),DATEVALUE(TRIM([1]RawShipmentData!L789))))</f>
        <v>45416</v>
      </c>
      <c r="N782" s="2">
        <f t="shared" si="61"/>
        <v>13</v>
      </c>
      <c r="O782" s="2">
        <f t="shared" si="62"/>
        <v>5</v>
      </c>
      <c r="P782" s="2" t="str">
        <f t="shared" si="63"/>
        <v>Late</v>
      </c>
      <c r="Q782" s="2" t="str">
        <f>PROPER(SUBSTITUTE(TRIM([1]RawShipmentData!M789)," ","-"))</f>
        <v>Returned</v>
      </c>
      <c r="R782" s="4">
        <f t="shared" si="64"/>
        <v>8.0073800738007375</v>
      </c>
      <c r="S782" s="2">
        <f>[1]RawShipmentData!N789</f>
        <v>0</v>
      </c>
      <c r="T782" s="2" t="str">
        <f>IF(OR(UPPER(TRIM([1]RawShipmentData!O789))="YES",UPPER(TRIM([1]RawShipmentData!O789))="Y"),"Yes","No")</f>
        <v>No</v>
      </c>
    </row>
    <row r="783" spans="1:20" x14ac:dyDescent="0.25">
      <c r="A783" s="2" t="str">
        <f>[1]RawShipmentData!A790</f>
        <v>SHP-101042</v>
      </c>
      <c r="B783" s="3">
        <f>IF(ISNUMBER(SEARCH("/",TRIM([1]RawShipmentData!B790))),DATE(VALUE(RIGHT(TRIM([1]RawShipmentData!B790),4)),VALUE(MID(TRIM([1]RawShipmentData!B790),FIND("/",TRIM([1]RawShipmentData!B790))+1,2)),VALUE(LEFT(TRIM([1]RawShipmentData!B790),FIND("/",TRIM([1]RawShipmentData!B790))-1))),DATEVALUE(TRIM([1]RawShipmentData!B790)))</f>
        <v>45352</v>
      </c>
      <c r="C783" s="2" t="str">
        <f>PROPER(TRIM([1]RawShipmentData!C790))</f>
        <v>Bengaluru</v>
      </c>
      <c r="D783" s="2" t="str">
        <f>IFERROR(INDEX([1]HubMaster!$B$2:$B$7,MATCH(C783,[1]HubMaster!$A$2:$A$7,0)),"Unknown")</f>
        <v>South</v>
      </c>
      <c r="E783" s="2" t="str">
        <f>PROPER(TRIM(SUBSTITUTE([1]RawShipmentData!D790,"  "," ")))</f>
        <v>Dtdc</v>
      </c>
      <c r="F783" s="2" t="str">
        <f>PROPER(TRIM([1]RawShipmentData!E790))</f>
        <v>Road</v>
      </c>
      <c r="G783" s="2" t="str">
        <f>PROPER(TRIM(SUBSTITUTE([1]RawShipmentData!F790,"  "," ")))</f>
        <v>Grocery &amp; Fmcg</v>
      </c>
      <c r="H783" s="2" t="str">
        <f>PROPER(TRIM([1]RawShipmentData!G790))</f>
        <v>North</v>
      </c>
      <c r="I783" s="2" t="str">
        <f t="shared" si="60"/>
        <v>Yes</v>
      </c>
      <c r="J783" s="2">
        <f>IFERROR(VALUE(TRIM(SUBSTITUTE(UPPER([1]RawShipmentData!I783),"KG",""))),"")</f>
        <v>15.3</v>
      </c>
      <c r="K783" s="2">
        <f>VALUE(SUBSTITUTE(SUBSTITUTE(SUBSTITUTE(TRIM([1]RawShipmentData!J790),"₹",""),"Rs",""),",",""))</f>
        <v>419</v>
      </c>
      <c r="L783" s="2">
        <f>[1]RawShipmentData!K790</f>
        <v>8</v>
      </c>
      <c r="M783" s="3">
        <f>IF(TRIM([1]RawShipmentData!L790)="","",IF(ISNUMBER(SEARCH("/",TRIM([1]RawShipmentData!L790))),DATE(VALUE(RIGHT(TRIM([1]RawShipmentData!L790),4)),VALUE(MID(TRIM([1]RawShipmentData!L790),FIND("/",TRIM([1]RawShipmentData!L790))+1,2)),VALUE(LEFT(TRIM([1]RawShipmentData!L790),FIND("/",TRIM([1]RawShipmentData!L790))-1))),DATEVALUE(TRIM([1]RawShipmentData!L790))))</f>
        <v>45360</v>
      </c>
      <c r="N783" s="2">
        <f t="shared" si="61"/>
        <v>8</v>
      </c>
      <c r="O783" s="2">
        <f t="shared" si="62"/>
        <v>0</v>
      </c>
      <c r="P783" s="2" t="str">
        <f t="shared" si="63"/>
        <v>On Time</v>
      </c>
      <c r="Q783" s="2" t="str">
        <f>PROPER(SUBSTITUTE(TRIM([1]RawShipmentData!M790)," ","-"))</f>
        <v>Delivered</v>
      </c>
      <c r="R783" s="4">
        <f t="shared" si="64"/>
        <v>27.385620915032678</v>
      </c>
      <c r="S783" s="2">
        <f>[1]RawShipmentData!N790</f>
        <v>3</v>
      </c>
      <c r="T783" s="2" t="str">
        <f>IF(OR(UPPER(TRIM([1]RawShipmentData!O790))="YES",UPPER(TRIM([1]RawShipmentData!O790))="Y"),"Yes","No")</f>
        <v>No</v>
      </c>
    </row>
    <row r="784" spans="1:20" x14ac:dyDescent="0.25">
      <c r="A784" s="2" t="str">
        <f>[1]RawShipmentData!A791</f>
        <v>SHP-100665</v>
      </c>
      <c r="B784" s="3">
        <f>IF(ISNUMBER(SEARCH("/",TRIM([1]RawShipmentData!B791))),DATE(VALUE(RIGHT(TRIM([1]RawShipmentData!B791),4)),VALUE(MID(TRIM([1]RawShipmentData!B791),FIND("/",TRIM([1]RawShipmentData!B791))+1,2)),VALUE(LEFT(TRIM([1]RawShipmentData!B791),FIND("/",TRIM([1]RawShipmentData!B791))-1))),DATEVALUE(TRIM([1]RawShipmentData!B791)))</f>
        <v>45435</v>
      </c>
      <c r="C784" s="2" t="str">
        <f>PROPER(TRIM([1]RawShipmentData!C791))</f>
        <v>Delhi</v>
      </c>
      <c r="D784" s="2" t="str">
        <f>IFERROR(INDEX([1]HubMaster!$B$2:$B$7,MATCH(C784,[1]HubMaster!$A$2:$A$7,0)),"Unknown")</f>
        <v>North</v>
      </c>
      <c r="E784" s="2" t="str">
        <f>PROPER(TRIM(SUBSTITUTE([1]RawShipmentData!D791,"  "," ")))</f>
        <v>Xpressbees</v>
      </c>
      <c r="F784" s="2" t="str">
        <f>PROPER(TRIM([1]RawShipmentData!E791))</f>
        <v>Surface</v>
      </c>
      <c r="G784" s="2" t="str">
        <f>PROPER(TRIM(SUBSTITUTE([1]RawShipmentData!F791,"  "," ")))</f>
        <v>Automotive Parts</v>
      </c>
      <c r="H784" s="2" t="str">
        <f>PROPER(TRIM([1]RawShipmentData!G791))</f>
        <v>North</v>
      </c>
      <c r="I784" s="2" t="str">
        <f t="shared" si="60"/>
        <v>No</v>
      </c>
      <c r="J784" s="2">
        <f>IFERROR(VALUE(TRIM(SUBSTITUTE(UPPER([1]RawShipmentData!I784),"KG",""))),"")</f>
        <v>10.9</v>
      </c>
      <c r="K784" s="2">
        <f>VALUE(SUBSTITUTE(SUBSTITUTE(SUBSTITUTE(TRIM([1]RawShipmentData!J791),"₹",""),"Rs",""),",",""))</f>
        <v>887</v>
      </c>
      <c r="L784" s="2">
        <f>[1]RawShipmentData!K791</f>
        <v>4</v>
      </c>
      <c r="M784" s="3">
        <f>IF(TRIM([1]RawShipmentData!L791)="","",IF(ISNUMBER(SEARCH("/",TRIM([1]RawShipmentData!L791))),DATE(VALUE(RIGHT(TRIM([1]RawShipmentData!L791),4)),VALUE(MID(TRIM([1]RawShipmentData!L791),FIND("/",TRIM([1]RawShipmentData!L791))+1,2)),VALUE(LEFT(TRIM([1]RawShipmentData!L791),FIND("/",TRIM([1]RawShipmentData!L791))-1))),DATEVALUE(TRIM([1]RawShipmentData!L791))))</f>
        <v>45440</v>
      </c>
      <c r="N784" s="2">
        <f t="shared" si="61"/>
        <v>5</v>
      </c>
      <c r="O784" s="2">
        <f t="shared" si="62"/>
        <v>1</v>
      </c>
      <c r="P784" s="2" t="str">
        <f t="shared" si="63"/>
        <v>Late</v>
      </c>
      <c r="Q784" s="2" t="str">
        <f>PROPER(SUBSTITUTE(TRIM([1]RawShipmentData!M791)," ","-"))</f>
        <v>Delayed</v>
      </c>
      <c r="R784" s="4">
        <f t="shared" si="64"/>
        <v>81.376146788990823</v>
      </c>
      <c r="S784" s="2">
        <f>[1]RawShipmentData!N791</f>
        <v>2</v>
      </c>
      <c r="T784" s="2" t="str">
        <f>IF(OR(UPPER(TRIM([1]RawShipmentData!O791))="YES",UPPER(TRIM([1]RawShipmentData!O791))="Y"),"Yes","No")</f>
        <v>Yes</v>
      </c>
    </row>
    <row r="785" spans="1:20" x14ac:dyDescent="0.25">
      <c r="A785" s="2" t="str">
        <f>[1]RawShipmentData!A792</f>
        <v>SHP-100457</v>
      </c>
      <c r="B785" s="3">
        <f>IF(ISNUMBER(SEARCH("/",TRIM([1]RawShipmentData!B792))),DATE(VALUE(RIGHT(TRIM([1]RawShipmentData!B792),4)),VALUE(MID(TRIM([1]RawShipmentData!B792),FIND("/",TRIM([1]RawShipmentData!B792))+1,2)),VALUE(LEFT(TRIM([1]RawShipmentData!B792),FIND("/",TRIM([1]RawShipmentData!B792))-1))),DATEVALUE(TRIM([1]RawShipmentData!B792)))</f>
        <v>45399</v>
      </c>
      <c r="C785" s="2" t="str">
        <f>PROPER(TRIM([1]RawShipmentData!C792))</f>
        <v>Delhi</v>
      </c>
      <c r="D785" s="2" t="str">
        <f>IFERROR(INDEX([1]HubMaster!$B$2:$B$7,MATCH(C785,[1]HubMaster!$A$2:$A$7,0)),"Unknown")</f>
        <v>North</v>
      </c>
      <c r="E785" s="2" t="str">
        <f>PROPER(TRIM(SUBSTITUTE([1]RawShipmentData!D792,"  "," ")))</f>
        <v>Xpressbees</v>
      </c>
      <c r="F785" s="2" t="str">
        <f>PROPER(TRIM([1]RawShipmentData!E792))</f>
        <v>Air</v>
      </c>
      <c r="G785" s="2" t="str">
        <f>PROPER(TRIM(SUBSTITUTE([1]RawShipmentData!F792,"  "," ")))</f>
        <v>Automotive Parts</v>
      </c>
      <c r="H785" s="2" t="str">
        <f>PROPER(TRIM([1]RawShipmentData!G792))</f>
        <v>North</v>
      </c>
      <c r="I785" s="2" t="str">
        <f t="shared" si="60"/>
        <v>No</v>
      </c>
      <c r="J785" s="2">
        <f>IFERROR(VALUE(TRIM(SUBSTITUTE(UPPER([1]RawShipmentData!I785),"KG",""))),"")</f>
        <v>70.400000000000006</v>
      </c>
      <c r="K785" s="2">
        <f>VALUE(SUBSTITUTE(SUBSTITUTE(SUBSTITUTE(TRIM([1]RawShipmentData!J792),"₹",""),"Rs",""),",",""))</f>
        <v>340</v>
      </c>
      <c r="L785" s="2">
        <f>[1]RawShipmentData!K792</f>
        <v>2</v>
      </c>
      <c r="M785" s="3">
        <f>IF(TRIM([1]RawShipmentData!L792)="","",IF(ISNUMBER(SEARCH("/",TRIM([1]RawShipmentData!L792))),DATE(VALUE(RIGHT(TRIM([1]RawShipmentData!L792),4)),VALUE(MID(TRIM([1]RawShipmentData!L792),FIND("/",TRIM([1]RawShipmentData!L792))+1,2)),VALUE(LEFT(TRIM([1]RawShipmentData!L792),FIND("/",TRIM([1]RawShipmentData!L792))-1))),DATEVALUE(TRIM([1]RawShipmentData!L792))))</f>
        <v>45402</v>
      </c>
      <c r="N785" s="2">
        <f t="shared" si="61"/>
        <v>3</v>
      </c>
      <c r="O785" s="2">
        <f t="shared" si="62"/>
        <v>1</v>
      </c>
      <c r="P785" s="2" t="str">
        <f t="shared" si="63"/>
        <v>Late</v>
      </c>
      <c r="Q785" s="2" t="str">
        <f>PROPER(SUBSTITUTE(TRIM([1]RawShipmentData!M792)," ","-"))</f>
        <v>Delayed</v>
      </c>
      <c r="R785" s="4">
        <f t="shared" si="64"/>
        <v>4.8295454545454541</v>
      </c>
      <c r="S785" s="2">
        <f>[1]RawShipmentData!N792</f>
        <v>3</v>
      </c>
      <c r="T785" s="2" t="str">
        <f>IF(OR(UPPER(TRIM([1]RawShipmentData!O792))="YES",UPPER(TRIM([1]RawShipmentData!O792))="Y"),"Yes","No")</f>
        <v>No</v>
      </c>
    </row>
    <row r="786" spans="1:20" x14ac:dyDescent="0.25">
      <c r="A786" s="2" t="str">
        <f>[1]RawShipmentData!A793</f>
        <v>SHP-100507</v>
      </c>
      <c r="B786" s="3">
        <f>IF(ISNUMBER(SEARCH("/",TRIM([1]RawShipmentData!B793))),DATE(VALUE(RIGHT(TRIM([1]RawShipmentData!B793),4)),VALUE(MID(TRIM([1]RawShipmentData!B793),FIND("/",TRIM([1]RawShipmentData!B793))+1,2)),VALUE(LEFT(TRIM([1]RawShipmentData!B793),FIND("/",TRIM([1]RawShipmentData!B793))-1))),DATEVALUE(TRIM([1]RawShipmentData!B793)))</f>
        <v>45431</v>
      </c>
      <c r="C786" s="2" t="str">
        <f>PROPER(TRIM([1]RawShipmentData!C793))</f>
        <v>Mumbai</v>
      </c>
      <c r="D786" s="2" t="str">
        <f>IFERROR(INDEX([1]HubMaster!$B$2:$B$7,MATCH(C786,[1]HubMaster!$A$2:$A$7,0)),"Unknown")</f>
        <v>West</v>
      </c>
      <c r="E786" s="2" t="str">
        <f>PROPER(TRIM(SUBSTITUTE([1]RawShipmentData!D793,"  "," ")))</f>
        <v>Dtdc</v>
      </c>
      <c r="F786" s="2" t="str">
        <f>PROPER(TRIM([1]RawShipmentData!E793))</f>
        <v>Road</v>
      </c>
      <c r="G786" s="2" t="str">
        <f>PROPER(TRIM(SUBSTITUTE([1]RawShipmentData!F793,"  "," ")))</f>
        <v>Automotive Parts</v>
      </c>
      <c r="H786" s="2" t="str">
        <f>PROPER(TRIM([1]RawShipmentData!G793))</f>
        <v>North</v>
      </c>
      <c r="I786" s="2" t="str">
        <f t="shared" si="60"/>
        <v>Yes</v>
      </c>
      <c r="J786" s="2">
        <f>IFERROR(VALUE(TRIM(SUBSTITUTE(UPPER([1]RawShipmentData!I786),"KG",""))),"")</f>
        <v>2.2000000000000002</v>
      </c>
      <c r="K786" s="2">
        <f>VALUE(SUBSTITUTE(SUBSTITUTE(SUBSTITUTE(TRIM([1]RawShipmentData!J793),"₹",""),"Rs",""),",",""))</f>
        <v>684</v>
      </c>
      <c r="L786" s="2">
        <f>[1]RawShipmentData!K793</f>
        <v>8</v>
      </c>
      <c r="M786" s="3">
        <f>IF(TRIM([1]RawShipmentData!L793)="","",IF(ISNUMBER(SEARCH("/",TRIM([1]RawShipmentData!L793))),DATE(VALUE(RIGHT(TRIM([1]RawShipmentData!L793),4)),VALUE(MID(TRIM([1]RawShipmentData!L793),FIND("/",TRIM([1]RawShipmentData!L793))+1,2)),VALUE(LEFT(TRIM([1]RawShipmentData!L793),FIND("/",TRIM([1]RawShipmentData!L793))-1))),DATEVALUE(TRIM([1]RawShipmentData!L793))))</f>
        <v>45448</v>
      </c>
      <c r="N786" s="2">
        <f t="shared" si="61"/>
        <v>17</v>
      </c>
      <c r="O786" s="2">
        <f t="shared" si="62"/>
        <v>9</v>
      </c>
      <c r="P786" s="2" t="str">
        <f t="shared" si="63"/>
        <v>Late</v>
      </c>
      <c r="Q786" s="2" t="str">
        <f>PROPER(SUBSTITUTE(TRIM([1]RawShipmentData!M793)," ","-"))</f>
        <v>Delayed</v>
      </c>
      <c r="R786" s="4">
        <f t="shared" si="64"/>
        <v>310.90909090909088</v>
      </c>
      <c r="S786" s="2">
        <f>[1]RawShipmentData!N793</f>
        <v>3</v>
      </c>
      <c r="T786" s="2" t="str">
        <f>IF(OR(UPPER(TRIM([1]RawShipmentData!O793))="YES",UPPER(TRIM([1]RawShipmentData!O793))="Y"),"Yes","No")</f>
        <v>No</v>
      </c>
    </row>
    <row r="787" spans="1:20" x14ac:dyDescent="0.25">
      <c r="A787" s="2" t="str">
        <f>[1]RawShipmentData!A794</f>
        <v>SHP-101353</v>
      </c>
      <c r="B787" s="3">
        <f>IF(ISNUMBER(SEARCH("/",TRIM([1]RawShipmentData!B794))),DATE(VALUE(RIGHT(TRIM([1]RawShipmentData!B794),4)),VALUE(MID(TRIM([1]RawShipmentData!B794),FIND("/",TRIM([1]RawShipmentData!B794))+1,2)),VALUE(LEFT(TRIM([1]RawShipmentData!B794),FIND("/",TRIM([1]RawShipmentData!B794))-1))),DATEVALUE(TRIM([1]RawShipmentData!B794)))</f>
        <v>45405</v>
      </c>
      <c r="C787" s="2" t="str">
        <f>PROPER(TRIM([1]RawShipmentData!C794))</f>
        <v>Mumbai</v>
      </c>
      <c r="D787" s="2" t="str">
        <f>IFERROR(INDEX([1]HubMaster!$B$2:$B$7,MATCH(C787,[1]HubMaster!$A$2:$A$7,0)),"Unknown")</f>
        <v>West</v>
      </c>
      <c r="E787" s="2" t="str">
        <f>PROPER(TRIM(SUBSTITUTE([1]RawShipmentData!D794,"  "," ")))</f>
        <v>Bluedart</v>
      </c>
      <c r="F787" s="2" t="str">
        <f>PROPER(TRIM([1]RawShipmentData!E794))</f>
        <v>Road</v>
      </c>
      <c r="G787" s="2" t="str">
        <f>PROPER(TRIM(SUBSTITUTE([1]RawShipmentData!F794,"  "," ")))</f>
        <v>Furniture</v>
      </c>
      <c r="H787" s="2" t="str">
        <f>PROPER(TRIM([1]RawShipmentData!G794))</f>
        <v>East</v>
      </c>
      <c r="I787" s="2" t="str">
        <f t="shared" si="60"/>
        <v>Yes</v>
      </c>
      <c r="J787" s="2">
        <f>IFERROR(VALUE(TRIM(SUBSTITUTE(UPPER([1]RawShipmentData!I787),"KG",""))),"")</f>
        <v>46.7</v>
      </c>
      <c r="K787" s="2">
        <f>VALUE(SUBSTITUTE(SUBSTITUTE(SUBSTITUTE(TRIM([1]RawShipmentData!J794),"₹",""),"Rs",""),",",""))</f>
        <v>1062</v>
      </c>
      <c r="L787" s="2">
        <f>[1]RawShipmentData!K794</f>
        <v>8</v>
      </c>
      <c r="M787" s="3">
        <f>IF(TRIM([1]RawShipmentData!L794)="","",IF(ISNUMBER(SEARCH("/",TRIM([1]RawShipmentData!L794))),DATE(VALUE(RIGHT(TRIM([1]RawShipmentData!L794),4)),VALUE(MID(TRIM([1]RawShipmentData!L794),FIND("/",TRIM([1]RawShipmentData!L794))+1,2)),VALUE(LEFT(TRIM([1]RawShipmentData!L794),FIND("/",TRIM([1]RawShipmentData!L794))-1))),DATEVALUE(TRIM([1]RawShipmentData!L794))))</f>
        <v>45412</v>
      </c>
      <c r="N787" s="2">
        <f t="shared" si="61"/>
        <v>7</v>
      </c>
      <c r="O787" s="2">
        <f t="shared" si="62"/>
        <v>-1</v>
      </c>
      <c r="P787" s="2" t="str">
        <f t="shared" si="63"/>
        <v>On Time</v>
      </c>
      <c r="Q787" s="2" t="str">
        <f>PROPER(SUBSTITUTE(TRIM([1]RawShipmentData!M794)," ","-"))</f>
        <v>Delivered</v>
      </c>
      <c r="R787" s="4">
        <f t="shared" si="64"/>
        <v>22.740899357601712</v>
      </c>
      <c r="S787" s="2">
        <f>[1]RawShipmentData!N794</f>
        <v>5</v>
      </c>
      <c r="T787" s="2" t="str">
        <f>IF(OR(UPPER(TRIM([1]RawShipmentData!O794))="YES",UPPER(TRIM([1]RawShipmentData!O794))="Y"),"Yes","No")</f>
        <v>Yes</v>
      </c>
    </row>
    <row r="788" spans="1:20" x14ac:dyDescent="0.25">
      <c r="A788" s="2" t="str">
        <f>[1]RawShipmentData!A795</f>
        <v>SHP-101583</v>
      </c>
      <c r="B788" s="3">
        <f>IF(ISNUMBER(SEARCH("/",TRIM([1]RawShipmentData!B795))),DATE(VALUE(RIGHT(TRIM([1]RawShipmentData!B795),4)),VALUE(MID(TRIM([1]RawShipmentData!B795),FIND("/",TRIM([1]RawShipmentData!B795))+1,2)),VALUE(LEFT(TRIM([1]RawShipmentData!B795),FIND("/",TRIM([1]RawShipmentData!B795))-1))),DATEVALUE(TRIM([1]RawShipmentData!B795)))</f>
        <v>45454</v>
      </c>
      <c r="C788" s="2" t="str">
        <f>PROPER(TRIM([1]RawShipmentData!C795))</f>
        <v>Hyderabad</v>
      </c>
      <c r="D788" s="2" t="str">
        <f>IFERROR(INDEX([1]HubMaster!$B$2:$B$7,MATCH(C788,[1]HubMaster!$A$2:$A$7,0)),"Unknown")</f>
        <v>West</v>
      </c>
      <c r="E788" s="2" t="str">
        <f>PROPER(TRIM(SUBSTITUTE([1]RawShipmentData!D795,"  "," ")))</f>
        <v>Dtdc</v>
      </c>
      <c r="F788" s="2" t="str">
        <f>PROPER(TRIM([1]RawShipmentData!E795))</f>
        <v>Surface</v>
      </c>
      <c r="G788" s="2" t="str">
        <f>PROPER(TRIM(SUBSTITUTE([1]RawShipmentData!F795,"  "," ")))</f>
        <v>Apparel</v>
      </c>
      <c r="H788" s="2" t="str">
        <f>PROPER(TRIM([1]RawShipmentData!G795))</f>
        <v>North</v>
      </c>
      <c r="I788" s="2" t="str">
        <f t="shared" si="60"/>
        <v>Yes</v>
      </c>
      <c r="J788" s="2">
        <f>IFERROR(VALUE(TRIM(SUBSTITUTE(UPPER([1]RawShipmentData!I788),"KG",""))),"")</f>
        <v>2.8</v>
      </c>
      <c r="K788" s="2">
        <f>VALUE(SUBSTITUTE(SUBSTITUTE(SUBSTITUTE(TRIM([1]RawShipmentData!J795),"₹",""),"Rs",""),",",""))</f>
        <v>199</v>
      </c>
      <c r="L788" s="2">
        <f>[1]RawShipmentData!K795</f>
        <v>6</v>
      </c>
      <c r="M788" s="3">
        <f>IF(TRIM([1]RawShipmentData!L795)="","",IF(ISNUMBER(SEARCH("/",TRIM([1]RawShipmentData!L795))),DATE(VALUE(RIGHT(TRIM([1]RawShipmentData!L795),4)),VALUE(MID(TRIM([1]RawShipmentData!L795),FIND("/",TRIM([1]RawShipmentData!L795))+1,2)),VALUE(LEFT(TRIM([1]RawShipmentData!L795),FIND("/",TRIM([1]RawShipmentData!L795))-1))),DATEVALUE(TRIM([1]RawShipmentData!L795))))</f>
        <v>45460</v>
      </c>
      <c r="N788" s="2">
        <f t="shared" si="61"/>
        <v>6</v>
      </c>
      <c r="O788" s="2">
        <f t="shared" si="62"/>
        <v>0</v>
      </c>
      <c r="P788" s="2" t="str">
        <f t="shared" si="63"/>
        <v>On Time</v>
      </c>
      <c r="Q788" s="2" t="str">
        <f>PROPER(SUBSTITUTE(TRIM([1]RawShipmentData!M795)," ","-"))</f>
        <v>Delivered</v>
      </c>
      <c r="R788" s="4">
        <f t="shared" si="64"/>
        <v>71.071428571428569</v>
      </c>
      <c r="S788" s="2">
        <f>[1]RawShipmentData!N795</f>
        <v>5</v>
      </c>
      <c r="T788" s="2" t="str">
        <f>IF(OR(UPPER(TRIM([1]RawShipmentData!O795))="YES",UPPER(TRIM([1]RawShipmentData!O795))="Y"),"Yes","No")</f>
        <v>Yes</v>
      </c>
    </row>
    <row r="789" spans="1:20" x14ac:dyDescent="0.25">
      <c r="A789" s="2" t="str">
        <f>[1]RawShipmentData!A796</f>
        <v>SHP-100369</v>
      </c>
      <c r="B789" s="3">
        <f>IF(ISNUMBER(SEARCH("/",TRIM([1]RawShipmentData!B796))),DATE(VALUE(RIGHT(TRIM([1]RawShipmentData!B796),4)),VALUE(MID(TRIM([1]RawShipmentData!B796),FIND("/",TRIM([1]RawShipmentData!B796))+1,2)),VALUE(LEFT(TRIM([1]RawShipmentData!B796),FIND("/",TRIM([1]RawShipmentData!B796))-1))),DATEVALUE(TRIM([1]RawShipmentData!B796)))</f>
        <v>45450</v>
      </c>
      <c r="C789" s="2" t="str">
        <f>PROPER(TRIM([1]RawShipmentData!C796))</f>
        <v>Kolkata</v>
      </c>
      <c r="D789" s="2" t="str">
        <f>IFERROR(INDEX([1]HubMaster!$B$2:$B$7,MATCH(C789,[1]HubMaster!$A$2:$A$7,0)),"Unknown")</f>
        <v>East</v>
      </c>
      <c r="E789" s="2" t="str">
        <f>PROPER(TRIM(SUBSTITUTE([1]RawShipmentData!D796,"  "," ")))</f>
        <v>Dtdc</v>
      </c>
      <c r="F789" s="2" t="str">
        <f>PROPER(TRIM([1]RawShipmentData!E796))</f>
        <v>Road</v>
      </c>
      <c r="G789" s="2" t="str">
        <f>PROPER(TRIM(SUBSTITUTE([1]RawShipmentData!F796,"  "," ")))</f>
        <v>Electronics</v>
      </c>
      <c r="H789" s="2" t="str">
        <f>PROPER(TRIM([1]RawShipmentData!G796))</f>
        <v>East</v>
      </c>
      <c r="I789" s="2" t="str">
        <f t="shared" si="60"/>
        <v>No</v>
      </c>
      <c r="J789" s="2">
        <f>IFERROR(VALUE(TRIM(SUBSTITUTE(UPPER([1]RawShipmentData!I789),"KG",""))),"")</f>
        <v>1.9</v>
      </c>
      <c r="K789" s="2">
        <f>VALUE(SUBSTITUTE(SUBSTITUTE(SUBSTITUTE(TRIM([1]RawShipmentData!J796),"₹",""),"Rs",""),",",""))</f>
        <v>239</v>
      </c>
      <c r="L789" s="2">
        <f>[1]RawShipmentData!K796</f>
        <v>6</v>
      </c>
      <c r="M789" s="3">
        <f>IF(TRIM([1]RawShipmentData!L796)="","",IF(ISNUMBER(SEARCH("/",TRIM([1]RawShipmentData!L796))),DATE(VALUE(RIGHT(TRIM([1]RawShipmentData!L796),4)),VALUE(MID(TRIM([1]RawShipmentData!L796),FIND("/",TRIM([1]RawShipmentData!L796))+1,2)),VALUE(LEFT(TRIM([1]RawShipmentData!L796),FIND("/",TRIM([1]RawShipmentData!L796))-1))),DATEVALUE(TRIM([1]RawShipmentData!L796))))</f>
        <v>45457</v>
      </c>
      <c r="N789" s="2">
        <f t="shared" si="61"/>
        <v>7</v>
      </c>
      <c r="O789" s="2">
        <f t="shared" si="62"/>
        <v>1</v>
      </c>
      <c r="P789" s="2" t="str">
        <f t="shared" si="63"/>
        <v>Late</v>
      </c>
      <c r="Q789" s="2" t="str">
        <f>PROPER(SUBSTITUTE(TRIM([1]RawShipmentData!M796)," ","-"))</f>
        <v>Delayed</v>
      </c>
      <c r="R789" s="4">
        <f t="shared" si="64"/>
        <v>125.78947368421053</v>
      </c>
      <c r="S789" s="2">
        <f>[1]RawShipmentData!N796</f>
        <v>4</v>
      </c>
      <c r="T789" s="2" t="str">
        <f>IF(OR(UPPER(TRIM([1]RawShipmentData!O796))="YES",UPPER(TRIM([1]RawShipmentData!O796))="Y"),"Yes","No")</f>
        <v>Yes</v>
      </c>
    </row>
    <row r="790" spans="1:20" x14ac:dyDescent="0.25">
      <c r="A790" s="2" t="str">
        <f>[1]RawShipmentData!A797</f>
        <v>SHP-100569</v>
      </c>
      <c r="B790" s="3">
        <f>IF(ISNUMBER(SEARCH("/",TRIM([1]RawShipmentData!B797))),DATE(VALUE(RIGHT(TRIM([1]RawShipmentData!B797),4)),VALUE(MID(TRIM([1]RawShipmentData!B797),FIND("/",TRIM([1]RawShipmentData!B797))+1,2)),VALUE(LEFT(TRIM([1]RawShipmentData!B797),FIND("/",TRIM([1]RawShipmentData!B797))-1))),DATEVALUE(TRIM([1]RawShipmentData!B797)))</f>
        <v>45354</v>
      </c>
      <c r="C790" s="2" t="str">
        <f>PROPER(TRIM([1]RawShipmentData!C797))</f>
        <v>Mumbai</v>
      </c>
      <c r="D790" s="2" t="str">
        <f>IFERROR(INDEX([1]HubMaster!$B$2:$B$7,MATCH(C790,[1]HubMaster!$A$2:$A$7,0)),"Unknown")</f>
        <v>West</v>
      </c>
      <c r="E790" s="2" t="str">
        <f>PROPER(TRIM(SUBSTITUTE([1]RawShipmentData!D797,"  "," ")))</f>
        <v>Ecom Express</v>
      </c>
      <c r="F790" s="2" t="str">
        <f>PROPER(TRIM([1]RawShipmentData!E797))</f>
        <v>Road</v>
      </c>
      <c r="G790" s="2" t="str">
        <f>PROPER(TRIM(SUBSTITUTE([1]RawShipmentData!F797,"  "," ")))</f>
        <v>Pharma</v>
      </c>
      <c r="H790" s="2" t="str">
        <f>PROPER(TRIM([1]RawShipmentData!G797))</f>
        <v>East</v>
      </c>
      <c r="I790" s="2" t="str">
        <f t="shared" si="60"/>
        <v>Yes</v>
      </c>
      <c r="J790" s="2">
        <f>IFERROR(VALUE(TRIM(SUBSTITUTE(UPPER([1]RawShipmentData!I790),"KG",""))),"")</f>
        <v>15.6</v>
      </c>
      <c r="K790" s="2">
        <f>VALUE(SUBSTITUTE(SUBSTITUTE(SUBSTITUTE(TRIM([1]RawShipmentData!J797),"₹",""),"Rs",""),",",""))</f>
        <v>197</v>
      </c>
      <c r="L790" s="2">
        <f>[1]RawShipmentData!K797</f>
        <v>8</v>
      </c>
      <c r="M790" s="3">
        <f>IF(TRIM([1]RawShipmentData!L797)="","",IF(ISNUMBER(SEARCH("/",TRIM([1]RawShipmentData!L797))),DATE(VALUE(RIGHT(TRIM([1]RawShipmentData!L797),4)),VALUE(MID(TRIM([1]RawShipmentData!L797),FIND("/",TRIM([1]RawShipmentData!L797))+1,2)),VALUE(LEFT(TRIM([1]RawShipmentData!L797),FIND("/",TRIM([1]RawShipmentData!L797))-1))),DATEVALUE(TRIM([1]RawShipmentData!L797))))</f>
        <v>45362</v>
      </c>
      <c r="N790" s="2">
        <f t="shared" si="61"/>
        <v>8</v>
      </c>
      <c r="O790" s="2">
        <f t="shared" si="62"/>
        <v>0</v>
      </c>
      <c r="P790" s="2" t="str">
        <f t="shared" si="63"/>
        <v>On Time</v>
      </c>
      <c r="Q790" s="2" t="str">
        <f>PROPER(SUBSTITUTE(TRIM([1]RawShipmentData!M797)," ","-"))</f>
        <v>Delivered</v>
      </c>
      <c r="R790" s="4">
        <f t="shared" si="64"/>
        <v>12.628205128205128</v>
      </c>
      <c r="S790" s="2">
        <f>[1]RawShipmentData!N797</f>
        <v>5</v>
      </c>
      <c r="T790" s="2" t="str">
        <f>IF(OR(UPPER(TRIM([1]RawShipmentData!O797))="YES",UPPER(TRIM([1]RawShipmentData!O797))="Y"),"Yes","No")</f>
        <v>No</v>
      </c>
    </row>
    <row r="791" spans="1:20" x14ac:dyDescent="0.25">
      <c r="A791" s="2" t="str">
        <f>[1]RawShipmentData!A798</f>
        <v>SHP-101548</v>
      </c>
      <c r="B791" s="3">
        <f>IF(ISNUMBER(SEARCH("/",TRIM([1]RawShipmentData!B798))),DATE(VALUE(RIGHT(TRIM([1]RawShipmentData!B798),4)),VALUE(MID(TRIM([1]RawShipmentData!B798),FIND("/",TRIM([1]RawShipmentData!B798))+1,2)),VALUE(LEFT(TRIM([1]RawShipmentData!B798),FIND("/",TRIM([1]RawShipmentData!B798))-1))),DATEVALUE(TRIM([1]RawShipmentData!B798)))</f>
        <v>45356</v>
      </c>
      <c r="C791" s="2" t="str">
        <f>PROPER(TRIM([1]RawShipmentData!C798))</f>
        <v>Chennai</v>
      </c>
      <c r="D791" s="2" t="str">
        <f>IFERROR(INDEX([1]HubMaster!$B$2:$B$7,MATCH(C791,[1]HubMaster!$A$2:$A$7,0)),"Unknown")</f>
        <v>South</v>
      </c>
      <c r="E791" s="2" t="str">
        <f>PROPER(TRIM(SUBSTITUTE([1]RawShipmentData!D798,"  "," ")))</f>
        <v>Dtdc</v>
      </c>
      <c r="F791" s="2" t="str">
        <f>PROPER(TRIM([1]RawShipmentData!E798))</f>
        <v>Road</v>
      </c>
      <c r="G791" s="2" t="str">
        <f>PROPER(TRIM(SUBSTITUTE([1]RawShipmentData!F798,"  "," ")))</f>
        <v>Automotive Parts</v>
      </c>
      <c r="H791" s="2" t="str">
        <f>PROPER(TRIM([1]RawShipmentData!G798))</f>
        <v>West</v>
      </c>
      <c r="I791" s="2" t="str">
        <f t="shared" si="60"/>
        <v>Yes</v>
      </c>
      <c r="J791" s="2">
        <f>IFERROR(VALUE(TRIM(SUBSTITUTE(UPPER([1]RawShipmentData!I791),"KG",""))),"")</f>
        <v>39.1</v>
      </c>
      <c r="K791" s="2">
        <f>VALUE(SUBSTITUTE(SUBSTITUTE(SUBSTITUTE(TRIM([1]RawShipmentData!J798),"₹",""),"Rs",""),",",""))</f>
        <v>418</v>
      </c>
      <c r="L791" s="2">
        <f>[1]RawShipmentData!K798</f>
        <v>8</v>
      </c>
      <c r="M791" s="3">
        <f>IF(TRIM([1]RawShipmentData!L798)="","",IF(ISNUMBER(SEARCH("/",TRIM([1]RawShipmentData!L798))),DATE(VALUE(RIGHT(TRIM([1]RawShipmentData!L798),4)),VALUE(MID(TRIM([1]RawShipmentData!L798),FIND("/",TRIM([1]RawShipmentData!L798))+1,2)),VALUE(LEFT(TRIM([1]RawShipmentData!L798),FIND("/",TRIM([1]RawShipmentData!L798))-1))),DATEVALUE(TRIM([1]RawShipmentData!L798))))</f>
        <v>45363</v>
      </c>
      <c r="N791" s="2">
        <f t="shared" si="61"/>
        <v>7</v>
      </c>
      <c r="O791" s="2">
        <f t="shared" si="62"/>
        <v>-1</v>
      </c>
      <c r="P791" s="2" t="str">
        <f t="shared" si="63"/>
        <v>On Time</v>
      </c>
      <c r="Q791" s="2" t="str">
        <f>PROPER(SUBSTITUTE(TRIM([1]RawShipmentData!M798)," ","-"))</f>
        <v>Delivered</v>
      </c>
      <c r="R791" s="4">
        <f t="shared" si="64"/>
        <v>10.690537084398976</v>
      </c>
      <c r="S791" s="2">
        <f>[1]RawShipmentData!N798</f>
        <v>5</v>
      </c>
      <c r="T791" s="2" t="str">
        <f>IF(OR(UPPER(TRIM([1]RawShipmentData!O798))="YES",UPPER(TRIM([1]RawShipmentData!O798))="Y"),"Yes","No")</f>
        <v>No</v>
      </c>
    </row>
    <row r="792" spans="1:20" x14ac:dyDescent="0.25">
      <c r="A792" s="2" t="str">
        <f>[1]RawShipmentData!A799</f>
        <v>SHP-101257</v>
      </c>
      <c r="B792" s="3">
        <f>IF(ISNUMBER(SEARCH("/",TRIM([1]RawShipmentData!B799))),DATE(VALUE(RIGHT(TRIM([1]RawShipmentData!B799),4)),VALUE(MID(TRIM([1]RawShipmentData!B799),FIND("/",TRIM([1]RawShipmentData!B799))+1,2)),VALUE(LEFT(TRIM([1]RawShipmentData!B799),FIND("/",TRIM([1]RawShipmentData!B799))-1))),DATEVALUE(TRIM([1]RawShipmentData!B799)))</f>
        <v>45294</v>
      </c>
      <c r="C792" s="2" t="str">
        <f>PROPER(TRIM([1]RawShipmentData!C799))</f>
        <v>Kolkata</v>
      </c>
      <c r="D792" s="2" t="str">
        <f>IFERROR(INDEX([1]HubMaster!$B$2:$B$7,MATCH(C792,[1]HubMaster!$A$2:$A$7,0)),"Unknown")</f>
        <v>East</v>
      </c>
      <c r="E792" s="2" t="str">
        <f>PROPER(TRIM(SUBSTITUTE([1]RawShipmentData!D799,"  "," ")))</f>
        <v>Xpressbees</v>
      </c>
      <c r="F792" s="2" t="str">
        <f>PROPER(TRIM([1]RawShipmentData!E799))</f>
        <v>Air</v>
      </c>
      <c r="G792" s="2" t="str">
        <f>PROPER(TRIM(SUBSTITUTE([1]RawShipmentData!F799,"  "," ")))</f>
        <v>Furniture</v>
      </c>
      <c r="H792" s="2" t="str">
        <f>PROPER(TRIM([1]RawShipmentData!G799))</f>
        <v>South</v>
      </c>
      <c r="I792" s="2" t="str">
        <f t="shared" si="60"/>
        <v>Yes</v>
      </c>
      <c r="J792" s="2">
        <f>IFERROR(VALUE(TRIM(SUBSTITUTE(UPPER([1]RawShipmentData!I792),"KG",""))),"")</f>
        <v>6.7</v>
      </c>
      <c r="K792" s="2">
        <f>VALUE(SUBSTITUTE(SUBSTITUTE(SUBSTITUTE(TRIM([1]RawShipmentData!J799),"₹",""),"Rs",""),",",""))</f>
        <v>1282</v>
      </c>
      <c r="L792" s="2">
        <f>[1]RawShipmentData!K799</f>
        <v>4</v>
      </c>
      <c r="M792" s="3">
        <f>IF(TRIM([1]RawShipmentData!L799)="","",IF(ISNUMBER(SEARCH("/",TRIM([1]RawShipmentData!L799))),DATE(VALUE(RIGHT(TRIM([1]RawShipmentData!L799),4)),VALUE(MID(TRIM([1]RawShipmentData!L799),FIND("/",TRIM([1]RawShipmentData!L799))+1,2)),VALUE(LEFT(TRIM([1]RawShipmentData!L799),FIND("/",TRIM([1]RawShipmentData!L799))-1))),DATEVALUE(TRIM([1]RawShipmentData!L799))))</f>
        <v>45299</v>
      </c>
      <c r="N792" s="2">
        <f t="shared" si="61"/>
        <v>5</v>
      </c>
      <c r="O792" s="2">
        <f t="shared" si="62"/>
        <v>1</v>
      </c>
      <c r="P792" s="2" t="str">
        <f t="shared" si="63"/>
        <v>Late</v>
      </c>
      <c r="Q792" s="2" t="str">
        <f>PROPER(SUBSTITUTE(TRIM([1]RawShipmentData!M799)," ","-"))</f>
        <v>Returned</v>
      </c>
      <c r="R792" s="4">
        <f t="shared" si="64"/>
        <v>191.34328358208955</v>
      </c>
      <c r="S792" s="2">
        <f>[1]RawShipmentData!N799</f>
        <v>0</v>
      </c>
      <c r="T792" s="2" t="str">
        <f>IF(OR(UPPER(TRIM([1]RawShipmentData!O799))="YES",UPPER(TRIM([1]RawShipmentData!O799))="Y"),"Yes","No")</f>
        <v>No</v>
      </c>
    </row>
    <row r="793" spans="1:20" x14ac:dyDescent="0.25">
      <c r="A793" s="2" t="str">
        <f>[1]RawShipmentData!A800</f>
        <v>SHP-100181</v>
      </c>
      <c r="B793" s="3">
        <f>IF(ISNUMBER(SEARCH("/",TRIM([1]RawShipmentData!B800))),DATE(VALUE(RIGHT(TRIM([1]RawShipmentData!B800),4)),VALUE(MID(TRIM([1]RawShipmentData!B800),FIND("/",TRIM([1]RawShipmentData!B800))+1,2)),VALUE(LEFT(TRIM([1]RawShipmentData!B800),FIND("/",TRIM([1]RawShipmentData!B800))-1))),DATEVALUE(TRIM([1]RawShipmentData!B800)))</f>
        <v>45431</v>
      </c>
      <c r="C793" s="2" t="str">
        <f>PROPER(TRIM([1]RawShipmentData!C800))</f>
        <v>Hyderabad</v>
      </c>
      <c r="D793" s="2" t="str">
        <f>IFERROR(INDEX([1]HubMaster!$B$2:$B$7,MATCH(C793,[1]HubMaster!$A$2:$A$7,0)),"Unknown")</f>
        <v>West</v>
      </c>
      <c r="E793" s="2" t="str">
        <f>PROPER(TRIM(SUBSTITUTE([1]RawShipmentData!D800,"  "," ")))</f>
        <v>Bluedart</v>
      </c>
      <c r="F793" s="2" t="str">
        <f>PROPER(TRIM([1]RawShipmentData!E800))</f>
        <v>Air</v>
      </c>
      <c r="G793" s="2" t="str">
        <f>PROPER(TRIM(SUBSTITUTE([1]RawShipmentData!F800,"  "," ")))</f>
        <v>Automotive Parts</v>
      </c>
      <c r="H793" s="2" t="str">
        <f>PROPER(TRIM([1]RawShipmentData!G800))</f>
        <v>South</v>
      </c>
      <c r="I793" s="2" t="str">
        <f t="shared" si="60"/>
        <v>Yes</v>
      </c>
      <c r="J793" s="2">
        <f>IFERROR(VALUE(TRIM(SUBSTITUTE(UPPER([1]RawShipmentData!I793),"KG",""))),"")</f>
        <v>39.5</v>
      </c>
      <c r="K793" s="2">
        <f>VALUE(SUBSTITUTE(SUBSTITUTE(SUBSTITUTE(TRIM([1]RawShipmentData!J800),"₹",""),"Rs",""),",",""))</f>
        <v>891</v>
      </c>
      <c r="L793" s="2">
        <f>[1]RawShipmentData!K800</f>
        <v>4</v>
      </c>
      <c r="M793" s="3">
        <f>IF(TRIM([1]RawShipmentData!L800)="","",IF(ISNUMBER(SEARCH("/",TRIM([1]RawShipmentData!L800))),DATE(VALUE(RIGHT(TRIM([1]RawShipmentData!L800),4)),VALUE(MID(TRIM([1]RawShipmentData!L800),FIND("/",TRIM([1]RawShipmentData!L800))+1,2)),VALUE(LEFT(TRIM([1]RawShipmentData!L800),FIND("/",TRIM([1]RawShipmentData!L800))-1))),DATEVALUE(TRIM([1]RawShipmentData!L800))))</f>
        <v>45436</v>
      </c>
      <c r="N793" s="2">
        <f t="shared" si="61"/>
        <v>5</v>
      </c>
      <c r="O793" s="2">
        <f t="shared" si="62"/>
        <v>1</v>
      </c>
      <c r="P793" s="2" t="str">
        <f t="shared" si="63"/>
        <v>Late</v>
      </c>
      <c r="Q793" s="2" t="str">
        <f>PROPER(SUBSTITUTE(TRIM([1]RawShipmentData!M800)," ","-"))</f>
        <v>Returned</v>
      </c>
      <c r="R793" s="4">
        <f t="shared" si="64"/>
        <v>22.556962025316455</v>
      </c>
      <c r="S793" s="2">
        <f>[1]RawShipmentData!N800</f>
        <v>0</v>
      </c>
      <c r="T793" s="2" t="str">
        <f>IF(OR(UPPER(TRIM([1]RawShipmentData!O800))="YES",UPPER(TRIM([1]RawShipmentData!O800))="Y"),"Yes","No")</f>
        <v>No</v>
      </c>
    </row>
    <row r="794" spans="1:20" x14ac:dyDescent="0.25">
      <c r="A794" s="2" t="str">
        <f>[1]RawShipmentData!A801</f>
        <v>SHP-100403</v>
      </c>
      <c r="B794" s="3">
        <f>IF(ISNUMBER(SEARCH("/",TRIM([1]RawShipmentData!B801))),DATE(VALUE(RIGHT(TRIM([1]RawShipmentData!B801),4)),VALUE(MID(TRIM([1]RawShipmentData!B801),FIND("/",TRIM([1]RawShipmentData!B801))+1,2)),VALUE(LEFT(TRIM([1]RawShipmentData!B801),FIND("/",TRIM([1]RawShipmentData!B801))-1))),DATEVALUE(TRIM([1]RawShipmentData!B801)))</f>
        <v>45432</v>
      </c>
      <c r="C794" s="2" t="str">
        <f>PROPER(TRIM([1]RawShipmentData!C801))</f>
        <v>Mumbai</v>
      </c>
      <c r="D794" s="2" t="str">
        <f>IFERROR(INDEX([1]HubMaster!$B$2:$B$7,MATCH(C794,[1]HubMaster!$A$2:$A$7,0)),"Unknown")</f>
        <v>West</v>
      </c>
      <c r="E794" s="2" t="str">
        <f>PROPER(TRIM(SUBSTITUTE([1]RawShipmentData!D801,"  "," ")))</f>
        <v>Ecom Express</v>
      </c>
      <c r="F794" s="2" t="str">
        <f>PROPER(TRIM([1]RawShipmentData!E801))</f>
        <v>Surface</v>
      </c>
      <c r="G794" s="2" t="str">
        <f>PROPER(TRIM(SUBSTITUTE([1]RawShipmentData!F801,"  "," ")))</f>
        <v>Furniture</v>
      </c>
      <c r="H794" s="2" t="str">
        <f>PROPER(TRIM([1]RawShipmentData!G801))</f>
        <v>North</v>
      </c>
      <c r="I794" s="2" t="str">
        <f t="shared" si="60"/>
        <v>Yes</v>
      </c>
      <c r="J794" s="2">
        <f>IFERROR(VALUE(TRIM(SUBSTITUTE(UPPER([1]RawShipmentData!I794),"KG",""))),"")</f>
        <v>61.3</v>
      </c>
      <c r="K794" s="2">
        <f>VALUE(SUBSTITUTE(SUBSTITUTE(SUBSTITUTE(TRIM([1]RawShipmentData!J801),"₹",""),"Rs",""),",",""))</f>
        <v>1129</v>
      </c>
      <c r="L794" s="2">
        <f>[1]RawShipmentData!K801</f>
        <v>6</v>
      </c>
      <c r="M794" s="3">
        <f>IF(TRIM([1]RawShipmentData!L801)="","",IF(ISNUMBER(SEARCH("/",TRIM([1]RawShipmentData!L801))),DATE(VALUE(RIGHT(TRIM([1]RawShipmentData!L801),4)),VALUE(MID(TRIM([1]RawShipmentData!L801),FIND("/",TRIM([1]RawShipmentData!L801))+1,2)),VALUE(LEFT(TRIM([1]RawShipmentData!L801),FIND("/",TRIM([1]RawShipmentData!L801))-1))),DATEVALUE(TRIM([1]RawShipmentData!L801))))</f>
        <v>45437</v>
      </c>
      <c r="N794" s="2">
        <f t="shared" si="61"/>
        <v>5</v>
      </c>
      <c r="O794" s="2">
        <f t="shared" si="62"/>
        <v>-1</v>
      </c>
      <c r="P794" s="2" t="str">
        <f t="shared" si="63"/>
        <v>On Time</v>
      </c>
      <c r="Q794" s="2" t="str">
        <f>PROPER(SUBSTITUTE(TRIM([1]RawShipmentData!M801)," ","-"))</f>
        <v>Delivered</v>
      </c>
      <c r="R794" s="4">
        <f t="shared" si="64"/>
        <v>18.417618270799348</v>
      </c>
      <c r="S794" s="2">
        <f>[1]RawShipmentData!N801</f>
        <v>3</v>
      </c>
      <c r="T794" s="2" t="str">
        <f>IF(OR(UPPER(TRIM([1]RawShipmentData!O801))="YES",UPPER(TRIM([1]RawShipmentData!O801))="Y"),"Yes","No")</f>
        <v>Yes</v>
      </c>
    </row>
    <row r="795" spans="1:20" x14ac:dyDescent="0.25">
      <c r="A795" s="2" t="str">
        <f>[1]RawShipmentData!A802</f>
        <v>SHP-101062</v>
      </c>
      <c r="B795" s="3">
        <f>IF(ISNUMBER(SEARCH("/",TRIM([1]RawShipmentData!B802))),DATE(VALUE(RIGHT(TRIM([1]RawShipmentData!B802),4)),VALUE(MID(TRIM([1]RawShipmentData!B802),FIND("/",TRIM([1]RawShipmentData!B802))+1,2)),VALUE(LEFT(TRIM([1]RawShipmentData!B802),FIND("/",TRIM([1]RawShipmentData!B802))-1))),DATEVALUE(TRIM([1]RawShipmentData!B802)))</f>
        <v>45343</v>
      </c>
      <c r="C795" s="2" t="str">
        <f>PROPER(TRIM([1]RawShipmentData!C802))</f>
        <v>Delhi</v>
      </c>
      <c r="D795" s="2" t="str">
        <f>IFERROR(INDEX([1]HubMaster!$B$2:$B$7,MATCH(C795,[1]HubMaster!$A$2:$A$7,0)),"Unknown")</f>
        <v>North</v>
      </c>
      <c r="E795" s="2" t="str">
        <f>PROPER(TRIM(SUBSTITUTE([1]RawShipmentData!D802,"  "," ")))</f>
        <v>Xpressbees</v>
      </c>
      <c r="F795" s="2" t="str">
        <f>PROPER(TRIM([1]RawShipmentData!E802))</f>
        <v>Air</v>
      </c>
      <c r="G795" s="2" t="str">
        <f>PROPER(TRIM(SUBSTITUTE([1]RawShipmentData!F802,"  "," ")))</f>
        <v>Pharma</v>
      </c>
      <c r="H795" s="2" t="str">
        <f>PROPER(TRIM([1]RawShipmentData!G802))</f>
        <v>South</v>
      </c>
      <c r="I795" s="2" t="str">
        <f t="shared" si="60"/>
        <v>Yes</v>
      </c>
      <c r="J795" s="2">
        <f>IFERROR(VALUE(TRIM(SUBSTITUTE(UPPER([1]RawShipmentData!I795),"KG",""))),"")</f>
        <v>2.5</v>
      </c>
      <c r="K795" s="2">
        <f>VALUE(SUBSTITUTE(SUBSTITUTE(SUBSTITUTE(TRIM([1]RawShipmentData!J802),"₹",""),"Rs",""),",",""))</f>
        <v>369</v>
      </c>
      <c r="L795" s="2">
        <f>[1]RawShipmentData!K802</f>
        <v>4</v>
      </c>
      <c r="M795" s="3">
        <f>IF(TRIM([1]RawShipmentData!L802)="","",IF(ISNUMBER(SEARCH("/",TRIM([1]RawShipmentData!L802))),DATE(VALUE(RIGHT(TRIM([1]RawShipmentData!L802),4)),VALUE(MID(TRIM([1]RawShipmentData!L802),FIND("/",TRIM([1]RawShipmentData!L802))+1,2)),VALUE(LEFT(TRIM([1]RawShipmentData!L802),FIND("/",TRIM([1]RawShipmentData!L802))-1))),DATEVALUE(TRIM([1]RawShipmentData!L802))))</f>
        <v>45348</v>
      </c>
      <c r="N795" s="2">
        <f t="shared" si="61"/>
        <v>5</v>
      </c>
      <c r="O795" s="2">
        <f t="shared" si="62"/>
        <v>1</v>
      </c>
      <c r="P795" s="2" t="str">
        <f t="shared" si="63"/>
        <v>Late</v>
      </c>
      <c r="Q795" s="2" t="str">
        <f>PROPER(SUBSTITUTE(TRIM([1]RawShipmentData!M802)," ","-"))</f>
        <v>Delayed</v>
      </c>
      <c r="R795" s="4">
        <f t="shared" si="64"/>
        <v>147.6</v>
      </c>
      <c r="S795" s="2">
        <f>[1]RawShipmentData!N802</f>
        <v>3</v>
      </c>
      <c r="T795" s="2" t="str">
        <f>IF(OR(UPPER(TRIM([1]RawShipmentData!O802))="YES",UPPER(TRIM([1]RawShipmentData!O802))="Y"),"Yes","No")</f>
        <v>No</v>
      </c>
    </row>
    <row r="796" spans="1:20" x14ac:dyDescent="0.25">
      <c r="A796" s="2" t="str">
        <f>[1]RawShipmentData!A803</f>
        <v>SHP-100080</v>
      </c>
      <c r="B796" s="3">
        <f>IF(ISNUMBER(SEARCH("/",TRIM([1]RawShipmentData!B803))),DATE(VALUE(RIGHT(TRIM([1]RawShipmentData!B803),4)),VALUE(MID(TRIM([1]RawShipmentData!B803),FIND("/",TRIM([1]RawShipmentData!B803))+1,2)),VALUE(LEFT(TRIM([1]RawShipmentData!B803),FIND("/",TRIM([1]RawShipmentData!B803))-1))),DATEVALUE(TRIM([1]RawShipmentData!B803)))</f>
        <v>45336</v>
      </c>
      <c r="C796" s="2" t="str">
        <f>PROPER(TRIM([1]RawShipmentData!C803))</f>
        <v>Chennai</v>
      </c>
      <c r="D796" s="2" t="str">
        <f>IFERROR(INDEX([1]HubMaster!$B$2:$B$7,MATCH(C796,[1]HubMaster!$A$2:$A$7,0)),"Unknown")</f>
        <v>South</v>
      </c>
      <c r="E796" s="2" t="str">
        <f>PROPER(TRIM(SUBSTITUTE([1]RawShipmentData!D803,"  "," ")))</f>
        <v>Xpress Bees</v>
      </c>
      <c r="F796" s="2" t="str">
        <f>PROPER(TRIM([1]RawShipmentData!E803))</f>
        <v>Road</v>
      </c>
      <c r="G796" s="2" t="str">
        <f>PROPER(TRIM(SUBSTITUTE([1]RawShipmentData!F803,"  "," ")))</f>
        <v>Furniture</v>
      </c>
      <c r="H796" s="2" t="str">
        <f>PROPER(TRIM([1]RawShipmentData!G803))</f>
        <v>East</v>
      </c>
      <c r="I796" s="2" t="str">
        <f t="shared" si="60"/>
        <v>Yes</v>
      </c>
      <c r="J796" s="2">
        <f>IFERROR(VALUE(TRIM(SUBSTITUTE(UPPER([1]RawShipmentData!I796),"KG",""))),"")</f>
        <v>14.7</v>
      </c>
      <c r="K796" s="2">
        <f>VALUE(SUBSTITUTE(SUBSTITUTE(SUBSTITUTE(TRIM([1]RawShipmentData!J803),"₹",""),"Rs",""),",",""))</f>
        <v>946</v>
      </c>
      <c r="L796" s="2">
        <f>[1]RawShipmentData!K803</f>
        <v>8</v>
      </c>
      <c r="M796" s="3">
        <f>IF(TRIM([1]RawShipmentData!L803)="","",IF(ISNUMBER(SEARCH("/",TRIM([1]RawShipmentData!L803))),DATE(VALUE(RIGHT(TRIM([1]RawShipmentData!L803),4)),VALUE(MID(TRIM([1]RawShipmentData!L803),FIND("/",TRIM([1]RawShipmentData!L803))+1,2)),VALUE(LEFT(TRIM([1]RawShipmentData!L803),FIND("/",TRIM([1]RawShipmentData!L803))-1))),DATEVALUE(TRIM([1]RawShipmentData!L803))))</f>
        <v>45345</v>
      </c>
      <c r="N796" s="2">
        <f t="shared" si="61"/>
        <v>9</v>
      </c>
      <c r="O796" s="2">
        <f t="shared" si="62"/>
        <v>1</v>
      </c>
      <c r="P796" s="2" t="str">
        <f t="shared" si="63"/>
        <v>Late</v>
      </c>
      <c r="Q796" s="2" t="str">
        <f>PROPER(SUBSTITUTE(TRIM([1]RawShipmentData!M803)," ","-"))</f>
        <v>Delayed</v>
      </c>
      <c r="R796" s="4">
        <f t="shared" si="64"/>
        <v>64.353741496598644</v>
      </c>
      <c r="S796" s="2">
        <f>[1]RawShipmentData!N803</f>
        <v>3</v>
      </c>
      <c r="T796" s="2" t="str">
        <f>IF(OR(UPPER(TRIM([1]RawShipmentData!O803))="YES",UPPER(TRIM([1]RawShipmentData!O803))="Y"),"Yes","No")</f>
        <v>No</v>
      </c>
    </row>
    <row r="797" spans="1:20" x14ac:dyDescent="0.25">
      <c r="A797" s="2" t="str">
        <f>[1]RawShipmentData!A804</f>
        <v>SHP-100308</v>
      </c>
      <c r="B797" s="3">
        <f>IF(ISNUMBER(SEARCH("/",TRIM([1]RawShipmentData!B804))),DATE(VALUE(RIGHT(TRIM([1]RawShipmentData!B804),4)),VALUE(MID(TRIM([1]RawShipmentData!B804),FIND("/",TRIM([1]RawShipmentData!B804))+1,2)),VALUE(LEFT(TRIM([1]RawShipmentData!B804),FIND("/",TRIM([1]RawShipmentData!B804))-1))),DATEVALUE(TRIM([1]RawShipmentData!B804)))</f>
        <v>45440</v>
      </c>
      <c r="C797" s="2" t="str">
        <f>PROPER(TRIM([1]RawShipmentData!C804))</f>
        <v>Bengaluru</v>
      </c>
      <c r="D797" s="2" t="str">
        <f>IFERROR(INDEX([1]HubMaster!$B$2:$B$7,MATCH(C797,[1]HubMaster!$A$2:$A$7,0)),"Unknown")</f>
        <v>South</v>
      </c>
      <c r="E797" s="2" t="str">
        <f>PROPER(TRIM(SUBSTITUTE([1]RawShipmentData!D804,"  "," ")))</f>
        <v>Dtdc</v>
      </c>
      <c r="F797" s="2" t="str">
        <f>PROPER(TRIM([1]RawShipmentData!E804))</f>
        <v>Surface</v>
      </c>
      <c r="G797" s="2" t="str">
        <f>PROPER(TRIM(SUBSTITUTE([1]RawShipmentData!F804,"  "," ")))</f>
        <v>Furniture</v>
      </c>
      <c r="H797" s="2" t="str">
        <f>PROPER(TRIM([1]RawShipmentData!G804))</f>
        <v>South</v>
      </c>
      <c r="I797" s="2" t="str">
        <f t="shared" si="60"/>
        <v>No</v>
      </c>
      <c r="J797" s="2">
        <f>IFERROR(VALUE(TRIM(SUBSTITUTE(UPPER([1]RawShipmentData!I797),"KG",""))),"")</f>
        <v>0.9</v>
      </c>
      <c r="K797" s="2">
        <f>VALUE(SUBSTITUTE(SUBSTITUTE(SUBSTITUTE(TRIM([1]RawShipmentData!J804),"₹",""),"Rs",""),",",""))</f>
        <v>967</v>
      </c>
      <c r="L797" s="2">
        <f>[1]RawShipmentData!K804</f>
        <v>4</v>
      </c>
      <c r="M797" s="3">
        <f>IF(TRIM([1]RawShipmentData!L804)="","",IF(ISNUMBER(SEARCH("/",TRIM([1]RawShipmentData!L804))),DATE(VALUE(RIGHT(TRIM([1]RawShipmentData!L804),4)),VALUE(MID(TRIM([1]RawShipmentData!L804),FIND("/",TRIM([1]RawShipmentData!L804))+1,2)),VALUE(LEFT(TRIM([1]RawShipmentData!L804),FIND("/",TRIM([1]RawShipmentData!L804))-1))),DATEVALUE(TRIM([1]RawShipmentData!L804))))</f>
        <v>45447</v>
      </c>
      <c r="N797" s="2">
        <f t="shared" si="61"/>
        <v>7</v>
      </c>
      <c r="O797" s="2">
        <f t="shared" si="62"/>
        <v>3</v>
      </c>
      <c r="P797" s="2" t="str">
        <f t="shared" si="63"/>
        <v>Late</v>
      </c>
      <c r="Q797" s="2" t="str">
        <f>PROPER(SUBSTITUTE(TRIM([1]RawShipmentData!M804)," ","-"))</f>
        <v>Delayed</v>
      </c>
      <c r="R797" s="4">
        <f t="shared" si="64"/>
        <v>1074.4444444444443</v>
      </c>
      <c r="S797" s="2">
        <f>[1]RawShipmentData!N804</f>
        <v>5</v>
      </c>
      <c r="T797" s="2" t="str">
        <f>IF(OR(UPPER(TRIM([1]RawShipmentData!O804))="YES",UPPER(TRIM([1]RawShipmentData!O804))="Y"),"Yes","No")</f>
        <v>No</v>
      </c>
    </row>
    <row r="798" spans="1:20" x14ac:dyDescent="0.25">
      <c r="A798" s="2" t="str">
        <f>[1]RawShipmentData!A805</f>
        <v>SHP-100055</v>
      </c>
      <c r="B798" s="3">
        <f>IF(ISNUMBER(SEARCH("/",TRIM([1]RawShipmentData!B805))),DATE(VALUE(RIGHT(TRIM([1]RawShipmentData!B805),4)),VALUE(MID(TRIM([1]RawShipmentData!B805),FIND("/",TRIM([1]RawShipmentData!B805))+1,2)),VALUE(LEFT(TRIM([1]RawShipmentData!B805),FIND("/",TRIM([1]RawShipmentData!B805))-1))),DATEVALUE(TRIM([1]RawShipmentData!B805)))</f>
        <v>45335</v>
      </c>
      <c r="C798" s="2" t="str">
        <f>PROPER(TRIM([1]RawShipmentData!C805))</f>
        <v>Mumbai</v>
      </c>
      <c r="D798" s="2" t="str">
        <f>IFERROR(INDEX([1]HubMaster!$B$2:$B$7,MATCH(C798,[1]HubMaster!$A$2:$A$7,0)),"Unknown")</f>
        <v>West</v>
      </c>
      <c r="E798" s="2" t="str">
        <f>PROPER(TRIM(SUBSTITUTE([1]RawShipmentData!D805,"  "," ")))</f>
        <v>Dtdc</v>
      </c>
      <c r="F798" s="2" t="str">
        <f>PROPER(TRIM([1]RawShipmentData!E805))</f>
        <v>Road</v>
      </c>
      <c r="G798" s="2" t="str">
        <f>PROPER(TRIM(SUBSTITUTE([1]RawShipmentData!F805,"  "," ")))</f>
        <v>Electronics</v>
      </c>
      <c r="H798" s="2" t="str">
        <f>PROPER(TRIM([1]RawShipmentData!G805))</f>
        <v>South</v>
      </c>
      <c r="I798" s="2" t="str">
        <f t="shared" si="60"/>
        <v>Yes</v>
      </c>
      <c r="J798" s="2">
        <f>IFERROR(VALUE(TRIM(SUBSTITUTE(UPPER([1]RawShipmentData!I798),"KG",""))),"")</f>
        <v>20.7</v>
      </c>
      <c r="K798" s="2">
        <f>VALUE(SUBSTITUTE(SUBSTITUTE(SUBSTITUTE(TRIM([1]RawShipmentData!J805),"₹",""),"Rs",""),",",""))</f>
        <v>246</v>
      </c>
      <c r="L798" s="2">
        <f>[1]RawShipmentData!K805</f>
        <v>8</v>
      </c>
      <c r="M798" s="3">
        <f>IF(TRIM([1]RawShipmentData!L805)="","",IF(ISNUMBER(SEARCH("/",TRIM([1]RawShipmentData!L805))),DATE(VALUE(RIGHT(TRIM([1]RawShipmentData!L805),4)),VALUE(MID(TRIM([1]RawShipmentData!L805),FIND("/",TRIM([1]RawShipmentData!L805))+1,2)),VALUE(LEFT(TRIM([1]RawShipmentData!L805),FIND("/",TRIM([1]RawShipmentData!L805))-1))),DATEVALUE(TRIM([1]RawShipmentData!L805))))</f>
        <v>45344</v>
      </c>
      <c r="N798" s="2">
        <f t="shared" si="61"/>
        <v>9</v>
      </c>
      <c r="O798" s="2">
        <f t="shared" si="62"/>
        <v>1</v>
      </c>
      <c r="P798" s="2" t="str">
        <f t="shared" si="63"/>
        <v>Late</v>
      </c>
      <c r="Q798" s="2" t="str">
        <f>PROPER(SUBSTITUTE(TRIM([1]RawShipmentData!M805)," ","-"))</f>
        <v>Delayed</v>
      </c>
      <c r="R798" s="4">
        <f t="shared" si="64"/>
        <v>11.884057971014494</v>
      </c>
      <c r="S798" s="2">
        <f>[1]RawShipmentData!N805</f>
        <v>1</v>
      </c>
      <c r="T798" s="2" t="str">
        <f>IF(OR(UPPER(TRIM([1]RawShipmentData!O805))="YES",UPPER(TRIM([1]RawShipmentData!O805))="Y"),"Yes","No")</f>
        <v>No</v>
      </c>
    </row>
    <row r="799" spans="1:20" x14ac:dyDescent="0.25">
      <c r="A799" s="2" t="str">
        <f>[1]RawShipmentData!A806</f>
        <v>SHP-100474</v>
      </c>
      <c r="B799" s="3">
        <f>IF(ISNUMBER(SEARCH("/",TRIM([1]RawShipmentData!B806))),DATE(VALUE(RIGHT(TRIM([1]RawShipmentData!B806),4)),VALUE(MID(TRIM([1]RawShipmentData!B806),FIND("/",TRIM([1]RawShipmentData!B806))+1,2)),VALUE(LEFT(TRIM([1]RawShipmentData!B806),FIND("/",TRIM([1]RawShipmentData!B806))-1))),DATEVALUE(TRIM([1]RawShipmentData!B806)))</f>
        <v>45343</v>
      </c>
      <c r="C799" s="2" t="str">
        <f>PROPER(TRIM([1]RawShipmentData!C806))</f>
        <v>Chennai</v>
      </c>
      <c r="D799" s="2" t="str">
        <f>IFERROR(INDEX([1]HubMaster!$B$2:$B$7,MATCH(C799,[1]HubMaster!$A$2:$A$7,0)),"Unknown")</f>
        <v>South</v>
      </c>
      <c r="E799" s="2" t="str">
        <f>PROPER(TRIM(SUBSTITUTE([1]RawShipmentData!D806,"  "," ")))</f>
        <v>Ecom Express</v>
      </c>
      <c r="F799" s="2" t="str">
        <f>PROPER(TRIM([1]RawShipmentData!E806))</f>
        <v>Road</v>
      </c>
      <c r="G799" s="2" t="str">
        <f>PROPER(TRIM(SUBSTITUTE([1]RawShipmentData!F806,"  "," ")))</f>
        <v>Automotive Parts</v>
      </c>
      <c r="H799" s="2" t="str">
        <f>PROPER(TRIM([1]RawShipmentData!G806))</f>
        <v>North</v>
      </c>
      <c r="I799" s="2" t="str">
        <f t="shared" si="60"/>
        <v>Yes</v>
      </c>
      <c r="J799" s="2">
        <f>IFERROR(VALUE(TRIM(SUBSTITUTE(UPPER([1]RawShipmentData!I799),"KG",""))),"")</f>
        <v>25.7</v>
      </c>
      <c r="K799" s="2">
        <f>VALUE(SUBSTITUTE(SUBSTITUTE(SUBSTITUTE(TRIM([1]RawShipmentData!J806),"₹",""),"Rs",""),",",""))</f>
        <v>459</v>
      </c>
      <c r="L799" s="2">
        <f>[1]RawShipmentData!K806</f>
        <v>8</v>
      </c>
      <c r="M799" s="3">
        <f>IF(TRIM([1]RawShipmentData!L806)="","",IF(ISNUMBER(SEARCH("/",TRIM([1]RawShipmentData!L806))),DATE(VALUE(RIGHT(TRIM([1]RawShipmentData!L806),4)),VALUE(MID(TRIM([1]RawShipmentData!L806),FIND("/",TRIM([1]RawShipmentData!L806))+1,2)),VALUE(LEFT(TRIM([1]RawShipmentData!L806),FIND("/",TRIM([1]RawShipmentData!L806))-1))),DATEVALUE(TRIM([1]RawShipmentData!L806))))</f>
        <v>45351</v>
      </c>
      <c r="N799" s="2">
        <f t="shared" si="61"/>
        <v>8</v>
      </c>
      <c r="O799" s="2">
        <f t="shared" si="62"/>
        <v>0</v>
      </c>
      <c r="P799" s="2" t="str">
        <f t="shared" si="63"/>
        <v>On Time</v>
      </c>
      <c r="Q799" s="2" t="str">
        <f>PROPER(SUBSTITUTE(TRIM([1]RawShipmentData!M806)," ","-"))</f>
        <v>Delivered</v>
      </c>
      <c r="R799" s="4">
        <f t="shared" si="64"/>
        <v>17.859922178988327</v>
      </c>
      <c r="S799" s="2">
        <f>[1]RawShipmentData!N806</f>
        <v>5</v>
      </c>
      <c r="T799" s="2" t="str">
        <f>IF(OR(UPPER(TRIM([1]RawShipmentData!O806))="YES",UPPER(TRIM([1]RawShipmentData!O806))="Y"),"Yes","No")</f>
        <v>Yes</v>
      </c>
    </row>
    <row r="800" spans="1:20" x14ac:dyDescent="0.25">
      <c r="A800" s="2" t="str">
        <f>[1]RawShipmentData!A807</f>
        <v>SHP-100714</v>
      </c>
      <c r="B800" s="3">
        <f>IF(ISNUMBER(SEARCH("/",TRIM([1]RawShipmentData!B807))),DATE(VALUE(RIGHT(TRIM([1]RawShipmentData!B807),4)),VALUE(MID(TRIM([1]RawShipmentData!B807),FIND("/",TRIM([1]RawShipmentData!B807))+1,2)),VALUE(LEFT(TRIM([1]RawShipmentData!B807),FIND("/",TRIM([1]RawShipmentData!B807))-1))),DATEVALUE(TRIM([1]RawShipmentData!B807)))</f>
        <v>45453</v>
      </c>
      <c r="C800" s="2" t="str">
        <f>PROPER(TRIM([1]RawShipmentData!C807))</f>
        <v>Kolkata</v>
      </c>
      <c r="D800" s="2" t="str">
        <f>IFERROR(INDEX([1]HubMaster!$B$2:$B$7,MATCH(C800,[1]HubMaster!$A$2:$A$7,0)),"Unknown")</f>
        <v>East</v>
      </c>
      <c r="E800" s="2" t="str">
        <f>PROPER(TRIM(SUBSTITUTE([1]RawShipmentData!D807,"  "," ")))</f>
        <v>Xpressbees</v>
      </c>
      <c r="F800" s="2" t="str">
        <f>PROPER(TRIM([1]RawShipmentData!E807))</f>
        <v>Road</v>
      </c>
      <c r="G800" s="2" t="str">
        <f>PROPER(TRIM(SUBSTITUTE([1]RawShipmentData!F807,"  "," ")))</f>
        <v>Pharma</v>
      </c>
      <c r="H800" s="2" t="str">
        <f>PROPER(TRIM([1]RawShipmentData!G807))</f>
        <v>North</v>
      </c>
      <c r="I800" s="2" t="str">
        <f t="shared" si="60"/>
        <v>Yes</v>
      </c>
      <c r="J800" s="2">
        <f>IFERROR(VALUE(TRIM(SUBSTITUTE(UPPER([1]RawShipmentData!I800),"KG",""))),"")</f>
        <v>15.8</v>
      </c>
      <c r="K800" s="2">
        <f>VALUE(SUBSTITUTE(SUBSTITUTE(SUBSTITUTE(TRIM([1]RawShipmentData!J807),"₹",""),"Rs",""),",",""))</f>
        <v>134</v>
      </c>
      <c r="L800" s="2">
        <f>[1]RawShipmentData!K807</f>
        <v>8</v>
      </c>
      <c r="M800" s="3">
        <f>IF(TRIM([1]RawShipmentData!L807)="","",IF(ISNUMBER(SEARCH("/",TRIM([1]RawShipmentData!L807))),DATE(VALUE(RIGHT(TRIM([1]RawShipmentData!L807),4)),VALUE(MID(TRIM([1]RawShipmentData!L807),FIND("/",TRIM([1]RawShipmentData!L807))+1,2)),VALUE(LEFT(TRIM([1]RawShipmentData!L807),FIND("/",TRIM([1]RawShipmentData!L807))-1))),DATEVALUE(TRIM([1]RawShipmentData!L807))))</f>
        <v>45462</v>
      </c>
      <c r="N800" s="2">
        <f t="shared" si="61"/>
        <v>9</v>
      </c>
      <c r="O800" s="2">
        <f t="shared" si="62"/>
        <v>1</v>
      </c>
      <c r="P800" s="2" t="str">
        <f t="shared" si="63"/>
        <v>Late</v>
      </c>
      <c r="Q800" s="2" t="str">
        <f>PROPER(SUBSTITUTE(TRIM([1]RawShipmentData!M807)," ","-"))</f>
        <v>Delayed</v>
      </c>
      <c r="R800" s="4">
        <f t="shared" si="64"/>
        <v>8.4810126582278471</v>
      </c>
      <c r="S800" s="2">
        <f>[1]RawShipmentData!N807</f>
        <v>3</v>
      </c>
      <c r="T800" s="2" t="str">
        <f>IF(OR(UPPER(TRIM([1]RawShipmentData!O807))="YES",UPPER(TRIM([1]RawShipmentData!O807))="Y"),"Yes","No")</f>
        <v>No</v>
      </c>
    </row>
    <row r="801" spans="1:20" x14ac:dyDescent="0.25">
      <c r="A801" s="2" t="str">
        <f>[1]RawShipmentData!A808</f>
        <v>SHP-100639</v>
      </c>
      <c r="B801" s="3">
        <f>IF(ISNUMBER(SEARCH("/",TRIM([1]RawShipmentData!B808))),DATE(VALUE(RIGHT(TRIM([1]RawShipmentData!B808),4)),VALUE(MID(TRIM([1]RawShipmentData!B808),FIND("/",TRIM([1]RawShipmentData!B808))+1,2)),VALUE(LEFT(TRIM([1]RawShipmentData!B808),FIND("/",TRIM([1]RawShipmentData!B808))-1))),DATEVALUE(TRIM([1]RawShipmentData!B808)))</f>
        <v>45324</v>
      </c>
      <c r="C801" s="2" t="str">
        <f>PROPER(TRIM([1]RawShipmentData!C808))</f>
        <v>Hyderabad</v>
      </c>
      <c r="D801" s="2" t="str">
        <f>IFERROR(INDEX([1]HubMaster!$B$2:$B$7,MATCH(C801,[1]HubMaster!$A$2:$A$7,0)),"Unknown")</f>
        <v>West</v>
      </c>
      <c r="E801" s="2" t="str">
        <f>PROPER(TRIM(SUBSTITUTE([1]RawShipmentData!D808,"  "," ")))</f>
        <v>Xpressbees</v>
      </c>
      <c r="F801" s="2" t="str">
        <f>PROPER(TRIM([1]RawShipmentData!E808))</f>
        <v>Surface</v>
      </c>
      <c r="G801" s="2" t="str">
        <f>PROPER(TRIM(SUBSTITUTE([1]RawShipmentData!F808,"  "," ")))</f>
        <v>Furniture</v>
      </c>
      <c r="H801" s="2" t="str">
        <f>PROPER(TRIM([1]RawShipmentData!G808))</f>
        <v>North</v>
      </c>
      <c r="I801" s="2" t="str">
        <f t="shared" si="60"/>
        <v>Yes</v>
      </c>
      <c r="J801" s="2">
        <f>IFERROR(VALUE(TRIM(SUBSTITUTE(UPPER([1]RawShipmentData!I801),"KG",""))),"")</f>
        <v>45.6</v>
      </c>
      <c r="K801" s="2">
        <f>VALUE(SUBSTITUTE(SUBSTITUTE(SUBSTITUTE(TRIM([1]RawShipmentData!J808),"₹",""),"Rs",""),",",""))</f>
        <v>1033</v>
      </c>
      <c r="L801" s="2">
        <f>[1]RawShipmentData!K808</f>
        <v>6</v>
      </c>
      <c r="M801" s="3">
        <f>IF(TRIM([1]RawShipmentData!L808)="","",IF(ISNUMBER(SEARCH("/",TRIM([1]RawShipmentData!L808))),DATE(VALUE(RIGHT(TRIM([1]RawShipmentData!L808),4)),VALUE(MID(TRIM([1]RawShipmentData!L808),FIND("/",TRIM([1]RawShipmentData!L808))+1,2)),VALUE(LEFT(TRIM([1]RawShipmentData!L808),FIND("/",TRIM([1]RawShipmentData!L808))-1))),DATEVALUE(TRIM([1]RawShipmentData!L808))))</f>
        <v>45331</v>
      </c>
      <c r="N801" s="2">
        <f t="shared" si="61"/>
        <v>7</v>
      </c>
      <c r="O801" s="2">
        <f t="shared" si="62"/>
        <v>1</v>
      </c>
      <c r="P801" s="2" t="str">
        <f t="shared" si="63"/>
        <v>Late</v>
      </c>
      <c r="Q801" s="2" t="str">
        <f>PROPER(SUBSTITUTE(TRIM([1]RawShipmentData!M808)," ","-"))</f>
        <v>Delayed</v>
      </c>
      <c r="R801" s="4">
        <f t="shared" si="64"/>
        <v>22.653508771929825</v>
      </c>
      <c r="S801" s="2">
        <f>[1]RawShipmentData!N808</f>
        <v>3</v>
      </c>
      <c r="T801" s="2" t="str">
        <f>IF(OR(UPPER(TRIM([1]RawShipmentData!O808))="YES",UPPER(TRIM([1]RawShipmentData!O808))="Y"),"Yes","No")</f>
        <v>No</v>
      </c>
    </row>
    <row r="802" spans="1:20" x14ac:dyDescent="0.25">
      <c r="A802" s="2" t="str">
        <f>[1]RawShipmentData!A809</f>
        <v>SHP-101443</v>
      </c>
      <c r="B802" s="3">
        <f>IF(ISNUMBER(SEARCH("/",TRIM([1]RawShipmentData!B809))),DATE(VALUE(RIGHT(TRIM([1]RawShipmentData!B809),4)),VALUE(MID(TRIM([1]RawShipmentData!B809),FIND("/",TRIM([1]RawShipmentData!B809))+1,2)),VALUE(LEFT(TRIM([1]RawShipmentData!B809),FIND("/",TRIM([1]RawShipmentData!B809))-1))),DATEVALUE(TRIM([1]RawShipmentData!B809)))</f>
        <v>45458</v>
      </c>
      <c r="C802" s="2" t="str">
        <f>PROPER(TRIM([1]RawShipmentData!C809))</f>
        <v>Kolkata</v>
      </c>
      <c r="D802" s="2" t="str">
        <f>IFERROR(INDEX([1]HubMaster!$B$2:$B$7,MATCH(C802,[1]HubMaster!$A$2:$A$7,0)),"Unknown")</f>
        <v>East</v>
      </c>
      <c r="E802" s="2" t="str">
        <f>PROPER(TRIM(SUBSTITUTE([1]RawShipmentData!D809,"  "," ")))</f>
        <v>Dtdc</v>
      </c>
      <c r="F802" s="2" t="str">
        <f>PROPER(TRIM([1]RawShipmentData!E809))</f>
        <v>Surface</v>
      </c>
      <c r="G802" s="2" t="str">
        <f>PROPER(TRIM(SUBSTITUTE([1]RawShipmentData!F809,"  "," ")))</f>
        <v>Apparel</v>
      </c>
      <c r="H802" s="2" t="str">
        <f>PROPER(TRIM([1]RawShipmentData!G809))</f>
        <v>South</v>
      </c>
      <c r="I802" s="2" t="str">
        <f t="shared" si="60"/>
        <v>Yes</v>
      </c>
      <c r="J802" s="2">
        <f>IFERROR(VALUE(TRIM(SUBSTITUTE(UPPER([1]RawShipmentData!I802),"KG",""))),"")</f>
        <v>4.9000000000000004</v>
      </c>
      <c r="K802" s="2">
        <f>VALUE(SUBSTITUTE(SUBSTITUTE(SUBSTITUTE(TRIM([1]RawShipmentData!J809),"₹",""),"Rs",""),",",""))</f>
        <v>236</v>
      </c>
      <c r="L802" s="2">
        <f>[1]RawShipmentData!K809</f>
        <v>6</v>
      </c>
      <c r="M802" s="3">
        <f>IF(TRIM([1]RawShipmentData!L809)="","",IF(ISNUMBER(SEARCH("/",TRIM([1]RawShipmentData!L809))),DATE(VALUE(RIGHT(TRIM([1]RawShipmentData!L809),4)),VALUE(MID(TRIM([1]RawShipmentData!L809),FIND("/",TRIM([1]RawShipmentData!L809))+1,2)),VALUE(LEFT(TRIM([1]RawShipmentData!L809),FIND("/",TRIM([1]RawShipmentData!L809))-1))),DATEVALUE(TRIM([1]RawShipmentData!L809))))</f>
        <v>45464</v>
      </c>
      <c r="N802" s="2">
        <f t="shared" si="61"/>
        <v>6</v>
      </c>
      <c r="O802" s="2">
        <f t="shared" si="62"/>
        <v>0</v>
      </c>
      <c r="P802" s="2" t="str">
        <f t="shared" si="63"/>
        <v>On Time</v>
      </c>
      <c r="Q802" s="2" t="str">
        <f>PROPER(SUBSTITUTE(TRIM([1]RawShipmentData!M809)," ","-"))</f>
        <v>Delivered</v>
      </c>
      <c r="R802" s="4">
        <f t="shared" si="64"/>
        <v>48.163265306122447</v>
      </c>
      <c r="S802" s="2">
        <f>[1]RawShipmentData!N809</f>
        <v>4</v>
      </c>
      <c r="T802" s="2" t="str">
        <f>IF(OR(UPPER(TRIM([1]RawShipmentData!O809))="YES",UPPER(TRIM([1]RawShipmentData!O809))="Y"),"Yes","No")</f>
        <v>No</v>
      </c>
    </row>
    <row r="803" spans="1:20" x14ac:dyDescent="0.25">
      <c r="A803" s="2" t="str">
        <f>[1]RawShipmentData!A810</f>
        <v>SHP-100187</v>
      </c>
      <c r="B803" s="3">
        <f>IF(ISNUMBER(SEARCH("/",TRIM([1]RawShipmentData!B810))),DATE(VALUE(RIGHT(TRIM([1]RawShipmentData!B810),4)),VALUE(MID(TRIM([1]RawShipmentData!B810),FIND("/",TRIM([1]RawShipmentData!B810))+1,2)),VALUE(LEFT(TRIM([1]RawShipmentData!B810),FIND("/",TRIM([1]RawShipmentData!B810))-1))),DATEVALUE(TRIM([1]RawShipmentData!B810)))</f>
        <v>45416</v>
      </c>
      <c r="C803" s="2" t="str">
        <f>PROPER(TRIM([1]RawShipmentData!C810))</f>
        <v>Mumbai</v>
      </c>
      <c r="D803" s="2" t="str">
        <f>IFERROR(INDEX([1]HubMaster!$B$2:$B$7,MATCH(C803,[1]HubMaster!$A$2:$A$7,0)),"Unknown")</f>
        <v>West</v>
      </c>
      <c r="E803" s="2" t="str">
        <f>PROPER(TRIM(SUBSTITUTE([1]RawShipmentData!D810,"  "," ")))</f>
        <v>Xpressbees</v>
      </c>
      <c r="F803" s="2" t="str">
        <f>PROPER(TRIM([1]RawShipmentData!E810))</f>
        <v>Road</v>
      </c>
      <c r="G803" s="2" t="str">
        <f>PROPER(TRIM(SUBSTITUTE([1]RawShipmentData!F810,"  "," ")))</f>
        <v>Pharma</v>
      </c>
      <c r="H803" s="2" t="str">
        <f>PROPER(TRIM([1]RawShipmentData!G810))</f>
        <v>East</v>
      </c>
      <c r="I803" s="2" t="str">
        <f t="shared" si="60"/>
        <v>Yes</v>
      </c>
      <c r="J803" s="2">
        <f>IFERROR(VALUE(TRIM(SUBSTITUTE(UPPER([1]RawShipmentData!I803),"KG",""))),"")</f>
        <v>52.9</v>
      </c>
      <c r="K803" s="2">
        <f>VALUE(SUBSTITUTE(SUBSTITUTE(SUBSTITUTE(TRIM([1]RawShipmentData!J810),"₹",""),"Rs",""),",",""))</f>
        <v>207</v>
      </c>
      <c r="L803" s="2">
        <f>[1]RawShipmentData!K810</f>
        <v>8</v>
      </c>
      <c r="M803" s="3">
        <f>IF(TRIM([1]RawShipmentData!L810)="","",IF(ISNUMBER(SEARCH("/",TRIM([1]RawShipmentData!L810))),DATE(VALUE(RIGHT(TRIM([1]RawShipmentData!L810),4)),VALUE(MID(TRIM([1]RawShipmentData!L810),FIND("/",TRIM([1]RawShipmentData!L810))+1,2)),VALUE(LEFT(TRIM([1]RawShipmentData!L810),FIND("/",TRIM([1]RawShipmentData!L810))-1))),DATEVALUE(TRIM([1]RawShipmentData!L810))))</f>
        <v>45424</v>
      </c>
      <c r="N803" s="2">
        <f t="shared" si="61"/>
        <v>8</v>
      </c>
      <c r="O803" s="2">
        <f t="shared" si="62"/>
        <v>0</v>
      </c>
      <c r="P803" s="2" t="str">
        <f t="shared" si="63"/>
        <v>On Time</v>
      </c>
      <c r="Q803" s="2" t="str">
        <f>PROPER(SUBSTITUTE(TRIM([1]RawShipmentData!M810)," ","-"))</f>
        <v>Delivered</v>
      </c>
      <c r="R803" s="4">
        <f t="shared" si="64"/>
        <v>3.9130434782608696</v>
      </c>
      <c r="S803" s="2">
        <f>[1]RawShipmentData!N810</f>
        <v>5</v>
      </c>
      <c r="T803" s="2" t="str">
        <f>IF(OR(UPPER(TRIM([1]RawShipmentData!O810))="YES",UPPER(TRIM([1]RawShipmentData!O810))="Y"),"Yes","No")</f>
        <v>No</v>
      </c>
    </row>
    <row r="804" spans="1:20" x14ac:dyDescent="0.25">
      <c r="A804" s="2" t="str">
        <f>[1]RawShipmentData!A811</f>
        <v>SHP-100085</v>
      </c>
      <c r="B804" s="3">
        <f>IF(ISNUMBER(SEARCH("/",TRIM([1]RawShipmentData!B811))),DATE(VALUE(RIGHT(TRIM([1]RawShipmentData!B811),4)),VALUE(MID(TRIM([1]RawShipmentData!B811),FIND("/",TRIM([1]RawShipmentData!B811))+1,2)),VALUE(LEFT(TRIM([1]RawShipmentData!B811),FIND("/",TRIM([1]RawShipmentData!B811))-1))),DATEVALUE(TRIM([1]RawShipmentData!B811)))</f>
        <v>45406</v>
      </c>
      <c r="C804" s="2" t="str">
        <f>PROPER(TRIM([1]RawShipmentData!C811))</f>
        <v>Hyderabad</v>
      </c>
      <c r="D804" s="2" t="str">
        <f>IFERROR(INDEX([1]HubMaster!$B$2:$B$7,MATCH(C804,[1]HubMaster!$A$2:$A$7,0)),"Unknown")</f>
        <v>West</v>
      </c>
      <c r="E804" s="2" t="str">
        <f>PROPER(TRIM(SUBSTITUTE([1]RawShipmentData!D811,"  "," ")))</f>
        <v>Delhivery</v>
      </c>
      <c r="F804" s="2" t="str">
        <f>PROPER(TRIM([1]RawShipmentData!E811))</f>
        <v>Road</v>
      </c>
      <c r="G804" s="2" t="str">
        <f>PROPER(TRIM(SUBSTITUTE([1]RawShipmentData!F811,"  "," ")))</f>
        <v>Grocery &amp; Fmcg</v>
      </c>
      <c r="H804" s="2" t="str">
        <f>PROPER(TRIM([1]RawShipmentData!G811))</f>
        <v>West</v>
      </c>
      <c r="I804" s="2" t="str">
        <f t="shared" si="60"/>
        <v>No</v>
      </c>
      <c r="J804" s="2">
        <f>IFERROR(VALUE(TRIM(SUBSTITUTE(UPPER([1]RawShipmentData!I804),"KG",""))),"")</f>
        <v>41.5</v>
      </c>
      <c r="K804" s="2">
        <f>VALUE(SUBSTITUTE(SUBSTITUTE(SUBSTITUTE(TRIM([1]RawShipmentData!J811),"₹",""),"Rs",""),",",""))</f>
        <v>80</v>
      </c>
      <c r="L804" s="2">
        <f>[1]RawShipmentData!K811</f>
        <v>6</v>
      </c>
      <c r="M804" s="3">
        <f>IF(TRIM([1]RawShipmentData!L811)="","",IF(ISNUMBER(SEARCH("/",TRIM([1]RawShipmentData!L811))),DATE(VALUE(RIGHT(TRIM([1]RawShipmentData!L811),4)),VALUE(MID(TRIM([1]RawShipmentData!L811),FIND("/",TRIM([1]RawShipmentData!L811))+1,2)),VALUE(LEFT(TRIM([1]RawShipmentData!L811),FIND("/",TRIM([1]RawShipmentData!L811))-1))),DATEVALUE(TRIM([1]RawShipmentData!L811))))</f>
        <v>45411</v>
      </c>
      <c r="N804" s="2">
        <f t="shared" si="61"/>
        <v>5</v>
      </c>
      <c r="O804" s="2">
        <f t="shared" si="62"/>
        <v>-1</v>
      </c>
      <c r="P804" s="2" t="str">
        <f t="shared" si="63"/>
        <v>On Time</v>
      </c>
      <c r="Q804" s="2" t="str">
        <f>PROPER(SUBSTITUTE(TRIM([1]RawShipmentData!M811)," ","-"))</f>
        <v>Delivered</v>
      </c>
      <c r="R804" s="4">
        <f t="shared" si="64"/>
        <v>1.927710843373494</v>
      </c>
      <c r="S804" s="2">
        <f>[1]RawShipmentData!N811</f>
        <v>3</v>
      </c>
      <c r="T804" s="2" t="str">
        <f>IF(OR(UPPER(TRIM([1]RawShipmentData!O811))="YES",UPPER(TRIM([1]RawShipmentData!O811))="Y"),"Yes","No")</f>
        <v>Yes</v>
      </c>
    </row>
    <row r="805" spans="1:20" x14ac:dyDescent="0.25">
      <c r="A805" s="2" t="str">
        <f>[1]RawShipmentData!A812</f>
        <v>SHP-101394</v>
      </c>
      <c r="B805" s="3">
        <f>IF(ISNUMBER(SEARCH("/",TRIM([1]RawShipmentData!B812))),DATE(VALUE(RIGHT(TRIM([1]RawShipmentData!B812),4)),VALUE(MID(TRIM([1]RawShipmentData!B812),FIND("/",TRIM([1]RawShipmentData!B812))+1,2)),VALUE(LEFT(TRIM([1]RawShipmentData!B812),FIND("/",TRIM([1]RawShipmentData!B812))-1))),DATEVALUE(TRIM([1]RawShipmentData!B812)))</f>
        <v>45306</v>
      </c>
      <c r="C805" s="2" t="str">
        <f>PROPER(TRIM([1]RawShipmentData!C812))</f>
        <v>Delhi</v>
      </c>
      <c r="D805" s="2" t="str">
        <f>IFERROR(INDEX([1]HubMaster!$B$2:$B$7,MATCH(C805,[1]HubMaster!$A$2:$A$7,0)),"Unknown")</f>
        <v>North</v>
      </c>
      <c r="E805" s="2" t="str">
        <f>PROPER(TRIM(SUBSTITUTE([1]RawShipmentData!D812,"  "," ")))</f>
        <v>Ecom Express</v>
      </c>
      <c r="F805" s="2" t="str">
        <f>PROPER(TRIM([1]RawShipmentData!E812))</f>
        <v>Air</v>
      </c>
      <c r="G805" s="2" t="str">
        <f>PROPER(TRIM(SUBSTITUTE([1]RawShipmentData!F812,"  "," ")))</f>
        <v>Pharma</v>
      </c>
      <c r="H805" s="2" t="str">
        <f>PROPER(TRIM([1]RawShipmentData!G812))</f>
        <v>South</v>
      </c>
      <c r="I805" s="2" t="str">
        <f t="shared" si="60"/>
        <v>Yes</v>
      </c>
      <c r="J805" s="2">
        <f>IFERROR(VALUE(TRIM(SUBSTITUTE(UPPER([1]RawShipmentData!I805),"KG",""))),"")</f>
        <v>6.8</v>
      </c>
      <c r="K805" s="2">
        <f>VALUE(SUBSTITUTE(SUBSTITUTE(SUBSTITUTE(TRIM([1]RawShipmentData!J812),"₹",""),"Rs",""),",",""))</f>
        <v>348</v>
      </c>
      <c r="L805" s="2">
        <f>[1]RawShipmentData!K812</f>
        <v>4</v>
      </c>
      <c r="M805" s="3">
        <f>IF(TRIM([1]RawShipmentData!L812)="","",IF(ISNUMBER(SEARCH("/",TRIM([1]RawShipmentData!L812))),DATE(VALUE(RIGHT(TRIM([1]RawShipmentData!L812),4)),VALUE(MID(TRIM([1]RawShipmentData!L812),FIND("/",TRIM([1]RawShipmentData!L812))+1,2)),VALUE(LEFT(TRIM([1]RawShipmentData!L812),FIND("/",TRIM([1]RawShipmentData!L812))-1))),DATEVALUE(TRIM([1]RawShipmentData!L812))))</f>
        <v>45311</v>
      </c>
      <c r="N805" s="2">
        <f t="shared" si="61"/>
        <v>5</v>
      </c>
      <c r="O805" s="2">
        <f t="shared" si="62"/>
        <v>1</v>
      </c>
      <c r="P805" s="2" t="str">
        <f t="shared" si="63"/>
        <v>Late</v>
      </c>
      <c r="Q805" s="2" t="str">
        <f>PROPER(SUBSTITUTE(TRIM([1]RawShipmentData!M812)," ","-"))</f>
        <v>Delayed</v>
      </c>
      <c r="R805" s="4">
        <f t="shared" si="64"/>
        <v>51.176470588235297</v>
      </c>
      <c r="S805" s="2">
        <f>[1]RawShipmentData!N812</f>
        <v>1</v>
      </c>
      <c r="T805" s="2" t="str">
        <f>IF(OR(UPPER(TRIM([1]RawShipmentData!O812))="YES",UPPER(TRIM([1]RawShipmentData!O812))="Y"),"Yes","No")</f>
        <v>Yes</v>
      </c>
    </row>
    <row r="806" spans="1:20" x14ac:dyDescent="0.25">
      <c r="A806" s="2" t="str">
        <f>[1]RawShipmentData!A813</f>
        <v>SHP-100196</v>
      </c>
      <c r="B806" s="3">
        <f>IF(ISNUMBER(SEARCH("/",TRIM([1]RawShipmentData!B813))),DATE(VALUE(RIGHT(TRIM([1]RawShipmentData!B813),4)),VALUE(MID(TRIM([1]RawShipmentData!B813),FIND("/",TRIM([1]RawShipmentData!B813))+1,2)),VALUE(LEFT(TRIM([1]RawShipmentData!B813),FIND("/",TRIM([1]RawShipmentData!B813))-1))),DATEVALUE(TRIM([1]RawShipmentData!B813)))</f>
        <v>45305</v>
      </c>
      <c r="C806" s="2" t="str">
        <f>PROPER(TRIM([1]RawShipmentData!C813))</f>
        <v>Kolkata</v>
      </c>
      <c r="D806" s="2" t="str">
        <f>IFERROR(INDEX([1]HubMaster!$B$2:$B$7,MATCH(C806,[1]HubMaster!$A$2:$A$7,0)),"Unknown")</f>
        <v>East</v>
      </c>
      <c r="E806" s="2" t="str">
        <f>PROPER(TRIM(SUBSTITUTE([1]RawShipmentData!D813,"  "," ")))</f>
        <v>Ecom Express</v>
      </c>
      <c r="F806" s="2" t="str">
        <f>PROPER(TRIM([1]RawShipmentData!E813))</f>
        <v>Road</v>
      </c>
      <c r="G806" s="2" t="str">
        <f>PROPER(TRIM(SUBSTITUTE([1]RawShipmentData!F813,"  "," ")))</f>
        <v>Apparel</v>
      </c>
      <c r="H806" s="2" t="str">
        <f>PROPER(TRIM([1]RawShipmentData!G813))</f>
        <v>East</v>
      </c>
      <c r="I806" s="2" t="str">
        <f t="shared" si="60"/>
        <v>No</v>
      </c>
      <c r="J806" s="2">
        <f>IFERROR(VALUE(TRIM(SUBSTITUTE(UPPER([1]RawShipmentData!I806),"KG",""))),"")</f>
        <v>20</v>
      </c>
      <c r="K806" s="2">
        <f>VALUE(SUBSTITUTE(SUBSTITUTE(SUBSTITUTE(TRIM([1]RawShipmentData!J813),"₹",""),"Rs",""),",",""))</f>
        <v>80</v>
      </c>
      <c r="L806" s="2">
        <f>[1]RawShipmentData!K813</f>
        <v>6</v>
      </c>
      <c r="M806" s="3">
        <f>IF(TRIM([1]RawShipmentData!L813)="","",IF(ISNUMBER(SEARCH("/",TRIM([1]RawShipmentData!L813))),DATE(VALUE(RIGHT(TRIM([1]RawShipmentData!L813),4)),VALUE(MID(TRIM([1]RawShipmentData!L813),FIND("/",TRIM([1]RawShipmentData!L813))+1,2)),VALUE(LEFT(TRIM([1]RawShipmentData!L813),FIND("/",TRIM([1]RawShipmentData!L813))-1))),DATEVALUE(TRIM([1]RawShipmentData!L813))))</f>
        <v>45311</v>
      </c>
      <c r="N806" s="2">
        <f t="shared" si="61"/>
        <v>6</v>
      </c>
      <c r="O806" s="2">
        <f t="shared" si="62"/>
        <v>0</v>
      </c>
      <c r="P806" s="2" t="str">
        <f t="shared" si="63"/>
        <v>On Time</v>
      </c>
      <c r="Q806" s="2" t="str">
        <f>PROPER(SUBSTITUTE(TRIM([1]RawShipmentData!M813)," ","-"))</f>
        <v>Delivered</v>
      </c>
      <c r="R806" s="4">
        <f t="shared" si="64"/>
        <v>4</v>
      </c>
      <c r="S806" s="2">
        <f>[1]RawShipmentData!N813</f>
        <v>5</v>
      </c>
      <c r="T806" s="2" t="str">
        <f>IF(OR(UPPER(TRIM([1]RawShipmentData!O813))="YES",UPPER(TRIM([1]RawShipmentData!O813))="Y"),"Yes","No")</f>
        <v>No</v>
      </c>
    </row>
    <row r="807" spans="1:20" x14ac:dyDescent="0.25">
      <c r="A807" s="2" t="str">
        <f>[1]RawShipmentData!A814</f>
        <v>SHP-101538</v>
      </c>
      <c r="B807" s="3">
        <f>IF(ISNUMBER(SEARCH("/",TRIM([1]RawShipmentData!B814))),DATE(VALUE(RIGHT(TRIM([1]RawShipmentData!B814),4)),VALUE(MID(TRIM([1]RawShipmentData!B814),FIND("/",TRIM([1]RawShipmentData!B814))+1,2)),VALUE(LEFT(TRIM([1]RawShipmentData!B814),FIND("/",TRIM([1]RawShipmentData!B814))-1))),DATEVALUE(TRIM([1]RawShipmentData!B814)))</f>
        <v>45306</v>
      </c>
      <c r="C807" s="2" t="str">
        <f>PROPER(TRIM([1]RawShipmentData!C814))</f>
        <v>Hyderabad</v>
      </c>
      <c r="D807" s="2" t="str">
        <f>IFERROR(INDEX([1]HubMaster!$B$2:$B$7,MATCH(C807,[1]HubMaster!$A$2:$A$7,0)),"Unknown")</f>
        <v>West</v>
      </c>
      <c r="E807" s="2" t="str">
        <f>PROPER(TRIM(SUBSTITUTE([1]RawShipmentData!D814,"  "," ")))</f>
        <v>Dtdc</v>
      </c>
      <c r="F807" s="2" t="str">
        <f>PROPER(TRIM([1]RawShipmentData!E814))</f>
        <v>Road</v>
      </c>
      <c r="G807" s="2" t="str">
        <f>PROPER(TRIM(SUBSTITUTE([1]RawShipmentData!F814,"  "," ")))</f>
        <v>Apparel</v>
      </c>
      <c r="H807" s="2" t="str">
        <f>PROPER(TRIM([1]RawShipmentData!G814))</f>
        <v>East</v>
      </c>
      <c r="I807" s="2" t="str">
        <f t="shared" si="60"/>
        <v>Yes</v>
      </c>
      <c r="J807" s="2">
        <f>IFERROR(VALUE(TRIM(SUBSTITUTE(UPPER([1]RawShipmentData!I807),"KG",""))),"")</f>
        <v>0.7</v>
      </c>
      <c r="K807" s="2">
        <f>VALUE(SUBSTITUTE(SUBSTITUTE(SUBSTITUTE(TRIM([1]RawShipmentData!J814),"₹",""),"Rs",""),",",""))</f>
        <v>258</v>
      </c>
      <c r="L807" s="2">
        <f>[1]RawShipmentData!K814</f>
        <v>8</v>
      </c>
      <c r="M807" s="3">
        <f>IF(TRIM([1]RawShipmentData!L814)="","",IF(ISNUMBER(SEARCH("/",TRIM([1]RawShipmentData!L814))),DATE(VALUE(RIGHT(TRIM([1]RawShipmentData!L814),4)),VALUE(MID(TRIM([1]RawShipmentData!L814),FIND("/",TRIM([1]RawShipmentData!L814))+1,2)),VALUE(LEFT(TRIM([1]RawShipmentData!L814),FIND("/",TRIM([1]RawShipmentData!L814))-1))),DATEVALUE(TRIM([1]RawShipmentData!L814))))</f>
        <v>45316</v>
      </c>
      <c r="N807" s="2">
        <f t="shared" si="61"/>
        <v>10</v>
      </c>
      <c r="O807" s="2">
        <f t="shared" si="62"/>
        <v>2</v>
      </c>
      <c r="P807" s="2" t="str">
        <f t="shared" si="63"/>
        <v>Late</v>
      </c>
      <c r="Q807" s="2" t="str">
        <f>PROPER(SUBSTITUTE(TRIM([1]RawShipmentData!M814)," ","-"))</f>
        <v>Delayed</v>
      </c>
      <c r="R807" s="4">
        <f t="shared" si="64"/>
        <v>368.57142857142861</v>
      </c>
      <c r="S807" s="2">
        <f>[1]RawShipmentData!N814</f>
        <v>5</v>
      </c>
      <c r="T807" s="2" t="str">
        <f>IF(OR(UPPER(TRIM([1]RawShipmentData!O814))="YES",UPPER(TRIM([1]RawShipmentData!O814))="Y"),"Yes","No")</f>
        <v>Yes</v>
      </c>
    </row>
    <row r="808" spans="1:20" x14ac:dyDescent="0.25">
      <c r="A808" s="2" t="str">
        <f>[1]RawShipmentData!A815</f>
        <v>SHP-101378</v>
      </c>
      <c r="B808" s="3">
        <f>IF(ISNUMBER(SEARCH("/",TRIM([1]RawShipmentData!B815))),DATE(VALUE(RIGHT(TRIM([1]RawShipmentData!B815),4)),VALUE(MID(TRIM([1]RawShipmentData!B815),FIND("/",TRIM([1]RawShipmentData!B815))+1,2)),VALUE(LEFT(TRIM([1]RawShipmentData!B815),FIND("/",TRIM([1]RawShipmentData!B815))-1))),DATEVALUE(TRIM([1]RawShipmentData!B815)))</f>
        <v>45329</v>
      </c>
      <c r="C808" s="2" t="str">
        <f>PROPER(TRIM([1]RawShipmentData!C815))</f>
        <v>Chennai</v>
      </c>
      <c r="D808" s="2" t="str">
        <f>IFERROR(INDEX([1]HubMaster!$B$2:$B$7,MATCH(C808,[1]HubMaster!$A$2:$A$7,0)),"Unknown")</f>
        <v>South</v>
      </c>
      <c r="E808" s="2" t="str">
        <f>PROPER(TRIM(SUBSTITUTE([1]RawShipmentData!D815,"  "," ")))</f>
        <v>Delhivery</v>
      </c>
      <c r="F808" s="2" t="str">
        <f>PROPER(TRIM([1]RawShipmentData!E815))</f>
        <v>Air</v>
      </c>
      <c r="G808" s="2" t="str">
        <f>PROPER(TRIM(SUBSTITUTE([1]RawShipmentData!F815,"  "," ")))</f>
        <v>Furniture</v>
      </c>
      <c r="H808" s="2" t="str">
        <f>PROPER(TRIM([1]RawShipmentData!G815))</f>
        <v>North</v>
      </c>
      <c r="I808" s="2" t="str">
        <f t="shared" si="60"/>
        <v>Yes</v>
      </c>
      <c r="J808" s="2">
        <f>IFERROR(VALUE(TRIM(SUBSTITUTE(UPPER([1]RawShipmentData!I808),"KG",""))),"")</f>
        <v>38.6</v>
      </c>
      <c r="K808" s="2">
        <f>VALUE(SUBSTITUTE(SUBSTITUTE(SUBSTITUTE(TRIM([1]RawShipmentData!J815),"₹",""),"Rs",""),",",""))</f>
        <v>3458</v>
      </c>
      <c r="L808" s="2">
        <f>[1]RawShipmentData!K815</f>
        <v>4</v>
      </c>
      <c r="M808" s="3">
        <f>IF(TRIM([1]RawShipmentData!L815)="","",IF(ISNUMBER(SEARCH("/",TRIM([1]RawShipmentData!L815))),DATE(VALUE(RIGHT(TRIM([1]RawShipmentData!L815),4)),VALUE(MID(TRIM([1]RawShipmentData!L815),FIND("/",TRIM([1]RawShipmentData!L815))+1,2)),VALUE(LEFT(TRIM([1]RawShipmentData!L815),FIND("/",TRIM([1]RawShipmentData!L815))-1))),DATEVALUE(TRIM([1]RawShipmentData!L815))))</f>
        <v>45339</v>
      </c>
      <c r="N808" s="2">
        <f t="shared" si="61"/>
        <v>10</v>
      </c>
      <c r="O808" s="2">
        <f t="shared" si="62"/>
        <v>6</v>
      </c>
      <c r="P808" s="2" t="str">
        <f t="shared" si="63"/>
        <v>Late</v>
      </c>
      <c r="Q808" s="2" t="str">
        <f>PROPER(SUBSTITUTE(TRIM([1]RawShipmentData!M815)," ","-"))</f>
        <v>Delayed</v>
      </c>
      <c r="R808" s="4">
        <f t="shared" si="64"/>
        <v>89.585492227979273</v>
      </c>
      <c r="S808" s="2">
        <f>[1]RawShipmentData!N815</f>
        <v>3</v>
      </c>
      <c r="T808" s="2" t="str">
        <f>IF(OR(UPPER(TRIM([1]RawShipmentData!O815))="YES",UPPER(TRIM([1]RawShipmentData!O815))="Y"),"Yes","No")</f>
        <v>No</v>
      </c>
    </row>
    <row r="809" spans="1:20" x14ac:dyDescent="0.25">
      <c r="A809" s="2" t="str">
        <f>[1]RawShipmentData!A816</f>
        <v>SHP-101245</v>
      </c>
      <c r="B809" s="3">
        <f>IF(ISNUMBER(SEARCH("/",TRIM([1]RawShipmentData!B816))),DATE(VALUE(RIGHT(TRIM([1]RawShipmentData!B816),4)),VALUE(MID(TRIM([1]RawShipmentData!B816),FIND("/",TRIM([1]RawShipmentData!B816))+1,2)),VALUE(LEFT(TRIM([1]RawShipmentData!B816),FIND("/",TRIM([1]RawShipmentData!B816))-1))),DATEVALUE(TRIM([1]RawShipmentData!B816)))</f>
        <v>45297</v>
      </c>
      <c r="C809" s="2" t="str">
        <f>PROPER(TRIM([1]RawShipmentData!C816))</f>
        <v>Chennai</v>
      </c>
      <c r="D809" s="2" t="str">
        <f>IFERROR(INDEX([1]HubMaster!$B$2:$B$7,MATCH(C809,[1]HubMaster!$A$2:$A$7,0)),"Unknown")</f>
        <v>South</v>
      </c>
      <c r="E809" s="2" t="str">
        <f>PROPER(TRIM(SUBSTITUTE([1]RawShipmentData!D816,"  "," ")))</f>
        <v>Bluedart</v>
      </c>
      <c r="F809" s="2" t="str">
        <f>PROPER(TRIM([1]RawShipmentData!E816))</f>
        <v>Air</v>
      </c>
      <c r="G809" s="2" t="str">
        <f>PROPER(TRIM(SUBSTITUTE([1]RawShipmentData!F816,"  "," ")))</f>
        <v>Furniture</v>
      </c>
      <c r="H809" s="2" t="str">
        <f>PROPER(TRIM([1]RawShipmentData!G816))</f>
        <v>South</v>
      </c>
      <c r="I809" s="2" t="str">
        <f t="shared" si="60"/>
        <v>No</v>
      </c>
      <c r="J809" s="2">
        <f>IFERROR(VALUE(TRIM(SUBSTITUTE(UPPER([1]RawShipmentData!I809),"KG",""))),"")</f>
        <v>4</v>
      </c>
      <c r="K809" s="2">
        <f>VALUE(SUBSTITUTE(SUBSTITUTE(SUBSTITUTE(TRIM([1]RawShipmentData!J816),"₹",""),"Rs",""),",",""))</f>
        <v>1214</v>
      </c>
      <c r="L809" s="2">
        <f>[1]RawShipmentData!K816</f>
        <v>2</v>
      </c>
      <c r="M809" s="3">
        <f>IF(TRIM([1]RawShipmentData!L816)="","",IF(ISNUMBER(SEARCH("/",TRIM([1]RawShipmentData!L816))),DATE(VALUE(RIGHT(TRIM([1]RawShipmentData!L816),4)),VALUE(MID(TRIM([1]RawShipmentData!L816),FIND("/",TRIM([1]RawShipmentData!L816))+1,2)),VALUE(LEFT(TRIM([1]RawShipmentData!L816),FIND("/",TRIM([1]RawShipmentData!L816))-1))),DATEVALUE(TRIM([1]RawShipmentData!L816))))</f>
        <v>45300</v>
      </c>
      <c r="N809" s="2">
        <f t="shared" si="61"/>
        <v>3</v>
      </c>
      <c r="O809" s="2">
        <f t="shared" si="62"/>
        <v>1</v>
      </c>
      <c r="P809" s="2" t="str">
        <f t="shared" si="63"/>
        <v>Late</v>
      </c>
      <c r="Q809" s="2" t="str">
        <f>PROPER(SUBSTITUTE(TRIM([1]RawShipmentData!M816)," ","-"))</f>
        <v>Delayed</v>
      </c>
      <c r="R809" s="4">
        <f t="shared" si="64"/>
        <v>303.5</v>
      </c>
      <c r="S809" s="2">
        <f>[1]RawShipmentData!N816</f>
        <v>2</v>
      </c>
      <c r="T809" s="2" t="str">
        <f>IF(OR(UPPER(TRIM([1]RawShipmentData!O816))="YES",UPPER(TRIM([1]RawShipmentData!O816))="Y"),"Yes","No")</f>
        <v>No</v>
      </c>
    </row>
    <row r="810" spans="1:20" x14ac:dyDescent="0.25">
      <c r="A810" s="2" t="str">
        <f>[1]RawShipmentData!A817</f>
        <v>SHP-101338</v>
      </c>
      <c r="B810" s="3">
        <f>IF(ISNUMBER(SEARCH("/",TRIM([1]RawShipmentData!B817))),DATE(VALUE(RIGHT(TRIM([1]RawShipmentData!B817),4)),VALUE(MID(TRIM([1]RawShipmentData!B817),FIND("/",TRIM([1]RawShipmentData!B817))+1,2)),VALUE(LEFT(TRIM([1]RawShipmentData!B817),FIND("/",TRIM([1]RawShipmentData!B817))-1))),DATEVALUE(TRIM([1]RawShipmentData!B817)))</f>
        <v>45325</v>
      </c>
      <c r="C810" s="2" t="str">
        <f>PROPER(TRIM([1]RawShipmentData!C817))</f>
        <v>Kolkata</v>
      </c>
      <c r="D810" s="2" t="str">
        <f>IFERROR(INDEX([1]HubMaster!$B$2:$B$7,MATCH(C810,[1]HubMaster!$A$2:$A$7,0)),"Unknown")</f>
        <v>East</v>
      </c>
      <c r="E810" s="2" t="str">
        <f>PROPER(TRIM(SUBSTITUTE([1]RawShipmentData!D817,"  "," ")))</f>
        <v>Dtdc</v>
      </c>
      <c r="F810" s="2" t="str">
        <f>PROPER(TRIM([1]RawShipmentData!E817))</f>
        <v>Air</v>
      </c>
      <c r="G810" s="2" t="str">
        <f>PROPER(TRIM(SUBSTITUTE([1]RawShipmentData!F817,"  "," ")))</f>
        <v>Automotive Parts</v>
      </c>
      <c r="H810" s="2" t="str">
        <f>PROPER(TRIM([1]RawShipmentData!G817))</f>
        <v>South</v>
      </c>
      <c r="I810" s="2" t="str">
        <f t="shared" si="60"/>
        <v>Yes</v>
      </c>
      <c r="J810" s="2">
        <f>IFERROR(VALUE(TRIM(SUBSTITUTE(UPPER([1]RawShipmentData!I810),"KG",""))),"")</f>
        <v>2.2000000000000002</v>
      </c>
      <c r="K810" s="2">
        <f>VALUE(SUBSTITUTE(SUBSTITUTE(SUBSTITUTE(TRIM([1]RawShipmentData!J817),"₹",""),"Rs",""),",",""))</f>
        <v>894</v>
      </c>
      <c r="L810" s="2">
        <f>[1]RawShipmentData!K817</f>
        <v>4</v>
      </c>
      <c r="M810" s="3">
        <f>IF(TRIM([1]RawShipmentData!L817)="","",IF(ISNUMBER(SEARCH("/",TRIM([1]RawShipmentData!L817))),DATE(VALUE(RIGHT(TRIM([1]RawShipmentData!L817),4)),VALUE(MID(TRIM([1]RawShipmentData!L817),FIND("/",TRIM([1]RawShipmentData!L817))+1,2)),VALUE(LEFT(TRIM([1]RawShipmentData!L817),FIND("/",TRIM([1]RawShipmentData!L817))-1))),DATEVALUE(TRIM([1]RawShipmentData!L817))))</f>
        <v>45328</v>
      </c>
      <c r="N810" s="2">
        <f t="shared" si="61"/>
        <v>3</v>
      </c>
      <c r="O810" s="2">
        <f t="shared" si="62"/>
        <v>-1</v>
      </c>
      <c r="P810" s="2" t="str">
        <f t="shared" si="63"/>
        <v>On Time</v>
      </c>
      <c r="Q810" s="2" t="str">
        <f>PROPER(SUBSTITUTE(TRIM([1]RawShipmentData!M817)," ","-"))</f>
        <v>Delivered</v>
      </c>
      <c r="R810" s="4">
        <f t="shared" si="64"/>
        <v>406.36363636363632</v>
      </c>
      <c r="S810" s="2">
        <f>[1]RawShipmentData!N817</f>
        <v>4</v>
      </c>
      <c r="T810" s="2" t="str">
        <f>IF(OR(UPPER(TRIM([1]RawShipmentData!O817))="YES",UPPER(TRIM([1]RawShipmentData!O817))="Y"),"Yes","No")</f>
        <v>No</v>
      </c>
    </row>
    <row r="811" spans="1:20" x14ac:dyDescent="0.25">
      <c r="A811" s="2" t="str">
        <f>[1]RawShipmentData!A818</f>
        <v>SHP-100084</v>
      </c>
      <c r="B811" s="3">
        <f>IF(ISNUMBER(SEARCH("/",TRIM([1]RawShipmentData!B818))),DATE(VALUE(RIGHT(TRIM([1]RawShipmentData!B818),4)),VALUE(MID(TRIM([1]RawShipmentData!B818),FIND("/",TRIM([1]RawShipmentData!B818))+1,2)),VALUE(LEFT(TRIM([1]RawShipmentData!B818),FIND("/",TRIM([1]RawShipmentData!B818))-1))),DATEVALUE(TRIM([1]RawShipmentData!B818)))</f>
        <v>45334</v>
      </c>
      <c r="C811" s="2" t="str">
        <f>PROPER(TRIM([1]RawShipmentData!C818))</f>
        <v>Hyderabad</v>
      </c>
      <c r="D811" s="2" t="str">
        <f>IFERROR(INDEX([1]HubMaster!$B$2:$B$7,MATCH(C811,[1]HubMaster!$A$2:$A$7,0)),"Unknown")</f>
        <v>West</v>
      </c>
      <c r="E811" s="2" t="str">
        <f>PROPER(TRIM(SUBSTITUTE([1]RawShipmentData!D818,"  "," ")))</f>
        <v>Delhivery</v>
      </c>
      <c r="F811" s="2" t="str">
        <f>PROPER(TRIM([1]RawShipmentData!E818))</f>
        <v>Surface</v>
      </c>
      <c r="G811" s="2" t="str">
        <f>PROPER(TRIM(SUBSTITUTE([1]RawShipmentData!F818,"  "," ")))</f>
        <v>Electronics</v>
      </c>
      <c r="H811" s="2" t="str">
        <f>PROPER(TRIM([1]RawShipmentData!G818))</f>
        <v>North</v>
      </c>
      <c r="I811" s="2" t="str">
        <f t="shared" si="60"/>
        <v>Yes</v>
      </c>
      <c r="J811" s="2">
        <f>IFERROR(VALUE(TRIM(SUBSTITUTE(UPPER([1]RawShipmentData!I811),"KG",""))),"")</f>
        <v>5.2</v>
      </c>
      <c r="K811" s="2">
        <f>VALUE(SUBSTITUTE(SUBSTITUTE(SUBSTITUTE(TRIM([1]RawShipmentData!J818),"₹",""),"Rs",""),",",""))</f>
        <v>184</v>
      </c>
      <c r="L811" s="2">
        <f>[1]RawShipmentData!K818</f>
        <v>6</v>
      </c>
      <c r="M811" s="3">
        <f>IF(TRIM([1]RawShipmentData!L818)="","",IF(ISNUMBER(SEARCH("/",TRIM([1]RawShipmentData!L818))),DATE(VALUE(RIGHT(TRIM([1]RawShipmentData!L818),4)),VALUE(MID(TRIM([1]RawShipmentData!L818),FIND("/",TRIM([1]RawShipmentData!L818))+1,2)),VALUE(LEFT(TRIM([1]RawShipmentData!L818),FIND("/",TRIM([1]RawShipmentData!L818))-1))),DATEVALUE(TRIM([1]RawShipmentData!L818))))</f>
        <v>45339</v>
      </c>
      <c r="N811" s="2">
        <f t="shared" si="61"/>
        <v>5</v>
      </c>
      <c r="O811" s="2">
        <f t="shared" si="62"/>
        <v>-1</v>
      </c>
      <c r="P811" s="2" t="str">
        <f t="shared" si="63"/>
        <v>On Time</v>
      </c>
      <c r="Q811" s="2" t="str">
        <f>PROPER(SUBSTITUTE(TRIM([1]RawShipmentData!M818)," ","-"))</f>
        <v>Delivered</v>
      </c>
      <c r="R811" s="4">
        <f t="shared" si="64"/>
        <v>35.384615384615387</v>
      </c>
      <c r="S811" s="2">
        <f>[1]RawShipmentData!N818</f>
        <v>4</v>
      </c>
      <c r="T811" s="2" t="str">
        <f>IF(OR(UPPER(TRIM([1]RawShipmentData!O818))="YES",UPPER(TRIM([1]RawShipmentData!O818))="Y"),"Yes","No")</f>
        <v>No</v>
      </c>
    </row>
    <row r="812" spans="1:20" x14ac:dyDescent="0.25">
      <c r="A812" s="2" t="str">
        <f>[1]RawShipmentData!A819</f>
        <v>SHP-100583</v>
      </c>
      <c r="B812" s="3">
        <f>IF(ISNUMBER(SEARCH("/",TRIM([1]RawShipmentData!B819))),DATE(VALUE(RIGHT(TRIM([1]RawShipmentData!B819),4)),VALUE(MID(TRIM([1]RawShipmentData!B819),FIND("/",TRIM([1]RawShipmentData!B819))+1,2)),VALUE(LEFT(TRIM([1]RawShipmentData!B819),FIND("/",TRIM([1]RawShipmentData!B819))-1))),DATEVALUE(TRIM([1]RawShipmentData!B819)))</f>
        <v>45400</v>
      </c>
      <c r="C812" s="2" t="str">
        <f>PROPER(TRIM([1]RawShipmentData!C819))</f>
        <v>Bengaluru</v>
      </c>
      <c r="D812" s="2" t="str">
        <f>IFERROR(INDEX([1]HubMaster!$B$2:$B$7,MATCH(C812,[1]HubMaster!$A$2:$A$7,0)),"Unknown")</f>
        <v>South</v>
      </c>
      <c r="E812" s="2" t="str">
        <f>PROPER(TRIM(SUBSTITUTE([1]RawShipmentData!D819,"  "," ")))</f>
        <v>Delhivery</v>
      </c>
      <c r="F812" s="2" t="str">
        <f>PROPER(TRIM([1]RawShipmentData!E819))</f>
        <v>Road</v>
      </c>
      <c r="G812" s="2" t="str">
        <f>PROPER(TRIM(SUBSTITUTE([1]RawShipmentData!F819,"  "," ")))</f>
        <v>Apparel</v>
      </c>
      <c r="H812" s="2" t="str">
        <f>PROPER(TRIM([1]RawShipmentData!G819))</f>
        <v>West</v>
      </c>
      <c r="I812" s="2" t="str">
        <f t="shared" si="60"/>
        <v>Yes</v>
      </c>
      <c r="J812" s="2">
        <f>IFERROR(VALUE(TRIM(SUBSTITUTE(UPPER([1]RawShipmentData!I812),"KG",""))),"")</f>
        <v>3.7</v>
      </c>
      <c r="K812" s="2">
        <f>VALUE(SUBSTITUTE(SUBSTITUTE(SUBSTITUTE(TRIM([1]RawShipmentData!J819),"₹",""),"Rs",""),",",""))</f>
        <v>192</v>
      </c>
      <c r="L812" s="2">
        <f>[1]RawShipmentData!K819</f>
        <v>8</v>
      </c>
      <c r="M812" s="3">
        <f>IF(TRIM([1]RawShipmentData!L819)="","",IF(ISNUMBER(SEARCH("/",TRIM([1]RawShipmentData!L819))),DATE(VALUE(RIGHT(TRIM([1]RawShipmentData!L819),4)),VALUE(MID(TRIM([1]RawShipmentData!L819),FIND("/",TRIM([1]RawShipmentData!L819))+1,2)),VALUE(LEFT(TRIM([1]RawShipmentData!L819),FIND("/",TRIM([1]RawShipmentData!L819))-1))),DATEVALUE(TRIM([1]RawShipmentData!L819))))</f>
        <v>45409</v>
      </c>
      <c r="N812" s="2">
        <f t="shared" si="61"/>
        <v>9</v>
      </c>
      <c r="O812" s="2">
        <f t="shared" si="62"/>
        <v>1</v>
      </c>
      <c r="P812" s="2" t="str">
        <f t="shared" si="63"/>
        <v>Late</v>
      </c>
      <c r="Q812" s="2" t="str">
        <f>PROPER(SUBSTITUTE(TRIM([1]RawShipmentData!M819)," ","-"))</f>
        <v>Delayed</v>
      </c>
      <c r="R812" s="4">
        <f t="shared" si="64"/>
        <v>51.891891891891888</v>
      </c>
      <c r="S812" s="2">
        <f>[1]RawShipmentData!N819</f>
        <v>1</v>
      </c>
      <c r="T812" s="2" t="str">
        <f>IF(OR(UPPER(TRIM([1]RawShipmentData!O819))="YES",UPPER(TRIM([1]RawShipmentData!O819))="Y"),"Yes","No")</f>
        <v>Yes</v>
      </c>
    </row>
    <row r="813" spans="1:20" x14ac:dyDescent="0.25">
      <c r="A813" s="2" t="str">
        <f>[1]RawShipmentData!A820</f>
        <v>SHP-101101</v>
      </c>
      <c r="B813" s="3">
        <f>IF(ISNUMBER(SEARCH("/",TRIM([1]RawShipmentData!B820))),DATE(VALUE(RIGHT(TRIM([1]RawShipmentData!B820),4)),VALUE(MID(TRIM([1]RawShipmentData!B820),FIND("/",TRIM([1]RawShipmentData!B820))+1,2)),VALUE(LEFT(TRIM([1]RawShipmentData!B820),FIND("/",TRIM([1]RawShipmentData!B820))-1))),DATEVALUE(TRIM([1]RawShipmentData!B820)))</f>
        <v>45439</v>
      </c>
      <c r="C813" s="2" t="str">
        <f>PROPER(TRIM([1]RawShipmentData!C820))</f>
        <v>Bengaluru</v>
      </c>
      <c r="D813" s="2" t="str">
        <f>IFERROR(INDEX([1]HubMaster!$B$2:$B$7,MATCH(C813,[1]HubMaster!$A$2:$A$7,0)),"Unknown")</f>
        <v>South</v>
      </c>
      <c r="E813" s="2" t="str">
        <f>PROPER(TRIM(SUBSTITUTE([1]RawShipmentData!D820,"  "," ")))</f>
        <v>Ecom Express</v>
      </c>
      <c r="F813" s="2" t="str">
        <f>PROPER(TRIM([1]RawShipmentData!E820))</f>
        <v>Air</v>
      </c>
      <c r="G813" s="2" t="str">
        <f>PROPER(TRIM(SUBSTITUTE([1]RawShipmentData!F820,"  "," ")))</f>
        <v>Grocery &amp; Fmcg</v>
      </c>
      <c r="H813" s="2" t="str">
        <f>PROPER(TRIM([1]RawShipmentData!G820))</f>
        <v>West</v>
      </c>
      <c r="I813" s="2" t="str">
        <f t="shared" si="60"/>
        <v>Yes</v>
      </c>
      <c r="J813" s="2">
        <f>IFERROR(VALUE(TRIM(SUBSTITUTE(UPPER([1]RawShipmentData!I813),"KG",""))),"")</f>
        <v>5.5</v>
      </c>
      <c r="K813" s="2">
        <f>VALUE(SUBSTITUTE(SUBSTITUTE(SUBSTITUTE(TRIM([1]RawShipmentData!J820),"₹",""),"Rs",""),",",""))</f>
        <v>903</v>
      </c>
      <c r="L813" s="2">
        <f>[1]RawShipmentData!K820</f>
        <v>4</v>
      </c>
      <c r="M813" s="3">
        <f>IF(TRIM([1]RawShipmentData!L820)="","",IF(ISNUMBER(SEARCH("/",TRIM([1]RawShipmentData!L820))),DATE(VALUE(RIGHT(TRIM([1]RawShipmentData!L820),4)),VALUE(MID(TRIM([1]RawShipmentData!L820),FIND("/",TRIM([1]RawShipmentData!L820))+1,2)),VALUE(LEFT(TRIM([1]RawShipmentData!L820),FIND("/",TRIM([1]RawShipmentData!L820))-1))),DATEVALUE(TRIM([1]RawShipmentData!L820))))</f>
        <v>45442</v>
      </c>
      <c r="N813" s="2">
        <f t="shared" si="61"/>
        <v>3</v>
      </c>
      <c r="O813" s="2">
        <f t="shared" si="62"/>
        <v>-1</v>
      </c>
      <c r="P813" s="2" t="str">
        <f t="shared" si="63"/>
        <v>On Time</v>
      </c>
      <c r="Q813" s="2" t="str">
        <f>PROPER(SUBSTITUTE(TRIM([1]RawShipmentData!M820)," ","-"))</f>
        <v>Damaged</v>
      </c>
      <c r="R813" s="4">
        <f t="shared" si="64"/>
        <v>164.18181818181819</v>
      </c>
      <c r="S813" s="2">
        <f>[1]RawShipmentData!N820</f>
        <v>0</v>
      </c>
      <c r="T813" s="2" t="str">
        <f>IF(OR(UPPER(TRIM([1]RawShipmentData!O820))="YES",UPPER(TRIM([1]RawShipmentData!O820))="Y"),"Yes","No")</f>
        <v>No</v>
      </c>
    </row>
    <row r="814" spans="1:20" x14ac:dyDescent="0.25">
      <c r="A814" s="2" t="str">
        <f>[1]RawShipmentData!A821</f>
        <v>SHP-100152</v>
      </c>
      <c r="B814" s="3">
        <f>IF(ISNUMBER(SEARCH("/",TRIM([1]RawShipmentData!B821))),DATE(VALUE(RIGHT(TRIM([1]RawShipmentData!B821),4)),VALUE(MID(TRIM([1]RawShipmentData!B821),FIND("/",TRIM([1]RawShipmentData!B821))+1,2)),VALUE(LEFT(TRIM([1]RawShipmentData!B821),FIND("/",TRIM([1]RawShipmentData!B821))-1))),DATEVALUE(TRIM([1]RawShipmentData!B821)))</f>
        <v>45358</v>
      </c>
      <c r="C814" s="2" t="str">
        <f>PROPER(TRIM([1]RawShipmentData!C821))</f>
        <v>Bengaluru</v>
      </c>
      <c r="D814" s="2" t="str">
        <f>IFERROR(INDEX([1]HubMaster!$B$2:$B$7,MATCH(C814,[1]HubMaster!$A$2:$A$7,0)),"Unknown")</f>
        <v>South</v>
      </c>
      <c r="E814" s="2" t="str">
        <f>PROPER(TRIM(SUBSTITUTE([1]RawShipmentData!D821,"  "," ")))</f>
        <v>Dtdc</v>
      </c>
      <c r="F814" s="2" t="str">
        <f>PROPER(TRIM([1]RawShipmentData!E821))</f>
        <v>Air</v>
      </c>
      <c r="G814" s="2" t="str">
        <f>PROPER(TRIM(SUBSTITUTE([1]RawShipmentData!F821,"  "," ")))</f>
        <v>Apparel</v>
      </c>
      <c r="H814" s="2" t="str">
        <f>PROPER(TRIM([1]RawShipmentData!G821))</f>
        <v>East</v>
      </c>
      <c r="I814" s="2" t="str">
        <f t="shared" si="60"/>
        <v>Yes</v>
      </c>
      <c r="J814" s="2">
        <f>IFERROR(VALUE(TRIM(SUBSTITUTE(UPPER([1]RawShipmentData!I814),"KG",""))),"")</f>
        <v>4.4000000000000004</v>
      </c>
      <c r="K814" s="2">
        <f>VALUE(SUBSTITUTE(SUBSTITUTE(SUBSTITUTE(TRIM([1]RawShipmentData!J821),"₹",""),"Rs",""),",",""))</f>
        <v>477</v>
      </c>
      <c r="L814" s="2">
        <f>[1]RawShipmentData!K821</f>
        <v>4</v>
      </c>
      <c r="M814" s="3">
        <f>IF(TRIM([1]RawShipmentData!L821)="","",IF(ISNUMBER(SEARCH("/",TRIM([1]RawShipmentData!L821))),DATE(VALUE(RIGHT(TRIM([1]RawShipmentData!L821),4)),VALUE(MID(TRIM([1]RawShipmentData!L821),FIND("/",TRIM([1]RawShipmentData!L821))+1,2)),VALUE(LEFT(TRIM([1]RawShipmentData!L821),FIND("/",TRIM([1]RawShipmentData!L821))-1))),DATEVALUE(TRIM([1]RawShipmentData!L821))))</f>
        <v>45363</v>
      </c>
      <c r="N814" s="2">
        <f t="shared" si="61"/>
        <v>5</v>
      </c>
      <c r="O814" s="2">
        <f t="shared" si="62"/>
        <v>1</v>
      </c>
      <c r="P814" s="2" t="str">
        <f t="shared" si="63"/>
        <v>Late</v>
      </c>
      <c r="Q814" s="2" t="str">
        <f>PROPER(SUBSTITUTE(TRIM([1]RawShipmentData!M821)," ","-"))</f>
        <v>Delayed</v>
      </c>
      <c r="R814" s="4">
        <f t="shared" si="64"/>
        <v>108.40909090909091</v>
      </c>
      <c r="S814" s="2">
        <f>[1]RawShipmentData!N821</f>
        <v>3</v>
      </c>
      <c r="T814" s="2" t="str">
        <f>IF(OR(UPPER(TRIM([1]RawShipmentData!O821))="YES",UPPER(TRIM([1]RawShipmentData!O821))="Y"),"Yes","No")</f>
        <v>No</v>
      </c>
    </row>
    <row r="815" spans="1:20" x14ac:dyDescent="0.25">
      <c r="A815" s="2" t="str">
        <f>[1]RawShipmentData!A822</f>
        <v>SHP-101176</v>
      </c>
      <c r="B815" s="3">
        <f>IF(ISNUMBER(SEARCH("/",TRIM([1]RawShipmentData!B822))),DATE(VALUE(RIGHT(TRIM([1]RawShipmentData!B822),4)),VALUE(MID(TRIM([1]RawShipmentData!B822),FIND("/",TRIM([1]RawShipmentData!B822))+1,2)),VALUE(LEFT(TRIM([1]RawShipmentData!B822),FIND("/",TRIM([1]RawShipmentData!B822))-1))),DATEVALUE(TRIM([1]RawShipmentData!B822)))</f>
        <v>45348</v>
      </c>
      <c r="C815" s="2" t="str">
        <f>PROPER(TRIM([1]RawShipmentData!C822))</f>
        <v>Mumbai</v>
      </c>
      <c r="D815" s="2" t="str">
        <f>IFERROR(INDEX([1]HubMaster!$B$2:$B$7,MATCH(C815,[1]HubMaster!$A$2:$A$7,0)),"Unknown")</f>
        <v>West</v>
      </c>
      <c r="E815" s="2" t="str">
        <f>PROPER(TRIM(SUBSTITUTE([1]RawShipmentData!D822,"  "," ")))</f>
        <v>Dtdc</v>
      </c>
      <c r="F815" s="2" t="str">
        <f>PROPER(TRIM([1]RawShipmentData!E822))</f>
        <v>Air</v>
      </c>
      <c r="G815" s="2" t="str">
        <f>PROPER(TRIM(SUBSTITUTE([1]RawShipmentData!F822,"  "," ")))</f>
        <v>Automotive Parts</v>
      </c>
      <c r="H815" s="2" t="str">
        <f>PROPER(TRIM([1]RawShipmentData!G822))</f>
        <v>North</v>
      </c>
      <c r="I815" s="2" t="str">
        <f t="shared" si="60"/>
        <v>Yes</v>
      </c>
      <c r="J815" s="2">
        <f>IFERROR(VALUE(TRIM(SUBSTITUTE(UPPER([1]RawShipmentData!I815),"KG",""))),"")</f>
        <v>73.099999999999994</v>
      </c>
      <c r="K815" s="2">
        <f>VALUE(SUBSTITUTE(SUBSTITUTE(SUBSTITUTE(TRIM([1]RawShipmentData!J822),"₹",""),"Rs",""),",",""))</f>
        <v>824</v>
      </c>
      <c r="L815" s="2">
        <f>[1]RawShipmentData!K822</f>
        <v>4</v>
      </c>
      <c r="M815" s="3">
        <f>IF(TRIM([1]RawShipmentData!L822)="","",IF(ISNUMBER(SEARCH("/",TRIM([1]RawShipmentData!L822))),DATE(VALUE(RIGHT(TRIM([1]RawShipmentData!L822),4)),VALUE(MID(TRIM([1]RawShipmentData!L822),FIND("/",TRIM([1]RawShipmentData!L822))+1,2)),VALUE(LEFT(TRIM([1]RawShipmentData!L822),FIND("/",TRIM([1]RawShipmentData!L822))-1))),DATEVALUE(TRIM([1]RawShipmentData!L822))))</f>
        <v>45353</v>
      </c>
      <c r="N815" s="2">
        <f t="shared" si="61"/>
        <v>5</v>
      </c>
      <c r="O815" s="2">
        <f t="shared" si="62"/>
        <v>1</v>
      </c>
      <c r="P815" s="2" t="str">
        <f t="shared" si="63"/>
        <v>Late</v>
      </c>
      <c r="Q815" s="2" t="str">
        <f>PROPER(SUBSTITUTE(TRIM([1]RawShipmentData!M822)," ","-"))</f>
        <v>Delayed</v>
      </c>
      <c r="R815" s="4">
        <f t="shared" si="64"/>
        <v>11.272229822161423</v>
      </c>
      <c r="S815" s="2">
        <f>[1]RawShipmentData!N822</f>
        <v>2</v>
      </c>
      <c r="T815" s="2" t="str">
        <f>IF(OR(UPPER(TRIM([1]RawShipmentData!O822))="YES",UPPER(TRIM([1]RawShipmentData!O822))="Y"),"Yes","No")</f>
        <v>Yes</v>
      </c>
    </row>
    <row r="816" spans="1:20" x14ac:dyDescent="0.25">
      <c r="A816" s="2" t="str">
        <f>[1]RawShipmentData!A823</f>
        <v>SHP-100938</v>
      </c>
      <c r="B816" s="3">
        <f>IF(ISNUMBER(SEARCH("/",TRIM([1]RawShipmentData!B823))),DATE(VALUE(RIGHT(TRIM([1]RawShipmentData!B823),4)),VALUE(MID(TRIM([1]RawShipmentData!B823),FIND("/",TRIM([1]RawShipmentData!B823))+1,2)),VALUE(LEFT(TRIM([1]RawShipmentData!B823),FIND("/",TRIM([1]RawShipmentData!B823))-1))),DATEVALUE(TRIM([1]RawShipmentData!B823)))</f>
        <v>45414</v>
      </c>
      <c r="C816" s="2" t="str">
        <f>PROPER(TRIM([1]RawShipmentData!C823))</f>
        <v>Bengaluru</v>
      </c>
      <c r="D816" s="2" t="str">
        <f>IFERROR(INDEX([1]HubMaster!$B$2:$B$7,MATCH(C816,[1]HubMaster!$A$2:$A$7,0)),"Unknown")</f>
        <v>South</v>
      </c>
      <c r="E816" s="2" t="str">
        <f>PROPER(TRIM(SUBSTITUTE([1]RawShipmentData!D823,"  "," ")))</f>
        <v>Ecom Express</v>
      </c>
      <c r="F816" s="2" t="str">
        <f>PROPER(TRIM([1]RawShipmentData!E823))</f>
        <v>Air</v>
      </c>
      <c r="G816" s="2" t="str">
        <f>PROPER(TRIM(SUBSTITUTE([1]RawShipmentData!F823,"  "," ")))</f>
        <v>Furniture</v>
      </c>
      <c r="H816" s="2" t="str">
        <f>PROPER(TRIM([1]RawShipmentData!G823))</f>
        <v>North</v>
      </c>
      <c r="I816" s="2" t="str">
        <f t="shared" si="60"/>
        <v>Yes</v>
      </c>
      <c r="J816" s="2">
        <f>IFERROR(VALUE(TRIM(SUBSTITUTE(UPPER([1]RawShipmentData!I816),"KG",""))),"")</f>
        <v>26.7</v>
      </c>
      <c r="K816" s="2">
        <f>VALUE(SUBSTITUTE(SUBSTITUTE(SUBSTITUTE(TRIM([1]RawShipmentData!J823),"₹",""),"Rs",""),",",""))</f>
        <v>2222</v>
      </c>
      <c r="L816" s="2">
        <f>[1]RawShipmentData!K823</f>
        <v>4</v>
      </c>
      <c r="M816" s="3">
        <f>IF(TRIM([1]RawShipmentData!L823)="","",IF(ISNUMBER(SEARCH("/",TRIM([1]RawShipmentData!L823))),DATE(VALUE(RIGHT(TRIM([1]RawShipmentData!L823),4)),VALUE(MID(TRIM([1]RawShipmentData!L823),FIND("/",TRIM([1]RawShipmentData!L823))+1,2)),VALUE(LEFT(TRIM([1]RawShipmentData!L823),FIND("/",TRIM([1]RawShipmentData!L823))-1))),DATEVALUE(TRIM([1]RawShipmentData!L823))))</f>
        <v>45419</v>
      </c>
      <c r="N816" s="2">
        <f t="shared" si="61"/>
        <v>5</v>
      </c>
      <c r="O816" s="2">
        <f t="shared" si="62"/>
        <v>1</v>
      </c>
      <c r="P816" s="2" t="str">
        <f t="shared" si="63"/>
        <v>Late</v>
      </c>
      <c r="Q816" s="2" t="str">
        <f>PROPER(SUBSTITUTE(TRIM([1]RawShipmentData!M823)," ","-"))</f>
        <v>Delayed</v>
      </c>
      <c r="R816" s="4">
        <f t="shared" si="64"/>
        <v>83.220973782771537</v>
      </c>
      <c r="S816" s="2">
        <f>[1]RawShipmentData!N823</f>
        <v>2</v>
      </c>
      <c r="T816" s="2" t="str">
        <f>IF(OR(UPPER(TRIM([1]RawShipmentData!O823))="YES",UPPER(TRIM([1]RawShipmentData!O823))="Y"),"Yes","No")</f>
        <v>No</v>
      </c>
    </row>
    <row r="817" spans="1:20" x14ac:dyDescent="0.25">
      <c r="A817" s="2" t="str">
        <f>[1]RawShipmentData!A824</f>
        <v>SHP-101554</v>
      </c>
      <c r="B817" s="3">
        <f>IF(ISNUMBER(SEARCH("/",TRIM([1]RawShipmentData!B824))),DATE(VALUE(RIGHT(TRIM([1]RawShipmentData!B824),4)),VALUE(MID(TRIM([1]RawShipmentData!B824),FIND("/",TRIM([1]RawShipmentData!B824))+1,2)),VALUE(LEFT(TRIM([1]RawShipmentData!B824),FIND("/",TRIM([1]RawShipmentData!B824))-1))),DATEVALUE(TRIM([1]RawShipmentData!B824)))</f>
        <v>45414</v>
      </c>
      <c r="C817" s="2" t="str">
        <f>PROPER(TRIM([1]RawShipmentData!C824))</f>
        <v>Bengaluru</v>
      </c>
      <c r="D817" s="2" t="str">
        <f>IFERROR(INDEX([1]HubMaster!$B$2:$B$7,MATCH(C817,[1]HubMaster!$A$2:$A$7,0)),"Unknown")</f>
        <v>South</v>
      </c>
      <c r="E817" s="2" t="str">
        <f>PROPER(TRIM(SUBSTITUTE([1]RawShipmentData!D824,"  "," ")))</f>
        <v>Xpressbees</v>
      </c>
      <c r="F817" s="2" t="str">
        <f>PROPER(TRIM([1]RawShipmentData!E824))</f>
        <v>Air</v>
      </c>
      <c r="G817" s="2" t="str">
        <f>PROPER(TRIM(SUBSTITUTE([1]RawShipmentData!F824,"  "," ")))</f>
        <v>Automotive Parts</v>
      </c>
      <c r="H817" s="2" t="str">
        <f>PROPER(TRIM([1]RawShipmentData!G824))</f>
        <v>North</v>
      </c>
      <c r="I817" s="2" t="str">
        <f t="shared" si="60"/>
        <v>Yes</v>
      </c>
      <c r="J817" s="2">
        <f>IFERROR(VALUE(TRIM(SUBSTITUTE(UPPER([1]RawShipmentData!I817),"KG",""))),"")</f>
        <v>16.399999999999999</v>
      </c>
      <c r="K817" s="2">
        <f>VALUE(SUBSTITUTE(SUBSTITUTE(SUBSTITUTE(TRIM([1]RawShipmentData!J824),"₹",""),"Rs",""),",",""))</f>
        <v>595</v>
      </c>
      <c r="L817" s="2">
        <f>[1]RawShipmentData!K824</f>
        <v>4</v>
      </c>
      <c r="M817" s="3">
        <f>IF(TRIM([1]RawShipmentData!L824)="","",IF(ISNUMBER(SEARCH("/",TRIM([1]RawShipmentData!L824))),DATE(VALUE(RIGHT(TRIM([1]RawShipmentData!L824),4)),VALUE(MID(TRIM([1]RawShipmentData!L824),FIND("/",TRIM([1]RawShipmentData!L824))+1,2)),VALUE(LEFT(TRIM([1]RawShipmentData!L824),FIND("/",TRIM([1]RawShipmentData!L824))-1))),DATEVALUE(TRIM([1]RawShipmentData!L824))))</f>
        <v>45419</v>
      </c>
      <c r="N817" s="2">
        <f t="shared" si="61"/>
        <v>5</v>
      </c>
      <c r="O817" s="2">
        <f t="shared" si="62"/>
        <v>1</v>
      </c>
      <c r="P817" s="2" t="str">
        <f t="shared" si="63"/>
        <v>Late</v>
      </c>
      <c r="Q817" s="2" t="str">
        <f>PROPER(SUBSTITUTE(TRIM([1]RawShipmentData!M824)," ","-"))</f>
        <v>Delayed</v>
      </c>
      <c r="R817" s="4">
        <f t="shared" si="64"/>
        <v>36.280487804878049</v>
      </c>
      <c r="S817" s="2">
        <f>[1]RawShipmentData!N824</f>
        <v>4</v>
      </c>
      <c r="T817" s="2" t="str">
        <f>IF(OR(UPPER(TRIM([1]RawShipmentData!O824))="YES",UPPER(TRIM([1]RawShipmentData!O824))="Y"),"Yes","No")</f>
        <v>No</v>
      </c>
    </row>
    <row r="818" spans="1:20" x14ac:dyDescent="0.25">
      <c r="A818" s="2" t="str">
        <f>[1]RawShipmentData!A825</f>
        <v>SHP-100572</v>
      </c>
      <c r="B818" s="3">
        <f>IF(ISNUMBER(SEARCH("/",TRIM([1]RawShipmentData!B825))),DATE(VALUE(RIGHT(TRIM([1]RawShipmentData!B825),4)),VALUE(MID(TRIM([1]RawShipmentData!B825),FIND("/",TRIM([1]RawShipmentData!B825))+1,2)),VALUE(LEFT(TRIM([1]RawShipmentData!B825),FIND("/",TRIM([1]RawShipmentData!B825))-1))),DATEVALUE(TRIM([1]RawShipmentData!B825)))</f>
        <v>45427</v>
      </c>
      <c r="C818" s="2" t="str">
        <f>PROPER(TRIM([1]RawShipmentData!C825))</f>
        <v>Hyderabad</v>
      </c>
      <c r="D818" s="2" t="str">
        <f>IFERROR(INDEX([1]HubMaster!$B$2:$B$7,MATCH(C818,[1]HubMaster!$A$2:$A$7,0)),"Unknown")</f>
        <v>West</v>
      </c>
      <c r="E818" s="2" t="str">
        <f>PROPER(TRIM(SUBSTITUTE([1]RawShipmentData!D825,"  "," ")))</f>
        <v>Dtdc</v>
      </c>
      <c r="F818" s="2" t="str">
        <f>PROPER(TRIM([1]RawShipmentData!E825))</f>
        <v>Surface</v>
      </c>
      <c r="G818" s="2" t="str">
        <f>PROPER(TRIM(SUBSTITUTE([1]RawShipmentData!F825,"  "," ")))</f>
        <v>Apparel</v>
      </c>
      <c r="H818" s="2" t="str">
        <f>PROPER(TRIM([1]RawShipmentData!G825))</f>
        <v>East</v>
      </c>
      <c r="I818" s="2" t="str">
        <f t="shared" si="60"/>
        <v>Yes</v>
      </c>
      <c r="J818" s="2">
        <f>IFERROR(VALUE(TRIM(SUBSTITUTE(UPPER([1]RawShipmentData!I818),"KG",""))),"")</f>
        <v>1.5</v>
      </c>
      <c r="K818" s="2">
        <f>VALUE(SUBSTITUTE(SUBSTITUTE(SUBSTITUTE(TRIM([1]RawShipmentData!J825),"₹",""),"Rs",""),",",""))</f>
        <v>265</v>
      </c>
      <c r="L818" s="2">
        <f>[1]RawShipmentData!K825</f>
        <v>6</v>
      </c>
      <c r="M818" s="3">
        <f>IF(TRIM([1]RawShipmentData!L825)="","",IF(ISNUMBER(SEARCH("/",TRIM([1]RawShipmentData!L825))),DATE(VALUE(RIGHT(TRIM([1]RawShipmentData!L825),4)),VALUE(MID(TRIM([1]RawShipmentData!L825),FIND("/",TRIM([1]RawShipmentData!L825))+1,2)),VALUE(LEFT(TRIM([1]RawShipmentData!L825),FIND("/",TRIM([1]RawShipmentData!L825))-1))),DATEVALUE(TRIM([1]RawShipmentData!L825))))</f>
        <v>45434</v>
      </c>
      <c r="N818" s="2">
        <f t="shared" si="61"/>
        <v>7</v>
      </c>
      <c r="O818" s="2">
        <f t="shared" si="62"/>
        <v>1</v>
      </c>
      <c r="P818" s="2" t="str">
        <f t="shared" si="63"/>
        <v>Late</v>
      </c>
      <c r="Q818" s="2" t="str">
        <f>PROPER(SUBSTITUTE(TRIM([1]RawShipmentData!M825)," ","-"))</f>
        <v>Delayed</v>
      </c>
      <c r="R818" s="4">
        <f t="shared" si="64"/>
        <v>176.66666666666666</v>
      </c>
      <c r="S818" s="2">
        <f>[1]RawShipmentData!N825</f>
        <v>1</v>
      </c>
      <c r="T818" s="2" t="str">
        <f>IF(OR(UPPER(TRIM([1]RawShipmentData!O825))="YES",UPPER(TRIM([1]RawShipmentData!O825))="Y"),"Yes","No")</f>
        <v>No</v>
      </c>
    </row>
    <row r="819" spans="1:20" x14ac:dyDescent="0.25">
      <c r="A819" s="2" t="str">
        <f>[1]RawShipmentData!A827</f>
        <v>SHP-100435</v>
      </c>
      <c r="B819" s="3">
        <f>IF(ISNUMBER(SEARCH("/",TRIM([1]RawShipmentData!B827))),DATE(VALUE(RIGHT(TRIM([1]RawShipmentData!B827),4)),VALUE(MID(TRIM([1]RawShipmentData!B827),FIND("/",TRIM([1]RawShipmentData!B827))+1,2)),VALUE(LEFT(TRIM([1]RawShipmentData!B827),FIND("/",TRIM([1]RawShipmentData!B827))-1))),DATEVALUE(TRIM([1]RawShipmentData!B827)))</f>
        <v>45355</v>
      </c>
      <c r="C819" s="2" t="str">
        <f>PROPER(TRIM([1]RawShipmentData!C827))</f>
        <v>Delhi</v>
      </c>
      <c r="D819" s="2" t="str">
        <f>IFERROR(INDEX([1]HubMaster!$B$2:$B$7,MATCH(C819,[1]HubMaster!$A$2:$A$7,0)),"Unknown")</f>
        <v>North</v>
      </c>
      <c r="E819" s="2" t="str">
        <f>PROPER(TRIM(SUBSTITUTE([1]RawShipmentData!D827,"  "," ")))</f>
        <v>Delhivery</v>
      </c>
      <c r="F819" s="2" t="str">
        <f>PROPER(TRIM([1]RawShipmentData!E827))</f>
        <v>Surface</v>
      </c>
      <c r="G819" s="2" t="str">
        <f>PROPER(TRIM(SUBSTITUTE([1]RawShipmentData!F827,"  "," ")))</f>
        <v>Electronics</v>
      </c>
      <c r="H819" s="2" t="str">
        <f>PROPER(TRIM([1]RawShipmentData!G827))</f>
        <v>East</v>
      </c>
      <c r="I819" s="2" t="str">
        <f t="shared" si="60"/>
        <v>Yes</v>
      </c>
      <c r="J819" s="2">
        <f>IFERROR(VALUE(TRIM(SUBSTITUTE(UPPER([1]RawShipmentData!I819),"KG",""))),"")</f>
        <v>0.9</v>
      </c>
      <c r="K819" s="2">
        <f>VALUE(SUBSTITUTE(SUBSTITUTE(SUBSTITUTE(TRIM([1]RawShipmentData!J827),"₹",""),"Rs",""),",",""))</f>
        <v>391</v>
      </c>
      <c r="L819" s="2">
        <f>[1]RawShipmentData!K827</f>
        <v>6</v>
      </c>
      <c r="M819" s="3">
        <f>IF(TRIM([1]RawShipmentData!L827)="","",IF(ISNUMBER(SEARCH("/",TRIM([1]RawShipmentData!L827))),DATE(VALUE(RIGHT(TRIM([1]RawShipmentData!L827),4)),VALUE(MID(TRIM([1]RawShipmentData!L827),FIND("/",TRIM([1]RawShipmentData!L827))+1,2)),VALUE(LEFT(TRIM([1]RawShipmentData!L827),FIND("/",TRIM([1]RawShipmentData!L827))-1))),DATEVALUE(TRIM([1]RawShipmentData!L827))))</f>
        <v>45365</v>
      </c>
      <c r="N819" s="2">
        <f t="shared" si="61"/>
        <v>10</v>
      </c>
      <c r="O819" s="2">
        <f t="shared" si="62"/>
        <v>4</v>
      </c>
      <c r="P819" s="2" t="str">
        <f t="shared" si="63"/>
        <v>Late</v>
      </c>
      <c r="Q819" s="2" t="str">
        <f>PROPER(SUBSTITUTE(TRIM([1]RawShipmentData!M827)," ","-"))</f>
        <v>Delayed</v>
      </c>
      <c r="R819" s="4">
        <f t="shared" si="64"/>
        <v>434.44444444444446</v>
      </c>
      <c r="S819" s="2">
        <f>[1]RawShipmentData!N827</f>
        <v>5</v>
      </c>
      <c r="T819" s="2" t="str">
        <f>IF(OR(UPPER(TRIM([1]RawShipmentData!O827))="YES",UPPER(TRIM([1]RawShipmentData!O827))="Y"),"Yes","No")</f>
        <v>No</v>
      </c>
    </row>
    <row r="820" spans="1:20" x14ac:dyDescent="0.25">
      <c r="A820" s="2" t="str">
        <f>[1]RawShipmentData!A828</f>
        <v>SHP-100382</v>
      </c>
      <c r="B820" s="3">
        <f>IF(ISNUMBER(SEARCH("/",TRIM([1]RawShipmentData!B828))),DATE(VALUE(RIGHT(TRIM([1]RawShipmentData!B828),4)),VALUE(MID(TRIM([1]RawShipmentData!B828),FIND("/",TRIM([1]RawShipmentData!B828))+1,2)),VALUE(LEFT(TRIM([1]RawShipmentData!B828),FIND("/",TRIM([1]RawShipmentData!B828))-1))),DATEVALUE(TRIM([1]RawShipmentData!B828)))</f>
        <v>45425</v>
      </c>
      <c r="C820" s="2" t="str">
        <f>PROPER(TRIM([1]RawShipmentData!C828))</f>
        <v>Hyderabad</v>
      </c>
      <c r="D820" s="2" t="str">
        <f>IFERROR(INDEX([1]HubMaster!$B$2:$B$7,MATCH(C820,[1]HubMaster!$A$2:$A$7,0)),"Unknown")</f>
        <v>West</v>
      </c>
      <c r="E820" s="2" t="str">
        <f>PROPER(TRIM(SUBSTITUTE([1]RawShipmentData!D828,"  "," ")))</f>
        <v>Ecom Express</v>
      </c>
      <c r="F820" s="2" t="str">
        <f>PROPER(TRIM([1]RawShipmentData!E828))</f>
        <v>Road</v>
      </c>
      <c r="G820" s="2" t="str">
        <f>PROPER(TRIM(SUBSTITUTE([1]RawShipmentData!F828,"  "," ")))</f>
        <v>Furniture</v>
      </c>
      <c r="H820" s="2" t="str">
        <f>PROPER(TRIM([1]RawShipmentData!G828))</f>
        <v>East</v>
      </c>
      <c r="I820" s="2" t="str">
        <f t="shared" si="60"/>
        <v>Yes</v>
      </c>
      <c r="J820" s="2">
        <f>IFERROR(VALUE(TRIM(SUBSTITUTE(UPPER([1]RawShipmentData!I820),"KG",""))),"")</f>
        <v>16.899999999999999</v>
      </c>
      <c r="K820" s="2">
        <f>VALUE(SUBSTITUTE(SUBSTITUTE(SUBSTITUTE(TRIM([1]RawShipmentData!J828),"₹",""),"Rs",""),",",""))</f>
        <v>1030</v>
      </c>
      <c r="L820" s="2">
        <f>[1]RawShipmentData!K828</f>
        <v>8</v>
      </c>
      <c r="M820" s="3">
        <f>IF(TRIM([1]RawShipmentData!L828)="","",IF(ISNUMBER(SEARCH("/",TRIM([1]RawShipmentData!L828))),DATE(VALUE(RIGHT(TRIM([1]RawShipmentData!L828),4)),VALUE(MID(TRIM([1]RawShipmentData!L828),FIND("/",TRIM([1]RawShipmentData!L828))+1,2)),VALUE(LEFT(TRIM([1]RawShipmentData!L828),FIND("/",TRIM([1]RawShipmentData!L828))-1))),DATEVALUE(TRIM([1]RawShipmentData!L828))))</f>
        <v>45434</v>
      </c>
      <c r="N820" s="2">
        <f t="shared" si="61"/>
        <v>9</v>
      </c>
      <c r="O820" s="2">
        <f t="shared" si="62"/>
        <v>1</v>
      </c>
      <c r="P820" s="2" t="str">
        <f t="shared" si="63"/>
        <v>Late</v>
      </c>
      <c r="Q820" s="2" t="str">
        <f>PROPER(SUBSTITUTE(TRIM([1]RawShipmentData!M828)," ","-"))</f>
        <v>Delayed</v>
      </c>
      <c r="R820" s="4">
        <f t="shared" si="64"/>
        <v>60.946745562130182</v>
      </c>
      <c r="S820" s="2">
        <f>[1]RawShipmentData!N828</f>
        <v>1</v>
      </c>
      <c r="T820" s="2" t="str">
        <f>IF(OR(UPPER(TRIM([1]RawShipmentData!O828))="YES",UPPER(TRIM([1]RawShipmentData!O828))="Y"),"Yes","No")</f>
        <v>No</v>
      </c>
    </row>
    <row r="821" spans="1:20" x14ac:dyDescent="0.25">
      <c r="A821" s="2" t="str">
        <f>[1]RawShipmentData!A829</f>
        <v>SHP-100137</v>
      </c>
      <c r="B821" s="3">
        <f>IF(ISNUMBER(SEARCH("/",TRIM([1]RawShipmentData!B829))),DATE(VALUE(RIGHT(TRIM([1]RawShipmentData!B829),4)),VALUE(MID(TRIM([1]RawShipmentData!B829),FIND("/",TRIM([1]RawShipmentData!B829))+1,2)),VALUE(LEFT(TRIM([1]RawShipmentData!B829),FIND("/",TRIM([1]RawShipmentData!B829))-1))),DATEVALUE(TRIM([1]RawShipmentData!B829)))</f>
        <v>45414</v>
      </c>
      <c r="C821" s="2" t="str">
        <f>PROPER(TRIM([1]RawShipmentData!C829))</f>
        <v>Bengaluru</v>
      </c>
      <c r="D821" s="2" t="str">
        <f>IFERROR(INDEX([1]HubMaster!$B$2:$B$7,MATCH(C821,[1]HubMaster!$A$2:$A$7,0)),"Unknown")</f>
        <v>South</v>
      </c>
      <c r="E821" s="2" t="str">
        <f>PROPER(TRIM(SUBSTITUTE([1]RawShipmentData!D829,"  "," ")))</f>
        <v>Ecom Express</v>
      </c>
      <c r="F821" s="2" t="str">
        <f>PROPER(TRIM([1]RawShipmentData!E829))</f>
        <v>Road</v>
      </c>
      <c r="G821" s="2" t="str">
        <f>PROPER(TRIM(SUBSTITUTE([1]RawShipmentData!F829,"  "," ")))</f>
        <v>Grocery &amp; Fmcg</v>
      </c>
      <c r="H821" s="2" t="str">
        <f>PROPER(TRIM([1]RawShipmentData!G829))</f>
        <v>West</v>
      </c>
      <c r="I821" s="2" t="str">
        <f t="shared" si="60"/>
        <v>Yes</v>
      </c>
      <c r="J821" s="2">
        <f>IFERROR(VALUE(TRIM(SUBSTITUTE(UPPER([1]RawShipmentData!I821),"KG",""))),"")</f>
        <v>6.5</v>
      </c>
      <c r="K821" s="2">
        <f>VALUE(SUBSTITUTE(SUBSTITUTE(SUBSTITUTE(TRIM([1]RawShipmentData!J829),"₹",""),"Rs",""),",",""))</f>
        <v>295</v>
      </c>
      <c r="L821" s="2">
        <f>[1]RawShipmentData!K829</f>
        <v>8</v>
      </c>
      <c r="M821" s="3">
        <f>IF(TRIM([1]RawShipmentData!L829)="","",IF(ISNUMBER(SEARCH("/",TRIM([1]RawShipmentData!L829))),DATE(VALUE(RIGHT(TRIM([1]RawShipmentData!L829),4)),VALUE(MID(TRIM([1]RawShipmentData!L829),FIND("/",TRIM([1]RawShipmentData!L829))+1,2)),VALUE(LEFT(TRIM([1]RawShipmentData!L829),FIND("/",TRIM([1]RawShipmentData!L829))-1))),DATEVALUE(TRIM([1]RawShipmentData!L829))))</f>
        <v>45424</v>
      </c>
      <c r="N821" s="2">
        <f t="shared" si="61"/>
        <v>10</v>
      </c>
      <c r="O821" s="2">
        <f t="shared" si="62"/>
        <v>2</v>
      </c>
      <c r="P821" s="2" t="str">
        <f t="shared" si="63"/>
        <v>Late</v>
      </c>
      <c r="Q821" s="2" t="str">
        <f>PROPER(SUBSTITUTE(TRIM([1]RawShipmentData!M829)," ","-"))</f>
        <v>Delayed</v>
      </c>
      <c r="R821" s="4">
        <f t="shared" si="64"/>
        <v>45.384615384615387</v>
      </c>
      <c r="S821" s="2">
        <f>[1]RawShipmentData!N829</f>
        <v>2</v>
      </c>
      <c r="T821" s="2" t="str">
        <f>IF(OR(UPPER(TRIM([1]RawShipmentData!O829))="YES",UPPER(TRIM([1]RawShipmentData!O829))="Y"),"Yes","No")</f>
        <v>Yes</v>
      </c>
    </row>
    <row r="822" spans="1:20" x14ac:dyDescent="0.25">
      <c r="A822" s="2" t="str">
        <f>[1]RawShipmentData!A830</f>
        <v>SHP-101370</v>
      </c>
      <c r="B822" s="3">
        <f>IF(ISNUMBER(SEARCH("/",TRIM([1]RawShipmentData!B830))),DATE(VALUE(RIGHT(TRIM([1]RawShipmentData!B830),4)),VALUE(MID(TRIM([1]RawShipmentData!B830),FIND("/",TRIM([1]RawShipmentData!B830))+1,2)),VALUE(LEFT(TRIM([1]RawShipmentData!B830),FIND("/",TRIM([1]RawShipmentData!B830))-1))),DATEVALUE(TRIM([1]RawShipmentData!B830)))</f>
        <v>45294</v>
      </c>
      <c r="C822" s="2" t="str">
        <f>PROPER(TRIM([1]RawShipmentData!C830))</f>
        <v>Chennai</v>
      </c>
      <c r="D822" s="2" t="str">
        <f>IFERROR(INDEX([1]HubMaster!$B$2:$B$7,MATCH(C822,[1]HubMaster!$A$2:$A$7,0)),"Unknown")</f>
        <v>South</v>
      </c>
      <c r="E822" s="2" t="str">
        <f>PROPER(TRIM(SUBSTITUTE([1]RawShipmentData!D830,"  "," ")))</f>
        <v>Xpressbees</v>
      </c>
      <c r="F822" s="2" t="str">
        <f>PROPER(TRIM([1]RawShipmentData!E830))</f>
        <v>Road</v>
      </c>
      <c r="G822" s="2" t="str">
        <f>PROPER(TRIM(SUBSTITUTE([1]RawShipmentData!F830,"  "," ")))</f>
        <v>Grocery &amp; Fmcg</v>
      </c>
      <c r="H822" s="2" t="str">
        <f>PROPER(TRIM([1]RawShipmentData!G830))</f>
        <v>East</v>
      </c>
      <c r="I822" s="2" t="str">
        <f t="shared" si="60"/>
        <v>Yes</v>
      </c>
      <c r="J822" s="2">
        <f>IFERROR(VALUE(TRIM(SUBSTITUTE(UPPER([1]RawShipmentData!I822),"KG",""))),"")</f>
        <v>14.1</v>
      </c>
      <c r="K822" s="2">
        <f>VALUE(SUBSTITUTE(SUBSTITUTE(SUBSTITUTE(TRIM([1]RawShipmentData!J830),"₹",""),"Rs",""),",",""))</f>
        <v>306</v>
      </c>
      <c r="L822" s="2">
        <f>[1]RawShipmentData!K830</f>
        <v>8</v>
      </c>
      <c r="M822" s="3">
        <f>IF(TRIM([1]RawShipmentData!L830)="","",IF(ISNUMBER(SEARCH("/",TRIM([1]RawShipmentData!L830))),DATE(VALUE(RIGHT(TRIM([1]RawShipmentData!L830),4)),VALUE(MID(TRIM([1]RawShipmentData!L830),FIND("/",TRIM([1]RawShipmentData!L830))+1,2)),VALUE(LEFT(TRIM([1]RawShipmentData!L830),FIND("/",TRIM([1]RawShipmentData!L830))-1))),DATEVALUE(TRIM([1]RawShipmentData!L830))))</f>
        <v>45303</v>
      </c>
      <c r="N822" s="2">
        <f t="shared" si="61"/>
        <v>9</v>
      </c>
      <c r="O822" s="2">
        <f t="shared" si="62"/>
        <v>1</v>
      </c>
      <c r="P822" s="2" t="str">
        <f t="shared" si="63"/>
        <v>Late</v>
      </c>
      <c r="Q822" s="2" t="str">
        <f>PROPER(SUBSTITUTE(TRIM([1]RawShipmentData!M830)," ","-"))</f>
        <v>Delayed</v>
      </c>
      <c r="R822" s="4">
        <f t="shared" si="64"/>
        <v>21.702127659574469</v>
      </c>
      <c r="S822" s="2">
        <f>[1]RawShipmentData!N830</f>
        <v>1</v>
      </c>
      <c r="T822" s="2" t="str">
        <f>IF(OR(UPPER(TRIM([1]RawShipmentData!O830))="YES",UPPER(TRIM([1]RawShipmentData!O830))="Y"),"Yes","No")</f>
        <v>No</v>
      </c>
    </row>
    <row r="823" spans="1:20" x14ac:dyDescent="0.25">
      <c r="A823" s="2" t="str">
        <f>[1]RawShipmentData!A831</f>
        <v>SHP-101079</v>
      </c>
      <c r="B823" s="3">
        <f>IF(ISNUMBER(SEARCH("/",TRIM([1]RawShipmentData!B831))),DATE(VALUE(RIGHT(TRIM([1]RawShipmentData!B831),4)),VALUE(MID(TRIM([1]RawShipmentData!B831),FIND("/",TRIM([1]RawShipmentData!B831))+1,2)),VALUE(LEFT(TRIM([1]RawShipmentData!B831),FIND("/",TRIM([1]RawShipmentData!B831))-1))),DATEVALUE(TRIM([1]RawShipmentData!B831)))</f>
        <v>45407</v>
      </c>
      <c r="C823" s="2" t="str">
        <f>PROPER(TRIM([1]RawShipmentData!C831))</f>
        <v>Kolkata</v>
      </c>
      <c r="D823" s="2" t="str">
        <f>IFERROR(INDEX([1]HubMaster!$B$2:$B$7,MATCH(C823,[1]HubMaster!$A$2:$A$7,0)),"Unknown")</f>
        <v>East</v>
      </c>
      <c r="E823" s="2" t="str">
        <f>PROPER(TRIM(SUBSTITUTE([1]RawShipmentData!D831,"  "," ")))</f>
        <v>Xpress Bees</v>
      </c>
      <c r="F823" s="2" t="str">
        <f>PROPER(TRIM([1]RawShipmentData!E831))</f>
        <v>Surface</v>
      </c>
      <c r="G823" s="2" t="str">
        <f>PROPER(TRIM(SUBSTITUTE([1]RawShipmentData!F831,"  "," ")))</f>
        <v>Automotive Parts</v>
      </c>
      <c r="H823" s="2" t="str">
        <f>PROPER(TRIM([1]RawShipmentData!G831))</f>
        <v>South</v>
      </c>
      <c r="I823" s="2" t="str">
        <f t="shared" si="60"/>
        <v>Yes</v>
      </c>
      <c r="J823" s="2">
        <f>IFERROR(VALUE(TRIM(SUBSTITUTE(UPPER([1]RawShipmentData!I823),"KG",""))),"")</f>
        <v>46</v>
      </c>
      <c r="K823" s="2">
        <f>VALUE(SUBSTITUTE(SUBSTITUTE(SUBSTITUTE(TRIM([1]RawShipmentData!J831),"₹",""),"Rs",""),",",""))</f>
        <v>443</v>
      </c>
      <c r="L823" s="2">
        <f>[1]RawShipmentData!K831</f>
        <v>6</v>
      </c>
      <c r="M823" s="3">
        <f>IF(TRIM([1]RawShipmentData!L831)="","",IF(ISNUMBER(SEARCH("/",TRIM([1]RawShipmentData!L831))),DATE(VALUE(RIGHT(TRIM([1]RawShipmentData!L831),4)),VALUE(MID(TRIM([1]RawShipmentData!L831),FIND("/",TRIM([1]RawShipmentData!L831))+1,2)),VALUE(LEFT(TRIM([1]RawShipmentData!L831),FIND("/",TRIM([1]RawShipmentData!L831))-1))),DATEVALUE(TRIM([1]RawShipmentData!L831))))</f>
        <v>45414</v>
      </c>
      <c r="N823" s="2">
        <f t="shared" si="61"/>
        <v>7</v>
      </c>
      <c r="O823" s="2">
        <f t="shared" si="62"/>
        <v>1</v>
      </c>
      <c r="P823" s="2" t="str">
        <f t="shared" si="63"/>
        <v>Late</v>
      </c>
      <c r="Q823" s="2" t="str">
        <f>PROPER(SUBSTITUTE(TRIM([1]RawShipmentData!M831)," ","-"))</f>
        <v>Delayed</v>
      </c>
      <c r="R823" s="4">
        <f t="shared" si="64"/>
        <v>9.6304347826086953</v>
      </c>
      <c r="S823" s="2">
        <f>[1]RawShipmentData!N831</f>
        <v>2</v>
      </c>
      <c r="T823" s="2" t="str">
        <f>IF(OR(UPPER(TRIM([1]RawShipmentData!O831))="YES",UPPER(TRIM([1]RawShipmentData!O831))="Y"),"Yes","No")</f>
        <v>No</v>
      </c>
    </row>
    <row r="824" spans="1:20" x14ac:dyDescent="0.25">
      <c r="A824" s="2" t="str">
        <f>[1]RawShipmentData!A832</f>
        <v>SHP-100279</v>
      </c>
      <c r="B824" s="3">
        <f>IF(ISNUMBER(SEARCH("/",TRIM([1]RawShipmentData!B832))),DATE(VALUE(RIGHT(TRIM([1]RawShipmentData!B832),4)),VALUE(MID(TRIM([1]RawShipmentData!B832),FIND("/",TRIM([1]RawShipmentData!B832))+1,2)),VALUE(LEFT(TRIM([1]RawShipmentData!B832),FIND("/",TRIM([1]RawShipmentData!B832))-1))),DATEVALUE(TRIM([1]RawShipmentData!B832)))</f>
        <v>45332</v>
      </c>
      <c r="C824" s="2" t="str">
        <f>PROPER(TRIM([1]RawShipmentData!C832))</f>
        <v>Bengaluru</v>
      </c>
      <c r="D824" s="2" t="str">
        <f>IFERROR(INDEX([1]HubMaster!$B$2:$B$7,MATCH(C824,[1]HubMaster!$A$2:$A$7,0)),"Unknown")</f>
        <v>South</v>
      </c>
      <c r="E824" s="2" t="str">
        <f>PROPER(TRIM(SUBSTITUTE([1]RawShipmentData!D832,"  "," ")))</f>
        <v>Xpress Bees</v>
      </c>
      <c r="F824" s="2" t="str">
        <f>PROPER(TRIM([1]RawShipmentData!E832))</f>
        <v>Air</v>
      </c>
      <c r="G824" s="2" t="str">
        <f>PROPER(TRIM(SUBSTITUTE([1]RawShipmentData!F832,"  "," ")))</f>
        <v>Pharma</v>
      </c>
      <c r="H824" s="2" t="str">
        <f>PROPER(TRIM([1]RawShipmentData!G832))</f>
        <v>South</v>
      </c>
      <c r="I824" s="2" t="str">
        <f t="shared" si="60"/>
        <v>No</v>
      </c>
      <c r="J824" s="2">
        <f>IFERROR(VALUE(TRIM(SUBSTITUTE(UPPER([1]RawShipmentData!I824),"KG",""))),"")</f>
        <v>9.9</v>
      </c>
      <c r="K824" s="2">
        <f>VALUE(SUBSTITUTE(SUBSTITUTE(SUBSTITUTE(TRIM([1]RawShipmentData!J832),"₹",""),"Rs",""),",",""))</f>
        <v>198</v>
      </c>
      <c r="L824" s="2">
        <f>[1]RawShipmentData!K832</f>
        <v>2</v>
      </c>
      <c r="M824" s="3">
        <f>IF(TRIM([1]RawShipmentData!L832)="","",IF(ISNUMBER(SEARCH("/",TRIM([1]RawShipmentData!L832))),DATE(VALUE(RIGHT(TRIM([1]RawShipmentData!L832),4)),VALUE(MID(TRIM([1]RawShipmentData!L832),FIND("/",TRIM([1]RawShipmentData!L832))+1,2)),VALUE(LEFT(TRIM([1]RawShipmentData!L832),FIND("/",TRIM([1]RawShipmentData!L832))-1))),DATEVALUE(TRIM([1]RawShipmentData!L832))))</f>
        <v>45335</v>
      </c>
      <c r="N824" s="2">
        <f t="shared" si="61"/>
        <v>3</v>
      </c>
      <c r="O824" s="2">
        <f t="shared" si="62"/>
        <v>1</v>
      </c>
      <c r="P824" s="2" t="str">
        <f t="shared" si="63"/>
        <v>Late</v>
      </c>
      <c r="Q824" s="2" t="str">
        <f>PROPER(SUBSTITUTE(TRIM([1]RawShipmentData!M832)," ","-"))</f>
        <v>Delayed</v>
      </c>
      <c r="R824" s="4">
        <f t="shared" si="64"/>
        <v>20</v>
      </c>
      <c r="S824" s="2">
        <f>[1]RawShipmentData!N832</f>
        <v>2</v>
      </c>
      <c r="T824" s="2" t="str">
        <f>IF(OR(UPPER(TRIM([1]RawShipmentData!O832))="YES",UPPER(TRIM([1]RawShipmentData!O832))="Y"),"Yes","No")</f>
        <v>No</v>
      </c>
    </row>
    <row r="825" spans="1:20" x14ac:dyDescent="0.25">
      <c r="A825" s="2" t="str">
        <f>[1]RawShipmentData!A833</f>
        <v>SHP-100390</v>
      </c>
      <c r="B825" s="3">
        <f>IF(ISNUMBER(SEARCH("/",TRIM([1]RawShipmentData!B833))),DATE(VALUE(RIGHT(TRIM([1]RawShipmentData!B833),4)),VALUE(MID(TRIM([1]RawShipmentData!B833),FIND("/",TRIM([1]RawShipmentData!B833))+1,2)),VALUE(LEFT(TRIM([1]RawShipmentData!B833),FIND("/",TRIM([1]RawShipmentData!B833))-1))),DATEVALUE(TRIM([1]RawShipmentData!B833)))</f>
        <v>45357</v>
      </c>
      <c r="C825" s="2" t="str">
        <f>PROPER(TRIM([1]RawShipmentData!C833))</f>
        <v>Chennai</v>
      </c>
      <c r="D825" s="2" t="str">
        <f>IFERROR(INDEX([1]HubMaster!$B$2:$B$7,MATCH(C825,[1]HubMaster!$A$2:$A$7,0)),"Unknown")</f>
        <v>South</v>
      </c>
      <c r="E825" s="2" t="str">
        <f>PROPER(TRIM(SUBSTITUTE([1]RawShipmentData!D833,"  "," ")))</f>
        <v>Delhivery</v>
      </c>
      <c r="F825" s="2" t="str">
        <f>PROPER(TRIM([1]RawShipmentData!E833))</f>
        <v>Air</v>
      </c>
      <c r="G825" s="2" t="str">
        <f>PROPER(TRIM(SUBSTITUTE([1]RawShipmentData!F833,"  "," ")))</f>
        <v>Automotive Parts</v>
      </c>
      <c r="H825" s="2" t="str">
        <f>PROPER(TRIM([1]RawShipmentData!G833))</f>
        <v>South</v>
      </c>
      <c r="I825" s="2" t="str">
        <f t="shared" si="60"/>
        <v>No</v>
      </c>
      <c r="J825" s="2">
        <f>IFERROR(VALUE(TRIM(SUBSTITUTE(UPPER([1]RawShipmentData!I825),"KG",""))),"")</f>
        <v>4.2</v>
      </c>
      <c r="K825" s="2">
        <f>VALUE(SUBSTITUTE(SUBSTITUTE(SUBSTITUTE(TRIM([1]RawShipmentData!J833),"₹",""),"Rs",""),",",""))</f>
        <v>1191</v>
      </c>
      <c r="L825" s="2">
        <f>[1]RawShipmentData!K833</f>
        <v>2</v>
      </c>
      <c r="M825" s="3">
        <f>IF(TRIM([1]RawShipmentData!L833)="","",IF(ISNUMBER(SEARCH("/",TRIM([1]RawShipmentData!L833))),DATE(VALUE(RIGHT(TRIM([1]RawShipmentData!L833),4)),VALUE(MID(TRIM([1]RawShipmentData!L833),FIND("/",TRIM([1]RawShipmentData!L833))+1,2)),VALUE(LEFT(TRIM([1]RawShipmentData!L833),FIND("/",TRIM([1]RawShipmentData!L833))-1))),DATEVALUE(TRIM([1]RawShipmentData!L833))))</f>
        <v>45363</v>
      </c>
      <c r="N825" s="2">
        <f t="shared" si="61"/>
        <v>6</v>
      </c>
      <c r="O825" s="2">
        <f t="shared" si="62"/>
        <v>4</v>
      </c>
      <c r="P825" s="2" t="str">
        <f t="shared" si="63"/>
        <v>Late</v>
      </c>
      <c r="Q825" s="2" t="str">
        <f>PROPER(SUBSTITUTE(TRIM([1]RawShipmentData!M833)," ","-"))</f>
        <v>Delayed</v>
      </c>
      <c r="R825" s="4">
        <f t="shared" si="64"/>
        <v>283.57142857142856</v>
      </c>
      <c r="S825" s="2">
        <f>[1]RawShipmentData!N833</f>
        <v>5</v>
      </c>
      <c r="T825" s="2" t="str">
        <f>IF(OR(UPPER(TRIM([1]RawShipmentData!O833))="YES",UPPER(TRIM([1]RawShipmentData!O833))="Y"),"Yes","No")</f>
        <v>No</v>
      </c>
    </row>
    <row r="826" spans="1:20" x14ac:dyDescent="0.25">
      <c r="A826" s="2" t="str">
        <f>[1]RawShipmentData!A834</f>
        <v>SHP-100164</v>
      </c>
      <c r="B826" s="3">
        <f>IF(ISNUMBER(SEARCH("/",TRIM([1]RawShipmentData!B834))),DATE(VALUE(RIGHT(TRIM([1]RawShipmentData!B834),4)),VALUE(MID(TRIM([1]RawShipmentData!B834),FIND("/",TRIM([1]RawShipmentData!B834))+1,2)),VALUE(LEFT(TRIM([1]RawShipmentData!B834),FIND("/",TRIM([1]RawShipmentData!B834))-1))),DATEVALUE(TRIM([1]RawShipmentData!B834)))</f>
        <v>45301</v>
      </c>
      <c r="C826" s="2" t="str">
        <f>PROPER(TRIM([1]RawShipmentData!C834))</f>
        <v>Chennai</v>
      </c>
      <c r="D826" s="2" t="str">
        <f>IFERROR(INDEX([1]HubMaster!$B$2:$B$7,MATCH(C826,[1]HubMaster!$A$2:$A$7,0)),"Unknown")</f>
        <v>South</v>
      </c>
      <c r="E826" s="2" t="str">
        <f>PROPER(TRIM(SUBSTITUTE([1]RawShipmentData!D834,"  "," ")))</f>
        <v>Bluedart</v>
      </c>
      <c r="F826" s="2" t="str">
        <f>PROPER(TRIM([1]RawShipmentData!E834))</f>
        <v>Air</v>
      </c>
      <c r="G826" s="2" t="str">
        <f>PROPER(TRIM(SUBSTITUTE([1]RawShipmentData!F834,"  "," ")))</f>
        <v>Pharma</v>
      </c>
      <c r="H826" s="2" t="str">
        <f>PROPER(TRIM([1]RawShipmentData!G834))</f>
        <v>South</v>
      </c>
      <c r="I826" s="2" t="str">
        <f t="shared" si="60"/>
        <v>No</v>
      </c>
      <c r="J826" s="2">
        <f>IFERROR(VALUE(TRIM(SUBSTITUTE(UPPER([1]RawShipmentData!I826),"KG",""))),"")</f>
        <v>7.3</v>
      </c>
      <c r="K826" s="2">
        <f>VALUE(SUBSTITUTE(SUBSTITUTE(SUBSTITUTE(TRIM([1]RawShipmentData!J834),"₹",""),"Rs",""),",",""))</f>
        <v>80</v>
      </c>
      <c r="L826" s="2">
        <f>[1]RawShipmentData!K834</f>
        <v>2</v>
      </c>
      <c r="M826" s="3">
        <f>IF(TRIM([1]RawShipmentData!L834)="","",IF(ISNUMBER(SEARCH("/",TRIM([1]RawShipmentData!L834))),DATE(VALUE(RIGHT(TRIM([1]RawShipmentData!L834),4)),VALUE(MID(TRIM([1]RawShipmentData!L834),FIND("/",TRIM([1]RawShipmentData!L834))+1,2)),VALUE(LEFT(TRIM([1]RawShipmentData!L834),FIND("/",TRIM([1]RawShipmentData!L834))-1))),DATEVALUE(TRIM([1]RawShipmentData!L834))))</f>
        <v>45302</v>
      </c>
      <c r="N826" s="2">
        <f t="shared" si="61"/>
        <v>1</v>
      </c>
      <c r="O826" s="2">
        <f t="shared" si="62"/>
        <v>-1</v>
      </c>
      <c r="P826" s="2" t="str">
        <f t="shared" si="63"/>
        <v>On Time</v>
      </c>
      <c r="Q826" s="2" t="str">
        <f>PROPER(SUBSTITUTE(TRIM([1]RawShipmentData!M834)," ","-"))</f>
        <v>Delivered</v>
      </c>
      <c r="R826" s="4">
        <f t="shared" si="64"/>
        <v>10.95890410958904</v>
      </c>
      <c r="S826" s="2">
        <f>[1]RawShipmentData!N834</f>
        <v>4</v>
      </c>
      <c r="T826" s="2" t="str">
        <f>IF(OR(UPPER(TRIM([1]RawShipmentData!O834))="YES",UPPER(TRIM([1]RawShipmentData!O834))="Y"),"Yes","No")</f>
        <v>Yes</v>
      </c>
    </row>
    <row r="827" spans="1:20" x14ac:dyDescent="0.25">
      <c r="A827" s="2" t="str">
        <f>[1]RawShipmentData!A835</f>
        <v>SHP-100129</v>
      </c>
      <c r="B827" s="3">
        <f>IF(ISNUMBER(SEARCH("/",TRIM([1]RawShipmentData!B835))),DATE(VALUE(RIGHT(TRIM([1]RawShipmentData!B835),4)),VALUE(MID(TRIM([1]RawShipmentData!B835),FIND("/",TRIM([1]RawShipmentData!B835))+1,2)),VALUE(LEFT(TRIM([1]RawShipmentData!B835),FIND("/",TRIM([1]RawShipmentData!B835))-1))),DATEVALUE(TRIM([1]RawShipmentData!B835)))</f>
        <v>45342</v>
      </c>
      <c r="C827" s="2" t="str">
        <f>PROPER(TRIM([1]RawShipmentData!C835))</f>
        <v>Bengaluru</v>
      </c>
      <c r="D827" s="2" t="str">
        <f>IFERROR(INDEX([1]HubMaster!$B$2:$B$7,MATCH(C827,[1]HubMaster!$A$2:$A$7,0)),"Unknown")</f>
        <v>South</v>
      </c>
      <c r="E827" s="2" t="str">
        <f>PROPER(TRIM(SUBSTITUTE([1]RawShipmentData!D835,"  "," ")))</f>
        <v>Xpressbees</v>
      </c>
      <c r="F827" s="2" t="str">
        <f>PROPER(TRIM([1]RawShipmentData!E835))</f>
        <v>Road</v>
      </c>
      <c r="G827" s="2" t="str">
        <f>PROPER(TRIM(SUBSTITUTE([1]RawShipmentData!F835,"  "," ")))</f>
        <v>Apparel</v>
      </c>
      <c r="H827" s="2" t="str">
        <f>PROPER(TRIM([1]RawShipmentData!G835))</f>
        <v>North</v>
      </c>
      <c r="I827" s="2" t="str">
        <f t="shared" si="60"/>
        <v>Yes</v>
      </c>
      <c r="J827" s="2">
        <f>IFERROR(VALUE(TRIM(SUBSTITUTE(UPPER([1]RawShipmentData!I827),"KG",""))),"")</f>
        <v>9.3000000000000007</v>
      </c>
      <c r="K827" s="2">
        <f>VALUE(SUBSTITUTE(SUBSTITUTE(SUBSTITUTE(TRIM([1]RawShipmentData!J835),"₹",""),"Rs",""),",",""))</f>
        <v>232</v>
      </c>
      <c r="L827" s="2">
        <f>[1]RawShipmentData!K835</f>
        <v>8</v>
      </c>
      <c r="M827" s="3">
        <f>IF(TRIM([1]RawShipmentData!L835)="","",IF(ISNUMBER(SEARCH("/",TRIM([1]RawShipmentData!L835))),DATE(VALUE(RIGHT(TRIM([1]RawShipmentData!L835),4)),VALUE(MID(TRIM([1]RawShipmentData!L835),FIND("/",TRIM([1]RawShipmentData!L835))+1,2)),VALUE(LEFT(TRIM([1]RawShipmentData!L835),FIND("/",TRIM([1]RawShipmentData!L835))-1))),DATEVALUE(TRIM([1]RawShipmentData!L835))))</f>
        <v>45352</v>
      </c>
      <c r="N827" s="2">
        <f t="shared" si="61"/>
        <v>10</v>
      </c>
      <c r="O827" s="2">
        <f t="shared" si="62"/>
        <v>2</v>
      </c>
      <c r="P827" s="2" t="str">
        <f t="shared" si="63"/>
        <v>Late</v>
      </c>
      <c r="Q827" s="2" t="str">
        <f>PROPER(SUBSTITUTE(TRIM([1]RawShipmentData!M835)," ","-"))</f>
        <v>Returned</v>
      </c>
      <c r="R827" s="4">
        <f t="shared" si="64"/>
        <v>24.946236559139784</v>
      </c>
      <c r="S827" s="2">
        <f>[1]RawShipmentData!N835</f>
        <v>0</v>
      </c>
      <c r="T827" s="2" t="str">
        <f>IF(OR(UPPER(TRIM([1]RawShipmentData!O835))="YES",UPPER(TRIM([1]RawShipmentData!O835))="Y"),"Yes","No")</f>
        <v>Yes</v>
      </c>
    </row>
    <row r="828" spans="1:20" x14ac:dyDescent="0.25">
      <c r="A828" s="2" t="str">
        <f>[1]RawShipmentData!A836</f>
        <v>SHP-100872</v>
      </c>
      <c r="B828" s="3">
        <f>IF(ISNUMBER(SEARCH("/",TRIM([1]RawShipmentData!B836))),DATE(VALUE(RIGHT(TRIM([1]RawShipmentData!B836),4)),VALUE(MID(TRIM([1]RawShipmentData!B836),FIND("/",TRIM([1]RawShipmentData!B836))+1,2)),VALUE(LEFT(TRIM([1]RawShipmentData!B836),FIND("/",TRIM([1]RawShipmentData!B836))-1))),DATEVALUE(TRIM([1]RawShipmentData!B836)))</f>
        <v>45436</v>
      </c>
      <c r="C828" s="2" t="str">
        <f>PROPER(TRIM([1]RawShipmentData!C836))</f>
        <v>Hyderabad</v>
      </c>
      <c r="D828" s="2" t="str">
        <f>IFERROR(INDEX([1]HubMaster!$B$2:$B$7,MATCH(C828,[1]HubMaster!$A$2:$A$7,0)),"Unknown")</f>
        <v>West</v>
      </c>
      <c r="E828" s="2" t="str">
        <f>PROPER(TRIM(SUBSTITUTE([1]RawShipmentData!D836,"  "," ")))</f>
        <v>Delhivery</v>
      </c>
      <c r="F828" s="2" t="str">
        <f>PROPER(TRIM([1]RawShipmentData!E836))</f>
        <v>Surface</v>
      </c>
      <c r="G828" s="2" t="str">
        <f>PROPER(TRIM(SUBSTITUTE([1]RawShipmentData!F836,"  "," ")))</f>
        <v>Furniture</v>
      </c>
      <c r="H828" s="2" t="str">
        <f>PROPER(TRIM([1]RawShipmentData!G836))</f>
        <v>West</v>
      </c>
      <c r="I828" s="2" t="str">
        <f t="shared" si="60"/>
        <v>No</v>
      </c>
      <c r="J828" s="2">
        <f>IFERROR(VALUE(TRIM(SUBSTITUTE(UPPER([1]RawShipmentData!I828),"KG",""))),"")</f>
        <v>62.7</v>
      </c>
      <c r="K828" s="2">
        <f>VALUE(SUBSTITUTE(SUBSTITUTE(SUBSTITUTE(TRIM([1]RawShipmentData!J836),"₹",""),"Rs",""),",",""))</f>
        <v>1278</v>
      </c>
      <c r="L828" s="2">
        <f>[1]RawShipmentData!K836</f>
        <v>4</v>
      </c>
      <c r="M828" s="3">
        <f>IF(TRIM([1]RawShipmentData!L836)="","",IF(ISNUMBER(SEARCH("/",TRIM([1]RawShipmentData!L836))),DATE(VALUE(RIGHT(TRIM([1]RawShipmentData!L836),4)),VALUE(MID(TRIM([1]RawShipmentData!L836),FIND("/",TRIM([1]RawShipmentData!L836))+1,2)),VALUE(LEFT(TRIM([1]RawShipmentData!L836),FIND("/",TRIM([1]RawShipmentData!L836))-1))),DATEVALUE(TRIM([1]RawShipmentData!L836))))</f>
        <v>45440</v>
      </c>
      <c r="N828" s="2">
        <f t="shared" si="61"/>
        <v>4</v>
      </c>
      <c r="O828" s="2">
        <f t="shared" si="62"/>
        <v>0</v>
      </c>
      <c r="P828" s="2" t="str">
        <f t="shared" si="63"/>
        <v>On Time</v>
      </c>
      <c r="Q828" s="2" t="str">
        <f>PROPER(SUBSTITUTE(TRIM([1]RawShipmentData!M836)," ","-"))</f>
        <v>Delivered</v>
      </c>
      <c r="R828" s="4">
        <f t="shared" si="64"/>
        <v>20.382775119617225</v>
      </c>
      <c r="S828" s="2">
        <f>[1]RawShipmentData!N836</f>
        <v>4</v>
      </c>
      <c r="T828" s="2" t="str">
        <f>IF(OR(UPPER(TRIM([1]RawShipmentData!O836))="YES",UPPER(TRIM([1]RawShipmentData!O836))="Y"),"Yes","No")</f>
        <v>No</v>
      </c>
    </row>
    <row r="829" spans="1:20" x14ac:dyDescent="0.25">
      <c r="A829" s="2" t="str">
        <f>[1]RawShipmentData!A837</f>
        <v>SHP-100850</v>
      </c>
      <c r="B829" s="3">
        <f>IF(ISNUMBER(SEARCH("/",TRIM([1]RawShipmentData!B837))),DATE(VALUE(RIGHT(TRIM([1]RawShipmentData!B837),4)),VALUE(MID(TRIM([1]RawShipmentData!B837),FIND("/",TRIM([1]RawShipmentData!B837))+1,2)),VALUE(LEFT(TRIM([1]RawShipmentData!B837),FIND("/",TRIM([1]RawShipmentData!B837))-1))),DATEVALUE(TRIM([1]RawShipmentData!B837)))</f>
        <v>45312</v>
      </c>
      <c r="C829" s="2" t="str">
        <f>PROPER(TRIM([1]RawShipmentData!C837))</f>
        <v>Delhi</v>
      </c>
      <c r="D829" s="2" t="str">
        <f>IFERROR(INDEX([1]HubMaster!$B$2:$B$7,MATCH(C829,[1]HubMaster!$A$2:$A$7,0)),"Unknown")</f>
        <v>North</v>
      </c>
      <c r="E829" s="2" t="str">
        <f>PROPER(TRIM(SUBSTITUTE([1]RawShipmentData!D837,"  "," ")))</f>
        <v>Blue Dart</v>
      </c>
      <c r="F829" s="2" t="str">
        <f>PROPER(TRIM([1]RawShipmentData!E837))</f>
        <v>Surface</v>
      </c>
      <c r="G829" s="2" t="str">
        <f>PROPER(TRIM(SUBSTITUTE([1]RawShipmentData!F837,"  "," ")))</f>
        <v>Furniture</v>
      </c>
      <c r="H829" s="2" t="str">
        <f>PROPER(TRIM([1]RawShipmentData!G837))</f>
        <v>West</v>
      </c>
      <c r="I829" s="2" t="str">
        <f t="shared" si="60"/>
        <v>Yes</v>
      </c>
      <c r="J829" s="2">
        <f>IFERROR(VALUE(TRIM(SUBSTITUTE(UPPER([1]RawShipmentData!I829),"KG",""))),"")</f>
        <v>7.6</v>
      </c>
      <c r="K829" s="2">
        <f>VALUE(SUBSTITUTE(SUBSTITUTE(SUBSTITUTE(TRIM([1]RawShipmentData!J837),"₹",""),"Rs",""),",",""))</f>
        <v>1124</v>
      </c>
      <c r="L829" s="2">
        <f>[1]RawShipmentData!K837</f>
        <v>6</v>
      </c>
      <c r="M829" s="3">
        <f>IF(TRIM([1]RawShipmentData!L837)="","",IF(ISNUMBER(SEARCH("/",TRIM([1]RawShipmentData!L837))),DATE(VALUE(RIGHT(TRIM([1]RawShipmentData!L837),4)),VALUE(MID(TRIM([1]RawShipmentData!L837),FIND("/",TRIM([1]RawShipmentData!L837))+1,2)),VALUE(LEFT(TRIM([1]RawShipmentData!L837),FIND("/",TRIM([1]RawShipmentData!L837))-1))),DATEVALUE(TRIM([1]RawShipmentData!L837))))</f>
        <v>45318</v>
      </c>
      <c r="N829" s="2">
        <f t="shared" si="61"/>
        <v>6</v>
      </c>
      <c r="O829" s="2">
        <f t="shared" si="62"/>
        <v>0</v>
      </c>
      <c r="P829" s="2" t="str">
        <f t="shared" si="63"/>
        <v>On Time</v>
      </c>
      <c r="Q829" s="2" t="str">
        <f>PROPER(SUBSTITUTE(TRIM([1]RawShipmentData!M837)," ","-"))</f>
        <v>Delivered</v>
      </c>
      <c r="R829" s="4">
        <f t="shared" si="64"/>
        <v>147.89473684210526</v>
      </c>
      <c r="S829" s="2">
        <f>[1]RawShipmentData!N837</f>
        <v>5</v>
      </c>
      <c r="T829" s="2" t="str">
        <f>IF(OR(UPPER(TRIM([1]RawShipmentData!O837))="YES",UPPER(TRIM([1]RawShipmentData!O837))="Y"),"Yes","No")</f>
        <v>No</v>
      </c>
    </row>
    <row r="830" spans="1:20" x14ac:dyDescent="0.25">
      <c r="A830" s="2" t="str">
        <f>[1]RawShipmentData!A838</f>
        <v>SHP-100558</v>
      </c>
      <c r="B830" s="3">
        <f>IF(ISNUMBER(SEARCH("/",TRIM([1]RawShipmentData!B838))),DATE(VALUE(RIGHT(TRIM([1]RawShipmentData!B838),4)),VALUE(MID(TRIM([1]RawShipmentData!B838),FIND("/",TRIM([1]RawShipmentData!B838))+1,2)),VALUE(LEFT(TRIM([1]RawShipmentData!B838),FIND("/",TRIM([1]RawShipmentData!B838))-1))),DATEVALUE(TRIM([1]RawShipmentData!B838)))</f>
        <v>45456</v>
      </c>
      <c r="C830" s="2" t="str">
        <f>PROPER(TRIM([1]RawShipmentData!C838))</f>
        <v>Hyderabad</v>
      </c>
      <c r="D830" s="2" t="str">
        <f>IFERROR(INDEX([1]HubMaster!$B$2:$B$7,MATCH(C830,[1]HubMaster!$A$2:$A$7,0)),"Unknown")</f>
        <v>West</v>
      </c>
      <c r="E830" s="2" t="str">
        <f>PROPER(TRIM(SUBSTITUTE([1]RawShipmentData!D838,"  "," ")))</f>
        <v>Blue Dart</v>
      </c>
      <c r="F830" s="2" t="str">
        <f>PROPER(TRIM([1]RawShipmentData!E838))</f>
        <v>Surface</v>
      </c>
      <c r="G830" s="2" t="str">
        <f>PROPER(TRIM(SUBSTITUTE([1]RawShipmentData!F838,"  "," ")))</f>
        <v>Pharma</v>
      </c>
      <c r="H830" s="2" t="str">
        <f>PROPER(TRIM([1]RawShipmentData!G838))</f>
        <v>West</v>
      </c>
      <c r="I830" s="2" t="str">
        <f t="shared" si="60"/>
        <v>No</v>
      </c>
      <c r="J830" s="2">
        <f>IFERROR(VALUE(TRIM(SUBSTITUTE(UPPER([1]RawShipmentData!I830),"KG",""))),"")</f>
        <v>13.2</v>
      </c>
      <c r="K830" s="2">
        <f>VALUE(SUBSTITUTE(SUBSTITUTE(SUBSTITUTE(TRIM([1]RawShipmentData!J838),"₹",""),"Rs",""),",",""))</f>
        <v>84</v>
      </c>
      <c r="L830" s="2">
        <f>[1]RawShipmentData!K838</f>
        <v>4</v>
      </c>
      <c r="M830" s="3">
        <f>IF(TRIM([1]RawShipmentData!L838)="","",IF(ISNUMBER(SEARCH("/",TRIM([1]RawShipmentData!L838))),DATE(VALUE(RIGHT(TRIM([1]RawShipmentData!L838),4)),VALUE(MID(TRIM([1]RawShipmentData!L838),FIND("/",TRIM([1]RawShipmentData!L838))+1,2)),VALUE(LEFT(TRIM([1]RawShipmentData!L838),FIND("/",TRIM([1]RawShipmentData!L838))-1))),DATEVALUE(TRIM([1]RawShipmentData!L838))))</f>
        <v>45459</v>
      </c>
      <c r="N830" s="2">
        <f t="shared" si="61"/>
        <v>3</v>
      </c>
      <c r="O830" s="2">
        <f t="shared" si="62"/>
        <v>-1</v>
      </c>
      <c r="P830" s="2" t="str">
        <f t="shared" si="63"/>
        <v>On Time</v>
      </c>
      <c r="Q830" s="2" t="str">
        <f>PROPER(SUBSTITUTE(TRIM([1]RawShipmentData!M838)," ","-"))</f>
        <v>Delivered</v>
      </c>
      <c r="R830" s="4">
        <f t="shared" si="64"/>
        <v>6.3636363636363642</v>
      </c>
      <c r="S830" s="2">
        <f>[1]RawShipmentData!N838</f>
        <v>5</v>
      </c>
      <c r="T830" s="2" t="str">
        <f>IF(OR(UPPER(TRIM([1]RawShipmentData!O838))="YES",UPPER(TRIM([1]RawShipmentData!O838))="Y"),"Yes","No")</f>
        <v>No</v>
      </c>
    </row>
    <row r="831" spans="1:20" x14ac:dyDescent="0.25">
      <c r="A831" s="2" t="str">
        <f>[1]RawShipmentData!A839</f>
        <v>SHP-100400</v>
      </c>
      <c r="B831" s="3">
        <f>IF(ISNUMBER(SEARCH("/",TRIM([1]RawShipmentData!B839))),DATE(VALUE(RIGHT(TRIM([1]RawShipmentData!B839),4)),VALUE(MID(TRIM([1]RawShipmentData!B839),FIND("/",TRIM([1]RawShipmentData!B839))+1,2)),VALUE(LEFT(TRIM([1]RawShipmentData!B839),FIND("/",TRIM([1]RawShipmentData!B839))-1))),DATEVALUE(TRIM([1]RawShipmentData!B839)))</f>
        <v>45406</v>
      </c>
      <c r="C831" s="2" t="str">
        <f>PROPER(TRIM([1]RawShipmentData!C839))</f>
        <v>Kolkata</v>
      </c>
      <c r="D831" s="2" t="str">
        <f>IFERROR(INDEX([1]HubMaster!$B$2:$B$7,MATCH(C831,[1]HubMaster!$A$2:$A$7,0)),"Unknown")</f>
        <v>East</v>
      </c>
      <c r="E831" s="2" t="str">
        <f>PROPER(TRIM(SUBSTITUTE([1]RawShipmentData!D839,"  "," ")))</f>
        <v>Delhivery</v>
      </c>
      <c r="F831" s="2" t="str">
        <f>PROPER(TRIM([1]RawShipmentData!E839))</f>
        <v>Surface</v>
      </c>
      <c r="G831" s="2" t="str">
        <f>PROPER(TRIM(SUBSTITUTE([1]RawShipmentData!F839,"  "," ")))</f>
        <v>Electronics</v>
      </c>
      <c r="H831" s="2" t="str">
        <f>PROPER(TRIM([1]RawShipmentData!G839))</f>
        <v>North</v>
      </c>
      <c r="I831" s="2" t="str">
        <f t="shared" si="60"/>
        <v>Yes</v>
      </c>
      <c r="J831" s="2">
        <f>IFERROR(VALUE(TRIM(SUBSTITUTE(UPPER([1]RawShipmentData!I831),"KG",""))),"")</f>
        <v>13.2</v>
      </c>
      <c r="K831" s="2">
        <f>VALUE(SUBSTITUTE(SUBSTITUTE(SUBSTITUTE(TRIM([1]RawShipmentData!J839),"₹",""),"Rs",""),",",""))</f>
        <v>425</v>
      </c>
      <c r="L831" s="2">
        <f>[1]RawShipmentData!K839</f>
        <v>6</v>
      </c>
      <c r="M831" s="3">
        <f>IF(TRIM([1]RawShipmentData!L839)="","",IF(ISNUMBER(SEARCH("/",TRIM([1]RawShipmentData!L839))),DATE(VALUE(RIGHT(TRIM([1]RawShipmentData!L839),4)),VALUE(MID(TRIM([1]RawShipmentData!L839),FIND("/",TRIM([1]RawShipmentData!L839))+1,2)),VALUE(LEFT(TRIM([1]RawShipmentData!L839),FIND("/",TRIM([1]RawShipmentData!L839))-1))),DATEVALUE(TRIM([1]RawShipmentData!L839))))</f>
        <v>45412</v>
      </c>
      <c r="N831" s="2">
        <f t="shared" si="61"/>
        <v>6</v>
      </c>
      <c r="O831" s="2">
        <f t="shared" si="62"/>
        <v>0</v>
      </c>
      <c r="P831" s="2" t="str">
        <f t="shared" si="63"/>
        <v>On Time</v>
      </c>
      <c r="Q831" s="2" t="str">
        <f>PROPER(SUBSTITUTE(TRIM([1]RawShipmentData!M839)," ","-"))</f>
        <v>Delivered</v>
      </c>
      <c r="R831" s="4">
        <f t="shared" si="64"/>
        <v>32.196969696969695</v>
      </c>
      <c r="S831" s="2">
        <f>[1]RawShipmentData!N839</f>
        <v>4</v>
      </c>
      <c r="T831" s="2" t="str">
        <f>IF(OR(UPPER(TRIM([1]RawShipmentData!O839))="YES",UPPER(TRIM([1]RawShipmentData!O839))="Y"),"Yes","No")</f>
        <v>No</v>
      </c>
    </row>
    <row r="832" spans="1:20" x14ac:dyDescent="0.25">
      <c r="A832" s="2" t="str">
        <f>[1]RawShipmentData!A840</f>
        <v>SHP-100730</v>
      </c>
      <c r="B832" s="3">
        <f>IF(ISNUMBER(SEARCH("/",TRIM([1]RawShipmentData!B840))),DATE(VALUE(RIGHT(TRIM([1]RawShipmentData!B840),4)),VALUE(MID(TRIM([1]RawShipmentData!B840),FIND("/",TRIM([1]RawShipmentData!B840))+1,2)),VALUE(LEFT(TRIM([1]RawShipmentData!B840),FIND("/",TRIM([1]RawShipmentData!B840))-1))),DATEVALUE(TRIM([1]RawShipmentData!B840)))</f>
        <v>45433</v>
      </c>
      <c r="C832" s="2" t="str">
        <f>PROPER(TRIM([1]RawShipmentData!C840))</f>
        <v>Delhi</v>
      </c>
      <c r="D832" s="2" t="str">
        <f>IFERROR(INDEX([1]HubMaster!$B$2:$B$7,MATCH(C832,[1]HubMaster!$A$2:$A$7,0)),"Unknown")</f>
        <v>North</v>
      </c>
      <c r="E832" s="2" t="str">
        <f>PROPER(TRIM(SUBSTITUTE([1]RawShipmentData!D840,"  "," ")))</f>
        <v>Bluedart</v>
      </c>
      <c r="F832" s="2" t="str">
        <f>PROPER(TRIM([1]RawShipmentData!E840))</f>
        <v>Road</v>
      </c>
      <c r="G832" s="2" t="str">
        <f>PROPER(TRIM(SUBSTITUTE([1]RawShipmentData!F840,"  "," ")))</f>
        <v>Furniture</v>
      </c>
      <c r="H832" s="2" t="str">
        <f>PROPER(TRIM([1]RawShipmentData!G840))</f>
        <v>South</v>
      </c>
      <c r="I832" s="2" t="str">
        <f t="shared" si="60"/>
        <v>Yes</v>
      </c>
      <c r="J832" s="2">
        <f>IFERROR(VALUE(TRIM(SUBSTITUTE(UPPER([1]RawShipmentData!I832),"KG",""))),"")</f>
        <v>4</v>
      </c>
      <c r="K832" s="2">
        <f>VALUE(SUBSTITUTE(SUBSTITUTE(SUBSTITUTE(TRIM([1]RawShipmentData!J840),"₹",""),"Rs",""),",",""))</f>
        <v>673</v>
      </c>
      <c r="L832" s="2">
        <f>[1]RawShipmentData!K840</f>
        <v>8</v>
      </c>
      <c r="M832" s="3">
        <f>IF(TRIM([1]RawShipmentData!L840)="","",IF(ISNUMBER(SEARCH("/",TRIM([1]RawShipmentData!L840))),DATE(VALUE(RIGHT(TRIM([1]RawShipmentData!L840),4)),VALUE(MID(TRIM([1]RawShipmentData!L840),FIND("/",TRIM([1]RawShipmentData!L840))+1,2)),VALUE(LEFT(TRIM([1]RawShipmentData!L840),FIND("/",TRIM([1]RawShipmentData!L840))-1))),DATEVALUE(TRIM([1]RawShipmentData!L840))))</f>
        <v>45442</v>
      </c>
      <c r="N832" s="2">
        <f t="shared" si="61"/>
        <v>9</v>
      </c>
      <c r="O832" s="2">
        <f t="shared" si="62"/>
        <v>1</v>
      </c>
      <c r="P832" s="2" t="str">
        <f t="shared" si="63"/>
        <v>Late</v>
      </c>
      <c r="Q832" s="2" t="str">
        <f>PROPER(SUBSTITUTE(TRIM([1]RawShipmentData!M840)," ","-"))</f>
        <v>Delayed</v>
      </c>
      <c r="R832" s="4">
        <f t="shared" si="64"/>
        <v>168.25</v>
      </c>
      <c r="S832" s="2">
        <f>[1]RawShipmentData!N840</f>
        <v>5</v>
      </c>
      <c r="T832" s="2" t="str">
        <f>IF(OR(UPPER(TRIM([1]RawShipmentData!O840))="YES",UPPER(TRIM([1]RawShipmentData!O840))="Y"),"Yes","No")</f>
        <v>No</v>
      </c>
    </row>
    <row r="833" spans="1:20" x14ac:dyDescent="0.25">
      <c r="A833" s="2" t="str">
        <f>[1]RawShipmentData!A841</f>
        <v>SHP-100303</v>
      </c>
      <c r="B833" s="3">
        <f>IF(ISNUMBER(SEARCH("/",TRIM([1]RawShipmentData!B841))),DATE(VALUE(RIGHT(TRIM([1]RawShipmentData!B841),4)),VALUE(MID(TRIM([1]RawShipmentData!B841),FIND("/",TRIM([1]RawShipmentData!B841))+1,2)),VALUE(LEFT(TRIM([1]RawShipmentData!B841),FIND("/",TRIM([1]RawShipmentData!B841))-1))),DATEVALUE(TRIM([1]RawShipmentData!B841)))</f>
        <v>45371</v>
      </c>
      <c r="C833" s="2" t="str">
        <f>PROPER(TRIM([1]RawShipmentData!C841))</f>
        <v>Delhi</v>
      </c>
      <c r="D833" s="2" t="str">
        <f>IFERROR(INDEX([1]HubMaster!$B$2:$B$7,MATCH(C833,[1]HubMaster!$A$2:$A$7,0)),"Unknown")</f>
        <v>North</v>
      </c>
      <c r="E833" s="2" t="str">
        <f>PROPER(TRIM(SUBSTITUTE([1]RawShipmentData!D841,"  "," ")))</f>
        <v>Dtdc</v>
      </c>
      <c r="F833" s="2" t="str">
        <f>PROPER(TRIM([1]RawShipmentData!E841))</f>
        <v>Surface</v>
      </c>
      <c r="G833" s="2" t="str">
        <f>PROPER(TRIM(SUBSTITUTE([1]RawShipmentData!F841,"  "," ")))</f>
        <v>Apparel</v>
      </c>
      <c r="H833" s="2" t="str">
        <f>PROPER(TRIM([1]RawShipmentData!G841))</f>
        <v>North</v>
      </c>
      <c r="I833" s="2" t="str">
        <f t="shared" si="60"/>
        <v>No</v>
      </c>
      <c r="J833" s="2">
        <f>IFERROR(VALUE(TRIM(SUBSTITUTE(UPPER([1]RawShipmentData!I833),"KG",""))),"")</f>
        <v>26.6</v>
      </c>
      <c r="K833" s="2">
        <f>VALUE(SUBSTITUTE(SUBSTITUTE(SUBSTITUTE(TRIM([1]RawShipmentData!J841),"₹",""),"Rs",""),",",""))</f>
        <v>137</v>
      </c>
      <c r="L833" s="2">
        <f>[1]RawShipmentData!K841</f>
        <v>4</v>
      </c>
      <c r="M833" s="3">
        <f>IF(TRIM([1]RawShipmentData!L841)="","",IF(ISNUMBER(SEARCH("/",TRIM([1]RawShipmentData!L841))),DATE(VALUE(RIGHT(TRIM([1]RawShipmentData!L841),4)),VALUE(MID(TRIM([1]RawShipmentData!L841),FIND("/",TRIM([1]RawShipmentData!L841))+1,2)),VALUE(LEFT(TRIM([1]RawShipmentData!L841),FIND("/",TRIM([1]RawShipmentData!L841))-1))),DATEVALUE(TRIM([1]RawShipmentData!L841))))</f>
        <v>45378</v>
      </c>
      <c r="N833" s="2">
        <f t="shared" si="61"/>
        <v>7</v>
      </c>
      <c r="O833" s="2">
        <f t="shared" si="62"/>
        <v>3</v>
      </c>
      <c r="P833" s="2" t="str">
        <f t="shared" si="63"/>
        <v>Late</v>
      </c>
      <c r="Q833" s="2" t="str">
        <f>PROPER(SUBSTITUTE(TRIM([1]RawShipmentData!M841)," ","-"))</f>
        <v>Delayed</v>
      </c>
      <c r="R833" s="4">
        <f t="shared" si="64"/>
        <v>5.1503759398496234</v>
      </c>
      <c r="S833" s="2">
        <f>[1]RawShipmentData!N841</f>
        <v>4</v>
      </c>
      <c r="T833" s="2" t="str">
        <f>IF(OR(UPPER(TRIM([1]RawShipmentData!O841))="YES",UPPER(TRIM([1]RawShipmentData!O841))="Y"),"Yes","No")</f>
        <v>No</v>
      </c>
    </row>
    <row r="834" spans="1:20" x14ac:dyDescent="0.25">
      <c r="A834" s="2" t="str">
        <f>[1]RawShipmentData!A842</f>
        <v>SHP-100335</v>
      </c>
      <c r="B834" s="3">
        <f>IF(ISNUMBER(SEARCH("/",TRIM([1]RawShipmentData!B842))),DATE(VALUE(RIGHT(TRIM([1]RawShipmentData!B842),4)),VALUE(MID(TRIM([1]RawShipmentData!B842),FIND("/",TRIM([1]RawShipmentData!B842))+1,2)),VALUE(LEFT(TRIM([1]RawShipmentData!B842),FIND("/",TRIM([1]RawShipmentData!B842))-1))),DATEVALUE(TRIM([1]RawShipmentData!B842)))</f>
        <v>45413</v>
      </c>
      <c r="C834" s="2" t="str">
        <f>PROPER(TRIM([1]RawShipmentData!C842))</f>
        <v>Bengaluru</v>
      </c>
      <c r="D834" s="2" t="str">
        <f>IFERROR(INDEX([1]HubMaster!$B$2:$B$7,MATCH(C834,[1]HubMaster!$A$2:$A$7,0)),"Unknown")</f>
        <v>South</v>
      </c>
      <c r="E834" s="2" t="str">
        <f>PROPER(TRIM(SUBSTITUTE([1]RawShipmentData!D842,"  "," ")))</f>
        <v>Delhivery</v>
      </c>
      <c r="F834" s="2" t="str">
        <f>PROPER(TRIM([1]RawShipmentData!E842))</f>
        <v>Air</v>
      </c>
      <c r="G834" s="2" t="str">
        <f>PROPER(TRIM(SUBSTITUTE([1]RawShipmentData!F842,"  "," ")))</f>
        <v>Pharma</v>
      </c>
      <c r="H834" s="2" t="str">
        <f>PROPER(TRIM([1]RawShipmentData!G842))</f>
        <v>North</v>
      </c>
      <c r="I834" s="2" t="str">
        <f t="shared" ref="I834:I897" si="65">IF(D834=H834,"No","Yes")</f>
        <v>Yes</v>
      </c>
      <c r="J834" s="2">
        <f>IFERROR(VALUE(TRIM(SUBSTITUTE(UPPER([1]RawShipmentData!I834),"KG",""))),"")</f>
        <v>1.4</v>
      </c>
      <c r="K834" s="2">
        <f>VALUE(SUBSTITUTE(SUBSTITUTE(SUBSTITUTE(TRIM([1]RawShipmentData!J842),"₹",""),"Rs",""),",",""))</f>
        <v>319</v>
      </c>
      <c r="L834" s="2">
        <f>[1]RawShipmentData!K842</f>
        <v>4</v>
      </c>
      <c r="M834" s="3">
        <f>IF(TRIM([1]RawShipmentData!L842)="","",IF(ISNUMBER(SEARCH("/",TRIM([1]RawShipmentData!L842))),DATE(VALUE(RIGHT(TRIM([1]RawShipmentData!L842),4)),VALUE(MID(TRIM([1]RawShipmentData!L842),FIND("/",TRIM([1]RawShipmentData!L842))+1,2)),VALUE(LEFT(TRIM([1]RawShipmentData!L842),FIND("/",TRIM([1]RawShipmentData!L842))-1))),DATEVALUE(TRIM([1]RawShipmentData!L842))))</f>
        <v>45418</v>
      </c>
      <c r="N834" s="2">
        <f t="shared" ref="N834:N897" si="66">IF(M834="","",M834-B834)</f>
        <v>5</v>
      </c>
      <c r="O834" s="2">
        <f t="shared" ref="O834:O897" si="67">IF(N834="","",N834-L834)</f>
        <v>1</v>
      </c>
      <c r="P834" s="2" t="str">
        <f t="shared" ref="P834:P897" si="68">IF(N834="","N/A",IF(N834&lt;=L834,"On Time","Late"))</f>
        <v>Late</v>
      </c>
      <c r="Q834" s="2" t="str">
        <f>PROPER(SUBSTITUTE(TRIM([1]RawShipmentData!M842)," ","-"))</f>
        <v>Delayed</v>
      </c>
      <c r="R834" s="4">
        <f t="shared" si="64"/>
        <v>227.85714285714286</v>
      </c>
      <c r="S834" s="2">
        <f>[1]RawShipmentData!N842</f>
        <v>2</v>
      </c>
      <c r="T834" s="2" t="str">
        <f>IF(OR(UPPER(TRIM([1]RawShipmentData!O842))="YES",UPPER(TRIM([1]RawShipmentData!O842))="Y"),"Yes","No")</f>
        <v>No</v>
      </c>
    </row>
    <row r="835" spans="1:20" x14ac:dyDescent="0.25">
      <c r="A835" s="2" t="str">
        <f>[1]RawShipmentData!A843</f>
        <v>SHP-101029</v>
      </c>
      <c r="B835" s="3">
        <f>IF(ISNUMBER(SEARCH("/",TRIM([1]RawShipmentData!B843))),DATE(VALUE(RIGHT(TRIM([1]RawShipmentData!B843),4)),VALUE(MID(TRIM([1]RawShipmentData!B843),FIND("/",TRIM([1]RawShipmentData!B843))+1,2)),VALUE(LEFT(TRIM([1]RawShipmentData!B843),FIND("/",TRIM([1]RawShipmentData!B843))-1))),DATEVALUE(TRIM([1]RawShipmentData!B843)))</f>
        <v>45420</v>
      </c>
      <c r="C835" s="2" t="str">
        <f>PROPER(TRIM([1]RawShipmentData!C843))</f>
        <v>Kolkata</v>
      </c>
      <c r="D835" s="2" t="str">
        <f>IFERROR(INDEX([1]HubMaster!$B$2:$B$7,MATCH(C835,[1]HubMaster!$A$2:$A$7,0)),"Unknown")</f>
        <v>East</v>
      </c>
      <c r="E835" s="2" t="str">
        <f>PROPER(TRIM(SUBSTITUTE([1]RawShipmentData!D843,"  "," ")))</f>
        <v>Xpressbees</v>
      </c>
      <c r="F835" s="2" t="str">
        <f>PROPER(TRIM([1]RawShipmentData!E843))</f>
        <v>Road</v>
      </c>
      <c r="G835" s="2" t="str">
        <f>PROPER(TRIM(SUBSTITUTE([1]RawShipmentData!F843,"  "," ")))</f>
        <v>Grocery &amp; Fmcg</v>
      </c>
      <c r="H835" s="2" t="str">
        <f>PROPER(TRIM([1]RawShipmentData!G843))</f>
        <v>North</v>
      </c>
      <c r="I835" s="2" t="str">
        <f t="shared" si="65"/>
        <v>Yes</v>
      </c>
      <c r="J835" s="2">
        <f>IFERROR(VALUE(TRIM(SUBSTITUTE(UPPER([1]RawShipmentData!I835),"KG",""))),"")</f>
        <v>5</v>
      </c>
      <c r="K835" s="2">
        <f>VALUE(SUBSTITUTE(SUBSTITUTE(SUBSTITUTE(TRIM([1]RawShipmentData!J843),"₹",""),"Rs",""),",",""))</f>
        <v>212</v>
      </c>
      <c r="L835" s="2">
        <f>[1]RawShipmentData!K843</f>
        <v>8</v>
      </c>
      <c r="M835" s="3">
        <f>IF(TRIM([1]RawShipmentData!L843)="","",IF(ISNUMBER(SEARCH("/",TRIM([1]RawShipmentData!L843))),DATE(VALUE(RIGHT(TRIM([1]RawShipmentData!L843),4)),VALUE(MID(TRIM([1]RawShipmentData!L843),FIND("/",TRIM([1]RawShipmentData!L843))+1,2)),VALUE(LEFT(TRIM([1]RawShipmentData!L843),FIND("/",TRIM([1]RawShipmentData!L843))-1))),DATEVALUE(TRIM([1]RawShipmentData!L843))))</f>
        <v>45429</v>
      </c>
      <c r="N835" s="2">
        <f t="shared" si="66"/>
        <v>9</v>
      </c>
      <c r="O835" s="2">
        <f t="shared" si="67"/>
        <v>1</v>
      </c>
      <c r="P835" s="2" t="str">
        <f t="shared" si="68"/>
        <v>Late</v>
      </c>
      <c r="Q835" s="2" t="str">
        <f>PROPER(SUBSTITUTE(TRIM([1]RawShipmentData!M843)," ","-"))</f>
        <v>Delayed</v>
      </c>
      <c r="R835" s="4">
        <f t="shared" ref="R835:R898" si="69">IFERROR(K835/J835,"")</f>
        <v>42.4</v>
      </c>
      <c r="S835" s="2">
        <f>[1]RawShipmentData!N843</f>
        <v>1</v>
      </c>
      <c r="T835" s="2" t="str">
        <f>IF(OR(UPPER(TRIM([1]RawShipmentData!O843))="YES",UPPER(TRIM([1]RawShipmentData!O843))="Y"),"Yes","No")</f>
        <v>Yes</v>
      </c>
    </row>
    <row r="836" spans="1:20" x14ac:dyDescent="0.25">
      <c r="A836" s="2" t="str">
        <f>[1]RawShipmentData!A844</f>
        <v>SHP-100413</v>
      </c>
      <c r="B836" s="3">
        <f>IF(ISNUMBER(SEARCH("/",TRIM([1]RawShipmentData!B844))),DATE(VALUE(RIGHT(TRIM([1]RawShipmentData!B844),4)),VALUE(MID(TRIM([1]RawShipmentData!B844),FIND("/",TRIM([1]RawShipmentData!B844))+1,2)),VALUE(LEFT(TRIM([1]RawShipmentData!B844),FIND("/",TRIM([1]RawShipmentData!B844))-1))),DATEVALUE(TRIM([1]RawShipmentData!B844)))</f>
        <v>45335</v>
      </c>
      <c r="C836" s="2" t="str">
        <f>PROPER(TRIM([1]RawShipmentData!C844))</f>
        <v>Mumbai</v>
      </c>
      <c r="D836" s="2" t="str">
        <f>IFERROR(INDEX([1]HubMaster!$B$2:$B$7,MATCH(C836,[1]HubMaster!$A$2:$A$7,0)),"Unknown")</f>
        <v>West</v>
      </c>
      <c r="E836" s="2" t="str">
        <f>PROPER(TRIM(SUBSTITUTE([1]RawShipmentData!D844,"  "," ")))</f>
        <v>Bluedart</v>
      </c>
      <c r="F836" s="2" t="str">
        <f>PROPER(TRIM([1]RawShipmentData!E844))</f>
        <v>Road</v>
      </c>
      <c r="G836" s="2" t="str">
        <f>PROPER(TRIM(SUBSTITUTE([1]RawShipmentData!F844,"  "," ")))</f>
        <v>Grocery &amp; Fmcg</v>
      </c>
      <c r="H836" s="2" t="str">
        <f>PROPER(TRIM([1]RawShipmentData!G844))</f>
        <v>North</v>
      </c>
      <c r="I836" s="2" t="str">
        <f t="shared" si="65"/>
        <v>Yes</v>
      </c>
      <c r="J836" s="2">
        <f>IFERROR(VALUE(TRIM(SUBSTITUTE(UPPER([1]RawShipmentData!I836),"KG",""))),"")</f>
        <v>59.3</v>
      </c>
      <c r="K836" s="2">
        <f>VALUE(SUBSTITUTE(SUBSTITUTE(SUBSTITUTE(TRIM([1]RawShipmentData!J844),"₹",""),"Rs",""),",",""))</f>
        <v>380</v>
      </c>
      <c r="L836" s="2">
        <f>[1]RawShipmentData!K844</f>
        <v>8</v>
      </c>
      <c r="M836" s="3">
        <f>IF(TRIM([1]RawShipmentData!L844)="","",IF(ISNUMBER(SEARCH("/",TRIM([1]RawShipmentData!L844))),DATE(VALUE(RIGHT(TRIM([1]RawShipmentData!L844),4)),VALUE(MID(TRIM([1]RawShipmentData!L844),FIND("/",TRIM([1]RawShipmentData!L844))+1,2)),VALUE(LEFT(TRIM([1]RawShipmentData!L844),FIND("/",TRIM([1]RawShipmentData!L844))-1))),DATEVALUE(TRIM([1]RawShipmentData!L844))))</f>
        <v>45344</v>
      </c>
      <c r="N836" s="2">
        <f t="shared" si="66"/>
        <v>9</v>
      </c>
      <c r="O836" s="2">
        <f t="shared" si="67"/>
        <v>1</v>
      </c>
      <c r="P836" s="2" t="str">
        <f t="shared" si="68"/>
        <v>Late</v>
      </c>
      <c r="Q836" s="2" t="str">
        <f>PROPER(SUBSTITUTE(TRIM([1]RawShipmentData!M844)," ","-"))</f>
        <v>Delayed</v>
      </c>
      <c r="R836" s="4">
        <f t="shared" si="69"/>
        <v>6.4080944350758857</v>
      </c>
      <c r="S836" s="2">
        <f>[1]RawShipmentData!N844</f>
        <v>3</v>
      </c>
      <c r="T836" s="2" t="str">
        <f>IF(OR(UPPER(TRIM([1]RawShipmentData!O844))="YES",UPPER(TRIM([1]RawShipmentData!O844))="Y"),"Yes","No")</f>
        <v>No</v>
      </c>
    </row>
    <row r="837" spans="1:20" x14ac:dyDescent="0.25">
      <c r="A837" s="2" t="str">
        <f>[1]RawShipmentData!A845</f>
        <v>SHP-100653</v>
      </c>
      <c r="B837" s="3">
        <f>IF(ISNUMBER(SEARCH("/",TRIM([1]RawShipmentData!B845))),DATE(VALUE(RIGHT(TRIM([1]RawShipmentData!B845),4)),VALUE(MID(TRIM([1]RawShipmentData!B845),FIND("/",TRIM([1]RawShipmentData!B845))+1,2)),VALUE(LEFT(TRIM([1]RawShipmentData!B845),FIND("/",TRIM([1]RawShipmentData!B845))-1))),DATEVALUE(TRIM([1]RawShipmentData!B845)))</f>
        <v>45295</v>
      </c>
      <c r="C837" s="2" t="str">
        <f>PROPER(TRIM([1]RawShipmentData!C845))</f>
        <v>Hyderabad</v>
      </c>
      <c r="D837" s="2" t="str">
        <f>IFERROR(INDEX([1]HubMaster!$B$2:$B$7,MATCH(C837,[1]HubMaster!$A$2:$A$7,0)),"Unknown")</f>
        <v>West</v>
      </c>
      <c r="E837" s="2" t="str">
        <f>PROPER(TRIM(SUBSTITUTE([1]RawShipmentData!D845,"  "," ")))</f>
        <v>Dtdc</v>
      </c>
      <c r="F837" s="2" t="str">
        <f>PROPER(TRIM([1]RawShipmentData!E845))</f>
        <v>Air</v>
      </c>
      <c r="G837" s="2" t="str">
        <f>PROPER(TRIM(SUBSTITUTE([1]RawShipmentData!F845,"  "," ")))</f>
        <v>Apparel</v>
      </c>
      <c r="H837" s="2" t="str">
        <f>PROPER(TRIM([1]RawShipmentData!G845))</f>
        <v>North</v>
      </c>
      <c r="I837" s="2" t="str">
        <f t="shared" si="65"/>
        <v>Yes</v>
      </c>
      <c r="J837" s="2">
        <f>IFERROR(VALUE(TRIM(SUBSTITUTE(UPPER([1]RawShipmentData!I837),"KG",""))),"")</f>
        <v>44.9</v>
      </c>
      <c r="K837" s="2">
        <f>VALUE(SUBSTITUTE(SUBSTITUTE(SUBSTITUTE(TRIM([1]RawShipmentData!J845),"₹",""),"Rs",""),",",""))</f>
        <v>431</v>
      </c>
      <c r="L837" s="2">
        <f>[1]RawShipmentData!K845</f>
        <v>4</v>
      </c>
      <c r="M837" s="3">
        <f>IF(TRIM([1]RawShipmentData!L845)="","",IF(ISNUMBER(SEARCH("/",TRIM([1]RawShipmentData!L845))),DATE(VALUE(RIGHT(TRIM([1]RawShipmentData!L845),4)),VALUE(MID(TRIM([1]RawShipmentData!L845),FIND("/",TRIM([1]RawShipmentData!L845))+1,2)),VALUE(LEFT(TRIM([1]RawShipmentData!L845),FIND("/",TRIM([1]RawShipmentData!L845))-1))),DATEVALUE(TRIM([1]RawShipmentData!L845))))</f>
        <v>45299</v>
      </c>
      <c r="N837" s="2">
        <f t="shared" si="66"/>
        <v>4</v>
      </c>
      <c r="O837" s="2">
        <f t="shared" si="67"/>
        <v>0</v>
      </c>
      <c r="P837" s="2" t="str">
        <f t="shared" si="68"/>
        <v>On Time</v>
      </c>
      <c r="Q837" s="2" t="str">
        <f>PROPER(SUBSTITUTE(TRIM([1]RawShipmentData!M845)," ","-"))</f>
        <v>Delivered</v>
      </c>
      <c r="R837" s="4">
        <f t="shared" si="69"/>
        <v>9.5991091314031181</v>
      </c>
      <c r="S837" s="2">
        <f>[1]RawShipmentData!N845</f>
        <v>5</v>
      </c>
      <c r="T837" s="2" t="str">
        <f>IF(OR(UPPER(TRIM([1]RawShipmentData!O845))="YES",UPPER(TRIM([1]RawShipmentData!O845))="Y"),"Yes","No")</f>
        <v>Yes</v>
      </c>
    </row>
    <row r="838" spans="1:20" x14ac:dyDescent="0.25">
      <c r="A838" s="2" t="str">
        <f>[1]RawShipmentData!A846</f>
        <v>SHP-100598</v>
      </c>
      <c r="B838" s="3">
        <f>IF(ISNUMBER(SEARCH("/",TRIM([1]RawShipmentData!B846))),DATE(VALUE(RIGHT(TRIM([1]RawShipmentData!B846),4)),VALUE(MID(TRIM([1]RawShipmentData!B846),FIND("/",TRIM([1]RawShipmentData!B846))+1,2)),VALUE(LEFT(TRIM([1]RawShipmentData!B846),FIND("/",TRIM([1]RawShipmentData!B846))-1))),DATEVALUE(TRIM([1]RawShipmentData!B846)))</f>
        <v>45418</v>
      </c>
      <c r="C838" s="2" t="str">
        <f>PROPER(TRIM([1]RawShipmentData!C846))</f>
        <v>Kolkata</v>
      </c>
      <c r="D838" s="2" t="str">
        <f>IFERROR(INDEX([1]HubMaster!$B$2:$B$7,MATCH(C838,[1]HubMaster!$A$2:$A$7,0)),"Unknown")</f>
        <v>East</v>
      </c>
      <c r="E838" s="2" t="str">
        <f>PROPER(TRIM(SUBSTITUTE([1]RawShipmentData!D846,"  "," ")))</f>
        <v>Delhivery</v>
      </c>
      <c r="F838" s="2" t="str">
        <f>PROPER(TRIM([1]RawShipmentData!E846))</f>
        <v>Air</v>
      </c>
      <c r="G838" s="2" t="str">
        <f>PROPER(TRIM(SUBSTITUTE([1]RawShipmentData!F846,"  "," ")))</f>
        <v>Apparel</v>
      </c>
      <c r="H838" s="2" t="str">
        <f>PROPER(TRIM([1]RawShipmentData!G846))</f>
        <v>East</v>
      </c>
      <c r="I838" s="2" t="str">
        <f t="shared" si="65"/>
        <v>No</v>
      </c>
      <c r="J838" s="2">
        <f>IFERROR(VALUE(TRIM(SUBSTITUTE(UPPER([1]RawShipmentData!I838),"KG",""))),"")</f>
        <v>3.3</v>
      </c>
      <c r="K838" s="2">
        <f>VALUE(SUBSTITUTE(SUBSTITUTE(SUBSTITUTE(TRIM([1]RawShipmentData!J846),"₹",""),"Rs",""),",",""))</f>
        <v>80</v>
      </c>
      <c r="L838" s="2">
        <f>[1]RawShipmentData!K846</f>
        <v>2</v>
      </c>
      <c r="M838" s="3">
        <f>IF(TRIM([1]RawShipmentData!L846)="","",IF(ISNUMBER(SEARCH("/",TRIM([1]RawShipmentData!L846))),DATE(VALUE(RIGHT(TRIM([1]RawShipmentData!L846),4)),VALUE(MID(TRIM([1]RawShipmentData!L846),FIND("/",TRIM([1]RawShipmentData!L846))+1,2)),VALUE(LEFT(TRIM([1]RawShipmentData!L846),FIND("/",TRIM([1]RawShipmentData!L846))-1))),DATEVALUE(TRIM([1]RawShipmentData!L846))))</f>
        <v>45427</v>
      </c>
      <c r="N838" s="2">
        <f t="shared" si="66"/>
        <v>9</v>
      </c>
      <c r="O838" s="2">
        <f t="shared" si="67"/>
        <v>7</v>
      </c>
      <c r="P838" s="2" t="str">
        <f t="shared" si="68"/>
        <v>Late</v>
      </c>
      <c r="Q838" s="2" t="str">
        <f>PROPER(SUBSTITUTE(TRIM([1]RawShipmentData!M846)," ","-"))</f>
        <v>Delayed</v>
      </c>
      <c r="R838" s="4">
        <f t="shared" si="69"/>
        <v>24.242424242424242</v>
      </c>
      <c r="S838" s="2">
        <f>[1]RawShipmentData!N846</f>
        <v>4</v>
      </c>
      <c r="T838" s="2" t="str">
        <f>IF(OR(UPPER(TRIM([1]RawShipmentData!O846))="YES",UPPER(TRIM([1]RawShipmentData!O846))="Y"),"Yes","No")</f>
        <v>No</v>
      </c>
    </row>
    <row r="839" spans="1:20" x14ac:dyDescent="0.25">
      <c r="A839" s="2" t="str">
        <f>[1]RawShipmentData!A847</f>
        <v>SHP-100794</v>
      </c>
      <c r="B839" s="3">
        <f>IF(ISNUMBER(SEARCH("/",TRIM([1]RawShipmentData!B847))),DATE(VALUE(RIGHT(TRIM([1]RawShipmentData!B847),4)),VALUE(MID(TRIM([1]RawShipmentData!B847),FIND("/",TRIM([1]RawShipmentData!B847))+1,2)),VALUE(LEFT(TRIM([1]RawShipmentData!B847),FIND("/",TRIM([1]RawShipmentData!B847))-1))),DATEVALUE(TRIM([1]RawShipmentData!B847)))</f>
        <v>45370</v>
      </c>
      <c r="C839" s="2" t="str">
        <f>PROPER(TRIM([1]RawShipmentData!C847))</f>
        <v>Mumbai</v>
      </c>
      <c r="D839" s="2" t="str">
        <f>IFERROR(INDEX([1]HubMaster!$B$2:$B$7,MATCH(C839,[1]HubMaster!$A$2:$A$7,0)),"Unknown")</f>
        <v>West</v>
      </c>
      <c r="E839" s="2" t="str">
        <f>PROPER(TRIM(SUBSTITUTE([1]RawShipmentData!D847,"  "," ")))</f>
        <v>Xpressbees</v>
      </c>
      <c r="F839" s="2" t="str">
        <f>PROPER(TRIM([1]RawShipmentData!E847))</f>
        <v>Surface</v>
      </c>
      <c r="G839" s="2" t="str">
        <f>PROPER(TRIM(SUBSTITUTE([1]RawShipmentData!F847,"  "," ")))</f>
        <v>Apparel</v>
      </c>
      <c r="H839" s="2" t="str">
        <f>PROPER(TRIM([1]RawShipmentData!G847))</f>
        <v>South</v>
      </c>
      <c r="I839" s="2" t="str">
        <f t="shared" si="65"/>
        <v>Yes</v>
      </c>
      <c r="J839" s="2">
        <f>IFERROR(VALUE(TRIM(SUBSTITUTE(UPPER([1]RawShipmentData!I839),"KG",""))),"")</f>
        <v>11.8</v>
      </c>
      <c r="K839" s="2">
        <f>VALUE(SUBSTITUTE(SUBSTITUTE(SUBSTITUTE(TRIM([1]RawShipmentData!J847),"₹",""),"Rs",""),",",""))</f>
        <v>232</v>
      </c>
      <c r="L839" s="2">
        <f>[1]RawShipmentData!K847</f>
        <v>6</v>
      </c>
      <c r="M839" s="3">
        <f>IF(TRIM([1]RawShipmentData!L847)="","",IF(ISNUMBER(SEARCH("/",TRIM([1]RawShipmentData!L847))),DATE(VALUE(RIGHT(TRIM([1]RawShipmentData!L847),4)),VALUE(MID(TRIM([1]RawShipmentData!L847),FIND("/",TRIM([1]RawShipmentData!L847))+1,2)),VALUE(LEFT(TRIM([1]RawShipmentData!L847),FIND("/",TRIM([1]RawShipmentData!L847))-1))),DATEVALUE(TRIM([1]RawShipmentData!L847))))</f>
        <v>45376</v>
      </c>
      <c r="N839" s="2">
        <f t="shared" si="66"/>
        <v>6</v>
      </c>
      <c r="O839" s="2">
        <f t="shared" si="67"/>
        <v>0</v>
      </c>
      <c r="P839" s="2" t="str">
        <f t="shared" si="68"/>
        <v>On Time</v>
      </c>
      <c r="Q839" s="2" t="str">
        <f>PROPER(SUBSTITUTE(TRIM([1]RawShipmentData!M847)," ","-"))</f>
        <v>Delivered</v>
      </c>
      <c r="R839" s="4">
        <f t="shared" si="69"/>
        <v>19.66101694915254</v>
      </c>
      <c r="S839" s="2">
        <f>[1]RawShipmentData!N847</f>
        <v>4</v>
      </c>
      <c r="T839" s="2" t="str">
        <f>IF(OR(UPPER(TRIM([1]RawShipmentData!O847))="YES",UPPER(TRIM([1]RawShipmentData!O847))="Y"),"Yes","No")</f>
        <v>Yes</v>
      </c>
    </row>
    <row r="840" spans="1:20" x14ac:dyDescent="0.25">
      <c r="A840" s="2" t="str">
        <f>[1]RawShipmentData!A848</f>
        <v>SHP-100489</v>
      </c>
      <c r="B840" s="3">
        <f>IF(ISNUMBER(SEARCH("/",TRIM([1]RawShipmentData!B848))),DATE(VALUE(RIGHT(TRIM([1]RawShipmentData!B848),4)),VALUE(MID(TRIM([1]RawShipmentData!B848),FIND("/",TRIM([1]RawShipmentData!B848))+1,2)),VALUE(LEFT(TRIM([1]RawShipmentData!B848),FIND("/",TRIM([1]RawShipmentData!B848))-1))),DATEVALUE(TRIM([1]RawShipmentData!B848)))</f>
        <v>45355</v>
      </c>
      <c r="C840" s="2" t="str">
        <f>PROPER(TRIM([1]RawShipmentData!C848))</f>
        <v>Hyderabad</v>
      </c>
      <c r="D840" s="2" t="str">
        <f>IFERROR(INDEX([1]HubMaster!$B$2:$B$7,MATCH(C840,[1]HubMaster!$A$2:$A$7,0)),"Unknown")</f>
        <v>West</v>
      </c>
      <c r="E840" s="2" t="str">
        <f>PROPER(TRIM(SUBSTITUTE([1]RawShipmentData!D848,"  "," ")))</f>
        <v>Dtdc</v>
      </c>
      <c r="F840" s="2" t="str">
        <f>PROPER(TRIM([1]RawShipmentData!E848))</f>
        <v>Air</v>
      </c>
      <c r="G840" s="2" t="str">
        <f>PROPER(TRIM(SUBSTITUTE([1]RawShipmentData!F848,"  "," ")))</f>
        <v>Automotive Parts</v>
      </c>
      <c r="H840" s="2" t="str">
        <f>PROPER(TRIM([1]RawShipmentData!G848))</f>
        <v>South</v>
      </c>
      <c r="I840" s="2" t="str">
        <f t="shared" si="65"/>
        <v>Yes</v>
      </c>
      <c r="J840" s="2">
        <f>IFERROR(VALUE(TRIM(SUBSTITUTE(UPPER([1]RawShipmentData!I840),"KG",""))),"")</f>
        <v>33.6</v>
      </c>
      <c r="K840" s="2">
        <f>VALUE(SUBSTITUTE(SUBSTITUTE(SUBSTITUTE(TRIM([1]RawShipmentData!J848),"₹",""),"Rs",""),",",""))</f>
        <v>702</v>
      </c>
      <c r="L840" s="2">
        <f>[1]RawShipmentData!K848</f>
        <v>4</v>
      </c>
      <c r="M840" s="3">
        <f>IF(TRIM([1]RawShipmentData!L848)="","",IF(ISNUMBER(SEARCH("/",TRIM([1]RawShipmentData!L848))),DATE(VALUE(RIGHT(TRIM([1]RawShipmentData!L848),4)),VALUE(MID(TRIM([1]RawShipmentData!L848),FIND("/",TRIM([1]RawShipmentData!L848))+1,2)),VALUE(LEFT(TRIM([1]RawShipmentData!L848),FIND("/",TRIM([1]RawShipmentData!L848))-1))),DATEVALUE(TRIM([1]RawShipmentData!L848))))</f>
        <v>45358</v>
      </c>
      <c r="N840" s="2">
        <f t="shared" si="66"/>
        <v>3</v>
      </c>
      <c r="O840" s="2">
        <f t="shared" si="67"/>
        <v>-1</v>
      </c>
      <c r="P840" s="2" t="str">
        <f t="shared" si="68"/>
        <v>On Time</v>
      </c>
      <c r="Q840" s="2" t="str">
        <f>PROPER(SUBSTITUTE(TRIM([1]RawShipmentData!M848)," ","-"))</f>
        <v>Delivered</v>
      </c>
      <c r="R840" s="4">
        <f t="shared" si="69"/>
        <v>20.892857142857142</v>
      </c>
      <c r="S840" s="2">
        <f>[1]RawShipmentData!N848</f>
        <v>3</v>
      </c>
      <c r="T840" s="2" t="str">
        <f>IF(OR(UPPER(TRIM([1]RawShipmentData!O848))="YES",UPPER(TRIM([1]RawShipmentData!O848))="Y"),"Yes","No")</f>
        <v>No</v>
      </c>
    </row>
    <row r="841" spans="1:20" x14ac:dyDescent="0.25">
      <c r="A841" s="2" t="str">
        <f>[1]RawShipmentData!A849</f>
        <v>SHP-101126</v>
      </c>
      <c r="B841" s="3">
        <f>IF(ISNUMBER(SEARCH("/",TRIM([1]RawShipmentData!B849))),DATE(VALUE(RIGHT(TRIM([1]RawShipmentData!B849),4)),VALUE(MID(TRIM([1]RawShipmentData!B849),FIND("/",TRIM([1]RawShipmentData!B849))+1,2)),VALUE(LEFT(TRIM([1]RawShipmentData!B849),FIND("/",TRIM([1]RawShipmentData!B849))-1))),DATEVALUE(TRIM([1]RawShipmentData!B849)))</f>
        <v>45365</v>
      </c>
      <c r="C841" s="2" t="str">
        <f>PROPER(TRIM([1]RawShipmentData!C849))</f>
        <v>Hyderabad</v>
      </c>
      <c r="D841" s="2" t="str">
        <f>IFERROR(INDEX([1]HubMaster!$B$2:$B$7,MATCH(C841,[1]HubMaster!$A$2:$A$7,0)),"Unknown")</f>
        <v>West</v>
      </c>
      <c r="E841" s="2" t="str">
        <f>PROPER(TRIM(SUBSTITUTE([1]RawShipmentData!D849,"  "," ")))</f>
        <v>Xpress Bees</v>
      </c>
      <c r="F841" s="2" t="str">
        <f>PROPER(TRIM([1]RawShipmentData!E849))</f>
        <v>Air</v>
      </c>
      <c r="G841" s="2" t="str">
        <f>PROPER(TRIM(SUBSTITUTE([1]RawShipmentData!F849,"  "," ")))</f>
        <v>Grocery &amp; Fmcg</v>
      </c>
      <c r="H841" s="2" t="str">
        <f>PROPER(TRIM([1]RawShipmentData!G849))</f>
        <v>South</v>
      </c>
      <c r="I841" s="2" t="str">
        <f t="shared" si="65"/>
        <v>Yes</v>
      </c>
      <c r="J841" s="2">
        <f>IFERROR(VALUE(TRIM(SUBSTITUTE(UPPER([1]RawShipmentData!I841),"KG",""))),"")</f>
        <v>6.1</v>
      </c>
      <c r="K841" s="2">
        <f>VALUE(SUBSTITUTE(SUBSTITUTE(SUBSTITUTE(TRIM([1]RawShipmentData!J849),"₹",""),"Rs",""),",",""))</f>
        <v>953</v>
      </c>
      <c r="L841" s="2">
        <f>[1]RawShipmentData!K849</f>
        <v>4</v>
      </c>
      <c r="M841" s="3">
        <f>IF(TRIM([1]RawShipmentData!L849)="","",IF(ISNUMBER(SEARCH("/",TRIM([1]RawShipmentData!L849))),DATE(VALUE(RIGHT(TRIM([1]RawShipmentData!L849),4)),VALUE(MID(TRIM([1]RawShipmentData!L849),FIND("/",TRIM([1]RawShipmentData!L849))+1,2)),VALUE(LEFT(TRIM([1]RawShipmentData!L849),FIND("/",TRIM([1]RawShipmentData!L849))-1))),DATEVALUE(TRIM([1]RawShipmentData!L849))))</f>
        <v>45377</v>
      </c>
      <c r="N841" s="2">
        <f t="shared" si="66"/>
        <v>12</v>
      </c>
      <c r="O841" s="2">
        <f t="shared" si="67"/>
        <v>8</v>
      </c>
      <c r="P841" s="2" t="str">
        <f t="shared" si="68"/>
        <v>Late</v>
      </c>
      <c r="Q841" s="2" t="str">
        <f>PROPER(SUBSTITUTE(TRIM([1]RawShipmentData!M849)," ","-"))</f>
        <v>Delayed</v>
      </c>
      <c r="R841" s="4">
        <f t="shared" si="69"/>
        <v>156.22950819672133</v>
      </c>
      <c r="S841" s="2">
        <f>[1]RawShipmentData!N849</f>
        <v>5</v>
      </c>
      <c r="T841" s="2" t="str">
        <f>IF(OR(UPPER(TRIM([1]RawShipmentData!O849))="YES",UPPER(TRIM([1]RawShipmentData!O849))="Y"),"Yes","No")</f>
        <v>No</v>
      </c>
    </row>
    <row r="842" spans="1:20" x14ac:dyDescent="0.25">
      <c r="A842" s="2" t="str">
        <f>[1]RawShipmentData!A850</f>
        <v>SHP-101023</v>
      </c>
      <c r="B842" s="3">
        <f>IF(ISNUMBER(SEARCH("/",TRIM([1]RawShipmentData!B850))),DATE(VALUE(RIGHT(TRIM([1]RawShipmentData!B850),4)),VALUE(MID(TRIM([1]RawShipmentData!B850),FIND("/",TRIM([1]RawShipmentData!B850))+1,2)),VALUE(LEFT(TRIM([1]RawShipmentData!B850),FIND("/",TRIM([1]RawShipmentData!B850))-1))),DATEVALUE(TRIM([1]RawShipmentData!B850)))</f>
        <v>45373</v>
      </c>
      <c r="C842" s="2" t="str">
        <f>PROPER(TRIM([1]RawShipmentData!C850))</f>
        <v>Kolkata</v>
      </c>
      <c r="D842" s="2" t="str">
        <f>IFERROR(INDEX([1]HubMaster!$B$2:$B$7,MATCH(C842,[1]HubMaster!$A$2:$A$7,0)),"Unknown")</f>
        <v>East</v>
      </c>
      <c r="E842" s="2" t="str">
        <f>PROPER(TRIM(SUBSTITUTE([1]RawShipmentData!D850,"  "," ")))</f>
        <v>Dtdc</v>
      </c>
      <c r="F842" s="2" t="str">
        <f>PROPER(TRIM([1]RawShipmentData!E850))</f>
        <v>Road</v>
      </c>
      <c r="G842" s="2" t="str">
        <f>PROPER(TRIM(SUBSTITUTE([1]RawShipmentData!F850,"  "," ")))</f>
        <v>Grocery &amp; Fmcg</v>
      </c>
      <c r="H842" s="2" t="str">
        <f>PROPER(TRIM([1]RawShipmentData!G850))</f>
        <v>East</v>
      </c>
      <c r="I842" s="2" t="str">
        <f t="shared" si="65"/>
        <v>No</v>
      </c>
      <c r="J842" s="2">
        <f>IFERROR(VALUE(TRIM(SUBSTITUTE(UPPER([1]RawShipmentData!I842),"KG",""))),"")</f>
        <v>3.3</v>
      </c>
      <c r="K842" s="2">
        <f>VALUE(SUBSTITUTE(SUBSTITUTE(SUBSTITUTE(TRIM([1]RawShipmentData!J850),"₹",""),"Rs",""),",",""))</f>
        <v>80</v>
      </c>
      <c r="L842" s="2">
        <f>[1]RawShipmentData!K850</f>
        <v>6</v>
      </c>
      <c r="M842" s="3">
        <f>IF(TRIM([1]RawShipmentData!L850)="","",IF(ISNUMBER(SEARCH("/",TRIM([1]RawShipmentData!L850))),DATE(VALUE(RIGHT(TRIM([1]RawShipmentData!L850),4)),VALUE(MID(TRIM([1]RawShipmentData!L850),FIND("/",TRIM([1]RawShipmentData!L850))+1,2)),VALUE(LEFT(TRIM([1]RawShipmentData!L850),FIND("/",TRIM([1]RawShipmentData!L850))-1))),DATEVALUE(TRIM([1]RawShipmentData!L850))))</f>
        <v>45383</v>
      </c>
      <c r="N842" s="2">
        <f t="shared" si="66"/>
        <v>10</v>
      </c>
      <c r="O842" s="2">
        <f t="shared" si="67"/>
        <v>4</v>
      </c>
      <c r="P842" s="2" t="str">
        <f t="shared" si="68"/>
        <v>Late</v>
      </c>
      <c r="Q842" s="2" t="str">
        <f>PROPER(SUBSTITUTE(TRIM([1]RawShipmentData!M850)," ","-"))</f>
        <v>Delayed</v>
      </c>
      <c r="R842" s="4">
        <f t="shared" si="69"/>
        <v>24.242424242424242</v>
      </c>
      <c r="S842" s="2">
        <f>[1]RawShipmentData!N850</f>
        <v>3</v>
      </c>
      <c r="T842" s="2" t="str">
        <f>IF(OR(UPPER(TRIM([1]RawShipmentData!O850))="YES",UPPER(TRIM([1]RawShipmentData!O850))="Y"),"Yes","No")</f>
        <v>Yes</v>
      </c>
    </row>
    <row r="843" spans="1:20" x14ac:dyDescent="0.25">
      <c r="A843" s="2" t="str">
        <f>[1]RawShipmentData!A851</f>
        <v>SHP-101322</v>
      </c>
      <c r="B843" s="3">
        <f>IF(ISNUMBER(SEARCH("/",TRIM([1]RawShipmentData!B851))),DATE(VALUE(RIGHT(TRIM([1]RawShipmentData!B851),4)),VALUE(MID(TRIM([1]RawShipmentData!B851),FIND("/",TRIM([1]RawShipmentData!B851))+1,2)),VALUE(LEFT(TRIM([1]RawShipmentData!B851),FIND("/",TRIM([1]RawShipmentData!B851))-1))),DATEVALUE(TRIM([1]RawShipmentData!B851)))</f>
        <v>45421</v>
      </c>
      <c r="C843" s="2" t="str">
        <f>PROPER(TRIM([1]RawShipmentData!C851))</f>
        <v>Delhi</v>
      </c>
      <c r="D843" s="2" t="str">
        <f>IFERROR(INDEX([1]HubMaster!$B$2:$B$7,MATCH(C843,[1]HubMaster!$A$2:$A$7,0)),"Unknown")</f>
        <v>North</v>
      </c>
      <c r="E843" s="2" t="str">
        <f>PROPER(TRIM(SUBSTITUTE([1]RawShipmentData!D851,"  "," ")))</f>
        <v>Dtdc</v>
      </c>
      <c r="F843" s="2" t="str">
        <f>PROPER(TRIM([1]RawShipmentData!E851))</f>
        <v>Surface</v>
      </c>
      <c r="G843" s="2" t="str">
        <f>PROPER(TRIM(SUBSTITUTE([1]RawShipmentData!F851,"  "," ")))</f>
        <v>Pharma</v>
      </c>
      <c r="H843" s="2" t="str">
        <f>PROPER(TRIM([1]RawShipmentData!G851))</f>
        <v>West</v>
      </c>
      <c r="I843" s="2" t="str">
        <f t="shared" si="65"/>
        <v>Yes</v>
      </c>
      <c r="J843" s="2">
        <f>IFERROR(VALUE(TRIM(SUBSTITUTE(UPPER([1]RawShipmentData!I843),"KG",""))),"")</f>
        <v>3.2</v>
      </c>
      <c r="K843" s="2">
        <f>VALUE(SUBSTITUTE(SUBSTITUTE(SUBSTITUTE(TRIM([1]RawShipmentData!J851),"₹",""),"Rs",""),",",""))</f>
        <v>261</v>
      </c>
      <c r="L843" s="2">
        <f>[1]RawShipmentData!K851</f>
        <v>6</v>
      </c>
      <c r="M843" s="3">
        <f>IF(TRIM([1]RawShipmentData!L851)="","",IF(ISNUMBER(SEARCH("/",TRIM([1]RawShipmentData!L851))),DATE(VALUE(RIGHT(TRIM([1]RawShipmentData!L851),4)),VALUE(MID(TRIM([1]RawShipmentData!L851),FIND("/",TRIM([1]RawShipmentData!L851))+1,2)),VALUE(LEFT(TRIM([1]RawShipmentData!L851),FIND("/",TRIM([1]RawShipmentData!L851))-1))),DATEVALUE(TRIM([1]RawShipmentData!L851))))</f>
        <v>45428</v>
      </c>
      <c r="N843" s="2">
        <f t="shared" si="66"/>
        <v>7</v>
      </c>
      <c r="O843" s="2">
        <f t="shared" si="67"/>
        <v>1</v>
      </c>
      <c r="P843" s="2" t="str">
        <f t="shared" si="68"/>
        <v>Late</v>
      </c>
      <c r="Q843" s="2" t="str">
        <f>PROPER(SUBSTITUTE(TRIM([1]RawShipmentData!M851)," ","-"))</f>
        <v>Delayed</v>
      </c>
      <c r="R843" s="4">
        <f t="shared" si="69"/>
        <v>81.5625</v>
      </c>
      <c r="S843" s="2">
        <f>[1]RawShipmentData!N851</f>
        <v>3</v>
      </c>
      <c r="T843" s="2" t="str">
        <f>IF(OR(UPPER(TRIM([1]RawShipmentData!O851))="YES",UPPER(TRIM([1]RawShipmentData!O851))="Y"),"Yes","No")</f>
        <v>No</v>
      </c>
    </row>
    <row r="844" spans="1:20" x14ac:dyDescent="0.25">
      <c r="A844" s="2" t="str">
        <f>[1]RawShipmentData!A852</f>
        <v>SHP-101086</v>
      </c>
      <c r="B844" s="3">
        <f>IF(ISNUMBER(SEARCH("/",TRIM([1]RawShipmentData!B852))),DATE(VALUE(RIGHT(TRIM([1]RawShipmentData!B852),4)),VALUE(MID(TRIM([1]RawShipmentData!B852),FIND("/",TRIM([1]RawShipmentData!B852))+1,2)),VALUE(LEFT(TRIM([1]RawShipmentData!B852),FIND("/",TRIM([1]RawShipmentData!B852))-1))),DATEVALUE(TRIM([1]RawShipmentData!B852)))</f>
        <v>45435</v>
      </c>
      <c r="C844" s="2" t="str">
        <f>PROPER(TRIM([1]RawShipmentData!C852))</f>
        <v>Mumbai</v>
      </c>
      <c r="D844" s="2" t="str">
        <f>IFERROR(INDEX([1]HubMaster!$B$2:$B$7,MATCH(C844,[1]HubMaster!$A$2:$A$7,0)),"Unknown")</f>
        <v>West</v>
      </c>
      <c r="E844" s="2" t="str">
        <f>PROPER(TRIM(SUBSTITUTE([1]RawShipmentData!D852,"  "," ")))</f>
        <v>Delhivery</v>
      </c>
      <c r="F844" s="2" t="str">
        <f>PROPER(TRIM([1]RawShipmentData!E852))</f>
        <v>Surface</v>
      </c>
      <c r="G844" s="2" t="str">
        <f>PROPER(TRIM(SUBSTITUTE([1]RawShipmentData!F852,"  "," ")))</f>
        <v>Furniture</v>
      </c>
      <c r="H844" s="2" t="str">
        <f>PROPER(TRIM([1]RawShipmentData!G852))</f>
        <v>North</v>
      </c>
      <c r="I844" s="2" t="str">
        <f t="shared" si="65"/>
        <v>Yes</v>
      </c>
      <c r="J844" s="2">
        <f>IFERROR(VALUE(TRIM(SUBSTITUTE(UPPER([1]RawShipmentData!I844),"KG",""))),"")</f>
        <v>14.1</v>
      </c>
      <c r="K844" s="2">
        <f>VALUE(SUBSTITUTE(SUBSTITUTE(SUBSTITUTE(TRIM([1]RawShipmentData!J852),"₹",""),"Rs",""),",",""))</f>
        <v>1897</v>
      </c>
      <c r="L844" s="2">
        <f>[1]RawShipmentData!K852</f>
        <v>6</v>
      </c>
      <c r="M844" s="3">
        <f>IF(TRIM([1]RawShipmentData!L852)="","",IF(ISNUMBER(SEARCH("/",TRIM([1]RawShipmentData!L852))),DATE(VALUE(RIGHT(TRIM([1]RawShipmentData!L852),4)),VALUE(MID(TRIM([1]RawShipmentData!L852),FIND("/",TRIM([1]RawShipmentData!L852))+1,2)),VALUE(LEFT(TRIM([1]RawShipmentData!L852),FIND("/",TRIM([1]RawShipmentData!L852))-1))),DATEVALUE(TRIM([1]RawShipmentData!L852))))</f>
        <v>45442</v>
      </c>
      <c r="N844" s="2">
        <f t="shared" si="66"/>
        <v>7</v>
      </c>
      <c r="O844" s="2">
        <f t="shared" si="67"/>
        <v>1</v>
      </c>
      <c r="P844" s="2" t="str">
        <f t="shared" si="68"/>
        <v>Late</v>
      </c>
      <c r="Q844" s="2" t="str">
        <f>PROPER(SUBSTITUTE(TRIM([1]RawShipmentData!M852)," ","-"))</f>
        <v>Damaged</v>
      </c>
      <c r="R844" s="4">
        <f t="shared" si="69"/>
        <v>134.53900709219857</v>
      </c>
      <c r="S844" s="2">
        <f>[1]RawShipmentData!N852</f>
        <v>0</v>
      </c>
      <c r="T844" s="2" t="str">
        <f>IF(OR(UPPER(TRIM([1]RawShipmentData!O852))="YES",UPPER(TRIM([1]RawShipmentData!O852))="Y"),"Yes","No")</f>
        <v>Yes</v>
      </c>
    </row>
    <row r="845" spans="1:20" x14ac:dyDescent="0.25">
      <c r="A845" s="2" t="str">
        <f>[1]RawShipmentData!A853</f>
        <v>SHP-101521</v>
      </c>
      <c r="B845" s="3">
        <f>IF(ISNUMBER(SEARCH("/",TRIM([1]RawShipmentData!B853))),DATE(VALUE(RIGHT(TRIM([1]RawShipmentData!B853),4)),VALUE(MID(TRIM([1]RawShipmentData!B853),FIND("/",TRIM([1]RawShipmentData!B853))+1,2)),VALUE(LEFT(TRIM([1]RawShipmentData!B853),FIND("/",TRIM([1]RawShipmentData!B853))-1))),DATEVALUE(TRIM([1]RawShipmentData!B853)))</f>
        <v>45308</v>
      </c>
      <c r="C845" s="2" t="str">
        <f>PROPER(TRIM([1]RawShipmentData!C853))</f>
        <v>Mumbai</v>
      </c>
      <c r="D845" s="2" t="str">
        <f>IFERROR(INDEX([1]HubMaster!$B$2:$B$7,MATCH(C845,[1]HubMaster!$A$2:$A$7,0)),"Unknown")</f>
        <v>West</v>
      </c>
      <c r="E845" s="2" t="str">
        <f>PROPER(TRIM(SUBSTITUTE([1]RawShipmentData!D853,"  "," ")))</f>
        <v>Dtdc</v>
      </c>
      <c r="F845" s="2" t="str">
        <f>PROPER(TRIM([1]RawShipmentData!E853))</f>
        <v>Surface</v>
      </c>
      <c r="G845" s="2" t="str">
        <f>PROPER(TRIM(SUBSTITUTE([1]RawShipmentData!F853,"  "," ")))</f>
        <v>Automotive Parts</v>
      </c>
      <c r="H845" s="2" t="str">
        <f>PROPER(TRIM([1]RawShipmentData!G853))</f>
        <v>East</v>
      </c>
      <c r="I845" s="2" t="str">
        <f t="shared" si="65"/>
        <v>Yes</v>
      </c>
      <c r="J845" s="2">
        <f>IFERROR(VALUE(TRIM(SUBSTITUTE(UPPER([1]RawShipmentData!I845),"KG",""))),"")</f>
        <v>6.9</v>
      </c>
      <c r="K845" s="2">
        <f>VALUE(SUBSTITUTE(SUBSTITUTE(SUBSTITUTE(TRIM([1]RawShipmentData!J853),"₹",""),"Rs",""),",",""))</f>
        <v>713</v>
      </c>
      <c r="L845" s="2">
        <f>[1]RawShipmentData!K853</f>
        <v>6</v>
      </c>
      <c r="M845" s="3">
        <f>IF(TRIM([1]RawShipmentData!L853)="","",IF(ISNUMBER(SEARCH("/",TRIM([1]RawShipmentData!L853))),DATE(VALUE(RIGHT(TRIM([1]RawShipmentData!L853),4)),VALUE(MID(TRIM([1]RawShipmentData!L853),FIND("/",TRIM([1]RawShipmentData!L853))+1,2)),VALUE(LEFT(TRIM([1]RawShipmentData!L853),FIND("/",TRIM([1]RawShipmentData!L853))-1))),DATEVALUE(TRIM([1]RawShipmentData!L853))))</f>
        <v>45315</v>
      </c>
      <c r="N845" s="2">
        <f t="shared" si="66"/>
        <v>7</v>
      </c>
      <c r="O845" s="2">
        <f t="shared" si="67"/>
        <v>1</v>
      </c>
      <c r="P845" s="2" t="str">
        <f t="shared" si="68"/>
        <v>Late</v>
      </c>
      <c r="Q845" s="2" t="str">
        <f>PROPER(SUBSTITUTE(TRIM([1]RawShipmentData!M853)," ","-"))</f>
        <v>Delayed</v>
      </c>
      <c r="R845" s="4">
        <f t="shared" si="69"/>
        <v>103.33333333333333</v>
      </c>
      <c r="S845" s="2">
        <f>[1]RawShipmentData!N853</f>
        <v>4</v>
      </c>
      <c r="T845" s="2" t="str">
        <f>IF(OR(UPPER(TRIM([1]RawShipmentData!O853))="YES",UPPER(TRIM([1]RawShipmentData!O853))="Y"),"Yes","No")</f>
        <v>Yes</v>
      </c>
    </row>
    <row r="846" spans="1:20" x14ac:dyDescent="0.25">
      <c r="A846" s="2" t="str">
        <f>[1]RawShipmentData!A854</f>
        <v>SHP-100172</v>
      </c>
      <c r="B846" s="3">
        <f>IF(ISNUMBER(SEARCH("/",TRIM([1]RawShipmentData!B854))),DATE(VALUE(RIGHT(TRIM([1]RawShipmentData!B854),4)),VALUE(MID(TRIM([1]RawShipmentData!B854),FIND("/",TRIM([1]RawShipmentData!B854))+1,2)),VALUE(LEFT(TRIM([1]RawShipmentData!B854),FIND("/",TRIM([1]RawShipmentData!B854))-1))),DATEVALUE(TRIM([1]RawShipmentData!B854)))</f>
        <v>45365</v>
      </c>
      <c r="C846" s="2" t="str">
        <f>PROPER(TRIM([1]RawShipmentData!C854))</f>
        <v>Kolkata</v>
      </c>
      <c r="D846" s="2" t="str">
        <f>IFERROR(INDEX([1]HubMaster!$B$2:$B$7,MATCH(C846,[1]HubMaster!$A$2:$A$7,0)),"Unknown")</f>
        <v>East</v>
      </c>
      <c r="E846" s="2" t="str">
        <f>PROPER(TRIM(SUBSTITUTE([1]RawShipmentData!D854,"  "," ")))</f>
        <v>Dtdc</v>
      </c>
      <c r="F846" s="2" t="str">
        <f>PROPER(TRIM([1]RawShipmentData!E854))</f>
        <v>Surface</v>
      </c>
      <c r="G846" s="2" t="str">
        <f>PROPER(TRIM(SUBSTITUTE([1]RawShipmentData!F854,"  "," ")))</f>
        <v>Pharma</v>
      </c>
      <c r="H846" s="2" t="str">
        <f>PROPER(TRIM([1]RawShipmentData!G854))</f>
        <v>North</v>
      </c>
      <c r="I846" s="2" t="str">
        <f t="shared" si="65"/>
        <v>Yes</v>
      </c>
      <c r="J846" s="2">
        <f>IFERROR(VALUE(TRIM(SUBSTITUTE(UPPER([1]RawShipmentData!I846),"KG",""))),"")</f>
        <v>1.9</v>
      </c>
      <c r="K846" s="2">
        <f>VALUE(SUBSTITUTE(SUBSTITUTE(SUBSTITUTE(TRIM([1]RawShipmentData!J854),"₹",""),"Rs",""),",",""))</f>
        <v>269</v>
      </c>
      <c r="L846" s="2">
        <f>[1]RawShipmentData!K854</f>
        <v>6</v>
      </c>
      <c r="M846" s="3">
        <f>IF(TRIM([1]RawShipmentData!L854)="","",IF(ISNUMBER(SEARCH("/",TRIM([1]RawShipmentData!L854))),DATE(VALUE(RIGHT(TRIM([1]RawShipmentData!L854),4)),VALUE(MID(TRIM([1]RawShipmentData!L854),FIND("/",TRIM([1]RawShipmentData!L854))+1,2)),VALUE(LEFT(TRIM([1]RawShipmentData!L854),FIND("/",TRIM([1]RawShipmentData!L854))-1))),DATEVALUE(TRIM([1]RawShipmentData!L854))))</f>
        <v>45372</v>
      </c>
      <c r="N846" s="2">
        <f t="shared" si="66"/>
        <v>7</v>
      </c>
      <c r="O846" s="2">
        <f t="shared" si="67"/>
        <v>1</v>
      </c>
      <c r="P846" s="2" t="str">
        <f t="shared" si="68"/>
        <v>Late</v>
      </c>
      <c r="Q846" s="2" t="str">
        <f>PROPER(SUBSTITUTE(TRIM([1]RawShipmentData!M854)," ","-"))</f>
        <v>Delayed</v>
      </c>
      <c r="R846" s="4">
        <f t="shared" si="69"/>
        <v>141.57894736842107</v>
      </c>
      <c r="S846" s="2">
        <f>[1]RawShipmentData!N854</f>
        <v>5</v>
      </c>
      <c r="T846" s="2" t="str">
        <f>IF(OR(UPPER(TRIM([1]RawShipmentData!O854))="YES",UPPER(TRIM([1]RawShipmentData!O854))="Y"),"Yes","No")</f>
        <v>No</v>
      </c>
    </row>
    <row r="847" spans="1:20" x14ac:dyDescent="0.25">
      <c r="A847" s="2" t="str">
        <f>[1]RawShipmentData!A855</f>
        <v>SHP-100009</v>
      </c>
      <c r="B847" s="3">
        <f>IF(ISNUMBER(SEARCH("/",TRIM([1]RawShipmentData!B855))),DATE(VALUE(RIGHT(TRIM([1]RawShipmentData!B855),4)),VALUE(MID(TRIM([1]RawShipmentData!B855),FIND("/",TRIM([1]RawShipmentData!B855))+1,2)),VALUE(LEFT(TRIM([1]RawShipmentData!B855),FIND("/",TRIM([1]RawShipmentData!B855))-1))),DATEVALUE(TRIM([1]RawShipmentData!B855)))</f>
        <v>45423</v>
      </c>
      <c r="C847" s="2" t="str">
        <f>PROPER(TRIM([1]RawShipmentData!C855))</f>
        <v>Chennai</v>
      </c>
      <c r="D847" s="2" t="str">
        <f>IFERROR(INDEX([1]HubMaster!$B$2:$B$7,MATCH(C847,[1]HubMaster!$A$2:$A$7,0)),"Unknown")</f>
        <v>South</v>
      </c>
      <c r="E847" s="2" t="str">
        <f>PROPER(TRIM(SUBSTITUTE([1]RawShipmentData!D855,"  "," ")))</f>
        <v>Ecom Express</v>
      </c>
      <c r="F847" s="2" t="str">
        <f>PROPER(TRIM([1]RawShipmentData!E855))</f>
        <v>Surface</v>
      </c>
      <c r="G847" s="2" t="str">
        <f>PROPER(TRIM(SUBSTITUTE([1]RawShipmentData!F855,"  "," ")))</f>
        <v>Furniture</v>
      </c>
      <c r="H847" s="2" t="str">
        <f>PROPER(TRIM([1]RawShipmentData!G855))</f>
        <v>West</v>
      </c>
      <c r="I847" s="2" t="str">
        <f t="shared" si="65"/>
        <v>Yes</v>
      </c>
      <c r="J847" s="2">
        <f>IFERROR(VALUE(TRIM(SUBSTITUTE(UPPER([1]RawShipmentData!I847),"KG",""))),"")</f>
        <v>3.7</v>
      </c>
      <c r="K847" s="2">
        <f>VALUE(SUBSTITUTE(SUBSTITUTE(SUBSTITUTE(TRIM([1]RawShipmentData!J855),"₹",""),"Rs",""),",",""))</f>
        <v>1322</v>
      </c>
      <c r="L847" s="2">
        <f>[1]RawShipmentData!K855</f>
        <v>6</v>
      </c>
      <c r="M847" s="3">
        <f>IF(TRIM([1]RawShipmentData!L855)="","",IF(ISNUMBER(SEARCH("/",TRIM([1]RawShipmentData!L855))),DATE(VALUE(RIGHT(TRIM([1]RawShipmentData!L855),4)),VALUE(MID(TRIM([1]RawShipmentData!L855),FIND("/",TRIM([1]RawShipmentData!L855))+1,2)),VALUE(LEFT(TRIM([1]RawShipmentData!L855),FIND("/",TRIM([1]RawShipmentData!L855))-1))),DATEVALUE(TRIM([1]RawShipmentData!L855))))</f>
        <v>45428</v>
      </c>
      <c r="N847" s="2">
        <f t="shared" si="66"/>
        <v>5</v>
      </c>
      <c r="O847" s="2">
        <f t="shared" si="67"/>
        <v>-1</v>
      </c>
      <c r="P847" s="2" t="str">
        <f t="shared" si="68"/>
        <v>On Time</v>
      </c>
      <c r="Q847" s="2" t="str">
        <f>PROPER(SUBSTITUTE(TRIM([1]RawShipmentData!M855)," ","-"))</f>
        <v>Delivered</v>
      </c>
      <c r="R847" s="4">
        <f t="shared" si="69"/>
        <v>357.29729729729729</v>
      </c>
      <c r="S847" s="2">
        <f>[1]RawShipmentData!N855</f>
        <v>4</v>
      </c>
      <c r="T847" s="2" t="str">
        <f>IF(OR(UPPER(TRIM([1]RawShipmentData!O855))="YES",UPPER(TRIM([1]RawShipmentData!O855))="Y"),"Yes","No")</f>
        <v>No</v>
      </c>
    </row>
    <row r="848" spans="1:20" x14ac:dyDescent="0.25">
      <c r="A848" s="2" t="str">
        <f>[1]RawShipmentData!A856</f>
        <v>SHP-100278</v>
      </c>
      <c r="B848" s="3">
        <f>IF(ISNUMBER(SEARCH("/",TRIM([1]RawShipmentData!B856))),DATE(VALUE(RIGHT(TRIM([1]RawShipmentData!B856),4)),VALUE(MID(TRIM([1]RawShipmentData!B856),FIND("/",TRIM([1]RawShipmentData!B856))+1,2)),VALUE(LEFT(TRIM([1]RawShipmentData!B856),FIND("/",TRIM([1]RawShipmentData!B856))-1))),DATEVALUE(TRIM([1]RawShipmentData!B856)))</f>
        <v>45425</v>
      </c>
      <c r="C848" s="2" t="str">
        <f>PROPER(TRIM([1]RawShipmentData!C856))</f>
        <v>Bengaluru</v>
      </c>
      <c r="D848" s="2" t="str">
        <f>IFERROR(INDEX([1]HubMaster!$B$2:$B$7,MATCH(C848,[1]HubMaster!$A$2:$A$7,0)),"Unknown")</f>
        <v>South</v>
      </c>
      <c r="E848" s="2" t="str">
        <f>PROPER(TRIM(SUBSTITUTE([1]RawShipmentData!D856,"  "," ")))</f>
        <v>Xpressbees</v>
      </c>
      <c r="F848" s="2" t="str">
        <f>PROPER(TRIM([1]RawShipmentData!E856))</f>
        <v>Road</v>
      </c>
      <c r="G848" s="2" t="str">
        <f>PROPER(TRIM(SUBSTITUTE([1]RawShipmentData!F856,"  "," ")))</f>
        <v>Automotive Parts</v>
      </c>
      <c r="H848" s="2" t="str">
        <f>PROPER(TRIM([1]RawShipmentData!G856))</f>
        <v>North</v>
      </c>
      <c r="I848" s="2" t="str">
        <f t="shared" si="65"/>
        <v>Yes</v>
      </c>
      <c r="J848" s="2">
        <f>IFERROR(VALUE(TRIM(SUBSTITUTE(UPPER([1]RawShipmentData!I848),"KG",""))),"")</f>
        <v>12.5</v>
      </c>
      <c r="K848" s="2">
        <f>VALUE(SUBSTITUTE(SUBSTITUTE(SUBSTITUTE(TRIM([1]RawShipmentData!J856),"₹",""),"Rs",""),",",""))</f>
        <v>240</v>
      </c>
      <c r="L848" s="2">
        <f>[1]RawShipmentData!K856</f>
        <v>8</v>
      </c>
      <c r="M848" s="3">
        <f>IF(TRIM([1]RawShipmentData!L856)="","",IF(ISNUMBER(SEARCH("/",TRIM([1]RawShipmentData!L856))),DATE(VALUE(RIGHT(TRIM([1]RawShipmentData!L856),4)),VALUE(MID(TRIM([1]RawShipmentData!L856),FIND("/",TRIM([1]RawShipmentData!L856))+1,2)),VALUE(LEFT(TRIM([1]RawShipmentData!L856),FIND("/",TRIM([1]RawShipmentData!L856))-1))),DATEVALUE(TRIM([1]RawShipmentData!L856))))</f>
        <v>45432</v>
      </c>
      <c r="N848" s="2">
        <f t="shared" si="66"/>
        <v>7</v>
      </c>
      <c r="O848" s="2">
        <f t="shared" si="67"/>
        <v>-1</v>
      </c>
      <c r="P848" s="2" t="str">
        <f t="shared" si="68"/>
        <v>On Time</v>
      </c>
      <c r="Q848" s="2" t="str">
        <f>PROPER(SUBSTITUTE(TRIM([1]RawShipmentData!M856)," ","-"))</f>
        <v>Delivered</v>
      </c>
      <c r="R848" s="4">
        <f t="shared" si="69"/>
        <v>19.2</v>
      </c>
      <c r="S848" s="2">
        <f>[1]RawShipmentData!N856</f>
        <v>4</v>
      </c>
      <c r="T848" s="2" t="str">
        <f>IF(OR(UPPER(TRIM([1]RawShipmentData!O856))="YES",UPPER(TRIM([1]RawShipmentData!O856))="Y"),"Yes","No")</f>
        <v>No</v>
      </c>
    </row>
    <row r="849" spans="1:20" x14ac:dyDescent="0.25">
      <c r="A849" s="2" t="str">
        <f>[1]RawShipmentData!A857</f>
        <v>SHP-100616</v>
      </c>
      <c r="B849" s="3">
        <f>IF(ISNUMBER(SEARCH("/",TRIM([1]RawShipmentData!B857))),DATE(VALUE(RIGHT(TRIM([1]RawShipmentData!B857),4)),VALUE(MID(TRIM([1]RawShipmentData!B857),FIND("/",TRIM([1]RawShipmentData!B857))+1,2)),VALUE(LEFT(TRIM([1]RawShipmentData!B857),FIND("/",TRIM([1]RawShipmentData!B857))-1))),DATEVALUE(TRIM([1]RawShipmentData!B857)))</f>
        <v>45383</v>
      </c>
      <c r="C849" s="2" t="str">
        <f>PROPER(TRIM([1]RawShipmentData!C857))</f>
        <v>Bengaluru</v>
      </c>
      <c r="D849" s="2" t="str">
        <f>IFERROR(INDEX([1]HubMaster!$B$2:$B$7,MATCH(C849,[1]HubMaster!$A$2:$A$7,0)),"Unknown")</f>
        <v>South</v>
      </c>
      <c r="E849" s="2" t="str">
        <f>PROPER(TRIM(SUBSTITUTE([1]RawShipmentData!D857,"  "," ")))</f>
        <v>Dtdc</v>
      </c>
      <c r="F849" s="2" t="str">
        <f>PROPER(TRIM([1]RawShipmentData!E857))</f>
        <v>Surface</v>
      </c>
      <c r="G849" s="2" t="str">
        <f>PROPER(TRIM(SUBSTITUTE([1]RawShipmentData!F857,"  "," ")))</f>
        <v>Furniture</v>
      </c>
      <c r="H849" s="2" t="str">
        <f>PROPER(TRIM([1]RawShipmentData!G857))</f>
        <v>South</v>
      </c>
      <c r="I849" s="2" t="str">
        <f t="shared" si="65"/>
        <v>No</v>
      </c>
      <c r="J849" s="2">
        <f>IFERROR(VALUE(TRIM(SUBSTITUTE(UPPER([1]RawShipmentData!I849),"KG",""))),"")</f>
        <v>17.7</v>
      </c>
      <c r="K849" s="2">
        <f>VALUE(SUBSTITUTE(SUBSTITUTE(SUBSTITUTE(TRIM([1]RawShipmentData!J857),"₹",""),"Rs",""),",",""))</f>
        <v>425</v>
      </c>
      <c r="L849" s="2">
        <f>[1]RawShipmentData!K857</f>
        <v>4</v>
      </c>
      <c r="M849" s="3">
        <f>IF(TRIM([1]RawShipmentData!L857)="","",IF(ISNUMBER(SEARCH("/",TRIM([1]RawShipmentData!L857))),DATE(VALUE(RIGHT(TRIM([1]RawShipmentData!L857),4)),VALUE(MID(TRIM([1]RawShipmentData!L857),FIND("/",TRIM([1]RawShipmentData!L857))+1,2)),VALUE(LEFT(TRIM([1]RawShipmentData!L857),FIND("/",TRIM([1]RawShipmentData!L857))-1))),DATEVALUE(TRIM([1]RawShipmentData!L857))))</f>
        <v>45392</v>
      </c>
      <c r="N849" s="2">
        <f t="shared" si="66"/>
        <v>9</v>
      </c>
      <c r="O849" s="2">
        <f t="shared" si="67"/>
        <v>5</v>
      </c>
      <c r="P849" s="2" t="str">
        <f t="shared" si="68"/>
        <v>Late</v>
      </c>
      <c r="Q849" s="2" t="str">
        <f>PROPER(SUBSTITUTE(TRIM([1]RawShipmentData!M857)," ","-"))</f>
        <v>Delayed</v>
      </c>
      <c r="R849" s="4">
        <f t="shared" si="69"/>
        <v>24.011299435028249</v>
      </c>
      <c r="S849" s="2">
        <f>[1]RawShipmentData!N857</f>
        <v>2</v>
      </c>
      <c r="T849" s="2" t="str">
        <f>IF(OR(UPPER(TRIM([1]RawShipmentData!O857))="YES",UPPER(TRIM([1]RawShipmentData!O857))="Y"),"Yes","No")</f>
        <v>No</v>
      </c>
    </row>
    <row r="850" spans="1:20" x14ac:dyDescent="0.25">
      <c r="A850" s="2" t="str">
        <f>[1]RawShipmentData!A858</f>
        <v>SHP-101301</v>
      </c>
      <c r="B850" s="3">
        <f>IF(ISNUMBER(SEARCH("/",TRIM([1]RawShipmentData!B858))),DATE(VALUE(RIGHT(TRIM([1]RawShipmentData!B858),4)),VALUE(MID(TRIM([1]RawShipmentData!B858),FIND("/",TRIM([1]RawShipmentData!B858))+1,2)),VALUE(LEFT(TRIM([1]RawShipmentData!B858),FIND("/",TRIM([1]RawShipmentData!B858))-1))),DATEVALUE(TRIM([1]RawShipmentData!B858)))</f>
        <v>45385</v>
      </c>
      <c r="C850" s="2" t="str">
        <f>PROPER(TRIM([1]RawShipmentData!C858))</f>
        <v>Delhi</v>
      </c>
      <c r="D850" s="2" t="str">
        <f>IFERROR(INDEX([1]HubMaster!$B$2:$B$7,MATCH(C850,[1]HubMaster!$A$2:$A$7,0)),"Unknown")</f>
        <v>North</v>
      </c>
      <c r="E850" s="2" t="str">
        <f>PROPER(TRIM(SUBSTITUTE([1]RawShipmentData!D858,"  "," ")))</f>
        <v>Delhivery</v>
      </c>
      <c r="F850" s="2" t="str">
        <f>PROPER(TRIM([1]RawShipmentData!E858))</f>
        <v>Surface</v>
      </c>
      <c r="G850" s="2" t="str">
        <f>PROPER(TRIM(SUBSTITUTE([1]RawShipmentData!F858,"  "," ")))</f>
        <v>Automotive Parts</v>
      </c>
      <c r="H850" s="2" t="str">
        <f>PROPER(TRIM([1]RawShipmentData!G858))</f>
        <v>East</v>
      </c>
      <c r="I850" s="2" t="str">
        <f t="shared" si="65"/>
        <v>Yes</v>
      </c>
      <c r="J850" s="2">
        <f>IFERROR(VALUE(TRIM(SUBSTITUTE(UPPER([1]RawShipmentData!I850),"KG",""))),"")</f>
        <v>2.5</v>
      </c>
      <c r="K850" s="2">
        <f>VALUE(SUBSTITUTE(SUBSTITUTE(SUBSTITUTE(TRIM([1]RawShipmentData!J858),"₹",""),"Rs",""),",",""))</f>
        <v>1014</v>
      </c>
      <c r="L850" s="2">
        <f>[1]RawShipmentData!K858</f>
        <v>6</v>
      </c>
      <c r="M850" s="3">
        <f>IF(TRIM([1]RawShipmentData!L858)="","",IF(ISNUMBER(SEARCH("/",TRIM([1]RawShipmentData!L858))),DATE(VALUE(RIGHT(TRIM([1]RawShipmentData!L858),4)),VALUE(MID(TRIM([1]RawShipmentData!L858),FIND("/",TRIM([1]RawShipmentData!L858))+1,2)),VALUE(LEFT(TRIM([1]RawShipmentData!L858),FIND("/",TRIM([1]RawShipmentData!L858))-1))),DATEVALUE(TRIM([1]RawShipmentData!L858))))</f>
        <v>45392</v>
      </c>
      <c r="N850" s="2">
        <f t="shared" si="66"/>
        <v>7</v>
      </c>
      <c r="O850" s="2">
        <f t="shared" si="67"/>
        <v>1</v>
      </c>
      <c r="P850" s="2" t="str">
        <f t="shared" si="68"/>
        <v>Late</v>
      </c>
      <c r="Q850" s="2" t="str">
        <f>PROPER(SUBSTITUTE(TRIM([1]RawShipmentData!M858)," ","-"))</f>
        <v>Delayed</v>
      </c>
      <c r="R850" s="4">
        <f t="shared" si="69"/>
        <v>405.6</v>
      </c>
      <c r="S850" s="2">
        <f>[1]RawShipmentData!N858</f>
        <v>1</v>
      </c>
      <c r="T850" s="2" t="str">
        <f>IF(OR(UPPER(TRIM([1]RawShipmentData!O858))="YES",UPPER(TRIM([1]RawShipmentData!O858))="Y"),"Yes","No")</f>
        <v>No</v>
      </c>
    </row>
    <row r="851" spans="1:20" x14ac:dyDescent="0.25">
      <c r="A851" s="2" t="str">
        <f>[1]RawShipmentData!A859</f>
        <v>SHP-100516</v>
      </c>
      <c r="B851" s="3">
        <f>IF(ISNUMBER(SEARCH("/",TRIM([1]RawShipmentData!B859))),DATE(VALUE(RIGHT(TRIM([1]RawShipmentData!B859),4)),VALUE(MID(TRIM([1]RawShipmentData!B859),FIND("/",TRIM([1]RawShipmentData!B859))+1,2)),VALUE(LEFT(TRIM([1]RawShipmentData!B859),FIND("/",TRIM([1]RawShipmentData!B859))-1))),DATEVALUE(TRIM([1]RawShipmentData!B859)))</f>
        <v>45324</v>
      </c>
      <c r="C851" s="2" t="str">
        <f>PROPER(TRIM([1]RawShipmentData!C859))</f>
        <v>Kolkata</v>
      </c>
      <c r="D851" s="2" t="str">
        <f>IFERROR(INDEX([1]HubMaster!$B$2:$B$7,MATCH(C851,[1]HubMaster!$A$2:$A$7,0)),"Unknown")</f>
        <v>East</v>
      </c>
      <c r="E851" s="2" t="str">
        <f>PROPER(TRIM(SUBSTITUTE([1]RawShipmentData!D859,"  "," ")))</f>
        <v>Delhivery</v>
      </c>
      <c r="F851" s="2" t="str">
        <f>PROPER(TRIM([1]RawShipmentData!E859))</f>
        <v>Air</v>
      </c>
      <c r="G851" s="2" t="str">
        <f>PROPER(TRIM(SUBSTITUTE([1]RawShipmentData!F859,"  "," ")))</f>
        <v>Automotive Parts</v>
      </c>
      <c r="H851" s="2" t="str">
        <f>PROPER(TRIM([1]RawShipmentData!G859))</f>
        <v>North</v>
      </c>
      <c r="I851" s="2" t="str">
        <f t="shared" si="65"/>
        <v>Yes</v>
      </c>
      <c r="J851" s="2">
        <f>IFERROR(VALUE(TRIM(SUBSTITUTE(UPPER([1]RawShipmentData!I851),"KG",""))),"")</f>
        <v>2.7</v>
      </c>
      <c r="K851" s="2">
        <f>VALUE(SUBSTITUTE(SUBSTITUTE(SUBSTITUTE(TRIM([1]RawShipmentData!J859),"₹",""),"Rs",""),",",""))</f>
        <v>1222</v>
      </c>
      <c r="L851" s="2">
        <f>[1]RawShipmentData!K859</f>
        <v>4</v>
      </c>
      <c r="M851" s="3">
        <f>IF(TRIM([1]RawShipmentData!L859)="","",IF(ISNUMBER(SEARCH("/",TRIM([1]RawShipmentData!L859))),DATE(VALUE(RIGHT(TRIM([1]RawShipmentData!L859),4)),VALUE(MID(TRIM([1]RawShipmentData!L859),FIND("/",TRIM([1]RawShipmentData!L859))+1,2)),VALUE(LEFT(TRIM([1]RawShipmentData!L859),FIND("/",TRIM([1]RawShipmentData!L859))-1))),DATEVALUE(TRIM([1]RawShipmentData!L859))))</f>
        <v>45334</v>
      </c>
      <c r="N851" s="2">
        <f t="shared" si="66"/>
        <v>10</v>
      </c>
      <c r="O851" s="2">
        <f t="shared" si="67"/>
        <v>6</v>
      </c>
      <c r="P851" s="2" t="str">
        <f t="shared" si="68"/>
        <v>Late</v>
      </c>
      <c r="Q851" s="2" t="str">
        <f>PROPER(SUBSTITUTE(TRIM([1]RawShipmentData!M859)," ","-"))</f>
        <v>Delayed</v>
      </c>
      <c r="R851" s="4">
        <f t="shared" si="69"/>
        <v>452.59259259259255</v>
      </c>
      <c r="S851" s="2">
        <f>[1]RawShipmentData!N859</f>
        <v>2</v>
      </c>
      <c r="T851" s="2" t="str">
        <f>IF(OR(UPPER(TRIM([1]RawShipmentData!O859))="YES",UPPER(TRIM([1]RawShipmentData!O859))="Y"),"Yes","No")</f>
        <v>No</v>
      </c>
    </row>
    <row r="852" spans="1:20" x14ac:dyDescent="0.25">
      <c r="A852" s="2" t="str">
        <f>[1]RawShipmentData!A860</f>
        <v>SHP-100539</v>
      </c>
      <c r="B852" s="3">
        <f>IF(ISNUMBER(SEARCH("/",TRIM([1]RawShipmentData!B860))),DATE(VALUE(RIGHT(TRIM([1]RawShipmentData!B860),4)),VALUE(MID(TRIM([1]RawShipmentData!B860),FIND("/",TRIM([1]RawShipmentData!B860))+1,2)),VALUE(LEFT(TRIM([1]RawShipmentData!B860),FIND("/",TRIM([1]RawShipmentData!B860))-1))),DATEVALUE(TRIM([1]RawShipmentData!B860)))</f>
        <v>45365</v>
      </c>
      <c r="C852" s="2" t="str">
        <f>PROPER(TRIM([1]RawShipmentData!C860))</f>
        <v>Hyderabad</v>
      </c>
      <c r="D852" s="2" t="str">
        <f>IFERROR(INDEX([1]HubMaster!$B$2:$B$7,MATCH(C852,[1]HubMaster!$A$2:$A$7,0)),"Unknown")</f>
        <v>West</v>
      </c>
      <c r="E852" s="2" t="str">
        <f>PROPER(TRIM(SUBSTITUTE([1]RawShipmentData!D860,"  "," ")))</f>
        <v>Xpressbees</v>
      </c>
      <c r="F852" s="2" t="str">
        <f>PROPER(TRIM([1]RawShipmentData!E860))</f>
        <v>Road</v>
      </c>
      <c r="G852" s="2" t="str">
        <f>PROPER(TRIM(SUBSTITUTE([1]RawShipmentData!F860,"  "," ")))</f>
        <v>Electronics</v>
      </c>
      <c r="H852" s="2" t="str">
        <f>PROPER(TRIM([1]RawShipmentData!G860))</f>
        <v>East</v>
      </c>
      <c r="I852" s="2" t="str">
        <f t="shared" si="65"/>
        <v>Yes</v>
      </c>
      <c r="J852" s="2">
        <f>IFERROR(VALUE(TRIM(SUBSTITUTE(UPPER([1]RawShipmentData!I852),"KG",""))),"")</f>
        <v>79.599999999999994</v>
      </c>
      <c r="K852" s="2">
        <f>VALUE(SUBSTITUTE(SUBSTITUTE(SUBSTITUTE(TRIM([1]RawShipmentData!J860),"₹",""),"Rs",""),",",""))</f>
        <v>293</v>
      </c>
      <c r="L852" s="2">
        <f>[1]RawShipmentData!K860</f>
        <v>8</v>
      </c>
      <c r="M852" s="3">
        <f>IF(TRIM([1]RawShipmentData!L860)="","",IF(ISNUMBER(SEARCH("/",TRIM([1]RawShipmentData!L860))),DATE(VALUE(RIGHT(TRIM([1]RawShipmentData!L860),4)),VALUE(MID(TRIM([1]RawShipmentData!L860),FIND("/",TRIM([1]RawShipmentData!L860))+1,2)),VALUE(LEFT(TRIM([1]RawShipmentData!L860),FIND("/",TRIM([1]RawShipmentData!L860))-1))),DATEVALUE(TRIM([1]RawShipmentData!L860))))</f>
        <v>45377</v>
      </c>
      <c r="N852" s="2">
        <f t="shared" si="66"/>
        <v>12</v>
      </c>
      <c r="O852" s="2">
        <f t="shared" si="67"/>
        <v>4</v>
      </c>
      <c r="P852" s="2" t="str">
        <f t="shared" si="68"/>
        <v>Late</v>
      </c>
      <c r="Q852" s="2" t="str">
        <f>PROPER(SUBSTITUTE(TRIM([1]RawShipmentData!M860)," ","-"))</f>
        <v>Delayed</v>
      </c>
      <c r="R852" s="4">
        <f t="shared" si="69"/>
        <v>3.6809045226130657</v>
      </c>
      <c r="S852" s="2">
        <f>[1]RawShipmentData!N860</f>
        <v>3</v>
      </c>
      <c r="T852" s="2" t="str">
        <f>IF(OR(UPPER(TRIM([1]RawShipmentData!O860))="YES",UPPER(TRIM([1]RawShipmentData!O860))="Y"),"Yes","No")</f>
        <v>No</v>
      </c>
    </row>
    <row r="853" spans="1:20" x14ac:dyDescent="0.25">
      <c r="A853" s="2" t="str">
        <f>[1]RawShipmentData!A861</f>
        <v>SHP-100411</v>
      </c>
      <c r="B853" s="3">
        <f>IF(ISNUMBER(SEARCH("/",TRIM([1]RawShipmentData!B861))),DATE(VALUE(RIGHT(TRIM([1]RawShipmentData!B861),4)),VALUE(MID(TRIM([1]RawShipmentData!B861),FIND("/",TRIM([1]RawShipmentData!B861))+1,2)),VALUE(LEFT(TRIM([1]RawShipmentData!B861),FIND("/",TRIM([1]RawShipmentData!B861))-1))),DATEVALUE(TRIM([1]RawShipmentData!B861)))</f>
        <v>45370</v>
      </c>
      <c r="C853" s="2" t="str">
        <f>PROPER(TRIM([1]RawShipmentData!C861))</f>
        <v>Chennai</v>
      </c>
      <c r="D853" s="2" t="str">
        <f>IFERROR(INDEX([1]HubMaster!$B$2:$B$7,MATCH(C853,[1]HubMaster!$A$2:$A$7,0)),"Unknown")</f>
        <v>South</v>
      </c>
      <c r="E853" s="2" t="str">
        <f>PROPER(TRIM(SUBSTITUTE([1]RawShipmentData!D861,"  "," ")))</f>
        <v>Xpress Bees</v>
      </c>
      <c r="F853" s="2" t="str">
        <f>PROPER(TRIM([1]RawShipmentData!E861))</f>
        <v>Surface</v>
      </c>
      <c r="G853" s="2" t="str">
        <f>PROPER(TRIM(SUBSTITUTE([1]RawShipmentData!F861,"  "," ")))</f>
        <v>Grocery &amp; Fmcg</v>
      </c>
      <c r="H853" s="2" t="str">
        <f>PROPER(TRIM([1]RawShipmentData!G861))</f>
        <v>East</v>
      </c>
      <c r="I853" s="2" t="str">
        <f t="shared" si="65"/>
        <v>Yes</v>
      </c>
      <c r="J853" s="2">
        <f>IFERROR(VALUE(TRIM(SUBSTITUTE(UPPER([1]RawShipmentData!I853),"KG",""))),"")</f>
        <v>25.4</v>
      </c>
      <c r="K853" s="2">
        <f>VALUE(SUBSTITUTE(SUBSTITUTE(SUBSTITUTE(TRIM([1]RawShipmentData!J861),"₹",""),"Rs",""),",",""))</f>
        <v>471</v>
      </c>
      <c r="L853" s="2">
        <f>[1]RawShipmentData!K861</f>
        <v>6</v>
      </c>
      <c r="M853" s="3">
        <f>IF(TRIM([1]RawShipmentData!L861)="","",IF(ISNUMBER(SEARCH("/",TRIM([1]RawShipmentData!L861))),DATE(VALUE(RIGHT(TRIM([1]RawShipmentData!L861),4)),VALUE(MID(TRIM([1]RawShipmentData!L861),FIND("/",TRIM([1]RawShipmentData!L861))+1,2)),VALUE(LEFT(TRIM([1]RawShipmentData!L861),FIND("/",TRIM([1]RawShipmentData!L861))-1))),DATEVALUE(TRIM([1]RawShipmentData!L861))))</f>
        <v>45375</v>
      </c>
      <c r="N853" s="2">
        <f t="shared" si="66"/>
        <v>5</v>
      </c>
      <c r="O853" s="2">
        <f t="shared" si="67"/>
        <v>-1</v>
      </c>
      <c r="P853" s="2" t="str">
        <f t="shared" si="68"/>
        <v>On Time</v>
      </c>
      <c r="Q853" s="2" t="str">
        <f>PROPER(SUBSTITUTE(TRIM([1]RawShipmentData!M861)," ","-"))</f>
        <v>Delivered</v>
      </c>
      <c r="R853" s="4">
        <f t="shared" si="69"/>
        <v>18.543307086614174</v>
      </c>
      <c r="S853" s="2">
        <f>[1]RawShipmentData!N861</f>
        <v>5</v>
      </c>
      <c r="T853" s="2" t="str">
        <f>IF(OR(UPPER(TRIM([1]RawShipmentData!O861))="YES",UPPER(TRIM([1]RawShipmentData!O861))="Y"),"Yes","No")</f>
        <v>No</v>
      </c>
    </row>
    <row r="854" spans="1:20" x14ac:dyDescent="0.25">
      <c r="A854" s="2" t="str">
        <f>[1]RawShipmentData!A862</f>
        <v>SHP-100501</v>
      </c>
      <c r="B854" s="3">
        <f>IF(ISNUMBER(SEARCH("/",TRIM([1]RawShipmentData!B862))),DATE(VALUE(RIGHT(TRIM([1]RawShipmentData!B862),4)),VALUE(MID(TRIM([1]RawShipmentData!B862),FIND("/",TRIM([1]RawShipmentData!B862))+1,2)),VALUE(LEFT(TRIM([1]RawShipmentData!B862),FIND("/",TRIM([1]RawShipmentData!B862))-1))),DATEVALUE(TRIM([1]RawShipmentData!B862)))</f>
        <v>45317</v>
      </c>
      <c r="C854" s="2" t="str">
        <f>PROPER(TRIM([1]RawShipmentData!C862))</f>
        <v>Hyderabad</v>
      </c>
      <c r="D854" s="2" t="str">
        <f>IFERROR(INDEX([1]HubMaster!$B$2:$B$7,MATCH(C854,[1]HubMaster!$A$2:$A$7,0)),"Unknown")</f>
        <v>West</v>
      </c>
      <c r="E854" s="2" t="str">
        <f>PROPER(TRIM(SUBSTITUTE([1]RawShipmentData!D862,"  "," ")))</f>
        <v>Delhivery</v>
      </c>
      <c r="F854" s="2" t="str">
        <f>PROPER(TRIM([1]RawShipmentData!E862))</f>
        <v>Surface</v>
      </c>
      <c r="G854" s="2" t="str">
        <f>PROPER(TRIM(SUBSTITUTE([1]RawShipmentData!F862,"  "," ")))</f>
        <v>Pharma</v>
      </c>
      <c r="H854" s="2" t="str">
        <f>PROPER(TRIM([1]RawShipmentData!G862))</f>
        <v>East</v>
      </c>
      <c r="I854" s="2" t="str">
        <f t="shared" si="65"/>
        <v>Yes</v>
      </c>
      <c r="J854" s="2">
        <f>IFERROR(VALUE(TRIM(SUBSTITUTE(UPPER([1]RawShipmentData!I854),"KG",""))),"")</f>
        <v>3.9</v>
      </c>
      <c r="K854" s="2">
        <f>VALUE(SUBSTITUTE(SUBSTITUTE(SUBSTITUTE(TRIM([1]RawShipmentData!J862),"₹",""),"Rs",""),",",""))</f>
        <v>177</v>
      </c>
      <c r="L854" s="2">
        <f>[1]RawShipmentData!K862</f>
        <v>6</v>
      </c>
      <c r="M854" s="3">
        <f>IF(TRIM([1]RawShipmentData!L862)="","",IF(ISNUMBER(SEARCH("/",TRIM([1]RawShipmentData!L862))),DATE(VALUE(RIGHT(TRIM([1]RawShipmentData!L862),4)),VALUE(MID(TRIM([1]RawShipmentData!L862),FIND("/",TRIM([1]RawShipmentData!L862))+1,2)),VALUE(LEFT(TRIM([1]RawShipmentData!L862),FIND("/",TRIM([1]RawShipmentData!L862))-1))),DATEVALUE(TRIM([1]RawShipmentData!L862))))</f>
        <v>45324</v>
      </c>
      <c r="N854" s="2">
        <f t="shared" si="66"/>
        <v>7</v>
      </c>
      <c r="O854" s="2">
        <f t="shared" si="67"/>
        <v>1</v>
      </c>
      <c r="P854" s="2" t="str">
        <f t="shared" si="68"/>
        <v>Late</v>
      </c>
      <c r="Q854" s="2" t="str">
        <f>PROPER(SUBSTITUTE(TRIM([1]RawShipmentData!M862)," ","-"))</f>
        <v>Delayed</v>
      </c>
      <c r="R854" s="4">
        <f t="shared" si="69"/>
        <v>45.384615384615387</v>
      </c>
      <c r="S854" s="2">
        <f>[1]RawShipmentData!N862</f>
        <v>5</v>
      </c>
      <c r="T854" s="2" t="str">
        <f>IF(OR(UPPER(TRIM([1]RawShipmentData!O862))="YES",UPPER(TRIM([1]RawShipmentData!O862))="Y"),"Yes","No")</f>
        <v>Yes</v>
      </c>
    </row>
    <row r="855" spans="1:20" x14ac:dyDescent="0.25">
      <c r="A855" s="2" t="str">
        <f>[1]RawShipmentData!A863</f>
        <v>SHP-100327</v>
      </c>
      <c r="B855" s="3">
        <f>IF(ISNUMBER(SEARCH("/",TRIM([1]RawShipmentData!B863))),DATE(VALUE(RIGHT(TRIM([1]RawShipmentData!B863),4)),VALUE(MID(TRIM([1]RawShipmentData!B863),FIND("/",TRIM([1]RawShipmentData!B863))+1,2)),VALUE(LEFT(TRIM([1]RawShipmentData!B863),FIND("/",TRIM([1]RawShipmentData!B863))-1))),DATEVALUE(TRIM([1]RawShipmentData!B863)))</f>
        <v>45432</v>
      </c>
      <c r="C855" s="2" t="str">
        <f>PROPER(TRIM([1]RawShipmentData!C863))</f>
        <v>Hyderabad</v>
      </c>
      <c r="D855" s="2" t="str">
        <f>IFERROR(INDEX([1]HubMaster!$B$2:$B$7,MATCH(C855,[1]HubMaster!$A$2:$A$7,0)),"Unknown")</f>
        <v>West</v>
      </c>
      <c r="E855" s="2" t="str">
        <f>PROPER(TRIM(SUBSTITUTE([1]RawShipmentData!D863,"  "," ")))</f>
        <v>Dtdc</v>
      </c>
      <c r="F855" s="2" t="str">
        <f>PROPER(TRIM([1]RawShipmentData!E863))</f>
        <v>Air</v>
      </c>
      <c r="G855" s="2" t="str">
        <f>PROPER(TRIM(SUBSTITUTE([1]RawShipmentData!F863,"  "," ")))</f>
        <v>Automotive Parts</v>
      </c>
      <c r="H855" s="2" t="str">
        <f>PROPER(TRIM([1]RawShipmentData!G863))</f>
        <v>East</v>
      </c>
      <c r="I855" s="2" t="str">
        <f t="shared" si="65"/>
        <v>Yes</v>
      </c>
      <c r="J855" s="2">
        <f>IFERROR(VALUE(TRIM(SUBSTITUTE(UPPER([1]RawShipmentData!I855),"KG",""))),"")</f>
        <v>54</v>
      </c>
      <c r="K855" s="2">
        <f>VALUE(SUBSTITUTE(SUBSTITUTE(SUBSTITUTE(TRIM([1]RawShipmentData!J863),"₹",""),"Rs",""),",",""))</f>
        <v>1552</v>
      </c>
      <c r="L855" s="2">
        <f>[1]RawShipmentData!K863</f>
        <v>4</v>
      </c>
      <c r="M855" s="3">
        <f>IF(TRIM([1]RawShipmentData!L863)="","",IF(ISNUMBER(SEARCH("/",TRIM([1]RawShipmentData!L863))),DATE(VALUE(RIGHT(TRIM([1]RawShipmentData!L863),4)),VALUE(MID(TRIM([1]RawShipmentData!L863),FIND("/",TRIM([1]RawShipmentData!L863))+1,2)),VALUE(LEFT(TRIM([1]RawShipmentData!L863),FIND("/",TRIM([1]RawShipmentData!L863))-1))),DATEVALUE(TRIM([1]RawShipmentData!L863))))</f>
        <v>45437</v>
      </c>
      <c r="N855" s="2">
        <f t="shared" si="66"/>
        <v>5</v>
      </c>
      <c r="O855" s="2">
        <f t="shared" si="67"/>
        <v>1</v>
      </c>
      <c r="P855" s="2" t="str">
        <f t="shared" si="68"/>
        <v>Late</v>
      </c>
      <c r="Q855" s="2" t="str">
        <f>PROPER(SUBSTITUTE(TRIM([1]RawShipmentData!M863)," ","-"))</f>
        <v>Delayed</v>
      </c>
      <c r="R855" s="4">
        <f t="shared" si="69"/>
        <v>28.74074074074074</v>
      </c>
      <c r="S855" s="2">
        <f>[1]RawShipmentData!N863</f>
        <v>4</v>
      </c>
      <c r="T855" s="2" t="str">
        <f>IF(OR(UPPER(TRIM([1]RawShipmentData!O863))="YES",UPPER(TRIM([1]RawShipmentData!O863))="Y"),"Yes","No")</f>
        <v>No</v>
      </c>
    </row>
    <row r="856" spans="1:20" x14ac:dyDescent="0.25">
      <c r="A856" s="2" t="str">
        <f>[1]RawShipmentData!A864</f>
        <v>SHP-100414</v>
      </c>
      <c r="B856" s="3">
        <f>IF(ISNUMBER(SEARCH("/",TRIM([1]RawShipmentData!B864))),DATE(VALUE(RIGHT(TRIM([1]RawShipmentData!B864),4)),VALUE(MID(TRIM([1]RawShipmentData!B864),FIND("/",TRIM([1]RawShipmentData!B864))+1,2)),VALUE(LEFT(TRIM([1]RawShipmentData!B864),FIND("/",TRIM([1]RawShipmentData!B864))-1))),DATEVALUE(TRIM([1]RawShipmentData!B864)))</f>
        <v>45458</v>
      </c>
      <c r="C856" s="2" t="str">
        <f>PROPER(TRIM([1]RawShipmentData!C864))</f>
        <v>Mumbai</v>
      </c>
      <c r="D856" s="2" t="str">
        <f>IFERROR(INDEX([1]HubMaster!$B$2:$B$7,MATCH(C856,[1]HubMaster!$A$2:$A$7,0)),"Unknown")</f>
        <v>West</v>
      </c>
      <c r="E856" s="2" t="str">
        <f>PROPER(TRIM(SUBSTITUTE([1]RawShipmentData!D864,"  "," ")))</f>
        <v>Xpressbees</v>
      </c>
      <c r="F856" s="2" t="str">
        <f>PROPER(TRIM([1]RawShipmentData!E864))</f>
        <v>Road</v>
      </c>
      <c r="G856" s="2" t="str">
        <f>PROPER(TRIM(SUBSTITUTE([1]RawShipmentData!F864,"  "," ")))</f>
        <v>Electronics</v>
      </c>
      <c r="H856" s="2" t="str">
        <f>PROPER(TRIM([1]RawShipmentData!G864))</f>
        <v>North</v>
      </c>
      <c r="I856" s="2" t="str">
        <f t="shared" si="65"/>
        <v>Yes</v>
      </c>
      <c r="J856" s="2">
        <f>IFERROR(VALUE(TRIM(SUBSTITUTE(UPPER([1]RawShipmentData!I856),"KG",""))),"")</f>
        <v>5</v>
      </c>
      <c r="K856" s="2">
        <f>VALUE(SUBSTITUTE(SUBSTITUTE(SUBSTITUTE(TRIM([1]RawShipmentData!J864),"₹",""),"Rs",""),",",""))</f>
        <v>274</v>
      </c>
      <c r="L856" s="2">
        <f>[1]RawShipmentData!K864</f>
        <v>8</v>
      </c>
      <c r="M856" s="3">
        <f>IF(TRIM([1]RawShipmentData!L864)="","",IF(ISNUMBER(SEARCH("/",TRIM([1]RawShipmentData!L864))),DATE(VALUE(RIGHT(TRIM([1]RawShipmentData!L864),4)),VALUE(MID(TRIM([1]RawShipmentData!L864),FIND("/",TRIM([1]RawShipmentData!L864))+1,2)),VALUE(LEFT(TRIM([1]RawShipmentData!L864),FIND("/",TRIM([1]RawShipmentData!L864))-1))),DATEVALUE(TRIM([1]RawShipmentData!L864))))</f>
        <v>45467</v>
      </c>
      <c r="N856" s="2">
        <f t="shared" si="66"/>
        <v>9</v>
      </c>
      <c r="O856" s="2">
        <f t="shared" si="67"/>
        <v>1</v>
      </c>
      <c r="P856" s="2" t="str">
        <f t="shared" si="68"/>
        <v>Late</v>
      </c>
      <c r="Q856" s="2" t="str">
        <f>PROPER(SUBSTITUTE(TRIM([1]RawShipmentData!M864)," ","-"))</f>
        <v>Delayed</v>
      </c>
      <c r="R856" s="4">
        <f t="shared" si="69"/>
        <v>54.8</v>
      </c>
      <c r="S856" s="2">
        <f>[1]RawShipmentData!N864</f>
        <v>4</v>
      </c>
      <c r="T856" s="2" t="str">
        <f>IF(OR(UPPER(TRIM([1]RawShipmentData!O864))="YES",UPPER(TRIM([1]RawShipmentData!O864))="Y"),"Yes","No")</f>
        <v>No</v>
      </c>
    </row>
    <row r="857" spans="1:20" x14ac:dyDescent="0.25">
      <c r="A857" s="2" t="str">
        <f>[1]RawShipmentData!A865</f>
        <v>SHP-100986</v>
      </c>
      <c r="B857" s="3">
        <f>IF(ISNUMBER(SEARCH("/",TRIM([1]RawShipmentData!B865))),DATE(VALUE(RIGHT(TRIM([1]RawShipmentData!B865),4)),VALUE(MID(TRIM([1]RawShipmentData!B865),FIND("/",TRIM([1]RawShipmentData!B865))+1,2)),VALUE(LEFT(TRIM([1]RawShipmentData!B865),FIND("/",TRIM([1]RawShipmentData!B865))-1))),DATEVALUE(TRIM([1]RawShipmentData!B865)))</f>
        <v>45431</v>
      </c>
      <c r="C857" s="2" t="str">
        <f>PROPER(TRIM([1]RawShipmentData!C865))</f>
        <v>Kolkata</v>
      </c>
      <c r="D857" s="2" t="str">
        <f>IFERROR(INDEX([1]HubMaster!$B$2:$B$7,MATCH(C857,[1]HubMaster!$A$2:$A$7,0)),"Unknown")</f>
        <v>East</v>
      </c>
      <c r="E857" s="2" t="str">
        <f>PROPER(TRIM(SUBSTITUTE([1]RawShipmentData!D865,"  "," ")))</f>
        <v>Bluedart</v>
      </c>
      <c r="F857" s="2" t="str">
        <f>PROPER(TRIM([1]RawShipmentData!E865))</f>
        <v>Surface</v>
      </c>
      <c r="G857" s="2" t="str">
        <f>PROPER(TRIM(SUBSTITUTE([1]RawShipmentData!F865,"  "," ")))</f>
        <v>Electronics</v>
      </c>
      <c r="H857" s="2" t="str">
        <f>PROPER(TRIM([1]RawShipmentData!G865))</f>
        <v>North</v>
      </c>
      <c r="I857" s="2" t="str">
        <f t="shared" si="65"/>
        <v>Yes</v>
      </c>
      <c r="J857" s="2">
        <f>IFERROR(VALUE(TRIM(SUBSTITUTE(UPPER([1]RawShipmentData!I857),"KG",""))),"")</f>
        <v>18.600000000000001</v>
      </c>
      <c r="K857" s="2">
        <f>VALUE(SUBSTITUTE(SUBSTITUTE(SUBSTITUTE(TRIM([1]RawShipmentData!J865),"₹",""),"Rs",""),",",""))</f>
        <v>514</v>
      </c>
      <c r="L857" s="2">
        <f>[1]RawShipmentData!K865</f>
        <v>6</v>
      </c>
      <c r="M857" s="3">
        <f>IF(TRIM([1]RawShipmentData!L865)="","",IF(ISNUMBER(SEARCH("/",TRIM([1]RawShipmentData!L865))),DATE(VALUE(RIGHT(TRIM([1]RawShipmentData!L865),4)),VALUE(MID(TRIM([1]RawShipmentData!L865),FIND("/",TRIM([1]RawShipmentData!L865))+1,2)),VALUE(LEFT(TRIM([1]RawShipmentData!L865),FIND("/",TRIM([1]RawShipmentData!L865))-1))),DATEVALUE(TRIM([1]RawShipmentData!L865))))</f>
        <v>45437</v>
      </c>
      <c r="N857" s="2">
        <f t="shared" si="66"/>
        <v>6</v>
      </c>
      <c r="O857" s="2">
        <f t="shared" si="67"/>
        <v>0</v>
      </c>
      <c r="P857" s="2" t="str">
        <f t="shared" si="68"/>
        <v>On Time</v>
      </c>
      <c r="Q857" s="2" t="str">
        <f>PROPER(SUBSTITUTE(TRIM([1]RawShipmentData!M865)," ","-"))</f>
        <v>Delivered</v>
      </c>
      <c r="R857" s="4">
        <f t="shared" si="69"/>
        <v>27.634408602150536</v>
      </c>
      <c r="S857" s="2">
        <f>[1]RawShipmentData!N865</f>
        <v>4</v>
      </c>
      <c r="T857" s="2" t="str">
        <f>IF(OR(UPPER(TRIM([1]RawShipmentData!O865))="YES",UPPER(TRIM([1]RawShipmentData!O865))="Y"),"Yes","No")</f>
        <v>No</v>
      </c>
    </row>
    <row r="858" spans="1:20" x14ac:dyDescent="0.25">
      <c r="A858" s="2" t="str">
        <f>[1]RawShipmentData!A866</f>
        <v>SHP-100907</v>
      </c>
      <c r="B858" s="3">
        <f>IF(ISNUMBER(SEARCH("/",TRIM([1]RawShipmentData!B866))),DATE(VALUE(RIGHT(TRIM([1]RawShipmentData!B866),4)),VALUE(MID(TRIM([1]RawShipmentData!B866),FIND("/",TRIM([1]RawShipmentData!B866))+1,2)),VALUE(LEFT(TRIM([1]RawShipmentData!B866),FIND("/",TRIM([1]RawShipmentData!B866))-1))),DATEVALUE(TRIM([1]RawShipmentData!B866)))</f>
        <v>45330</v>
      </c>
      <c r="C858" s="2" t="str">
        <f>PROPER(TRIM([1]RawShipmentData!C866))</f>
        <v>Chennai</v>
      </c>
      <c r="D858" s="2" t="str">
        <f>IFERROR(INDEX([1]HubMaster!$B$2:$B$7,MATCH(C858,[1]HubMaster!$A$2:$A$7,0)),"Unknown")</f>
        <v>South</v>
      </c>
      <c r="E858" s="2" t="str">
        <f>PROPER(TRIM(SUBSTITUTE([1]RawShipmentData!D866,"  "," ")))</f>
        <v>Ecom Express</v>
      </c>
      <c r="F858" s="2" t="str">
        <f>PROPER(TRIM([1]RawShipmentData!E866))</f>
        <v>Air</v>
      </c>
      <c r="G858" s="2" t="str">
        <f>PROPER(TRIM(SUBSTITUTE([1]RawShipmentData!F866,"  "," ")))</f>
        <v>Grocery &amp; Fmcg</v>
      </c>
      <c r="H858" s="2" t="str">
        <f>PROPER(TRIM([1]RawShipmentData!G866))</f>
        <v>East</v>
      </c>
      <c r="I858" s="2" t="str">
        <f t="shared" si="65"/>
        <v>Yes</v>
      </c>
      <c r="J858" s="2">
        <f>IFERROR(VALUE(TRIM(SUBSTITUTE(UPPER([1]RawShipmentData!I858),"KG",""))),"")</f>
        <v>38.6</v>
      </c>
      <c r="K858" s="2">
        <f>VALUE(SUBSTITUTE(SUBSTITUTE(SUBSTITUTE(TRIM([1]RawShipmentData!J866),"₹",""),"Rs",""),",",""))</f>
        <v>954</v>
      </c>
      <c r="L858" s="2">
        <f>[1]RawShipmentData!K866</f>
        <v>4</v>
      </c>
      <c r="M858" s="3">
        <f>IF(TRIM([1]RawShipmentData!L866)="","",IF(ISNUMBER(SEARCH("/",TRIM([1]RawShipmentData!L866))),DATE(VALUE(RIGHT(TRIM([1]RawShipmentData!L866),4)),VALUE(MID(TRIM([1]RawShipmentData!L866),FIND("/",TRIM([1]RawShipmentData!L866))+1,2)),VALUE(LEFT(TRIM([1]RawShipmentData!L866),FIND("/",TRIM([1]RawShipmentData!L866))-1))),DATEVALUE(TRIM([1]RawShipmentData!L866))))</f>
        <v>45334</v>
      </c>
      <c r="N858" s="2">
        <f t="shared" si="66"/>
        <v>4</v>
      </c>
      <c r="O858" s="2">
        <f t="shared" si="67"/>
        <v>0</v>
      </c>
      <c r="P858" s="2" t="str">
        <f t="shared" si="68"/>
        <v>On Time</v>
      </c>
      <c r="Q858" s="2" t="str">
        <f>PROPER(SUBSTITUTE(TRIM([1]RawShipmentData!M866)," ","-"))</f>
        <v>Delivered</v>
      </c>
      <c r="R858" s="4">
        <f t="shared" si="69"/>
        <v>24.71502590673575</v>
      </c>
      <c r="S858" s="2">
        <f>[1]RawShipmentData!N866</f>
        <v>5</v>
      </c>
      <c r="T858" s="2" t="str">
        <f>IF(OR(UPPER(TRIM([1]RawShipmentData!O866))="YES",UPPER(TRIM([1]RawShipmentData!O866))="Y"),"Yes","No")</f>
        <v>Yes</v>
      </c>
    </row>
    <row r="859" spans="1:20" x14ac:dyDescent="0.25">
      <c r="A859" s="2" t="str">
        <f>[1]RawShipmentData!A867</f>
        <v>SHP-100165</v>
      </c>
      <c r="B859" s="3">
        <f>IF(ISNUMBER(SEARCH("/",TRIM([1]RawShipmentData!B867))),DATE(VALUE(RIGHT(TRIM([1]RawShipmentData!B867),4)),VALUE(MID(TRIM([1]RawShipmentData!B867),FIND("/",TRIM([1]RawShipmentData!B867))+1,2)),VALUE(LEFT(TRIM([1]RawShipmentData!B867),FIND("/",TRIM([1]RawShipmentData!B867))-1))),DATEVALUE(TRIM([1]RawShipmentData!B867)))</f>
        <v>45358</v>
      </c>
      <c r="C859" s="2" t="str">
        <f>PROPER(TRIM([1]RawShipmentData!C867))</f>
        <v>Bengaluru</v>
      </c>
      <c r="D859" s="2" t="str">
        <f>IFERROR(INDEX([1]HubMaster!$B$2:$B$7,MATCH(C859,[1]HubMaster!$A$2:$A$7,0)),"Unknown")</f>
        <v>South</v>
      </c>
      <c r="E859" s="2" t="str">
        <f>PROPER(TRIM(SUBSTITUTE([1]RawShipmentData!D867,"  "," ")))</f>
        <v>Xpressbees</v>
      </c>
      <c r="F859" s="2" t="str">
        <f>PROPER(TRIM([1]RawShipmentData!E867))</f>
        <v>Surface</v>
      </c>
      <c r="G859" s="2" t="str">
        <f>PROPER(TRIM(SUBSTITUTE([1]RawShipmentData!F867,"  "," ")))</f>
        <v>Automotive Parts</v>
      </c>
      <c r="H859" s="2" t="str">
        <f>PROPER(TRIM([1]RawShipmentData!G867))</f>
        <v>North</v>
      </c>
      <c r="I859" s="2" t="str">
        <f t="shared" si="65"/>
        <v>Yes</v>
      </c>
      <c r="J859" s="2">
        <f>IFERROR(VALUE(TRIM(SUBSTITUTE(UPPER([1]RawShipmentData!I859),"KG",""))),"")</f>
        <v>22.7</v>
      </c>
      <c r="K859" s="2">
        <f>VALUE(SUBSTITUTE(SUBSTITUTE(SUBSTITUTE(TRIM([1]RawShipmentData!J867),"₹",""),"Rs",""),",",""))</f>
        <v>955</v>
      </c>
      <c r="L859" s="2">
        <f>[1]RawShipmentData!K867</f>
        <v>6</v>
      </c>
      <c r="M859" s="3">
        <f>IF(TRIM([1]RawShipmentData!L867)="","",IF(ISNUMBER(SEARCH("/",TRIM([1]RawShipmentData!L867))),DATE(VALUE(RIGHT(TRIM([1]RawShipmentData!L867),4)),VALUE(MID(TRIM([1]RawShipmentData!L867),FIND("/",TRIM([1]RawShipmentData!L867))+1,2)),VALUE(LEFT(TRIM([1]RawShipmentData!L867),FIND("/",TRIM([1]RawShipmentData!L867))-1))),DATEVALUE(TRIM([1]RawShipmentData!L867))))</f>
        <v>45365</v>
      </c>
      <c r="N859" s="2">
        <f t="shared" si="66"/>
        <v>7</v>
      </c>
      <c r="O859" s="2">
        <f t="shared" si="67"/>
        <v>1</v>
      </c>
      <c r="P859" s="2" t="str">
        <f t="shared" si="68"/>
        <v>Late</v>
      </c>
      <c r="Q859" s="2" t="str">
        <f>PROPER(SUBSTITUTE(TRIM([1]RawShipmentData!M867)," ","-"))</f>
        <v>Delayed</v>
      </c>
      <c r="R859" s="4">
        <f t="shared" si="69"/>
        <v>42.070484581497801</v>
      </c>
      <c r="S859" s="2">
        <f>[1]RawShipmentData!N867</f>
        <v>2</v>
      </c>
      <c r="T859" s="2" t="str">
        <f>IF(OR(UPPER(TRIM([1]RawShipmentData!O867))="YES",UPPER(TRIM([1]RawShipmentData!O867))="Y"),"Yes","No")</f>
        <v>No</v>
      </c>
    </row>
    <row r="860" spans="1:20" x14ac:dyDescent="0.25">
      <c r="A860" s="2" t="str">
        <f>[1]RawShipmentData!A868</f>
        <v>SHP-100626</v>
      </c>
      <c r="B860" s="3">
        <f>IF(ISNUMBER(SEARCH("/",TRIM([1]RawShipmentData!B868))),DATE(VALUE(RIGHT(TRIM([1]RawShipmentData!B868),4)),VALUE(MID(TRIM([1]RawShipmentData!B868),FIND("/",TRIM([1]RawShipmentData!B868))+1,2)),VALUE(LEFT(TRIM([1]RawShipmentData!B868),FIND("/",TRIM([1]RawShipmentData!B868))-1))),DATEVALUE(TRIM([1]RawShipmentData!B868)))</f>
        <v>45387</v>
      </c>
      <c r="C860" s="2" t="str">
        <f>PROPER(TRIM([1]RawShipmentData!C868))</f>
        <v>Hyderabad</v>
      </c>
      <c r="D860" s="2" t="str">
        <f>IFERROR(INDEX([1]HubMaster!$B$2:$B$7,MATCH(C860,[1]HubMaster!$A$2:$A$7,0)),"Unknown")</f>
        <v>West</v>
      </c>
      <c r="E860" s="2" t="str">
        <f>PROPER(TRIM(SUBSTITUTE([1]RawShipmentData!D868,"  "," ")))</f>
        <v>Dtdc</v>
      </c>
      <c r="F860" s="2" t="str">
        <f>PROPER(TRIM([1]RawShipmentData!E868))</f>
        <v>Road</v>
      </c>
      <c r="G860" s="2" t="str">
        <f>PROPER(TRIM(SUBSTITUTE([1]RawShipmentData!F868,"  "," ")))</f>
        <v>Automotive Parts</v>
      </c>
      <c r="H860" s="2" t="str">
        <f>PROPER(TRIM([1]RawShipmentData!G868))</f>
        <v>East</v>
      </c>
      <c r="I860" s="2" t="str">
        <f t="shared" si="65"/>
        <v>Yes</v>
      </c>
      <c r="J860" s="2">
        <f>IFERROR(VALUE(TRIM(SUBSTITUTE(UPPER([1]RawShipmentData!I860),"KG",""))),"")</f>
        <v>9.6</v>
      </c>
      <c r="K860" s="2">
        <f>VALUE(SUBSTITUTE(SUBSTITUTE(SUBSTITUTE(TRIM([1]RawShipmentData!J868),"₹",""),"Rs",""),",",""))</f>
        <v>541</v>
      </c>
      <c r="L860" s="2">
        <f>[1]RawShipmentData!K868</f>
        <v>8</v>
      </c>
      <c r="M860" s="3">
        <f>IF(TRIM([1]RawShipmentData!L868)="","",IF(ISNUMBER(SEARCH("/",TRIM([1]RawShipmentData!L868))),DATE(VALUE(RIGHT(TRIM([1]RawShipmentData!L868),4)),VALUE(MID(TRIM([1]RawShipmentData!L868),FIND("/",TRIM([1]RawShipmentData!L868))+1,2)),VALUE(LEFT(TRIM([1]RawShipmentData!L868),FIND("/",TRIM([1]RawShipmentData!L868))-1))),DATEVALUE(TRIM([1]RawShipmentData!L868))))</f>
        <v>45395</v>
      </c>
      <c r="N860" s="2">
        <f t="shared" si="66"/>
        <v>8</v>
      </c>
      <c r="O860" s="2">
        <f t="shared" si="67"/>
        <v>0</v>
      </c>
      <c r="P860" s="2" t="str">
        <f t="shared" si="68"/>
        <v>On Time</v>
      </c>
      <c r="Q860" s="2" t="str">
        <f>PROPER(SUBSTITUTE(TRIM([1]RawShipmentData!M868)," ","-"))</f>
        <v>Delivered</v>
      </c>
      <c r="R860" s="4">
        <f t="shared" si="69"/>
        <v>56.354166666666671</v>
      </c>
      <c r="S860" s="2">
        <f>[1]RawShipmentData!N868</f>
        <v>4</v>
      </c>
      <c r="T860" s="2" t="str">
        <f>IF(OR(UPPER(TRIM([1]RawShipmentData!O868))="YES",UPPER(TRIM([1]RawShipmentData!O868))="Y"),"Yes","No")</f>
        <v>No</v>
      </c>
    </row>
    <row r="861" spans="1:20" x14ac:dyDescent="0.25">
      <c r="A861" s="2" t="str">
        <f>[1]RawShipmentData!A869</f>
        <v>SHP-100914</v>
      </c>
      <c r="B861" s="3">
        <f>IF(ISNUMBER(SEARCH("/",TRIM([1]RawShipmentData!B869))),DATE(VALUE(RIGHT(TRIM([1]RawShipmentData!B869),4)),VALUE(MID(TRIM([1]RawShipmentData!B869),FIND("/",TRIM([1]RawShipmentData!B869))+1,2)),VALUE(LEFT(TRIM([1]RawShipmentData!B869),FIND("/",TRIM([1]RawShipmentData!B869))-1))),DATEVALUE(TRIM([1]RawShipmentData!B869)))</f>
        <v>45399</v>
      </c>
      <c r="C861" s="2" t="str">
        <f>PROPER(TRIM([1]RawShipmentData!C869))</f>
        <v>Hyderabad</v>
      </c>
      <c r="D861" s="2" t="str">
        <f>IFERROR(INDEX([1]HubMaster!$B$2:$B$7,MATCH(C861,[1]HubMaster!$A$2:$A$7,0)),"Unknown")</f>
        <v>West</v>
      </c>
      <c r="E861" s="2" t="str">
        <f>PROPER(TRIM(SUBSTITUTE([1]RawShipmentData!D869,"  "," ")))</f>
        <v>Blue Dart</v>
      </c>
      <c r="F861" s="2" t="str">
        <f>PROPER(TRIM([1]RawShipmentData!E869))</f>
        <v>Road</v>
      </c>
      <c r="G861" s="2" t="str">
        <f>PROPER(TRIM(SUBSTITUTE([1]RawShipmentData!F869,"  "," ")))</f>
        <v>Grocery &amp; Fmcg</v>
      </c>
      <c r="H861" s="2" t="str">
        <f>PROPER(TRIM([1]RawShipmentData!G869))</f>
        <v>East</v>
      </c>
      <c r="I861" s="2" t="str">
        <f t="shared" si="65"/>
        <v>Yes</v>
      </c>
      <c r="J861" s="2">
        <f>IFERROR(VALUE(TRIM(SUBSTITUTE(UPPER([1]RawShipmentData!I861),"KG",""))),"")</f>
        <v>13.8</v>
      </c>
      <c r="K861" s="2">
        <f>VALUE(SUBSTITUTE(SUBSTITUTE(SUBSTITUTE(TRIM([1]RawShipmentData!J869),"₹",""),"Rs",""),",",""))</f>
        <v>291</v>
      </c>
      <c r="L861" s="2">
        <f>[1]RawShipmentData!K869</f>
        <v>8</v>
      </c>
      <c r="M861" s="3">
        <f>IF(TRIM([1]RawShipmentData!L869)="","",IF(ISNUMBER(SEARCH("/",TRIM([1]RawShipmentData!L869))),DATE(VALUE(RIGHT(TRIM([1]RawShipmentData!L869),4)),VALUE(MID(TRIM([1]RawShipmentData!L869),FIND("/",TRIM([1]RawShipmentData!L869))+1,2)),VALUE(LEFT(TRIM([1]RawShipmentData!L869),FIND("/",TRIM([1]RawShipmentData!L869))-1))),DATEVALUE(TRIM([1]RawShipmentData!L869))))</f>
        <v>45408</v>
      </c>
      <c r="N861" s="2">
        <f t="shared" si="66"/>
        <v>9</v>
      </c>
      <c r="O861" s="2">
        <f t="shared" si="67"/>
        <v>1</v>
      </c>
      <c r="P861" s="2" t="str">
        <f t="shared" si="68"/>
        <v>Late</v>
      </c>
      <c r="Q861" s="2" t="str">
        <f>PROPER(SUBSTITUTE(TRIM([1]RawShipmentData!M869)," ","-"))</f>
        <v>Delayed</v>
      </c>
      <c r="R861" s="4">
        <f t="shared" si="69"/>
        <v>21.086956521739129</v>
      </c>
      <c r="S861" s="2">
        <f>[1]RawShipmentData!N869</f>
        <v>1</v>
      </c>
      <c r="T861" s="2" t="str">
        <f>IF(OR(UPPER(TRIM([1]RawShipmentData!O869))="YES",UPPER(TRIM([1]RawShipmentData!O869))="Y"),"Yes","No")</f>
        <v>Yes</v>
      </c>
    </row>
    <row r="862" spans="1:20" x14ac:dyDescent="0.25">
      <c r="A862" s="2" t="str">
        <f>[1]RawShipmentData!A870</f>
        <v>SHP-100895</v>
      </c>
      <c r="B862" s="3">
        <f>IF(ISNUMBER(SEARCH("/",TRIM([1]RawShipmentData!B870))),DATE(VALUE(RIGHT(TRIM([1]RawShipmentData!B870),4)),VALUE(MID(TRIM([1]RawShipmentData!B870),FIND("/",TRIM([1]RawShipmentData!B870))+1,2)),VALUE(LEFT(TRIM([1]RawShipmentData!B870),FIND("/",TRIM([1]RawShipmentData!B870))-1))),DATEVALUE(TRIM([1]RawShipmentData!B870)))</f>
        <v>45317</v>
      </c>
      <c r="C862" s="2" t="str">
        <f>PROPER(TRIM([1]RawShipmentData!C870))</f>
        <v>Delhi</v>
      </c>
      <c r="D862" s="2" t="str">
        <f>IFERROR(INDEX([1]HubMaster!$B$2:$B$7,MATCH(C862,[1]HubMaster!$A$2:$A$7,0)),"Unknown")</f>
        <v>North</v>
      </c>
      <c r="E862" s="2" t="str">
        <f>PROPER(TRIM(SUBSTITUTE([1]RawShipmentData!D870,"  "," ")))</f>
        <v>Bluedart</v>
      </c>
      <c r="F862" s="2" t="str">
        <f>PROPER(TRIM([1]RawShipmentData!E870))</f>
        <v>Surface</v>
      </c>
      <c r="G862" s="2" t="str">
        <f>PROPER(TRIM(SUBSTITUTE([1]RawShipmentData!F870,"  "," ")))</f>
        <v>Pharma</v>
      </c>
      <c r="H862" s="2" t="str">
        <f>PROPER(TRIM([1]RawShipmentData!G870))</f>
        <v>South</v>
      </c>
      <c r="I862" s="2" t="str">
        <f t="shared" si="65"/>
        <v>Yes</v>
      </c>
      <c r="J862" s="2">
        <f>IFERROR(VALUE(TRIM(SUBSTITUTE(UPPER([1]RawShipmentData!I862),"KG",""))),"")</f>
        <v>2.2999999999999998</v>
      </c>
      <c r="K862" s="2">
        <f>VALUE(SUBSTITUTE(SUBSTITUTE(SUBSTITUTE(TRIM([1]RawShipmentData!J870),"₹",""),"Rs",""),",",""))</f>
        <v>289</v>
      </c>
      <c r="L862" s="2">
        <f>[1]RawShipmentData!K870</f>
        <v>6</v>
      </c>
      <c r="M862" s="3">
        <f>IF(TRIM([1]RawShipmentData!L870)="","",IF(ISNUMBER(SEARCH("/",TRIM([1]RawShipmentData!L870))),DATE(VALUE(RIGHT(TRIM([1]RawShipmentData!L870),4)),VALUE(MID(TRIM([1]RawShipmentData!L870),FIND("/",TRIM([1]RawShipmentData!L870))+1,2)),VALUE(LEFT(TRIM([1]RawShipmentData!L870),FIND("/",TRIM([1]RawShipmentData!L870))-1))),DATEVALUE(TRIM([1]RawShipmentData!L870))))</f>
        <v>45322</v>
      </c>
      <c r="N862" s="2">
        <f t="shared" si="66"/>
        <v>5</v>
      </c>
      <c r="O862" s="2">
        <f t="shared" si="67"/>
        <v>-1</v>
      </c>
      <c r="P862" s="2" t="str">
        <f t="shared" si="68"/>
        <v>On Time</v>
      </c>
      <c r="Q862" s="2" t="str">
        <f>PROPER(SUBSTITUTE(TRIM([1]RawShipmentData!M870)," ","-"))</f>
        <v>Delivered</v>
      </c>
      <c r="R862" s="4">
        <f t="shared" si="69"/>
        <v>125.65217391304348</v>
      </c>
      <c r="S862" s="2">
        <f>[1]RawShipmentData!N870</f>
        <v>4</v>
      </c>
      <c r="T862" s="2" t="str">
        <f>IF(OR(UPPER(TRIM([1]RawShipmentData!O870))="YES",UPPER(TRIM([1]RawShipmentData!O870))="Y"),"Yes","No")</f>
        <v>No</v>
      </c>
    </row>
    <row r="863" spans="1:20" x14ac:dyDescent="0.25">
      <c r="A863" s="2" t="str">
        <f>[1]RawShipmentData!A871</f>
        <v>SHP-101578</v>
      </c>
      <c r="B863" s="3">
        <f>IF(ISNUMBER(SEARCH("/",TRIM([1]RawShipmentData!B871))),DATE(VALUE(RIGHT(TRIM([1]RawShipmentData!B871),4)),VALUE(MID(TRIM([1]RawShipmentData!B871),FIND("/",TRIM([1]RawShipmentData!B871))+1,2)),VALUE(LEFT(TRIM([1]RawShipmentData!B871),FIND("/",TRIM([1]RawShipmentData!B871))-1))),DATEVALUE(TRIM([1]RawShipmentData!B871)))</f>
        <v>45435</v>
      </c>
      <c r="C863" s="2" t="str">
        <f>PROPER(TRIM([1]RawShipmentData!C871))</f>
        <v>Mumbai</v>
      </c>
      <c r="D863" s="2" t="str">
        <f>IFERROR(INDEX([1]HubMaster!$B$2:$B$7,MATCH(C863,[1]HubMaster!$A$2:$A$7,0)),"Unknown")</f>
        <v>West</v>
      </c>
      <c r="E863" s="2" t="str">
        <f>PROPER(TRIM(SUBSTITUTE([1]RawShipmentData!D871,"  "," ")))</f>
        <v>Xpress Bees</v>
      </c>
      <c r="F863" s="2" t="str">
        <f>PROPER(TRIM([1]RawShipmentData!E871))</f>
        <v>Surface</v>
      </c>
      <c r="G863" s="2" t="str">
        <f>PROPER(TRIM(SUBSTITUTE([1]RawShipmentData!F871,"  "," ")))</f>
        <v>Electronics</v>
      </c>
      <c r="H863" s="2" t="str">
        <f>PROPER(TRIM([1]RawShipmentData!G871))</f>
        <v>West</v>
      </c>
      <c r="I863" s="2" t="str">
        <f t="shared" si="65"/>
        <v>No</v>
      </c>
      <c r="J863" s="2">
        <f>IFERROR(VALUE(TRIM(SUBSTITUTE(UPPER([1]RawShipmentData!I863),"KG",""))),"")</f>
        <v>30.4</v>
      </c>
      <c r="K863" s="2">
        <f>VALUE(SUBSTITUTE(SUBSTITUTE(SUBSTITUTE(TRIM([1]RawShipmentData!J871),"₹",""),"Rs",""),",",""))</f>
        <v>122</v>
      </c>
      <c r="L863" s="2">
        <f>[1]RawShipmentData!K871</f>
        <v>4</v>
      </c>
      <c r="M863" s="3">
        <f>IF(TRIM([1]RawShipmentData!L871)="","",IF(ISNUMBER(SEARCH("/",TRIM([1]RawShipmentData!L871))),DATE(VALUE(RIGHT(TRIM([1]RawShipmentData!L871),4)),VALUE(MID(TRIM([1]RawShipmentData!L871),FIND("/",TRIM([1]RawShipmentData!L871))+1,2)),VALUE(LEFT(TRIM([1]RawShipmentData!L871),FIND("/",TRIM([1]RawShipmentData!L871))-1))),DATEVALUE(TRIM([1]RawShipmentData!L871))))</f>
        <v>45440</v>
      </c>
      <c r="N863" s="2">
        <f t="shared" si="66"/>
        <v>5</v>
      </c>
      <c r="O863" s="2">
        <f t="shared" si="67"/>
        <v>1</v>
      </c>
      <c r="P863" s="2" t="str">
        <f t="shared" si="68"/>
        <v>Late</v>
      </c>
      <c r="Q863" s="2" t="str">
        <f>PROPER(SUBSTITUTE(TRIM([1]RawShipmentData!M871)," ","-"))</f>
        <v>Delayed</v>
      </c>
      <c r="R863" s="4">
        <f t="shared" si="69"/>
        <v>4.0131578947368425</v>
      </c>
      <c r="S863" s="2">
        <f>[1]RawShipmentData!N871</f>
        <v>4</v>
      </c>
      <c r="T863" s="2" t="str">
        <f>IF(OR(UPPER(TRIM([1]RawShipmentData!O871))="YES",UPPER(TRIM([1]RawShipmentData!O871))="Y"),"Yes","No")</f>
        <v>Yes</v>
      </c>
    </row>
    <row r="864" spans="1:20" x14ac:dyDescent="0.25">
      <c r="A864" s="2" t="str">
        <f>[1]RawShipmentData!A872</f>
        <v>SHP-100183</v>
      </c>
      <c r="B864" s="3">
        <f>IF(ISNUMBER(SEARCH("/",TRIM([1]RawShipmentData!B872))),DATE(VALUE(RIGHT(TRIM([1]RawShipmentData!B872),4)),VALUE(MID(TRIM([1]RawShipmentData!B872),FIND("/",TRIM([1]RawShipmentData!B872))+1,2)),VALUE(LEFT(TRIM([1]RawShipmentData!B872),FIND("/",TRIM([1]RawShipmentData!B872))-1))),DATEVALUE(TRIM([1]RawShipmentData!B872)))</f>
        <v>45314</v>
      </c>
      <c r="C864" s="2" t="str">
        <f>PROPER(TRIM([1]RawShipmentData!C872))</f>
        <v>Hyderabad</v>
      </c>
      <c r="D864" s="2" t="str">
        <f>IFERROR(INDEX([1]HubMaster!$B$2:$B$7,MATCH(C864,[1]HubMaster!$A$2:$A$7,0)),"Unknown")</f>
        <v>West</v>
      </c>
      <c r="E864" s="2" t="str">
        <f>PROPER(TRIM(SUBSTITUTE([1]RawShipmentData!D872,"  "," ")))</f>
        <v>Xpressbees</v>
      </c>
      <c r="F864" s="2" t="str">
        <f>PROPER(TRIM([1]RawShipmentData!E872))</f>
        <v>Surface</v>
      </c>
      <c r="G864" s="2" t="str">
        <f>PROPER(TRIM(SUBSTITUTE([1]RawShipmentData!F872,"  "," ")))</f>
        <v>Apparel</v>
      </c>
      <c r="H864" s="2" t="str">
        <f>PROPER(TRIM([1]RawShipmentData!G872))</f>
        <v>North</v>
      </c>
      <c r="I864" s="2" t="str">
        <f t="shared" si="65"/>
        <v>Yes</v>
      </c>
      <c r="J864" s="2">
        <f>IFERROR(VALUE(TRIM(SUBSTITUTE(UPPER([1]RawShipmentData!I864),"KG",""))),"")</f>
        <v>8.6999999999999993</v>
      </c>
      <c r="K864" s="2">
        <f>VALUE(SUBSTITUTE(SUBSTITUTE(SUBSTITUTE(TRIM([1]RawShipmentData!J872),"₹",""),"Rs",""),",",""))</f>
        <v>197</v>
      </c>
      <c r="L864" s="2">
        <f>[1]RawShipmentData!K872</f>
        <v>6</v>
      </c>
      <c r="M864" s="3">
        <f>IF(TRIM([1]RawShipmentData!L872)="","",IF(ISNUMBER(SEARCH("/",TRIM([1]RawShipmentData!L872))),DATE(VALUE(RIGHT(TRIM([1]RawShipmentData!L872),4)),VALUE(MID(TRIM([1]RawShipmentData!L872),FIND("/",TRIM([1]RawShipmentData!L872))+1,2)),VALUE(LEFT(TRIM([1]RawShipmentData!L872),FIND("/",TRIM([1]RawShipmentData!L872))-1))),DATEVALUE(TRIM([1]RawShipmentData!L872))))</f>
        <v>45320</v>
      </c>
      <c r="N864" s="2">
        <f t="shared" si="66"/>
        <v>6</v>
      </c>
      <c r="O864" s="2">
        <f t="shared" si="67"/>
        <v>0</v>
      </c>
      <c r="P864" s="2" t="str">
        <f t="shared" si="68"/>
        <v>On Time</v>
      </c>
      <c r="Q864" s="2" t="str">
        <f>PROPER(SUBSTITUTE(TRIM([1]RawShipmentData!M872)," ","-"))</f>
        <v>Delivered</v>
      </c>
      <c r="R864" s="4">
        <f t="shared" si="69"/>
        <v>22.643678160919542</v>
      </c>
      <c r="S864" s="2">
        <f>[1]RawShipmentData!N872</f>
        <v>4</v>
      </c>
      <c r="T864" s="2" t="str">
        <f>IF(OR(UPPER(TRIM([1]RawShipmentData!O872))="YES",UPPER(TRIM([1]RawShipmentData!O872))="Y"),"Yes","No")</f>
        <v>No</v>
      </c>
    </row>
    <row r="865" spans="1:20" x14ac:dyDescent="0.25">
      <c r="A865" s="2" t="str">
        <f>[1]RawShipmentData!A873</f>
        <v>SHP-100368</v>
      </c>
      <c r="B865" s="3">
        <f>IF(ISNUMBER(SEARCH("/",TRIM([1]RawShipmentData!B873))),DATE(VALUE(RIGHT(TRIM([1]RawShipmentData!B873),4)),VALUE(MID(TRIM([1]RawShipmentData!B873),FIND("/",TRIM([1]RawShipmentData!B873))+1,2)),VALUE(LEFT(TRIM([1]RawShipmentData!B873),FIND("/",TRIM([1]RawShipmentData!B873))-1))),DATEVALUE(TRIM([1]RawShipmentData!B873)))</f>
        <v>45374</v>
      </c>
      <c r="C865" s="2" t="str">
        <f>PROPER(TRIM([1]RawShipmentData!C873))</f>
        <v>Kolkata</v>
      </c>
      <c r="D865" s="2" t="str">
        <f>IFERROR(INDEX([1]HubMaster!$B$2:$B$7,MATCH(C865,[1]HubMaster!$A$2:$A$7,0)),"Unknown")</f>
        <v>East</v>
      </c>
      <c r="E865" s="2" t="str">
        <f>PROPER(TRIM(SUBSTITUTE([1]RawShipmentData!D873,"  "," ")))</f>
        <v>Dtdc</v>
      </c>
      <c r="F865" s="2" t="str">
        <f>PROPER(TRIM([1]RawShipmentData!E873))</f>
        <v>Surface</v>
      </c>
      <c r="G865" s="2" t="str">
        <f>PROPER(TRIM(SUBSTITUTE([1]RawShipmentData!F873,"  "," ")))</f>
        <v>Furniture</v>
      </c>
      <c r="H865" s="2" t="str">
        <f>PROPER(TRIM([1]RawShipmentData!G873))</f>
        <v>North</v>
      </c>
      <c r="I865" s="2" t="str">
        <f t="shared" si="65"/>
        <v>Yes</v>
      </c>
      <c r="J865" s="2">
        <f>IFERROR(VALUE(TRIM(SUBSTITUTE(UPPER([1]RawShipmentData!I865),"KG",""))),"")</f>
        <v>14.6</v>
      </c>
      <c r="K865" s="2">
        <f>VALUE(SUBSTITUTE(SUBSTITUTE(SUBSTITUTE(TRIM([1]RawShipmentData!J873),"₹",""),"Rs",""),",",""))</f>
        <v>824</v>
      </c>
      <c r="L865" s="2">
        <f>[1]RawShipmentData!K873</f>
        <v>6</v>
      </c>
      <c r="M865" s="3">
        <f>IF(TRIM([1]RawShipmentData!L873)="","",IF(ISNUMBER(SEARCH("/",TRIM([1]RawShipmentData!L873))),DATE(VALUE(RIGHT(TRIM([1]RawShipmentData!L873),4)),VALUE(MID(TRIM([1]RawShipmentData!L873),FIND("/",TRIM([1]RawShipmentData!L873))+1,2)),VALUE(LEFT(TRIM([1]RawShipmentData!L873),FIND("/",TRIM([1]RawShipmentData!L873))-1))),DATEVALUE(TRIM([1]RawShipmentData!L873))))</f>
        <v>45379</v>
      </c>
      <c r="N865" s="2">
        <f t="shared" si="66"/>
        <v>5</v>
      </c>
      <c r="O865" s="2">
        <f t="shared" si="67"/>
        <v>-1</v>
      </c>
      <c r="P865" s="2" t="str">
        <f t="shared" si="68"/>
        <v>On Time</v>
      </c>
      <c r="Q865" s="2" t="str">
        <f>PROPER(SUBSTITUTE(TRIM([1]RawShipmentData!M873)," ","-"))</f>
        <v>Delivered</v>
      </c>
      <c r="R865" s="4">
        <f t="shared" si="69"/>
        <v>56.438356164383563</v>
      </c>
      <c r="S865" s="2">
        <f>[1]RawShipmentData!N873</f>
        <v>5</v>
      </c>
      <c r="T865" s="2" t="str">
        <f>IF(OR(UPPER(TRIM([1]RawShipmentData!O873))="YES",UPPER(TRIM([1]RawShipmentData!O873))="Y"),"Yes","No")</f>
        <v>No</v>
      </c>
    </row>
    <row r="866" spans="1:20" x14ac:dyDescent="0.25">
      <c r="A866" s="2" t="str">
        <f>[1]RawShipmentData!A874</f>
        <v>SHP-100101</v>
      </c>
      <c r="B866" s="3">
        <f>IF(ISNUMBER(SEARCH("/",TRIM([1]RawShipmentData!B874))),DATE(VALUE(RIGHT(TRIM([1]RawShipmentData!B874),4)),VALUE(MID(TRIM([1]RawShipmentData!B874),FIND("/",TRIM([1]RawShipmentData!B874))+1,2)),VALUE(LEFT(TRIM([1]RawShipmentData!B874),FIND("/",TRIM([1]RawShipmentData!B874))-1))),DATEVALUE(TRIM([1]RawShipmentData!B874)))</f>
        <v>45392</v>
      </c>
      <c r="C866" s="2" t="str">
        <f>PROPER(TRIM([1]RawShipmentData!C874))</f>
        <v>Hyderabad</v>
      </c>
      <c r="D866" s="2" t="str">
        <f>IFERROR(INDEX([1]HubMaster!$B$2:$B$7,MATCH(C866,[1]HubMaster!$A$2:$A$7,0)),"Unknown")</f>
        <v>West</v>
      </c>
      <c r="E866" s="2" t="str">
        <f>PROPER(TRIM(SUBSTITUTE([1]RawShipmentData!D874,"  "," ")))</f>
        <v>Bluedart</v>
      </c>
      <c r="F866" s="2" t="str">
        <f>PROPER(TRIM([1]RawShipmentData!E874))</f>
        <v>Road</v>
      </c>
      <c r="G866" s="2" t="str">
        <f>PROPER(TRIM(SUBSTITUTE([1]RawShipmentData!F874,"  "," ")))</f>
        <v>Apparel</v>
      </c>
      <c r="H866" s="2" t="str">
        <f>PROPER(TRIM([1]RawShipmentData!G874))</f>
        <v>North</v>
      </c>
      <c r="I866" s="2" t="str">
        <f t="shared" si="65"/>
        <v>Yes</v>
      </c>
      <c r="J866" s="2">
        <f>IFERROR(VALUE(TRIM(SUBSTITUTE(UPPER([1]RawShipmentData!I866),"KG",""))),"")</f>
        <v>17.2</v>
      </c>
      <c r="K866" s="2">
        <f>VALUE(SUBSTITUTE(SUBSTITUTE(SUBSTITUTE(TRIM([1]RawShipmentData!J874),"₹",""),"Rs",""),",",""))</f>
        <v>255</v>
      </c>
      <c r="L866" s="2">
        <f>[1]RawShipmentData!K874</f>
        <v>8</v>
      </c>
      <c r="M866" s="3">
        <f>IF(TRIM([1]RawShipmentData!L874)="","",IF(ISNUMBER(SEARCH("/",TRIM([1]RawShipmentData!L874))),DATE(VALUE(RIGHT(TRIM([1]RawShipmentData!L874),4)),VALUE(MID(TRIM([1]RawShipmentData!L874),FIND("/",TRIM([1]RawShipmentData!L874))+1,2)),VALUE(LEFT(TRIM([1]RawShipmentData!L874),FIND("/",TRIM([1]RawShipmentData!L874))-1))),DATEVALUE(TRIM([1]RawShipmentData!L874))))</f>
        <v>45399</v>
      </c>
      <c r="N866" s="2">
        <f t="shared" si="66"/>
        <v>7</v>
      </c>
      <c r="O866" s="2">
        <f t="shared" si="67"/>
        <v>-1</v>
      </c>
      <c r="P866" s="2" t="str">
        <f t="shared" si="68"/>
        <v>On Time</v>
      </c>
      <c r="Q866" s="2" t="str">
        <f>PROPER(SUBSTITUTE(TRIM([1]RawShipmentData!M874)," ","-"))</f>
        <v>Delivered</v>
      </c>
      <c r="R866" s="4">
        <f t="shared" si="69"/>
        <v>14.825581395348838</v>
      </c>
      <c r="S866" s="2">
        <f>[1]RawShipmentData!N874</f>
        <v>5</v>
      </c>
      <c r="T866" s="2" t="str">
        <f>IF(OR(UPPER(TRIM([1]RawShipmentData!O874))="YES",UPPER(TRIM([1]RawShipmentData!O874))="Y"),"Yes","No")</f>
        <v>No</v>
      </c>
    </row>
    <row r="867" spans="1:20" x14ac:dyDescent="0.25">
      <c r="A867" s="2" t="str">
        <f>[1]RawShipmentData!A875</f>
        <v>SHP-100563</v>
      </c>
      <c r="B867" s="3">
        <f>IF(ISNUMBER(SEARCH("/",TRIM([1]RawShipmentData!B875))),DATE(VALUE(RIGHT(TRIM([1]RawShipmentData!B875),4)),VALUE(MID(TRIM([1]RawShipmentData!B875),FIND("/",TRIM([1]RawShipmentData!B875))+1,2)),VALUE(LEFT(TRIM([1]RawShipmentData!B875),FIND("/",TRIM([1]RawShipmentData!B875))-1))),DATEVALUE(TRIM([1]RawShipmentData!B875)))</f>
        <v>45353</v>
      </c>
      <c r="C867" s="2" t="str">
        <f>PROPER(TRIM([1]RawShipmentData!C875))</f>
        <v>Mumbai</v>
      </c>
      <c r="D867" s="2" t="str">
        <f>IFERROR(INDEX([1]HubMaster!$B$2:$B$7,MATCH(C867,[1]HubMaster!$A$2:$A$7,0)),"Unknown")</f>
        <v>West</v>
      </c>
      <c r="E867" s="2" t="str">
        <f>PROPER(TRIM(SUBSTITUTE([1]RawShipmentData!D875,"  "," ")))</f>
        <v>Xpress Bees</v>
      </c>
      <c r="F867" s="2" t="str">
        <f>PROPER(TRIM([1]RawShipmentData!E875))</f>
        <v>Air</v>
      </c>
      <c r="G867" s="2" t="str">
        <f>PROPER(TRIM(SUBSTITUTE([1]RawShipmentData!F875,"  "," ")))</f>
        <v>Furniture</v>
      </c>
      <c r="H867" s="2" t="str">
        <f>PROPER(TRIM([1]RawShipmentData!G875))</f>
        <v>South</v>
      </c>
      <c r="I867" s="2" t="str">
        <f t="shared" si="65"/>
        <v>Yes</v>
      </c>
      <c r="J867" s="2">
        <f>IFERROR(VALUE(TRIM(SUBSTITUTE(UPPER([1]RawShipmentData!I867),"KG",""))),"")</f>
        <v>37.700000000000003</v>
      </c>
      <c r="K867" s="2">
        <f>VALUE(SUBSTITUTE(SUBSTITUTE(SUBSTITUTE(TRIM([1]RawShipmentData!J875),"₹",""),"Rs",""),",",""))</f>
        <v>2524</v>
      </c>
      <c r="L867" s="2">
        <f>[1]RawShipmentData!K875</f>
        <v>4</v>
      </c>
      <c r="M867" s="3">
        <f>IF(TRIM([1]RawShipmentData!L875)="","",IF(ISNUMBER(SEARCH("/",TRIM([1]RawShipmentData!L875))),DATE(VALUE(RIGHT(TRIM([1]RawShipmentData!L875),4)),VALUE(MID(TRIM([1]RawShipmentData!L875),FIND("/",TRIM([1]RawShipmentData!L875))+1,2)),VALUE(LEFT(TRIM([1]RawShipmentData!L875),FIND("/",TRIM([1]RawShipmentData!L875))-1))),DATEVALUE(TRIM([1]RawShipmentData!L875))))</f>
        <v>45363</v>
      </c>
      <c r="N867" s="2">
        <f t="shared" si="66"/>
        <v>10</v>
      </c>
      <c r="O867" s="2">
        <f t="shared" si="67"/>
        <v>6</v>
      </c>
      <c r="P867" s="2" t="str">
        <f t="shared" si="68"/>
        <v>Late</v>
      </c>
      <c r="Q867" s="2" t="str">
        <f>PROPER(SUBSTITUTE(TRIM([1]RawShipmentData!M875)," ","-"))</f>
        <v>Delayed</v>
      </c>
      <c r="R867" s="4">
        <f t="shared" si="69"/>
        <v>66.949602122015904</v>
      </c>
      <c r="S867" s="2">
        <f>[1]RawShipmentData!N875</f>
        <v>4</v>
      </c>
      <c r="T867" s="2" t="str">
        <f>IF(OR(UPPER(TRIM([1]RawShipmentData!O875))="YES",UPPER(TRIM([1]RawShipmentData!O875))="Y"),"Yes","No")</f>
        <v>No</v>
      </c>
    </row>
    <row r="868" spans="1:20" x14ac:dyDescent="0.25">
      <c r="A868" s="2" t="str">
        <f>[1]RawShipmentData!A876</f>
        <v>SHP-100964</v>
      </c>
      <c r="B868" s="3">
        <f>IF(ISNUMBER(SEARCH("/",TRIM([1]RawShipmentData!B876))),DATE(VALUE(RIGHT(TRIM([1]RawShipmentData!B876),4)),VALUE(MID(TRIM([1]RawShipmentData!B876),FIND("/",TRIM([1]RawShipmentData!B876))+1,2)),VALUE(LEFT(TRIM([1]RawShipmentData!B876),FIND("/",TRIM([1]RawShipmentData!B876))-1))),DATEVALUE(TRIM([1]RawShipmentData!B876)))</f>
        <v>45347</v>
      </c>
      <c r="C868" s="2" t="str">
        <f>PROPER(TRIM([1]RawShipmentData!C876))</f>
        <v>Hyderabad</v>
      </c>
      <c r="D868" s="2" t="str">
        <f>IFERROR(INDEX([1]HubMaster!$B$2:$B$7,MATCH(C868,[1]HubMaster!$A$2:$A$7,0)),"Unknown")</f>
        <v>West</v>
      </c>
      <c r="E868" s="2" t="str">
        <f>PROPER(TRIM(SUBSTITUTE([1]RawShipmentData!D876,"  "," ")))</f>
        <v>Xpressbees</v>
      </c>
      <c r="F868" s="2" t="str">
        <f>PROPER(TRIM([1]RawShipmentData!E876))</f>
        <v>Road</v>
      </c>
      <c r="G868" s="2" t="str">
        <f>PROPER(TRIM(SUBSTITUTE([1]RawShipmentData!F876,"  "," ")))</f>
        <v>Pharma</v>
      </c>
      <c r="H868" s="2" t="str">
        <f>PROPER(TRIM([1]RawShipmentData!G876))</f>
        <v>West</v>
      </c>
      <c r="I868" s="2" t="str">
        <f t="shared" si="65"/>
        <v>No</v>
      </c>
      <c r="J868" s="2">
        <f>IFERROR(VALUE(TRIM(SUBSTITUTE(UPPER([1]RawShipmentData!I868),"KG",""))),"")</f>
        <v>25.5</v>
      </c>
      <c r="K868" s="2">
        <f>VALUE(SUBSTITUTE(SUBSTITUTE(SUBSTITUTE(TRIM([1]RawShipmentData!J876),"₹",""),"Rs",""),",",""))</f>
        <v>120</v>
      </c>
      <c r="L868" s="2">
        <f>[1]RawShipmentData!K876</f>
        <v>6</v>
      </c>
      <c r="M868" s="3">
        <f>IF(TRIM([1]RawShipmentData!L876)="","",IF(ISNUMBER(SEARCH("/",TRIM([1]RawShipmentData!L876))),DATE(VALUE(RIGHT(TRIM([1]RawShipmentData!L876),4)),VALUE(MID(TRIM([1]RawShipmentData!L876),FIND("/",TRIM([1]RawShipmentData!L876))+1,2)),VALUE(LEFT(TRIM([1]RawShipmentData!L876),FIND("/",TRIM([1]RawShipmentData!L876))-1))),DATEVALUE(TRIM([1]RawShipmentData!L876))))</f>
        <v>45354</v>
      </c>
      <c r="N868" s="2">
        <f t="shared" si="66"/>
        <v>7</v>
      </c>
      <c r="O868" s="2">
        <f t="shared" si="67"/>
        <v>1</v>
      </c>
      <c r="P868" s="2" t="str">
        <f t="shared" si="68"/>
        <v>Late</v>
      </c>
      <c r="Q868" s="2" t="str">
        <f>PROPER(SUBSTITUTE(TRIM([1]RawShipmentData!M876)," ","-"))</f>
        <v>Delayed</v>
      </c>
      <c r="R868" s="4">
        <f t="shared" si="69"/>
        <v>4.7058823529411766</v>
      </c>
      <c r="S868" s="2">
        <f>[1]RawShipmentData!N876</f>
        <v>2</v>
      </c>
      <c r="T868" s="2" t="str">
        <f>IF(OR(UPPER(TRIM([1]RawShipmentData!O876))="YES",UPPER(TRIM([1]RawShipmentData!O876))="Y"),"Yes","No")</f>
        <v>No</v>
      </c>
    </row>
    <row r="869" spans="1:20" x14ac:dyDescent="0.25">
      <c r="A869" s="2" t="str">
        <f>[1]RawShipmentData!A877</f>
        <v>SHP-100115</v>
      </c>
      <c r="B869" s="3">
        <f>IF(ISNUMBER(SEARCH("/",TRIM([1]RawShipmentData!B877))),DATE(VALUE(RIGHT(TRIM([1]RawShipmentData!B877),4)),VALUE(MID(TRIM([1]RawShipmentData!B877),FIND("/",TRIM([1]RawShipmentData!B877))+1,2)),VALUE(LEFT(TRIM([1]RawShipmentData!B877),FIND("/",TRIM([1]RawShipmentData!B877))-1))),DATEVALUE(TRIM([1]RawShipmentData!B877)))</f>
        <v>45424</v>
      </c>
      <c r="C869" s="2" t="str">
        <f>PROPER(TRIM([1]RawShipmentData!C877))</f>
        <v>Mumbai</v>
      </c>
      <c r="D869" s="2" t="str">
        <f>IFERROR(INDEX([1]HubMaster!$B$2:$B$7,MATCH(C869,[1]HubMaster!$A$2:$A$7,0)),"Unknown")</f>
        <v>West</v>
      </c>
      <c r="E869" s="2" t="str">
        <f>PROPER(TRIM(SUBSTITUTE([1]RawShipmentData!D877,"  "," ")))</f>
        <v>Delhivery</v>
      </c>
      <c r="F869" s="2" t="str">
        <f>PROPER(TRIM([1]RawShipmentData!E877))</f>
        <v>Road</v>
      </c>
      <c r="G869" s="2" t="str">
        <f>PROPER(TRIM(SUBSTITUTE([1]RawShipmentData!F877,"  "," ")))</f>
        <v>Pharma</v>
      </c>
      <c r="H869" s="2" t="str">
        <f>PROPER(TRIM([1]RawShipmentData!G877))</f>
        <v>East</v>
      </c>
      <c r="I869" s="2" t="str">
        <f t="shared" si="65"/>
        <v>Yes</v>
      </c>
      <c r="J869" s="2">
        <f>IFERROR(VALUE(TRIM(SUBSTITUTE(UPPER([1]RawShipmentData!I869),"KG",""))),"")</f>
        <v>8.9</v>
      </c>
      <c r="K869" s="2">
        <f>VALUE(SUBSTITUTE(SUBSTITUTE(SUBSTITUTE(TRIM([1]RawShipmentData!J877),"₹",""),"Rs",""),",",""))</f>
        <v>194</v>
      </c>
      <c r="L869" s="2">
        <f>[1]RawShipmentData!K877</f>
        <v>8</v>
      </c>
      <c r="M869" s="3">
        <f>IF(TRIM([1]RawShipmentData!L877)="","",IF(ISNUMBER(SEARCH("/",TRIM([1]RawShipmentData!L877))),DATE(VALUE(RIGHT(TRIM([1]RawShipmentData!L877),4)),VALUE(MID(TRIM([1]RawShipmentData!L877),FIND("/",TRIM([1]RawShipmentData!L877))+1,2)),VALUE(LEFT(TRIM([1]RawShipmentData!L877),FIND("/",TRIM([1]RawShipmentData!L877))-1))),DATEVALUE(TRIM([1]RawShipmentData!L877))))</f>
        <v>45431</v>
      </c>
      <c r="N869" s="2">
        <f t="shared" si="66"/>
        <v>7</v>
      </c>
      <c r="O869" s="2">
        <f t="shared" si="67"/>
        <v>-1</v>
      </c>
      <c r="P869" s="2" t="str">
        <f t="shared" si="68"/>
        <v>On Time</v>
      </c>
      <c r="Q869" s="2" t="str">
        <f>PROPER(SUBSTITUTE(TRIM([1]RawShipmentData!M877)," ","-"))</f>
        <v>Delivered</v>
      </c>
      <c r="R869" s="4">
        <f t="shared" si="69"/>
        <v>21.797752808988765</v>
      </c>
      <c r="S869" s="2">
        <f>[1]RawShipmentData!N877</f>
        <v>2</v>
      </c>
      <c r="T869" s="2" t="str">
        <f>IF(OR(UPPER(TRIM([1]RawShipmentData!O877))="YES",UPPER(TRIM([1]RawShipmentData!O877))="Y"),"Yes","No")</f>
        <v>No</v>
      </c>
    </row>
    <row r="870" spans="1:20" x14ac:dyDescent="0.25">
      <c r="A870" s="2" t="str">
        <f>[1]RawShipmentData!A878</f>
        <v>SHP-100305</v>
      </c>
      <c r="B870" s="3">
        <f>IF(ISNUMBER(SEARCH("/",TRIM([1]RawShipmentData!B878))),DATE(VALUE(RIGHT(TRIM([1]RawShipmentData!B878),4)),VALUE(MID(TRIM([1]RawShipmentData!B878),FIND("/",TRIM([1]RawShipmentData!B878))+1,2)),VALUE(LEFT(TRIM([1]RawShipmentData!B878),FIND("/",TRIM([1]RawShipmentData!B878))-1))),DATEVALUE(TRIM([1]RawShipmentData!B878)))</f>
        <v>45388</v>
      </c>
      <c r="C870" s="2" t="str">
        <f>PROPER(TRIM([1]RawShipmentData!C878))</f>
        <v>Hyderabad</v>
      </c>
      <c r="D870" s="2" t="str">
        <f>IFERROR(INDEX([1]HubMaster!$B$2:$B$7,MATCH(C870,[1]HubMaster!$A$2:$A$7,0)),"Unknown")</f>
        <v>West</v>
      </c>
      <c r="E870" s="2" t="str">
        <f>PROPER(TRIM(SUBSTITUTE([1]RawShipmentData!D878,"  "," ")))</f>
        <v>Dtdc</v>
      </c>
      <c r="F870" s="2" t="str">
        <f>PROPER(TRIM([1]RawShipmentData!E878))</f>
        <v>Road</v>
      </c>
      <c r="G870" s="2" t="str">
        <f>PROPER(TRIM(SUBSTITUTE([1]RawShipmentData!F878,"  "," ")))</f>
        <v>Furniture</v>
      </c>
      <c r="H870" s="2" t="str">
        <f>PROPER(TRIM([1]RawShipmentData!G878))</f>
        <v>East</v>
      </c>
      <c r="I870" s="2" t="str">
        <f t="shared" si="65"/>
        <v>Yes</v>
      </c>
      <c r="J870" s="2">
        <f>IFERROR(VALUE(TRIM(SUBSTITUTE(UPPER([1]RawShipmentData!I870),"KG",""))),"")</f>
        <v>4</v>
      </c>
      <c r="K870" s="2">
        <f>VALUE(SUBSTITUTE(SUBSTITUTE(SUBSTITUTE(TRIM([1]RawShipmentData!J878),"₹",""),"Rs",""),",",""))</f>
        <v>587</v>
      </c>
      <c r="L870" s="2">
        <f>[1]RawShipmentData!K878</f>
        <v>8</v>
      </c>
      <c r="M870" s="3">
        <f>IF(TRIM([1]RawShipmentData!L878)="","",IF(ISNUMBER(SEARCH("/",TRIM([1]RawShipmentData!L878))),DATE(VALUE(RIGHT(TRIM([1]RawShipmentData!L878),4)),VALUE(MID(TRIM([1]RawShipmentData!L878),FIND("/",TRIM([1]RawShipmentData!L878))+1,2)),VALUE(LEFT(TRIM([1]RawShipmentData!L878),FIND("/",TRIM([1]RawShipmentData!L878))-1))),DATEVALUE(TRIM([1]RawShipmentData!L878))))</f>
        <v>45397</v>
      </c>
      <c r="N870" s="2">
        <f t="shared" si="66"/>
        <v>9</v>
      </c>
      <c r="O870" s="2">
        <f t="shared" si="67"/>
        <v>1</v>
      </c>
      <c r="P870" s="2" t="str">
        <f t="shared" si="68"/>
        <v>Late</v>
      </c>
      <c r="Q870" s="2" t="str">
        <f>PROPER(SUBSTITUTE(TRIM([1]RawShipmentData!M878)," ","-"))</f>
        <v>Delayed</v>
      </c>
      <c r="R870" s="4">
        <f t="shared" si="69"/>
        <v>146.75</v>
      </c>
      <c r="S870" s="2">
        <f>[1]RawShipmentData!N878</f>
        <v>1</v>
      </c>
      <c r="T870" s="2" t="str">
        <f>IF(OR(UPPER(TRIM([1]RawShipmentData!O878))="YES",UPPER(TRIM([1]RawShipmentData!O878))="Y"),"Yes","No")</f>
        <v>No</v>
      </c>
    </row>
    <row r="871" spans="1:20" x14ac:dyDescent="0.25">
      <c r="A871" s="2" t="str">
        <f>[1]RawShipmentData!A879</f>
        <v>SHP-101182</v>
      </c>
      <c r="B871" s="3">
        <f>IF(ISNUMBER(SEARCH("/",TRIM([1]RawShipmentData!B879))),DATE(VALUE(RIGHT(TRIM([1]RawShipmentData!B879),4)),VALUE(MID(TRIM([1]RawShipmentData!B879),FIND("/",TRIM([1]RawShipmentData!B879))+1,2)),VALUE(LEFT(TRIM([1]RawShipmentData!B879),FIND("/",TRIM([1]RawShipmentData!B879))-1))),DATEVALUE(TRIM([1]RawShipmentData!B879)))</f>
        <v>45469</v>
      </c>
      <c r="C871" s="2" t="str">
        <f>PROPER(TRIM([1]RawShipmentData!C879))</f>
        <v>Mumbai</v>
      </c>
      <c r="D871" s="2" t="str">
        <f>IFERROR(INDEX([1]HubMaster!$B$2:$B$7,MATCH(C871,[1]HubMaster!$A$2:$A$7,0)),"Unknown")</f>
        <v>West</v>
      </c>
      <c r="E871" s="2" t="str">
        <f>PROPER(TRIM(SUBSTITUTE([1]RawShipmentData!D879,"  "," ")))</f>
        <v>Bluedart</v>
      </c>
      <c r="F871" s="2" t="str">
        <f>PROPER(TRIM([1]RawShipmentData!E879))</f>
        <v>Road</v>
      </c>
      <c r="G871" s="2" t="str">
        <f>PROPER(TRIM(SUBSTITUTE([1]RawShipmentData!F879,"  "," ")))</f>
        <v>Furniture</v>
      </c>
      <c r="H871" s="2" t="str">
        <f>PROPER(TRIM([1]RawShipmentData!G879))</f>
        <v>West</v>
      </c>
      <c r="I871" s="2" t="str">
        <f t="shared" si="65"/>
        <v>No</v>
      </c>
      <c r="J871" s="2">
        <f>IFERROR(VALUE(TRIM(SUBSTITUTE(UPPER([1]RawShipmentData!I871),"KG",""))),"")</f>
        <v>6.7</v>
      </c>
      <c r="K871" s="2">
        <f>VALUE(SUBSTITUTE(SUBSTITUTE(SUBSTITUTE(TRIM([1]RawShipmentData!J879),"₹",""),"Rs",""),",",""))</f>
        <v>875</v>
      </c>
      <c r="L871" s="2">
        <f>[1]RawShipmentData!K879</f>
        <v>6</v>
      </c>
      <c r="M871" s="3" t="str">
        <f>IF(TRIM([1]RawShipmentData!L879)="","",IF(ISNUMBER(SEARCH("/",TRIM([1]RawShipmentData!L879))),DATE(VALUE(RIGHT(TRIM([1]RawShipmentData!L879),4)),VALUE(MID(TRIM([1]RawShipmentData!L879),FIND("/",TRIM([1]RawShipmentData!L879))+1,2)),VALUE(LEFT(TRIM([1]RawShipmentData!L879),FIND("/",TRIM([1]RawShipmentData!L879))-1))),DATEVALUE(TRIM([1]RawShipmentData!L879))))</f>
        <v/>
      </c>
      <c r="N871" s="2" t="str">
        <f t="shared" si="66"/>
        <v/>
      </c>
      <c r="O871" s="2" t="str">
        <f t="shared" si="67"/>
        <v/>
      </c>
      <c r="P871" s="2" t="str">
        <f t="shared" si="68"/>
        <v>N/A</v>
      </c>
      <c r="Q871" s="2" t="str">
        <f>PROPER(SUBSTITUTE(TRIM([1]RawShipmentData!M879)," ","-"))</f>
        <v>In-Transit</v>
      </c>
      <c r="R871" s="4">
        <f t="shared" si="69"/>
        <v>130.59701492537314</v>
      </c>
      <c r="S871" s="2">
        <f>[1]RawShipmentData!N879</f>
        <v>0</v>
      </c>
      <c r="T871" s="2" t="str">
        <f>IF(OR(UPPER(TRIM([1]RawShipmentData!O879))="YES",UPPER(TRIM([1]RawShipmentData!O879))="Y"),"Yes","No")</f>
        <v>Yes</v>
      </c>
    </row>
    <row r="872" spans="1:20" x14ac:dyDescent="0.25">
      <c r="A872" s="2" t="str">
        <f>[1]RawShipmentData!A880</f>
        <v>SHP-100354</v>
      </c>
      <c r="B872" s="3">
        <f>IF(ISNUMBER(SEARCH("/",TRIM([1]RawShipmentData!B880))),DATE(VALUE(RIGHT(TRIM([1]RawShipmentData!B880),4)),VALUE(MID(TRIM([1]RawShipmentData!B880),FIND("/",TRIM([1]RawShipmentData!B880))+1,2)),VALUE(LEFT(TRIM([1]RawShipmentData!B880),FIND("/",TRIM([1]RawShipmentData!B880))-1))),DATEVALUE(TRIM([1]RawShipmentData!B880)))</f>
        <v>45471</v>
      </c>
      <c r="C872" s="2" t="str">
        <f>PROPER(TRIM([1]RawShipmentData!C880))</f>
        <v>Chennai</v>
      </c>
      <c r="D872" s="2" t="str">
        <f>IFERROR(INDEX([1]HubMaster!$B$2:$B$7,MATCH(C872,[1]HubMaster!$A$2:$A$7,0)),"Unknown")</f>
        <v>South</v>
      </c>
      <c r="E872" s="2" t="str">
        <f>PROPER(TRIM(SUBSTITUTE([1]RawShipmentData!D880,"  "," ")))</f>
        <v>Dtdc</v>
      </c>
      <c r="F872" s="2" t="str">
        <f>PROPER(TRIM([1]RawShipmentData!E880))</f>
        <v>Air</v>
      </c>
      <c r="G872" s="2" t="str">
        <f>PROPER(TRIM(SUBSTITUTE([1]RawShipmentData!F880,"  "," ")))</f>
        <v>Pharma</v>
      </c>
      <c r="H872" s="2" t="str">
        <f>PROPER(TRIM([1]RawShipmentData!G880))</f>
        <v>West</v>
      </c>
      <c r="I872" s="2" t="str">
        <f t="shared" si="65"/>
        <v>Yes</v>
      </c>
      <c r="J872" s="2">
        <f>IFERROR(VALUE(TRIM(SUBSTITUTE(UPPER([1]RawShipmentData!I872),"KG",""))),"")</f>
        <v>0.9</v>
      </c>
      <c r="K872" s="2">
        <f>VALUE(SUBSTITUTE(SUBSTITUTE(SUBSTITUTE(TRIM([1]RawShipmentData!J880),"₹",""),"Rs",""),",",""))</f>
        <v>292</v>
      </c>
      <c r="L872" s="2">
        <f>[1]RawShipmentData!K880</f>
        <v>4</v>
      </c>
      <c r="M872" s="3">
        <f>IF(TRIM([1]RawShipmentData!L880)="","",IF(ISNUMBER(SEARCH("/",TRIM([1]RawShipmentData!L880))),DATE(VALUE(RIGHT(TRIM([1]RawShipmentData!L880),4)),VALUE(MID(TRIM([1]RawShipmentData!L880),FIND("/",TRIM([1]RawShipmentData!L880))+1,2)),VALUE(LEFT(TRIM([1]RawShipmentData!L880),FIND("/",TRIM([1]RawShipmentData!L880))-1))),DATEVALUE(TRIM([1]RawShipmentData!L880))))</f>
        <v>45476</v>
      </c>
      <c r="N872" s="2">
        <f t="shared" si="66"/>
        <v>5</v>
      </c>
      <c r="O872" s="2">
        <f t="shared" si="67"/>
        <v>1</v>
      </c>
      <c r="P872" s="2" t="str">
        <f t="shared" si="68"/>
        <v>Late</v>
      </c>
      <c r="Q872" s="2" t="str">
        <f>PROPER(SUBSTITUTE(TRIM([1]RawShipmentData!M880)," ","-"))</f>
        <v>Delayed</v>
      </c>
      <c r="R872" s="4">
        <f t="shared" si="69"/>
        <v>324.44444444444446</v>
      </c>
      <c r="S872" s="2">
        <f>[1]RawShipmentData!N880</f>
        <v>3</v>
      </c>
      <c r="T872" s="2" t="str">
        <f>IF(OR(UPPER(TRIM([1]RawShipmentData!O880))="YES",UPPER(TRIM([1]RawShipmentData!O880))="Y"),"Yes","No")</f>
        <v>No</v>
      </c>
    </row>
    <row r="873" spans="1:20" x14ac:dyDescent="0.25">
      <c r="A873" s="2" t="str">
        <f>[1]RawShipmentData!A881</f>
        <v>SHP-101154</v>
      </c>
      <c r="B873" s="3">
        <f>IF(ISNUMBER(SEARCH("/",TRIM([1]RawShipmentData!B881))),DATE(VALUE(RIGHT(TRIM([1]RawShipmentData!B881),4)),VALUE(MID(TRIM([1]RawShipmentData!B881),FIND("/",TRIM([1]RawShipmentData!B881))+1,2)),VALUE(LEFT(TRIM([1]RawShipmentData!B881),FIND("/",TRIM([1]RawShipmentData!B881))-1))),DATEVALUE(TRIM([1]RawShipmentData!B881)))</f>
        <v>45355</v>
      </c>
      <c r="C873" s="2" t="str">
        <f>PROPER(TRIM([1]RawShipmentData!C881))</f>
        <v>Bengaluru</v>
      </c>
      <c r="D873" s="2" t="str">
        <f>IFERROR(INDEX([1]HubMaster!$B$2:$B$7,MATCH(C873,[1]HubMaster!$A$2:$A$7,0)),"Unknown")</f>
        <v>South</v>
      </c>
      <c r="E873" s="2" t="str">
        <f>PROPER(TRIM(SUBSTITUTE([1]RawShipmentData!D881,"  "," ")))</f>
        <v>Blue Dart</v>
      </c>
      <c r="F873" s="2" t="str">
        <f>PROPER(TRIM([1]RawShipmentData!E881))</f>
        <v>Surface</v>
      </c>
      <c r="G873" s="2" t="str">
        <f>PROPER(TRIM(SUBSTITUTE([1]RawShipmentData!F881,"  "," ")))</f>
        <v>Automotive Parts</v>
      </c>
      <c r="H873" s="2" t="str">
        <f>PROPER(TRIM([1]RawShipmentData!G881))</f>
        <v>North</v>
      </c>
      <c r="I873" s="2" t="str">
        <f t="shared" si="65"/>
        <v>Yes</v>
      </c>
      <c r="J873" s="2">
        <f>IFERROR(VALUE(TRIM(SUBSTITUTE(UPPER([1]RawShipmentData!I873),"KG",""))),"")</f>
        <v>31.8</v>
      </c>
      <c r="K873" s="2">
        <f>VALUE(SUBSTITUTE(SUBSTITUTE(SUBSTITUTE(TRIM([1]RawShipmentData!J881),"₹",""),"Rs",""),",",""))</f>
        <v>749</v>
      </c>
      <c r="L873" s="2">
        <f>[1]RawShipmentData!K881</f>
        <v>6</v>
      </c>
      <c r="M873" s="3">
        <f>IF(TRIM([1]RawShipmentData!L881)="","",IF(ISNUMBER(SEARCH("/",TRIM([1]RawShipmentData!L881))),DATE(VALUE(RIGHT(TRIM([1]RawShipmentData!L881),4)),VALUE(MID(TRIM([1]RawShipmentData!L881),FIND("/",TRIM([1]RawShipmentData!L881))+1,2)),VALUE(LEFT(TRIM([1]RawShipmentData!L881),FIND("/",TRIM([1]RawShipmentData!L881))-1))),DATEVALUE(TRIM([1]RawShipmentData!L881))))</f>
        <v>45362</v>
      </c>
      <c r="N873" s="2">
        <f t="shared" si="66"/>
        <v>7</v>
      </c>
      <c r="O873" s="2">
        <f t="shared" si="67"/>
        <v>1</v>
      </c>
      <c r="P873" s="2" t="str">
        <f t="shared" si="68"/>
        <v>Late</v>
      </c>
      <c r="Q873" s="2" t="str">
        <f>PROPER(SUBSTITUTE(TRIM([1]RawShipmentData!M881)," ","-"))</f>
        <v>Delayed</v>
      </c>
      <c r="R873" s="4">
        <f t="shared" si="69"/>
        <v>23.553459119496853</v>
      </c>
      <c r="S873" s="2">
        <f>[1]RawShipmentData!N881</f>
        <v>1</v>
      </c>
      <c r="T873" s="2" t="str">
        <f>IF(OR(UPPER(TRIM([1]RawShipmentData!O881))="YES",UPPER(TRIM([1]RawShipmentData!O881))="Y"),"Yes","No")</f>
        <v>Yes</v>
      </c>
    </row>
    <row r="874" spans="1:20" x14ac:dyDescent="0.25">
      <c r="A874" s="2" t="str">
        <f>[1]RawShipmentData!A882</f>
        <v>SHP-101045</v>
      </c>
      <c r="B874" s="3">
        <f>IF(ISNUMBER(SEARCH("/",TRIM([1]RawShipmentData!B882))),DATE(VALUE(RIGHT(TRIM([1]RawShipmentData!B882),4)),VALUE(MID(TRIM([1]RawShipmentData!B882),FIND("/",TRIM([1]RawShipmentData!B882))+1,2)),VALUE(LEFT(TRIM([1]RawShipmentData!B882),FIND("/",TRIM([1]RawShipmentData!B882))-1))),DATEVALUE(TRIM([1]RawShipmentData!B882)))</f>
        <v>45343</v>
      </c>
      <c r="C874" s="2" t="str">
        <f>PROPER(TRIM([1]RawShipmentData!C882))</f>
        <v>Delhi</v>
      </c>
      <c r="D874" s="2" t="str">
        <f>IFERROR(INDEX([1]HubMaster!$B$2:$B$7,MATCH(C874,[1]HubMaster!$A$2:$A$7,0)),"Unknown")</f>
        <v>North</v>
      </c>
      <c r="E874" s="2" t="str">
        <f>PROPER(TRIM(SUBSTITUTE([1]RawShipmentData!D882,"  "," ")))</f>
        <v>Bluedart</v>
      </c>
      <c r="F874" s="2" t="str">
        <f>PROPER(TRIM([1]RawShipmentData!E882))</f>
        <v>Air</v>
      </c>
      <c r="G874" s="2" t="str">
        <f>PROPER(TRIM(SUBSTITUTE([1]RawShipmentData!F882,"  "," ")))</f>
        <v>Electronics</v>
      </c>
      <c r="H874" s="2" t="str">
        <f>PROPER(TRIM([1]RawShipmentData!G882))</f>
        <v>West</v>
      </c>
      <c r="I874" s="2" t="str">
        <f t="shared" si="65"/>
        <v>Yes</v>
      </c>
      <c r="J874" s="2">
        <f>IFERROR(VALUE(TRIM(SUBSTITUTE(UPPER([1]RawShipmentData!I874),"KG",""))),"")</f>
        <v>4.4000000000000004</v>
      </c>
      <c r="K874" s="2">
        <f>VALUE(SUBSTITUTE(SUBSTITUTE(SUBSTITUTE(TRIM([1]RawShipmentData!J882),"₹",""),"Rs",""),",",""))</f>
        <v>752</v>
      </c>
      <c r="L874" s="2">
        <f>[1]RawShipmentData!K882</f>
        <v>4</v>
      </c>
      <c r="M874" s="3">
        <f>IF(TRIM([1]RawShipmentData!L882)="","",IF(ISNUMBER(SEARCH("/",TRIM([1]RawShipmentData!L882))),DATE(VALUE(RIGHT(TRIM([1]RawShipmentData!L882),4)),VALUE(MID(TRIM([1]RawShipmentData!L882),FIND("/",TRIM([1]RawShipmentData!L882))+1,2)),VALUE(LEFT(TRIM([1]RawShipmentData!L882),FIND("/",TRIM([1]RawShipmentData!L882))-1))),DATEVALUE(TRIM([1]RawShipmentData!L882))))</f>
        <v>45348</v>
      </c>
      <c r="N874" s="2">
        <f t="shared" si="66"/>
        <v>5</v>
      </c>
      <c r="O874" s="2">
        <f t="shared" si="67"/>
        <v>1</v>
      </c>
      <c r="P874" s="2" t="str">
        <f t="shared" si="68"/>
        <v>Late</v>
      </c>
      <c r="Q874" s="2" t="str">
        <f>PROPER(SUBSTITUTE(TRIM([1]RawShipmentData!M882)," ","-"))</f>
        <v>Delayed</v>
      </c>
      <c r="R874" s="4">
        <f t="shared" si="69"/>
        <v>170.90909090909091</v>
      </c>
      <c r="S874" s="2">
        <f>[1]RawShipmentData!N882</f>
        <v>2</v>
      </c>
      <c r="T874" s="2" t="str">
        <f>IF(OR(UPPER(TRIM([1]RawShipmentData!O882))="YES",UPPER(TRIM([1]RawShipmentData!O882))="Y"),"Yes","No")</f>
        <v>No</v>
      </c>
    </row>
    <row r="875" spans="1:20" x14ac:dyDescent="0.25">
      <c r="A875" s="2" t="str">
        <f>[1]RawShipmentData!A883</f>
        <v>SHP-100493</v>
      </c>
      <c r="B875" s="3">
        <f>IF(ISNUMBER(SEARCH("/",TRIM([1]RawShipmentData!B883))),DATE(VALUE(RIGHT(TRIM([1]RawShipmentData!B883),4)),VALUE(MID(TRIM([1]RawShipmentData!B883),FIND("/",TRIM([1]RawShipmentData!B883))+1,2)),VALUE(LEFT(TRIM([1]RawShipmentData!B883),FIND("/",TRIM([1]RawShipmentData!B883))-1))),DATEVALUE(TRIM([1]RawShipmentData!B883)))</f>
        <v>45458</v>
      </c>
      <c r="C875" s="2" t="str">
        <f>PROPER(TRIM([1]RawShipmentData!C883))</f>
        <v>Mumbai</v>
      </c>
      <c r="D875" s="2" t="str">
        <f>IFERROR(INDEX([1]HubMaster!$B$2:$B$7,MATCH(C875,[1]HubMaster!$A$2:$A$7,0)),"Unknown")</f>
        <v>West</v>
      </c>
      <c r="E875" s="2" t="str">
        <f>PROPER(TRIM(SUBSTITUTE([1]RawShipmentData!D883,"  "," ")))</f>
        <v>Delhivery</v>
      </c>
      <c r="F875" s="2" t="str">
        <f>PROPER(TRIM([1]RawShipmentData!E883))</f>
        <v>Air</v>
      </c>
      <c r="G875" s="2" t="str">
        <f>PROPER(TRIM(SUBSTITUTE([1]RawShipmentData!F883,"  "," ")))</f>
        <v>Electronics</v>
      </c>
      <c r="H875" s="2" t="str">
        <f>PROPER(TRIM([1]RawShipmentData!G883))</f>
        <v>West</v>
      </c>
      <c r="I875" s="2" t="str">
        <f t="shared" si="65"/>
        <v>No</v>
      </c>
      <c r="J875" s="2">
        <f>IFERROR(VALUE(TRIM(SUBSTITUTE(UPPER([1]RawShipmentData!I875),"KG",""))),"")</f>
        <v>51.6</v>
      </c>
      <c r="K875" s="2">
        <f>VALUE(SUBSTITUTE(SUBSTITUTE(SUBSTITUTE(TRIM([1]RawShipmentData!J883),"₹",""),"Rs",""),",",""))</f>
        <v>709</v>
      </c>
      <c r="L875" s="2">
        <f>[1]RawShipmentData!K883</f>
        <v>2</v>
      </c>
      <c r="M875" s="3">
        <f>IF(TRIM([1]RawShipmentData!L883)="","",IF(ISNUMBER(SEARCH("/",TRIM([1]RawShipmentData!L883))),DATE(VALUE(RIGHT(TRIM([1]RawShipmentData!L883),4)),VALUE(MID(TRIM([1]RawShipmentData!L883),FIND("/",TRIM([1]RawShipmentData!L883))+1,2)),VALUE(LEFT(TRIM([1]RawShipmentData!L883),FIND("/",TRIM([1]RawShipmentData!L883))-1))),DATEVALUE(TRIM([1]RawShipmentData!L883))))</f>
        <v>45459</v>
      </c>
      <c r="N875" s="2">
        <f t="shared" si="66"/>
        <v>1</v>
      </c>
      <c r="O875" s="2">
        <f t="shared" si="67"/>
        <v>-1</v>
      </c>
      <c r="P875" s="2" t="str">
        <f t="shared" si="68"/>
        <v>On Time</v>
      </c>
      <c r="Q875" s="2" t="str">
        <f>PROPER(SUBSTITUTE(TRIM([1]RawShipmentData!M883)," ","-"))</f>
        <v>Delivered</v>
      </c>
      <c r="R875" s="4">
        <f t="shared" si="69"/>
        <v>13.74031007751938</v>
      </c>
      <c r="S875" s="2">
        <f>[1]RawShipmentData!N883</f>
        <v>3</v>
      </c>
      <c r="T875" s="2" t="str">
        <f>IF(OR(UPPER(TRIM([1]RawShipmentData!O883))="YES",UPPER(TRIM([1]RawShipmentData!O883))="Y"),"Yes","No")</f>
        <v>Yes</v>
      </c>
    </row>
    <row r="876" spans="1:20" x14ac:dyDescent="0.25">
      <c r="A876" s="2" t="str">
        <f>[1]RawShipmentData!A884</f>
        <v>SHP-100318</v>
      </c>
      <c r="B876" s="3">
        <f>IF(ISNUMBER(SEARCH("/",TRIM([1]RawShipmentData!B884))),DATE(VALUE(RIGHT(TRIM([1]RawShipmentData!B884),4)),VALUE(MID(TRIM([1]RawShipmentData!B884),FIND("/",TRIM([1]RawShipmentData!B884))+1,2)),VALUE(LEFT(TRIM([1]RawShipmentData!B884),FIND("/",TRIM([1]RawShipmentData!B884))-1))),DATEVALUE(TRIM([1]RawShipmentData!B884)))</f>
        <v>45404</v>
      </c>
      <c r="C876" s="2" t="str">
        <f>PROPER(TRIM([1]RawShipmentData!C884))</f>
        <v>Mumbai</v>
      </c>
      <c r="D876" s="2" t="str">
        <f>IFERROR(INDEX([1]HubMaster!$B$2:$B$7,MATCH(C876,[1]HubMaster!$A$2:$A$7,0)),"Unknown")</f>
        <v>West</v>
      </c>
      <c r="E876" s="2" t="str">
        <f>PROPER(TRIM(SUBSTITUTE([1]RawShipmentData!D884,"  "," ")))</f>
        <v>Blue Dart</v>
      </c>
      <c r="F876" s="2" t="str">
        <f>PROPER(TRIM([1]RawShipmentData!E884))</f>
        <v>Surface</v>
      </c>
      <c r="G876" s="2" t="str">
        <f>PROPER(TRIM(SUBSTITUTE([1]RawShipmentData!F884,"  "," ")))</f>
        <v>Pharma</v>
      </c>
      <c r="H876" s="2" t="str">
        <f>PROPER(TRIM([1]RawShipmentData!G884))</f>
        <v>South</v>
      </c>
      <c r="I876" s="2" t="str">
        <f t="shared" si="65"/>
        <v>Yes</v>
      </c>
      <c r="J876" s="2">
        <f>IFERROR(VALUE(TRIM(SUBSTITUTE(UPPER([1]RawShipmentData!I876),"KG",""))),"")</f>
        <v>4.9000000000000004</v>
      </c>
      <c r="K876" s="2">
        <f>VALUE(SUBSTITUTE(SUBSTITUTE(SUBSTITUTE(TRIM([1]RawShipmentData!J884),"₹",""),"Rs",""),",",""))</f>
        <v>225</v>
      </c>
      <c r="L876" s="2">
        <f>[1]RawShipmentData!K884</f>
        <v>6</v>
      </c>
      <c r="M876" s="3">
        <f>IF(TRIM([1]RawShipmentData!L884)="","",IF(ISNUMBER(SEARCH("/",TRIM([1]RawShipmentData!L884))),DATE(VALUE(RIGHT(TRIM([1]RawShipmentData!L884),4)),VALUE(MID(TRIM([1]RawShipmentData!L884),FIND("/",TRIM([1]RawShipmentData!L884))+1,2)),VALUE(LEFT(TRIM([1]RawShipmentData!L884),FIND("/",TRIM([1]RawShipmentData!L884))-1))),DATEVALUE(TRIM([1]RawShipmentData!L884))))</f>
        <v>45411</v>
      </c>
      <c r="N876" s="2">
        <f t="shared" si="66"/>
        <v>7</v>
      </c>
      <c r="O876" s="2">
        <f t="shared" si="67"/>
        <v>1</v>
      </c>
      <c r="P876" s="2" t="str">
        <f t="shared" si="68"/>
        <v>Late</v>
      </c>
      <c r="Q876" s="2" t="str">
        <f>PROPER(SUBSTITUTE(TRIM([1]RawShipmentData!M884)," ","-"))</f>
        <v>Delayed</v>
      </c>
      <c r="R876" s="4">
        <f t="shared" si="69"/>
        <v>45.918367346938773</v>
      </c>
      <c r="S876" s="2">
        <f>[1]RawShipmentData!N884</f>
        <v>3</v>
      </c>
      <c r="T876" s="2" t="str">
        <f>IF(OR(UPPER(TRIM([1]RawShipmentData!O884))="YES",UPPER(TRIM([1]RawShipmentData!O884))="Y"),"Yes","No")</f>
        <v>No</v>
      </c>
    </row>
    <row r="877" spans="1:20" x14ac:dyDescent="0.25">
      <c r="A877" s="2" t="str">
        <f>[1]RawShipmentData!A885</f>
        <v>SHP-100902</v>
      </c>
      <c r="B877" s="3">
        <f>IF(ISNUMBER(SEARCH("/",TRIM([1]RawShipmentData!B885))),DATE(VALUE(RIGHT(TRIM([1]RawShipmentData!B885),4)),VALUE(MID(TRIM([1]RawShipmentData!B885),FIND("/",TRIM([1]RawShipmentData!B885))+1,2)),VALUE(LEFT(TRIM([1]RawShipmentData!B885),FIND("/",TRIM([1]RawShipmentData!B885))-1))),DATEVALUE(TRIM([1]RawShipmentData!B885)))</f>
        <v>45416</v>
      </c>
      <c r="C877" s="2" t="str">
        <f>PROPER(TRIM([1]RawShipmentData!C885))</f>
        <v>Bengaluru</v>
      </c>
      <c r="D877" s="2" t="str">
        <f>IFERROR(INDEX([1]HubMaster!$B$2:$B$7,MATCH(C877,[1]HubMaster!$A$2:$A$7,0)),"Unknown")</f>
        <v>South</v>
      </c>
      <c r="E877" s="2" t="str">
        <f>PROPER(TRIM(SUBSTITUTE([1]RawShipmentData!D885,"  "," ")))</f>
        <v>Bluedart</v>
      </c>
      <c r="F877" s="2" t="str">
        <f>PROPER(TRIM([1]RawShipmentData!E885))</f>
        <v>Air</v>
      </c>
      <c r="G877" s="2" t="str">
        <f>PROPER(TRIM(SUBSTITUTE([1]RawShipmentData!F885,"  "," ")))</f>
        <v>Automotive Parts</v>
      </c>
      <c r="H877" s="2" t="str">
        <f>PROPER(TRIM([1]RawShipmentData!G885))</f>
        <v>North</v>
      </c>
      <c r="I877" s="2" t="str">
        <f t="shared" si="65"/>
        <v>Yes</v>
      </c>
      <c r="J877" s="2">
        <f>IFERROR(VALUE(TRIM(SUBSTITUTE(UPPER([1]RawShipmentData!I877),"KG",""))),"")</f>
        <v>4.3</v>
      </c>
      <c r="K877" s="2">
        <f>VALUE(SUBSTITUTE(SUBSTITUTE(SUBSTITUTE(TRIM([1]RawShipmentData!J885),"₹",""),"Rs",""),",",""))</f>
        <v>394</v>
      </c>
      <c r="L877" s="2">
        <f>[1]RawShipmentData!K885</f>
        <v>4</v>
      </c>
      <c r="M877" s="3">
        <f>IF(TRIM([1]RawShipmentData!L885)="","",IF(ISNUMBER(SEARCH("/",TRIM([1]RawShipmentData!L885))),DATE(VALUE(RIGHT(TRIM([1]RawShipmentData!L885),4)),VALUE(MID(TRIM([1]RawShipmentData!L885),FIND("/",TRIM([1]RawShipmentData!L885))+1,2)),VALUE(LEFT(TRIM([1]RawShipmentData!L885),FIND("/",TRIM([1]RawShipmentData!L885))-1))),DATEVALUE(TRIM([1]RawShipmentData!L885))))</f>
        <v>45421</v>
      </c>
      <c r="N877" s="2">
        <f t="shared" si="66"/>
        <v>5</v>
      </c>
      <c r="O877" s="2">
        <f t="shared" si="67"/>
        <v>1</v>
      </c>
      <c r="P877" s="2" t="str">
        <f t="shared" si="68"/>
        <v>Late</v>
      </c>
      <c r="Q877" s="2" t="str">
        <f>PROPER(SUBSTITUTE(TRIM([1]RawShipmentData!M885)," ","-"))</f>
        <v>Delayed</v>
      </c>
      <c r="R877" s="4">
        <f t="shared" si="69"/>
        <v>91.627906976744185</v>
      </c>
      <c r="S877" s="2">
        <f>[1]RawShipmentData!N885</f>
        <v>2</v>
      </c>
      <c r="T877" s="2" t="str">
        <f>IF(OR(UPPER(TRIM([1]RawShipmentData!O885))="YES",UPPER(TRIM([1]RawShipmentData!O885))="Y"),"Yes","No")</f>
        <v>No</v>
      </c>
    </row>
    <row r="878" spans="1:20" x14ac:dyDescent="0.25">
      <c r="A878" s="2" t="str">
        <f>[1]RawShipmentData!A886</f>
        <v>SHP-100116</v>
      </c>
      <c r="B878" s="3">
        <f>IF(ISNUMBER(SEARCH("/",TRIM([1]RawShipmentData!B886))),DATE(VALUE(RIGHT(TRIM([1]RawShipmentData!B886),4)),VALUE(MID(TRIM([1]RawShipmentData!B886),FIND("/",TRIM([1]RawShipmentData!B886))+1,2)),VALUE(LEFT(TRIM([1]RawShipmentData!B886),FIND("/",TRIM([1]RawShipmentData!B886))-1))),DATEVALUE(TRIM([1]RawShipmentData!B886)))</f>
        <v>45465</v>
      </c>
      <c r="C878" s="2" t="str">
        <f>PROPER(TRIM([1]RawShipmentData!C886))</f>
        <v>Hyderabad</v>
      </c>
      <c r="D878" s="2" t="str">
        <f>IFERROR(INDEX([1]HubMaster!$B$2:$B$7,MATCH(C878,[1]HubMaster!$A$2:$A$7,0)),"Unknown")</f>
        <v>West</v>
      </c>
      <c r="E878" s="2" t="str">
        <f>PROPER(TRIM(SUBSTITUTE([1]RawShipmentData!D886,"  "," ")))</f>
        <v>Bluedart</v>
      </c>
      <c r="F878" s="2" t="str">
        <f>PROPER(TRIM([1]RawShipmentData!E886))</f>
        <v>Road</v>
      </c>
      <c r="G878" s="2" t="str">
        <f>PROPER(TRIM(SUBSTITUTE([1]RawShipmentData!F886,"  "," ")))</f>
        <v>Pharma</v>
      </c>
      <c r="H878" s="2" t="str">
        <f>PROPER(TRIM([1]RawShipmentData!G886))</f>
        <v>West</v>
      </c>
      <c r="I878" s="2" t="str">
        <f t="shared" si="65"/>
        <v>No</v>
      </c>
      <c r="J878" s="2">
        <f>IFERROR(VALUE(TRIM(SUBSTITUTE(UPPER([1]RawShipmentData!I878),"KG",""))),"")</f>
        <v>28.9</v>
      </c>
      <c r="K878" s="2">
        <f>VALUE(SUBSTITUTE(SUBSTITUTE(SUBSTITUTE(TRIM([1]RawShipmentData!J886),"₹",""),"Rs",""),",",""))</f>
        <v>80</v>
      </c>
      <c r="L878" s="2">
        <f>[1]RawShipmentData!K886</f>
        <v>6</v>
      </c>
      <c r="M878" s="3">
        <f>IF(TRIM([1]RawShipmentData!L886)="","",IF(ISNUMBER(SEARCH("/",TRIM([1]RawShipmentData!L886))),DATE(VALUE(RIGHT(TRIM([1]RawShipmentData!L886),4)),VALUE(MID(TRIM([1]RawShipmentData!L886),FIND("/",TRIM([1]RawShipmentData!L886))+1,2)),VALUE(LEFT(TRIM([1]RawShipmentData!L886),FIND("/",TRIM([1]RawShipmentData!L886))-1))),DATEVALUE(TRIM([1]RawShipmentData!L886))))</f>
        <v>45472</v>
      </c>
      <c r="N878" s="2">
        <f t="shared" si="66"/>
        <v>7</v>
      </c>
      <c r="O878" s="2">
        <f t="shared" si="67"/>
        <v>1</v>
      </c>
      <c r="P878" s="2" t="str">
        <f t="shared" si="68"/>
        <v>Late</v>
      </c>
      <c r="Q878" s="2" t="str">
        <f>PROPER(SUBSTITUTE(TRIM([1]RawShipmentData!M886)," ","-"))</f>
        <v>Delayed</v>
      </c>
      <c r="R878" s="4">
        <f t="shared" si="69"/>
        <v>2.7681660899653981</v>
      </c>
      <c r="S878" s="2">
        <f>[1]RawShipmentData!N886</f>
        <v>2</v>
      </c>
      <c r="T878" s="2" t="str">
        <f>IF(OR(UPPER(TRIM([1]RawShipmentData!O886))="YES",UPPER(TRIM([1]RawShipmentData!O886))="Y"),"Yes","No")</f>
        <v>Yes</v>
      </c>
    </row>
    <row r="879" spans="1:20" x14ac:dyDescent="0.25">
      <c r="A879" s="2" t="str">
        <f>[1]RawShipmentData!A887</f>
        <v>SHP-100869</v>
      </c>
      <c r="B879" s="3">
        <f>IF(ISNUMBER(SEARCH("/",TRIM([1]RawShipmentData!B887))),DATE(VALUE(RIGHT(TRIM([1]RawShipmentData!B887),4)),VALUE(MID(TRIM([1]RawShipmentData!B887),FIND("/",TRIM([1]RawShipmentData!B887))+1,2)),VALUE(LEFT(TRIM([1]RawShipmentData!B887),FIND("/",TRIM([1]RawShipmentData!B887))-1))),DATEVALUE(TRIM([1]RawShipmentData!B887)))</f>
        <v>45343</v>
      </c>
      <c r="C879" s="2" t="str">
        <f>PROPER(TRIM([1]RawShipmentData!C887))</f>
        <v>Chennai</v>
      </c>
      <c r="D879" s="2" t="str">
        <f>IFERROR(INDEX([1]HubMaster!$B$2:$B$7,MATCH(C879,[1]HubMaster!$A$2:$A$7,0)),"Unknown")</f>
        <v>South</v>
      </c>
      <c r="E879" s="2" t="str">
        <f>PROPER(TRIM(SUBSTITUTE([1]RawShipmentData!D887,"  "," ")))</f>
        <v>Xpressbees</v>
      </c>
      <c r="F879" s="2" t="str">
        <f>PROPER(TRIM([1]RawShipmentData!E887))</f>
        <v>Surface</v>
      </c>
      <c r="G879" s="2" t="str">
        <f>PROPER(TRIM(SUBSTITUTE([1]RawShipmentData!F887,"  "," ")))</f>
        <v>Furniture</v>
      </c>
      <c r="H879" s="2" t="str">
        <f>PROPER(TRIM([1]RawShipmentData!G887))</f>
        <v>West</v>
      </c>
      <c r="I879" s="2" t="str">
        <f t="shared" si="65"/>
        <v>Yes</v>
      </c>
      <c r="J879" s="2">
        <f>IFERROR(VALUE(TRIM(SUBSTITUTE(UPPER([1]RawShipmentData!I879),"KG",""))),"")</f>
        <v>63.2</v>
      </c>
      <c r="K879" s="2">
        <f>VALUE(SUBSTITUTE(SUBSTITUTE(SUBSTITUTE(TRIM([1]RawShipmentData!J887),"₹",""),"Rs",""),",",""))</f>
        <v>777</v>
      </c>
      <c r="L879" s="2">
        <f>[1]RawShipmentData!K887</f>
        <v>6</v>
      </c>
      <c r="M879" s="3">
        <f>IF(TRIM([1]RawShipmentData!L887)="","",IF(ISNUMBER(SEARCH("/",TRIM([1]RawShipmentData!L887))),DATE(VALUE(RIGHT(TRIM([1]RawShipmentData!L887),4)),VALUE(MID(TRIM([1]RawShipmentData!L887),FIND("/",TRIM([1]RawShipmentData!L887))+1,2)),VALUE(LEFT(TRIM([1]RawShipmentData!L887),FIND("/",TRIM([1]RawShipmentData!L887))-1))),DATEVALUE(TRIM([1]RawShipmentData!L887))))</f>
        <v>45349</v>
      </c>
      <c r="N879" s="2">
        <f t="shared" si="66"/>
        <v>6</v>
      </c>
      <c r="O879" s="2">
        <f t="shared" si="67"/>
        <v>0</v>
      </c>
      <c r="P879" s="2" t="str">
        <f t="shared" si="68"/>
        <v>On Time</v>
      </c>
      <c r="Q879" s="2" t="str">
        <f>PROPER(SUBSTITUTE(TRIM([1]RawShipmentData!M887)," ","-"))</f>
        <v>Delivered</v>
      </c>
      <c r="R879" s="4">
        <f t="shared" si="69"/>
        <v>12.294303797468354</v>
      </c>
      <c r="S879" s="2">
        <f>[1]RawShipmentData!N887</f>
        <v>3</v>
      </c>
      <c r="T879" s="2" t="str">
        <f>IF(OR(UPPER(TRIM([1]RawShipmentData!O887))="YES",UPPER(TRIM([1]RawShipmentData!O887))="Y"),"Yes","No")</f>
        <v>Yes</v>
      </c>
    </row>
    <row r="880" spans="1:20" x14ac:dyDescent="0.25">
      <c r="A880" s="2" t="str">
        <f>[1]RawShipmentData!A888</f>
        <v>SHP-100596</v>
      </c>
      <c r="B880" s="3">
        <f>IF(ISNUMBER(SEARCH("/",TRIM([1]RawShipmentData!B888))),DATE(VALUE(RIGHT(TRIM([1]RawShipmentData!B888),4)),VALUE(MID(TRIM([1]RawShipmentData!B888),FIND("/",TRIM([1]RawShipmentData!B888))+1,2)),VALUE(LEFT(TRIM([1]RawShipmentData!B888),FIND("/",TRIM([1]RawShipmentData!B888))-1))),DATEVALUE(TRIM([1]RawShipmentData!B888)))</f>
        <v>45462</v>
      </c>
      <c r="C880" s="2" t="str">
        <f>PROPER(TRIM([1]RawShipmentData!C888))</f>
        <v>Bengaluru</v>
      </c>
      <c r="D880" s="2" t="str">
        <f>IFERROR(INDEX([1]HubMaster!$B$2:$B$7,MATCH(C880,[1]HubMaster!$A$2:$A$7,0)),"Unknown")</f>
        <v>South</v>
      </c>
      <c r="E880" s="2" t="str">
        <f>PROPER(TRIM(SUBSTITUTE([1]RawShipmentData!D888,"  "," ")))</f>
        <v>Blue Dart</v>
      </c>
      <c r="F880" s="2" t="str">
        <f>PROPER(TRIM([1]RawShipmentData!E888))</f>
        <v>Air</v>
      </c>
      <c r="G880" s="2" t="str">
        <f>PROPER(TRIM(SUBSTITUTE([1]RawShipmentData!F888,"  "," ")))</f>
        <v>Pharma</v>
      </c>
      <c r="H880" s="2" t="str">
        <f>PROPER(TRIM([1]RawShipmentData!G888))</f>
        <v>North</v>
      </c>
      <c r="I880" s="2" t="str">
        <f t="shared" si="65"/>
        <v>Yes</v>
      </c>
      <c r="J880" s="2">
        <f>IFERROR(VALUE(TRIM(SUBSTITUTE(UPPER([1]RawShipmentData!I880),"KG",""))),"")</f>
        <v>2.8</v>
      </c>
      <c r="K880" s="2">
        <f>VALUE(SUBSTITUTE(SUBSTITUTE(SUBSTITUTE(TRIM([1]RawShipmentData!J888),"₹",""),"Rs",""),",",""))</f>
        <v>355</v>
      </c>
      <c r="L880" s="2">
        <f>[1]RawShipmentData!K888</f>
        <v>4</v>
      </c>
      <c r="M880" s="3">
        <f>IF(TRIM([1]RawShipmentData!L888)="","",IF(ISNUMBER(SEARCH("/",TRIM([1]RawShipmentData!L888))),DATE(VALUE(RIGHT(TRIM([1]RawShipmentData!L888),4)),VALUE(MID(TRIM([1]RawShipmentData!L888),FIND("/",TRIM([1]RawShipmentData!L888))+1,2)),VALUE(LEFT(TRIM([1]RawShipmentData!L888),FIND("/",TRIM([1]RawShipmentData!L888))-1))),DATEVALUE(TRIM([1]RawShipmentData!L888))))</f>
        <v>45467</v>
      </c>
      <c r="N880" s="2">
        <f t="shared" si="66"/>
        <v>5</v>
      </c>
      <c r="O880" s="2">
        <f t="shared" si="67"/>
        <v>1</v>
      </c>
      <c r="P880" s="2" t="str">
        <f t="shared" si="68"/>
        <v>Late</v>
      </c>
      <c r="Q880" s="2" t="str">
        <f>PROPER(SUBSTITUTE(TRIM([1]RawShipmentData!M888)," ","-"))</f>
        <v>Delayed</v>
      </c>
      <c r="R880" s="4">
        <f t="shared" si="69"/>
        <v>126.78571428571429</v>
      </c>
      <c r="S880" s="2">
        <f>[1]RawShipmentData!N888</f>
        <v>3</v>
      </c>
      <c r="T880" s="2" t="str">
        <f>IF(OR(UPPER(TRIM([1]RawShipmentData!O888))="YES",UPPER(TRIM([1]RawShipmentData!O888))="Y"),"Yes","No")</f>
        <v>No</v>
      </c>
    </row>
    <row r="881" spans="1:20" x14ac:dyDescent="0.25">
      <c r="A881" s="2" t="str">
        <f>[1]RawShipmentData!A889</f>
        <v>SHP-100646</v>
      </c>
      <c r="B881" s="3">
        <f>IF(ISNUMBER(SEARCH("/",TRIM([1]RawShipmentData!B889))),DATE(VALUE(RIGHT(TRIM([1]RawShipmentData!B889),4)),VALUE(MID(TRIM([1]RawShipmentData!B889),FIND("/",TRIM([1]RawShipmentData!B889))+1,2)),VALUE(LEFT(TRIM([1]RawShipmentData!B889),FIND("/",TRIM([1]RawShipmentData!B889))-1))),DATEVALUE(TRIM([1]RawShipmentData!B889)))</f>
        <v>45404</v>
      </c>
      <c r="C881" s="2" t="str">
        <f>PROPER(TRIM([1]RawShipmentData!C889))</f>
        <v/>
      </c>
      <c r="D881" s="2" t="str">
        <f>IFERROR(INDEX([1]HubMaster!$B$2:$B$7,MATCH(C881,[1]HubMaster!$A$2:$A$7,0)),"Unknown")</f>
        <v>Unknown</v>
      </c>
      <c r="E881" s="2" t="str">
        <f>PROPER(TRIM(SUBSTITUTE([1]RawShipmentData!D889,"  "," ")))</f>
        <v>Xpressbees</v>
      </c>
      <c r="F881" s="2" t="str">
        <f>PROPER(TRIM([1]RawShipmentData!E889))</f>
        <v>Road</v>
      </c>
      <c r="G881" s="2" t="str">
        <f>PROPER(TRIM(SUBSTITUTE([1]RawShipmentData!F889,"  "," ")))</f>
        <v>Automotive Parts</v>
      </c>
      <c r="H881" s="2" t="str">
        <f>PROPER(TRIM([1]RawShipmentData!G889))</f>
        <v>East</v>
      </c>
      <c r="I881" s="2" t="str">
        <f t="shared" si="65"/>
        <v>Yes</v>
      </c>
      <c r="J881" s="2">
        <f>IFERROR(VALUE(TRIM(SUBSTITUTE(UPPER([1]RawShipmentData!I881),"KG",""))),"")</f>
        <v>26</v>
      </c>
      <c r="K881" s="2">
        <f>VALUE(SUBSTITUTE(SUBSTITUTE(SUBSTITUTE(TRIM([1]RawShipmentData!J889),"₹",""),"Rs",""),",",""))</f>
        <v>419</v>
      </c>
      <c r="L881" s="2">
        <f>[1]RawShipmentData!K889</f>
        <v>8</v>
      </c>
      <c r="M881" s="3">
        <f>IF(TRIM([1]RawShipmentData!L889)="","",IF(ISNUMBER(SEARCH("/",TRIM([1]RawShipmentData!L889))),DATE(VALUE(RIGHT(TRIM([1]RawShipmentData!L889),4)),VALUE(MID(TRIM([1]RawShipmentData!L889),FIND("/",TRIM([1]RawShipmentData!L889))+1,2)),VALUE(LEFT(TRIM([1]RawShipmentData!L889),FIND("/",TRIM([1]RawShipmentData!L889))-1))),DATEVALUE(TRIM([1]RawShipmentData!L889))))</f>
        <v>45420</v>
      </c>
      <c r="N881" s="2">
        <f t="shared" si="66"/>
        <v>16</v>
      </c>
      <c r="O881" s="2">
        <f t="shared" si="67"/>
        <v>8</v>
      </c>
      <c r="P881" s="2" t="str">
        <f t="shared" si="68"/>
        <v>Late</v>
      </c>
      <c r="Q881" s="2" t="str">
        <f>PROPER(SUBSTITUTE(TRIM([1]RawShipmentData!M889)," ","-"))</f>
        <v>Delayed</v>
      </c>
      <c r="R881" s="4">
        <f t="shared" si="69"/>
        <v>16.115384615384617</v>
      </c>
      <c r="S881" s="2">
        <f>[1]RawShipmentData!N889</f>
        <v>4</v>
      </c>
      <c r="T881" s="2" t="str">
        <f>IF(OR(UPPER(TRIM([1]RawShipmentData!O889))="YES",UPPER(TRIM([1]RawShipmentData!O889))="Y"),"Yes","No")</f>
        <v>No</v>
      </c>
    </row>
    <row r="882" spans="1:20" x14ac:dyDescent="0.25">
      <c r="A882" s="2" t="str">
        <f>[1]RawShipmentData!A890</f>
        <v>SHP-101546</v>
      </c>
      <c r="B882" s="3">
        <f>IF(ISNUMBER(SEARCH("/",TRIM([1]RawShipmentData!B890))),DATE(VALUE(RIGHT(TRIM([1]RawShipmentData!B890),4)),VALUE(MID(TRIM([1]RawShipmentData!B890),FIND("/",TRIM([1]RawShipmentData!B890))+1,2)),VALUE(LEFT(TRIM([1]RawShipmentData!B890),FIND("/",TRIM([1]RawShipmentData!B890))-1))),DATEVALUE(TRIM([1]RawShipmentData!B890)))</f>
        <v>45416</v>
      </c>
      <c r="C882" s="2" t="str">
        <f>PROPER(TRIM([1]RawShipmentData!C890))</f>
        <v>Hyderabad</v>
      </c>
      <c r="D882" s="2" t="str">
        <f>IFERROR(INDEX([1]HubMaster!$B$2:$B$7,MATCH(C882,[1]HubMaster!$A$2:$A$7,0)),"Unknown")</f>
        <v>West</v>
      </c>
      <c r="E882" s="2" t="str">
        <f>PROPER(TRIM(SUBSTITUTE([1]RawShipmentData!D890,"  "," ")))</f>
        <v>Delhivery</v>
      </c>
      <c r="F882" s="2" t="str">
        <f>PROPER(TRIM([1]RawShipmentData!E890))</f>
        <v>Surface</v>
      </c>
      <c r="G882" s="2" t="str">
        <f>PROPER(TRIM(SUBSTITUTE([1]RawShipmentData!F890,"  "," ")))</f>
        <v>Automotive Parts</v>
      </c>
      <c r="H882" s="2" t="str">
        <f>PROPER(TRIM([1]RawShipmentData!G890))</f>
        <v>West</v>
      </c>
      <c r="I882" s="2" t="str">
        <f t="shared" si="65"/>
        <v>No</v>
      </c>
      <c r="J882" s="2">
        <f>IFERROR(VALUE(TRIM(SUBSTITUTE(UPPER([1]RawShipmentData!I882),"KG",""))),"")</f>
        <v>13.5</v>
      </c>
      <c r="K882" s="2">
        <f>VALUE(SUBSTITUTE(SUBSTITUTE(SUBSTITUTE(TRIM([1]RawShipmentData!J890),"₹",""),"Rs",""),",",""))</f>
        <v>575</v>
      </c>
      <c r="L882" s="2">
        <f>[1]RawShipmentData!K890</f>
        <v>4</v>
      </c>
      <c r="M882" s="3">
        <f>IF(TRIM([1]RawShipmentData!L890)="","",IF(ISNUMBER(SEARCH("/",TRIM([1]RawShipmentData!L890))),DATE(VALUE(RIGHT(TRIM([1]RawShipmentData!L890),4)),VALUE(MID(TRIM([1]RawShipmentData!L890),FIND("/",TRIM([1]RawShipmentData!L890))+1,2)),VALUE(LEFT(TRIM([1]RawShipmentData!L890),FIND("/",TRIM([1]RawShipmentData!L890))-1))),DATEVALUE(TRIM([1]RawShipmentData!L890))))</f>
        <v>45419</v>
      </c>
      <c r="N882" s="2">
        <f t="shared" si="66"/>
        <v>3</v>
      </c>
      <c r="O882" s="2">
        <f t="shared" si="67"/>
        <v>-1</v>
      </c>
      <c r="P882" s="2" t="str">
        <f t="shared" si="68"/>
        <v>On Time</v>
      </c>
      <c r="Q882" s="2" t="str">
        <f>PROPER(SUBSTITUTE(TRIM([1]RawShipmentData!M890)," ","-"))</f>
        <v>Delivered</v>
      </c>
      <c r="R882" s="4">
        <f t="shared" si="69"/>
        <v>42.592592592592595</v>
      </c>
      <c r="S882" s="2">
        <f>[1]RawShipmentData!N890</f>
        <v>4</v>
      </c>
      <c r="T882" s="2" t="str">
        <f>IF(OR(UPPER(TRIM([1]RawShipmentData!O890))="YES",UPPER(TRIM([1]RawShipmentData!O890))="Y"),"Yes","No")</f>
        <v>No</v>
      </c>
    </row>
    <row r="883" spans="1:20" x14ac:dyDescent="0.25">
      <c r="A883" s="2" t="str">
        <f>[1]RawShipmentData!A891</f>
        <v>SHP-101369</v>
      </c>
      <c r="B883" s="3">
        <f>IF(ISNUMBER(SEARCH("/",TRIM([1]RawShipmentData!B891))),DATE(VALUE(RIGHT(TRIM([1]RawShipmentData!B891),4)),VALUE(MID(TRIM([1]RawShipmentData!B891),FIND("/",TRIM([1]RawShipmentData!B891))+1,2)),VALUE(LEFT(TRIM([1]RawShipmentData!B891),FIND("/",TRIM([1]RawShipmentData!B891))-1))),DATEVALUE(TRIM([1]RawShipmentData!B891)))</f>
        <v>45294</v>
      </c>
      <c r="C883" s="2" t="str">
        <f>PROPER(TRIM([1]RawShipmentData!C891))</f>
        <v>Kolkata</v>
      </c>
      <c r="D883" s="2" t="str">
        <f>IFERROR(INDEX([1]HubMaster!$B$2:$B$7,MATCH(C883,[1]HubMaster!$A$2:$A$7,0)),"Unknown")</f>
        <v>East</v>
      </c>
      <c r="E883" s="2" t="str">
        <f>PROPER(TRIM(SUBSTITUTE([1]RawShipmentData!D891,"  "," ")))</f>
        <v>Xpressbees</v>
      </c>
      <c r="F883" s="2" t="str">
        <f>PROPER(TRIM([1]RawShipmentData!E891))</f>
        <v>Surface</v>
      </c>
      <c r="G883" s="2" t="str">
        <f>PROPER(TRIM(SUBSTITUTE([1]RawShipmentData!F891,"  "," ")))</f>
        <v>Grocery &amp; Fmcg</v>
      </c>
      <c r="H883" s="2" t="str">
        <f>PROPER(TRIM([1]RawShipmentData!G891))</f>
        <v>East</v>
      </c>
      <c r="I883" s="2" t="str">
        <f t="shared" si="65"/>
        <v>No</v>
      </c>
      <c r="J883" s="2">
        <f>IFERROR(VALUE(TRIM(SUBSTITUTE(UPPER([1]RawShipmentData!I883),"KG",""))),"")</f>
        <v>14.8</v>
      </c>
      <c r="K883" s="2">
        <f>VALUE(SUBSTITUTE(SUBSTITUTE(SUBSTITUTE(TRIM([1]RawShipmentData!J891),"₹",""),"Rs",""),",",""))</f>
        <v>410</v>
      </c>
      <c r="L883" s="2">
        <f>[1]RawShipmentData!K891</f>
        <v>4</v>
      </c>
      <c r="M883" s="3">
        <f>IF(TRIM([1]RawShipmentData!L891)="","",IF(ISNUMBER(SEARCH("/",TRIM([1]RawShipmentData!L891))),DATE(VALUE(RIGHT(TRIM([1]RawShipmentData!L891),4)),VALUE(MID(TRIM([1]RawShipmentData!L891),FIND("/",TRIM([1]RawShipmentData!L891))+1,2)),VALUE(LEFT(TRIM([1]RawShipmentData!L891),FIND("/",TRIM([1]RawShipmentData!L891))-1))),DATEVALUE(TRIM([1]RawShipmentData!L891))))</f>
        <v>45303</v>
      </c>
      <c r="N883" s="2">
        <f t="shared" si="66"/>
        <v>9</v>
      </c>
      <c r="O883" s="2">
        <f t="shared" si="67"/>
        <v>5</v>
      </c>
      <c r="P883" s="2" t="str">
        <f t="shared" si="68"/>
        <v>Late</v>
      </c>
      <c r="Q883" s="2" t="str">
        <f>PROPER(SUBSTITUTE(TRIM([1]RawShipmentData!M891)," ","-"))</f>
        <v>Delayed</v>
      </c>
      <c r="R883" s="4">
        <f t="shared" si="69"/>
        <v>27.702702702702702</v>
      </c>
      <c r="S883" s="2">
        <f>[1]RawShipmentData!N891</f>
        <v>2</v>
      </c>
      <c r="T883" s="2" t="str">
        <f>IF(OR(UPPER(TRIM([1]RawShipmentData!O891))="YES",UPPER(TRIM([1]RawShipmentData!O891))="Y"),"Yes","No")</f>
        <v>No</v>
      </c>
    </row>
    <row r="884" spans="1:20" x14ac:dyDescent="0.25">
      <c r="A884" s="2" t="str">
        <f>[1]RawShipmentData!A892</f>
        <v>SHP-100723</v>
      </c>
      <c r="B884" s="3">
        <f>IF(ISNUMBER(SEARCH("/",TRIM([1]RawShipmentData!B892))),DATE(VALUE(RIGHT(TRIM([1]RawShipmentData!B892),4)),VALUE(MID(TRIM([1]RawShipmentData!B892),FIND("/",TRIM([1]RawShipmentData!B892))+1,2)),VALUE(LEFT(TRIM([1]RawShipmentData!B892),FIND("/",TRIM([1]RawShipmentData!B892))-1))),DATEVALUE(TRIM([1]RawShipmentData!B892)))</f>
        <v>45393</v>
      </c>
      <c r="C884" s="2" t="str">
        <f>PROPER(TRIM([1]RawShipmentData!C892))</f>
        <v>Chennai</v>
      </c>
      <c r="D884" s="2" t="str">
        <f>IFERROR(INDEX([1]HubMaster!$B$2:$B$7,MATCH(C884,[1]HubMaster!$A$2:$A$7,0)),"Unknown")</f>
        <v>South</v>
      </c>
      <c r="E884" s="2" t="str">
        <f>PROPER(TRIM(SUBSTITUTE([1]RawShipmentData!D892,"  "," ")))</f>
        <v>Dtdc</v>
      </c>
      <c r="F884" s="2" t="str">
        <f>PROPER(TRIM([1]RawShipmentData!E892))</f>
        <v>Road</v>
      </c>
      <c r="G884" s="2" t="str">
        <f>PROPER(TRIM(SUBSTITUTE([1]RawShipmentData!F892,"  "," ")))</f>
        <v>Furniture</v>
      </c>
      <c r="H884" s="2" t="str">
        <f>PROPER(TRIM([1]RawShipmentData!G892))</f>
        <v>East</v>
      </c>
      <c r="I884" s="2" t="str">
        <f t="shared" si="65"/>
        <v>Yes</v>
      </c>
      <c r="J884" s="2">
        <f>IFERROR(VALUE(TRIM(SUBSTITUTE(UPPER([1]RawShipmentData!I884),"KG",""))),"")</f>
        <v>3.7</v>
      </c>
      <c r="K884" s="2">
        <f>VALUE(SUBSTITUTE(SUBSTITUTE(SUBSTITUTE(TRIM([1]RawShipmentData!J892),"₹",""),"Rs",""),",",""))</f>
        <v>988</v>
      </c>
      <c r="L884" s="2">
        <f>[1]RawShipmentData!K892</f>
        <v>8</v>
      </c>
      <c r="M884" s="3">
        <f>IF(TRIM([1]RawShipmentData!L892)="","",IF(ISNUMBER(SEARCH("/",TRIM([1]RawShipmentData!L892))),DATE(VALUE(RIGHT(TRIM([1]RawShipmentData!L892),4)),VALUE(MID(TRIM([1]RawShipmentData!L892),FIND("/",TRIM([1]RawShipmentData!L892))+1,2)),VALUE(LEFT(TRIM([1]RawShipmentData!L892),FIND("/",TRIM([1]RawShipmentData!L892))-1))),DATEVALUE(TRIM([1]RawShipmentData!L892))))</f>
        <v>45402</v>
      </c>
      <c r="N884" s="2">
        <f t="shared" si="66"/>
        <v>9</v>
      </c>
      <c r="O884" s="2">
        <f t="shared" si="67"/>
        <v>1</v>
      </c>
      <c r="P884" s="2" t="str">
        <f t="shared" si="68"/>
        <v>Late</v>
      </c>
      <c r="Q884" s="2" t="str">
        <f>PROPER(SUBSTITUTE(TRIM([1]RawShipmentData!M892)," ","-"))</f>
        <v>Damaged</v>
      </c>
      <c r="R884" s="4">
        <f t="shared" si="69"/>
        <v>267.02702702702703</v>
      </c>
      <c r="S884" s="2">
        <f>[1]RawShipmentData!N892</f>
        <v>0</v>
      </c>
      <c r="T884" s="2" t="str">
        <f>IF(OR(UPPER(TRIM([1]RawShipmentData!O892))="YES",UPPER(TRIM([1]RawShipmentData!O892))="Y"),"Yes","No")</f>
        <v>No</v>
      </c>
    </row>
    <row r="885" spans="1:20" x14ac:dyDescent="0.25">
      <c r="A885" s="2" t="str">
        <f>[1]RawShipmentData!A893</f>
        <v>SHP-100068</v>
      </c>
      <c r="B885" s="3">
        <f>IF(ISNUMBER(SEARCH("/",TRIM([1]RawShipmentData!B893))),DATE(VALUE(RIGHT(TRIM([1]RawShipmentData!B893),4)),VALUE(MID(TRIM([1]RawShipmentData!B893),FIND("/",TRIM([1]RawShipmentData!B893))+1,2)),VALUE(LEFT(TRIM([1]RawShipmentData!B893),FIND("/",TRIM([1]RawShipmentData!B893))-1))),DATEVALUE(TRIM([1]RawShipmentData!B893)))</f>
        <v>45307</v>
      </c>
      <c r="C885" s="2" t="str">
        <f>PROPER(TRIM([1]RawShipmentData!C893))</f>
        <v>Mumbai</v>
      </c>
      <c r="D885" s="2" t="str">
        <f>IFERROR(INDEX([1]HubMaster!$B$2:$B$7,MATCH(C885,[1]HubMaster!$A$2:$A$7,0)),"Unknown")</f>
        <v>West</v>
      </c>
      <c r="E885" s="2" t="str">
        <f>PROPER(TRIM(SUBSTITUTE([1]RawShipmentData!D893,"  "," ")))</f>
        <v>Bluedart</v>
      </c>
      <c r="F885" s="2" t="str">
        <f>PROPER(TRIM([1]RawShipmentData!E893))</f>
        <v>Road</v>
      </c>
      <c r="G885" s="2" t="str">
        <f>PROPER(TRIM(SUBSTITUTE([1]RawShipmentData!F893,"  "," ")))</f>
        <v>Apparel</v>
      </c>
      <c r="H885" s="2" t="str">
        <f>PROPER(TRIM([1]RawShipmentData!G893))</f>
        <v>East</v>
      </c>
      <c r="I885" s="2" t="str">
        <f t="shared" si="65"/>
        <v>Yes</v>
      </c>
      <c r="J885" s="2">
        <f>IFERROR(VALUE(TRIM(SUBSTITUTE(UPPER([1]RawShipmentData!I885),"KG",""))),"")</f>
        <v>5.0999999999999996</v>
      </c>
      <c r="K885" s="2">
        <f>VALUE(SUBSTITUTE(SUBSTITUTE(SUBSTITUTE(TRIM([1]RawShipmentData!J893),"₹",""),"Rs",""),",",""))</f>
        <v>215</v>
      </c>
      <c r="L885" s="2">
        <f>[1]RawShipmentData!K893</f>
        <v>8</v>
      </c>
      <c r="M885" s="3">
        <f>IF(TRIM([1]RawShipmentData!L893)="","",IF(ISNUMBER(SEARCH("/",TRIM([1]RawShipmentData!L893))),DATE(VALUE(RIGHT(TRIM([1]RawShipmentData!L893),4)),VALUE(MID(TRIM([1]RawShipmentData!L893),FIND("/",TRIM([1]RawShipmentData!L893))+1,2)),VALUE(LEFT(TRIM([1]RawShipmentData!L893),FIND("/",TRIM([1]RawShipmentData!L893))-1))),DATEVALUE(TRIM([1]RawShipmentData!L893))))</f>
        <v>45314</v>
      </c>
      <c r="N885" s="2">
        <f t="shared" si="66"/>
        <v>7</v>
      </c>
      <c r="O885" s="2">
        <f t="shared" si="67"/>
        <v>-1</v>
      </c>
      <c r="P885" s="2" t="str">
        <f t="shared" si="68"/>
        <v>On Time</v>
      </c>
      <c r="Q885" s="2" t="str">
        <f>PROPER(SUBSTITUTE(TRIM([1]RawShipmentData!M893)," ","-"))</f>
        <v>Delivered</v>
      </c>
      <c r="R885" s="4">
        <f t="shared" si="69"/>
        <v>42.156862745098039</v>
      </c>
      <c r="S885" s="2">
        <f>[1]RawShipmentData!N893</f>
        <v>5</v>
      </c>
      <c r="T885" s="2" t="str">
        <f>IF(OR(UPPER(TRIM([1]RawShipmentData!O893))="YES",UPPER(TRIM([1]RawShipmentData!O893))="Y"),"Yes","No")</f>
        <v>Yes</v>
      </c>
    </row>
    <row r="886" spans="1:20" x14ac:dyDescent="0.25">
      <c r="A886" s="2" t="str">
        <f>[1]RawShipmentData!A894</f>
        <v>SHP-100456</v>
      </c>
      <c r="B886" s="3">
        <f>IF(ISNUMBER(SEARCH("/",TRIM([1]RawShipmentData!B894))),DATE(VALUE(RIGHT(TRIM([1]RawShipmentData!B894),4)),VALUE(MID(TRIM([1]RawShipmentData!B894),FIND("/",TRIM([1]RawShipmentData!B894))+1,2)),VALUE(LEFT(TRIM([1]RawShipmentData!B894),FIND("/",TRIM([1]RawShipmentData!B894))-1))),DATEVALUE(TRIM([1]RawShipmentData!B894)))</f>
        <v>45317</v>
      </c>
      <c r="C886" s="2" t="str">
        <f>PROPER(TRIM([1]RawShipmentData!C894))</f>
        <v>Hyderabad</v>
      </c>
      <c r="D886" s="2" t="str">
        <f>IFERROR(INDEX([1]HubMaster!$B$2:$B$7,MATCH(C886,[1]HubMaster!$A$2:$A$7,0)),"Unknown")</f>
        <v>West</v>
      </c>
      <c r="E886" s="2" t="str">
        <f>PROPER(TRIM(SUBSTITUTE([1]RawShipmentData!D894,"  "," ")))</f>
        <v>Xpress Bees</v>
      </c>
      <c r="F886" s="2" t="str">
        <f>PROPER(TRIM([1]RawShipmentData!E894))</f>
        <v>Road</v>
      </c>
      <c r="G886" s="2" t="str">
        <f>PROPER(TRIM(SUBSTITUTE([1]RawShipmentData!F894,"  "," ")))</f>
        <v>Electronics</v>
      </c>
      <c r="H886" s="2" t="str">
        <f>PROPER(TRIM([1]RawShipmentData!G894))</f>
        <v>South</v>
      </c>
      <c r="I886" s="2" t="str">
        <f t="shared" si="65"/>
        <v>Yes</v>
      </c>
      <c r="J886" s="2">
        <f>IFERROR(VALUE(TRIM(SUBSTITUTE(UPPER([1]RawShipmentData!I886),"KG",""))),"")</f>
        <v>4.9000000000000004</v>
      </c>
      <c r="K886" s="2">
        <f>VALUE(SUBSTITUTE(SUBSTITUTE(SUBSTITUTE(TRIM([1]RawShipmentData!J894),"₹",""),"Rs",""),",",""))</f>
        <v>271</v>
      </c>
      <c r="L886" s="2">
        <f>[1]RawShipmentData!K894</f>
        <v>8</v>
      </c>
      <c r="M886" s="3">
        <f>IF(TRIM([1]RawShipmentData!L894)="","",IF(ISNUMBER(SEARCH("/",TRIM([1]RawShipmentData!L894))),DATE(VALUE(RIGHT(TRIM([1]RawShipmentData!L894),4)),VALUE(MID(TRIM([1]RawShipmentData!L894),FIND("/",TRIM([1]RawShipmentData!L894))+1,2)),VALUE(LEFT(TRIM([1]RawShipmentData!L894),FIND("/",TRIM([1]RawShipmentData!L894))-1))),DATEVALUE(TRIM([1]RawShipmentData!L894))))</f>
        <v>45325</v>
      </c>
      <c r="N886" s="2">
        <f t="shared" si="66"/>
        <v>8</v>
      </c>
      <c r="O886" s="2">
        <f t="shared" si="67"/>
        <v>0</v>
      </c>
      <c r="P886" s="2" t="str">
        <f t="shared" si="68"/>
        <v>On Time</v>
      </c>
      <c r="Q886" s="2" t="str">
        <f>PROPER(SUBSTITUTE(TRIM([1]RawShipmentData!M894)," ","-"))</f>
        <v>Delivered</v>
      </c>
      <c r="R886" s="4">
        <f t="shared" si="69"/>
        <v>55.306122448979586</v>
      </c>
      <c r="S886" s="2">
        <f>[1]RawShipmentData!N894</f>
        <v>5</v>
      </c>
      <c r="T886" s="2" t="str">
        <f>IF(OR(UPPER(TRIM([1]RawShipmentData!O894))="YES",UPPER(TRIM([1]RawShipmentData!O894))="Y"),"Yes","No")</f>
        <v>Yes</v>
      </c>
    </row>
    <row r="887" spans="1:20" x14ac:dyDescent="0.25">
      <c r="A887" s="2" t="str">
        <f>[1]RawShipmentData!A895</f>
        <v>SHP-101582</v>
      </c>
      <c r="B887" s="3">
        <f>IF(ISNUMBER(SEARCH("/",TRIM([1]RawShipmentData!B895))),DATE(VALUE(RIGHT(TRIM([1]RawShipmentData!B895),4)),VALUE(MID(TRIM([1]RawShipmentData!B895),FIND("/",TRIM([1]RawShipmentData!B895))+1,2)),VALUE(LEFT(TRIM([1]RawShipmentData!B895),FIND("/",TRIM([1]RawShipmentData!B895))-1))),DATEVALUE(TRIM([1]RawShipmentData!B895)))</f>
        <v>45428</v>
      </c>
      <c r="C887" s="2" t="str">
        <f>PROPER(TRIM([1]RawShipmentData!C895))</f>
        <v>Bengaluru</v>
      </c>
      <c r="D887" s="2" t="str">
        <f>IFERROR(INDEX([1]HubMaster!$B$2:$B$7,MATCH(C887,[1]HubMaster!$A$2:$A$7,0)),"Unknown")</f>
        <v>South</v>
      </c>
      <c r="E887" s="2" t="str">
        <f>PROPER(TRIM(SUBSTITUTE([1]RawShipmentData!D895,"  "," ")))</f>
        <v>Bluedart</v>
      </c>
      <c r="F887" s="2" t="str">
        <f>PROPER(TRIM([1]RawShipmentData!E895))</f>
        <v>Surface</v>
      </c>
      <c r="G887" s="2" t="str">
        <f>PROPER(TRIM(SUBSTITUTE([1]RawShipmentData!F895,"  "," ")))</f>
        <v>Electronics</v>
      </c>
      <c r="H887" s="2" t="str">
        <f>PROPER(TRIM([1]RawShipmentData!G895))</f>
        <v>West</v>
      </c>
      <c r="I887" s="2" t="str">
        <f t="shared" si="65"/>
        <v>Yes</v>
      </c>
      <c r="J887" s="2">
        <f>IFERROR(VALUE(TRIM(SUBSTITUTE(UPPER([1]RawShipmentData!I887),"KG",""))),"")</f>
        <v>28</v>
      </c>
      <c r="K887" s="2">
        <f>VALUE(SUBSTITUTE(SUBSTITUTE(SUBSTITUTE(TRIM([1]RawShipmentData!J895),"₹",""),"Rs",""),",",""))</f>
        <v>431</v>
      </c>
      <c r="L887" s="2">
        <f>[1]RawShipmentData!K895</f>
        <v>6</v>
      </c>
      <c r="M887" s="3">
        <f>IF(TRIM([1]RawShipmentData!L895)="","",IF(ISNUMBER(SEARCH("/",TRIM([1]RawShipmentData!L895))),DATE(VALUE(RIGHT(TRIM([1]RawShipmentData!L895),4)),VALUE(MID(TRIM([1]RawShipmentData!L895),FIND("/",TRIM([1]RawShipmentData!L895))+1,2)),VALUE(LEFT(TRIM([1]RawShipmentData!L895),FIND("/",TRIM([1]RawShipmentData!L895))-1))),DATEVALUE(TRIM([1]RawShipmentData!L895))))</f>
        <v>45433</v>
      </c>
      <c r="N887" s="2">
        <f t="shared" si="66"/>
        <v>5</v>
      </c>
      <c r="O887" s="2">
        <f t="shared" si="67"/>
        <v>-1</v>
      </c>
      <c r="P887" s="2" t="str">
        <f t="shared" si="68"/>
        <v>On Time</v>
      </c>
      <c r="Q887" s="2" t="str">
        <f>PROPER(SUBSTITUTE(TRIM([1]RawShipmentData!M895)," ","-"))</f>
        <v>Delivered</v>
      </c>
      <c r="R887" s="4">
        <f t="shared" si="69"/>
        <v>15.392857142857142</v>
      </c>
      <c r="S887" s="2">
        <f>[1]RawShipmentData!N895</f>
        <v>4</v>
      </c>
      <c r="T887" s="2" t="str">
        <f>IF(OR(UPPER(TRIM([1]RawShipmentData!O895))="YES",UPPER(TRIM([1]RawShipmentData!O895))="Y"),"Yes","No")</f>
        <v>No</v>
      </c>
    </row>
    <row r="888" spans="1:20" x14ac:dyDescent="0.25">
      <c r="A888" s="2" t="str">
        <f>[1]RawShipmentData!A896</f>
        <v>SHP-101420</v>
      </c>
      <c r="B888" s="3">
        <f>IF(ISNUMBER(SEARCH("/",TRIM([1]RawShipmentData!B896))),DATE(VALUE(RIGHT(TRIM([1]RawShipmentData!B896),4)),VALUE(MID(TRIM([1]RawShipmentData!B896),FIND("/",TRIM([1]RawShipmentData!B896))+1,2)),VALUE(LEFT(TRIM([1]RawShipmentData!B896),FIND("/",TRIM([1]RawShipmentData!B896))-1))),DATEVALUE(TRIM([1]RawShipmentData!B896)))</f>
        <v>45452</v>
      </c>
      <c r="C888" s="2" t="str">
        <f>PROPER(TRIM([1]RawShipmentData!C896))</f>
        <v>Kolkata</v>
      </c>
      <c r="D888" s="2" t="str">
        <f>IFERROR(INDEX([1]HubMaster!$B$2:$B$7,MATCH(C888,[1]HubMaster!$A$2:$A$7,0)),"Unknown")</f>
        <v>East</v>
      </c>
      <c r="E888" s="2" t="str">
        <f>PROPER(TRIM(SUBSTITUTE([1]RawShipmentData!D896,"  "," ")))</f>
        <v>Delhivery</v>
      </c>
      <c r="F888" s="2" t="str">
        <f>PROPER(TRIM([1]RawShipmentData!E896))</f>
        <v>Surface</v>
      </c>
      <c r="G888" s="2" t="str">
        <f>PROPER(TRIM(SUBSTITUTE([1]RawShipmentData!F896,"  "," ")))</f>
        <v>Grocery &amp; Fmcg</v>
      </c>
      <c r="H888" s="2" t="str">
        <f>PROPER(TRIM([1]RawShipmentData!G896))</f>
        <v>South</v>
      </c>
      <c r="I888" s="2" t="str">
        <f t="shared" si="65"/>
        <v>Yes</v>
      </c>
      <c r="J888" s="2">
        <f>IFERROR(VALUE(TRIM(SUBSTITUTE(UPPER([1]RawShipmentData!I888),"KG",""))),"")</f>
        <v>4.0999999999999996</v>
      </c>
      <c r="K888" s="2">
        <f>VALUE(SUBSTITUTE(SUBSTITUTE(SUBSTITUTE(TRIM([1]RawShipmentData!J896),"₹",""),"Rs",""),",",""))</f>
        <v>491</v>
      </c>
      <c r="L888" s="2">
        <f>[1]RawShipmentData!K896</f>
        <v>6</v>
      </c>
      <c r="M888" s="3">
        <f>IF(TRIM([1]RawShipmentData!L896)="","",IF(ISNUMBER(SEARCH("/",TRIM([1]RawShipmentData!L896))),DATE(VALUE(RIGHT(TRIM([1]RawShipmentData!L896),4)),VALUE(MID(TRIM([1]RawShipmentData!L896),FIND("/",TRIM([1]RawShipmentData!L896))+1,2)),VALUE(LEFT(TRIM([1]RawShipmentData!L896),FIND("/",TRIM([1]RawShipmentData!L896))-1))),DATEVALUE(TRIM([1]RawShipmentData!L896))))</f>
        <v>45459</v>
      </c>
      <c r="N888" s="2">
        <f t="shared" si="66"/>
        <v>7</v>
      </c>
      <c r="O888" s="2">
        <f t="shared" si="67"/>
        <v>1</v>
      </c>
      <c r="P888" s="2" t="str">
        <f t="shared" si="68"/>
        <v>Late</v>
      </c>
      <c r="Q888" s="2" t="str">
        <f>PROPER(SUBSTITUTE(TRIM([1]RawShipmentData!M896)," ","-"))</f>
        <v>Delayed</v>
      </c>
      <c r="R888" s="4">
        <f t="shared" si="69"/>
        <v>119.75609756097562</v>
      </c>
      <c r="S888" s="2">
        <f>[1]RawShipmentData!N896</f>
        <v>2</v>
      </c>
      <c r="T888" s="2" t="str">
        <f>IF(OR(UPPER(TRIM([1]RawShipmentData!O896))="YES",UPPER(TRIM([1]RawShipmentData!O896))="Y"),"Yes","No")</f>
        <v>No</v>
      </c>
    </row>
    <row r="889" spans="1:20" x14ac:dyDescent="0.25">
      <c r="A889" s="2" t="str">
        <f>[1]RawShipmentData!A897</f>
        <v>SHP-100947</v>
      </c>
      <c r="B889" s="3">
        <f>IF(ISNUMBER(SEARCH("/",TRIM([1]RawShipmentData!B897))),DATE(VALUE(RIGHT(TRIM([1]RawShipmentData!B897),4)),VALUE(MID(TRIM([1]RawShipmentData!B897),FIND("/",TRIM([1]RawShipmentData!B897))+1,2)),VALUE(LEFT(TRIM([1]RawShipmentData!B897),FIND("/",TRIM([1]RawShipmentData!B897))-1))),DATEVALUE(TRIM([1]RawShipmentData!B897)))</f>
        <v>45394</v>
      </c>
      <c r="C889" s="2" t="str">
        <f>PROPER(TRIM([1]RawShipmentData!C897))</f>
        <v>Mumbai</v>
      </c>
      <c r="D889" s="2" t="str">
        <f>IFERROR(INDEX([1]HubMaster!$B$2:$B$7,MATCH(C889,[1]HubMaster!$A$2:$A$7,0)),"Unknown")</f>
        <v>West</v>
      </c>
      <c r="E889" s="2" t="str">
        <f>PROPER(TRIM(SUBSTITUTE([1]RawShipmentData!D897,"  "," ")))</f>
        <v>Dtdc</v>
      </c>
      <c r="F889" s="2" t="str">
        <f>PROPER(TRIM([1]RawShipmentData!E897))</f>
        <v>Air</v>
      </c>
      <c r="G889" s="2" t="str">
        <f>PROPER(TRIM(SUBSTITUTE([1]RawShipmentData!F897,"  "," ")))</f>
        <v>Furniture</v>
      </c>
      <c r="H889" s="2" t="str">
        <f>PROPER(TRIM([1]RawShipmentData!G897))</f>
        <v>North</v>
      </c>
      <c r="I889" s="2" t="str">
        <f t="shared" si="65"/>
        <v>Yes</v>
      </c>
      <c r="J889" s="2">
        <f>IFERROR(VALUE(TRIM(SUBSTITUTE(UPPER([1]RawShipmentData!I889),"KG",""))),"")</f>
        <v>18.100000000000001</v>
      </c>
      <c r="K889" s="2">
        <f>VALUE(SUBSTITUTE(SUBSTITUTE(SUBSTITUTE(TRIM([1]RawShipmentData!J897),"₹",""),"Rs",""),",",""))</f>
        <v>2860</v>
      </c>
      <c r="L889" s="2">
        <f>[1]RawShipmentData!K897</f>
        <v>4</v>
      </c>
      <c r="M889" s="3">
        <f>IF(TRIM([1]RawShipmentData!L897)="","",IF(ISNUMBER(SEARCH("/",TRIM([1]RawShipmentData!L897))),DATE(VALUE(RIGHT(TRIM([1]RawShipmentData!L897),4)),VALUE(MID(TRIM([1]RawShipmentData!L897),FIND("/",TRIM([1]RawShipmentData!L897))+1,2)),VALUE(LEFT(TRIM([1]RawShipmentData!L897),FIND("/",TRIM([1]RawShipmentData!L897))-1))),DATEVALUE(TRIM([1]RawShipmentData!L897))))</f>
        <v>45399</v>
      </c>
      <c r="N889" s="2">
        <f t="shared" si="66"/>
        <v>5</v>
      </c>
      <c r="O889" s="2">
        <f t="shared" si="67"/>
        <v>1</v>
      </c>
      <c r="P889" s="2" t="str">
        <f t="shared" si="68"/>
        <v>Late</v>
      </c>
      <c r="Q889" s="2" t="str">
        <f>PROPER(SUBSTITUTE(TRIM([1]RawShipmentData!M897)," ","-"))</f>
        <v>Delayed</v>
      </c>
      <c r="R889" s="4">
        <f t="shared" si="69"/>
        <v>158.01104972375688</v>
      </c>
      <c r="S889" s="2">
        <f>[1]RawShipmentData!N897</f>
        <v>4</v>
      </c>
      <c r="T889" s="2" t="str">
        <f>IF(OR(UPPER(TRIM([1]RawShipmentData!O897))="YES",UPPER(TRIM([1]RawShipmentData!O897))="Y"),"Yes","No")</f>
        <v>No</v>
      </c>
    </row>
    <row r="890" spans="1:20" x14ac:dyDescent="0.25">
      <c r="A890" s="2" t="str">
        <f>[1]RawShipmentData!A898</f>
        <v>SHP-100799</v>
      </c>
      <c r="B890" s="3">
        <f>IF(ISNUMBER(SEARCH("/",TRIM([1]RawShipmentData!B898))),DATE(VALUE(RIGHT(TRIM([1]RawShipmentData!B898),4)),VALUE(MID(TRIM([1]RawShipmentData!B898),FIND("/",TRIM([1]RawShipmentData!B898))+1,2)),VALUE(LEFT(TRIM([1]RawShipmentData!B898),FIND("/",TRIM([1]RawShipmentData!B898))-1))),DATEVALUE(TRIM([1]RawShipmentData!B898)))</f>
        <v>45397</v>
      </c>
      <c r="C890" s="2" t="str">
        <f>PROPER(TRIM([1]RawShipmentData!C898))</f>
        <v>Chennai</v>
      </c>
      <c r="D890" s="2" t="str">
        <f>IFERROR(INDEX([1]HubMaster!$B$2:$B$7,MATCH(C890,[1]HubMaster!$A$2:$A$7,0)),"Unknown")</f>
        <v>South</v>
      </c>
      <c r="E890" s="2" t="str">
        <f>PROPER(TRIM(SUBSTITUTE([1]RawShipmentData!D898,"  "," ")))</f>
        <v>Dtdc</v>
      </c>
      <c r="F890" s="2" t="str">
        <f>PROPER(TRIM([1]RawShipmentData!E898))</f>
        <v>Surface</v>
      </c>
      <c r="G890" s="2" t="str">
        <f>PROPER(TRIM(SUBSTITUTE([1]RawShipmentData!F898,"  "," ")))</f>
        <v>Automotive Parts</v>
      </c>
      <c r="H890" s="2" t="str">
        <f>PROPER(TRIM([1]RawShipmentData!G898))</f>
        <v>North</v>
      </c>
      <c r="I890" s="2" t="str">
        <f t="shared" si="65"/>
        <v>Yes</v>
      </c>
      <c r="J890" s="2">
        <f>IFERROR(VALUE(TRIM(SUBSTITUTE(UPPER([1]RawShipmentData!I890),"KG",""))),"")</f>
        <v>26.6</v>
      </c>
      <c r="K890" s="2">
        <f>VALUE(SUBSTITUTE(SUBSTITUTE(SUBSTITUTE(TRIM([1]RawShipmentData!J898),"₹",""),"Rs",""),",",""))</f>
        <v>785</v>
      </c>
      <c r="L890" s="2">
        <f>[1]RawShipmentData!K898</f>
        <v>6</v>
      </c>
      <c r="M890" s="3">
        <f>IF(TRIM([1]RawShipmentData!L898)="","",IF(ISNUMBER(SEARCH("/",TRIM([1]RawShipmentData!L898))),DATE(VALUE(RIGHT(TRIM([1]RawShipmentData!L898),4)),VALUE(MID(TRIM([1]RawShipmentData!L898),FIND("/",TRIM([1]RawShipmentData!L898))+1,2)),VALUE(LEFT(TRIM([1]RawShipmentData!L898),FIND("/",TRIM([1]RawShipmentData!L898))-1))),DATEVALUE(TRIM([1]RawShipmentData!L898))))</f>
        <v>45404</v>
      </c>
      <c r="N890" s="2">
        <f t="shared" si="66"/>
        <v>7</v>
      </c>
      <c r="O890" s="2">
        <f t="shared" si="67"/>
        <v>1</v>
      </c>
      <c r="P890" s="2" t="str">
        <f t="shared" si="68"/>
        <v>Late</v>
      </c>
      <c r="Q890" s="2" t="str">
        <f>PROPER(SUBSTITUTE(TRIM([1]RawShipmentData!M898)," ","-"))</f>
        <v>Delayed</v>
      </c>
      <c r="R890" s="4">
        <f t="shared" si="69"/>
        <v>29.511278195488721</v>
      </c>
      <c r="S890" s="2">
        <f>[1]RawShipmentData!N898</f>
        <v>1</v>
      </c>
      <c r="T890" s="2" t="str">
        <f>IF(OR(UPPER(TRIM([1]RawShipmentData!O898))="YES",UPPER(TRIM([1]RawShipmentData!O898))="Y"),"Yes","No")</f>
        <v>Yes</v>
      </c>
    </row>
    <row r="891" spans="1:20" x14ac:dyDescent="0.25">
      <c r="A891" s="2" t="str">
        <f>[1]RawShipmentData!A899</f>
        <v>SHP-100060</v>
      </c>
      <c r="B891" s="3">
        <f>IF(ISNUMBER(SEARCH("/",TRIM([1]RawShipmentData!B899))),DATE(VALUE(RIGHT(TRIM([1]RawShipmentData!B899),4)),VALUE(MID(TRIM([1]RawShipmentData!B899),FIND("/",TRIM([1]RawShipmentData!B899))+1,2)),VALUE(LEFT(TRIM([1]RawShipmentData!B899),FIND("/",TRIM([1]RawShipmentData!B899))-1))),DATEVALUE(TRIM([1]RawShipmentData!B899)))</f>
        <v>45365</v>
      </c>
      <c r="C891" s="2" t="str">
        <f>PROPER(TRIM([1]RawShipmentData!C899))</f>
        <v>Kolkata</v>
      </c>
      <c r="D891" s="2" t="str">
        <f>IFERROR(INDEX([1]HubMaster!$B$2:$B$7,MATCH(C891,[1]HubMaster!$A$2:$A$7,0)),"Unknown")</f>
        <v>East</v>
      </c>
      <c r="E891" s="2" t="str">
        <f>PROPER(TRIM(SUBSTITUTE([1]RawShipmentData!D899,"  "," ")))</f>
        <v>Ecom Express</v>
      </c>
      <c r="F891" s="2" t="str">
        <f>PROPER(TRIM([1]RawShipmentData!E899))</f>
        <v>Air</v>
      </c>
      <c r="G891" s="2" t="str">
        <f>PROPER(TRIM(SUBSTITUTE([1]RawShipmentData!F899,"  "," ")))</f>
        <v>Electronics</v>
      </c>
      <c r="H891" s="2" t="str">
        <f>PROPER(TRIM([1]RawShipmentData!G899))</f>
        <v>West</v>
      </c>
      <c r="I891" s="2" t="str">
        <f t="shared" si="65"/>
        <v>Yes</v>
      </c>
      <c r="J891" s="2">
        <f>IFERROR(VALUE(TRIM(SUBSTITUTE(UPPER([1]RawShipmentData!I891),"KG",""))),"")</f>
        <v>17.5</v>
      </c>
      <c r="K891" s="2">
        <f>VALUE(SUBSTITUTE(SUBSTITUTE(SUBSTITUTE(TRIM([1]RawShipmentData!J899),"₹",""),"Rs",""),",",""))</f>
        <v>704</v>
      </c>
      <c r="L891" s="2">
        <f>[1]RawShipmentData!K899</f>
        <v>4</v>
      </c>
      <c r="M891" s="3">
        <f>IF(TRIM([1]RawShipmentData!L899)="","",IF(ISNUMBER(SEARCH("/",TRIM([1]RawShipmentData!L899))),DATE(VALUE(RIGHT(TRIM([1]RawShipmentData!L899),4)),VALUE(MID(TRIM([1]RawShipmentData!L899),FIND("/",TRIM([1]RawShipmentData!L899))+1,2)),VALUE(LEFT(TRIM([1]RawShipmentData!L899),FIND("/",TRIM([1]RawShipmentData!L899))-1))),DATEVALUE(TRIM([1]RawShipmentData!L899))))</f>
        <v>45369</v>
      </c>
      <c r="N891" s="2">
        <f t="shared" si="66"/>
        <v>4</v>
      </c>
      <c r="O891" s="2">
        <f t="shared" si="67"/>
        <v>0</v>
      </c>
      <c r="P891" s="2" t="str">
        <f t="shared" si="68"/>
        <v>On Time</v>
      </c>
      <c r="Q891" s="2" t="str">
        <f>PROPER(SUBSTITUTE(TRIM([1]RawShipmentData!M899)," ","-"))</f>
        <v>Delivered</v>
      </c>
      <c r="R891" s="4">
        <f t="shared" si="69"/>
        <v>40.228571428571428</v>
      </c>
      <c r="S891" s="2">
        <f>[1]RawShipmentData!N899</f>
        <v>4</v>
      </c>
      <c r="T891" s="2" t="str">
        <f>IF(OR(UPPER(TRIM([1]RawShipmentData!O899))="YES",UPPER(TRIM([1]RawShipmentData!O899))="Y"),"Yes","No")</f>
        <v>No</v>
      </c>
    </row>
    <row r="892" spans="1:20" x14ac:dyDescent="0.25">
      <c r="A892" s="2" t="str">
        <f>[1]RawShipmentData!A900</f>
        <v>SHP-101366</v>
      </c>
      <c r="B892" s="3">
        <f>IF(ISNUMBER(SEARCH("/",TRIM([1]RawShipmentData!B900))),DATE(VALUE(RIGHT(TRIM([1]RawShipmentData!B900),4)),VALUE(MID(TRIM([1]RawShipmentData!B900),FIND("/",TRIM([1]RawShipmentData!B900))+1,2)),VALUE(LEFT(TRIM([1]RawShipmentData!B900),FIND("/",TRIM([1]RawShipmentData!B900))-1))),DATEVALUE(TRIM([1]RawShipmentData!B900)))</f>
        <v>45466</v>
      </c>
      <c r="C892" s="2" t="str">
        <f>PROPER(TRIM([1]RawShipmentData!C900))</f>
        <v>Mumbai</v>
      </c>
      <c r="D892" s="2" t="str">
        <f>IFERROR(INDEX([1]HubMaster!$B$2:$B$7,MATCH(C892,[1]HubMaster!$A$2:$A$7,0)),"Unknown")</f>
        <v>West</v>
      </c>
      <c r="E892" s="2" t="str">
        <f>PROPER(TRIM(SUBSTITUTE([1]RawShipmentData!D900,"  "," ")))</f>
        <v>Ecom Express</v>
      </c>
      <c r="F892" s="2" t="str">
        <f>PROPER(TRIM([1]RawShipmentData!E900))</f>
        <v>Surface</v>
      </c>
      <c r="G892" s="2" t="str">
        <f>PROPER(TRIM(SUBSTITUTE([1]RawShipmentData!F900,"  "," ")))</f>
        <v>Apparel</v>
      </c>
      <c r="H892" s="2" t="str">
        <f>PROPER(TRIM([1]RawShipmentData!G900))</f>
        <v>North</v>
      </c>
      <c r="I892" s="2" t="str">
        <f t="shared" si="65"/>
        <v>Yes</v>
      </c>
      <c r="J892" s="2">
        <f>IFERROR(VALUE(TRIM(SUBSTITUTE(UPPER([1]RawShipmentData!I892),"KG",""))),"")</f>
        <v>61.5</v>
      </c>
      <c r="K892" s="2">
        <f>VALUE(SUBSTITUTE(SUBSTITUTE(SUBSTITUTE(TRIM([1]RawShipmentData!J900),"₹",""),"Rs",""),",",""))</f>
        <v>227</v>
      </c>
      <c r="L892" s="2">
        <f>[1]RawShipmentData!K900</f>
        <v>6</v>
      </c>
      <c r="M892" s="3">
        <f>IF(TRIM([1]RawShipmentData!L900)="","",IF(ISNUMBER(SEARCH("/",TRIM([1]RawShipmentData!L900))),DATE(VALUE(RIGHT(TRIM([1]RawShipmentData!L900),4)),VALUE(MID(TRIM([1]RawShipmentData!L900),FIND("/",TRIM([1]RawShipmentData!L900))+1,2)),VALUE(LEFT(TRIM([1]RawShipmentData!L900),FIND("/",TRIM([1]RawShipmentData!L900))-1))),DATEVALUE(TRIM([1]RawShipmentData!L900))))</f>
        <v>45476</v>
      </c>
      <c r="N892" s="2">
        <f t="shared" si="66"/>
        <v>10</v>
      </c>
      <c r="O892" s="2">
        <f t="shared" si="67"/>
        <v>4</v>
      </c>
      <c r="P892" s="2" t="str">
        <f t="shared" si="68"/>
        <v>Late</v>
      </c>
      <c r="Q892" s="2" t="str">
        <f>PROPER(SUBSTITUTE(TRIM([1]RawShipmentData!M900)," ","-"))</f>
        <v>Delayed</v>
      </c>
      <c r="R892" s="4">
        <f t="shared" si="69"/>
        <v>3.6910569105691056</v>
      </c>
      <c r="S892" s="2">
        <f>[1]RawShipmentData!N900</f>
        <v>3</v>
      </c>
      <c r="T892" s="2" t="str">
        <f>IF(OR(UPPER(TRIM([1]RawShipmentData!O900))="YES",UPPER(TRIM([1]RawShipmentData!O900))="Y"),"Yes","No")</f>
        <v>No</v>
      </c>
    </row>
    <row r="893" spans="1:20" x14ac:dyDescent="0.25">
      <c r="A893" s="2" t="str">
        <f>[1]RawShipmentData!A901</f>
        <v>SHP-100298</v>
      </c>
      <c r="B893" s="3">
        <f>IF(ISNUMBER(SEARCH("/",TRIM([1]RawShipmentData!B901))),DATE(VALUE(RIGHT(TRIM([1]RawShipmentData!B901),4)),VALUE(MID(TRIM([1]RawShipmentData!B901),FIND("/",TRIM([1]RawShipmentData!B901))+1,2)),VALUE(LEFT(TRIM([1]RawShipmentData!B901),FIND("/",TRIM([1]RawShipmentData!B901))-1))),DATEVALUE(TRIM([1]RawShipmentData!B901)))</f>
        <v>45371</v>
      </c>
      <c r="C893" s="2" t="str">
        <f>PROPER(TRIM([1]RawShipmentData!C901))</f>
        <v>Delhi</v>
      </c>
      <c r="D893" s="2" t="str">
        <f>IFERROR(INDEX([1]HubMaster!$B$2:$B$7,MATCH(C893,[1]HubMaster!$A$2:$A$7,0)),"Unknown")</f>
        <v>North</v>
      </c>
      <c r="E893" s="2" t="str">
        <f>PROPER(TRIM(SUBSTITUTE([1]RawShipmentData!D901,"  "," ")))</f>
        <v>Xpress Bees</v>
      </c>
      <c r="F893" s="2" t="str">
        <f>PROPER(TRIM([1]RawShipmentData!E901))</f>
        <v>Surface</v>
      </c>
      <c r="G893" s="2" t="str">
        <f>PROPER(TRIM(SUBSTITUTE([1]RawShipmentData!F901,"  "," ")))</f>
        <v>Automotive Parts</v>
      </c>
      <c r="H893" s="2" t="str">
        <f>PROPER(TRIM([1]RawShipmentData!G901))</f>
        <v>South</v>
      </c>
      <c r="I893" s="2" t="str">
        <f t="shared" si="65"/>
        <v>Yes</v>
      </c>
      <c r="J893" s="2">
        <f>IFERROR(VALUE(TRIM(SUBSTITUTE(UPPER([1]RawShipmentData!I893),"KG",""))),"")</f>
        <v>3.9</v>
      </c>
      <c r="K893" s="2">
        <f>VALUE(SUBSTITUTE(SUBSTITUTE(SUBSTITUTE(TRIM([1]RawShipmentData!J901),"₹",""),"Rs",""),",",""))</f>
        <v>608</v>
      </c>
      <c r="L893" s="2">
        <f>[1]RawShipmentData!K901</f>
        <v>6</v>
      </c>
      <c r="M893" s="3">
        <f>IF(TRIM([1]RawShipmentData!L901)="","",IF(ISNUMBER(SEARCH("/",TRIM([1]RawShipmentData!L901))),DATE(VALUE(RIGHT(TRIM([1]RawShipmentData!L901),4)),VALUE(MID(TRIM([1]RawShipmentData!L901),FIND("/",TRIM([1]RawShipmentData!L901))+1,2)),VALUE(LEFT(TRIM([1]RawShipmentData!L901),FIND("/",TRIM([1]RawShipmentData!L901))-1))),DATEVALUE(TRIM([1]RawShipmentData!L901))))</f>
        <v>45378</v>
      </c>
      <c r="N893" s="2">
        <f t="shared" si="66"/>
        <v>7</v>
      </c>
      <c r="O893" s="2">
        <f t="shared" si="67"/>
        <v>1</v>
      </c>
      <c r="P893" s="2" t="str">
        <f t="shared" si="68"/>
        <v>Late</v>
      </c>
      <c r="Q893" s="2" t="str">
        <f>PROPER(SUBSTITUTE(TRIM([1]RawShipmentData!M901)," ","-"))</f>
        <v>Delayed</v>
      </c>
      <c r="R893" s="4">
        <f t="shared" si="69"/>
        <v>155.89743589743591</v>
      </c>
      <c r="S893" s="2">
        <f>[1]RawShipmentData!N901</f>
        <v>4</v>
      </c>
      <c r="T893" s="2" t="str">
        <f>IF(OR(UPPER(TRIM([1]RawShipmentData!O901))="YES",UPPER(TRIM([1]RawShipmentData!O901))="Y"),"Yes","No")</f>
        <v>Yes</v>
      </c>
    </row>
    <row r="894" spans="1:20" x14ac:dyDescent="0.25">
      <c r="A894" s="2" t="str">
        <f>[1]RawShipmentData!A902</f>
        <v>SHP-100959</v>
      </c>
      <c r="B894" s="3">
        <f>IF(ISNUMBER(SEARCH("/",TRIM([1]RawShipmentData!B902))),DATE(VALUE(RIGHT(TRIM([1]RawShipmentData!B902),4)),VALUE(MID(TRIM([1]RawShipmentData!B902),FIND("/",TRIM([1]RawShipmentData!B902))+1,2)),VALUE(LEFT(TRIM([1]RawShipmentData!B902),FIND("/",TRIM([1]RawShipmentData!B902))-1))),DATEVALUE(TRIM([1]RawShipmentData!B902)))</f>
        <v>45317</v>
      </c>
      <c r="C894" s="2" t="str">
        <f>PROPER(TRIM([1]RawShipmentData!C902))</f>
        <v>Bengaluru</v>
      </c>
      <c r="D894" s="2" t="str">
        <f>IFERROR(INDEX([1]HubMaster!$B$2:$B$7,MATCH(C894,[1]HubMaster!$A$2:$A$7,0)),"Unknown")</f>
        <v>South</v>
      </c>
      <c r="E894" s="2" t="str">
        <f>PROPER(TRIM(SUBSTITUTE([1]RawShipmentData!D902,"  "," ")))</f>
        <v>Dtdc</v>
      </c>
      <c r="F894" s="2" t="str">
        <f>PROPER(TRIM([1]RawShipmentData!E902))</f>
        <v>Road</v>
      </c>
      <c r="G894" s="2" t="str">
        <f>PROPER(TRIM(SUBSTITUTE([1]RawShipmentData!F902,"  "," ")))</f>
        <v>Grocery &amp; Fmcg</v>
      </c>
      <c r="H894" s="2" t="str">
        <f>PROPER(TRIM([1]RawShipmentData!G902))</f>
        <v>West</v>
      </c>
      <c r="I894" s="2" t="str">
        <f t="shared" si="65"/>
        <v>Yes</v>
      </c>
      <c r="J894" s="2">
        <f>IFERROR(VALUE(TRIM(SUBSTITUTE(UPPER([1]RawShipmentData!I894),"KG",""))),"")</f>
        <v>9.1</v>
      </c>
      <c r="K894" s="2">
        <f>VALUE(SUBSTITUTE(SUBSTITUTE(SUBSTITUTE(TRIM([1]RawShipmentData!J902),"₹",""),"Rs",""),",",""))</f>
        <v>320</v>
      </c>
      <c r="L894" s="2">
        <f>[1]RawShipmentData!K902</f>
        <v>8</v>
      </c>
      <c r="M894" s="3">
        <f>IF(TRIM([1]RawShipmentData!L902)="","",IF(ISNUMBER(SEARCH("/",TRIM([1]RawShipmentData!L902))),DATE(VALUE(RIGHT(TRIM([1]RawShipmentData!L902),4)),VALUE(MID(TRIM([1]RawShipmentData!L902),FIND("/",TRIM([1]RawShipmentData!L902))+1,2)),VALUE(LEFT(TRIM([1]RawShipmentData!L902),FIND("/",TRIM([1]RawShipmentData!L902))-1))),DATEVALUE(TRIM([1]RawShipmentData!L902))))</f>
        <v>45328</v>
      </c>
      <c r="N894" s="2">
        <f t="shared" si="66"/>
        <v>11</v>
      </c>
      <c r="O894" s="2">
        <f t="shared" si="67"/>
        <v>3</v>
      </c>
      <c r="P894" s="2" t="str">
        <f t="shared" si="68"/>
        <v>Late</v>
      </c>
      <c r="Q894" s="2" t="str">
        <f>PROPER(SUBSTITUTE(TRIM([1]RawShipmentData!M902)," ","-"))</f>
        <v>Delayed</v>
      </c>
      <c r="R894" s="4">
        <f t="shared" si="69"/>
        <v>35.164835164835168</v>
      </c>
      <c r="S894" s="2">
        <f>[1]RawShipmentData!N902</f>
        <v>4</v>
      </c>
      <c r="T894" s="2" t="str">
        <f>IF(OR(UPPER(TRIM([1]RawShipmentData!O902))="YES",UPPER(TRIM([1]RawShipmentData!O902))="Y"),"Yes","No")</f>
        <v>No</v>
      </c>
    </row>
    <row r="895" spans="1:20" x14ac:dyDescent="0.25">
      <c r="A895" s="2" t="str">
        <f>[1]RawShipmentData!A903</f>
        <v>SHP-101400</v>
      </c>
      <c r="B895" s="3">
        <f>IF(ISNUMBER(SEARCH("/",TRIM([1]RawShipmentData!B903))),DATE(VALUE(RIGHT(TRIM([1]RawShipmentData!B903),4)),VALUE(MID(TRIM([1]RawShipmentData!B903),FIND("/",TRIM([1]RawShipmentData!B903))+1,2)),VALUE(LEFT(TRIM([1]RawShipmentData!B903),FIND("/",TRIM([1]RawShipmentData!B903))-1))),DATEVALUE(TRIM([1]RawShipmentData!B903)))</f>
        <v>45301</v>
      </c>
      <c r="C895" s="2" t="str">
        <f>PROPER(TRIM([1]RawShipmentData!C903))</f>
        <v>Mumbai</v>
      </c>
      <c r="D895" s="2" t="str">
        <f>IFERROR(INDEX([1]HubMaster!$B$2:$B$7,MATCH(C895,[1]HubMaster!$A$2:$A$7,0)),"Unknown")</f>
        <v>West</v>
      </c>
      <c r="E895" s="2" t="str">
        <f>PROPER(TRIM(SUBSTITUTE([1]RawShipmentData!D903,"  "," ")))</f>
        <v>Delhivery</v>
      </c>
      <c r="F895" s="2" t="str">
        <f>PROPER(TRIM([1]RawShipmentData!E903))</f>
        <v>Air</v>
      </c>
      <c r="G895" s="2" t="str">
        <f>PROPER(TRIM(SUBSTITUTE([1]RawShipmentData!F903,"  "," ")))</f>
        <v>Automotive Parts</v>
      </c>
      <c r="H895" s="2" t="str">
        <f>PROPER(TRIM([1]RawShipmentData!G903))</f>
        <v>North</v>
      </c>
      <c r="I895" s="2" t="str">
        <f t="shared" si="65"/>
        <v>Yes</v>
      </c>
      <c r="J895" s="2">
        <f>IFERROR(VALUE(TRIM(SUBSTITUTE(UPPER([1]RawShipmentData!I895),"KG",""))),"")</f>
        <v>11.4</v>
      </c>
      <c r="K895" s="2">
        <f>VALUE(SUBSTITUTE(SUBSTITUTE(SUBSTITUTE(TRIM([1]RawShipmentData!J903),"₹",""),"Rs",""),",",""))</f>
        <v>1362</v>
      </c>
      <c r="L895" s="2">
        <f>[1]RawShipmentData!K903</f>
        <v>4</v>
      </c>
      <c r="M895" s="3">
        <f>IF(TRIM([1]RawShipmentData!L903)="","",IF(ISNUMBER(SEARCH("/",TRIM([1]RawShipmentData!L903))),DATE(VALUE(RIGHT(TRIM([1]RawShipmentData!L903),4)),VALUE(MID(TRIM([1]RawShipmentData!L903),FIND("/",TRIM([1]RawShipmentData!L903))+1,2)),VALUE(LEFT(TRIM([1]RawShipmentData!L903),FIND("/",TRIM([1]RawShipmentData!L903))-1))),DATEVALUE(TRIM([1]RawShipmentData!L903))))</f>
        <v>45308</v>
      </c>
      <c r="N895" s="2">
        <f t="shared" si="66"/>
        <v>7</v>
      </c>
      <c r="O895" s="2">
        <f t="shared" si="67"/>
        <v>3</v>
      </c>
      <c r="P895" s="2" t="str">
        <f t="shared" si="68"/>
        <v>Late</v>
      </c>
      <c r="Q895" s="2" t="str">
        <f>PROPER(SUBSTITUTE(TRIM([1]RawShipmentData!M903)," ","-"))</f>
        <v>Delayed</v>
      </c>
      <c r="R895" s="4">
        <f t="shared" si="69"/>
        <v>119.47368421052632</v>
      </c>
      <c r="S895" s="2">
        <f>[1]RawShipmentData!N903</f>
        <v>1</v>
      </c>
      <c r="T895" s="2" t="str">
        <f>IF(OR(UPPER(TRIM([1]RawShipmentData!O903))="YES",UPPER(TRIM([1]RawShipmentData!O903))="Y"),"Yes","No")</f>
        <v>No</v>
      </c>
    </row>
    <row r="896" spans="1:20" x14ac:dyDescent="0.25">
      <c r="A896" s="2" t="str">
        <f>[1]RawShipmentData!A904</f>
        <v>SHP-100944</v>
      </c>
      <c r="B896" s="3">
        <f>IF(ISNUMBER(SEARCH("/",TRIM([1]RawShipmentData!B904))),DATE(VALUE(RIGHT(TRIM([1]RawShipmentData!B904),4)),VALUE(MID(TRIM([1]RawShipmentData!B904),FIND("/",TRIM([1]RawShipmentData!B904))+1,2)),VALUE(LEFT(TRIM([1]RawShipmentData!B904),FIND("/",TRIM([1]RawShipmentData!B904))-1))),DATEVALUE(TRIM([1]RawShipmentData!B904)))</f>
        <v>45307</v>
      </c>
      <c r="C896" s="2" t="str">
        <f>PROPER(TRIM([1]RawShipmentData!C904))</f>
        <v>Hyderabad</v>
      </c>
      <c r="D896" s="2" t="str">
        <f>IFERROR(INDEX([1]HubMaster!$B$2:$B$7,MATCH(C896,[1]HubMaster!$A$2:$A$7,0)),"Unknown")</f>
        <v>West</v>
      </c>
      <c r="E896" s="2" t="str">
        <f>PROPER(TRIM(SUBSTITUTE([1]RawShipmentData!D904,"  "," ")))</f>
        <v>Dtdc</v>
      </c>
      <c r="F896" s="2" t="str">
        <f>PROPER(TRIM([1]RawShipmentData!E904))</f>
        <v>Air</v>
      </c>
      <c r="G896" s="2" t="str">
        <f>PROPER(TRIM(SUBSTITUTE([1]RawShipmentData!F904,"  "," ")))</f>
        <v>Grocery &amp; Fmcg</v>
      </c>
      <c r="H896" s="2" t="str">
        <f>PROPER(TRIM([1]RawShipmentData!G904))</f>
        <v>East</v>
      </c>
      <c r="I896" s="2" t="str">
        <f t="shared" si="65"/>
        <v>Yes</v>
      </c>
      <c r="J896" s="2">
        <f>IFERROR(VALUE(TRIM(SUBSTITUTE(UPPER([1]RawShipmentData!I896),"KG",""))),"")</f>
        <v>13.2</v>
      </c>
      <c r="K896" s="2">
        <f>VALUE(SUBSTITUTE(SUBSTITUTE(SUBSTITUTE(TRIM([1]RawShipmentData!J904),"₹",""),"Rs",""),",",""))</f>
        <v>883</v>
      </c>
      <c r="L896" s="2">
        <f>[1]RawShipmentData!K904</f>
        <v>4</v>
      </c>
      <c r="M896" s="3">
        <f>IF(TRIM([1]RawShipmentData!L904)="","",IF(ISNUMBER(SEARCH("/",TRIM([1]RawShipmentData!L904))),DATE(VALUE(RIGHT(TRIM([1]RawShipmentData!L904),4)),VALUE(MID(TRIM([1]RawShipmentData!L904),FIND("/",TRIM([1]RawShipmentData!L904))+1,2)),VALUE(LEFT(TRIM([1]RawShipmentData!L904),FIND("/",TRIM([1]RawShipmentData!L904))-1))),DATEVALUE(TRIM([1]RawShipmentData!L904))))</f>
        <v>45320</v>
      </c>
      <c r="N896" s="2">
        <f t="shared" si="66"/>
        <v>13</v>
      </c>
      <c r="O896" s="2">
        <f t="shared" si="67"/>
        <v>9</v>
      </c>
      <c r="P896" s="2" t="str">
        <f t="shared" si="68"/>
        <v>Late</v>
      </c>
      <c r="Q896" s="2" t="str">
        <f>PROPER(SUBSTITUTE(TRIM([1]RawShipmentData!M904)," ","-"))</f>
        <v>Delayed</v>
      </c>
      <c r="R896" s="4">
        <f t="shared" si="69"/>
        <v>66.893939393939391</v>
      </c>
      <c r="S896" s="2">
        <f>[1]RawShipmentData!N904</f>
        <v>4</v>
      </c>
      <c r="T896" s="2" t="str">
        <f>IF(OR(UPPER(TRIM([1]RawShipmentData!O904))="YES",UPPER(TRIM([1]RawShipmentData!O904))="Y"),"Yes","No")</f>
        <v>Yes</v>
      </c>
    </row>
    <row r="897" spans="1:20" x14ac:dyDescent="0.25">
      <c r="A897" s="2" t="str">
        <f>[1]RawShipmentData!A905</f>
        <v>SHP-101360</v>
      </c>
      <c r="B897" s="3">
        <f>IF(ISNUMBER(SEARCH("/",TRIM([1]RawShipmentData!B905))),DATE(VALUE(RIGHT(TRIM([1]RawShipmentData!B905),4)),VALUE(MID(TRIM([1]RawShipmentData!B905),FIND("/",TRIM([1]RawShipmentData!B905))+1,2)),VALUE(LEFT(TRIM([1]RawShipmentData!B905),FIND("/",TRIM([1]RawShipmentData!B905))-1))),DATEVALUE(TRIM([1]RawShipmentData!B905)))</f>
        <v>45451</v>
      </c>
      <c r="C897" s="2" t="str">
        <f>PROPER(TRIM([1]RawShipmentData!C905))</f>
        <v>Bengaluru</v>
      </c>
      <c r="D897" s="2" t="str">
        <f>IFERROR(INDEX([1]HubMaster!$B$2:$B$7,MATCH(C897,[1]HubMaster!$A$2:$A$7,0)),"Unknown")</f>
        <v>South</v>
      </c>
      <c r="E897" s="2" t="str">
        <f>PROPER(TRIM(SUBSTITUTE([1]RawShipmentData!D905,"  "," ")))</f>
        <v>Ecom Express</v>
      </c>
      <c r="F897" s="2" t="str">
        <f>PROPER(TRIM([1]RawShipmentData!E905))</f>
        <v>Road</v>
      </c>
      <c r="G897" s="2" t="str">
        <f>PROPER(TRIM(SUBSTITUTE([1]RawShipmentData!F905,"  "," ")))</f>
        <v>Furniture</v>
      </c>
      <c r="H897" s="2" t="str">
        <f>PROPER(TRIM([1]RawShipmentData!G905))</f>
        <v>West</v>
      </c>
      <c r="I897" s="2" t="str">
        <f t="shared" si="65"/>
        <v>Yes</v>
      </c>
      <c r="J897" s="2">
        <f>IFERROR(VALUE(TRIM(SUBSTITUTE(UPPER([1]RawShipmentData!I897),"KG",""))),"")</f>
        <v>60.4</v>
      </c>
      <c r="K897" s="2">
        <f>VALUE(SUBSTITUTE(SUBSTITUTE(SUBSTITUTE(TRIM([1]RawShipmentData!J905),"₹",""),"Rs",""),",",""))</f>
        <v>1273</v>
      </c>
      <c r="L897" s="2">
        <f>[1]RawShipmentData!K905</f>
        <v>8</v>
      </c>
      <c r="M897" s="3">
        <f>IF(TRIM([1]RawShipmentData!L905)="","",IF(ISNUMBER(SEARCH("/",TRIM([1]RawShipmentData!L905))),DATE(VALUE(RIGHT(TRIM([1]RawShipmentData!L905),4)),VALUE(MID(TRIM([1]RawShipmentData!L905),FIND("/",TRIM([1]RawShipmentData!L905))+1,2)),VALUE(LEFT(TRIM([1]RawShipmentData!L905),FIND("/",TRIM([1]RawShipmentData!L905))-1))),DATEVALUE(TRIM([1]RawShipmentData!L905))))</f>
        <v>45466</v>
      </c>
      <c r="N897" s="2">
        <f t="shared" si="66"/>
        <v>15</v>
      </c>
      <c r="O897" s="2">
        <f t="shared" si="67"/>
        <v>7</v>
      </c>
      <c r="P897" s="2" t="str">
        <f t="shared" si="68"/>
        <v>Late</v>
      </c>
      <c r="Q897" s="2" t="str">
        <f>PROPER(SUBSTITUTE(TRIM([1]RawShipmentData!M905)," ","-"))</f>
        <v>Delayed</v>
      </c>
      <c r="R897" s="4">
        <f t="shared" si="69"/>
        <v>21.076158940397352</v>
      </c>
      <c r="S897" s="2">
        <f>[1]RawShipmentData!N905</f>
        <v>5</v>
      </c>
      <c r="T897" s="2" t="str">
        <f>IF(OR(UPPER(TRIM([1]RawShipmentData!O905))="YES",UPPER(TRIM([1]RawShipmentData!O905))="Y"),"Yes","No")</f>
        <v>No</v>
      </c>
    </row>
    <row r="898" spans="1:20" x14ac:dyDescent="0.25">
      <c r="A898" s="2" t="str">
        <f>[1]RawShipmentData!A906</f>
        <v>SHP-101249</v>
      </c>
      <c r="B898" s="3">
        <f>IF(ISNUMBER(SEARCH("/",TRIM([1]RawShipmentData!B906))),DATE(VALUE(RIGHT(TRIM([1]RawShipmentData!B906),4)),VALUE(MID(TRIM([1]RawShipmentData!B906),FIND("/",TRIM([1]RawShipmentData!B906))+1,2)),VALUE(LEFT(TRIM([1]RawShipmentData!B906),FIND("/",TRIM([1]RawShipmentData!B906))-1))),DATEVALUE(TRIM([1]RawShipmentData!B906)))</f>
        <v>45333</v>
      </c>
      <c r="C898" s="2" t="str">
        <f>PROPER(TRIM([1]RawShipmentData!C906))</f>
        <v>Kolkata</v>
      </c>
      <c r="D898" s="2" t="str">
        <f>IFERROR(INDEX([1]HubMaster!$B$2:$B$7,MATCH(C898,[1]HubMaster!$A$2:$A$7,0)),"Unknown")</f>
        <v>East</v>
      </c>
      <c r="E898" s="2" t="str">
        <f>PROPER(TRIM(SUBSTITUTE([1]RawShipmentData!D906,"  "," ")))</f>
        <v>Xpressbees</v>
      </c>
      <c r="F898" s="2" t="str">
        <f>PROPER(TRIM([1]RawShipmentData!E906))</f>
        <v>Road</v>
      </c>
      <c r="G898" s="2" t="str">
        <f>PROPER(TRIM(SUBSTITUTE([1]RawShipmentData!F906,"  "," ")))</f>
        <v>Apparel</v>
      </c>
      <c r="H898" s="2" t="str">
        <f>PROPER(TRIM([1]RawShipmentData!G906))</f>
        <v>North</v>
      </c>
      <c r="I898" s="2" t="str">
        <f t="shared" ref="I898:I961" si="70">IF(D898=H898,"No","Yes")</f>
        <v>Yes</v>
      </c>
      <c r="J898" s="2">
        <f>IFERROR(VALUE(TRIM(SUBSTITUTE(UPPER([1]RawShipmentData!I898),"KG",""))),"")</f>
        <v>29.1</v>
      </c>
      <c r="K898" s="2">
        <f>VALUE(SUBSTITUTE(SUBSTITUTE(SUBSTITUTE(TRIM([1]RawShipmentData!J906),"₹",""),"Rs",""),",",""))</f>
        <v>236</v>
      </c>
      <c r="L898" s="2">
        <f>[1]RawShipmentData!K906</f>
        <v>8</v>
      </c>
      <c r="M898" s="3">
        <f>IF(TRIM([1]RawShipmentData!L906)="","",IF(ISNUMBER(SEARCH("/",TRIM([1]RawShipmentData!L906))),DATE(VALUE(RIGHT(TRIM([1]RawShipmentData!L906),4)),VALUE(MID(TRIM([1]RawShipmentData!L906),FIND("/",TRIM([1]RawShipmentData!L906))+1,2)),VALUE(LEFT(TRIM([1]RawShipmentData!L906),FIND("/",TRIM([1]RawShipmentData!L906))-1))),DATEVALUE(TRIM([1]RawShipmentData!L906))))</f>
        <v>45341</v>
      </c>
      <c r="N898" s="2">
        <f t="shared" ref="N898:N961" si="71">IF(M898="","",M898-B898)</f>
        <v>8</v>
      </c>
      <c r="O898" s="2">
        <f t="shared" ref="O898:O961" si="72">IF(N898="","",N898-L898)</f>
        <v>0</v>
      </c>
      <c r="P898" s="2" t="str">
        <f t="shared" ref="P898:P961" si="73">IF(N898="","N/A",IF(N898&lt;=L898,"On Time","Late"))</f>
        <v>On Time</v>
      </c>
      <c r="Q898" s="2" t="str">
        <f>PROPER(SUBSTITUTE(TRIM([1]RawShipmentData!M906)," ","-"))</f>
        <v>Delivered</v>
      </c>
      <c r="R898" s="4">
        <f t="shared" si="69"/>
        <v>8.1099656357388312</v>
      </c>
      <c r="S898" s="2">
        <f>[1]RawShipmentData!N906</f>
        <v>4</v>
      </c>
      <c r="T898" s="2" t="str">
        <f>IF(OR(UPPER(TRIM([1]RawShipmentData!O906))="YES",UPPER(TRIM([1]RawShipmentData!O906))="Y"),"Yes","No")</f>
        <v>No</v>
      </c>
    </row>
    <row r="899" spans="1:20" x14ac:dyDescent="0.25">
      <c r="A899" s="2" t="str">
        <f>[1]RawShipmentData!A907</f>
        <v>SHP-100939</v>
      </c>
      <c r="B899" s="3">
        <f>IF(ISNUMBER(SEARCH("/",TRIM([1]RawShipmentData!B907))),DATE(VALUE(RIGHT(TRIM([1]RawShipmentData!B907),4)),VALUE(MID(TRIM([1]RawShipmentData!B907),FIND("/",TRIM([1]RawShipmentData!B907))+1,2)),VALUE(LEFT(TRIM([1]RawShipmentData!B907),FIND("/",TRIM([1]RawShipmentData!B907))-1))),DATEVALUE(TRIM([1]RawShipmentData!B907)))</f>
        <v>45349</v>
      </c>
      <c r="C899" s="2" t="str">
        <f>PROPER(TRIM([1]RawShipmentData!C907))</f>
        <v>Delhi</v>
      </c>
      <c r="D899" s="2" t="str">
        <f>IFERROR(INDEX([1]HubMaster!$B$2:$B$7,MATCH(C899,[1]HubMaster!$A$2:$A$7,0)),"Unknown")</f>
        <v>North</v>
      </c>
      <c r="E899" s="2" t="str">
        <f>PROPER(TRIM(SUBSTITUTE([1]RawShipmentData!D907,"  "," ")))</f>
        <v>Xpressbees</v>
      </c>
      <c r="F899" s="2" t="str">
        <f>PROPER(TRIM([1]RawShipmentData!E907))</f>
        <v>Surface</v>
      </c>
      <c r="G899" s="2" t="str">
        <f>PROPER(TRIM(SUBSTITUTE([1]RawShipmentData!F907,"  "," ")))</f>
        <v>Furniture</v>
      </c>
      <c r="H899" s="2" t="str">
        <f>PROPER(TRIM([1]RawShipmentData!G907))</f>
        <v>East</v>
      </c>
      <c r="I899" s="2" t="str">
        <f t="shared" si="70"/>
        <v>Yes</v>
      </c>
      <c r="J899" s="2">
        <f>IFERROR(VALUE(TRIM(SUBSTITUTE(UPPER([1]RawShipmentData!I899),"KG",""))),"")</f>
        <v>12.5</v>
      </c>
      <c r="K899" s="2">
        <f>VALUE(SUBSTITUTE(SUBSTITUTE(SUBSTITUTE(TRIM([1]RawShipmentData!J907),"₹",""),"Rs",""),",",""))</f>
        <v>518</v>
      </c>
      <c r="L899" s="2">
        <f>[1]RawShipmentData!K907</f>
        <v>6</v>
      </c>
      <c r="M899" s="3">
        <f>IF(TRIM([1]RawShipmentData!L907)="","",IF(ISNUMBER(SEARCH("/",TRIM([1]RawShipmentData!L907))),DATE(VALUE(RIGHT(TRIM([1]RawShipmentData!L907),4)),VALUE(MID(TRIM([1]RawShipmentData!L907),FIND("/",TRIM([1]RawShipmentData!L907))+1,2)),VALUE(LEFT(TRIM([1]RawShipmentData!L907),FIND("/",TRIM([1]RawShipmentData!L907))-1))),DATEVALUE(TRIM([1]RawShipmentData!L907))))</f>
        <v>45363</v>
      </c>
      <c r="N899" s="2">
        <f t="shared" si="71"/>
        <v>14</v>
      </c>
      <c r="O899" s="2">
        <f t="shared" si="72"/>
        <v>8</v>
      </c>
      <c r="P899" s="2" t="str">
        <f t="shared" si="73"/>
        <v>Late</v>
      </c>
      <c r="Q899" s="2" t="str">
        <f>PROPER(SUBSTITUTE(TRIM([1]RawShipmentData!M907)," ","-"))</f>
        <v>Delayed</v>
      </c>
      <c r="R899" s="4">
        <f t="shared" ref="R899:R962" si="74">IFERROR(K899/J899,"")</f>
        <v>41.44</v>
      </c>
      <c r="S899" s="2">
        <f>[1]RawShipmentData!N907</f>
        <v>2</v>
      </c>
      <c r="T899" s="2" t="str">
        <f>IF(OR(UPPER(TRIM([1]RawShipmentData!O907))="YES",UPPER(TRIM([1]RawShipmentData!O907))="Y"),"Yes","No")</f>
        <v>No</v>
      </c>
    </row>
    <row r="900" spans="1:20" x14ac:dyDescent="0.25">
      <c r="A900" s="2" t="str">
        <f>[1]RawShipmentData!A908</f>
        <v>SHP-100177</v>
      </c>
      <c r="B900" s="3">
        <f>IF(ISNUMBER(SEARCH("/",TRIM([1]RawShipmentData!B908))),DATE(VALUE(RIGHT(TRIM([1]RawShipmentData!B908),4)),VALUE(MID(TRIM([1]RawShipmentData!B908),FIND("/",TRIM([1]RawShipmentData!B908))+1,2)),VALUE(LEFT(TRIM([1]RawShipmentData!B908),FIND("/",TRIM([1]RawShipmentData!B908))-1))),DATEVALUE(TRIM([1]RawShipmentData!B908)))</f>
        <v>45294</v>
      </c>
      <c r="C900" s="2" t="str">
        <f>PROPER(TRIM([1]RawShipmentData!C908))</f>
        <v>Bengaluru</v>
      </c>
      <c r="D900" s="2" t="str">
        <f>IFERROR(INDEX([1]HubMaster!$B$2:$B$7,MATCH(C900,[1]HubMaster!$A$2:$A$7,0)),"Unknown")</f>
        <v>South</v>
      </c>
      <c r="E900" s="2" t="str">
        <f>PROPER(TRIM(SUBSTITUTE([1]RawShipmentData!D908,"  "," ")))</f>
        <v>Xpressbees</v>
      </c>
      <c r="F900" s="2" t="str">
        <f>PROPER(TRIM([1]RawShipmentData!E908))</f>
        <v>Road</v>
      </c>
      <c r="G900" s="2" t="str">
        <f>PROPER(TRIM(SUBSTITUTE([1]RawShipmentData!F908,"  "," ")))</f>
        <v>Pharma</v>
      </c>
      <c r="H900" s="2" t="str">
        <f>PROPER(TRIM([1]RawShipmentData!G908))</f>
        <v>East</v>
      </c>
      <c r="I900" s="2" t="str">
        <f t="shared" si="70"/>
        <v>Yes</v>
      </c>
      <c r="J900" s="2">
        <f>IFERROR(VALUE(TRIM(SUBSTITUTE(UPPER([1]RawShipmentData!I900),"KG",""))),"")</f>
        <v>3</v>
      </c>
      <c r="K900" s="2">
        <f>VALUE(SUBSTITUTE(SUBSTITUTE(SUBSTITUTE(TRIM([1]RawShipmentData!J908),"₹",""),"Rs",""),",",""))</f>
        <v>185</v>
      </c>
      <c r="L900" s="2">
        <f>[1]RawShipmentData!K908</f>
        <v>8</v>
      </c>
      <c r="M900" s="3">
        <f>IF(TRIM([1]RawShipmentData!L908)="","",IF(ISNUMBER(SEARCH("/",TRIM([1]RawShipmentData!L908))),DATE(VALUE(RIGHT(TRIM([1]RawShipmentData!L908),4)),VALUE(MID(TRIM([1]RawShipmentData!L908),FIND("/",TRIM([1]RawShipmentData!L908))+1,2)),VALUE(LEFT(TRIM([1]RawShipmentData!L908),FIND("/",TRIM([1]RawShipmentData!L908))-1))),DATEVALUE(TRIM([1]RawShipmentData!L908))))</f>
        <v>45302</v>
      </c>
      <c r="N900" s="2">
        <f t="shared" si="71"/>
        <v>8</v>
      </c>
      <c r="O900" s="2">
        <f t="shared" si="72"/>
        <v>0</v>
      </c>
      <c r="P900" s="2" t="str">
        <f t="shared" si="73"/>
        <v>On Time</v>
      </c>
      <c r="Q900" s="2" t="str">
        <f>PROPER(SUBSTITUTE(TRIM([1]RawShipmentData!M908)," ","-"))</f>
        <v>Delivered</v>
      </c>
      <c r="R900" s="4">
        <f t="shared" si="74"/>
        <v>61.666666666666664</v>
      </c>
      <c r="S900" s="2">
        <f>[1]RawShipmentData!N908</f>
        <v>5</v>
      </c>
      <c r="T900" s="2" t="str">
        <f>IF(OR(UPPER(TRIM([1]RawShipmentData!O908))="YES",UPPER(TRIM([1]RawShipmentData!O908))="Y"),"Yes","No")</f>
        <v>No</v>
      </c>
    </row>
    <row r="901" spans="1:20" x14ac:dyDescent="0.25">
      <c r="A901" s="2" t="str">
        <f>[1]RawShipmentData!A909</f>
        <v>SHP-101296</v>
      </c>
      <c r="B901" s="3">
        <f>IF(ISNUMBER(SEARCH("/",TRIM([1]RawShipmentData!B909))),DATE(VALUE(RIGHT(TRIM([1]RawShipmentData!B909),4)),VALUE(MID(TRIM([1]RawShipmentData!B909),FIND("/",TRIM([1]RawShipmentData!B909))+1,2)),VALUE(LEFT(TRIM([1]RawShipmentData!B909),FIND("/",TRIM([1]RawShipmentData!B909))-1))),DATEVALUE(TRIM([1]RawShipmentData!B909)))</f>
        <v>45373</v>
      </c>
      <c r="C901" s="2" t="str">
        <f>PROPER(TRIM([1]RawShipmentData!C909))</f>
        <v>Hyderabad</v>
      </c>
      <c r="D901" s="2" t="str">
        <f>IFERROR(INDEX([1]HubMaster!$B$2:$B$7,MATCH(C901,[1]HubMaster!$A$2:$A$7,0)),"Unknown")</f>
        <v>West</v>
      </c>
      <c r="E901" s="2" t="str">
        <f>PROPER(TRIM(SUBSTITUTE([1]RawShipmentData!D909,"  "," ")))</f>
        <v>Delhivery</v>
      </c>
      <c r="F901" s="2" t="str">
        <f>PROPER(TRIM([1]RawShipmentData!E909))</f>
        <v>Air</v>
      </c>
      <c r="G901" s="2" t="str">
        <f>PROPER(TRIM(SUBSTITUTE([1]RawShipmentData!F909,"  "," ")))</f>
        <v>Pharma</v>
      </c>
      <c r="H901" s="2" t="str">
        <f>PROPER(TRIM([1]RawShipmentData!G909))</f>
        <v>West</v>
      </c>
      <c r="I901" s="2" t="str">
        <f t="shared" si="70"/>
        <v>No</v>
      </c>
      <c r="J901" s="2">
        <f>IFERROR(VALUE(TRIM(SUBSTITUTE(UPPER([1]RawShipmentData!I901),"KG",""))),"")</f>
        <v>18.7</v>
      </c>
      <c r="K901" s="2">
        <f>VALUE(SUBSTITUTE(SUBSTITUTE(SUBSTITUTE(TRIM([1]RawShipmentData!J909),"₹",""),"Rs",""),",",""))</f>
        <v>80</v>
      </c>
      <c r="L901" s="2">
        <f>[1]RawShipmentData!K909</f>
        <v>2</v>
      </c>
      <c r="M901" s="3">
        <f>IF(TRIM([1]RawShipmentData!L909)="","",IF(ISNUMBER(SEARCH("/",TRIM([1]RawShipmentData!L909))),DATE(VALUE(RIGHT(TRIM([1]RawShipmentData!L909),4)),VALUE(MID(TRIM([1]RawShipmentData!L909),FIND("/",TRIM([1]RawShipmentData!L909))+1,2)),VALUE(LEFT(TRIM([1]RawShipmentData!L909),FIND("/",TRIM([1]RawShipmentData!L909))-1))),DATEVALUE(TRIM([1]RawShipmentData!L909))))</f>
        <v>45374</v>
      </c>
      <c r="N901" s="2">
        <f t="shared" si="71"/>
        <v>1</v>
      </c>
      <c r="O901" s="2">
        <f t="shared" si="72"/>
        <v>-1</v>
      </c>
      <c r="P901" s="2" t="str">
        <f t="shared" si="73"/>
        <v>On Time</v>
      </c>
      <c r="Q901" s="2" t="str">
        <f>PROPER(SUBSTITUTE(TRIM([1]RawShipmentData!M909)," ","-"))</f>
        <v>Delivered</v>
      </c>
      <c r="R901" s="4">
        <f t="shared" si="74"/>
        <v>4.2780748663101607</v>
      </c>
      <c r="S901" s="2">
        <f>[1]RawShipmentData!N909</f>
        <v>3</v>
      </c>
      <c r="T901" s="2" t="str">
        <f>IF(OR(UPPER(TRIM([1]RawShipmentData!O909))="YES",UPPER(TRIM([1]RawShipmentData!O909))="Y"),"Yes","No")</f>
        <v>No</v>
      </c>
    </row>
    <row r="902" spans="1:20" x14ac:dyDescent="0.25">
      <c r="A902" s="2" t="str">
        <f>[1]RawShipmentData!A910</f>
        <v>SHP-101055</v>
      </c>
      <c r="B902" s="3">
        <f>IF(ISNUMBER(SEARCH("/",TRIM([1]RawShipmentData!B910))),DATE(VALUE(RIGHT(TRIM([1]RawShipmentData!B910),4)),VALUE(MID(TRIM([1]RawShipmentData!B910),FIND("/",TRIM([1]RawShipmentData!B910))+1,2)),VALUE(LEFT(TRIM([1]RawShipmentData!B910),FIND("/",TRIM([1]RawShipmentData!B910))-1))),DATEVALUE(TRIM([1]RawShipmentData!B910)))</f>
        <v>45444</v>
      </c>
      <c r="C902" s="2" t="str">
        <f>PROPER(TRIM([1]RawShipmentData!C910))</f>
        <v>Kolkata</v>
      </c>
      <c r="D902" s="2" t="str">
        <f>IFERROR(INDEX([1]HubMaster!$B$2:$B$7,MATCH(C902,[1]HubMaster!$A$2:$A$7,0)),"Unknown")</f>
        <v>East</v>
      </c>
      <c r="E902" s="2" t="str">
        <f>PROPER(TRIM(SUBSTITUTE([1]RawShipmentData!D910,"  "," ")))</f>
        <v>Delhivery</v>
      </c>
      <c r="F902" s="2" t="str">
        <f>PROPER(TRIM([1]RawShipmentData!E910))</f>
        <v>Surface</v>
      </c>
      <c r="G902" s="2" t="str">
        <f>PROPER(TRIM(SUBSTITUTE([1]RawShipmentData!F910,"  "," ")))</f>
        <v>Pharma</v>
      </c>
      <c r="H902" s="2" t="str">
        <f>PROPER(TRIM([1]RawShipmentData!G910))</f>
        <v>West</v>
      </c>
      <c r="I902" s="2" t="str">
        <f t="shared" si="70"/>
        <v>Yes</v>
      </c>
      <c r="J902" s="2">
        <f>IFERROR(VALUE(TRIM(SUBSTITUTE(UPPER([1]RawShipmentData!I902),"KG",""))),"")</f>
        <v>14</v>
      </c>
      <c r="K902" s="2">
        <f>VALUE(SUBSTITUTE(SUBSTITUTE(SUBSTITUTE(TRIM([1]RawShipmentData!J910),"₹",""),"Rs",""),",",""))</f>
        <v>268</v>
      </c>
      <c r="L902" s="2">
        <f>[1]RawShipmentData!K910</f>
        <v>6</v>
      </c>
      <c r="M902" s="3">
        <f>IF(TRIM([1]RawShipmentData!L910)="","",IF(ISNUMBER(SEARCH("/",TRIM([1]RawShipmentData!L910))),DATE(VALUE(RIGHT(TRIM([1]RawShipmentData!L910),4)),VALUE(MID(TRIM([1]RawShipmentData!L910),FIND("/",TRIM([1]RawShipmentData!L910))+1,2)),VALUE(LEFT(TRIM([1]RawShipmentData!L910),FIND("/",TRIM([1]RawShipmentData!L910))-1))),DATEVALUE(TRIM([1]RawShipmentData!L910))))</f>
        <v>45450</v>
      </c>
      <c r="N902" s="2">
        <f t="shared" si="71"/>
        <v>6</v>
      </c>
      <c r="O902" s="2">
        <f t="shared" si="72"/>
        <v>0</v>
      </c>
      <c r="P902" s="2" t="str">
        <f t="shared" si="73"/>
        <v>On Time</v>
      </c>
      <c r="Q902" s="2" t="str">
        <f>PROPER(SUBSTITUTE(TRIM([1]RawShipmentData!M910)," ","-"))</f>
        <v>Delivered</v>
      </c>
      <c r="R902" s="4">
        <f t="shared" si="74"/>
        <v>19.142857142857142</v>
      </c>
      <c r="S902" s="2">
        <f>[1]RawShipmentData!N910</f>
        <v>4</v>
      </c>
      <c r="T902" s="2" t="str">
        <f>IF(OR(UPPER(TRIM([1]RawShipmentData!O910))="YES",UPPER(TRIM([1]RawShipmentData!O910))="Y"),"Yes","No")</f>
        <v>No</v>
      </c>
    </row>
    <row r="903" spans="1:20" x14ac:dyDescent="0.25">
      <c r="A903" s="2" t="str">
        <f>[1]RawShipmentData!A911</f>
        <v>SHP-100764</v>
      </c>
      <c r="B903" s="3">
        <f>IF(ISNUMBER(SEARCH("/",TRIM([1]RawShipmentData!B911))),DATE(VALUE(RIGHT(TRIM([1]RawShipmentData!B911),4)),VALUE(MID(TRIM([1]RawShipmentData!B911),FIND("/",TRIM([1]RawShipmentData!B911))+1,2)),VALUE(LEFT(TRIM([1]RawShipmentData!B911),FIND("/",TRIM([1]RawShipmentData!B911))-1))),DATEVALUE(TRIM([1]RawShipmentData!B911)))</f>
        <v>45340</v>
      </c>
      <c r="C903" s="2" t="str">
        <f>PROPER(TRIM([1]RawShipmentData!C911))</f>
        <v>Hyderabad</v>
      </c>
      <c r="D903" s="2" t="str">
        <f>IFERROR(INDEX([1]HubMaster!$B$2:$B$7,MATCH(C903,[1]HubMaster!$A$2:$A$7,0)),"Unknown")</f>
        <v>West</v>
      </c>
      <c r="E903" s="2" t="str">
        <f>PROPER(TRIM(SUBSTITUTE([1]RawShipmentData!D911,"  "," ")))</f>
        <v>Ecom Express</v>
      </c>
      <c r="F903" s="2" t="str">
        <f>PROPER(TRIM([1]RawShipmentData!E911))</f>
        <v>Surface</v>
      </c>
      <c r="G903" s="2" t="str">
        <f>PROPER(TRIM(SUBSTITUTE([1]RawShipmentData!F911,"  "," ")))</f>
        <v>Apparel</v>
      </c>
      <c r="H903" s="2" t="str">
        <f>PROPER(TRIM([1]RawShipmentData!G911))</f>
        <v>South</v>
      </c>
      <c r="I903" s="2" t="str">
        <f t="shared" si="70"/>
        <v>Yes</v>
      </c>
      <c r="J903" s="2">
        <f>IFERROR(VALUE(TRIM(SUBSTITUTE(UPPER([1]RawShipmentData!I903),"KG",""))),"")</f>
        <v>25.7</v>
      </c>
      <c r="K903" s="2">
        <f>VALUE(SUBSTITUTE(SUBSTITUTE(SUBSTITUTE(TRIM([1]RawShipmentData!J911),"₹",""),"Rs",""),",",""))</f>
        <v>243</v>
      </c>
      <c r="L903" s="2">
        <f>[1]RawShipmentData!K911</f>
        <v>6</v>
      </c>
      <c r="M903" s="3">
        <f>IF(TRIM([1]RawShipmentData!L911)="","",IF(ISNUMBER(SEARCH("/",TRIM([1]RawShipmentData!L911))),DATE(VALUE(RIGHT(TRIM([1]RawShipmentData!L911),4)),VALUE(MID(TRIM([1]RawShipmentData!L911),FIND("/",TRIM([1]RawShipmentData!L911))+1,2)),VALUE(LEFT(TRIM([1]RawShipmentData!L911),FIND("/",TRIM([1]RawShipmentData!L911))-1))),DATEVALUE(TRIM([1]RawShipmentData!L911))))</f>
        <v>45347</v>
      </c>
      <c r="N903" s="2">
        <f t="shared" si="71"/>
        <v>7</v>
      </c>
      <c r="O903" s="2">
        <f t="shared" si="72"/>
        <v>1</v>
      </c>
      <c r="P903" s="2" t="str">
        <f t="shared" si="73"/>
        <v>Late</v>
      </c>
      <c r="Q903" s="2" t="str">
        <f>PROPER(SUBSTITUTE(TRIM([1]RawShipmentData!M911)," ","-"))</f>
        <v>Delayed</v>
      </c>
      <c r="R903" s="4">
        <f t="shared" si="74"/>
        <v>9.4552529182879379</v>
      </c>
      <c r="S903" s="2">
        <f>[1]RawShipmentData!N911</f>
        <v>3</v>
      </c>
      <c r="T903" s="2" t="str">
        <f>IF(OR(UPPER(TRIM([1]RawShipmentData!O911))="YES",UPPER(TRIM([1]RawShipmentData!O911))="Y"),"Yes","No")</f>
        <v>No</v>
      </c>
    </row>
    <row r="904" spans="1:20" x14ac:dyDescent="0.25">
      <c r="A904" s="2" t="str">
        <f>[1]RawShipmentData!A912</f>
        <v>SHP-100285</v>
      </c>
      <c r="B904" s="3">
        <f>IF(ISNUMBER(SEARCH("/",TRIM([1]RawShipmentData!B912))),DATE(VALUE(RIGHT(TRIM([1]RawShipmentData!B912),4)),VALUE(MID(TRIM([1]RawShipmentData!B912),FIND("/",TRIM([1]RawShipmentData!B912))+1,2)),VALUE(LEFT(TRIM([1]RawShipmentData!B912),FIND("/",TRIM([1]RawShipmentData!B912))-1))),DATEVALUE(TRIM([1]RawShipmentData!B912)))</f>
        <v>45297</v>
      </c>
      <c r="C904" s="2" t="str">
        <f>PROPER(TRIM([1]RawShipmentData!C912))</f>
        <v>Delhi</v>
      </c>
      <c r="D904" s="2" t="str">
        <f>IFERROR(INDEX([1]HubMaster!$B$2:$B$7,MATCH(C904,[1]HubMaster!$A$2:$A$7,0)),"Unknown")</f>
        <v>North</v>
      </c>
      <c r="E904" s="2" t="str">
        <f>PROPER(TRIM(SUBSTITUTE([1]RawShipmentData!D912,"  "," ")))</f>
        <v>Xpressbees</v>
      </c>
      <c r="F904" s="2" t="str">
        <f>PROPER(TRIM([1]RawShipmentData!E912))</f>
        <v>Air</v>
      </c>
      <c r="G904" s="2" t="str">
        <f>PROPER(TRIM(SUBSTITUTE([1]RawShipmentData!F912,"  "," ")))</f>
        <v>Automotive Parts</v>
      </c>
      <c r="H904" s="2" t="str">
        <f>PROPER(TRIM([1]RawShipmentData!G912))</f>
        <v>North</v>
      </c>
      <c r="I904" s="2" t="str">
        <f t="shared" si="70"/>
        <v>No</v>
      </c>
      <c r="J904" s="2">
        <f>IFERROR(VALUE(TRIM(SUBSTITUTE(UPPER([1]RawShipmentData!I904),"KG",""))),"")</f>
        <v>16.100000000000001</v>
      </c>
      <c r="K904" s="2">
        <f>VALUE(SUBSTITUTE(SUBSTITUTE(SUBSTITUTE(TRIM([1]RawShipmentData!J912),"₹",""),"Rs",""),",",""))</f>
        <v>1137</v>
      </c>
      <c r="L904" s="2">
        <f>[1]RawShipmentData!K912</f>
        <v>2</v>
      </c>
      <c r="M904" s="3">
        <f>IF(TRIM([1]RawShipmentData!L912)="","",IF(ISNUMBER(SEARCH("/",TRIM([1]RawShipmentData!L912))),DATE(VALUE(RIGHT(TRIM([1]RawShipmentData!L912),4)),VALUE(MID(TRIM([1]RawShipmentData!L912),FIND("/",TRIM([1]RawShipmentData!L912))+1,2)),VALUE(LEFT(TRIM([1]RawShipmentData!L912),FIND("/",TRIM([1]RawShipmentData!L912))-1))),DATEVALUE(TRIM([1]RawShipmentData!L912))))</f>
        <v>45299</v>
      </c>
      <c r="N904" s="2">
        <f t="shared" si="71"/>
        <v>2</v>
      </c>
      <c r="O904" s="2">
        <f t="shared" si="72"/>
        <v>0</v>
      </c>
      <c r="P904" s="2" t="str">
        <f t="shared" si="73"/>
        <v>On Time</v>
      </c>
      <c r="Q904" s="2" t="str">
        <f>PROPER(SUBSTITUTE(TRIM([1]RawShipmentData!M912)," ","-"))</f>
        <v>Delivered</v>
      </c>
      <c r="R904" s="4">
        <f t="shared" si="74"/>
        <v>70.621118012422357</v>
      </c>
      <c r="S904" s="2">
        <f>[1]RawShipmentData!N912</f>
        <v>4</v>
      </c>
      <c r="T904" s="2" t="str">
        <f>IF(OR(UPPER(TRIM([1]RawShipmentData!O912))="YES",UPPER(TRIM([1]RawShipmentData!O912))="Y"),"Yes","No")</f>
        <v>No</v>
      </c>
    </row>
    <row r="905" spans="1:20" x14ac:dyDescent="0.25">
      <c r="A905" s="2" t="str">
        <f>[1]RawShipmentData!A913</f>
        <v>SHP-101528</v>
      </c>
      <c r="B905" s="3">
        <f>IF(ISNUMBER(SEARCH("/",TRIM([1]RawShipmentData!B913))),DATE(VALUE(RIGHT(TRIM([1]RawShipmentData!B913),4)),VALUE(MID(TRIM([1]RawShipmentData!B913),FIND("/",TRIM([1]RawShipmentData!B913))+1,2)),VALUE(LEFT(TRIM([1]RawShipmentData!B913),FIND("/",TRIM([1]RawShipmentData!B913))-1))),DATEVALUE(TRIM([1]RawShipmentData!B913)))</f>
        <v>45309</v>
      </c>
      <c r="C905" s="2" t="str">
        <f>PROPER(TRIM([1]RawShipmentData!C913))</f>
        <v>Chennai</v>
      </c>
      <c r="D905" s="2" t="str">
        <f>IFERROR(INDEX([1]HubMaster!$B$2:$B$7,MATCH(C905,[1]HubMaster!$A$2:$A$7,0)),"Unknown")</f>
        <v>South</v>
      </c>
      <c r="E905" s="2" t="str">
        <f>PROPER(TRIM(SUBSTITUTE([1]RawShipmentData!D913,"  "," ")))</f>
        <v>Dtdc</v>
      </c>
      <c r="F905" s="2" t="str">
        <f>PROPER(TRIM([1]RawShipmentData!E913))</f>
        <v>Air</v>
      </c>
      <c r="G905" s="2" t="str">
        <f>PROPER(TRIM(SUBSTITUTE([1]RawShipmentData!F913,"  "," ")))</f>
        <v>Electronics</v>
      </c>
      <c r="H905" s="2" t="str">
        <f>PROPER(TRIM([1]RawShipmentData!G913))</f>
        <v>South</v>
      </c>
      <c r="I905" s="2" t="str">
        <f t="shared" si="70"/>
        <v>No</v>
      </c>
      <c r="J905" s="2">
        <f>IFERROR(VALUE(TRIM(SUBSTITUTE(UPPER([1]RawShipmentData!I905),"KG",""))),"")</f>
        <v>78.8</v>
      </c>
      <c r="K905" s="2">
        <f>VALUE(SUBSTITUTE(SUBSTITUTE(SUBSTITUTE(TRIM([1]RawShipmentData!J913),"₹",""),"Rs",""),",",""))</f>
        <v>190</v>
      </c>
      <c r="L905" s="2">
        <f>[1]RawShipmentData!K913</f>
        <v>2</v>
      </c>
      <c r="M905" s="3">
        <f>IF(TRIM([1]RawShipmentData!L913)="","",IF(ISNUMBER(SEARCH("/",TRIM([1]RawShipmentData!L913))),DATE(VALUE(RIGHT(TRIM([1]RawShipmentData!L913),4)),VALUE(MID(TRIM([1]RawShipmentData!L913),FIND("/",TRIM([1]RawShipmentData!L913))+1,2)),VALUE(LEFT(TRIM([1]RawShipmentData!L913),FIND("/",TRIM([1]RawShipmentData!L913))-1))),DATEVALUE(TRIM([1]RawShipmentData!L913))))</f>
        <v>45318</v>
      </c>
      <c r="N905" s="2">
        <f t="shared" si="71"/>
        <v>9</v>
      </c>
      <c r="O905" s="2">
        <f t="shared" si="72"/>
        <v>7</v>
      </c>
      <c r="P905" s="2" t="str">
        <f t="shared" si="73"/>
        <v>Late</v>
      </c>
      <c r="Q905" s="2" t="str">
        <f>PROPER(SUBSTITUTE(TRIM([1]RawShipmentData!M913)," ","-"))</f>
        <v>Delayed</v>
      </c>
      <c r="R905" s="4">
        <f t="shared" si="74"/>
        <v>2.4111675126903553</v>
      </c>
      <c r="S905" s="2">
        <f>[1]RawShipmentData!N913</f>
        <v>2</v>
      </c>
      <c r="T905" s="2" t="str">
        <f>IF(OR(UPPER(TRIM([1]RawShipmentData!O913))="YES",UPPER(TRIM([1]RawShipmentData!O913))="Y"),"Yes","No")</f>
        <v>No</v>
      </c>
    </row>
    <row r="906" spans="1:20" x14ac:dyDescent="0.25">
      <c r="A906" s="2" t="str">
        <f>[1]RawShipmentData!A914</f>
        <v>SHP-100242</v>
      </c>
      <c r="B906" s="3">
        <f>IF(ISNUMBER(SEARCH("/",TRIM([1]RawShipmentData!B914))),DATE(VALUE(RIGHT(TRIM([1]RawShipmentData!B914),4)),VALUE(MID(TRIM([1]RawShipmentData!B914),FIND("/",TRIM([1]RawShipmentData!B914))+1,2)),VALUE(LEFT(TRIM([1]RawShipmentData!B914),FIND("/",TRIM([1]RawShipmentData!B914))-1))),DATEVALUE(TRIM([1]RawShipmentData!B914)))</f>
        <v>45397</v>
      </c>
      <c r="C906" s="2" t="str">
        <f>PROPER(TRIM([1]RawShipmentData!C914))</f>
        <v>Delhi</v>
      </c>
      <c r="D906" s="2" t="str">
        <f>IFERROR(INDEX([1]HubMaster!$B$2:$B$7,MATCH(C906,[1]HubMaster!$A$2:$A$7,0)),"Unknown")</f>
        <v>North</v>
      </c>
      <c r="E906" s="2" t="str">
        <f>PROPER(TRIM(SUBSTITUTE([1]RawShipmentData!D914,"  "," ")))</f>
        <v>Dtdc</v>
      </c>
      <c r="F906" s="2" t="str">
        <f>PROPER(TRIM([1]RawShipmentData!E914))</f>
        <v>Surface</v>
      </c>
      <c r="G906" s="2" t="str">
        <f>PROPER(TRIM(SUBSTITUTE([1]RawShipmentData!F914,"  "," ")))</f>
        <v>Grocery &amp; Fmcg</v>
      </c>
      <c r="H906" s="2" t="str">
        <f>PROPER(TRIM([1]RawShipmentData!G914))</f>
        <v>East</v>
      </c>
      <c r="I906" s="2" t="str">
        <f t="shared" si="70"/>
        <v>Yes</v>
      </c>
      <c r="J906" s="2">
        <f>IFERROR(VALUE(TRIM(SUBSTITUTE(UPPER([1]RawShipmentData!I906),"KG",""))),"")</f>
        <v>4.4000000000000004</v>
      </c>
      <c r="K906" s="2">
        <f>VALUE(SUBSTITUTE(SUBSTITUTE(SUBSTITUTE(TRIM([1]RawShipmentData!J914),"₹",""),"Rs",""),",",""))</f>
        <v>216</v>
      </c>
      <c r="L906" s="2">
        <f>[1]RawShipmentData!K914</f>
        <v>6</v>
      </c>
      <c r="M906" s="3">
        <f>IF(TRIM([1]RawShipmentData!L914)="","",IF(ISNUMBER(SEARCH("/",TRIM([1]RawShipmentData!L914))),DATE(VALUE(RIGHT(TRIM([1]RawShipmentData!L914),4)),VALUE(MID(TRIM([1]RawShipmentData!L914),FIND("/",TRIM([1]RawShipmentData!L914))+1,2)),VALUE(LEFT(TRIM([1]RawShipmentData!L914),FIND("/",TRIM([1]RawShipmentData!L914))-1))),DATEVALUE(TRIM([1]RawShipmentData!L914))))</f>
        <v>45404</v>
      </c>
      <c r="N906" s="2">
        <f t="shared" si="71"/>
        <v>7</v>
      </c>
      <c r="O906" s="2">
        <f t="shared" si="72"/>
        <v>1</v>
      </c>
      <c r="P906" s="2" t="str">
        <f t="shared" si="73"/>
        <v>Late</v>
      </c>
      <c r="Q906" s="2" t="str">
        <f>PROPER(SUBSTITUTE(TRIM([1]RawShipmentData!M914)," ","-"))</f>
        <v>Delayed</v>
      </c>
      <c r="R906" s="4">
        <f t="shared" si="74"/>
        <v>49.090909090909086</v>
      </c>
      <c r="S906" s="2">
        <f>[1]RawShipmentData!N914</f>
        <v>5</v>
      </c>
      <c r="T906" s="2" t="str">
        <f>IF(OR(UPPER(TRIM([1]RawShipmentData!O914))="YES",UPPER(TRIM([1]RawShipmentData!O914))="Y"),"Yes","No")</f>
        <v>No</v>
      </c>
    </row>
    <row r="907" spans="1:20" x14ac:dyDescent="0.25">
      <c r="A907" s="2" t="str">
        <f>[1]RawShipmentData!A915</f>
        <v>SHP-100796</v>
      </c>
      <c r="B907" s="3">
        <f>IF(ISNUMBER(SEARCH("/",TRIM([1]RawShipmentData!B915))),DATE(VALUE(RIGHT(TRIM([1]RawShipmentData!B915),4)),VALUE(MID(TRIM([1]RawShipmentData!B915),FIND("/",TRIM([1]RawShipmentData!B915))+1,2)),VALUE(LEFT(TRIM([1]RawShipmentData!B915),FIND("/",TRIM([1]RawShipmentData!B915))-1))),DATEVALUE(TRIM([1]RawShipmentData!B915)))</f>
        <v>45420</v>
      </c>
      <c r="C907" s="2" t="str">
        <f>PROPER(TRIM([1]RawShipmentData!C915))</f>
        <v>Delhi</v>
      </c>
      <c r="D907" s="2" t="str">
        <f>IFERROR(INDEX([1]HubMaster!$B$2:$B$7,MATCH(C907,[1]HubMaster!$A$2:$A$7,0)),"Unknown")</f>
        <v>North</v>
      </c>
      <c r="E907" s="2" t="str">
        <f>PROPER(TRIM(SUBSTITUTE([1]RawShipmentData!D915,"  "," ")))</f>
        <v>Dtdc</v>
      </c>
      <c r="F907" s="2" t="str">
        <f>PROPER(TRIM([1]RawShipmentData!E915))</f>
        <v>Road</v>
      </c>
      <c r="G907" s="2" t="str">
        <f>PROPER(TRIM(SUBSTITUTE([1]RawShipmentData!F915,"  "," ")))</f>
        <v>Furniture</v>
      </c>
      <c r="H907" s="2" t="str">
        <f>PROPER(TRIM([1]RawShipmentData!G915))</f>
        <v>East</v>
      </c>
      <c r="I907" s="2" t="str">
        <f t="shared" si="70"/>
        <v>Yes</v>
      </c>
      <c r="J907" s="2">
        <f>IFERROR(VALUE(TRIM(SUBSTITUTE(UPPER([1]RawShipmentData!I907),"KG",""))),"")</f>
        <v>16.600000000000001</v>
      </c>
      <c r="K907" s="2">
        <f>VALUE(SUBSTITUTE(SUBSTITUTE(SUBSTITUTE(TRIM([1]RawShipmentData!J915),"₹",""),"Rs",""),",",""))</f>
        <v>1188</v>
      </c>
      <c r="L907" s="2">
        <f>[1]RawShipmentData!K915</f>
        <v>8</v>
      </c>
      <c r="M907" s="3">
        <f>IF(TRIM([1]RawShipmentData!L915)="","",IF(ISNUMBER(SEARCH("/",TRIM([1]RawShipmentData!L915))),DATE(VALUE(RIGHT(TRIM([1]RawShipmentData!L915),4)),VALUE(MID(TRIM([1]RawShipmentData!L915),FIND("/",TRIM([1]RawShipmentData!L915))+1,2)),VALUE(LEFT(TRIM([1]RawShipmentData!L915),FIND("/",TRIM([1]RawShipmentData!L915))-1))),DATEVALUE(TRIM([1]RawShipmentData!L915))))</f>
        <v>45434</v>
      </c>
      <c r="N907" s="2">
        <f t="shared" si="71"/>
        <v>14</v>
      </c>
      <c r="O907" s="2">
        <f t="shared" si="72"/>
        <v>6</v>
      </c>
      <c r="P907" s="2" t="str">
        <f t="shared" si="73"/>
        <v>Late</v>
      </c>
      <c r="Q907" s="2" t="str">
        <f>PROPER(SUBSTITUTE(TRIM([1]RawShipmentData!M915)," ","-"))</f>
        <v>Damaged</v>
      </c>
      <c r="R907" s="4">
        <f t="shared" si="74"/>
        <v>71.566265060240951</v>
      </c>
      <c r="S907" s="2">
        <f>[1]RawShipmentData!N915</f>
        <v>0</v>
      </c>
      <c r="T907" s="2" t="str">
        <f>IF(OR(UPPER(TRIM([1]RawShipmentData!O915))="YES",UPPER(TRIM([1]RawShipmentData!O915))="Y"),"Yes","No")</f>
        <v>No</v>
      </c>
    </row>
    <row r="908" spans="1:20" x14ac:dyDescent="0.25">
      <c r="A908" s="2" t="str">
        <f>[1]RawShipmentData!A916</f>
        <v>SHP-101289</v>
      </c>
      <c r="B908" s="3">
        <f>IF(ISNUMBER(SEARCH("/",TRIM([1]RawShipmentData!B916))),DATE(VALUE(RIGHT(TRIM([1]RawShipmentData!B916),4)),VALUE(MID(TRIM([1]RawShipmentData!B916),FIND("/",TRIM([1]RawShipmentData!B916))+1,2)),VALUE(LEFT(TRIM([1]RawShipmentData!B916),FIND("/",TRIM([1]RawShipmentData!B916))-1))),DATEVALUE(TRIM([1]RawShipmentData!B916)))</f>
        <v>45359</v>
      </c>
      <c r="C908" s="2" t="str">
        <f>PROPER(TRIM([1]RawShipmentData!C916))</f>
        <v>Chennai</v>
      </c>
      <c r="D908" s="2" t="str">
        <f>IFERROR(INDEX([1]HubMaster!$B$2:$B$7,MATCH(C908,[1]HubMaster!$A$2:$A$7,0)),"Unknown")</f>
        <v>South</v>
      </c>
      <c r="E908" s="2" t="str">
        <f>PROPER(TRIM(SUBSTITUTE([1]RawShipmentData!D916,"  "," ")))</f>
        <v>Delhivery</v>
      </c>
      <c r="F908" s="2" t="str">
        <f>PROPER(TRIM([1]RawShipmentData!E916))</f>
        <v>Surface</v>
      </c>
      <c r="G908" s="2" t="str">
        <f>PROPER(TRIM(SUBSTITUTE([1]RawShipmentData!F916,"  "," ")))</f>
        <v>Furniture</v>
      </c>
      <c r="H908" s="2" t="str">
        <f>PROPER(TRIM([1]RawShipmentData!G916))</f>
        <v>South</v>
      </c>
      <c r="I908" s="2" t="str">
        <f t="shared" si="70"/>
        <v>No</v>
      </c>
      <c r="J908" s="2">
        <f>IFERROR(VALUE(TRIM(SUBSTITUTE(UPPER([1]RawShipmentData!I908),"KG",""))),"")</f>
        <v>2.5</v>
      </c>
      <c r="K908" s="2">
        <f>VALUE(SUBSTITUTE(SUBSTITUTE(SUBSTITUTE(TRIM([1]RawShipmentData!J916),"₹",""),"Rs",""),",",""))</f>
        <v>552</v>
      </c>
      <c r="L908" s="2">
        <f>[1]RawShipmentData!K916</f>
        <v>4</v>
      </c>
      <c r="M908" s="3">
        <f>IF(TRIM([1]RawShipmentData!L916)="","",IF(ISNUMBER(SEARCH("/",TRIM([1]RawShipmentData!L916))),DATE(VALUE(RIGHT(TRIM([1]RawShipmentData!L916),4)),VALUE(MID(TRIM([1]RawShipmentData!L916),FIND("/",TRIM([1]RawShipmentData!L916))+1,2)),VALUE(LEFT(TRIM([1]RawShipmentData!L916),FIND("/",TRIM([1]RawShipmentData!L916))-1))),DATEVALUE(TRIM([1]RawShipmentData!L916))))</f>
        <v>45363</v>
      </c>
      <c r="N908" s="2">
        <f t="shared" si="71"/>
        <v>4</v>
      </c>
      <c r="O908" s="2">
        <f t="shared" si="72"/>
        <v>0</v>
      </c>
      <c r="P908" s="2" t="str">
        <f t="shared" si="73"/>
        <v>On Time</v>
      </c>
      <c r="Q908" s="2" t="str">
        <f>PROPER(SUBSTITUTE(TRIM([1]RawShipmentData!M916)," ","-"))</f>
        <v>Delivered</v>
      </c>
      <c r="R908" s="4">
        <f t="shared" si="74"/>
        <v>220.8</v>
      </c>
      <c r="S908" s="2">
        <f>[1]RawShipmentData!N916</f>
        <v>2</v>
      </c>
      <c r="T908" s="2" t="str">
        <f>IF(OR(UPPER(TRIM([1]RawShipmentData!O916))="YES",UPPER(TRIM([1]RawShipmentData!O916))="Y"),"Yes","No")</f>
        <v>Yes</v>
      </c>
    </row>
    <row r="909" spans="1:20" x14ac:dyDescent="0.25">
      <c r="A909" s="2" t="str">
        <f>[1]RawShipmentData!A917</f>
        <v>SHP-101297</v>
      </c>
      <c r="B909" s="3">
        <f>IF(ISNUMBER(SEARCH("/",TRIM([1]RawShipmentData!B917))),DATE(VALUE(RIGHT(TRIM([1]RawShipmentData!B917),4)),VALUE(MID(TRIM([1]RawShipmentData!B917),FIND("/",TRIM([1]RawShipmentData!B917))+1,2)),VALUE(LEFT(TRIM([1]RawShipmentData!B917),FIND("/",TRIM([1]RawShipmentData!B917))-1))),DATEVALUE(TRIM([1]RawShipmentData!B917)))</f>
        <v>45318</v>
      </c>
      <c r="C909" s="2" t="str">
        <f>PROPER(TRIM([1]RawShipmentData!C917))</f>
        <v>Bengaluru</v>
      </c>
      <c r="D909" s="2" t="str">
        <f>IFERROR(INDEX([1]HubMaster!$B$2:$B$7,MATCH(C909,[1]HubMaster!$A$2:$A$7,0)),"Unknown")</f>
        <v>South</v>
      </c>
      <c r="E909" s="2" t="str">
        <f>PROPER(TRIM(SUBSTITUTE([1]RawShipmentData!D917,"  "," ")))</f>
        <v>Ecom Express</v>
      </c>
      <c r="F909" s="2" t="str">
        <f>PROPER(TRIM([1]RawShipmentData!E917))</f>
        <v>Air</v>
      </c>
      <c r="G909" s="2" t="str">
        <f>PROPER(TRIM(SUBSTITUTE([1]RawShipmentData!F917,"  "," ")))</f>
        <v>Apparel</v>
      </c>
      <c r="H909" s="2" t="str">
        <f>PROPER(TRIM([1]RawShipmentData!G917))</f>
        <v>East</v>
      </c>
      <c r="I909" s="2" t="str">
        <f t="shared" si="70"/>
        <v>Yes</v>
      </c>
      <c r="J909" s="2">
        <f>IFERROR(VALUE(TRIM(SUBSTITUTE(UPPER([1]RawShipmentData!I909),"KG",""))),"")</f>
        <v>0.9</v>
      </c>
      <c r="K909" s="2">
        <f>VALUE(SUBSTITUTE(SUBSTITUTE(SUBSTITUTE(TRIM([1]RawShipmentData!J917),"₹",""),"Rs",""),",",""))</f>
        <v>234</v>
      </c>
      <c r="L909" s="2">
        <f>[1]RawShipmentData!K917</f>
        <v>4</v>
      </c>
      <c r="M909" s="3">
        <f>IF(TRIM([1]RawShipmentData!L917)="","",IF(ISNUMBER(SEARCH("/",TRIM([1]RawShipmentData!L917))),DATE(VALUE(RIGHT(TRIM([1]RawShipmentData!L917),4)),VALUE(MID(TRIM([1]RawShipmentData!L917),FIND("/",TRIM([1]RawShipmentData!L917))+1,2)),VALUE(LEFT(TRIM([1]RawShipmentData!L917),FIND("/",TRIM([1]RawShipmentData!L917))-1))),DATEVALUE(TRIM([1]RawShipmentData!L917))))</f>
        <v>45323</v>
      </c>
      <c r="N909" s="2">
        <f t="shared" si="71"/>
        <v>5</v>
      </c>
      <c r="O909" s="2">
        <f t="shared" si="72"/>
        <v>1</v>
      </c>
      <c r="P909" s="2" t="str">
        <f t="shared" si="73"/>
        <v>Late</v>
      </c>
      <c r="Q909" s="2" t="str">
        <f>PROPER(SUBSTITUTE(TRIM([1]RawShipmentData!M917)," ","-"))</f>
        <v>Delayed</v>
      </c>
      <c r="R909" s="4">
        <f t="shared" si="74"/>
        <v>260</v>
      </c>
      <c r="S909" s="2">
        <f>[1]RawShipmentData!N917</f>
        <v>2</v>
      </c>
      <c r="T909" s="2" t="str">
        <f>IF(OR(UPPER(TRIM([1]RawShipmentData!O917))="YES",UPPER(TRIM([1]RawShipmentData!O917))="Y"),"Yes","No")</f>
        <v>Yes</v>
      </c>
    </row>
    <row r="910" spans="1:20" x14ac:dyDescent="0.25">
      <c r="A910" s="2" t="str">
        <f>[1]RawShipmentData!A918</f>
        <v>SHP-100866</v>
      </c>
      <c r="B910" s="3">
        <f>IF(ISNUMBER(SEARCH("/",TRIM([1]RawShipmentData!B918))),DATE(VALUE(RIGHT(TRIM([1]RawShipmentData!B918),4)),VALUE(MID(TRIM([1]RawShipmentData!B918),FIND("/",TRIM([1]RawShipmentData!B918))+1,2)),VALUE(LEFT(TRIM([1]RawShipmentData!B918),FIND("/",TRIM([1]RawShipmentData!B918))-1))),DATEVALUE(TRIM([1]RawShipmentData!B918)))</f>
        <v>45415</v>
      </c>
      <c r="C910" s="2" t="str">
        <f>PROPER(TRIM([1]RawShipmentData!C918))</f>
        <v>Kolkata</v>
      </c>
      <c r="D910" s="2" t="str">
        <f>IFERROR(INDEX([1]HubMaster!$B$2:$B$7,MATCH(C910,[1]HubMaster!$A$2:$A$7,0)),"Unknown")</f>
        <v>East</v>
      </c>
      <c r="E910" s="2" t="str">
        <f>PROPER(TRIM(SUBSTITUTE([1]RawShipmentData!D918,"  "," ")))</f>
        <v>Delhivery</v>
      </c>
      <c r="F910" s="2" t="str">
        <f>PROPER(TRIM([1]RawShipmentData!E918))</f>
        <v>Road</v>
      </c>
      <c r="G910" s="2" t="str">
        <f>PROPER(TRIM(SUBSTITUTE([1]RawShipmentData!F918,"  "," ")))</f>
        <v>Automotive Parts</v>
      </c>
      <c r="H910" s="2" t="str">
        <f>PROPER(TRIM([1]RawShipmentData!G918))</f>
        <v>West</v>
      </c>
      <c r="I910" s="2" t="str">
        <f t="shared" si="70"/>
        <v>Yes</v>
      </c>
      <c r="J910" s="2">
        <f>IFERROR(VALUE(TRIM(SUBSTITUTE(UPPER([1]RawShipmentData!I910),"KG",""))),"")</f>
        <v>3.6</v>
      </c>
      <c r="K910" s="2">
        <f>VALUE(SUBSTITUTE(SUBSTITUTE(SUBSTITUTE(TRIM([1]RawShipmentData!J918),"₹",""),"Rs",""),",",""))</f>
        <v>296</v>
      </c>
      <c r="L910" s="2">
        <f>[1]RawShipmentData!K918</f>
        <v>8</v>
      </c>
      <c r="M910" s="3">
        <f>IF(TRIM([1]RawShipmentData!L918)="","",IF(ISNUMBER(SEARCH("/",TRIM([1]RawShipmentData!L918))),DATE(VALUE(RIGHT(TRIM([1]RawShipmentData!L918),4)),VALUE(MID(TRIM([1]RawShipmentData!L918),FIND("/",TRIM([1]RawShipmentData!L918))+1,2)),VALUE(LEFT(TRIM([1]RawShipmentData!L918),FIND("/",TRIM([1]RawShipmentData!L918))-1))),DATEVALUE(TRIM([1]RawShipmentData!L918))))</f>
        <v>45424</v>
      </c>
      <c r="N910" s="2">
        <f t="shared" si="71"/>
        <v>9</v>
      </c>
      <c r="O910" s="2">
        <f t="shared" si="72"/>
        <v>1</v>
      </c>
      <c r="P910" s="2" t="str">
        <f t="shared" si="73"/>
        <v>Late</v>
      </c>
      <c r="Q910" s="2" t="str">
        <f>PROPER(SUBSTITUTE(TRIM([1]RawShipmentData!M918)," ","-"))</f>
        <v>Delayed</v>
      </c>
      <c r="R910" s="4">
        <f t="shared" si="74"/>
        <v>82.222222222222214</v>
      </c>
      <c r="S910" s="2">
        <f>[1]RawShipmentData!N918</f>
        <v>2</v>
      </c>
      <c r="T910" s="2" t="str">
        <f>IF(OR(UPPER(TRIM([1]RawShipmentData!O918))="YES",UPPER(TRIM([1]RawShipmentData!O918))="Y"),"Yes","No")</f>
        <v>No</v>
      </c>
    </row>
    <row r="911" spans="1:20" x14ac:dyDescent="0.25">
      <c r="A911" s="2" t="str">
        <f>[1]RawShipmentData!A919</f>
        <v>SHP-100138</v>
      </c>
      <c r="B911" s="3">
        <f>IF(ISNUMBER(SEARCH("/",TRIM([1]RawShipmentData!B919))),DATE(VALUE(RIGHT(TRIM([1]RawShipmentData!B919),4)),VALUE(MID(TRIM([1]RawShipmentData!B919),FIND("/",TRIM([1]RawShipmentData!B919))+1,2)),VALUE(LEFT(TRIM([1]RawShipmentData!B919),FIND("/",TRIM([1]RawShipmentData!B919))-1))),DATEVALUE(TRIM([1]RawShipmentData!B919)))</f>
        <v>45448</v>
      </c>
      <c r="C911" s="2" t="str">
        <f>PROPER(TRIM([1]RawShipmentData!C919))</f>
        <v>Delhi</v>
      </c>
      <c r="D911" s="2" t="str">
        <f>IFERROR(INDEX([1]HubMaster!$B$2:$B$7,MATCH(C911,[1]HubMaster!$A$2:$A$7,0)),"Unknown")</f>
        <v>North</v>
      </c>
      <c r="E911" s="2" t="str">
        <f>PROPER(TRIM(SUBSTITUTE([1]RawShipmentData!D919,"  "," ")))</f>
        <v>Bluedart</v>
      </c>
      <c r="F911" s="2" t="str">
        <f>PROPER(TRIM([1]RawShipmentData!E919))</f>
        <v>Road</v>
      </c>
      <c r="G911" s="2" t="str">
        <f>PROPER(TRIM(SUBSTITUTE([1]RawShipmentData!F919,"  "," ")))</f>
        <v>Electronics</v>
      </c>
      <c r="H911" s="2" t="str">
        <f>PROPER(TRIM([1]RawShipmentData!G919))</f>
        <v>West</v>
      </c>
      <c r="I911" s="2" t="str">
        <f t="shared" si="70"/>
        <v>Yes</v>
      </c>
      <c r="J911" s="2">
        <f>IFERROR(VALUE(TRIM(SUBSTITUTE(UPPER([1]RawShipmentData!I911),"KG",""))),"")</f>
        <v>1.9</v>
      </c>
      <c r="K911" s="2">
        <f>VALUE(SUBSTITUTE(SUBSTITUTE(SUBSTITUTE(TRIM([1]RawShipmentData!J919),"₹",""),"Rs",""),",",""))</f>
        <v>208</v>
      </c>
      <c r="L911" s="2">
        <f>[1]RawShipmentData!K919</f>
        <v>8</v>
      </c>
      <c r="M911" s="3">
        <f>IF(TRIM([1]RawShipmentData!L919)="","",IF(ISNUMBER(SEARCH("/",TRIM([1]RawShipmentData!L919))),DATE(VALUE(RIGHT(TRIM([1]RawShipmentData!L919),4)),VALUE(MID(TRIM([1]RawShipmentData!L919),FIND("/",TRIM([1]RawShipmentData!L919))+1,2)),VALUE(LEFT(TRIM([1]RawShipmentData!L919),FIND("/",TRIM([1]RawShipmentData!L919))-1))),DATEVALUE(TRIM([1]RawShipmentData!L919))))</f>
        <v>45455</v>
      </c>
      <c r="N911" s="2">
        <f t="shared" si="71"/>
        <v>7</v>
      </c>
      <c r="O911" s="2">
        <f t="shared" si="72"/>
        <v>-1</v>
      </c>
      <c r="P911" s="2" t="str">
        <f t="shared" si="73"/>
        <v>On Time</v>
      </c>
      <c r="Q911" s="2" t="str">
        <f>PROPER(SUBSTITUTE(TRIM([1]RawShipmentData!M919)," ","-"))</f>
        <v>Delivered</v>
      </c>
      <c r="R911" s="4">
        <f t="shared" si="74"/>
        <v>109.47368421052632</v>
      </c>
      <c r="S911" s="2">
        <f>[1]RawShipmentData!N919</f>
        <v>1</v>
      </c>
      <c r="T911" s="2" t="str">
        <f>IF(OR(UPPER(TRIM([1]RawShipmentData!O919))="YES",UPPER(TRIM([1]RawShipmentData!O919))="Y"),"Yes","No")</f>
        <v>No</v>
      </c>
    </row>
    <row r="912" spans="1:20" x14ac:dyDescent="0.25">
      <c r="A912" s="2" t="str">
        <f>[1]RawShipmentData!A920</f>
        <v>SHP-100749</v>
      </c>
      <c r="B912" s="3">
        <f>IF(ISNUMBER(SEARCH("/",TRIM([1]RawShipmentData!B920))),DATE(VALUE(RIGHT(TRIM([1]RawShipmentData!B920),4)),VALUE(MID(TRIM([1]RawShipmentData!B920),FIND("/",TRIM([1]RawShipmentData!B920))+1,2)),VALUE(LEFT(TRIM([1]RawShipmentData!B920),FIND("/",TRIM([1]RawShipmentData!B920))-1))),DATEVALUE(TRIM([1]RawShipmentData!B920)))</f>
        <v>45376</v>
      </c>
      <c r="C912" s="2" t="str">
        <f>PROPER(TRIM([1]RawShipmentData!C920))</f>
        <v>Mumbai</v>
      </c>
      <c r="D912" s="2" t="str">
        <f>IFERROR(INDEX([1]HubMaster!$B$2:$B$7,MATCH(C912,[1]HubMaster!$A$2:$A$7,0)),"Unknown")</f>
        <v>West</v>
      </c>
      <c r="E912" s="2" t="str">
        <f>PROPER(TRIM(SUBSTITUTE([1]RawShipmentData!D920,"  "," ")))</f>
        <v>Dtdc</v>
      </c>
      <c r="F912" s="2" t="str">
        <f>PROPER(TRIM([1]RawShipmentData!E920))</f>
        <v>Air</v>
      </c>
      <c r="G912" s="2" t="str">
        <f>PROPER(TRIM(SUBSTITUTE([1]RawShipmentData!F920,"  "," ")))</f>
        <v>Furniture</v>
      </c>
      <c r="H912" s="2" t="str">
        <f>PROPER(TRIM([1]RawShipmentData!G920))</f>
        <v>South</v>
      </c>
      <c r="I912" s="2" t="str">
        <f t="shared" si="70"/>
        <v>Yes</v>
      </c>
      <c r="J912" s="2">
        <f>IFERROR(VALUE(TRIM(SUBSTITUTE(UPPER([1]RawShipmentData!I912),"KG",""))),"")</f>
        <v>24.4</v>
      </c>
      <c r="K912" s="2">
        <f>VALUE(SUBSTITUTE(SUBSTITUTE(SUBSTITUTE(TRIM([1]RawShipmentData!J920),"₹",""),"Rs",""),",",""))</f>
        <v>1929</v>
      </c>
      <c r="L912" s="2">
        <f>[1]RawShipmentData!K920</f>
        <v>4</v>
      </c>
      <c r="M912" s="3">
        <f>IF(TRIM([1]RawShipmentData!L920)="","",IF(ISNUMBER(SEARCH("/",TRIM([1]RawShipmentData!L920))),DATE(VALUE(RIGHT(TRIM([1]RawShipmentData!L920),4)),VALUE(MID(TRIM([1]RawShipmentData!L920),FIND("/",TRIM([1]RawShipmentData!L920))+1,2)),VALUE(LEFT(TRIM([1]RawShipmentData!L920),FIND("/",TRIM([1]RawShipmentData!L920))-1))),DATEVALUE(TRIM([1]RawShipmentData!L920))))</f>
        <v>45386</v>
      </c>
      <c r="N912" s="2">
        <f t="shared" si="71"/>
        <v>10</v>
      </c>
      <c r="O912" s="2">
        <f t="shared" si="72"/>
        <v>6</v>
      </c>
      <c r="P912" s="2" t="str">
        <f t="shared" si="73"/>
        <v>Late</v>
      </c>
      <c r="Q912" s="2" t="str">
        <f>PROPER(SUBSTITUTE(TRIM([1]RawShipmentData!M920)," ","-"))</f>
        <v>Delayed</v>
      </c>
      <c r="R912" s="4">
        <f t="shared" si="74"/>
        <v>79.057377049180332</v>
      </c>
      <c r="S912" s="2">
        <f>[1]RawShipmentData!N920</f>
        <v>3</v>
      </c>
      <c r="T912" s="2" t="str">
        <f>IF(OR(UPPER(TRIM([1]RawShipmentData!O920))="YES",UPPER(TRIM([1]RawShipmentData!O920))="Y"),"Yes","No")</f>
        <v>No</v>
      </c>
    </row>
    <row r="913" spans="1:20" x14ac:dyDescent="0.25">
      <c r="A913" s="2" t="str">
        <f>[1]RawShipmentData!A921</f>
        <v>SHP-101011</v>
      </c>
      <c r="B913" s="3">
        <f>IF(ISNUMBER(SEARCH("/",TRIM([1]RawShipmentData!B921))),DATE(VALUE(RIGHT(TRIM([1]RawShipmentData!B921),4)),VALUE(MID(TRIM([1]RawShipmentData!B921),FIND("/",TRIM([1]RawShipmentData!B921))+1,2)),VALUE(LEFT(TRIM([1]RawShipmentData!B921),FIND("/",TRIM([1]RawShipmentData!B921))-1))),DATEVALUE(TRIM([1]RawShipmentData!B921)))</f>
        <v>45400</v>
      </c>
      <c r="C913" s="2" t="str">
        <f>PROPER(TRIM([1]RawShipmentData!C921))</f>
        <v>Chennai</v>
      </c>
      <c r="D913" s="2" t="str">
        <f>IFERROR(INDEX([1]HubMaster!$B$2:$B$7,MATCH(C913,[1]HubMaster!$A$2:$A$7,0)),"Unknown")</f>
        <v>South</v>
      </c>
      <c r="E913" s="2" t="str">
        <f>PROPER(TRIM(SUBSTITUTE([1]RawShipmentData!D921,"  "," ")))</f>
        <v>Delhivery</v>
      </c>
      <c r="F913" s="2" t="str">
        <f>PROPER(TRIM([1]RawShipmentData!E921))</f>
        <v>Air</v>
      </c>
      <c r="G913" s="2" t="str">
        <f>PROPER(TRIM(SUBSTITUTE([1]RawShipmentData!F921,"  "," ")))</f>
        <v>Electronics</v>
      </c>
      <c r="H913" s="2" t="str">
        <f>PROPER(TRIM([1]RawShipmentData!G921))</f>
        <v>South</v>
      </c>
      <c r="I913" s="2" t="str">
        <f t="shared" si="70"/>
        <v>No</v>
      </c>
      <c r="J913" s="2">
        <f>IFERROR(VALUE(TRIM(SUBSTITUTE(UPPER([1]RawShipmentData!I913),"KG",""))),"")</f>
        <v>3.2</v>
      </c>
      <c r="K913" s="2">
        <f>VALUE(SUBSTITUTE(SUBSTITUTE(SUBSTITUTE(TRIM([1]RawShipmentData!J921),"₹",""),"Rs",""),",",""))</f>
        <v>593</v>
      </c>
      <c r="L913" s="2">
        <f>[1]RawShipmentData!K921</f>
        <v>2</v>
      </c>
      <c r="M913" s="3">
        <f>IF(TRIM([1]RawShipmentData!L921)="","",IF(ISNUMBER(SEARCH("/",TRIM([1]RawShipmentData!L921))),DATE(VALUE(RIGHT(TRIM([1]RawShipmentData!L921),4)),VALUE(MID(TRIM([1]RawShipmentData!L921),FIND("/",TRIM([1]RawShipmentData!L921))+1,2)),VALUE(LEFT(TRIM([1]RawShipmentData!L921),FIND("/",TRIM([1]RawShipmentData!L921))-1))),DATEVALUE(TRIM([1]RawShipmentData!L921))))</f>
        <v>45402</v>
      </c>
      <c r="N913" s="2">
        <f t="shared" si="71"/>
        <v>2</v>
      </c>
      <c r="O913" s="2">
        <f t="shared" si="72"/>
        <v>0</v>
      </c>
      <c r="P913" s="2" t="str">
        <f t="shared" si="73"/>
        <v>On Time</v>
      </c>
      <c r="Q913" s="2" t="str">
        <f>PROPER(SUBSTITUTE(TRIM([1]RawShipmentData!M921)," ","-"))</f>
        <v>Delivered</v>
      </c>
      <c r="R913" s="4">
        <f t="shared" si="74"/>
        <v>185.3125</v>
      </c>
      <c r="S913" s="2">
        <f>[1]RawShipmentData!N921</f>
        <v>4</v>
      </c>
      <c r="T913" s="2" t="str">
        <f>IF(OR(UPPER(TRIM([1]RawShipmentData!O921))="YES",UPPER(TRIM([1]RawShipmentData!O921))="Y"),"Yes","No")</f>
        <v>No</v>
      </c>
    </row>
    <row r="914" spans="1:20" x14ac:dyDescent="0.25">
      <c r="A914" s="2" t="str">
        <f>[1]RawShipmentData!A922</f>
        <v>SHP-101080</v>
      </c>
      <c r="B914" s="3">
        <f>IF(ISNUMBER(SEARCH("/",TRIM([1]RawShipmentData!B922))),DATE(VALUE(RIGHT(TRIM([1]RawShipmentData!B922),4)),VALUE(MID(TRIM([1]RawShipmentData!B922),FIND("/",TRIM([1]RawShipmentData!B922))+1,2)),VALUE(LEFT(TRIM([1]RawShipmentData!B922),FIND("/",TRIM([1]RawShipmentData!B922))-1))),DATEVALUE(TRIM([1]RawShipmentData!B922)))</f>
        <v>45300</v>
      </c>
      <c r="C914" s="2" t="str">
        <f>PROPER(TRIM([1]RawShipmentData!C922))</f>
        <v>Mumbai</v>
      </c>
      <c r="D914" s="2" t="str">
        <f>IFERROR(INDEX([1]HubMaster!$B$2:$B$7,MATCH(C914,[1]HubMaster!$A$2:$A$7,0)),"Unknown")</f>
        <v>West</v>
      </c>
      <c r="E914" s="2" t="str">
        <f>PROPER(TRIM(SUBSTITUTE([1]RawShipmentData!D922,"  "," ")))</f>
        <v>Bluedart</v>
      </c>
      <c r="F914" s="2" t="str">
        <f>PROPER(TRIM([1]RawShipmentData!E922))</f>
        <v>Road</v>
      </c>
      <c r="G914" s="2" t="str">
        <f>PROPER(TRIM(SUBSTITUTE([1]RawShipmentData!F922,"  "," ")))</f>
        <v>Electronics</v>
      </c>
      <c r="H914" s="2" t="str">
        <f>PROPER(TRIM([1]RawShipmentData!G922))</f>
        <v>East</v>
      </c>
      <c r="I914" s="2" t="str">
        <f t="shared" si="70"/>
        <v>Yes</v>
      </c>
      <c r="J914" s="2">
        <f>IFERROR(VALUE(TRIM(SUBSTITUTE(UPPER([1]RawShipmentData!I914),"KG",""))),"")</f>
        <v>3</v>
      </c>
      <c r="K914" s="2">
        <f>VALUE(SUBSTITUTE(SUBSTITUTE(SUBSTITUTE(TRIM([1]RawShipmentData!J922),"₹",""),"Rs",""),",",""))</f>
        <v>393</v>
      </c>
      <c r="L914" s="2">
        <f>[1]RawShipmentData!K922</f>
        <v>8</v>
      </c>
      <c r="M914" s="3">
        <f>IF(TRIM([1]RawShipmentData!L922)="","",IF(ISNUMBER(SEARCH("/",TRIM([1]RawShipmentData!L922))),DATE(VALUE(RIGHT(TRIM([1]RawShipmentData!L922),4)),VALUE(MID(TRIM([1]RawShipmentData!L922),FIND("/",TRIM([1]RawShipmentData!L922))+1,2)),VALUE(LEFT(TRIM([1]RawShipmentData!L922),FIND("/",TRIM([1]RawShipmentData!L922))-1))),DATEVALUE(TRIM([1]RawShipmentData!L922))))</f>
        <v>45307</v>
      </c>
      <c r="N914" s="2">
        <f t="shared" si="71"/>
        <v>7</v>
      </c>
      <c r="O914" s="2">
        <f t="shared" si="72"/>
        <v>-1</v>
      </c>
      <c r="P914" s="2" t="str">
        <f t="shared" si="73"/>
        <v>On Time</v>
      </c>
      <c r="Q914" s="2" t="str">
        <f>PROPER(SUBSTITUTE(TRIM([1]RawShipmentData!M922)," ","-"))</f>
        <v>Delivered</v>
      </c>
      <c r="R914" s="4">
        <f t="shared" si="74"/>
        <v>131</v>
      </c>
      <c r="S914" s="2">
        <f>[1]RawShipmentData!N922</f>
        <v>4</v>
      </c>
      <c r="T914" s="2" t="str">
        <f>IF(OR(UPPER(TRIM([1]RawShipmentData!O922))="YES",UPPER(TRIM([1]RawShipmentData!O922))="Y"),"Yes","No")</f>
        <v>No</v>
      </c>
    </row>
    <row r="915" spans="1:20" x14ac:dyDescent="0.25">
      <c r="A915" s="2" t="str">
        <f>[1]RawShipmentData!A923</f>
        <v>SHP-100490</v>
      </c>
      <c r="B915" s="3">
        <f>IF(ISNUMBER(SEARCH("/",TRIM([1]RawShipmentData!B923))),DATE(VALUE(RIGHT(TRIM([1]RawShipmentData!B923),4)),VALUE(MID(TRIM([1]RawShipmentData!B923),FIND("/",TRIM([1]RawShipmentData!B923))+1,2)),VALUE(LEFT(TRIM([1]RawShipmentData!B923),FIND("/",TRIM([1]RawShipmentData!B923))-1))),DATEVALUE(TRIM([1]RawShipmentData!B923)))</f>
        <v>45374</v>
      </c>
      <c r="C915" s="2" t="str">
        <f>PROPER(TRIM([1]RawShipmentData!C923))</f>
        <v>Mumbai</v>
      </c>
      <c r="D915" s="2" t="str">
        <f>IFERROR(INDEX([1]HubMaster!$B$2:$B$7,MATCH(C915,[1]HubMaster!$A$2:$A$7,0)),"Unknown")</f>
        <v>West</v>
      </c>
      <c r="E915" s="2" t="str">
        <f>PROPER(TRIM(SUBSTITUTE([1]RawShipmentData!D923,"  "," ")))</f>
        <v>Blue Dart</v>
      </c>
      <c r="F915" s="2" t="str">
        <f>PROPER(TRIM([1]RawShipmentData!E923))</f>
        <v>Road</v>
      </c>
      <c r="G915" s="2" t="str">
        <f>PROPER(TRIM(SUBSTITUTE([1]RawShipmentData!F923,"  "," ")))</f>
        <v>Grocery &amp; Fmcg</v>
      </c>
      <c r="H915" s="2" t="str">
        <f>PROPER(TRIM([1]RawShipmentData!G923))</f>
        <v>South</v>
      </c>
      <c r="I915" s="2" t="str">
        <f t="shared" si="70"/>
        <v>Yes</v>
      </c>
      <c r="J915" s="2">
        <f>IFERROR(VALUE(TRIM(SUBSTITUTE(UPPER([1]RawShipmentData!I915),"KG",""))),"")</f>
        <v>76.099999999999994</v>
      </c>
      <c r="K915" s="2">
        <f>VALUE(SUBSTITUTE(SUBSTITUTE(SUBSTITUTE(TRIM([1]RawShipmentData!J923),"₹",""),"Rs",""),",",""))</f>
        <v>344</v>
      </c>
      <c r="L915" s="2">
        <f>[1]RawShipmentData!K923</f>
        <v>8</v>
      </c>
      <c r="M915" s="3">
        <f>IF(TRIM([1]RawShipmentData!L923)="","",IF(ISNUMBER(SEARCH("/",TRIM([1]RawShipmentData!L923))),DATE(VALUE(RIGHT(TRIM([1]RawShipmentData!L923),4)),VALUE(MID(TRIM([1]RawShipmentData!L923),FIND("/",TRIM([1]RawShipmentData!L923))+1,2)),VALUE(LEFT(TRIM([1]RawShipmentData!L923),FIND("/",TRIM([1]RawShipmentData!L923))-1))),DATEVALUE(TRIM([1]RawShipmentData!L923))))</f>
        <v>45381</v>
      </c>
      <c r="N915" s="2">
        <f t="shared" si="71"/>
        <v>7</v>
      </c>
      <c r="O915" s="2">
        <f t="shared" si="72"/>
        <v>-1</v>
      </c>
      <c r="P915" s="2" t="str">
        <f t="shared" si="73"/>
        <v>On Time</v>
      </c>
      <c r="Q915" s="2" t="str">
        <f>PROPER(SUBSTITUTE(TRIM([1]RawShipmentData!M923)," ","-"))</f>
        <v>Delivered</v>
      </c>
      <c r="R915" s="4">
        <f t="shared" si="74"/>
        <v>4.5203679369250986</v>
      </c>
      <c r="S915" s="2">
        <f>[1]RawShipmentData!N923</f>
        <v>5</v>
      </c>
      <c r="T915" s="2" t="str">
        <f>IF(OR(UPPER(TRIM([1]RawShipmentData!O923))="YES",UPPER(TRIM([1]RawShipmentData!O923))="Y"),"Yes","No")</f>
        <v>No</v>
      </c>
    </row>
    <row r="916" spans="1:20" x14ac:dyDescent="0.25">
      <c r="A916" s="2" t="str">
        <f>[1]RawShipmentData!A924</f>
        <v>SHP-100334</v>
      </c>
      <c r="B916" s="3">
        <f>IF(ISNUMBER(SEARCH("/",TRIM([1]RawShipmentData!B924))),DATE(VALUE(RIGHT(TRIM([1]RawShipmentData!B924),4)),VALUE(MID(TRIM([1]RawShipmentData!B924),FIND("/",TRIM([1]RawShipmentData!B924))+1,2)),VALUE(LEFT(TRIM([1]RawShipmentData!B924),FIND("/",TRIM([1]RawShipmentData!B924))-1))),DATEVALUE(TRIM([1]RawShipmentData!B924)))</f>
        <v>45340</v>
      </c>
      <c r="C916" s="2" t="str">
        <f>PROPER(TRIM([1]RawShipmentData!C924))</f>
        <v>Hyderabad</v>
      </c>
      <c r="D916" s="2" t="str">
        <f>IFERROR(INDEX([1]HubMaster!$B$2:$B$7,MATCH(C916,[1]HubMaster!$A$2:$A$7,0)),"Unknown")</f>
        <v>West</v>
      </c>
      <c r="E916" s="2" t="str">
        <f>PROPER(TRIM(SUBSTITUTE([1]RawShipmentData!D924,"  "," ")))</f>
        <v>Xpressbees</v>
      </c>
      <c r="F916" s="2" t="str">
        <f>PROPER(TRIM([1]RawShipmentData!E924))</f>
        <v>Surface</v>
      </c>
      <c r="G916" s="2" t="str">
        <f>PROPER(TRIM(SUBSTITUTE([1]RawShipmentData!F924,"  "," ")))</f>
        <v>Furniture</v>
      </c>
      <c r="H916" s="2" t="str">
        <f>PROPER(TRIM([1]RawShipmentData!G924))</f>
        <v>North</v>
      </c>
      <c r="I916" s="2" t="str">
        <f t="shared" si="70"/>
        <v>Yes</v>
      </c>
      <c r="J916" s="2">
        <f>IFERROR(VALUE(TRIM(SUBSTITUTE(UPPER([1]RawShipmentData!I916),"KG",""))),"")</f>
        <v>22.6</v>
      </c>
      <c r="K916" s="2">
        <f>VALUE(SUBSTITUTE(SUBSTITUTE(SUBSTITUTE(TRIM([1]RawShipmentData!J924),"₹",""),"Rs",""),",",""))</f>
        <v>798</v>
      </c>
      <c r="L916" s="2">
        <f>[1]RawShipmentData!K924</f>
        <v>6</v>
      </c>
      <c r="M916" s="3">
        <f>IF(TRIM([1]RawShipmentData!L924)="","",IF(ISNUMBER(SEARCH("/",TRIM([1]RawShipmentData!L924))),DATE(VALUE(RIGHT(TRIM([1]RawShipmentData!L924),4)),VALUE(MID(TRIM([1]RawShipmentData!L924),FIND("/",TRIM([1]RawShipmentData!L924))+1,2)),VALUE(LEFT(TRIM([1]RawShipmentData!L924),FIND("/",TRIM([1]RawShipmentData!L924))-1))),DATEVALUE(TRIM([1]RawShipmentData!L924))))</f>
        <v>45354</v>
      </c>
      <c r="N916" s="2">
        <f t="shared" si="71"/>
        <v>14</v>
      </c>
      <c r="O916" s="2">
        <f t="shared" si="72"/>
        <v>8</v>
      </c>
      <c r="P916" s="2" t="str">
        <f t="shared" si="73"/>
        <v>Late</v>
      </c>
      <c r="Q916" s="2" t="str">
        <f>PROPER(SUBSTITUTE(TRIM([1]RawShipmentData!M924)," ","-"))</f>
        <v>Delayed</v>
      </c>
      <c r="R916" s="4">
        <f t="shared" si="74"/>
        <v>35.309734513274336</v>
      </c>
      <c r="S916" s="2">
        <f>[1]RawShipmentData!N924</f>
        <v>2</v>
      </c>
      <c r="T916" s="2" t="str">
        <f>IF(OR(UPPER(TRIM([1]RawShipmentData!O924))="YES",UPPER(TRIM([1]RawShipmentData!O924))="Y"),"Yes","No")</f>
        <v>No</v>
      </c>
    </row>
    <row r="917" spans="1:20" x14ac:dyDescent="0.25">
      <c r="A917" s="2" t="str">
        <f>[1]RawShipmentData!A925</f>
        <v>SHP-101209</v>
      </c>
      <c r="B917" s="3">
        <f>IF(ISNUMBER(SEARCH("/",TRIM([1]RawShipmentData!B925))),DATE(VALUE(RIGHT(TRIM([1]RawShipmentData!B925),4)),VALUE(MID(TRIM([1]RawShipmentData!B925),FIND("/",TRIM([1]RawShipmentData!B925))+1,2)),VALUE(LEFT(TRIM([1]RawShipmentData!B925),FIND("/",TRIM([1]RawShipmentData!B925))-1))),DATEVALUE(TRIM([1]RawShipmentData!B925)))</f>
        <v>45394</v>
      </c>
      <c r="C917" s="2" t="str">
        <f>PROPER(TRIM([1]RawShipmentData!C925))</f>
        <v>Mumbai</v>
      </c>
      <c r="D917" s="2" t="str">
        <f>IFERROR(INDEX([1]HubMaster!$B$2:$B$7,MATCH(C917,[1]HubMaster!$A$2:$A$7,0)),"Unknown")</f>
        <v>West</v>
      </c>
      <c r="E917" s="2" t="str">
        <f>PROPER(TRIM(SUBSTITUTE([1]RawShipmentData!D925,"  "," ")))</f>
        <v>Blue Dart</v>
      </c>
      <c r="F917" s="2" t="str">
        <f>PROPER(TRIM([1]RawShipmentData!E925))</f>
        <v>Air</v>
      </c>
      <c r="G917" s="2" t="str">
        <f>PROPER(TRIM(SUBSTITUTE([1]RawShipmentData!F925,"  "," ")))</f>
        <v>Pharma</v>
      </c>
      <c r="H917" s="2" t="str">
        <f>PROPER(TRIM([1]RawShipmentData!G925))</f>
        <v>East</v>
      </c>
      <c r="I917" s="2" t="str">
        <f t="shared" si="70"/>
        <v>Yes</v>
      </c>
      <c r="J917" s="2">
        <f>IFERROR(VALUE(TRIM(SUBSTITUTE(UPPER([1]RawShipmentData!I917),"KG",""))),"")</f>
        <v>1.4</v>
      </c>
      <c r="K917" s="2">
        <f>VALUE(SUBSTITUTE(SUBSTITUTE(SUBSTITUTE(TRIM([1]RawShipmentData!J925),"₹",""),"Rs",""),",",""))</f>
        <v>292</v>
      </c>
      <c r="L917" s="2">
        <f>[1]RawShipmentData!K925</f>
        <v>4</v>
      </c>
      <c r="M917" s="3">
        <f>IF(TRIM([1]RawShipmentData!L925)="","",IF(ISNUMBER(SEARCH("/",TRIM([1]RawShipmentData!L925))),DATE(VALUE(RIGHT(TRIM([1]RawShipmentData!L925),4)),VALUE(MID(TRIM([1]RawShipmentData!L925),FIND("/",TRIM([1]RawShipmentData!L925))+1,2)),VALUE(LEFT(TRIM([1]RawShipmentData!L925),FIND("/",TRIM([1]RawShipmentData!L925))-1))),DATEVALUE(TRIM([1]RawShipmentData!L925))))</f>
        <v>45397</v>
      </c>
      <c r="N917" s="2">
        <f t="shared" si="71"/>
        <v>3</v>
      </c>
      <c r="O917" s="2">
        <f t="shared" si="72"/>
        <v>-1</v>
      </c>
      <c r="P917" s="2" t="str">
        <f t="shared" si="73"/>
        <v>On Time</v>
      </c>
      <c r="Q917" s="2" t="str">
        <f>PROPER(SUBSTITUTE(TRIM([1]RawShipmentData!M925)," ","-"))</f>
        <v>Delivered</v>
      </c>
      <c r="R917" s="4">
        <f t="shared" si="74"/>
        <v>208.57142857142858</v>
      </c>
      <c r="S917" s="2">
        <f>[1]RawShipmentData!N925</f>
        <v>4</v>
      </c>
      <c r="T917" s="2" t="str">
        <f>IF(OR(UPPER(TRIM([1]RawShipmentData!O925))="YES",UPPER(TRIM([1]RawShipmentData!O925))="Y"),"Yes","No")</f>
        <v>No</v>
      </c>
    </row>
    <row r="918" spans="1:20" x14ac:dyDescent="0.25">
      <c r="A918" s="2" t="str">
        <f>[1]RawShipmentData!A926</f>
        <v>SHP-101033</v>
      </c>
      <c r="B918" s="3">
        <f>IF(ISNUMBER(SEARCH("/",TRIM([1]RawShipmentData!B926))),DATE(VALUE(RIGHT(TRIM([1]RawShipmentData!B926),4)),VALUE(MID(TRIM([1]RawShipmentData!B926),FIND("/",TRIM([1]RawShipmentData!B926))+1,2)),VALUE(LEFT(TRIM([1]RawShipmentData!B926),FIND("/",TRIM([1]RawShipmentData!B926))-1))),DATEVALUE(TRIM([1]RawShipmentData!B926)))</f>
        <v>45385</v>
      </c>
      <c r="C918" s="2" t="str">
        <f>PROPER(TRIM([1]RawShipmentData!C926))</f>
        <v>Bengaluru</v>
      </c>
      <c r="D918" s="2" t="str">
        <f>IFERROR(INDEX([1]HubMaster!$B$2:$B$7,MATCH(C918,[1]HubMaster!$A$2:$A$7,0)),"Unknown")</f>
        <v>South</v>
      </c>
      <c r="E918" s="2" t="str">
        <f>PROPER(TRIM(SUBSTITUTE([1]RawShipmentData!D926,"  "," ")))</f>
        <v>Ecom Express</v>
      </c>
      <c r="F918" s="2" t="str">
        <f>PROPER(TRIM([1]RawShipmentData!E926))</f>
        <v>Surface</v>
      </c>
      <c r="G918" s="2" t="str">
        <f>PROPER(TRIM(SUBSTITUTE([1]RawShipmentData!F926,"  "," ")))</f>
        <v>Automotive Parts</v>
      </c>
      <c r="H918" s="2" t="str">
        <f>PROPER(TRIM([1]RawShipmentData!G926))</f>
        <v>North</v>
      </c>
      <c r="I918" s="2" t="str">
        <f t="shared" si="70"/>
        <v>Yes</v>
      </c>
      <c r="J918" s="2">
        <f>IFERROR(VALUE(TRIM(SUBSTITUTE(UPPER([1]RawShipmentData!I918),"KG",""))),"")</f>
        <v>7.1</v>
      </c>
      <c r="K918" s="2">
        <f>VALUE(SUBSTITUTE(SUBSTITUTE(SUBSTITUTE(TRIM([1]RawShipmentData!J926),"₹",""),"Rs",""),",",""))</f>
        <v>513</v>
      </c>
      <c r="L918" s="2">
        <f>[1]RawShipmentData!K926</f>
        <v>6</v>
      </c>
      <c r="M918" s="3">
        <f>IF(TRIM([1]RawShipmentData!L926)="","",IF(ISNUMBER(SEARCH("/",TRIM([1]RawShipmentData!L926))),DATE(VALUE(RIGHT(TRIM([1]RawShipmentData!L926),4)),VALUE(MID(TRIM([1]RawShipmentData!L926),FIND("/",TRIM([1]RawShipmentData!L926))+1,2)),VALUE(LEFT(TRIM([1]RawShipmentData!L926),FIND("/",TRIM([1]RawShipmentData!L926))-1))),DATEVALUE(TRIM([1]RawShipmentData!L926))))</f>
        <v>45392</v>
      </c>
      <c r="N918" s="2">
        <f t="shared" si="71"/>
        <v>7</v>
      </c>
      <c r="O918" s="2">
        <f t="shared" si="72"/>
        <v>1</v>
      </c>
      <c r="P918" s="2" t="str">
        <f t="shared" si="73"/>
        <v>Late</v>
      </c>
      <c r="Q918" s="2" t="str">
        <f>PROPER(SUBSTITUTE(TRIM([1]RawShipmentData!M926)," ","-"))</f>
        <v>Delayed</v>
      </c>
      <c r="R918" s="4">
        <f t="shared" si="74"/>
        <v>72.25352112676056</v>
      </c>
      <c r="S918" s="2">
        <f>[1]RawShipmentData!N926</f>
        <v>4</v>
      </c>
      <c r="T918" s="2" t="str">
        <f>IF(OR(UPPER(TRIM([1]RawShipmentData!O926))="YES",UPPER(TRIM([1]RawShipmentData!O926))="Y"),"Yes","No")</f>
        <v>No</v>
      </c>
    </row>
    <row r="919" spans="1:20" x14ac:dyDescent="0.25">
      <c r="A919" s="2" t="str">
        <f>[1]RawShipmentData!A927</f>
        <v>SHP-100384</v>
      </c>
      <c r="B919" s="3">
        <f>IF(ISNUMBER(SEARCH("/",TRIM([1]RawShipmentData!B927))),DATE(VALUE(RIGHT(TRIM([1]RawShipmentData!B927),4)),VALUE(MID(TRIM([1]RawShipmentData!B927),FIND("/",TRIM([1]RawShipmentData!B927))+1,2)),VALUE(LEFT(TRIM([1]RawShipmentData!B927),FIND("/",TRIM([1]RawShipmentData!B927))-1))),DATEVALUE(TRIM([1]RawShipmentData!B927)))</f>
        <v>45423</v>
      </c>
      <c r="C919" s="2" t="str">
        <f>PROPER(TRIM([1]RawShipmentData!C927))</f>
        <v>Delhi</v>
      </c>
      <c r="D919" s="2" t="str">
        <f>IFERROR(INDEX([1]HubMaster!$B$2:$B$7,MATCH(C919,[1]HubMaster!$A$2:$A$7,0)),"Unknown")</f>
        <v>North</v>
      </c>
      <c r="E919" s="2" t="str">
        <f>PROPER(TRIM(SUBSTITUTE([1]RawShipmentData!D927,"  "," ")))</f>
        <v>Ecom Express</v>
      </c>
      <c r="F919" s="2" t="str">
        <f>PROPER(TRIM([1]RawShipmentData!E927))</f>
        <v>Surface</v>
      </c>
      <c r="G919" s="2" t="str">
        <f>PROPER(TRIM(SUBSTITUTE([1]RawShipmentData!F927,"  "," ")))</f>
        <v>Apparel</v>
      </c>
      <c r="H919" s="2" t="str">
        <f>PROPER(TRIM([1]RawShipmentData!G927))</f>
        <v>West</v>
      </c>
      <c r="I919" s="2" t="str">
        <f t="shared" si="70"/>
        <v>Yes</v>
      </c>
      <c r="J919" s="2">
        <f>IFERROR(VALUE(TRIM(SUBSTITUTE(UPPER([1]RawShipmentData!I919),"KG",""))),"")</f>
        <v>3.9</v>
      </c>
      <c r="K919" s="2">
        <f>VALUE(SUBSTITUTE(SUBSTITUTE(SUBSTITUTE(TRIM([1]RawShipmentData!J927),"₹",""),"Rs",""),",",""))</f>
        <v>302</v>
      </c>
      <c r="L919" s="2">
        <f>[1]RawShipmentData!K927</f>
        <v>6</v>
      </c>
      <c r="M919" s="3">
        <f>IF(TRIM([1]RawShipmentData!L927)="","",IF(ISNUMBER(SEARCH("/",TRIM([1]RawShipmentData!L927))),DATE(VALUE(RIGHT(TRIM([1]RawShipmentData!L927),4)),VALUE(MID(TRIM([1]RawShipmentData!L927),FIND("/",TRIM([1]RawShipmentData!L927))+1,2)),VALUE(LEFT(TRIM([1]RawShipmentData!L927),FIND("/",TRIM([1]RawShipmentData!L927))-1))),DATEVALUE(TRIM([1]RawShipmentData!L927))))</f>
        <v>45436</v>
      </c>
      <c r="N919" s="2">
        <f t="shared" si="71"/>
        <v>13</v>
      </c>
      <c r="O919" s="2">
        <f t="shared" si="72"/>
        <v>7</v>
      </c>
      <c r="P919" s="2" t="str">
        <f t="shared" si="73"/>
        <v>Late</v>
      </c>
      <c r="Q919" s="2" t="str">
        <f>PROPER(SUBSTITUTE(TRIM([1]RawShipmentData!M927)," ","-"))</f>
        <v>Delayed</v>
      </c>
      <c r="R919" s="4">
        <f t="shared" si="74"/>
        <v>77.435897435897431</v>
      </c>
      <c r="S919" s="2">
        <f>[1]RawShipmentData!N927</f>
        <v>3</v>
      </c>
      <c r="T919" s="2" t="str">
        <f>IF(OR(UPPER(TRIM([1]RawShipmentData!O927))="YES",UPPER(TRIM([1]RawShipmentData!O927))="Y"),"Yes","No")</f>
        <v>No</v>
      </c>
    </row>
    <row r="920" spans="1:20" x14ac:dyDescent="0.25">
      <c r="A920" s="2" t="str">
        <f>[1]RawShipmentData!A928</f>
        <v>SHP-100680</v>
      </c>
      <c r="B920" s="3">
        <f>IF(ISNUMBER(SEARCH("/",TRIM([1]RawShipmentData!B928))),DATE(VALUE(RIGHT(TRIM([1]RawShipmentData!B928),4)),VALUE(MID(TRIM([1]RawShipmentData!B928),FIND("/",TRIM([1]RawShipmentData!B928))+1,2)),VALUE(LEFT(TRIM([1]RawShipmentData!B928),FIND("/",TRIM([1]RawShipmentData!B928))-1))),DATEVALUE(TRIM([1]RawShipmentData!B928)))</f>
        <v>45299</v>
      </c>
      <c r="C920" s="2" t="str">
        <f>PROPER(TRIM([1]RawShipmentData!C928))</f>
        <v>Delhi</v>
      </c>
      <c r="D920" s="2" t="str">
        <f>IFERROR(INDEX([1]HubMaster!$B$2:$B$7,MATCH(C920,[1]HubMaster!$A$2:$A$7,0)),"Unknown")</f>
        <v>North</v>
      </c>
      <c r="E920" s="2" t="str">
        <f>PROPER(TRIM(SUBSTITUTE([1]RawShipmentData!D928,"  "," ")))</f>
        <v>Xpressbees</v>
      </c>
      <c r="F920" s="2" t="str">
        <f>PROPER(TRIM([1]RawShipmentData!E928))</f>
        <v>Surface</v>
      </c>
      <c r="G920" s="2" t="str">
        <f>PROPER(TRIM(SUBSTITUTE([1]RawShipmentData!F928,"  "," ")))</f>
        <v>Electronics</v>
      </c>
      <c r="H920" s="2" t="str">
        <f>PROPER(TRIM([1]RawShipmentData!G928))</f>
        <v>East</v>
      </c>
      <c r="I920" s="2" t="str">
        <f t="shared" si="70"/>
        <v>Yes</v>
      </c>
      <c r="J920" s="2">
        <f>IFERROR(VALUE(TRIM(SUBSTITUTE(UPPER([1]RawShipmentData!I920),"KG",""))),"")</f>
        <v>39.9</v>
      </c>
      <c r="K920" s="2">
        <f>VALUE(SUBSTITUTE(SUBSTITUTE(SUBSTITUTE(TRIM([1]RawShipmentData!J928),"₹",""),"Rs",""),",",""))</f>
        <v>365</v>
      </c>
      <c r="L920" s="2">
        <f>[1]RawShipmentData!K928</f>
        <v>6</v>
      </c>
      <c r="M920" s="3">
        <f>IF(TRIM([1]RawShipmentData!L928)="","",IF(ISNUMBER(SEARCH("/",TRIM([1]RawShipmentData!L928))),DATE(VALUE(RIGHT(TRIM([1]RawShipmentData!L928),4)),VALUE(MID(TRIM([1]RawShipmentData!L928),FIND("/",TRIM([1]RawShipmentData!L928))+1,2)),VALUE(LEFT(TRIM([1]RawShipmentData!L928),FIND("/",TRIM([1]RawShipmentData!L928))-1))),DATEVALUE(TRIM([1]RawShipmentData!L928))))</f>
        <v>45304</v>
      </c>
      <c r="N920" s="2">
        <f t="shared" si="71"/>
        <v>5</v>
      </c>
      <c r="O920" s="2">
        <f t="shared" si="72"/>
        <v>-1</v>
      </c>
      <c r="P920" s="2" t="str">
        <f t="shared" si="73"/>
        <v>On Time</v>
      </c>
      <c r="Q920" s="2" t="str">
        <f>PROPER(SUBSTITUTE(TRIM([1]RawShipmentData!M928)," ","-"))</f>
        <v>Delivered</v>
      </c>
      <c r="R920" s="4">
        <f t="shared" si="74"/>
        <v>9.1478696741854648</v>
      </c>
      <c r="S920" s="2">
        <f>[1]RawShipmentData!N928</f>
        <v>5</v>
      </c>
      <c r="T920" s="2" t="str">
        <f>IF(OR(UPPER(TRIM([1]RawShipmentData!O928))="YES",UPPER(TRIM([1]RawShipmentData!O928))="Y"),"Yes","No")</f>
        <v>Yes</v>
      </c>
    </row>
    <row r="921" spans="1:20" x14ac:dyDescent="0.25">
      <c r="A921" s="2" t="str">
        <f>[1]RawShipmentData!A929</f>
        <v>SHP-101194</v>
      </c>
      <c r="B921" s="3">
        <f>IF(ISNUMBER(SEARCH("/",TRIM([1]RawShipmentData!B929))),DATE(VALUE(RIGHT(TRIM([1]RawShipmentData!B929),4)),VALUE(MID(TRIM([1]RawShipmentData!B929),FIND("/",TRIM([1]RawShipmentData!B929))+1,2)),VALUE(LEFT(TRIM([1]RawShipmentData!B929),FIND("/",TRIM([1]RawShipmentData!B929))-1))),DATEVALUE(TRIM([1]RawShipmentData!B929)))</f>
        <v>45295</v>
      </c>
      <c r="C921" s="2" t="str">
        <f>PROPER(TRIM([1]RawShipmentData!C929))</f>
        <v>Chennai</v>
      </c>
      <c r="D921" s="2" t="str">
        <f>IFERROR(INDEX([1]HubMaster!$B$2:$B$7,MATCH(C921,[1]HubMaster!$A$2:$A$7,0)),"Unknown")</f>
        <v>South</v>
      </c>
      <c r="E921" s="2" t="str">
        <f>PROPER(TRIM(SUBSTITUTE([1]RawShipmentData!D929,"  "," ")))</f>
        <v>Bluedart</v>
      </c>
      <c r="F921" s="2" t="str">
        <f>PROPER(TRIM([1]RawShipmentData!E929))</f>
        <v>Air</v>
      </c>
      <c r="G921" s="2" t="str">
        <f>PROPER(TRIM(SUBSTITUTE([1]RawShipmentData!F929,"  "," ")))</f>
        <v>Furniture</v>
      </c>
      <c r="H921" s="2" t="str">
        <f>PROPER(TRIM([1]RawShipmentData!G929))</f>
        <v>West</v>
      </c>
      <c r="I921" s="2" t="str">
        <f t="shared" si="70"/>
        <v>Yes</v>
      </c>
      <c r="J921" s="2">
        <f>IFERROR(VALUE(TRIM(SUBSTITUTE(UPPER([1]RawShipmentData!I921),"KG",""))),"")</f>
        <v>12.1</v>
      </c>
      <c r="K921" s="2">
        <f>VALUE(SUBSTITUTE(SUBSTITUTE(SUBSTITUTE(TRIM([1]RawShipmentData!J929),"₹",""),"Rs",""),",",""))</f>
        <v>3633</v>
      </c>
      <c r="L921" s="2">
        <f>[1]RawShipmentData!K929</f>
        <v>4</v>
      </c>
      <c r="M921" s="3">
        <f>IF(TRIM([1]RawShipmentData!L929)="","",IF(ISNUMBER(SEARCH("/",TRIM([1]RawShipmentData!L929))),DATE(VALUE(RIGHT(TRIM([1]RawShipmentData!L929),4)),VALUE(MID(TRIM([1]RawShipmentData!L929),FIND("/",TRIM([1]RawShipmentData!L929))+1,2)),VALUE(LEFT(TRIM([1]RawShipmentData!L929),FIND("/",TRIM([1]RawShipmentData!L929))-1))),DATEVALUE(TRIM([1]RawShipmentData!L929))))</f>
        <v>45300</v>
      </c>
      <c r="N921" s="2">
        <f t="shared" si="71"/>
        <v>5</v>
      </c>
      <c r="O921" s="2">
        <f t="shared" si="72"/>
        <v>1</v>
      </c>
      <c r="P921" s="2" t="str">
        <f t="shared" si="73"/>
        <v>Late</v>
      </c>
      <c r="Q921" s="2" t="str">
        <f>PROPER(SUBSTITUTE(TRIM([1]RawShipmentData!M929)," ","-"))</f>
        <v>Delayed</v>
      </c>
      <c r="R921" s="4">
        <f t="shared" si="74"/>
        <v>300.24793388429754</v>
      </c>
      <c r="S921" s="2">
        <f>[1]RawShipmentData!N929</f>
        <v>3</v>
      </c>
      <c r="T921" s="2" t="str">
        <f>IF(OR(UPPER(TRIM([1]RawShipmentData!O929))="YES",UPPER(TRIM([1]RawShipmentData!O929))="Y"),"Yes","No")</f>
        <v>Yes</v>
      </c>
    </row>
    <row r="922" spans="1:20" x14ac:dyDescent="0.25">
      <c r="A922" s="2" t="str">
        <f>[1]RawShipmentData!A930</f>
        <v>SHP-100498</v>
      </c>
      <c r="B922" s="3">
        <f>IF(ISNUMBER(SEARCH("/",TRIM([1]RawShipmentData!B930))),DATE(VALUE(RIGHT(TRIM([1]RawShipmentData!B930),4)),VALUE(MID(TRIM([1]RawShipmentData!B930),FIND("/",TRIM([1]RawShipmentData!B930))+1,2)),VALUE(LEFT(TRIM([1]RawShipmentData!B930),FIND("/",TRIM([1]RawShipmentData!B930))-1))),DATEVALUE(TRIM([1]RawShipmentData!B930)))</f>
        <v>45327</v>
      </c>
      <c r="C922" s="2" t="str">
        <f>PROPER(TRIM([1]RawShipmentData!C930))</f>
        <v>Kolkata</v>
      </c>
      <c r="D922" s="2" t="str">
        <f>IFERROR(INDEX([1]HubMaster!$B$2:$B$7,MATCH(C922,[1]HubMaster!$A$2:$A$7,0)),"Unknown")</f>
        <v>East</v>
      </c>
      <c r="E922" s="2" t="str">
        <f>PROPER(TRIM(SUBSTITUTE([1]RawShipmentData!D930,"  "," ")))</f>
        <v>Blue Dart</v>
      </c>
      <c r="F922" s="2" t="str">
        <f>PROPER(TRIM([1]RawShipmentData!E930))</f>
        <v>Air</v>
      </c>
      <c r="G922" s="2" t="str">
        <f>PROPER(TRIM(SUBSTITUTE([1]RawShipmentData!F930,"  "," ")))</f>
        <v>Automotive Parts</v>
      </c>
      <c r="H922" s="2" t="str">
        <f>PROPER(TRIM([1]RawShipmentData!G930))</f>
        <v>West</v>
      </c>
      <c r="I922" s="2" t="str">
        <f t="shared" si="70"/>
        <v>Yes</v>
      </c>
      <c r="J922" s="2">
        <f>IFERROR(VALUE(TRIM(SUBSTITUTE(UPPER([1]RawShipmentData!I922),"KG",""))),"")</f>
        <v>14.6</v>
      </c>
      <c r="K922" s="2">
        <f>VALUE(SUBSTITUTE(SUBSTITUTE(SUBSTITUTE(TRIM([1]RawShipmentData!J930),"₹",""),"Rs",""),",",""))</f>
        <v>1521</v>
      </c>
      <c r="L922" s="2">
        <f>[1]RawShipmentData!K930</f>
        <v>4</v>
      </c>
      <c r="M922" s="3">
        <f>IF(TRIM([1]RawShipmentData!L930)="","",IF(ISNUMBER(SEARCH("/",TRIM([1]RawShipmentData!L930))),DATE(VALUE(RIGHT(TRIM([1]RawShipmentData!L930),4)),VALUE(MID(TRIM([1]RawShipmentData!L930),FIND("/",TRIM([1]RawShipmentData!L930))+1,2)),VALUE(LEFT(TRIM([1]RawShipmentData!L930),FIND("/",TRIM([1]RawShipmentData!L930))-1))),DATEVALUE(TRIM([1]RawShipmentData!L930))))</f>
        <v>45331</v>
      </c>
      <c r="N922" s="2">
        <f t="shared" si="71"/>
        <v>4</v>
      </c>
      <c r="O922" s="2">
        <f t="shared" si="72"/>
        <v>0</v>
      </c>
      <c r="P922" s="2" t="str">
        <f t="shared" si="73"/>
        <v>On Time</v>
      </c>
      <c r="Q922" s="2" t="str">
        <f>PROPER(SUBSTITUTE(TRIM([1]RawShipmentData!M930)," ","-"))</f>
        <v>Delivered</v>
      </c>
      <c r="R922" s="4">
        <f t="shared" si="74"/>
        <v>104.17808219178083</v>
      </c>
      <c r="S922" s="2">
        <f>[1]RawShipmentData!N930</f>
        <v>2</v>
      </c>
      <c r="T922" s="2" t="str">
        <f>IF(OR(UPPER(TRIM([1]RawShipmentData!O930))="YES",UPPER(TRIM([1]RawShipmentData!O930))="Y"),"Yes","No")</f>
        <v>Yes</v>
      </c>
    </row>
    <row r="923" spans="1:20" x14ac:dyDescent="0.25">
      <c r="A923" s="2" t="str">
        <f>[1]RawShipmentData!A931</f>
        <v>SHP-101525</v>
      </c>
      <c r="B923" s="3">
        <f>IF(ISNUMBER(SEARCH("/",TRIM([1]RawShipmentData!B931))),DATE(VALUE(RIGHT(TRIM([1]RawShipmentData!B931),4)),VALUE(MID(TRIM([1]RawShipmentData!B931),FIND("/",TRIM([1]RawShipmentData!B931))+1,2)),VALUE(LEFT(TRIM([1]RawShipmentData!B931),FIND("/",TRIM([1]RawShipmentData!B931))-1))),DATEVALUE(TRIM([1]RawShipmentData!B931)))</f>
        <v>45424</v>
      </c>
      <c r="C923" s="2" t="str">
        <f>PROPER(TRIM([1]RawShipmentData!C931))</f>
        <v>Mumbai</v>
      </c>
      <c r="D923" s="2" t="str">
        <f>IFERROR(INDEX([1]HubMaster!$B$2:$B$7,MATCH(C923,[1]HubMaster!$A$2:$A$7,0)),"Unknown")</f>
        <v>West</v>
      </c>
      <c r="E923" s="2" t="str">
        <f>PROPER(TRIM(SUBSTITUTE([1]RawShipmentData!D931,"  "," ")))</f>
        <v>Delhivery</v>
      </c>
      <c r="F923" s="2" t="str">
        <f>PROPER(TRIM([1]RawShipmentData!E931))</f>
        <v>Road</v>
      </c>
      <c r="G923" s="2" t="str">
        <f>PROPER(TRIM(SUBSTITUTE([1]RawShipmentData!F931,"  "," ")))</f>
        <v>Pharma</v>
      </c>
      <c r="H923" s="2" t="str">
        <f>PROPER(TRIM([1]RawShipmentData!G931))</f>
        <v>West</v>
      </c>
      <c r="I923" s="2" t="str">
        <f t="shared" si="70"/>
        <v>No</v>
      </c>
      <c r="J923" s="2">
        <f>IFERROR(VALUE(TRIM(SUBSTITUTE(UPPER([1]RawShipmentData!I923),"KG",""))),"")</f>
        <v>15.8</v>
      </c>
      <c r="K923" s="2">
        <f>VALUE(SUBSTITUTE(SUBSTITUTE(SUBSTITUTE(TRIM([1]RawShipmentData!J931),"₹",""),"Rs",""),",",""))</f>
        <v>80</v>
      </c>
      <c r="L923" s="2">
        <f>[1]RawShipmentData!K931</f>
        <v>6</v>
      </c>
      <c r="M923" s="3">
        <f>IF(TRIM([1]RawShipmentData!L931)="","",IF(ISNUMBER(SEARCH("/",TRIM([1]RawShipmentData!L931))),DATE(VALUE(RIGHT(TRIM([1]RawShipmentData!L931),4)),VALUE(MID(TRIM([1]RawShipmentData!L931),FIND("/",TRIM([1]RawShipmentData!L931))+1,2)),VALUE(LEFT(TRIM([1]RawShipmentData!L931),FIND("/",TRIM([1]RawShipmentData!L931))-1))),DATEVALUE(TRIM([1]RawShipmentData!L931))))</f>
        <v>45430</v>
      </c>
      <c r="N923" s="2">
        <f t="shared" si="71"/>
        <v>6</v>
      </c>
      <c r="O923" s="2">
        <f t="shared" si="72"/>
        <v>0</v>
      </c>
      <c r="P923" s="2" t="str">
        <f t="shared" si="73"/>
        <v>On Time</v>
      </c>
      <c r="Q923" s="2" t="str">
        <f>PROPER(SUBSTITUTE(TRIM([1]RawShipmentData!M931)," ","-"))</f>
        <v>Delivered</v>
      </c>
      <c r="R923" s="4">
        <f t="shared" si="74"/>
        <v>5.0632911392405058</v>
      </c>
      <c r="S923" s="2">
        <f>[1]RawShipmentData!N931</f>
        <v>5</v>
      </c>
      <c r="T923" s="2" t="str">
        <f>IF(OR(UPPER(TRIM([1]RawShipmentData!O931))="YES",UPPER(TRIM([1]RawShipmentData!O931))="Y"),"Yes","No")</f>
        <v>No</v>
      </c>
    </row>
    <row r="924" spans="1:20" x14ac:dyDescent="0.25">
      <c r="A924" s="2" t="str">
        <f>[1]RawShipmentData!A932</f>
        <v>SHP-100204</v>
      </c>
      <c r="B924" s="3">
        <f>IF(ISNUMBER(SEARCH("/",TRIM([1]RawShipmentData!B932))),DATE(VALUE(RIGHT(TRIM([1]RawShipmentData!B932),4)),VALUE(MID(TRIM([1]RawShipmentData!B932),FIND("/",TRIM([1]RawShipmentData!B932))+1,2)),VALUE(LEFT(TRIM([1]RawShipmentData!B932),FIND("/",TRIM([1]RawShipmentData!B932))-1))),DATEVALUE(TRIM([1]RawShipmentData!B932)))</f>
        <v>45356</v>
      </c>
      <c r="C924" s="2" t="str">
        <f>PROPER(TRIM([1]RawShipmentData!C932))</f>
        <v>Bengaluru</v>
      </c>
      <c r="D924" s="2" t="str">
        <f>IFERROR(INDEX([1]HubMaster!$B$2:$B$7,MATCH(C924,[1]HubMaster!$A$2:$A$7,0)),"Unknown")</f>
        <v>South</v>
      </c>
      <c r="E924" s="2" t="str">
        <f>PROPER(TRIM(SUBSTITUTE([1]RawShipmentData!D932,"  "," ")))</f>
        <v>Delhivery</v>
      </c>
      <c r="F924" s="2" t="str">
        <f>PROPER(TRIM([1]RawShipmentData!E932))</f>
        <v>Surface</v>
      </c>
      <c r="G924" s="2" t="str">
        <f>PROPER(TRIM(SUBSTITUTE([1]RawShipmentData!F932,"  "," ")))</f>
        <v>Furniture</v>
      </c>
      <c r="H924" s="2" t="str">
        <f>PROPER(TRIM([1]RawShipmentData!G932))</f>
        <v>South</v>
      </c>
      <c r="I924" s="2" t="str">
        <f t="shared" si="70"/>
        <v>No</v>
      </c>
      <c r="J924" s="2">
        <f>IFERROR(VALUE(TRIM(SUBSTITUTE(UPPER([1]RawShipmentData!I924),"KG",""))),"")</f>
        <v>27.7</v>
      </c>
      <c r="K924" s="2">
        <f>VALUE(SUBSTITUTE(SUBSTITUTE(SUBSTITUTE(TRIM([1]RawShipmentData!J932),"₹",""),"Rs",""),",",""))</f>
        <v>1705</v>
      </c>
      <c r="L924" s="2">
        <f>[1]RawShipmentData!K932</f>
        <v>4</v>
      </c>
      <c r="M924" s="3">
        <f>IF(TRIM([1]RawShipmentData!L932)="","",IF(ISNUMBER(SEARCH("/",TRIM([1]RawShipmentData!L932))),DATE(VALUE(RIGHT(TRIM([1]RawShipmentData!L932),4)),VALUE(MID(TRIM([1]RawShipmentData!L932),FIND("/",TRIM([1]RawShipmentData!L932))+1,2)),VALUE(LEFT(TRIM([1]RawShipmentData!L932),FIND("/",TRIM([1]RawShipmentData!L932))-1))),DATEVALUE(TRIM([1]RawShipmentData!L932))))</f>
        <v>45360</v>
      </c>
      <c r="N924" s="2">
        <f t="shared" si="71"/>
        <v>4</v>
      </c>
      <c r="O924" s="2">
        <f t="shared" si="72"/>
        <v>0</v>
      </c>
      <c r="P924" s="2" t="str">
        <f t="shared" si="73"/>
        <v>On Time</v>
      </c>
      <c r="Q924" s="2" t="str">
        <f>PROPER(SUBSTITUTE(TRIM([1]RawShipmentData!M932)," ","-"))</f>
        <v>Delivered</v>
      </c>
      <c r="R924" s="4">
        <f t="shared" si="74"/>
        <v>61.552346570397113</v>
      </c>
      <c r="S924" s="2">
        <f>[1]RawShipmentData!N932</f>
        <v>5</v>
      </c>
      <c r="T924" s="2" t="str">
        <f>IF(OR(UPPER(TRIM([1]RawShipmentData!O932))="YES",UPPER(TRIM([1]RawShipmentData!O932))="Y"),"Yes","No")</f>
        <v>Yes</v>
      </c>
    </row>
    <row r="925" spans="1:20" x14ac:dyDescent="0.25">
      <c r="A925" s="2" t="str">
        <f>[1]RawShipmentData!A933</f>
        <v>SHP-101510</v>
      </c>
      <c r="B925" s="3">
        <f>IF(ISNUMBER(SEARCH("/",TRIM([1]RawShipmentData!B933))),DATE(VALUE(RIGHT(TRIM([1]RawShipmentData!B933),4)),VALUE(MID(TRIM([1]RawShipmentData!B933),FIND("/",TRIM([1]RawShipmentData!B933))+1,2)),VALUE(LEFT(TRIM([1]RawShipmentData!B933),FIND("/",TRIM([1]RawShipmentData!B933))-1))),DATEVALUE(TRIM([1]RawShipmentData!B933)))</f>
        <v>45424</v>
      </c>
      <c r="C925" s="2" t="str">
        <f>PROPER(TRIM([1]RawShipmentData!C933))</f>
        <v>Mumbai</v>
      </c>
      <c r="D925" s="2" t="str">
        <f>IFERROR(INDEX([1]HubMaster!$B$2:$B$7,MATCH(C925,[1]HubMaster!$A$2:$A$7,0)),"Unknown")</f>
        <v>West</v>
      </c>
      <c r="E925" s="2" t="str">
        <f>PROPER(TRIM(SUBSTITUTE([1]RawShipmentData!D933,"  "," ")))</f>
        <v>Bluedart</v>
      </c>
      <c r="F925" s="2" t="str">
        <f>PROPER(TRIM([1]RawShipmentData!E933))</f>
        <v>Road</v>
      </c>
      <c r="G925" s="2" t="str">
        <f>PROPER(TRIM(SUBSTITUTE([1]RawShipmentData!F933,"  "," ")))</f>
        <v>Electronics</v>
      </c>
      <c r="H925" s="2" t="str">
        <f>PROPER(TRIM([1]RawShipmentData!G933))</f>
        <v>North</v>
      </c>
      <c r="I925" s="2" t="str">
        <f t="shared" si="70"/>
        <v>Yes</v>
      </c>
      <c r="J925" s="2">
        <f>IFERROR(VALUE(TRIM(SUBSTITUTE(UPPER([1]RawShipmentData!I925),"KG",""))),"")</f>
        <v>2</v>
      </c>
      <c r="K925" s="2">
        <f>VALUE(SUBSTITUTE(SUBSTITUTE(SUBSTITUTE(TRIM([1]RawShipmentData!J933),"₹",""),"Rs",""),",",""))</f>
        <v>172</v>
      </c>
      <c r="L925" s="2">
        <f>[1]RawShipmentData!K933</f>
        <v>8</v>
      </c>
      <c r="M925" s="3">
        <f>IF(TRIM([1]RawShipmentData!L933)="","",IF(ISNUMBER(SEARCH("/",TRIM([1]RawShipmentData!L933))),DATE(VALUE(RIGHT(TRIM([1]RawShipmentData!L933),4)),VALUE(MID(TRIM([1]RawShipmentData!L933),FIND("/",TRIM([1]RawShipmentData!L933))+1,2)),VALUE(LEFT(TRIM([1]RawShipmentData!L933),FIND("/",TRIM([1]RawShipmentData!L933))-1))),DATEVALUE(TRIM([1]RawShipmentData!L933))))</f>
        <v>45433</v>
      </c>
      <c r="N925" s="2">
        <f t="shared" si="71"/>
        <v>9</v>
      </c>
      <c r="O925" s="2">
        <f t="shared" si="72"/>
        <v>1</v>
      </c>
      <c r="P925" s="2" t="str">
        <f t="shared" si="73"/>
        <v>Late</v>
      </c>
      <c r="Q925" s="2" t="str">
        <f>PROPER(SUBSTITUTE(TRIM([1]RawShipmentData!M933)," ","-"))</f>
        <v>Delayed</v>
      </c>
      <c r="R925" s="4">
        <f t="shared" si="74"/>
        <v>86</v>
      </c>
      <c r="S925" s="2">
        <f>[1]RawShipmentData!N933</f>
        <v>4</v>
      </c>
      <c r="T925" s="2" t="str">
        <f>IF(OR(UPPER(TRIM([1]RawShipmentData!O933))="YES",UPPER(TRIM([1]RawShipmentData!O933))="Y"),"Yes","No")</f>
        <v>Yes</v>
      </c>
    </row>
    <row r="926" spans="1:20" x14ac:dyDescent="0.25">
      <c r="A926" s="2" t="str">
        <f>[1]RawShipmentData!A934</f>
        <v>SHP-101161</v>
      </c>
      <c r="B926" s="3">
        <f>IF(ISNUMBER(SEARCH("/",TRIM([1]RawShipmentData!B934))),DATE(VALUE(RIGHT(TRIM([1]RawShipmentData!B934),4)),VALUE(MID(TRIM([1]RawShipmentData!B934),FIND("/",TRIM([1]RawShipmentData!B934))+1,2)),VALUE(LEFT(TRIM([1]RawShipmentData!B934),FIND("/",TRIM([1]RawShipmentData!B934))-1))),DATEVALUE(TRIM([1]RawShipmentData!B934)))</f>
        <v>45314</v>
      </c>
      <c r="C926" s="2" t="str">
        <f>PROPER(TRIM([1]RawShipmentData!C934))</f>
        <v>Mumbai</v>
      </c>
      <c r="D926" s="2" t="str">
        <f>IFERROR(INDEX([1]HubMaster!$B$2:$B$7,MATCH(C926,[1]HubMaster!$A$2:$A$7,0)),"Unknown")</f>
        <v>West</v>
      </c>
      <c r="E926" s="2" t="str">
        <f>PROPER(TRIM(SUBSTITUTE([1]RawShipmentData!D934,"  "," ")))</f>
        <v>Xpress Bees</v>
      </c>
      <c r="F926" s="2" t="str">
        <f>PROPER(TRIM([1]RawShipmentData!E934))</f>
        <v>Air</v>
      </c>
      <c r="G926" s="2" t="str">
        <f>PROPER(TRIM(SUBSTITUTE([1]RawShipmentData!F934,"  "," ")))</f>
        <v>Furniture</v>
      </c>
      <c r="H926" s="2" t="str">
        <f>PROPER(TRIM([1]RawShipmentData!G934))</f>
        <v>East</v>
      </c>
      <c r="I926" s="2" t="str">
        <f t="shared" si="70"/>
        <v>Yes</v>
      </c>
      <c r="J926" s="2">
        <f>IFERROR(VALUE(TRIM(SUBSTITUTE(UPPER([1]RawShipmentData!I926),"KG",""))),"")</f>
        <v>15.3</v>
      </c>
      <c r="K926" s="2">
        <f>VALUE(SUBSTITUTE(SUBSTITUTE(SUBSTITUTE(TRIM([1]RawShipmentData!J934),"₹",""),"Rs",""),",",""))</f>
        <v>1089</v>
      </c>
      <c r="L926" s="2">
        <f>[1]RawShipmentData!K934</f>
        <v>4</v>
      </c>
      <c r="M926" s="3">
        <f>IF(TRIM([1]RawShipmentData!L934)="","",IF(ISNUMBER(SEARCH("/",TRIM([1]RawShipmentData!L934))),DATE(VALUE(RIGHT(TRIM([1]RawShipmentData!L934),4)),VALUE(MID(TRIM([1]RawShipmentData!L934),FIND("/",TRIM([1]RawShipmentData!L934))+1,2)),VALUE(LEFT(TRIM([1]RawShipmentData!L934),FIND("/",TRIM([1]RawShipmentData!L934))-1))),DATEVALUE(TRIM([1]RawShipmentData!L934))))</f>
        <v>45318</v>
      </c>
      <c r="N926" s="2">
        <f t="shared" si="71"/>
        <v>4</v>
      </c>
      <c r="O926" s="2">
        <f t="shared" si="72"/>
        <v>0</v>
      </c>
      <c r="P926" s="2" t="str">
        <f t="shared" si="73"/>
        <v>On Time</v>
      </c>
      <c r="Q926" s="2" t="str">
        <f>PROPER(SUBSTITUTE(TRIM([1]RawShipmentData!M934)," ","-"))</f>
        <v>Delivered</v>
      </c>
      <c r="R926" s="4">
        <f t="shared" si="74"/>
        <v>71.17647058823529</v>
      </c>
      <c r="S926" s="2">
        <f>[1]RawShipmentData!N934</f>
        <v>1</v>
      </c>
      <c r="T926" s="2" t="str">
        <f>IF(OR(UPPER(TRIM([1]RawShipmentData!O934))="YES",UPPER(TRIM([1]RawShipmentData!O934))="Y"),"Yes","No")</f>
        <v>Yes</v>
      </c>
    </row>
    <row r="927" spans="1:20" x14ac:dyDescent="0.25">
      <c r="A927" s="2" t="str">
        <f>[1]RawShipmentData!A935</f>
        <v>SHP-100998</v>
      </c>
      <c r="B927" s="3">
        <f>IF(ISNUMBER(SEARCH("/",TRIM([1]RawShipmentData!B935))),DATE(VALUE(RIGHT(TRIM([1]RawShipmentData!B935),4)),VALUE(MID(TRIM([1]RawShipmentData!B935),FIND("/",TRIM([1]RawShipmentData!B935))+1,2)),VALUE(LEFT(TRIM([1]RawShipmentData!B935),FIND("/",TRIM([1]RawShipmentData!B935))-1))),DATEVALUE(TRIM([1]RawShipmentData!B935)))</f>
        <v>45447</v>
      </c>
      <c r="C927" s="2" t="str">
        <f>PROPER(TRIM([1]RawShipmentData!C935))</f>
        <v>Hyderabad</v>
      </c>
      <c r="D927" s="2" t="str">
        <f>IFERROR(INDEX([1]HubMaster!$B$2:$B$7,MATCH(C927,[1]HubMaster!$A$2:$A$7,0)),"Unknown")</f>
        <v>West</v>
      </c>
      <c r="E927" s="2" t="str">
        <f>PROPER(TRIM(SUBSTITUTE([1]RawShipmentData!D935,"  "," ")))</f>
        <v>Ecom Express</v>
      </c>
      <c r="F927" s="2" t="str">
        <f>PROPER(TRIM([1]RawShipmentData!E935))</f>
        <v>Air</v>
      </c>
      <c r="G927" s="2" t="str">
        <f>PROPER(TRIM(SUBSTITUTE([1]RawShipmentData!F935,"  "," ")))</f>
        <v>Grocery &amp; Fmcg</v>
      </c>
      <c r="H927" s="2" t="str">
        <f>PROPER(TRIM([1]RawShipmentData!G935))</f>
        <v>South</v>
      </c>
      <c r="I927" s="2" t="str">
        <f t="shared" si="70"/>
        <v>Yes</v>
      </c>
      <c r="J927" s="2">
        <f>IFERROR(VALUE(TRIM(SUBSTITUTE(UPPER([1]RawShipmentData!I927),"KG",""))),"")</f>
        <v>5.7</v>
      </c>
      <c r="K927" s="2">
        <f>VALUE(SUBSTITUTE(SUBSTITUTE(SUBSTITUTE(TRIM([1]RawShipmentData!J935),"₹",""),"Rs",""),",",""))</f>
        <v>907</v>
      </c>
      <c r="L927" s="2">
        <f>[1]RawShipmentData!K935</f>
        <v>4</v>
      </c>
      <c r="M927" s="3">
        <f>IF(TRIM([1]RawShipmentData!L935)="","",IF(ISNUMBER(SEARCH("/",TRIM([1]RawShipmentData!L935))),DATE(VALUE(RIGHT(TRIM([1]RawShipmentData!L935),4)),VALUE(MID(TRIM([1]RawShipmentData!L935),FIND("/",TRIM([1]RawShipmentData!L935))+1,2)),VALUE(LEFT(TRIM([1]RawShipmentData!L935),FIND("/",TRIM([1]RawShipmentData!L935))-1))),DATEVALUE(TRIM([1]RawShipmentData!L935))))</f>
        <v>45452</v>
      </c>
      <c r="N927" s="2">
        <f t="shared" si="71"/>
        <v>5</v>
      </c>
      <c r="O927" s="2">
        <f t="shared" si="72"/>
        <v>1</v>
      </c>
      <c r="P927" s="2" t="str">
        <f t="shared" si="73"/>
        <v>Late</v>
      </c>
      <c r="Q927" s="2" t="str">
        <f>PROPER(SUBSTITUTE(TRIM([1]RawShipmentData!M935)," ","-"))</f>
        <v>Delayed</v>
      </c>
      <c r="R927" s="4">
        <f t="shared" si="74"/>
        <v>159.12280701754386</v>
      </c>
      <c r="S927" s="2">
        <f>[1]RawShipmentData!N935</f>
        <v>3</v>
      </c>
      <c r="T927" s="2" t="str">
        <f>IF(OR(UPPER(TRIM([1]RawShipmentData!O935))="YES",UPPER(TRIM([1]RawShipmentData!O935))="Y"),"Yes","No")</f>
        <v>No</v>
      </c>
    </row>
    <row r="928" spans="1:20" x14ac:dyDescent="0.25">
      <c r="A928" s="2" t="str">
        <f>[1]RawShipmentData!A936</f>
        <v>SHP-100954</v>
      </c>
      <c r="B928" s="3">
        <f>IF(ISNUMBER(SEARCH("/",TRIM([1]RawShipmentData!B936))),DATE(VALUE(RIGHT(TRIM([1]RawShipmentData!B936),4)),VALUE(MID(TRIM([1]RawShipmentData!B936),FIND("/",TRIM([1]RawShipmentData!B936))+1,2)),VALUE(LEFT(TRIM([1]RawShipmentData!B936),FIND("/",TRIM([1]RawShipmentData!B936))-1))),DATEVALUE(TRIM([1]RawShipmentData!B936)))</f>
        <v>45343</v>
      </c>
      <c r="C928" s="2" t="str">
        <f>PROPER(TRIM([1]RawShipmentData!C936))</f>
        <v>Kolkata</v>
      </c>
      <c r="D928" s="2" t="str">
        <f>IFERROR(INDEX([1]HubMaster!$B$2:$B$7,MATCH(C928,[1]HubMaster!$A$2:$A$7,0)),"Unknown")</f>
        <v>East</v>
      </c>
      <c r="E928" s="2" t="str">
        <f>PROPER(TRIM(SUBSTITUTE([1]RawShipmentData!D936,"  "," ")))</f>
        <v>Bluedart</v>
      </c>
      <c r="F928" s="2" t="str">
        <f>PROPER(TRIM([1]RawShipmentData!E936))</f>
        <v>Road</v>
      </c>
      <c r="G928" s="2" t="str">
        <f>PROPER(TRIM(SUBSTITUTE([1]RawShipmentData!F936,"  "," ")))</f>
        <v>Electronics</v>
      </c>
      <c r="H928" s="2" t="str">
        <f>PROPER(TRIM([1]RawShipmentData!G936))</f>
        <v>North</v>
      </c>
      <c r="I928" s="2" t="str">
        <f t="shared" si="70"/>
        <v>Yes</v>
      </c>
      <c r="J928" s="2">
        <f>IFERROR(VALUE(TRIM(SUBSTITUTE(UPPER([1]RawShipmentData!I928),"KG",""))),"")</f>
        <v>9.6</v>
      </c>
      <c r="K928" s="2">
        <f>VALUE(SUBSTITUTE(SUBSTITUTE(SUBSTITUTE(TRIM([1]RawShipmentData!J936),"₹",""),"Rs",""),",",""))</f>
        <v>315</v>
      </c>
      <c r="L928" s="2">
        <f>[1]RawShipmentData!K936</f>
        <v>8</v>
      </c>
      <c r="M928" s="3">
        <f>IF(TRIM([1]RawShipmentData!L936)="","",IF(ISNUMBER(SEARCH("/",TRIM([1]RawShipmentData!L936))),DATE(VALUE(RIGHT(TRIM([1]RawShipmentData!L936),4)),VALUE(MID(TRIM([1]RawShipmentData!L936),FIND("/",TRIM([1]RawShipmentData!L936))+1,2)),VALUE(LEFT(TRIM([1]RawShipmentData!L936),FIND("/",TRIM([1]RawShipmentData!L936))-1))),DATEVALUE(TRIM([1]RawShipmentData!L936))))</f>
        <v>45350</v>
      </c>
      <c r="N928" s="2">
        <f t="shared" si="71"/>
        <v>7</v>
      </c>
      <c r="O928" s="2">
        <f t="shared" si="72"/>
        <v>-1</v>
      </c>
      <c r="P928" s="2" t="str">
        <f t="shared" si="73"/>
        <v>On Time</v>
      </c>
      <c r="Q928" s="2" t="str">
        <f>PROPER(SUBSTITUTE(TRIM([1]RawShipmentData!M936)," ","-"))</f>
        <v>Delivered</v>
      </c>
      <c r="R928" s="4">
        <f t="shared" si="74"/>
        <v>32.8125</v>
      </c>
      <c r="S928" s="2">
        <f>[1]RawShipmentData!N936</f>
        <v>5</v>
      </c>
      <c r="T928" s="2" t="str">
        <f>IF(OR(UPPER(TRIM([1]RawShipmentData!O936))="YES",UPPER(TRIM([1]RawShipmentData!O936))="Y"),"Yes","No")</f>
        <v>No</v>
      </c>
    </row>
    <row r="929" spans="1:20" x14ac:dyDescent="0.25">
      <c r="A929" s="2" t="str">
        <f>[1]RawShipmentData!A937</f>
        <v>SHP-101284</v>
      </c>
      <c r="B929" s="3">
        <f>IF(ISNUMBER(SEARCH("/",TRIM([1]RawShipmentData!B937))),DATE(VALUE(RIGHT(TRIM([1]RawShipmentData!B937),4)),VALUE(MID(TRIM([1]RawShipmentData!B937),FIND("/",TRIM([1]RawShipmentData!B937))+1,2)),VALUE(LEFT(TRIM([1]RawShipmentData!B937),FIND("/",TRIM([1]RawShipmentData!B937))-1))),DATEVALUE(TRIM([1]RawShipmentData!B937)))</f>
        <v>45315</v>
      </c>
      <c r="C929" s="2" t="str">
        <f>PROPER(TRIM([1]RawShipmentData!C937))</f>
        <v>Mumbai</v>
      </c>
      <c r="D929" s="2" t="str">
        <f>IFERROR(INDEX([1]HubMaster!$B$2:$B$7,MATCH(C929,[1]HubMaster!$A$2:$A$7,0)),"Unknown")</f>
        <v>West</v>
      </c>
      <c r="E929" s="2" t="str">
        <f>PROPER(TRIM(SUBSTITUTE([1]RawShipmentData!D937,"  "," ")))</f>
        <v>Xpressbees</v>
      </c>
      <c r="F929" s="2" t="str">
        <f>PROPER(TRIM([1]RawShipmentData!E937))</f>
        <v>Air</v>
      </c>
      <c r="G929" s="2" t="str">
        <f>PROPER(TRIM(SUBSTITUTE([1]RawShipmentData!F937,"  "," ")))</f>
        <v>Electronics</v>
      </c>
      <c r="H929" s="2" t="str">
        <f>PROPER(TRIM([1]RawShipmentData!G937))</f>
        <v>North</v>
      </c>
      <c r="I929" s="2" t="str">
        <f t="shared" si="70"/>
        <v>Yes</v>
      </c>
      <c r="J929" s="2">
        <f>IFERROR(VALUE(TRIM(SUBSTITUTE(UPPER([1]RawShipmentData!I929),"KG",""))),"")</f>
        <v>77.3</v>
      </c>
      <c r="K929" s="2">
        <f>VALUE(SUBSTITUTE(SUBSTITUTE(SUBSTITUTE(TRIM([1]RawShipmentData!J937),"₹",""),"Rs",""),",",""))</f>
        <v>860</v>
      </c>
      <c r="L929" s="2">
        <f>[1]RawShipmentData!K937</f>
        <v>4</v>
      </c>
      <c r="M929" s="3">
        <f>IF(TRIM([1]RawShipmentData!L937)="","",IF(ISNUMBER(SEARCH("/",TRIM([1]RawShipmentData!L937))),DATE(VALUE(RIGHT(TRIM([1]RawShipmentData!L937),4)),VALUE(MID(TRIM([1]RawShipmentData!L937),FIND("/",TRIM([1]RawShipmentData!L937))+1,2)),VALUE(LEFT(TRIM([1]RawShipmentData!L937),FIND("/",TRIM([1]RawShipmentData!L937))-1))),DATEVALUE(TRIM([1]RawShipmentData!L937))))</f>
        <v>45318</v>
      </c>
      <c r="N929" s="2">
        <f t="shared" si="71"/>
        <v>3</v>
      </c>
      <c r="O929" s="2">
        <f t="shared" si="72"/>
        <v>-1</v>
      </c>
      <c r="P929" s="2" t="str">
        <f t="shared" si="73"/>
        <v>On Time</v>
      </c>
      <c r="Q929" s="2" t="str">
        <f>PROPER(SUBSTITUTE(TRIM([1]RawShipmentData!M937)," ","-"))</f>
        <v>Delivered</v>
      </c>
      <c r="R929" s="4">
        <f t="shared" si="74"/>
        <v>11.125485122897802</v>
      </c>
      <c r="S929" s="2">
        <f>[1]RawShipmentData!N937</f>
        <v>1</v>
      </c>
      <c r="T929" s="2" t="str">
        <f>IF(OR(UPPER(TRIM([1]RawShipmentData!O937))="YES",UPPER(TRIM([1]RawShipmentData!O937))="Y"),"Yes","No")</f>
        <v>No</v>
      </c>
    </row>
    <row r="930" spans="1:20" x14ac:dyDescent="0.25">
      <c r="A930" s="2" t="str">
        <f>[1]RawShipmentData!A938</f>
        <v>SHP-100389</v>
      </c>
      <c r="B930" s="3">
        <f>IF(ISNUMBER(SEARCH("/",TRIM([1]RawShipmentData!B938))),DATE(VALUE(RIGHT(TRIM([1]RawShipmentData!B938),4)),VALUE(MID(TRIM([1]RawShipmentData!B938),FIND("/",TRIM([1]RawShipmentData!B938))+1,2)),VALUE(LEFT(TRIM([1]RawShipmentData!B938),FIND("/",TRIM([1]RawShipmentData!B938))-1))),DATEVALUE(TRIM([1]RawShipmentData!B938)))</f>
        <v>45391</v>
      </c>
      <c r="C930" s="2" t="str">
        <f>PROPER(TRIM([1]RawShipmentData!C938))</f>
        <v>Kolkata</v>
      </c>
      <c r="D930" s="2" t="str">
        <f>IFERROR(INDEX([1]HubMaster!$B$2:$B$7,MATCH(C930,[1]HubMaster!$A$2:$A$7,0)),"Unknown")</f>
        <v>East</v>
      </c>
      <c r="E930" s="2" t="str">
        <f>PROPER(TRIM(SUBSTITUTE([1]RawShipmentData!D938,"  "," ")))</f>
        <v>Delhivery</v>
      </c>
      <c r="F930" s="2" t="str">
        <f>PROPER(TRIM([1]RawShipmentData!E938))</f>
        <v>Air</v>
      </c>
      <c r="G930" s="2" t="str">
        <f>PROPER(TRIM(SUBSTITUTE([1]RawShipmentData!F938,"  "," ")))</f>
        <v>Electronics</v>
      </c>
      <c r="H930" s="2" t="str">
        <f>PROPER(TRIM([1]RawShipmentData!G938))</f>
        <v>South</v>
      </c>
      <c r="I930" s="2" t="str">
        <f t="shared" si="70"/>
        <v>Yes</v>
      </c>
      <c r="J930" s="2">
        <f>IFERROR(VALUE(TRIM(SUBSTITUTE(UPPER([1]RawShipmentData!I930),"KG",""))),"")</f>
        <v>30.7</v>
      </c>
      <c r="K930" s="2">
        <f>VALUE(SUBSTITUTE(SUBSTITUTE(SUBSTITUTE(TRIM([1]RawShipmentData!J938),"₹",""),"Rs",""),",",""))</f>
        <v>297</v>
      </c>
      <c r="L930" s="2">
        <f>[1]RawShipmentData!K938</f>
        <v>4</v>
      </c>
      <c r="M930" s="3">
        <f>IF(TRIM([1]RawShipmentData!L938)="","",IF(ISNUMBER(SEARCH("/",TRIM([1]RawShipmentData!L938))),DATE(VALUE(RIGHT(TRIM([1]RawShipmentData!L938),4)),VALUE(MID(TRIM([1]RawShipmentData!L938),FIND("/",TRIM([1]RawShipmentData!L938))+1,2)),VALUE(LEFT(TRIM([1]RawShipmentData!L938),FIND("/",TRIM([1]RawShipmentData!L938))-1))),DATEVALUE(TRIM([1]RawShipmentData!L938))))</f>
        <v>45398</v>
      </c>
      <c r="N930" s="2">
        <f t="shared" si="71"/>
        <v>7</v>
      </c>
      <c r="O930" s="2">
        <f t="shared" si="72"/>
        <v>3</v>
      </c>
      <c r="P930" s="2" t="str">
        <f t="shared" si="73"/>
        <v>Late</v>
      </c>
      <c r="Q930" s="2" t="str">
        <f>PROPER(SUBSTITUTE(TRIM([1]RawShipmentData!M938)," ","-"))</f>
        <v>Delayed</v>
      </c>
      <c r="R930" s="4">
        <f t="shared" si="74"/>
        <v>9.6742671009771986</v>
      </c>
      <c r="S930" s="2">
        <f>[1]RawShipmentData!N938</f>
        <v>3</v>
      </c>
      <c r="T930" s="2" t="str">
        <f>IF(OR(UPPER(TRIM([1]RawShipmentData!O938))="YES",UPPER(TRIM([1]RawShipmentData!O938))="Y"),"Yes","No")</f>
        <v>Yes</v>
      </c>
    </row>
    <row r="931" spans="1:20" x14ac:dyDescent="0.25">
      <c r="A931" s="2" t="str">
        <f>[1]RawShipmentData!A939</f>
        <v>SHP-100685</v>
      </c>
      <c r="B931" s="3">
        <f>IF(ISNUMBER(SEARCH("/",TRIM([1]RawShipmentData!B939))),DATE(VALUE(RIGHT(TRIM([1]RawShipmentData!B939),4)),VALUE(MID(TRIM([1]RawShipmentData!B939),FIND("/",TRIM([1]RawShipmentData!B939))+1,2)),VALUE(LEFT(TRIM([1]RawShipmentData!B939),FIND("/",TRIM([1]RawShipmentData!B939))-1))),DATEVALUE(TRIM([1]RawShipmentData!B939)))</f>
        <v>45329</v>
      </c>
      <c r="C931" s="2" t="str">
        <f>PROPER(TRIM([1]RawShipmentData!C939))</f>
        <v>Bengaluru</v>
      </c>
      <c r="D931" s="2" t="str">
        <f>IFERROR(INDEX([1]HubMaster!$B$2:$B$7,MATCH(C931,[1]HubMaster!$A$2:$A$7,0)),"Unknown")</f>
        <v>South</v>
      </c>
      <c r="E931" s="2" t="str">
        <f>PROPER(TRIM(SUBSTITUTE([1]RawShipmentData!D939,"  "," ")))</f>
        <v>Delhivery</v>
      </c>
      <c r="F931" s="2" t="str">
        <f>PROPER(TRIM([1]RawShipmentData!E939))</f>
        <v>Air</v>
      </c>
      <c r="G931" s="2" t="str">
        <f>PROPER(TRIM(SUBSTITUTE([1]RawShipmentData!F939,"  "," ")))</f>
        <v>Electronics</v>
      </c>
      <c r="H931" s="2" t="str">
        <f>PROPER(TRIM([1]RawShipmentData!G939))</f>
        <v>South</v>
      </c>
      <c r="I931" s="2" t="str">
        <f t="shared" si="70"/>
        <v>No</v>
      </c>
      <c r="J931" s="2">
        <f>IFERROR(VALUE(TRIM(SUBSTITUTE(UPPER([1]RawShipmentData!I931),"KG",""))),"")</f>
        <v>0.9</v>
      </c>
      <c r="K931" s="2">
        <f>VALUE(SUBSTITUTE(SUBSTITUTE(SUBSTITUTE(TRIM([1]RawShipmentData!J939),"₹",""),"Rs",""),",",""))</f>
        <v>80</v>
      </c>
      <c r="L931" s="2">
        <f>[1]RawShipmentData!K939</f>
        <v>2</v>
      </c>
      <c r="M931" s="3">
        <f>IF(TRIM([1]RawShipmentData!L939)="","",IF(ISNUMBER(SEARCH("/",TRIM([1]RawShipmentData!L939))),DATE(VALUE(RIGHT(TRIM([1]RawShipmentData!L939),4)),VALUE(MID(TRIM([1]RawShipmentData!L939),FIND("/",TRIM([1]RawShipmentData!L939))+1,2)),VALUE(LEFT(TRIM([1]RawShipmentData!L939),FIND("/",TRIM([1]RawShipmentData!L939))-1))),DATEVALUE(TRIM([1]RawShipmentData!L939))))</f>
        <v>45330</v>
      </c>
      <c r="N931" s="2">
        <f t="shared" si="71"/>
        <v>1</v>
      </c>
      <c r="O931" s="2">
        <f t="shared" si="72"/>
        <v>-1</v>
      </c>
      <c r="P931" s="2" t="str">
        <f t="shared" si="73"/>
        <v>On Time</v>
      </c>
      <c r="Q931" s="2" t="str">
        <f>PROPER(SUBSTITUTE(TRIM([1]RawShipmentData!M939)," ","-"))</f>
        <v>Delivered</v>
      </c>
      <c r="R931" s="4">
        <f t="shared" si="74"/>
        <v>88.888888888888886</v>
      </c>
      <c r="S931" s="2">
        <f>[1]RawShipmentData!N939</f>
        <v>4</v>
      </c>
      <c r="T931" s="2" t="str">
        <f>IF(OR(UPPER(TRIM([1]RawShipmentData!O939))="YES",UPPER(TRIM([1]RawShipmentData!O939))="Y"),"Yes","No")</f>
        <v>No</v>
      </c>
    </row>
    <row r="932" spans="1:20" x14ac:dyDescent="0.25">
      <c r="A932" s="2" t="str">
        <f>[1]RawShipmentData!A940</f>
        <v>SHP-100190</v>
      </c>
      <c r="B932" s="3">
        <f>IF(ISNUMBER(SEARCH("/",TRIM([1]RawShipmentData!B940))),DATE(VALUE(RIGHT(TRIM([1]RawShipmentData!B940),4)),VALUE(MID(TRIM([1]RawShipmentData!B940),FIND("/",TRIM([1]RawShipmentData!B940))+1,2)),VALUE(LEFT(TRIM([1]RawShipmentData!B940),FIND("/",TRIM([1]RawShipmentData!B940))-1))),DATEVALUE(TRIM([1]RawShipmentData!B940)))</f>
        <v>45292</v>
      </c>
      <c r="C932" s="2" t="str">
        <f>PROPER(TRIM([1]RawShipmentData!C940))</f>
        <v>Delhi</v>
      </c>
      <c r="D932" s="2" t="str">
        <f>IFERROR(INDEX([1]HubMaster!$B$2:$B$7,MATCH(C932,[1]HubMaster!$A$2:$A$7,0)),"Unknown")</f>
        <v>North</v>
      </c>
      <c r="E932" s="2" t="str">
        <f>PROPER(TRIM(SUBSTITUTE([1]RawShipmentData!D940,"  "," ")))</f>
        <v>Bluedart</v>
      </c>
      <c r="F932" s="2" t="str">
        <f>PROPER(TRIM([1]RawShipmentData!E940))</f>
        <v>Road</v>
      </c>
      <c r="G932" s="2" t="str">
        <f>PROPER(TRIM(SUBSTITUTE([1]RawShipmentData!F940,"  "," ")))</f>
        <v>Automotive Parts</v>
      </c>
      <c r="H932" s="2" t="str">
        <f>PROPER(TRIM([1]RawShipmentData!G940))</f>
        <v>East</v>
      </c>
      <c r="I932" s="2" t="str">
        <f t="shared" si="70"/>
        <v>Yes</v>
      </c>
      <c r="J932" s="2">
        <f>IFERROR(VALUE(TRIM(SUBSTITUTE(UPPER([1]RawShipmentData!I932),"KG",""))),"")</f>
        <v>78.400000000000006</v>
      </c>
      <c r="K932" s="2">
        <f>VALUE(SUBSTITUTE(SUBSTITUTE(SUBSTITUTE(TRIM([1]RawShipmentData!J940),"₹",""),"Rs",""),",",""))</f>
        <v>432</v>
      </c>
      <c r="L932" s="2">
        <f>[1]RawShipmentData!K940</f>
        <v>8</v>
      </c>
      <c r="M932" s="3">
        <f>IF(TRIM([1]RawShipmentData!L940)="","",IF(ISNUMBER(SEARCH("/",TRIM([1]RawShipmentData!L940))),DATE(VALUE(RIGHT(TRIM([1]RawShipmentData!L940),4)),VALUE(MID(TRIM([1]RawShipmentData!L940),FIND("/",TRIM([1]RawShipmentData!L940))+1,2)),VALUE(LEFT(TRIM([1]RawShipmentData!L940),FIND("/",TRIM([1]RawShipmentData!L940))-1))),DATEVALUE(TRIM([1]RawShipmentData!L940))))</f>
        <v>45299</v>
      </c>
      <c r="N932" s="2">
        <f t="shared" si="71"/>
        <v>7</v>
      </c>
      <c r="O932" s="2">
        <f t="shared" si="72"/>
        <v>-1</v>
      </c>
      <c r="P932" s="2" t="str">
        <f t="shared" si="73"/>
        <v>On Time</v>
      </c>
      <c r="Q932" s="2" t="str">
        <f>PROPER(SUBSTITUTE(TRIM([1]RawShipmentData!M940)," ","-"))</f>
        <v>Returned</v>
      </c>
      <c r="R932" s="4">
        <f t="shared" si="74"/>
        <v>5.5102040816326525</v>
      </c>
      <c r="S932" s="2">
        <f>[1]RawShipmentData!N940</f>
        <v>0</v>
      </c>
      <c r="T932" s="2" t="str">
        <f>IF(OR(UPPER(TRIM([1]RawShipmentData!O940))="YES",UPPER(TRIM([1]RawShipmentData!O940))="Y"),"Yes","No")</f>
        <v>Yes</v>
      </c>
    </row>
    <row r="933" spans="1:20" x14ac:dyDescent="0.25">
      <c r="A933" s="2" t="str">
        <f>[1]RawShipmentData!A941</f>
        <v>SHP-100713</v>
      </c>
      <c r="B933" s="3">
        <f>IF(ISNUMBER(SEARCH("/",TRIM([1]RawShipmentData!B941))),DATE(VALUE(RIGHT(TRIM([1]RawShipmentData!B941),4)),VALUE(MID(TRIM([1]RawShipmentData!B941),FIND("/",TRIM([1]RawShipmentData!B941))+1,2)),VALUE(LEFT(TRIM([1]RawShipmentData!B941),FIND("/",TRIM([1]RawShipmentData!B941))-1))),DATEVALUE(TRIM([1]RawShipmentData!B941)))</f>
        <v>45303</v>
      </c>
      <c r="C933" s="2" t="str">
        <f>PROPER(TRIM([1]RawShipmentData!C941))</f>
        <v>Mumbai</v>
      </c>
      <c r="D933" s="2" t="str">
        <f>IFERROR(INDEX([1]HubMaster!$B$2:$B$7,MATCH(C933,[1]HubMaster!$A$2:$A$7,0)),"Unknown")</f>
        <v>West</v>
      </c>
      <c r="E933" s="2" t="str">
        <f>PROPER(TRIM(SUBSTITUTE([1]RawShipmentData!D941,"  "," ")))</f>
        <v>Dtdc</v>
      </c>
      <c r="F933" s="2" t="str">
        <f>PROPER(TRIM([1]RawShipmentData!E941))</f>
        <v>Road</v>
      </c>
      <c r="G933" s="2" t="str">
        <f>PROPER(TRIM(SUBSTITUTE([1]RawShipmentData!F941,"  "," ")))</f>
        <v>Automotive Parts</v>
      </c>
      <c r="H933" s="2" t="str">
        <f>PROPER(TRIM([1]RawShipmentData!G941))</f>
        <v>West</v>
      </c>
      <c r="I933" s="2" t="str">
        <f t="shared" si="70"/>
        <v>No</v>
      </c>
      <c r="J933" s="2">
        <f>IFERROR(VALUE(TRIM(SUBSTITUTE(UPPER([1]RawShipmentData!I933),"KG",""))),"")</f>
        <v>1.6</v>
      </c>
      <c r="K933" s="2">
        <f>VALUE(SUBSTITUTE(SUBSTITUTE(SUBSTITUTE(TRIM([1]RawShipmentData!J941),"₹",""),"Rs",""),",",""))</f>
        <v>612</v>
      </c>
      <c r="L933" s="2">
        <f>[1]RawShipmentData!K941</f>
        <v>6</v>
      </c>
      <c r="M933" s="3">
        <f>IF(TRIM([1]RawShipmentData!L941)="","",IF(ISNUMBER(SEARCH("/",TRIM([1]RawShipmentData!L941))),DATE(VALUE(RIGHT(TRIM([1]RawShipmentData!L941),4)),VALUE(MID(TRIM([1]RawShipmentData!L941),FIND("/",TRIM([1]RawShipmentData!L941))+1,2)),VALUE(LEFT(TRIM([1]RawShipmentData!L941),FIND("/",TRIM([1]RawShipmentData!L941))-1))),DATEVALUE(TRIM([1]RawShipmentData!L941))))</f>
        <v>45309</v>
      </c>
      <c r="N933" s="2">
        <f t="shared" si="71"/>
        <v>6</v>
      </c>
      <c r="O933" s="2">
        <f t="shared" si="72"/>
        <v>0</v>
      </c>
      <c r="P933" s="2" t="str">
        <f t="shared" si="73"/>
        <v>On Time</v>
      </c>
      <c r="Q933" s="2" t="str">
        <f>PROPER(SUBSTITUTE(TRIM([1]RawShipmentData!M941)," ","-"))</f>
        <v>Delivered</v>
      </c>
      <c r="R933" s="4">
        <f t="shared" si="74"/>
        <v>382.5</v>
      </c>
      <c r="S933" s="2">
        <f>[1]RawShipmentData!N941</f>
        <v>5</v>
      </c>
      <c r="T933" s="2" t="str">
        <f>IF(OR(UPPER(TRIM([1]RawShipmentData!O941))="YES",UPPER(TRIM([1]RawShipmentData!O941))="Y"),"Yes","No")</f>
        <v>No</v>
      </c>
    </row>
    <row r="934" spans="1:20" x14ac:dyDescent="0.25">
      <c r="A934" s="2" t="str">
        <f>[1]RawShipmentData!A942</f>
        <v>SHP-100347</v>
      </c>
      <c r="B934" s="3">
        <f>IF(ISNUMBER(SEARCH("/",TRIM([1]RawShipmentData!B942))),DATE(VALUE(RIGHT(TRIM([1]RawShipmentData!B942),4)),VALUE(MID(TRIM([1]RawShipmentData!B942),FIND("/",TRIM([1]RawShipmentData!B942))+1,2)),VALUE(LEFT(TRIM([1]RawShipmentData!B942),FIND("/",TRIM([1]RawShipmentData!B942))-1))),DATEVALUE(TRIM([1]RawShipmentData!B942)))</f>
        <v>45357</v>
      </c>
      <c r="C934" s="2" t="str">
        <f>PROPER(TRIM([1]RawShipmentData!C942))</f>
        <v>Chennai</v>
      </c>
      <c r="D934" s="2" t="str">
        <f>IFERROR(INDEX([1]HubMaster!$B$2:$B$7,MATCH(C934,[1]HubMaster!$A$2:$A$7,0)),"Unknown")</f>
        <v>South</v>
      </c>
      <c r="E934" s="2" t="str">
        <f>PROPER(TRIM(SUBSTITUTE([1]RawShipmentData!D942,"  "," ")))</f>
        <v>Dtdc</v>
      </c>
      <c r="F934" s="2" t="str">
        <f>PROPER(TRIM([1]RawShipmentData!E942))</f>
        <v>Surface</v>
      </c>
      <c r="G934" s="2" t="str">
        <f>PROPER(TRIM(SUBSTITUTE([1]RawShipmentData!F942,"  "," ")))</f>
        <v>Automotive Parts</v>
      </c>
      <c r="H934" s="2" t="str">
        <f>PROPER(TRIM([1]RawShipmentData!G942))</f>
        <v>North</v>
      </c>
      <c r="I934" s="2" t="str">
        <f t="shared" si="70"/>
        <v>Yes</v>
      </c>
      <c r="J934" s="2">
        <f>IFERROR(VALUE(TRIM(SUBSTITUTE(UPPER([1]RawShipmentData!I934),"KG",""))),"")</f>
        <v>19.7</v>
      </c>
      <c r="K934" s="2">
        <f>VALUE(SUBSTITUTE(SUBSTITUTE(SUBSTITUTE(TRIM([1]RawShipmentData!J942),"₹",""),"Rs",""),",",""))</f>
        <v>242</v>
      </c>
      <c r="L934" s="2">
        <f>[1]RawShipmentData!K942</f>
        <v>6</v>
      </c>
      <c r="M934" s="3">
        <f>IF(TRIM([1]RawShipmentData!L942)="","",IF(ISNUMBER(SEARCH("/",TRIM([1]RawShipmentData!L942))),DATE(VALUE(RIGHT(TRIM([1]RawShipmentData!L942),4)),VALUE(MID(TRIM([1]RawShipmentData!L942),FIND("/",TRIM([1]RawShipmentData!L942))+1,2)),VALUE(LEFT(TRIM([1]RawShipmentData!L942),FIND("/",TRIM([1]RawShipmentData!L942))-1))),DATEVALUE(TRIM([1]RawShipmentData!L942))))</f>
        <v>45363</v>
      </c>
      <c r="N934" s="2">
        <f t="shared" si="71"/>
        <v>6</v>
      </c>
      <c r="O934" s="2">
        <f t="shared" si="72"/>
        <v>0</v>
      </c>
      <c r="P934" s="2" t="str">
        <f t="shared" si="73"/>
        <v>On Time</v>
      </c>
      <c r="Q934" s="2" t="str">
        <f>PROPER(SUBSTITUTE(TRIM([1]RawShipmentData!M942)," ","-"))</f>
        <v>Delivered</v>
      </c>
      <c r="R934" s="4">
        <f t="shared" si="74"/>
        <v>12.284263959390863</v>
      </c>
      <c r="S934" s="2">
        <f>[1]RawShipmentData!N942</f>
        <v>5</v>
      </c>
      <c r="T934" s="2" t="str">
        <f>IF(OR(UPPER(TRIM([1]RawShipmentData!O942))="YES",UPPER(TRIM([1]RawShipmentData!O942))="Y"),"Yes","No")</f>
        <v>No</v>
      </c>
    </row>
    <row r="935" spans="1:20" x14ac:dyDescent="0.25">
      <c r="A935" s="2" t="str">
        <f>[1]RawShipmentData!A943</f>
        <v>SHP-101325</v>
      </c>
      <c r="B935" s="3">
        <f>IF(ISNUMBER(SEARCH("/",TRIM([1]RawShipmentData!B943))),DATE(VALUE(RIGHT(TRIM([1]RawShipmentData!B943),4)),VALUE(MID(TRIM([1]RawShipmentData!B943),FIND("/",TRIM([1]RawShipmentData!B943))+1,2)),VALUE(LEFT(TRIM([1]RawShipmentData!B943),FIND("/",TRIM([1]RawShipmentData!B943))-1))),DATEVALUE(TRIM([1]RawShipmentData!B943)))</f>
        <v>45332</v>
      </c>
      <c r="C935" s="2" t="str">
        <f>PROPER(TRIM([1]RawShipmentData!C943))</f>
        <v>Hyderabad</v>
      </c>
      <c r="D935" s="2" t="str">
        <f>IFERROR(INDEX([1]HubMaster!$B$2:$B$7,MATCH(C935,[1]HubMaster!$A$2:$A$7,0)),"Unknown")</f>
        <v>West</v>
      </c>
      <c r="E935" s="2" t="str">
        <f>PROPER(TRIM(SUBSTITUTE([1]RawShipmentData!D943,"  "," ")))</f>
        <v>Dtdc</v>
      </c>
      <c r="F935" s="2" t="str">
        <f>PROPER(TRIM([1]RawShipmentData!E943))</f>
        <v>Air</v>
      </c>
      <c r="G935" s="2" t="str">
        <f>PROPER(TRIM(SUBSTITUTE([1]RawShipmentData!F943,"  "," ")))</f>
        <v>Furniture</v>
      </c>
      <c r="H935" s="2" t="str">
        <f>PROPER(TRIM([1]RawShipmentData!G943))</f>
        <v>South</v>
      </c>
      <c r="I935" s="2" t="str">
        <f t="shared" si="70"/>
        <v>Yes</v>
      </c>
      <c r="J935" s="2">
        <f>IFERROR(VALUE(TRIM(SUBSTITUTE(UPPER([1]RawShipmentData!I935),"KG",""))),"")</f>
        <v>16.399999999999999</v>
      </c>
      <c r="K935" s="2">
        <f>VALUE(SUBSTITUTE(SUBSTITUTE(SUBSTITUTE(TRIM([1]RawShipmentData!J943),"₹",""),"Rs",""),",",""))</f>
        <v>915</v>
      </c>
      <c r="L935" s="2">
        <f>[1]RawShipmentData!K943</f>
        <v>4</v>
      </c>
      <c r="M935" s="3">
        <f>IF(TRIM([1]RawShipmentData!L943)="","",IF(ISNUMBER(SEARCH("/",TRIM([1]RawShipmentData!L943))),DATE(VALUE(RIGHT(TRIM([1]RawShipmentData!L943),4)),VALUE(MID(TRIM([1]RawShipmentData!L943),FIND("/",TRIM([1]RawShipmentData!L943))+1,2)),VALUE(LEFT(TRIM([1]RawShipmentData!L943),FIND("/",TRIM([1]RawShipmentData!L943))-1))),DATEVALUE(TRIM([1]RawShipmentData!L943))))</f>
        <v>45337</v>
      </c>
      <c r="N935" s="2">
        <f t="shared" si="71"/>
        <v>5</v>
      </c>
      <c r="O935" s="2">
        <f t="shared" si="72"/>
        <v>1</v>
      </c>
      <c r="P935" s="2" t="str">
        <f t="shared" si="73"/>
        <v>Late</v>
      </c>
      <c r="Q935" s="2" t="str">
        <f>PROPER(SUBSTITUTE(TRIM([1]RawShipmentData!M943)," ","-"))</f>
        <v>Delayed</v>
      </c>
      <c r="R935" s="4">
        <f t="shared" si="74"/>
        <v>55.792682926829272</v>
      </c>
      <c r="S935" s="2">
        <f>[1]RawShipmentData!N943</f>
        <v>4</v>
      </c>
      <c r="T935" s="2" t="str">
        <f>IF(OR(UPPER(TRIM([1]RawShipmentData!O943))="YES",UPPER(TRIM([1]RawShipmentData!O943))="Y"),"Yes","No")</f>
        <v>No</v>
      </c>
    </row>
    <row r="936" spans="1:20" x14ac:dyDescent="0.25">
      <c r="A936" s="2" t="str">
        <f>[1]RawShipmentData!A944</f>
        <v>SHP-100086</v>
      </c>
      <c r="B936" s="3">
        <f>IF(ISNUMBER(SEARCH("/",TRIM([1]RawShipmentData!B944))),DATE(VALUE(RIGHT(TRIM([1]RawShipmentData!B944),4)),VALUE(MID(TRIM([1]RawShipmentData!B944),FIND("/",TRIM([1]RawShipmentData!B944))+1,2)),VALUE(LEFT(TRIM([1]RawShipmentData!B944),FIND("/",TRIM([1]RawShipmentData!B944))-1))),DATEVALUE(TRIM([1]RawShipmentData!B944)))</f>
        <v>45373</v>
      </c>
      <c r="C936" s="2" t="str">
        <f>PROPER(TRIM([1]RawShipmentData!C944))</f>
        <v>Mumbai</v>
      </c>
      <c r="D936" s="2" t="str">
        <f>IFERROR(INDEX([1]HubMaster!$B$2:$B$7,MATCH(C936,[1]HubMaster!$A$2:$A$7,0)),"Unknown")</f>
        <v>West</v>
      </c>
      <c r="E936" s="2" t="str">
        <f>PROPER(TRIM(SUBSTITUTE([1]RawShipmentData!D944,"  "," ")))</f>
        <v>Blue Dart</v>
      </c>
      <c r="F936" s="2" t="str">
        <f>PROPER(TRIM([1]RawShipmentData!E944))</f>
        <v>Surface</v>
      </c>
      <c r="G936" s="2" t="str">
        <f>PROPER(TRIM(SUBSTITUTE([1]RawShipmentData!F944,"  "," ")))</f>
        <v>Furniture</v>
      </c>
      <c r="H936" s="2" t="str">
        <f>PROPER(TRIM([1]RawShipmentData!G944))</f>
        <v>North</v>
      </c>
      <c r="I936" s="2" t="str">
        <f t="shared" si="70"/>
        <v>Yes</v>
      </c>
      <c r="J936" s="2">
        <f>IFERROR(VALUE(TRIM(SUBSTITUTE(UPPER([1]RawShipmentData!I936),"KG",""))),"")</f>
        <v>10.5</v>
      </c>
      <c r="K936" s="2">
        <f>VALUE(SUBSTITUTE(SUBSTITUTE(SUBSTITUTE(TRIM([1]RawShipmentData!J944),"₹",""),"Rs",""),",",""))</f>
        <v>1788</v>
      </c>
      <c r="L936" s="2">
        <f>[1]RawShipmentData!K944</f>
        <v>6</v>
      </c>
      <c r="M936" s="3">
        <f>IF(TRIM([1]RawShipmentData!L944)="","",IF(ISNUMBER(SEARCH("/",TRIM([1]RawShipmentData!L944))),DATE(VALUE(RIGHT(TRIM([1]RawShipmentData!L944),4)),VALUE(MID(TRIM([1]RawShipmentData!L944),FIND("/",TRIM([1]RawShipmentData!L944))+1,2)),VALUE(LEFT(TRIM([1]RawShipmentData!L944),FIND("/",TRIM([1]RawShipmentData!L944))-1))),DATEVALUE(TRIM([1]RawShipmentData!L944))))</f>
        <v>45379</v>
      </c>
      <c r="N936" s="2">
        <f t="shared" si="71"/>
        <v>6</v>
      </c>
      <c r="O936" s="2">
        <f t="shared" si="72"/>
        <v>0</v>
      </c>
      <c r="P936" s="2" t="str">
        <f t="shared" si="73"/>
        <v>On Time</v>
      </c>
      <c r="Q936" s="2" t="str">
        <f>PROPER(SUBSTITUTE(TRIM([1]RawShipmentData!M944)," ","-"))</f>
        <v>Damaged</v>
      </c>
      <c r="R936" s="4">
        <f t="shared" si="74"/>
        <v>170.28571428571428</v>
      </c>
      <c r="S936" s="2">
        <f>[1]RawShipmentData!N944</f>
        <v>0</v>
      </c>
      <c r="T936" s="2" t="str">
        <f>IF(OR(UPPER(TRIM([1]RawShipmentData!O944))="YES",UPPER(TRIM([1]RawShipmentData!O944))="Y"),"Yes","No")</f>
        <v>No</v>
      </c>
    </row>
    <row r="937" spans="1:20" x14ac:dyDescent="0.25">
      <c r="A937" s="2" t="str">
        <f>[1]RawShipmentData!A945</f>
        <v>SHP-100124</v>
      </c>
      <c r="B937" s="3">
        <f>IF(ISNUMBER(SEARCH("/",TRIM([1]RawShipmentData!B945))),DATE(VALUE(RIGHT(TRIM([1]RawShipmentData!B945),4)),VALUE(MID(TRIM([1]RawShipmentData!B945),FIND("/",TRIM([1]RawShipmentData!B945))+1,2)),VALUE(LEFT(TRIM([1]RawShipmentData!B945),FIND("/",TRIM([1]RawShipmentData!B945))-1))),DATEVALUE(TRIM([1]RawShipmentData!B945)))</f>
        <v>45454</v>
      </c>
      <c r="C937" s="2" t="str">
        <f>PROPER(TRIM([1]RawShipmentData!C945))</f>
        <v>Chennai</v>
      </c>
      <c r="D937" s="2" t="str">
        <f>IFERROR(INDEX([1]HubMaster!$B$2:$B$7,MATCH(C937,[1]HubMaster!$A$2:$A$7,0)),"Unknown")</f>
        <v>South</v>
      </c>
      <c r="E937" s="2" t="str">
        <f>PROPER(TRIM(SUBSTITUTE([1]RawShipmentData!D945,"  "," ")))</f>
        <v>Dtdc</v>
      </c>
      <c r="F937" s="2" t="str">
        <f>PROPER(TRIM([1]RawShipmentData!E945))</f>
        <v>Road</v>
      </c>
      <c r="G937" s="2" t="str">
        <f>PROPER(TRIM(SUBSTITUTE([1]RawShipmentData!F945,"  "," ")))</f>
        <v>Apparel</v>
      </c>
      <c r="H937" s="2" t="str">
        <f>PROPER(TRIM([1]RawShipmentData!G945))</f>
        <v>North</v>
      </c>
      <c r="I937" s="2" t="str">
        <f t="shared" si="70"/>
        <v>Yes</v>
      </c>
      <c r="J937" s="2">
        <f>IFERROR(VALUE(TRIM(SUBSTITUTE(UPPER([1]RawShipmentData!I937),"KG",""))),"")</f>
        <v>14.5</v>
      </c>
      <c r="K937" s="2">
        <f>VALUE(SUBSTITUTE(SUBSTITUTE(SUBSTITUTE(TRIM([1]RawShipmentData!J945),"₹",""),"Rs",""),",",""))</f>
        <v>300</v>
      </c>
      <c r="L937" s="2">
        <f>[1]RawShipmentData!K945</f>
        <v>8</v>
      </c>
      <c r="M937" s="3">
        <f>IF(TRIM([1]RawShipmentData!L945)="","",IF(ISNUMBER(SEARCH("/",TRIM([1]RawShipmentData!L945))),DATE(VALUE(RIGHT(TRIM([1]RawShipmentData!L945),4)),VALUE(MID(TRIM([1]RawShipmentData!L945),FIND("/",TRIM([1]RawShipmentData!L945))+1,2)),VALUE(LEFT(TRIM([1]RawShipmentData!L945),FIND("/",TRIM([1]RawShipmentData!L945))-1))),DATEVALUE(TRIM([1]RawShipmentData!L945))))</f>
        <v>45461</v>
      </c>
      <c r="N937" s="2">
        <f t="shared" si="71"/>
        <v>7</v>
      </c>
      <c r="O937" s="2">
        <f t="shared" si="72"/>
        <v>-1</v>
      </c>
      <c r="P937" s="2" t="str">
        <f t="shared" si="73"/>
        <v>On Time</v>
      </c>
      <c r="Q937" s="2" t="str">
        <f>PROPER(SUBSTITUTE(TRIM([1]RawShipmentData!M945)," ","-"))</f>
        <v>Returned</v>
      </c>
      <c r="R937" s="4">
        <f t="shared" si="74"/>
        <v>20.689655172413794</v>
      </c>
      <c r="S937" s="2">
        <f>[1]RawShipmentData!N945</f>
        <v>0</v>
      </c>
      <c r="T937" s="2" t="str">
        <f>IF(OR(UPPER(TRIM([1]RawShipmentData!O945))="YES",UPPER(TRIM([1]RawShipmentData!O945))="Y"),"Yes","No")</f>
        <v>Yes</v>
      </c>
    </row>
    <row r="938" spans="1:20" x14ac:dyDescent="0.25">
      <c r="A938" s="2" t="str">
        <f>[1]RawShipmentData!A946</f>
        <v>SHP-100736</v>
      </c>
      <c r="B938" s="3">
        <f>IF(ISNUMBER(SEARCH("/",TRIM([1]RawShipmentData!B946))),DATE(VALUE(RIGHT(TRIM([1]RawShipmentData!B946),4)),VALUE(MID(TRIM([1]RawShipmentData!B946),FIND("/",TRIM([1]RawShipmentData!B946))+1,2)),VALUE(LEFT(TRIM([1]RawShipmentData!B946),FIND("/",TRIM([1]RawShipmentData!B946))-1))),DATEVALUE(TRIM([1]RawShipmentData!B946)))</f>
        <v>45369</v>
      </c>
      <c r="C938" s="2" t="str">
        <f>PROPER(TRIM([1]RawShipmentData!C946))</f>
        <v>Chennai</v>
      </c>
      <c r="D938" s="2" t="str">
        <f>IFERROR(INDEX([1]HubMaster!$B$2:$B$7,MATCH(C938,[1]HubMaster!$A$2:$A$7,0)),"Unknown")</f>
        <v>South</v>
      </c>
      <c r="E938" s="2" t="str">
        <f>PROPER(TRIM(SUBSTITUTE([1]RawShipmentData!D946,"  "," ")))</f>
        <v>Xpressbees</v>
      </c>
      <c r="F938" s="2" t="str">
        <f>PROPER(TRIM([1]RawShipmentData!E946))</f>
        <v>Road</v>
      </c>
      <c r="G938" s="2" t="str">
        <f>PROPER(TRIM(SUBSTITUTE([1]RawShipmentData!F946,"  "," ")))</f>
        <v>Pharma</v>
      </c>
      <c r="H938" s="2" t="str">
        <f>PROPER(TRIM([1]RawShipmentData!G946))</f>
        <v>North</v>
      </c>
      <c r="I938" s="2" t="str">
        <f t="shared" si="70"/>
        <v>Yes</v>
      </c>
      <c r="J938" s="2">
        <f>IFERROR(VALUE(TRIM(SUBSTITUTE(UPPER([1]RawShipmentData!I938),"KG",""))),"")</f>
        <v>2.9</v>
      </c>
      <c r="K938" s="2">
        <f>VALUE(SUBSTITUTE(SUBSTITUTE(SUBSTITUTE(TRIM([1]RawShipmentData!J946),"₹",""),"Rs",""),",",""))</f>
        <v>207</v>
      </c>
      <c r="L938" s="2">
        <f>[1]RawShipmentData!K946</f>
        <v>8</v>
      </c>
      <c r="M938" s="3">
        <f>IF(TRIM([1]RawShipmentData!L946)="","",IF(ISNUMBER(SEARCH("/",TRIM([1]RawShipmentData!L946))),DATE(VALUE(RIGHT(TRIM([1]RawShipmentData!L946),4)),VALUE(MID(TRIM([1]RawShipmentData!L946),FIND("/",TRIM([1]RawShipmentData!L946))+1,2)),VALUE(LEFT(TRIM([1]RawShipmentData!L946),FIND("/",TRIM([1]RawShipmentData!L946))-1))),DATEVALUE(TRIM([1]RawShipmentData!L946))))</f>
        <v>45384</v>
      </c>
      <c r="N938" s="2">
        <f t="shared" si="71"/>
        <v>15</v>
      </c>
      <c r="O938" s="2">
        <f t="shared" si="72"/>
        <v>7</v>
      </c>
      <c r="P938" s="2" t="str">
        <f t="shared" si="73"/>
        <v>Late</v>
      </c>
      <c r="Q938" s="2" t="str">
        <f>PROPER(SUBSTITUTE(TRIM([1]RawShipmentData!M946)," ","-"))</f>
        <v>Delayed</v>
      </c>
      <c r="R938" s="4">
        <f t="shared" si="74"/>
        <v>71.379310344827587</v>
      </c>
      <c r="S938" s="2">
        <f>[1]RawShipmentData!N946</f>
        <v>3</v>
      </c>
      <c r="T938" s="2" t="str">
        <f>IF(OR(UPPER(TRIM([1]RawShipmentData!O946))="YES",UPPER(TRIM([1]RawShipmentData!O946))="Y"),"Yes","No")</f>
        <v>No</v>
      </c>
    </row>
    <row r="939" spans="1:20" x14ac:dyDescent="0.25">
      <c r="A939" s="2" t="str">
        <f>[1]RawShipmentData!A947</f>
        <v>SHP-101234</v>
      </c>
      <c r="B939" s="3">
        <f>IF(ISNUMBER(SEARCH("/",TRIM([1]RawShipmentData!B947))),DATE(VALUE(RIGHT(TRIM([1]RawShipmentData!B947),4)),VALUE(MID(TRIM([1]RawShipmentData!B947),FIND("/",TRIM([1]RawShipmentData!B947))+1,2)),VALUE(LEFT(TRIM([1]RawShipmentData!B947),FIND("/",TRIM([1]RawShipmentData!B947))-1))),DATEVALUE(TRIM([1]RawShipmentData!B947)))</f>
        <v>45366</v>
      </c>
      <c r="C939" s="2" t="str">
        <f>PROPER(TRIM([1]RawShipmentData!C947))</f>
        <v>Kolkata</v>
      </c>
      <c r="D939" s="2" t="str">
        <f>IFERROR(INDEX([1]HubMaster!$B$2:$B$7,MATCH(C939,[1]HubMaster!$A$2:$A$7,0)),"Unknown")</f>
        <v>East</v>
      </c>
      <c r="E939" s="2" t="str">
        <f>PROPER(TRIM(SUBSTITUTE([1]RawShipmentData!D947,"  "," ")))</f>
        <v>Bluedart</v>
      </c>
      <c r="F939" s="2" t="str">
        <f>PROPER(TRIM([1]RawShipmentData!E947))</f>
        <v>Road</v>
      </c>
      <c r="G939" s="2" t="str">
        <f>PROPER(TRIM(SUBSTITUTE([1]RawShipmentData!F947,"  "," ")))</f>
        <v>Electronics</v>
      </c>
      <c r="H939" s="2" t="str">
        <f>PROPER(TRIM([1]RawShipmentData!G947))</f>
        <v>North</v>
      </c>
      <c r="I939" s="2" t="str">
        <f t="shared" si="70"/>
        <v>Yes</v>
      </c>
      <c r="J939" s="2">
        <f>IFERROR(VALUE(TRIM(SUBSTITUTE(UPPER([1]RawShipmentData!I939),"KG",""))),"")</f>
        <v>1.3</v>
      </c>
      <c r="K939" s="2">
        <f>VALUE(SUBSTITUTE(SUBSTITUTE(SUBSTITUTE(TRIM([1]RawShipmentData!J947),"₹",""),"Rs",""),",",""))</f>
        <v>351</v>
      </c>
      <c r="L939" s="2">
        <f>[1]RawShipmentData!K947</f>
        <v>8</v>
      </c>
      <c r="M939" s="3">
        <f>IF(TRIM([1]RawShipmentData!L947)="","",IF(ISNUMBER(SEARCH("/",TRIM([1]RawShipmentData!L947))),DATE(VALUE(RIGHT(TRIM([1]RawShipmentData!L947),4)),VALUE(MID(TRIM([1]RawShipmentData!L947),FIND("/",TRIM([1]RawShipmentData!L947))+1,2)),VALUE(LEFT(TRIM([1]RawShipmentData!L947),FIND("/",TRIM([1]RawShipmentData!L947))-1))),DATEVALUE(TRIM([1]RawShipmentData!L947))))</f>
        <v>45373</v>
      </c>
      <c r="N939" s="2">
        <f t="shared" si="71"/>
        <v>7</v>
      </c>
      <c r="O939" s="2">
        <f t="shared" si="72"/>
        <v>-1</v>
      </c>
      <c r="P939" s="2" t="str">
        <f t="shared" si="73"/>
        <v>On Time</v>
      </c>
      <c r="Q939" s="2" t="str">
        <f>PROPER(SUBSTITUTE(TRIM([1]RawShipmentData!M947)," ","-"))</f>
        <v>Returned</v>
      </c>
      <c r="R939" s="4">
        <f t="shared" si="74"/>
        <v>270</v>
      </c>
      <c r="S939" s="2">
        <f>[1]RawShipmentData!N947</f>
        <v>0</v>
      </c>
      <c r="T939" s="2" t="str">
        <f>IF(OR(UPPER(TRIM([1]RawShipmentData!O947))="YES",UPPER(TRIM([1]RawShipmentData!O947))="Y"),"Yes","No")</f>
        <v>Yes</v>
      </c>
    </row>
    <row r="940" spans="1:20" x14ac:dyDescent="0.25">
      <c r="A940" s="2" t="str">
        <f>[1]RawShipmentData!A948</f>
        <v>SHP-101197</v>
      </c>
      <c r="B940" s="3">
        <f>IF(ISNUMBER(SEARCH("/",TRIM([1]RawShipmentData!B948))),DATE(VALUE(RIGHT(TRIM([1]RawShipmentData!B948),4)),VALUE(MID(TRIM([1]RawShipmentData!B948),FIND("/",TRIM([1]RawShipmentData!B948))+1,2)),VALUE(LEFT(TRIM([1]RawShipmentData!B948),FIND("/",TRIM([1]RawShipmentData!B948))-1))),DATEVALUE(TRIM([1]RawShipmentData!B948)))</f>
        <v>45292</v>
      </c>
      <c r="C940" s="2" t="str">
        <f>PROPER(TRIM([1]RawShipmentData!C948))</f>
        <v>Delhi</v>
      </c>
      <c r="D940" s="2" t="str">
        <f>IFERROR(INDEX([1]HubMaster!$B$2:$B$7,MATCH(C940,[1]HubMaster!$A$2:$A$7,0)),"Unknown")</f>
        <v>North</v>
      </c>
      <c r="E940" s="2" t="str">
        <f>PROPER(TRIM(SUBSTITUTE([1]RawShipmentData!D948,"  "," ")))</f>
        <v>Delhivery</v>
      </c>
      <c r="F940" s="2" t="str">
        <f>PROPER(TRIM([1]RawShipmentData!E948))</f>
        <v>Surface</v>
      </c>
      <c r="G940" s="2" t="str">
        <f>PROPER(TRIM(SUBSTITUTE([1]RawShipmentData!F948,"  "," ")))</f>
        <v>Pharma</v>
      </c>
      <c r="H940" s="2" t="str">
        <f>PROPER(TRIM([1]RawShipmentData!G948))</f>
        <v>North</v>
      </c>
      <c r="I940" s="2" t="str">
        <f t="shared" si="70"/>
        <v>No</v>
      </c>
      <c r="J940" s="2">
        <f>IFERROR(VALUE(TRIM(SUBSTITUTE(UPPER([1]RawShipmentData!I940),"KG",""))),"")</f>
        <v>21.2</v>
      </c>
      <c r="K940" s="2">
        <f>VALUE(SUBSTITUTE(SUBSTITUTE(SUBSTITUTE(TRIM([1]RawShipmentData!J948),"₹",""),"Rs",""),",",""))</f>
        <v>80</v>
      </c>
      <c r="L940" s="2">
        <f>[1]RawShipmentData!K948</f>
        <v>4</v>
      </c>
      <c r="M940" s="3">
        <f>IF(TRIM([1]RawShipmentData!L948)="","",IF(ISNUMBER(SEARCH("/",TRIM([1]RawShipmentData!L948))),DATE(VALUE(RIGHT(TRIM([1]RawShipmentData!L948),4)),VALUE(MID(TRIM([1]RawShipmentData!L948),FIND("/",TRIM([1]RawShipmentData!L948))+1,2)),VALUE(LEFT(TRIM([1]RawShipmentData!L948),FIND("/",TRIM([1]RawShipmentData!L948))-1))),DATEVALUE(TRIM([1]RawShipmentData!L948))))</f>
        <v>45297</v>
      </c>
      <c r="N940" s="2">
        <f t="shared" si="71"/>
        <v>5</v>
      </c>
      <c r="O940" s="2">
        <f t="shared" si="72"/>
        <v>1</v>
      </c>
      <c r="P940" s="2" t="str">
        <f t="shared" si="73"/>
        <v>Late</v>
      </c>
      <c r="Q940" s="2" t="str">
        <f>PROPER(SUBSTITUTE(TRIM([1]RawShipmentData!M948)," ","-"))</f>
        <v>Delayed</v>
      </c>
      <c r="R940" s="4">
        <f t="shared" si="74"/>
        <v>3.7735849056603774</v>
      </c>
      <c r="S940" s="2">
        <f>[1]RawShipmentData!N948</f>
        <v>1</v>
      </c>
      <c r="T940" s="2" t="str">
        <f>IF(OR(UPPER(TRIM([1]RawShipmentData!O948))="YES",UPPER(TRIM([1]RawShipmentData!O948))="Y"),"Yes","No")</f>
        <v>No</v>
      </c>
    </row>
    <row r="941" spans="1:20" x14ac:dyDescent="0.25">
      <c r="A941" s="2" t="str">
        <f>[1]RawShipmentData!A949</f>
        <v>SHP-100440</v>
      </c>
      <c r="B941" s="3">
        <f>IF(ISNUMBER(SEARCH("/",TRIM([1]RawShipmentData!B949))),DATE(VALUE(RIGHT(TRIM([1]RawShipmentData!B949),4)),VALUE(MID(TRIM([1]RawShipmentData!B949),FIND("/",TRIM([1]RawShipmentData!B949))+1,2)),VALUE(LEFT(TRIM([1]RawShipmentData!B949),FIND("/",TRIM([1]RawShipmentData!B949))-1))),DATEVALUE(TRIM([1]RawShipmentData!B949)))</f>
        <v>45345</v>
      </c>
      <c r="C941" s="2" t="str">
        <f>PROPER(TRIM([1]RawShipmentData!C949))</f>
        <v>Kolkata</v>
      </c>
      <c r="D941" s="2" t="str">
        <f>IFERROR(INDEX([1]HubMaster!$B$2:$B$7,MATCH(C941,[1]HubMaster!$A$2:$A$7,0)),"Unknown")</f>
        <v>East</v>
      </c>
      <c r="E941" s="2" t="str">
        <f>PROPER(TRIM(SUBSTITUTE([1]RawShipmentData!D949,"  "," ")))</f>
        <v>Dtdc</v>
      </c>
      <c r="F941" s="2" t="str">
        <f>PROPER(TRIM([1]RawShipmentData!E949))</f>
        <v>Road</v>
      </c>
      <c r="G941" s="2" t="str">
        <f>PROPER(TRIM(SUBSTITUTE([1]RawShipmentData!F949,"  "," ")))</f>
        <v>Furniture</v>
      </c>
      <c r="H941" s="2" t="str">
        <f>PROPER(TRIM([1]RawShipmentData!G949))</f>
        <v>North</v>
      </c>
      <c r="I941" s="2" t="str">
        <f t="shared" si="70"/>
        <v>Yes</v>
      </c>
      <c r="J941" s="2">
        <f>IFERROR(VALUE(TRIM(SUBSTITUTE(UPPER([1]RawShipmentData!I941),"KG",""))),"")</f>
        <v>39.6</v>
      </c>
      <c r="K941" s="2">
        <f>VALUE(SUBSTITUTE(SUBSTITUTE(SUBSTITUTE(TRIM([1]RawShipmentData!J949),"₹",""),"Rs",""),",",""))</f>
        <v>975</v>
      </c>
      <c r="L941" s="2">
        <f>[1]RawShipmentData!K949</f>
        <v>8</v>
      </c>
      <c r="M941" s="3">
        <f>IF(TRIM([1]RawShipmentData!L949)="","",IF(ISNUMBER(SEARCH("/",TRIM([1]RawShipmentData!L949))),DATE(VALUE(RIGHT(TRIM([1]RawShipmentData!L949),4)),VALUE(MID(TRIM([1]RawShipmentData!L949),FIND("/",TRIM([1]RawShipmentData!L949))+1,2)),VALUE(LEFT(TRIM([1]RawShipmentData!L949),FIND("/",TRIM([1]RawShipmentData!L949))-1))),DATEVALUE(TRIM([1]RawShipmentData!L949))))</f>
        <v>45360</v>
      </c>
      <c r="N941" s="2">
        <f t="shared" si="71"/>
        <v>15</v>
      </c>
      <c r="O941" s="2">
        <f t="shared" si="72"/>
        <v>7</v>
      </c>
      <c r="P941" s="2" t="str">
        <f t="shared" si="73"/>
        <v>Late</v>
      </c>
      <c r="Q941" s="2" t="str">
        <f>PROPER(SUBSTITUTE(TRIM([1]RawShipmentData!M949)," ","-"))</f>
        <v>Delayed</v>
      </c>
      <c r="R941" s="4">
        <f t="shared" si="74"/>
        <v>24.621212121212121</v>
      </c>
      <c r="S941" s="2">
        <f>[1]RawShipmentData!N949</f>
        <v>1</v>
      </c>
      <c r="T941" s="2" t="str">
        <f>IF(OR(UPPER(TRIM([1]RawShipmentData!O949))="YES",UPPER(TRIM([1]RawShipmentData!O949))="Y"),"Yes","No")</f>
        <v>No</v>
      </c>
    </row>
    <row r="942" spans="1:20" x14ac:dyDescent="0.25">
      <c r="A942" s="2" t="str">
        <f>[1]RawShipmentData!A950</f>
        <v>SHP-101395</v>
      </c>
      <c r="B942" s="3">
        <f>IF(ISNUMBER(SEARCH("/",TRIM([1]RawShipmentData!B950))),DATE(VALUE(RIGHT(TRIM([1]RawShipmentData!B950),4)),VALUE(MID(TRIM([1]RawShipmentData!B950),FIND("/",TRIM([1]RawShipmentData!B950))+1,2)),VALUE(LEFT(TRIM([1]RawShipmentData!B950),FIND("/",TRIM([1]RawShipmentData!B950))-1))),DATEVALUE(TRIM([1]RawShipmentData!B950)))</f>
        <v>45360</v>
      </c>
      <c r="C942" s="2" t="str">
        <f>PROPER(TRIM([1]RawShipmentData!C950))</f>
        <v>Mumbai</v>
      </c>
      <c r="D942" s="2" t="str">
        <f>IFERROR(INDEX([1]HubMaster!$B$2:$B$7,MATCH(C942,[1]HubMaster!$A$2:$A$7,0)),"Unknown")</f>
        <v>West</v>
      </c>
      <c r="E942" s="2" t="str">
        <f>PROPER(TRIM(SUBSTITUTE([1]RawShipmentData!D950,"  "," ")))</f>
        <v>Dtdc</v>
      </c>
      <c r="F942" s="2" t="str">
        <f>PROPER(TRIM([1]RawShipmentData!E950))</f>
        <v>Road</v>
      </c>
      <c r="G942" s="2" t="str">
        <f>PROPER(TRIM(SUBSTITUTE([1]RawShipmentData!F950,"  "," ")))</f>
        <v>Pharma</v>
      </c>
      <c r="H942" s="2" t="str">
        <f>PROPER(TRIM([1]RawShipmentData!G950))</f>
        <v>West</v>
      </c>
      <c r="I942" s="2" t="str">
        <f t="shared" si="70"/>
        <v>No</v>
      </c>
      <c r="J942" s="2">
        <f>IFERROR(VALUE(TRIM(SUBSTITUTE(UPPER([1]RawShipmentData!I942),"KG",""))),"")</f>
        <v>5</v>
      </c>
      <c r="K942" s="2">
        <f>VALUE(SUBSTITUTE(SUBSTITUTE(SUBSTITUTE(TRIM([1]RawShipmentData!J950),"₹",""),"Rs",""),",",""))</f>
        <v>80</v>
      </c>
      <c r="L942" s="2">
        <f>[1]RawShipmentData!K950</f>
        <v>6</v>
      </c>
      <c r="M942" s="3">
        <f>IF(TRIM([1]RawShipmentData!L950)="","",IF(ISNUMBER(SEARCH("/",TRIM([1]RawShipmentData!L950))),DATE(VALUE(RIGHT(TRIM([1]RawShipmentData!L950),4)),VALUE(MID(TRIM([1]RawShipmentData!L950),FIND("/",TRIM([1]RawShipmentData!L950))+1,2)),VALUE(LEFT(TRIM([1]RawShipmentData!L950),FIND("/",TRIM([1]RawShipmentData!L950))-1))),DATEVALUE(TRIM([1]RawShipmentData!L950))))</f>
        <v>45365</v>
      </c>
      <c r="N942" s="2">
        <f t="shared" si="71"/>
        <v>5</v>
      </c>
      <c r="O942" s="2">
        <f t="shared" si="72"/>
        <v>-1</v>
      </c>
      <c r="P942" s="2" t="str">
        <f t="shared" si="73"/>
        <v>On Time</v>
      </c>
      <c r="Q942" s="2" t="str">
        <f>PROPER(SUBSTITUTE(TRIM([1]RawShipmentData!M950)," ","-"))</f>
        <v>Delivered</v>
      </c>
      <c r="R942" s="4">
        <f t="shared" si="74"/>
        <v>16</v>
      </c>
      <c r="S942" s="2">
        <f>[1]RawShipmentData!N950</f>
        <v>5</v>
      </c>
      <c r="T942" s="2" t="str">
        <f>IF(OR(UPPER(TRIM([1]RawShipmentData!O950))="YES",UPPER(TRIM([1]RawShipmentData!O950))="Y"),"Yes","No")</f>
        <v>Yes</v>
      </c>
    </row>
    <row r="943" spans="1:20" x14ac:dyDescent="0.25">
      <c r="A943" s="2" t="str">
        <f>[1]RawShipmentData!A951</f>
        <v>SHP-101389</v>
      </c>
      <c r="B943" s="3">
        <f>IF(ISNUMBER(SEARCH("/",TRIM([1]RawShipmentData!B951))),DATE(VALUE(RIGHT(TRIM([1]RawShipmentData!B951),4)),VALUE(MID(TRIM([1]RawShipmentData!B951),FIND("/",TRIM([1]RawShipmentData!B951))+1,2)),VALUE(LEFT(TRIM([1]RawShipmentData!B951),FIND("/",TRIM([1]RawShipmentData!B951))-1))),DATEVALUE(TRIM([1]RawShipmentData!B951)))</f>
        <v>45436</v>
      </c>
      <c r="C943" s="2" t="str">
        <f>PROPER(TRIM([1]RawShipmentData!C951))</f>
        <v>Hyderabad</v>
      </c>
      <c r="D943" s="2" t="str">
        <f>IFERROR(INDEX([1]HubMaster!$B$2:$B$7,MATCH(C943,[1]HubMaster!$A$2:$A$7,0)),"Unknown")</f>
        <v>West</v>
      </c>
      <c r="E943" s="2" t="str">
        <f>PROPER(TRIM(SUBSTITUTE([1]RawShipmentData!D951,"  "," ")))</f>
        <v>Xpressbees</v>
      </c>
      <c r="F943" s="2" t="str">
        <f>PROPER(TRIM([1]RawShipmentData!E951))</f>
        <v>Surface</v>
      </c>
      <c r="G943" s="2" t="str">
        <f>PROPER(TRIM(SUBSTITUTE([1]RawShipmentData!F951,"  "," ")))</f>
        <v>Pharma</v>
      </c>
      <c r="H943" s="2" t="str">
        <f>PROPER(TRIM([1]RawShipmentData!G951))</f>
        <v>North</v>
      </c>
      <c r="I943" s="2" t="str">
        <f t="shared" si="70"/>
        <v>Yes</v>
      </c>
      <c r="J943" s="2">
        <f>IFERROR(VALUE(TRIM(SUBSTITUTE(UPPER([1]RawShipmentData!I943),"KG",""))),"")</f>
        <v>15.9</v>
      </c>
      <c r="K943" s="2">
        <f>VALUE(SUBSTITUTE(SUBSTITUTE(SUBSTITUTE(TRIM([1]RawShipmentData!J951),"₹",""),"Rs",""),",",""))</f>
        <v>255</v>
      </c>
      <c r="L943" s="2">
        <f>[1]RawShipmentData!K951</f>
        <v>6</v>
      </c>
      <c r="M943" s="3">
        <f>IF(TRIM([1]RawShipmentData!L951)="","",IF(ISNUMBER(SEARCH("/",TRIM([1]RawShipmentData!L951))),DATE(VALUE(RIGHT(TRIM([1]RawShipmentData!L951),4)),VALUE(MID(TRIM([1]RawShipmentData!L951),FIND("/",TRIM([1]RawShipmentData!L951))+1,2)),VALUE(LEFT(TRIM([1]RawShipmentData!L951),FIND("/",TRIM([1]RawShipmentData!L951))-1))),DATEVALUE(TRIM([1]RawShipmentData!L951))))</f>
        <v>45446</v>
      </c>
      <c r="N943" s="2">
        <f t="shared" si="71"/>
        <v>10</v>
      </c>
      <c r="O943" s="2">
        <f t="shared" si="72"/>
        <v>4</v>
      </c>
      <c r="P943" s="2" t="str">
        <f t="shared" si="73"/>
        <v>Late</v>
      </c>
      <c r="Q943" s="2" t="str">
        <f>PROPER(SUBSTITUTE(TRIM([1]RawShipmentData!M951)," ","-"))</f>
        <v>Delayed</v>
      </c>
      <c r="R943" s="4">
        <f t="shared" si="74"/>
        <v>16.037735849056602</v>
      </c>
      <c r="S943" s="2">
        <f>[1]RawShipmentData!N951</f>
        <v>1</v>
      </c>
      <c r="T943" s="2" t="str">
        <f>IF(OR(UPPER(TRIM([1]RawShipmentData!O951))="YES",UPPER(TRIM([1]RawShipmentData!O951))="Y"),"Yes","No")</f>
        <v>Yes</v>
      </c>
    </row>
    <row r="944" spans="1:20" x14ac:dyDescent="0.25">
      <c r="A944" s="2" t="str">
        <f>[1]RawShipmentData!A952</f>
        <v>SHP-101083</v>
      </c>
      <c r="B944" s="3">
        <f>IF(ISNUMBER(SEARCH("/",TRIM([1]RawShipmentData!B952))),DATE(VALUE(RIGHT(TRIM([1]RawShipmentData!B952),4)),VALUE(MID(TRIM([1]RawShipmentData!B952),FIND("/",TRIM([1]RawShipmentData!B952))+1,2)),VALUE(LEFT(TRIM([1]RawShipmentData!B952),FIND("/",TRIM([1]RawShipmentData!B952))-1))),DATEVALUE(TRIM([1]RawShipmentData!B952)))</f>
        <v>45417</v>
      </c>
      <c r="C944" s="2" t="str">
        <f>PROPER(TRIM([1]RawShipmentData!C952))</f>
        <v>Hyderabad</v>
      </c>
      <c r="D944" s="2" t="str">
        <f>IFERROR(INDEX([1]HubMaster!$B$2:$B$7,MATCH(C944,[1]HubMaster!$A$2:$A$7,0)),"Unknown")</f>
        <v>West</v>
      </c>
      <c r="E944" s="2" t="str">
        <f>PROPER(TRIM(SUBSTITUTE([1]RawShipmentData!D952,"  "," ")))</f>
        <v>Delhivery</v>
      </c>
      <c r="F944" s="2" t="str">
        <f>PROPER(TRIM([1]RawShipmentData!E952))</f>
        <v>Road</v>
      </c>
      <c r="G944" s="2" t="str">
        <f>PROPER(TRIM(SUBSTITUTE([1]RawShipmentData!F952,"  "," ")))</f>
        <v>Furniture</v>
      </c>
      <c r="H944" s="2" t="str">
        <f>PROPER(TRIM([1]RawShipmentData!G952))</f>
        <v>North</v>
      </c>
      <c r="I944" s="2" t="str">
        <f t="shared" si="70"/>
        <v>Yes</v>
      </c>
      <c r="J944" s="2">
        <f>IFERROR(VALUE(TRIM(SUBSTITUTE(UPPER([1]RawShipmentData!I944),"KG",""))),"")</f>
        <v>74.900000000000006</v>
      </c>
      <c r="K944" s="2">
        <f>VALUE(SUBSTITUTE(SUBSTITUTE(SUBSTITUTE(TRIM([1]RawShipmentData!J952),"₹",""),"Rs",""),",",""))</f>
        <v>645</v>
      </c>
      <c r="L944" s="2">
        <f>[1]RawShipmentData!K952</f>
        <v>8</v>
      </c>
      <c r="M944" s="3">
        <f>IF(TRIM([1]RawShipmentData!L952)="","",IF(ISNUMBER(SEARCH("/",TRIM([1]RawShipmentData!L952))),DATE(VALUE(RIGHT(TRIM([1]RawShipmentData!L952),4)),VALUE(MID(TRIM([1]RawShipmentData!L952),FIND("/",TRIM([1]RawShipmentData!L952))+1,2)),VALUE(LEFT(TRIM([1]RawShipmentData!L952),FIND("/",TRIM([1]RawShipmentData!L952))-1))),DATEVALUE(TRIM([1]RawShipmentData!L952))))</f>
        <v>45428</v>
      </c>
      <c r="N944" s="2">
        <f t="shared" si="71"/>
        <v>11</v>
      </c>
      <c r="O944" s="2">
        <f t="shared" si="72"/>
        <v>3</v>
      </c>
      <c r="P944" s="2" t="str">
        <f t="shared" si="73"/>
        <v>Late</v>
      </c>
      <c r="Q944" s="2" t="str">
        <f>PROPER(SUBSTITUTE(TRIM([1]RawShipmentData!M952)," ","-"))</f>
        <v>Delayed</v>
      </c>
      <c r="R944" s="4">
        <f t="shared" si="74"/>
        <v>8.6114819759679566</v>
      </c>
      <c r="S944" s="2">
        <f>[1]RawShipmentData!N952</f>
        <v>1</v>
      </c>
      <c r="T944" s="2" t="str">
        <f>IF(OR(UPPER(TRIM([1]RawShipmentData!O952))="YES",UPPER(TRIM([1]RawShipmentData!O952))="Y"),"Yes","No")</f>
        <v>No</v>
      </c>
    </row>
    <row r="945" spans="1:20" x14ac:dyDescent="0.25">
      <c r="A945" s="2" t="str">
        <f>[1]RawShipmentData!A953</f>
        <v>SHP-100226</v>
      </c>
      <c r="B945" s="3">
        <f>IF(ISNUMBER(SEARCH("/",TRIM([1]RawShipmentData!B953))),DATE(VALUE(RIGHT(TRIM([1]RawShipmentData!B953),4)),VALUE(MID(TRIM([1]RawShipmentData!B953),FIND("/",TRIM([1]RawShipmentData!B953))+1,2)),VALUE(LEFT(TRIM([1]RawShipmentData!B953),FIND("/",TRIM([1]RawShipmentData!B953))-1))),DATEVALUE(TRIM([1]RawShipmentData!B953)))</f>
        <v>45377</v>
      </c>
      <c r="C945" s="2" t="str">
        <f>PROPER(TRIM([1]RawShipmentData!C953))</f>
        <v>Hyderabad</v>
      </c>
      <c r="D945" s="2" t="str">
        <f>IFERROR(INDEX([1]HubMaster!$B$2:$B$7,MATCH(C945,[1]HubMaster!$A$2:$A$7,0)),"Unknown")</f>
        <v>West</v>
      </c>
      <c r="E945" s="2" t="str">
        <f>PROPER(TRIM(SUBSTITUTE([1]RawShipmentData!D953,"  "," ")))</f>
        <v>Bluedart</v>
      </c>
      <c r="F945" s="2" t="str">
        <f>PROPER(TRIM([1]RawShipmentData!E953))</f>
        <v>Road</v>
      </c>
      <c r="G945" s="2" t="str">
        <f>PROPER(TRIM(SUBSTITUTE([1]RawShipmentData!F953,"  "," ")))</f>
        <v>Electronics</v>
      </c>
      <c r="H945" s="2" t="str">
        <f>PROPER(TRIM([1]RawShipmentData!G953))</f>
        <v>South</v>
      </c>
      <c r="I945" s="2" t="str">
        <f t="shared" si="70"/>
        <v>Yes</v>
      </c>
      <c r="J945" s="2">
        <f>IFERROR(VALUE(TRIM(SUBSTITUTE(UPPER([1]RawShipmentData!I945),"KG",""))),"")</f>
        <v>7.6</v>
      </c>
      <c r="K945" s="2">
        <f>VALUE(SUBSTITUTE(SUBSTITUTE(SUBSTITUTE(TRIM([1]RawShipmentData!J953),"₹",""),"Rs",""),",",""))</f>
        <v>267</v>
      </c>
      <c r="L945" s="2">
        <f>[1]RawShipmentData!K953</f>
        <v>8</v>
      </c>
      <c r="M945" s="3">
        <f>IF(TRIM([1]RawShipmentData!L953)="","",IF(ISNUMBER(SEARCH("/",TRIM([1]RawShipmentData!L953))),DATE(VALUE(RIGHT(TRIM([1]RawShipmentData!L953),4)),VALUE(MID(TRIM([1]RawShipmentData!L953),FIND("/",TRIM([1]RawShipmentData!L953))+1,2)),VALUE(LEFT(TRIM([1]RawShipmentData!L953),FIND("/",TRIM([1]RawShipmentData!L953))-1))),DATEVALUE(TRIM([1]RawShipmentData!L953))))</f>
        <v>45386</v>
      </c>
      <c r="N945" s="2">
        <f t="shared" si="71"/>
        <v>9</v>
      </c>
      <c r="O945" s="2">
        <f t="shared" si="72"/>
        <v>1</v>
      </c>
      <c r="P945" s="2" t="str">
        <f t="shared" si="73"/>
        <v>Late</v>
      </c>
      <c r="Q945" s="2" t="str">
        <f>PROPER(SUBSTITUTE(TRIM([1]RawShipmentData!M953)," ","-"))</f>
        <v>Delayed</v>
      </c>
      <c r="R945" s="4">
        <f t="shared" si="74"/>
        <v>35.131578947368425</v>
      </c>
      <c r="S945" s="2">
        <f>[1]RawShipmentData!N953</f>
        <v>5</v>
      </c>
      <c r="T945" s="2" t="str">
        <f>IF(OR(UPPER(TRIM([1]RawShipmentData!O953))="YES",UPPER(TRIM([1]RawShipmentData!O953))="Y"),"Yes","No")</f>
        <v>No</v>
      </c>
    </row>
    <row r="946" spans="1:20" x14ac:dyDescent="0.25">
      <c r="A946" s="2" t="str">
        <f>[1]RawShipmentData!A954</f>
        <v>SHP-100755</v>
      </c>
      <c r="B946" s="3">
        <f>IF(ISNUMBER(SEARCH("/",TRIM([1]RawShipmentData!B954))),DATE(VALUE(RIGHT(TRIM([1]RawShipmentData!B954),4)),VALUE(MID(TRIM([1]RawShipmentData!B954),FIND("/",TRIM([1]RawShipmentData!B954))+1,2)),VALUE(LEFT(TRIM([1]RawShipmentData!B954),FIND("/",TRIM([1]RawShipmentData!B954))-1))),DATEVALUE(TRIM([1]RawShipmentData!B954)))</f>
        <v>45465</v>
      </c>
      <c r="C946" s="2" t="str">
        <f>PROPER(TRIM([1]RawShipmentData!C954))</f>
        <v>Hyderabad</v>
      </c>
      <c r="D946" s="2" t="str">
        <f>IFERROR(INDEX([1]HubMaster!$B$2:$B$7,MATCH(C946,[1]HubMaster!$A$2:$A$7,0)),"Unknown")</f>
        <v>West</v>
      </c>
      <c r="E946" s="2" t="str">
        <f>PROPER(TRIM(SUBSTITUTE([1]RawShipmentData!D954,"  "," ")))</f>
        <v>Ecom Express</v>
      </c>
      <c r="F946" s="2" t="str">
        <f>PROPER(TRIM([1]RawShipmentData!E954))</f>
        <v>Air</v>
      </c>
      <c r="G946" s="2" t="str">
        <f>PROPER(TRIM(SUBSTITUTE([1]RawShipmentData!F954,"  "," ")))</f>
        <v>Automotive Parts</v>
      </c>
      <c r="H946" s="2" t="str">
        <f>PROPER(TRIM([1]RawShipmentData!G954))</f>
        <v>South</v>
      </c>
      <c r="I946" s="2" t="str">
        <f t="shared" si="70"/>
        <v>Yes</v>
      </c>
      <c r="J946" s="2">
        <f>IFERROR(VALUE(TRIM(SUBSTITUTE(UPPER([1]RawShipmentData!I946),"KG",""))),"")</f>
        <v>2.7</v>
      </c>
      <c r="K946" s="2">
        <f>VALUE(SUBSTITUTE(SUBSTITUTE(SUBSTITUTE(TRIM([1]RawShipmentData!J954),"₹",""),"Rs",""),",",""))</f>
        <v>440</v>
      </c>
      <c r="L946" s="2">
        <f>[1]RawShipmentData!K954</f>
        <v>4</v>
      </c>
      <c r="M946" s="3">
        <f>IF(TRIM([1]RawShipmentData!L954)="","",IF(ISNUMBER(SEARCH("/",TRIM([1]RawShipmentData!L954))),DATE(VALUE(RIGHT(TRIM([1]RawShipmentData!L954),4)),VALUE(MID(TRIM([1]RawShipmentData!L954),FIND("/",TRIM([1]RawShipmentData!L954))+1,2)),VALUE(LEFT(TRIM([1]RawShipmentData!L954),FIND("/",TRIM([1]RawShipmentData!L954))-1))),DATEVALUE(TRIM([1]RawShipmentData!L954))))</f>
        <v>45468</v>
      </c>
      <c r="N946" s="2">
        <f t="shared" si="71"/>
        <v>3</v>
      </c>
      <c r="O946" s="2">
        <f t="shared" si="72"/>
        <v>-1</v>
      </c>
      <c r="P946" s="2" t="str">
        <f t="shared" si="73"/>
        <v>On Time</v>
      </c>
      <c r="Q946" s="2" t="str">
        <f>PROPER(SUBSTITUTE(TRIM([1]RawShipmentData!M954)," ","-"))</f>
        <v>Delivered</v>
      </c>
      <c r="R946" s="4">
        <f t="shared" si="74"/>
        <v>162.96296296296296</v>
      </c>
      <c r="S946" s="2">
        <f>[1]RawShipmentData!N954</f>
        <v>4</v>
      </c>
      <c r="T946" s="2" t="str">
        <f>IF(OR(UPPER(TRIM([1]RawShipmentData!O954))="YES",UPPER(TRIM([1]RawShipmentData!O954))="Y"),"Yes","No")</f>
        <v>No</v>
      </c>
    </row>
    <row r="947" spans="1:20" x14ac:dyDescent="0.25">
      <c r="A947" s="2" t="str">
        <f>[1]RawShipmentData!A955</f>
        <v>SHP-101560</v>
      </c>
      <c r="B947" s="3">
        <f>IF(ISNUMBER(SEARCH("/",TRIM([1]RawShipmentData!B955))),DATE(VALUE(RIGHT(TRIM([1]RawShipmentData!B955),4)),VALUE(MID(TRIM([1]RawShipmentData!B955),FIND("/",TRIM([1]RawShipmentData!B955))+1,2)),VALUE(LEFT(TRIM([1]RawShipmentData!B955),FIND("/",TRIM([1]RawShipmentData!B955))-1))),DATEVALUE(TRIM([1]RawShipmentData!B955)))</f>
        <v>45458</v>
      </c>
      <c r="C947" s="2" t="str">
        <f>PROPER(TRIM([1]RawShipmentData!C955))</f>
        <v>Mumbai</v>
      </c>
      <c r="D947" s="2" t="str">
        <f>IFERROR(INDEX([1]HubMaster!$B$2:$B$7,MATCH(C947,[1]HubMaster!$A$2:$A$7,0)),"Unknown")</f>
        <v>West</v>
      </c>
      <c r="E947" s="2" t="str">
        <f>PROPER(TRIM(SUBSTITUTE([1]RawShipmentData!D955,"  "," ")))</f>
        <v>Dtdc</v>
      </c>
      <c r="F947" s="2" t="str">
        <f>PROPER(TRIM([1]RawShipmentData!E955))</f>
        <v>Air</v>
      </c>
      <c r="G947" s="2" t="str">
        <f>PROPER(TRIM(SUBSTITUTE([1]RawShipmentData!F955,"  "," ")))</f>
        <v>Furniture</v>
      </c>
      <c r="H947" s="2" t="str">
        <f>PROPER(TRIM([1]RawShipmentData!G955))</f>
        <v>West</v>
      </c>
      <c r="I947" s="2" t="str">
        <f t="shared" si="70"/>
        <v>No</v>
      </c>
      <c r="J947" s="2">
        <f>IFERROR(VALUE(TRIM(SUBSTITUTE(UPPER([1]RawShipmentData!I947),"KG",""))),"")</f>
        <v>11.3</v>
      </c>
      <c r="K947" s="2">
        <f>VALUE(SUBSTITUTE(SUBSTITUTE(SUBSTITUTE(TRIM([1]RawShipmentData!J955),"₹",""),"Rs",""),",",""))</f>
        <v>2965</v>
      </c>
      <c r="L947" s="2">
        <f>[1]RawShipmentData!K955</f>
        <v>2</v>
      </c>
      <c r="M947" s="3">
        <f>IF(TRIM([1]RawShipmentData!L955)="","",IF(ISNUMBER(SEARCH("/",TRIM([1]RawShipmentData!L955))),DATE(VALUE(RIGHT(TRIM([1]RawShipmentData!L955),4)),VALUE(MID(TRIM([1]RawShipmentData!L955),FIND("/",TRIM([1]RawShipmentData!L955))+1,2)),VALUE(LEFT(TRIM([1]RawShipmentData!L955),FIND("/",TRIM([1]RawShipmentData!L955))-1))),DATEVALUE(TRIM([1]RawShipmentData!L955))))</f>
        <v>45459</v>
      </c>
      <c r="N947" s="2">
        <f t="shared" si="71"/>
        <v>1</v>
      </c>
      <c r="O947" s="2">
        <f t="shared" si="72"/>
        <v>-1</v>
      </c>
      <c r="P947" s="2" t="str">
        <f t="shared" si="73"/>
        <v>On Time</v>
      </c>
      <c r="Q947" s="2" t="str">
        <f>PROPER(SUBSTITUTE(TRIM([1]RawShipmentData!M955)," ","-"))</f>
        <v>Delivered</v>
      </c>
      <c r="R947" s="4">
        <f t="shared" si="74"/>
        <v>262.38938053097343</v>
      </c>
      <c r="S947" s="2">
        <f>[1]RawShipmentData!N955</f>
        <v>5</v>
      </c>
      <c r="T947" s="2" t="str">
        <f>IF(OR(UPPER(TRIM([1]RawShipmentData!O955))="YES",UPPER(TRIM([1]RawShipmentData!O955))="Y"),"Yes","No")</f>
        <v>Yes</v>
      </c>
    </row>
    <row r="948" spans="1:20" x14ac:dyDescent="0.25">
      <c r="A948" s="2" t="str">
        <f>[1]RawShipmentData!A956</f>
        <v>SHP-100729</v>
      </c>
      <c r="B948" s="3">
        <f>IF(ISNUMBER(SEARCH("/",TRIM([1]RawShipmentData!B956))),DATE(VALUE(RIGHT(TRIM([1]RawShipmentData!B956),4)),VALUE(MID(TRIM([1]RawShipmentData!B956),FIND("/",TRIM([1]RawShipmentData!B956))+1,2)),VALUE(LEFT(TRIM([1]RawShipmentData!B956),FIND("/",TRIM([1]RawShipmentData!B956))-1))),DATEVALUE(TRIM([1]RawShipmentData!B956)))</f>
        <v>45415</v>
      </c>
      <c r="C948" s="2" t="str">
        <f>PROPER(TRIM([1]RawShipmentData!C956))</f>
        <v>Mumbai</v>
      </c>
      <c r="D948" s="2" t="str">
        <f>IFERROR(INDEX([1]HubMaster!$B$2:$B$7,MATCH(C948,[1]HubMaster!$A$2:$A$7,0)),"Unknown")</f>
        <v>West</v>
      </c>
      <c r="E948" s="2" t="str">
        <f>PROPER(TRIM(SUBSTITUTE([1]RawShipmentData!D956,"  "," ")))</f>
        <v>Xpressbees</v>
      </c>
      <c r="F948" s="2" t="str">
        <f>PROPER(TRIM([1]RawShipmentData!E956))</f>
        <v>Surface</v>
      </c>
      <c r="G948" s="2" t="str">
        <f>PROPER(TRIM(SUBSTITUTE([1]RawShipmentData!F956,"  "," ")))</f>
        <v>Automotive Parts</v>
      </c>
      <c r="H948" s="2" t="str">
        <f>PROPER(TRIM([1]RawShipmentData!G956))</f>
        <v>East</v>
      </c>
      <c r="I948" s="2" t="str">
        <f t="shared" si="70"/>
        <v>Yes</v>
      </c>
      <c r="J948" s="2">
        <f>IFERROR(VALUE(TRIM(SUBSTITUTE(UPPER([1]RawShipmentData!I948),"KG",""))),"")</f>
        <v>1.9</v>
      </c>
      <c r="K948" s="2">
        <f>VALUE(SUBSTITUTE(SUBSTITUTE(SUBSTITUTE(TRIM([1]RawShipmentData!J956),"₹",""),"Rs",""),",",""))</f>
        <v>783</v>
      </c>
      <c r="L948" s="2">
        <f>[1]RawShipmentData!K956</f>
        <v>6</v>
      </c>
      <c r="M948" s="3">
        <f>IF(TRIM([1]RawShipmentData!L956)="","",IF(ISNUMBER(SEARCH("/",TRIM([1]RawShipmentData!L956))),DATE(VALUE(RIGHT(TRIM([1]RawShipmentData!L956),4)),VALUE(MID(TRIM([1]RawShipmentData!L956),FIND("/",TRIM([1]RawShipmentData!L956))+1,2)),VALUE(LEFT(TRIM([1]RawShipmentData!L956),FIND("/",TRIM([1]RawShipmentData!L956))-1))),DATEVALUE(TRIM([1]RawShipmentData!L956))))</f>
        <v>45424</v>
      </c>
      <c r="N948" s="2">
        <f t="shared" si="71"/>
        <v>9</v>
      </c>
      <c r="O948" s="2">
        <f t="shared" si="72"/>
        <v>3</v>
      </c>
      <c r="P948" s="2" t="str">
        <f t="shared" si="73"/>
        <v>Late</v>
      </c>
      <c r="Q948" s="2" t="str">
        <f>PROPER(SUBSTITUTE(TRIM([1]RawShipmentData!M956)," ","-"))</f>
        <v>Delayed</v>
      </c>
      <c r="R948" s="4">
        <f t="shared" si="74"/>
        <v>412.10526315789474</v>
      </c>
      <c r="S948" s="2">
        <f>[1]RawShipmentData!N956</f>
        <v>4</v>
      </c>
      <c r="T948" s="2" t="str">
        <f>IF(OR(UPPER(TRIM([1]RawShipmentData!O956))="YES",UPPER(TRIM([1]RawShipmentData!O956))="Y"),"Yes","No")</f>
        <v>Yes</v>
      </c>
    </row>
    <row r="949" spans="1:20" x14ac:dyDescent="0.25">
      <c r="A949" s="2" t="str">
        <f>[1]RawShipmentData!A957</f>
        <v>SHP-101070</v>
      </c>
      <c r="B949" s="3">
        <f>IF(ISNUMBER(SEARCH("/",TRIM([1]RawShipmentData!B957))),DATE(VALUE(RIGHT(TRIM([1]RawShipmentData!B957),4)),VALUE(MID(TRIM([1]RawShipmentData!B957),FIND("/",TRIM([1]RawShipmentData!B957))+1,2)),VALUE(LEFT(TRIM([1]RawShipmentData!B957),FIND("/",TRIM([1]RawShipmentData!B957))-1))),DATEVALUE(TRIM([1]RawShipmentData!B957)))</f>
        <v>45435</v>
      </c>
      <c r="C949" s="2" t="str">
        <f>PROPER(TRIM([1]RawShipmentData!C957))</f>
        <v>Hyderabad</v>
      </c>
      <c r="D949" s="2" t="str">
        <f>IFERROR(INDEX([1]HubMaster!$B$2:$B$7,MATCH(C949,[1]HubMaster!$A$2:$A$7,0)),"Unknown")</f>
        <v>West</v>
      </c>
      <c r="E949" s="2" t="str">
        <f>PROPER(TRIM(SUBSTITUTE([1]RawShipmentData!D957,"  "," ")))</f>
        <v>Dtdc</v>
      </c>
      <c r="F949" s="2" t="str">
        <f>PROPER(TRIM([1]RawShipmentData!E957))</f>
        <v>Surface</v>
      </c>
      <c r="G949" s="2" t="str">
        <f>PROPER(TRIM(SUBSTITUTE([1]RawShipmentData!F957,"  "," ")))</f>
        <v>Furniture</v>
      </c>
      <c r="H949" s="2" t="str">
        <f>PROPER(TRIM([1]RawShipmentData!G957))</f>
        <v>West</v>
      </c>
      <c r="I949" s="2" t="str">
        <f t="shared" si="70"/>
        <v>No</v>
      </c>
      <c r="J949" s="2">
        <f>IFERROR(VALUE(TRIM(SUBSTITUTE(UPPER([1]RawShipmentData!I949),"KG",""))),"")</f>
        <v>60.7</v>
      </c>
      <c r="K949" s="2">
        <f>VALUE(SUBSTITUTE(SUBSTITUTE(SUBSTITUTE(TRIM([1]RawShipmentData!J957),"₹",""),"Rs",""),",",""))</f>
        <v>515</v>
      </c>
      <c r="L949" s="2">
        <f>[1]RawShipmentData!K957</f>
        <v>4</v>
      </c>
      <c r="M949" s="3">
        <f>IF(TRIM([1]RawShipmentData!L957)="","",IF(ISNUMBER(SEARCH("/",TRIM([1]RawShipmentData!L957))),DATE(VALUE(RIGHT(TRIM([1]RawShipmentData!L957),4)),VALUE(MID(TRIM([1]RawShipmentData!L957),FIND("/",TRIM([1]RawShipmentData!L957))+1,2)),VALUE(LEFT(TRIM([1]RawShipmentData!L957),FIND("/",TRIM([1]RawShipmentData!L957))-1))),DATEVALUE(TRIM([1]RawShipmentData!L957))))</f>
        <v>45439</v>
      </c>
      <c r="N949" s="2">
        <f t="shared" si="71"/>
        <v>4</v>
      </c>
      <c r="O949" s="2">
        <f t="shared" si="72"/>
        <v>0</v>
      </c>
      <c r="P949" s="2" t="str">
        <f t="shared" si="73"/>
        <v>On Time</v>
      </c>
      <c r="Q949" s="2" t="str">
        <f>PROPER(SUBSTITUTE(TRIM([1]RawShipmentData!M957)," ","-"))</f>
        <v>Delivered</v>
      </c>
      <c r="R949" s="4">
        <f t="shared" si="74"/>
        <v>8.4843492586490932</v>
      </c>
      <c r="S949" s="2">
        <f>[1]RawShipmentData!N957</f>
        <v>5</v>
      </c>
      <c r="T949" s="2" t="str">
        <f>IF(OR(UPPER(TRIM([1]RawShipmentData!O957))="YES",UPPER(TRIM([1]RawShipmentData!O957))="Y"),"Yes","No")</f>
        <v>No</v>
      </c>
    </row>
    <row r="950" spans="1:20" x14ac:dyDescent="0.25">
      <c r="A950" s="2" t="str">
        <f>[1]RawShipmentData!A958</f>
        <v>SHP-100672</v>
      </c>
      <c r="B950" s="3">
        <f>IF(ISNUMBER(SEARCH("/",TRIM([1]RawShipmentData!B958))),DATE(VALUE(RIGHT(TRIM([1]RawShipmentData!B958),4)),VALUE(MID(TRIM([1]RawShipmentData!B958),FIND("/",TRIM([1]RawShipmentData!B958))+1,2)),VALUE(LEFT(TRIM([1]RawShipmentData!B958),FIND("/",TRIM([1]RawShipmentData!B958))-1))),DATEVALUE(TRIM([1]RawShipmentData!B958)))</f>
        <v>45355</v>
      </c>
      <c r="C950" s="2" t="str">
        <f>PROPER(TRIM([1]RawShipmentData!C958))</f>
        <v>Hyderabad</v>
      </c>
      <c r="D950" s="2" t="str">
        <f>IFERROR(INDEX([1]HubMaster!$B$2:$B$7,MATCH(C950,[1]HubMaster!$A$2:$A$7,0)),"Unknown")</f>
        <v>West</v>
      </c>
      <c r="E950" s="2" t="str">
        <f>PROPER(TRIM(SUBSTITUTE([1]RawShipmentData!D958,"  "," ")))</f>
        <v>Delhivery</v>
      </c>
      <c r="F950" s="2" t="str">
        <f>PROPER(TRIM([1]RawShipmentData!E958))</f>
        <v>Surface</v>
      </c>
      <c r="G950" s="2" t="str">
        <f>PROPER(TRIM(SUBSTITUTE([1]RawShipmentData!F958,"  "," ")))</f>
        <v>Apparel</v>
      </c>
      <c r="H950" s="2" t="str">
        <f>PROPER(TRIM([1]RawShipmentData!G958))</f>
        <v>West</v>
      </c>
      <c r="I950" s="2" t="str">
        <f t="shared" si="70"/>
        <v>No</v>
      </c>
      <c r="J950" s="2">
        <f>IFERROR(VALUE(TRIM(SUBSTITUTE(UPPER([1]RawShipmentData!I950),"KG",""))),"")</f>
        <v>0.6</v>
      </c>
      <c r="K950" s="2">
        <f>VALUE(SUBSTITUTE(SUBSTITUTE(SUBSTITUTE(TRIM([1]RawShipmentData!J958),"₹",""),"Rs",""),",",""))</f>
        <v>216</v>
      </c>
      <c r="L950" s="2">
        <f>[1]RawShipmentData!K958</f>
        <v>4</v>
      </c>
      <c r="M950" s="3">
        <f>IF(TRIM([1]RawShipmentData!L958)="","",IF(ISNUMBER(SEARCH("/",TRIM([1]RawShipmentData!L958))),DATE(VALUE(RIGHT(TRIM([1]RawShipmentData!L958),4)),VALUE(MID(TRIM([1]RawShipmentData!L958),FIND("/",TRIM([1]RawShipmentData!L958))+1,2)),VALUE(LEFT(TRIM([1]RawShipmentData!L958),FIND("/",TRIM([1]RawShipmentData!L958))-1))),DATEVALUE(TRIM([1]RawShipmentData!L958))))</f>
        <v>45364</v>
      </c>
      <c r="N950" s="2">
        <f t="shared" si="71"/>
        <v>9</v>
      </c>
      <c r="O950" s="2">
        <f t="shared" si="72"/>
        <v>5</v>
      </c>
      <c r="P950" s="2" t="str">
        <f t="shared" si="73"/>
        <v>Late</v>
      </c>
      <c r="Q950" s="2" t="str">
        <f>PROPER(SUBSTITUTE(TRIM([1]RawShipmentData!M958)," ","-"))</f>
        <v>Delayed</v>
      </c>
      <c r="R950" s="4">
        <f t="shared" si="74"/>
        <v>360</v>
      </c>
      <c r="S950" s="2">
        <f>[1]RawShipmentData!N958</f>
        <v>2</v>
      </c>
      <c r="T950" s="2" t="str">
        <f>IF(OR(UPPER(TRIM([1]RawShipmentData!O958))="YES",UPPER(TRIM([1]RawShipmentData!O958))="Y"),"Yes","No")</f>
        <v>No</v>
      </c>
    </row>
    <row r="951" spans="1:20" x14ac:dyDescent="0.25">
      <c r="A951" s="2" t="str">
        <f>[1]RawShipmentData!A959</f>
        <v>SHP-101380</v>
      </c>
      <c r="B951" s="3">
        <f>IF(ISNUMBER(SEARCH("/",TRIM([1]RawShipmentData!B959))),DATE(VALUE(RIGHT(TRIM([1]RawShipmentData!B959),4)),VALUE(MID(TRIM([1]RawShipmentData!B959),FIND("/",TRIM([1]RawShipmentData!B959))+1,2)),VALUE(LEFT(TRIM([1]RawShipmentData!B959),FIND("/",TRIM([1]RawShipmentData!B959))-1))),DATEVALUE(TRIM([1]RawShipmentData!B959)))</f>
        <v>45467</v>
      </c>
      <c r="C951" s="2" t="str">
        <f>PROPER(TRIM([1]RawShipmentData!C959))</f>
        <v>Chennai</v>
      </c>
      <c r="D951" s="2" t="str">
        <f>IFERROR(INDEX([1]HubMaster!$B$2:$B$7,MATCH(C951,[1]HubMaster!$A$2:$A$7,0)),"Unknown")</f>
        <v>South</v>
      </c>
      <c r="E951" s="2" t="str">
        <f>PROPER(TRIM(SUBSTITUTE([1]RawShipmentData!D959,"  "," ")))</f>
        <v>Dtdc</v>
      </c>
      <c r="F951" s="2" t="str">
        <f>PROPER(TRIM([1]RawShipmentData!E959))</f>
        <v>Air</v>
      </c>
      <c r="G951" s="2" t="str">
        <f>PROPER(TRIM(SUBSTITUTE([1]RawShipmentData!F959,"  "," ")))</f>
        <v>Apparel</v>
      </c>
      <c r="H951" s="2" t="str">
        <f>PROPER(TRIM([1]RawShipmentData!G959))</f>
        <v>West</v>
      </c>
      <c r="I951" s="2" t="str">
        <f t="shared" si="70"/>
        <v>Yes</v>
      </c>
      <c r="J951" s="2">
        <f>IFERROR(VALUE(TRIM(SUBSTITUTE(UPPER([1]RawShipmentData!I951),"KG",""))),"")</f>
        <v>2.1</v>
      </c>
      <c r="K951" s="2">
        <f>VALUE(SUBSTITUTE(SUBSTITUTE(SUBSTITUTE(TRIM([1]RawShipmentData!J959),"₹",""),"Rs",""),",",""))</f>
        <v>447</v>
      </c>
      <c r="L951" s="2">
        <f>[1]RawShipmentData!K959</f>
        <v>4</v>
      </c>
      <c r="M951" s="3">
        <f>IF(TRIM([1]RawShipmentData!L959)="","",IF(ISNUMBER(SEARCH("/",TRIM([1]RawShipmentData!L959))),DATE(VALUE(RIGHT(TRIM([1]RawShipmentData!L959),4)),VALUE(MID(TRIM([1]RawShipmentData!L959),FIND("/",TRIM([1]RawShipmentData!L959))+1,2)),VALUE(LEFT(TRIM([1]RawShipmentData!L959),FIND("/",TRIM([1]RawShipmentData!L959))-1))),DATEVALUE(TRIM([1]RawShipmentData!L959))))</f>
        <v>45476</v>
      </c>
      <c r="N951" s="2">
        <f t="shared" si="71"/>
        <v>9</v>
      </c>
      <c r="O951" s="2">
        <f t="shared" si="72"/>
        <v>5</v>
      </c>
      <c r="P951" s="2" t="str">
        <f t="shared" si="73"/>
        <v>Late</v>
      </c>
      <c r="Q951" s="2" t="str">
        <f>PROPER(SUBSTITUTE(TRIM([1]RawShipmentData!M959)," ","-"))</f>
        <v>Delayed</v>
      </c>
      <c r="R951" s="4">
        <f t="shared" si="74"/>
        <v>212.85714285714286</v>
      </c>
      <c r="S951" s="2">
        <f>[1]RawShipmentData!N959</f>
        <v>5</v>
      </c>
      <c r="T951" s="2" t="str">
        <f>IF(OR(UPPER(TRIM([1]RawShipmentData!O959))="YES",UPPER(TRIM([1]RawShipmentData!O959))="Y"),"Yes","No")</f>
        <v>No</v>
      </c>
    </row>
    <row r="952" spans="1:20" x14ac:dyDescent="0.25">
      <c r="A952" s="2" t="str">
        <f>[1]RawShipmentData!A960</f>
        <v>SHP-101278</v>
      </c>
      <c r="B952" s="3">
        <f>IF(ISNUMBER(SEARCH("/",TRIM([1]RawShipmentData!B960))),DATE(VALUE(RIGHT(TRIM([1]RawShipmentData!B960),4)),VALUE(MID(TRIM([1]RawShipmentData!B960),FIND("/",TRIM([1]RawShipmentData!B960))+1,2)),VALUE(LEFT(TRIM([1]RawShipmentData!B960),FIND("/",TRIM([1]RawShipmentData!B960))-1))),DATEVALUE(TRIM([1]RawShipmentData!B960)))</f>
        <v>45451</v>
      </c>
      <c r="C952" s="2" t="str">
        <f>PROPER(TRIM([1]RawShipmentData!C960))</f>
        <v>Mumbai</v>
      </c>
      <c r="D952" s="2" t="str">
        <f>IFERROR(INDEX([1]HubMaster!$B$2:$B$7,MATCH(C952,[1]HubMaster!$A$2:$A$7,0)),"Unknown")</f>
        <v>West</v>
      </c>
      <c r="E952" s="2" t="str">
        <f>PROPER(TRIM(SUBSTITUTE([1]RawShipmentData!D960,"  "," ")))</f>
        <v>Ecom Express</v>
      </c>
      <c r="F952" s="2" t="str">
        <f>PROPER(TRIM([1]RawShipmentData!E960))</f>
        <v>Road</v>
      </c>
      <c r="G952" s="2" t="str">
        <f>PROPER(TRIM(SUBSTITUTE([1]RawShipmentData!F960,"  "," ")))</f>
        <v>Grocery &amp; Fmcg</v>
      </c>
      <c r="H952" s="2" t="str">
        <f>PROPER(TRIM([1]RawShipmentData!G960))</f>
        <v>East</v>
      </c>
      <c r="I952" s="2" t="str">
        <f t="shared" si="70"/>
        <v>Yes</v>
      </c>
      <c r="J952" s="2">
        <f>IFERROR(VALUE(TRIM(SUBSTITUTE(UPPER([1]RawShipmentData!I952),"KG",""))),"")</f>
        <v>34.1</v>
      </c>
      <c r="K952" s="2">
        <f>VALUE(SUBSTITUTE(SUBSTITUTE(SUBSTITUTE(TRIM([1]RawShipmentData!J960),"₹",""),"Rs",""),",",""))</f>
        <v>190</v>
      </c>
      <c r="L952" s="2">
        <f>[1]RawShipmentData!K960</f>
        <v>8</v>
      </c>
      <c r="M952" s="3">
        <f>IF(TRIM([1]RawShipmentData!L960)="","",IF(ISNUMBER(SEARCH("/",TRIM([1]RawShipmentData!L960))),DATE(VALUE(RIGHT(TRIM([1]RawShipmentData!L960),4)),VALUE(MID(TRIM([1]RawShipmentData!L960),FIND("/",TRIM([1]RawShipmentData!L960))+1,2)),VALUE(LEFT(TRIM([1]RawShipmentData!L960),FIND("/",TRIM([1]RawShipmentData!L960))-1))),DATEVALUE(TRIM([1]RawShipmentData!L960))))</f>
        <v>45460</v>
      </c>
      <c r="N952" s="2">
        <f t="shared" si="71"/>
        <v>9</v>
      </c>
      <c r="O952" s="2">
        <f t="shared" si="72"/>
        <v>1</v>
      </c>
      <c r="P952" s="2" t="str">
        <f t="shared" si="73"/>
        <v>Late</v>
      </c>
      <c r="Q952" s="2" t="str">
        <f>PROPER(SUBSTITUTE(TRIM([1]RawShipmentData!M960)," ","-"))</f>
        <v>Delayed</v>
      </c>
      <c r="R952" s="4">
        <f t="shared" si="74"/>
        <v>5.5718475073313778</v>
      </c>
      <c r="S952" s="2">
        <f>[1]RawShipmentData!N960</f>
        <v>3</v>
      </c>
      <c r="T952" s="2" t="str">
        <f>IF(OR(UPPER(TRIM([1]RawShipmentData!O960))="YES",UPPER(TRIM([1]RawShipmentData!O960))="Y"),"Yes","No")</f>
        <v>Yes</v>
      </c>
    </row>
    <row r="953" spans="1:20" x14ac:dyDescent="0.25">
      <c r="A953" s="2" t="str">
        <f>[1]RawShipmentData!A961</f>
        <v>SHP-100244</v>
      </c>
      <c r="B953" s="3">
        <f>IF(ISNUMBER(SEARCH("/",TRIM([1]RawShipmentData!B961))),DATE(VALUE(RIGHT(TRIM([1]RawShipmentData!B961),4)),VALUE(MID(TRIM([1]RawShipmentData!B961),FIND("/",TRIM([1]RawShipmentData!B961))+1,2)),VALUE(LEFT(TRIM([1]RawShipmentData!B961),FIND("/",TRIM([1]RawShipmentData!B961))-1))),DATEVALUE(TRIM([1]RawShipmentData!B961)))</f>
        <v>45408</v>
      </c>
      <c r="C953" s="2" t="str">
        <f>PROPER(TRIM([1]RawShipmentData!C961))</f>
        <v>Bengaluru</v>
      </c>
      <c r="D953" s="2" t="str">
        <f>IFERROR(INDEX([1]HubMaster!$B$2:$B$7,MATCH(C953,[1]HubMaster!$A$2:$A$7,0)),"Unknown")</f>
        <v>South</v>
      </c>
      <c r="E953" s="2" t="str">
        <f>PROPER(TRIM(SUBSTITUTE([1]RawShipmentData!D961,"  "," ")))</f>
        <v>Dtdc</v>
      </c>
      <c r="F953" s="2" t="str">
        <f>PROPER(TRIM([1]RawShipmentData!E961))</f>
        <v>Surface</v>
      </c>
      <c r="G953" s="2" t="str">
        <f>PROPER(TRIM(SUBSTITUTE([1]RawShipmentData!F961,"  "," ")))</f>
        <v>Furniture</v>
      </c>
      <c r="H953" s="2" t="str">
        <f>PROPER(TRIM([1]RawShipmentData!G961))</f>
        <v>East</v>
      </c>
      <c r="I953" s="2" t="str">
        <f t="shared" si="70"/>
        <v>Yes</v>
      </c>
      <c r="J953" s="2">
        <f>IFERROR(VALUE(TRIM(SUBSTITUTE(UPPER([1]RawShipmentData!I953),"KG",""))),"")</f>
        <v>7.2</v>
      </c>
      <c r="K953" s="2">
        <f>VALUE(SUBSTITUTE(SUBSTITUTE(SUBSTITUTE(TRIM([1]RawShipmentData!J961),"₹",""),"Rs",""),",",""))</f>
        <v>1469</v>
      </c>
      <c r="L953" s="2">
        <f>[1]RawShipmentData!K961</f>
        <v>6</v>
      </c>
      <c r="M953" s="3">
        <f>IF(TRIM([1]RawShipmentData!L961)="","",IF(ISNUMBER(SEARCH("/",TRIM([1]RawShipmentData!L961))),DATE(VALUE(RIGHT(TRIM([1]RawShipmentData!L961),4)),VALUE(MID(TRIM([1]RawShipmentData!L961),FIND("/",TRIM([1]RawShipmentData!L961))+1,2)),VALUE(LEFT(TRIM([1]RawShipmentData!L961),FIND("/",TRIM([1]RawShipmentData!L961))-1))),DATEVALUE(TRIM([1]RawShipmentData!L961))))</f>
        <v>45414</v>
      </c>
      <c r="N953" s="2">
        <f t="shared" si="71"/>
        <v>6</v>
      </c>
      <c r="O953" s="2">
        <f t="shared" si="72"/>
        <v>0</v>
      </c>
      <c r="P953" s="2" t="str">
        <f t="shared" si="73"/>
        <v>On Time</v>
      </c>
      <c r="Q953" s="2" t="str">
        <f>PROPER(SUBSTITUTE(TRIM([1]RawShipmentData!M961)," ","-"))</f>
        <v>Delivered</v>
      </c>
      <c r="R953" s="4">
        <f t="shared" si="74"/>
        <v>204.02777777777777</v>
      </c>
      <c r="S953" s="2">
        <f>[1]RawShipmentData!N961</f>
        <v>4</v>
      </c>
      <c r="T953" s="2" t="str">
        <f>IF(OR(UPPER(TRIM([1]RawShipmentData!O961))="YES",UPPER(TRIM([1]RawShipmentData!O961))="Y"),"Yes","No")</f>
        <v>No</v>
      </c>
    </row>
    <row r="954" spans="1:20" x14ac:dyDescent="0.25">
      <c r="A954" s="2" t="str">
        <f>[1]RawShipmentData!A962</f>
        <v>SHP-100295</v>
      </c>
      <c r="B954" s="3">
        <f>IF(ISNUMBER(SEARCH("/",TRIM([1]RawShipmentData!B962))),DATE(VALUE(RIGHT(TRIM([1]RawShipmentData!B962),4)),VALUE(MID(TRIM([1]RawShipmentData!B962),FIND("/",TRIM([1]RawShipmentData!B962))+1,2)),VALUE(LEFT(TRIM([1]RawShipmentData!B962),FIND("/",TRIM([1]RawShipmentData!B962))-1))),DATEVALUE(TRIM([1]RawShipmentData!B962)))</f>
        <v>45327</v>
      </c>
      <c r="C954" s="2" t="str">
        <f>PROPER(TRIM([1]RawShipmentData!C962))</f>
        <v>Delhi</v>
      </c>
      <c r="D954" s="2" t="str">
        <f>IFERROR(INDEX([1]HubMaster!$B$2:$B$7,MATCH(C954,[1]HubMaster!$A$2:$A$7,0)),"Unknown")</f>
        <v>North</v>
      </c>
      <c r="E954" s="2" t="str">
        <f>PROPER(TRIM(SUBSTITUTE([1]RawShipmentData!D962,"  "," ")))</f>
        <v>Bluedart</v>
      </c>
      <c r="F954" s="2" t="str">
        <f>PROPER(TRIM([1]RawShipmentData!E962))</f>
        <v>Surface</v>
      </c>
      <c r="G954" s="2" t="str">
        <f>PROPER(TRIM(SUBSTITUTE([1]RawShipmentData!F962,"  "," ")))</f>
        <v>Pharma</v>
      </c>
      <c r="H954" s="2" t="str">
        <f>PROPER(TRIM([1]RawShipmentData!G962))</f>
        <v>East</v>
      </c>
      <c r="I954" s="2" t="str">
        <f t="shared" si="70"/>
        <v>Yes</v>
      </c>
      <c r="J954" s="2">
        <f>IFERROR(VALUE(TRIM(SUBSTITUTE(UPPER([1]RawShipmentData!I954),"KG",""))),"")</f>
        <v>5.3</v>
      </c>
      <c r="K954" s="2">
        <f>VALUE(SUBSTITUTE(SUBSTITUTE(SUBSTITUTE(TRIM([1]RawShipmentData!J962),"₹",""),"Rs",""),",",""))</f>
        <v>173</v>
      </c>
      <c r="L954" s="2">
        <f>[1]RawShipmentData!K962</f>
        <v>6</v>
      </c>
      <c r="M954" s="3">
        <f>IF(TRIM([1]RawShipmentData!L962)="","",IF(ISNUMBER(SEARCH("/",TRIM([1]RawShipmentData!L962))),DATE(VALUE(RIGHT(TRIM([1]RawShipmentData!L962),4)),VALUE(MID(TRIM([1]RawShipmentData!L962),FIND("/",TRIM([1]RawShipmentData!L962))+1,2)),VALUE(LEFT(TRIM([1]RawShipmentData!L962),FIND("/",TRIM([1]RawShipmentData!L962))-1))),DATEVALUE(TRIM([1]RawShipmentData!L962))))</f>
        <v>45333</v>
      </c>
      <c r="N954" s="2">
        <f t="shared" si="71"/>
        <v>6</v>
      </c>
      <c r="O954" s="2">
        <f t="shared" si="72"/>
        <v>0</v>
      </c>
      <c r="P954" s="2" t="str">
        <f t="shared" si="73"/>
        <v>On Time</v>
      </c>
      <c r="Q954" s="2" t="str">
        <f>PROPER(SUBSTITUTE(TRIM([1]RawShipmentData!M962)," ","-"))</f>
        <v>Delivered</v>
      </c>
      <c r="R954" s="4">
        <f t="shared" si="74"/>
        <v>32.641509433962263</v>
      </c>
      <c r="S954" s="2">
        <f>[1]RawShipmentData!N962</f>
        <v>4</v>
      </c>
      <c r="T954" s="2" t="str">
        <f>IF(OR(UPPER(TRIM([1]RawShipmentData!O962))="YES",UPPER(TRIM([1]RawShipmentData!O962))="Y"),"Yes","No")</f>
        <v>Yes</v>
      </c>
    </row>
    <row r="955" spans="1:20" x14ac:dyDescent="0.25">
      <c r="A955" s="2" t="str">
        <f>[1]RawShipmentData!A963</f>
        <v>SHP-100561</v>
      </c>
      <c r="B955" s="3">
        <f>IF(ISNUMBER(SEARCH("/",TRIM([1]RawShipmentData!B963))),DATE(VALUE(RIGHT(TRIM([1]RawShipmentData!B963),4)),VALUE(MID(TRIM([1]RawShipmentData!B963),FIND("/",TRIM([1]RawShipmentData!B963))+1,2)),VALUE(LEFT(TRIM([1]RawShipmentData!B963),FIND("/",TRIM([1]RawShipmentData!B963))-1))),DATEVALUE(TRIM([1]RawShipmentData!B963)))</f>
        <v>45438</v>
      </c>
      <c r="C955" s="2" t="str">
        <f>PROPER(TRIM([1]RawShipmentData!C963))</f>
        <v>Delhi</v>
      </c>
      <c r="D955" s="2" t="str">
        <f>IFERROR(INDEX([1]HubMaster!$B$2:$B$7,MATCH(C955,[1]HubMaster!$A$2:$A$7,0)),"Unknown")</f>
        <v>North</v>
      </c>
      <c r="E955" s="2" t="str">
        <f>PROPER(TRIM(SUBSTITUTE([1]RawShipmentData!D963,"  "," ")))</f>
        <v>Dtdc</v>
      </c>
      <c r="F955" s="2" t="str">
        <f>PROPER(TRIM([1]RawShipmentData!E963))</f>
        <v>Road</v>
      </c>
      <c r="G955" s="2" t="str">
        <f>PROPER(TRIM(SUBSTITUTE([1]RawShipmentData!F963,"  "," ")))</f>
        <v>Grocery &amp; Fmcg</v>
      </c>
      <c r="H955" s="2" t="str">
        <f>PROPER(TRIM([1]RawShipmentData!G963))</f>
        <v>North</v>
      </c>
      <c r="I955" s="2" t="str">
        <f t="shared" si="70"/>
        <v>No</v>
      </c>
      <c r="J955" s="2">
        <f>IFERROR(VALUE(TRIM(SUBSTITUTE(UPPER([1]RawShipmentData!I955),"KG",""))),"")</f>
        <v>65.5</v>
      </c>
      <c r="K955" s="2">
        <f>VALUE(SUBSTITUTE(SUBSTITUTE(SUBSTITUTE(TRIM([1]RawShipmentData!J963),"₹",""),"Rs",""),",",""))</f>
        <v>106</v>
      </c>
      <c r="L955" s="2">
        <f>[1]RawShipmentData!K963</f>
        <v>6</v>
      </c>
      <c r="M955" s="3">
        <f>IF(TRIM([1]RawShipmentData!L963)="","",IF(ISNUMBER(SEARCH("/",TRIM([1]RawShipmentData!L963))),DATE(VALUE(RIGHT(TRIM([1]RawShipmentData!L963),4)),VALUE(MID(TRIM([1]RawShipmentData!L963),FIND("/",TRIM([1]RawShipmentData!L963))+1,2)),VALUE(LEFT(TRIM([1]RawShipmentData!L963),FIND("/",TRIM([1]RawShipmentData!L963))-1))),DATEVALUE(TRIM([1]RawShipmentData!L963))))</f>
        <v>45453</v>
      </c>
      <c r="N955" s="2">
        <f t="shared" si="71"/>
        <v>15</v>
      </c>
      <c r="O955" s="2">
        <f t="shared" si="72"/>
        <v>9</v>
      </c>
      <c r="P955" s="2" t="str">
        <f t="shared" si="73"/>
        <v>Late</v>
      </c>
      <c r="Q955" s="2" t="str">
        <f>PROPER(SUBSTITUTE(TRIM([1]RawShipmentData!M963)," ","-"))</f>
        <v>Delayed</v>
      </c>
      <c r="R955" s="4">
        <f t="shared" si="74"/>
        <v>1.6183206106870229</v>
      </c>
      <c r="S955" s="2">
        <f>[1]RawShipmentData!N963</f>
        <v>3</v>
      </c>
      <c r="T955" s="2" t="str">
        <f>IF(OR(UPPER(TRIM([1]RawShipmentData!O963))="YES",UPPER(TRIM([1]RawShipmentData!O963))="Y"),"Yes","No")</f>
        <v>No</v>
      </c>
    </row>
    <row r="956" spans="1:20" x14ac:dyDescent="0.25">
      <c r="A956" s="2" t="str">
        <f>[1]RawShipmentData!A964</f>
        <v>SHP-100192</v>
      </c>
      <c r="B956" s="3">
        <f>IF(ISNUMBER(SEARCH("/",TRIM([1]RawShipmentData!B964))),DATE(VALUE(RIGHT(TRIM([1]RawShipmentData!B964),4)),VALUE(MID(TRIM([1]RawShipmentData!B964),FIND("/",TRIM([1]RawShipmentData!B964))+1,2)),VALUE(LEFT(TRIM([1]RawShipmentData!B964),FIND("/",TRIM([1]RawShipmentData!B964))-1))),DATEVALUE(TRIM([1]RawShipmentData!B964)))</f>
        <v>45310</v>
      </c>
      <c r="C956" s="2" t="str">
        <f>PROPER(TRIM([1]RawShipmentData!C964))</f>
        <v>Delhi</v>
      </c>
      <c r="D956" s="2" t="str">
        <f>IFERROR(INDEX([1]HubMaster!$B$2:$B$7,MATCH(C956,[1]HubMaster!$A$2:$A$7,0)),"Unknown")</f>
        <v>North</v>
      </c>
      <c r="E956" s="2" t="str">
        <f>PROPER(TRIM(SUBSTITUTE([1]RawShipmentData!D964,"  "," ")))</f>
        <v>Bluedart</v>
      </c>
      <c r="F956" s="2" t="str">
        <f>PROPER(TRIM([1]RawShipmentData!E964))</f>
        <v>Air</v>
      </c>
      <c r="G956" s="2" t="str">
        <f>PROPER(TRIM(SUBSTITUTE([1]RawShipmentData!F964,"  "," ")))</f>
        <v>Pharma</v>
      </c>
      <c r="H956" s="2" t="str">
        <f>PROPER(TRIM([1]RawShipmentData!G964))</f>
        <v>West</v>
      </c>
      <c r="I956" s="2" t="str">
        <f t="shared" si="70"/>
        <v>Yes</v>
      </c>
      <c r="J956" s="2">
        <f>IFERROR(VALUE(TRIM(SUBSTITUTE(UPPER([1]RawShipmentData!I956),"KG",""))),"")</f>
        <v>27.6</v>
      </c>
      <c r="K956" s="2">
        <f>VALUE(SUBSTITUTE(SUBSTITUTE(SUBSTITUTE(TRIM([1]RawShipmentData!J964),"₹",""),"Rs",""),",",""))</f>
        <v>227</v>
      </c>
      <c r="L956" s="2">
        <f>[1]RawShipmentData!K964</f>
        <v>4</v>
      </c>
      <c r="M956" s="3">
        <f>IF(TRIM([1]RawShipmentData!L964)="","",IF(ISNUMBER(SEARCH("/",TRIM([1]RawShipmentData!L964))),DATE(VALUE(RIGHT(TRIM([1]RawShipmentData!L964),4)),VALUE(MID(TRIM([1]RawShipmentData!L964),FIND("/",TRIM([1]RawShipmentData!L964))+1,2)),VALUE(LEFT(TRIM([1]RawShipmentData!L964),FIND("/",TRIM([1]RawShipmentData!L964))-1))),DATEVALUE(TRIM([1]RawShipmentData!L964))))</f>
        <v>45314</v>
      </c>
      <c r="N956" s="2">
        <f t="shared" si="71"/>
        <v>4</v>
      </c>
      <c r="O956" s="2">
        <f t="shared" si="72"/>
        <v>0</v>
      </c>
      <c r="P956" s="2" t="str">
        <f t="shared" si="73"/>
        <v>On Time</v>
      </c>
      <c r="Q956" s="2" t="str">
        <f>PROPER(SUBSTITUTE(TRIM([1]RawShipmentData!M964)," ","-"))</f>
        <v>Delivered</v>
      </c>
      <c r="R956" s="4">
        <f t="shared" si="74"/>
        <v>8.22463768115942</v>
      </c>
      <c r="S956" s="2">
        <f>[1]RawShipmentData!N964</f>
        <v>2</v>
      </c>
      <c r="T956" s="2" t="str">
        <f>IF(OR(UPPER(TRIM([1]RawShipmentData!O964))="YES",UPPER(TRIM([1]RawShipmentData!O964))="Y"),"Yes","No")</f>
        <v>No</v>
      </c>
    </row>
    <row r="957" spans="1:20" x14ac:dyDescent="0.25">
      <c r="A957" s="2" t="str">
        <f>[1]RawShipmentData!A965</f>
        <v>SHP-101436</v>
      </c>
      <c r="B957" s="3">
        <f>IF(ISNUMBER(SEARCH("/",TRIM([1]RawShipmentData!B965))),DATE(VALUE(RIGHT(TRIM([1]RawShipmentData!B965),4)),VALUE(MID(TRIM([1]RawShipmentData!B965),FIND("/",TRIM([1]RawShipmentData!B965))+1,2)),VALUE(LEFT(TRIM([1]RawShipmentData!B965),FIND("/",TRIM([1]RawShipmentData!B965))-1))),DATEVALUE(TRIM([1]RawShipmentData!B965)))</f>
        <v>45439</v>
      </c>
      <c r="C957" s="2" t="str">
        <f>PROPER(TRIM([1]RawShipmentData!C965))</f>
        <v>Bengaluru</v>
      </c>
      <c r="D957" s="2" t="str">
        <f>IFERROR(INDEX([1]HubMaster!$B$2:$B$7,MATCH(C957,[1]HubMaster!$A$2:$A$7,0)),"Unknown")</f>
        <v>South</v>
      </c>
      <c r="E957" s="2" t="str">
        <f>PROPER(TRIM(SUBSTITUTE([1]RawShipmentData!D965,"  "," ")))</f>
        <v>Ecom Express</v>
      </c>
      <c r="F957" s="2" t="str">
        <f>PROPER(TRIM([1]RawShipmentData!E965))</f>
        <v>Road</v>
      </c>
      <c r="G957" s="2" t="str">
        <f>PROPER(TRIM(SUBSTITUTE([1]RawShipmentData!F965,"  "," ")))</f>
        <v>Apparel</v>
      </c>
      <c r="H957" s="2" t="str">
        <f>PROPER(TRIM([1]RawShipmentData!G965))</f>
        <v>East</v>
      </c>
      <c r="I957" s="2" t="str">
        <f t="shared" si="70"/>
        <v>Yes</v>
      </c>
      <c r="J957" s="2">
        <f>IFERROR(VALUE(TRIM(SUBSTITUTE(UPPER([1]RawShipmentData!I957),"KG",""))),"")</f>
        <v>21.7</v>
      </c>
      <c r="K957" s="2">
        <f>VALUE(SUBSTITUTE(SUBSTITUTE(SUBSTITUTE(TRIM([1]RawShipmentData!J965),"₹",""),"Rs",""),",",""))</f>
        <v>202</v>
      </c>
      <c r="L957" s="2">
        <f>[1]RawShipmentData!K965</f>
        <v>8</v>
      </c>
      <c r="M957" s="3">
        <f>IF(TRIM([1]RawShipmentData!L965)="","",IF(ISNUMBER(SEARCH("/",TRIM([1]RawShipmentData!L965))),DATE(VALUE(RIGHT(TRIM([1]RawShipmentData!L965),4)),VALUE(MID(TRIM([1]RawShipmentData!L965),FIND("/",TRIM([1]RawShipmentData!L965))+1,2)),VALUE(LEFT(TRIM([1]RawShipmentData!L965),FIND("/",TRIM([1]RawShipmentData!L965))-1))),DATEVALUE(TRIM([1]RawShipmentData!L965))))</f>
        <v>45448</v>
      </c>
      <c r="N957" s="2">
        <f t="shared" si="71"/>
        <v>9</v>
      </c>
      <c r="O957" s="2">
        <f t="shared" si="72"/>
        <v>1</v>
      </c>
      <c r="P957" s="2" t="str">
        <f t="shared" si="73"/>
        <v>Late</v>
      </c>
      <c r="Q957" s="2" t="str">
        <f>PROPER(SUBSTITUTE(TRIM([1]RawShipmentData!M965)," ","-"))</f>
        <v>Delayed</v>
      </c>
      <c r="R957" s="4">
        <f t="shared" si="74"/>
        <v>9.3087557603686637</v>
      </c>
      <c r="S957" s="2">
        <f>[1]RawShipmentData!N965</f>
        <v>4</v>
      </c>
      <c r="T957" s="2" t="str">
        <f>IF(OR(UPPER(TRIM([1]RawShipmentData!O965))="YES",UPPER(TRIM([1]RawShipmentData!O965))="Y"),"Yes","No")</f>
        <v>No</v>
      </c>
    </row>
    <row r="958" spans="1:20" x14ac:dyDescent="0.25">
      <c r="A958" s="2" t="str">
        <f>[1]RawShipmentData!A966</f>
        <v>SHP-100273</v>
      </c>
      <c r="B958" s="3">
        <f>IF(ISNUMBER(SEARCH("/",TRIM([1]RawShipmentData!B966))),DATE(VALUE(RIGHT(TRIM([1]RawShipmentData!B966),4)),VALUE(MID(TRIM([1]RawShipmentData!B966),FIND("/",TRIM([1]RawShipmentData!B966))+1,2)),VALUE(LEFT(TRIM([1]RawShipmentData!B966),FIND("/",TRIM([1]RawShipmentData!B966))-1))),DATEVALUE(TRIM([1]RawShipmentData!B966)))</f>
        <v>45296</v>
      </c>
      <c r="C958" s="2" t="str">
        <f>PROPER(TRIM([1]RawShipmentData!C966))</f>
        <v>Mumbai</v>
      </c>
      <c r="D958" s="2" t="str">
        <f>IFERROR(INDEX([1]HubMaster!$B$2:$B$7,MATCH(C958,[1]HubMaster!$A$2:$A$7,0)),"Unknown")</f>
        <v>West</v>
      </c>
      <c r="E958" s="2" t="str">
        <f>PROPER(TRIM(SUBSTITUTE([1]RawShipmentData!D966,"  "," ")))</f>
        <v>Xpressbees</v>
      </c>
      <c r="F958" s="2" t="str">
        <f>PROPER(TRIM([1]RawShipmentData!E966))</f>
        <v>Surface</v>
      </c>
      <c r="G958" s="2" t="str">
        <f>PROPER(TRIM(SUBSTITUTE([1]RawShipmentData!F966,"  "," ")))</f>
        <v>Electronics</v>
      </c>
      <c r="H958" s="2" t="str">
        <f>PROPER(TRIM([1]RawShipmentData!G966))</f>
        <v>East</v>
      </c>
      <c r="I958" s="2" t="str">
        <f t="shared" si="70"/>
        <v>Yes</v>
      </c>
      <c r="J958" s="2">
        <f>IFERROR(VALUE(TRIM(SUBSTITUTE(UPPER([1]RawShipmentData!I958),"KG",""))),"")</f>
        <v>7.1</v>
      </c>
      <c r="K958" s="2">
        <f>VALUE(SUBSTITUTE(SUBSTITUTE(SUBSTITUTE(TRIM([1]RawShipmentData!J966),"₹",""),"Rs",""),",",""))</f>
        <v>452</v>
      </c>
      <c r="L958" s="2">
        <f>[1]RawShipmentData!K966</f>
        <v>6</v>
      </c>
      <c r="M958" s="3">
        <f>IF(TRIM([1]RawShipmentData!L966)="","",IF(ISNUMBER(SEARCH("/",TRIM([1]RawShipmentData!L966))),DATE(VALUE(RIGHT(TRIM([1]RawShipmentData!L966),4)),VALUE(MID(TRIM([1]RawShipmentData!L966),FIND("/",TRIM([1]RawShipmentData!L966))+1,2)),VALUE(LEFT(TRIM([1]RawShipmentData!L966),FIND("/",TRIM([1]RawShipmentData!L966))-1))),DATEVALUE(TRIM([1]RawShipmentData!L966))))</f>
        <v>45304</v>
      </c>
      <c r="N958" s="2">
        <f t="shared" si="71"/>
        <v>8</v>
      </c>
      <c r="O958" s="2">
        <f t="shared" si="72"/>
        <v>2</v>
      </c>
      <c r="P958" s="2" t="str">
        <f t="shared" si="73"/>
        <v>Late</v>
      </c>
      <c r="Q958" s="2" t="str">
        <f>PROPER(SUBSTITUTE(TRIM([1]RawShipmentData!M966)," ","-"))</f>
        <v>Delayed</v>
      </c>
      <c r="R958" s="4">
        <f t="shared" si="74"/>
        <v>63.661971830985919</v>
      </c>
      <c r="S958" s="2">
        <f>[1]RawShipmentData!N966</f>
        <v>3</v>
      </c>
      <c r="T958" s="2" t="str">
        <f>IF(OR(UPPER(TRIM([1]RawShipmentData!O966))="YES",UPPER(TRIM([1]RawShipmentData!O966))="Y"),"Yes","No")</f>
        <v>No</v>
      </c>
    </row>
    <row r="959" spans="1:20" x14ac:dyDescent="0.25">
      <c r="A959" s="2" t="str">
        <f>[1]RawShipmentData!A967</f>
        <v>SHP-100589</v>
      </c>
      <c r="B959" s="3">
        <f>IF(ISNUMBER(SEARCH("/",TRIM([1]RawShipmentData!B967))),DATE(VALUE(RIGHT(TRIM([1]RawShipmentData!B967),4)),VALUE(MID(TRIM([1]RawShipmentData!B967),FIND("/",TRIM([1]RawShipmentData!B967))+1,2)),VALUE(LEFT(TRIM([1]RawShipmentData!B967),FIND("/",TRIM([1]RawShipmentData!B967))-1))),DATEVALUE(TRIM([1]RawShipmentData!B967)))</f>
        <v>45408</v>
      </c>
      <c r="C959" s="2" t="str">
        <f>PROPER(TRIM([1]RawShipmentData!C967))</f>
        <v>Bengaluru</v>
      </c>
      <c r="D959" s="2" t="str">
        <f>IFERROR(INDEX([1]HubMaster!$B$2:$B$7,MATCH(C959,[1]HubMaster!$A$2:$A$7,0)),"Unknown")</f>
        <v>South</v>
      </c>
      <c r="E959" s="2" t="str">
        <f>PROPER(TRIM(SUBSTITUTE([1]RawShipmentData!D967,"  "," ")))</f>
        <v>Dtdc</v>
      </c>
      <c r="F959" s="2" t="str">
        <f>PROPER(TRIM([1]RawShipmentData!E967))</f>
        <v>Road</v>
      </c>
      <c r="G959" s="2" t="str">
        <f>PROPER(TRIM(SUBSTITUTE([1]RawShipmentData!F967,"  "," ")))</f>
        <v>Electronics</v>
      </c>
      <c r="H959" s="2" t="str">
        <f>PROPER(TRIM([1]RawShipmentData!G967))</f>
        <v>East</v>
      </c>
      <c r="I959" s="2" t="str">
        <f t="shared" si="70"/>
        <v>Yes</v>
      </c>
      <c r="J959" s="2">
        <f>IFERROR(VALUE(TRIM(SUBSTITUTE(UPPER([1]RawShipmentData!I959),"KG",""))),"")</f>
        <v>6.6</v>
      </c>
      <c r="K959" s="2">
        <f>VALUE(SUBSTITUTE(SUBSTITUTE(SUBSTITUTE(TRIM([1]RawShipmentData!J967),"₹",""),"Rs",""),",",""))</f>
        <v>255</v>
      </c>
      <c r="L959" s="2">
        <f>[1]RawShipmentData!K967</f>
        <v>8</v>
      </c>
      <c r="M959" s="3">
        <f>IF(TRIM([1]RawShipmentData!L967)="","",IF(ISNUMBER(SEARCH("/",TRIM([1]RawShipmentData!L967))),DATE(VALUE(RIGHT(TRIM([1]RawShipmentData!L967),4)),VALUE(MID(TRIM([1]RawShipmentData!L967),FIND("/",TRIM([1]RawShipmentData!L967))+1,2)),VALUE(LEFT(TRIM([1]RawShipmentData!L967),FIND("/",TRIM([1]RawShipmentData!L967))-1))),DATEVALUE(TRIM([1]RawShipmentData!L967))))</f>
        <v>45418</v>
      </c>
      <c r="N959" s="2">
        <f t="shared" si="71"/>
        <v>10</v>
      </c>
      <c r="O959" s="2">
        <f t="shared" si="72"/>
        <v>2</v>
      </c>
      <c r="P959" s="2" t="str">
        <f t="shared" si="73"/>
        <v>Late</v>
      </c>
      <c r="Q959" s="2" t="str">
        <f>PROPER(SUBSTITUTE(TRIM([1]RawShipmentData!M967)," ","-"))</f>
        <v>Delayed</v>
      </c>
      <c r="R959" s="4">
        <f t="shared" si="74"/>
        <v>38.63636363636364</v>
      </c>
      <c r="S959" s="2">
        <f>[1]RawShipmentData!N967</f>
        <v>2</v>
      </c>
      <c r="T959" s="2" t="str">
        <f>IF(OR(UPPER(TRIM([1]RawShipmentData!O967))="YES",UPPER(TRIM([1]RawShipmentData!O967))="Y"),"Yes","No")</f>
        <v>Yes</v>
      </c>
    </row>
    <row r="960" spans="1:20" x14ac:dyDescent="0.25">
      <c r="A960" s="2" t="str">
        <f>[1]RawShipmentData!A968</f>
        <v>SHP-101581</v>
      </c>
      <c r="B960" s="3">
        <f>IF(ISNUMBER(SEARCH("/",TRIM([1]RawShipmentData!B968))),DATE(VALUE(RIGHT(TRIM([1]RawShipmentData!B968),4)),VALUE(MID(TRIM([1]RawShipmentData!B968),FIND("/",TRIM([1]RawShipmentData!B968))+1,2)),VALUE(LEFT(TRIM([1]RawShipmentData!B968),FIND("/",TRIM([1]RawShipmentData!B968))-1))),DATEVALUE(TRIM([1]RawShipmentData!B968)))</f>
        <v>45309</v>
      </c>
      <c r="C960" s="2" t="str">
        <f>PROPER(TRIM([1]RawShipmentData!C968))</f>
        <v>Delhi</v>
      </c>
      <c r="D960" s="2" t="str">
        <f>IFERROR(INDEX([1]HubMaster!$B$2:$B$7,MATCH(C960,[1]HubMaster!$A$2:$A$7,0)),"Unknown")</f>
        <v>North</v>
      </c>
      <c r="E960" s="2" t="str">
        <f>PROPER(TRIM(SUBSTITUTE([1]RawShipmentData!D968,"  "," ")))</f>
        <v>Delhivery</v>
      </c>
      <c r="F960" s="2" t="str">
        <f>PROPER(TRIM([1]RawShipmentData!E968))</f>
        <v>Road</v>
      </c>
      <c r="G960" s="2" t="str">
        <f>PROPER(TRIM(SUBSTITUTE([1]RawShipmentData!F968,"  "," ")))</f>
        <v>Apparel</v>
      </c>
      <c r="H960" s="2" t="str">
        <f>PROPER(TRIM([1]RawShipmentData!G968))</f>
        <v>South</v>
      </c>
      <c r="I960" s="2" t="str">
        <f t="shared" si="70"/>
        <v>Yes</v>
      </c>
      <c r="J960" s="2">
        <f>IFERROR(VALUE(TRIM(SUBSTITUTE(UPPER([1]RawShipmentData!I960),"KG",""))),"")</f>
        <v>2.5</v>
      </c>
      <c r="K960" s="2">
        <f>VALUE(SUBSTITUTE(SUBSTITUTE(SUBSTITUTE(TRIM([1]RawShipmentData!J968),"₹",""),"Rs",""),",",""))</f>
        <v>233</v>
      </c>
      <c r="L960" s="2">
        <f>[1]RawShipmentData!K968</f>
        <v>8</v>
      </c>
      <c r="M960" s="3">
        <f>IF(TRIM([1]RawShipmentData!L968)="","",IF(ISNUMBER(SEARCH("/",TRIM([1]RawShipmentData!L968))),DATE(VALUE(RIGHT(TRIM([1]RawShipmentData!L968),4)),VALUE(MID(TRIM([1]RawShipmentData!L968),FIND("/",TRIM([1]RawShipmentData!L968))+1,2)),VALUE(LEFT(TRIM([1]RawShipmentData!L968),FIND("/",TRIM([1]RawShipmentData!L968))-1))),DATEVALUE(TRIM([1]RawShipmentData!L968))))</f>
        <v>45318</v>
      </c>
      <c r="N960" s="2">
        <f t="shared" si="71"/>
        <v>9</v>
      </c>
      <c r="O960" s="2">
        <f t="shared" si="72"/>
        <v>1</v>
      </c>
      <c r="P960" s="2" t="str">
        <f t="shared" si="73"/>
        <v>Late</v>
      </c>
      <c r="Q960" s="2" t="str">
        <f>PROPER(SUBSTITUTE(TRIM([1]RawShipmentData!M968)," ","-"))</f>
        <v>Returned</v>
      </c>
      <c r="R960" s="4">
        <f t="shared" si="74"/>
        <v>93.2</v>
      </c>
      <c r="S960" s="2">
        <f>[1]RawShipmentData!N968</f>
        <v>0</v>
      </c>
      <c r="T960" s="2" t="str">
        <f>IF(OR(UPPER(TRIM([1]RawShipmentData!O968))="YES",UPPER(TRIM([1]RawShipmentData!O968))="Y"),"Yes","No")</f>
        <v>Yes</v>
      </c>
    </row>
    <row r="961" spans="1:20" x14ac:dyDescent="0.25">
      <c r="A961" s="2" t="str">
        <f>[1]RawShipmentData!A969</f>
        <v>SHP-100686</v>
      </c>
      <c r="B961" s="3">
        <f>IF(ISNUMBER(SEARCH("/",TRIM([1]RawShipmentData!B969))),DATE(VALUE(RIGHT(TRIM([1]RawShipmentData!B969),4)),VALUE(MID(TRIM([1]RawShipmentData!B969),FIND("/",TRIM([1]RawShipmentData!B969))+1,2)),VALUE(LEFT(TRIM([1]RawShipmentData!B969),FIND("/",TRIM([1]RawShipmentData!B969))-1))),DATEVALUE(TRIM([1]RawShipmentData!B969)))</f>
        <v>45404</v>
      </c>
      <c r="C961" s="2" t="str">
        <f>PROPER(TRIM([1]RawShipmentData!C969))</f>
        <v>Hyderabad</v>
      </c>
      <c r="D961" s="2" t="str">
        <f>IFERROR(INDEX([1]HubMaster!$B$2:$B$7,MATCH(C961,[1]HubMaster!$A$2:$A$7,0)),"Unknown")</f>
        <v>West</v>
      </c>
      <c r="E961" s="2" t="str">
        <f>PROPER(TRIM(SUBSTITUTE([1]RawShipmentData!D969,"  "," ")))</f>
        <v>Dtdc</v>
      </c>
      <c r="F961" s="2" t="str">
        <f>PROPER(TRIM([1]RawShipmentData!E969))</f>
        <v>Surface</v>
      </c>
      <c r="G961" s="2" t="str">
        <f>PROPER(TRIM(SUBSTITUTE([1]RawShipmentData!F969,"  "," ")))</f>
        <v>Automotive Parts</v>
      </c>
      <c r="H961" s="2" t="str">
        <f>PROPER(TRIM([1]RawShipmentData!G969))</f>
        <v>North</v>
      </c>
      <c r="I961" s="2" t="str">
        <f t="shared" si="70"/>
        <v>Yes</v>
      </c>
      <c r="J961" s="2">
        <f>IFERROR(VALUE(TRIM(SUBSTITUTE(UPPER([1]RawShipmentData!I961),"KG",""))),"")</f>
        <v>58.5</v>
      </c>
      <c r="K961" s="2">
        <f>VALUE(SUBSTITUTE(SUBSTITUTE(SUBSTITUTE(TRIM([1]RawShipmentData!J969),"₹",""),"Rs",""),",",""))</f>
        <v>309</v>
      </c>
      <c r="L961" s="2">
        <f>[1]RawShipmentData!K969</f>
        <v>6</v>
      </c>
      <c r="M961" s="3">
        <f>IF(TRIM([1]RawShipmentData!L969)="","",IF(ISNUMBER(SEARCH("/",TRIM([1]RawShipmentData!L969))),DATE(VALUE(RIGHT(TRIM([1]RawShipmentData!L969),4)),VALUE(MID(TRIM([1]RawShipmentData!L969),FIND("/",TRIM([1]RawShipmentData!L969))+1,2)),VALUE(LEFT(TRIM([1]RawShipmentData!L969),FIND("/",TRIM([1]RawShipmentData!L969))-1))),DATEVALUE(TRIM([1]RawShipmentData!L969))))</f>
        <v>45409</v>
      </c>
      <c r="N961" s="2">
        <f t="shared" si="71"/>
        <v>5</v>
      </c>
      <c r="O961" s="2">
        <f t="shared" si="72"/>
        <v>-1</v>
      </c>
      <c r="P961" s="2" t="str">
        <f t="shared" si="73"/>
        <v>On Time</v>
      </c>
      <c r="Q961" s="2" t="str">
        <f>PROPER(SUBSTITUTE(TRIM([1]RawShipmentData!M969)," ","-"))</f>
        <v>Delivered</v>
      </c>
      <c r="R961" s="4">
        <f t="shared" si="74"/>
        <v>5.2820512820512819</v>
      </c>
      <c r="S961" s="2">
        <f>[1]RawShipmentData!N969</f>
        <v>3</v>
      </c>
      <c r="T961" s="2" t="str">
        <f>IF(OR(UPPER(TRIM([1]RawShipmentData!O969))="YES",UPPER(TRIM([1]RawShipmentData!O969))="Y"),"Yes","No")</f>
        <v>Yes</v>
      </c>
    </row>
    <row r="962" spans="1:20" x14ac:dyDescent="0.25">
      <c r="A962" s="2" t="str">
        <f>[1]RawShipmentData!A970</f>
        <v>SHP-100795</v>
      </c>
      <c r="B962" s="3">
        <f>IF(ISNUMBER(SEARCH("/",TRIM([1]RawShipmentData!B970))),DATE(VALUE(RIGHT(TRIM([1]RawShipmentData!B970),4)),VALUE(MID(TRIM([1]RawShipmentData!B970),FIND("/",TRIM([1]RawShipmentData!B970))+1,2)),VALUE(LEFT(TRIM([1]RawShipmentData!B970),FIND("/",TRIM([1]RawShipmentData!B970))-1))),DATEVALUE(TRIM([1]RawShipmentData!B970)))</f>
        <v>45460</v>
      </c>
      <c r="C962" s="2" t="str">
        <f>PROPER(TRIM([1]RawShipmentData!C970))</f>
        <v>Kolkata</v>
      </c>
      <c r="D962" s="2" t="str">
        <f>IFERROR(INDEX([1]HubMaster!$B$2:$B$7,MATCH(C962,[1]HubMaster!$A$2:$A$7,0)),"Unknown")</f>
        <v>East</v>
      </c>
      <c r="E962" s="2" t="str">
        <f>PROPER(TRIM(SUBSTITUTE([1]RawShipmentData!D970,"  "," ")))</f>
        <v>Dtdc</v>
      </c>
      <c r="F962" s="2" t="str">
        <f>PROPER(TRIM([1]RawShipmentData!E970))</f>
        <v>Road</v>
      </c>
      <c r="G962" s="2" t="str">
        <f>PROPER(TRIM(SUBSTITUTE([1]RawShipmentData!F970,"  "," ")))</f>
        <v>Apparel</v>
      </c>
      <c r="H962" s="2" t="str">
        <f>PROPER(TRIM([1]RawShipmentData!G970))</f>
        <v>West</v>
      </c>
      <c r="I962" s="2" t="str">
        <f t="shared" ref="I962:I1025" si="75">IF(D962=H962,"No","Yes")</f>
        <v>Yes</v>
      </c>
      <c r="J962" s="2">
        <f>IFERROR(VALUE(TRIM(SUBSTITUTE(UPPER([1]RawShipmentData!I962),"KG",""))),"")</f>
        <v>1.2</v>
      </c>
      <c r="K962" s="2">
        <f>VALUE(SUBSTITUTE(SUBSTITUTE(SUBSTITUTE(TRIM([1]RawShipmentData!J970),"₹",""),"Rs",""),",",""))</f>
        <v>254</v>
      </c>
      <c r="L962" s="2">
        <f>[1]RawShipmentData!K970</f>
        <v>8</v>
      </c>
      <c r="M962" s="3">
        <f>IF(TRIM([1]RawShipmentData!L970)="","",IF(ISNUMBER(SEARCH("/",TRIM([1]RawShipmentData!L970))),DATE(VALUE(RIGHT(TRIM([1]RawShipmentData!L970),4)),VALUE(MID(TRIM([1]RawShipmentData!L970),FIND("/",TRIM([1]RawShipmentData!L970))+1,2)),VALUE(LEFT(TRIM([1]RawShipmentData!L970),FIND("/",TRIM([1]RawShipmentData!L970))-1))),DATEVALUE(TRIM([1]RawShipmentData!L970))))</f>
        <v>45467</v>
      </c>
      <c r="N962" s="2">
        <f t="shared" ref="N962:N1025" si="76">IF(M962="","",M962-B962)</f>
        <v>7</v>
      </c>
      <c r="O962" s="2">
        <f t="shared" ref="O962:O1025" si="77">IF(N962="","",N962-L962)</f>
        <v>-1</v>
      </c>
      <c r="P962" s="2" t="str">
        <f t="shared" ref="P962:P1025" si="78">IF(N962="","N/A",IF(N962&lt;=L962,"On Time","Late"))</f>
        <v>On Time</v>
      </c>
      <c r="Q962" s="2" t="str">
        <f>PROPER(SUBSTITUTE(TRIM([1]RawShipmentData!M970)," ","-"))</f>
        <v>Delivered</v>
      </c>
      <c r="R962" s="4">
        <f t="shared" si="74"/>
        <v>211.66666666666669</v>
      </c>
      <c r="S962" s="2">
        <f>[1]RawShipmentData!N970</f>
        <v>5</v>
      </c>
      <c r="T962" s="2" t="str">
        <f>IF(OR(UPPER(TRIM([1]RawShipmentData!O970))="YES",UPPER(TRIM([1]RawShipmentData!O970))="Y"),"Yes","No")</f>
        <v>Yes</v>
      </c>
    </row>
    <row r="963" spans="1:20" x14ac:dyDescent="0.25">
      <c r="A963" s="2" t="str">
        <f>[1]RawShipmentData!A971</f>
        <v>SHP-100619</v>
      </c>
      <c r="B963" s="3">
        <f>IF(ISNUMBER(SEARCH("/",TRIM([1]RawShipmentData!B971))),DATE(VALUE(RIGHT(TRIM([1]RawShipmentData!B971),4)),VALUE(MID(TRIM([1]RawShipmentData!B971),FIND("/",TRIM([1]RawShipmentData!B971))+1,2)),VALUE(LEFT(TRIM([1]RawShipmentData!B971),FIND("/",TRIM([1]RawShipmentData!B971))-1))),DATEVALUE(TRIM([1]RawShipmentData!B971)))</f>
        <v>45446</v>
      </c>
      <c r="C963" s="2" t="str">
        <f>PROPER(TRIM([1]RawShipmentData!C971))</f>
        <v>Delhi</v>
      </c>
      <c r="D963" s="2" t="str">
        <f>IFERROR(INDEX([1]HubMaster!$B$2:$B$7,MATCH(C963,[1]HubMaster!$A$2:$A$7,0)),"Unknown")</f>
        <v>North</v>
      </c>
      <c r="E963" s="2" t="str">
        <f>PROPER(TRIM(SUBSTITUTE([1]RawShipmentData!D971,"  "," ")))</f>
        <v>Dtdc</v>
      </c>
      <c r="F963" s="2" t="str">
        <f>PROPER(TRIM([1]RawShipmentData!E971))</f>
        <v>Air</v>
      </c>
      <c r="G963" s="2" t="str">
        <f>PROPER(TRIM(SUBSTITUTE([1]RawShipmentData!F971,"  "," ")))</f>
        <v>Pharma</v>
      </c>
      <c r="H963" s="2" t="str">
        <f>PROPER(TRIM([1]RawShipmentData!G971))</f>
        <v>West</v>
      </c>
      <c r="I963" s="2" t="str">
        <f t="shared" si="75"/>
        <v>Yes</v>
      </c>
      <c r="J963" s="2">
        <f>IFERROR(VALUE(TRIM(SUBSTITUTE(UPPER([1]RawShipmentData!I963),"KG",""))),"")</f>
        <v>8.9</v>
      </c>
      <c r="K963" s="2">
        <f>VALUE(SUBSTITUTE(SUBSTITUTE(SUBSTITUTE(TRIM([1]RawShipmentData!J971),"₹",""),"Rs",""),",",""))</f>
        <v>273</v>
      </c>
      <c r="L963" s="2">
        <f>[1]RawShipmentData!K971</f>
        <v>4</v>
      </c>
      <c r="M963" s="3">
        <f>IF(TRIM([1]RawShipmentData!L971)="","",IF(ISNUMBER(SEARCH("/",TRIM([1]RawShipmentData!L971))),DATE(VALUE(RIGHT(TRIM([1]RawShipmentData!L971),4)),VALUE(MID(TRIM([1]RawShipmentData!L971),FIND("/",TRIM([1]RawShipmentData!L971))+1,2)),VALUE(LEFT(TRIM([1]RawShipmentData!L971),FIND("/",TRIM([1]RawShipmentData!L971))-1))),DATEVALUE(TRIM([1]RawShipmentData!L971))))</f>
        <v>45459</v>
      </c>
      <c r="N963" s="2">
        <f t="shared" si="76"/>
        <v>13</v>
      </c>
      <c r="O963" s="2">
        <f t="shared" si="77"/>
        <v>9</v>
      </c>
      <c r="P963" s="2" t="str">
        <f t="shared" si="78"/>
        <v>Late</v>
      </c>
      <c r="Q963" s="2" t="str">
        <f>PROPER(SUBSTITUTE(TRIM([1]RawShipmentData!M971)," ","-"))</f>
        <v>Delayed</v>
      </c>
      <c r="R963" s="4">
        <f t="shared" ref="R963:R1026" si="79">IFERROR(K963/J963,"")</f>
        <v>30.674157303370784</v>
      </c>
      <c r="S963" s="2">
        <f>[1]RawShipmentData!N971</f>
        <v>1</v>
      </c>
      <c r="T963" s="2" t="str">
        <f>IF(OR(UPPER(TRIM([1]RawShipmentData!O971))="YES",UPPER(TRIM([1]RawShipmentData!O971))="Y"),"Yes","No")</f>
        <v>No</v>
      </c>
    </row>
    <row r="964" spans="1:20" x14ac:dyDescent="0.25">
      <c r="A964" s="2" t="str">
        <f>[1]RawShipmentData!A972</f>
        <v>SHP-100451</v>
      </c>
      <c r="B964" s="3">
        <f>IF(ISNUMBER(SEARCH("/",TRIM([1]RawShipmentData!B972))),DATE(VALUE(RIGHT(TRIM([1]RawShipmentData!B972),4)),VALUE(MID(TRIM([1]RawShipmentData!B972),FIND("/",TRIM([1]RawShipmentData!B972))+1,2)),VALUE(LEFT(TRIM([1]RawShipmentData!B972),FIND("/",TRIM([1]RawShipmentData!B972))-1))),DATEVALUE(TRIM([1]RawShipmentData!B972)))</f>
        <v>45365</v>
      </c>
      <c r="C964" s="2" t="str">
        <f>PROPER(TRIM([1]RawShipmentData!C972))</f>
        <v>Mumbai</v>
      </c>
      <c r="D964" s="2" t="str">
        <f>IFERROR(INDEX([1]HubMaster!$B$2:$B$7,MATCH(C964,[1]HubMaster!$A$2:$A$7,0)),"Unknown")</f>
        <v>West</v>
      </c>
      <c r="E964" s="2" t="str">
        <f>PROPER(TRIM(SUBSTITUTE([1]RawShipmentData!D972,"  "," ")))</f>
        <v>Bluedart</v>
      </c>
      <c r="F964" s="2" t="str">
        <f>PROPER(TRIM([1]RawShipmentData!E972))</f>
        <v>Road</v>
      </c>
      <c r="G964" s="2" t="str">
        <f>PROPER(TRIM(SUBSTITUTE([1]RawShipmentData!F972,"  "," ")))</f>
        <v>Electronics</v>
      </c>
      <c r="H964" s="2" t="str">
        <f>PROPER(TRIM([1]RawShipmentData!G972))</f>
        <v>East</v>
      </c>
      <c r="I964" s="2" t="str">
        <f t="shared" si="75"/>
        <v>Yes</v>
      </c>
      <c r="J964" s="2">
        <f>IFERROR(VALUE(TRIM(SUBSTITUTE(UPPER([1]RawShipmentData!I964),"KG",""))),"")</f>
        <v>1.8</v>
      </c>
      <c r="K964" s="2">
        <f>VALUE(SUBSTITUTE(SUBSTITUTE(SUBSTITUTE(TRIM([1]RawShipmentData!J972),"₹",""),"Rs",""),",",""))</f>
        <v>288</v>
      </c>
      <c r="L964" s="2">
        <f>[1]RawShipmentData!K972</f>
        <v>8</v>
      </c>
      <c r="M964" s="3">
        <f>IF(TRIM([1]RawShipmentData!L972)="","",IF(ISNUMBER(SEARCH("/",TRIM([1]RawShipmentData!L972))),DATE(VALUE(RIGHT(TRIM([1]RawShipmentData!L972),4)),VALUE(MID(TRIM([1]RawShipmentData!L972),FIND("/",TRIM([1]RawShipmentData!L972))+1,2)),VALUE(LEFT(TRIM([1]RawShipmentData!L972),FIND("/",TRIM([1]RawShipmentData!L972))-1))),DATEVALUE(TRIM([1]RawShipmentData!L972))))</f>
        <v>45372</v>
      </c>
      <c r="N964" s="2">
        <f t="shared" si="76"/>
        <v>7</v>
      </c>
      <c r="O964" s="2">
        <f t="shared" si="77"/>
        <v>-1</v>
      </c>
      <c r="P964" s="2" t="str">
        <f t="shared" si="78"/>
        <v>On Time</v>
      </c>
      <c r="Q964" s="2" t="str">
        <f>PROPER(SUBSTITUTE(TRIM([1]RawShipmentData!M972)," ","-"))</f>
        <v>Delivered</v>
      </c>
      <c r="R964" s="4">
        <f t="shared" si="79"/>
        <v>160</v>
      </c>
      <c r="S964" s="2">
        <f>[1]RawShipmentData!N972</f>
        <v>3</v>
      </c>
      <c r="T964" s="2" t="str">
        <f>IF(OR(UPPER(TRIM([1]RawShipmentData!O972))="YES",UPPER(TRIM([1]RawShipmentData!O972))="Y"),"Yes","No")</f>
        <v>No</v>
      </c>
    </row>
    <row r="965" spans="1:20" x14ac:dyDescent="0.25">
      <c r="A965" s="2" t="str">
        <f>[1]RawShipmentData!A973</f>
        <v>SHP-101468</v>
      </c>
      <c r="B965" s="3">
        <f>IF(ISNUMBER(SEARCH("/",TRIM([1]RawShipmentData!B973))),DATE(VALUE(RIGHT(TRIM([1]RawShipmentData!B973),4)),VALUE(MID(TRIM([1]RawShipmentData!B973),FIND("/",TRIM([1]RawShipmentData!B973))+1,2)),VALUE(LEFT(TRIM([1]RawShipmentData!B973),FIND("/",TRIM([1]RawShipmentData!B973))-1))),DATEVALUE(TRIM([1]RawShipmentData!B973)))</f>
        <v>45403</v>
      </c>
      <c r="C965" s="2" t="str">
        <f>PROPER(TRIM([1]RawShipmentData!C973))</f>
        <v>Kolkata</v>
      </c>
      <c r="D965" s="2" t="str">
        <f>IFERROR(INDEX([1]HubMaster!$B$2:$B$7,MATCH(C965,[1]HubMaster!$A$2:$A$7,0)),"Unknown")</f>
        <v>East</v>
      </c>
      <c r="E965" s="2" t="str">
        <f>PROPER(TRIM(SUBSTITUTE([1]RawShipmentData!D973,"  "," ")))</f>
        <v>Dtdc</v>
      </c>
      <c r="F965" s="2" t="str">
        <f>PROPER(TRIM([1]RawShipmentData!E973))</f>
        <v>Surface</v>
      </c>
      <c r="G965" s="2" t="str">
        <f>PROPER(TRIM(SUBSTITUTE([1]RawShipmentData!F973,"  "," ")))</f>
        <v>Apparel</v>
      </c>
      <c r="H965" s="2" t="str">
        <f>PROPER(TRIM([1]RawShipmentData!G973))</f>
        <v>East</v>
      </c>
      <c r="I965" s="2" t="str">
        <f t="shared" si="75"/>
        <v>No</v>
      </c>
      <c r="J965" s="2">
        <f>IFERROR(VALUE(TRIM(SUBSTITUTE(UPPER([1]RawShipmentData!I965),"KG",""))),"")</f>
        <v>4</v>
      </c>
      <c r="K965" s="2">
        <f>VALUE(SUBSTITUTE(SUBSTITUTE(SUBSTITUTE(TRIM([1]RawShipmentData!J973),"₹",""),"Rs",""),",",""))</f>
        <v>104</v>
      </c>
      <c r="L965" s="2">
        <f>[1]RawShipmentData!K973</f>
        <v>4</v>
      </c>
      <c r="M965" s="3">
        <f>IF(TRIM([1]RawShipmentData!L973)="","",IF(ISNUMBER(SEARCH("/",TRIM([1]RawShipmentData!L973))),DATE(VALUE(RIGHT(TRIM([1]RawShipmentData!L973),4)),VALUE(MID(TRIM([1]RawShipmentData!L973),FIND("/",TRIM([1]RawShipmentData!L973))+1,2)),VALUE(LEFT(TRIM([1]RawShipmentData!L973),FIND("/",TRIM([1]RawShipmentData!L973))-1))),DATEVALUE(TRIM([1]RawShipmentData!L973))))</f>
        <v>45414</v>
      </c>
      <c r="N965" s="2">
        <f t="shared" si="76"/>
        <v>11</v>
      </c>
      <c r="O965" s="2">
        <f t="shared" si="77"/>
        <v>7</v>
      </c>
      <c r="P965" s="2" t="str">
        <f t="shared" si="78"/>
        <v>Late</v>
      </c>
      <c r="Q965" s="2" t="str">
        <f>PROPER(SUBSTITUTE(TRIM([1]RawShipmentData!M973)," ","-"))</f>
        <v>Delayed</v>
      </c>
      <c r="R965" s="4">
        <f t="shared" si="79"/>
        <v>26</v>
      </c>
      <c r="S965" s="2">
        <f>[1]RawShipmentData!N973</f>
        <v>4</v>
      </c>
      <c r="T965" s="2" t="str">
        <f>IF(OR(UPPER(TRIM([1]RawShipmentData!O973))="YES",UPPER(TRIM([1]RawShipmentData!O973))="Y"),"Yes","No")</f>
        <v>No</v>
      </c>
    </row>
    <row r="966" spans="1:20" x14ac:dyDescent="0.25">
      <c r="A966" s="2" t="str">
        <f>[1]RawShipmentData!A974</f>
        <v>SHP-101557</v>
      </c>
      <c r="B966" s="3">
        <f>IF(ISNUMBER(SEARCH("/",TRIM([1]RawShipmentData!B974))),DATE(VALUE(RIGHT(TRIM([1]RawShipmentData!B974),4)),VALUE(MID(TRIM([1]RawShipmentData!B974),FIND("/",TRIM([1]RawShipmentData!B974))+1,2)),VALUE(LEFT(TRIM([1]RawShipmentData!B974),FIND("/",TRIM([1]RawShipmentData!B974))-1))),DATEVALUE(TRIM([1]RawShipmentData!B974)))</f>
        <v>45369</v>
      </c>
      <c r="C966" s="2" t="str">
        <f>PROPER(TRIM([1]RawShipmentData!C974))</f>
        <v>Hyderabad</v>
      </c>
      <c r="D966" s="2" t="str">
        <f>IFERROR(INDEX([1]HubMaster!$B$2:$B$7,MATCH(C966,[1]HubMaster!$A$2:$A$7,0)),"Unknown")</f>
        <v>West</v>
      </c>
      <c r="E966" s="2" t="str">
        <f>PROPER(TRIM(SUBSTITUTE([1]RawShipmentData!D974,"  "," ")))</f>
        <v>Dtdc</v>
      </c>
      <c r="F966" s="2" t="str">
        <f>PROPER(TRIM([1]RawShipmentData!E974))</f>
        <v>Air</v>
      </c>
      <c r="G966" s="2" t="str">
        <f>PROPER(TRIM(SUBSTITUTE([1]RawShipmentData!F974,"  "," ")))</f>
        <v>Grocery &amp; Fmcg</v>
      </c>
      <c r="H966" s="2" t="str">
        <f>PROPER(TRIM([1]RawShipmentData!G974))</f>
        <v>East</v>
      </c>
      <c r="I966" s="2" t="str">
        <f t="shared" si="75"/>
        <v>Yes</v>
      </c>
      <c r="J966" s="2">
        <f>IFERROR(VALUE(TRIM(SUBSTITUTE(UPPER([1]RawShipmentData!I966),"KG",""))),"")</f>
        <v>12.9</v>
      </c>
      <c r="K966" s="2">
        <f>VALUE(SUBSTITUTE(SUBSTITUTE(SUBSTITUTE(TRIM([1]RawShipmentData!J974),"₹",""),"Rs",""),",",""))</f>
        <v>891</v>
      </c>
      <c r="L966" s="2">
        <f>[1]RawShipmentData!K974</f>
        <v>4</v>
      </c>
      <c r="M966" s="3">
        <f>IF(TRIM([1]RawShipmentData!L974)="","",IF(ISNUMBER(SEARCH("/",TRIM([1]RawShipmentData!L974))),DATE(VALUE(RIGHT(TRIM([1]RawShipmentData!L974),4)),VALUE(MID(TRIM([1]RawShipmentData!L974),FIND("/",TRIM([1]RawShipmentData!L974))+1,2)),VALUE(LEFT(TRIM([1]RawShipmentData!L974),FIND("/",TRIM([1]RawShipmentData!L974))-1))),DATEVALUE(TRIM([1]RawShipmentData!L974))))</f>
        <v>45374</v>
      </c>
      <c r="N966" s="2">
        <f t="shared" si="76"/>
        <v>5</v>
      </c>
      <c r="O966" s="2">
        <f t="shared" si="77"/>
        <v>1</v>
      </c>
      <c r="P966" s="2" t="str">
        <f t="shared" si="78"/>
        <v>Late</v>
      </c>
      <c r="Q966" s="2" t="str">
        <f>PROPER(SUBSTITUTE(TRIM([1]RawShipmentData!M974)," ","-"))</f>
        <v>Delayed</v>
      </c>
      <c r="R966" s="4">
        <f t="shared" si="79"/>
        <v>69.069767441860463</v>
      </c>
      <c r="S966" s="2">
        <f>[1]RawShipmentData!N974</f>
        <v>2</v>
      </c>
      <c r="T966" s="2" t="str">
        <f>IF(OR(UPPER(TRIM([1]RawShipmentData!O974))="YES",UPPER(TRIM([1]RawShipmentData!O974))="Y"),"Yes","No")</f>
        <v>No</v>
      </c>
    </row>
    <row r="967" spans="1:20" x14ac:dyDescent="0.25">
      <c r="A967" s="2" t="str">
        <f>[1]RawShipmentData!A975</f>
        <v>SHP-100425</v>
      </c>
      <c r="B967" s="3">
        <f>IF(ISNUMBER(SEARCH("/",TRIM([1]RawShipmentData!B975))),DATE(VALUE(RIGHT(TRIM([1]RawShipmentData!B975),4)),VALUE(MID(TRIM([1]RawShipmentData!B975),FIND("/",TRIM([1]RawShipmentData!B975))+1,2)),VALUE(LEFT(TRIM([1]RawShipmentData!B975),FIND("/",TRIM([1]RawShipmentData!B975))-1))),DATEVALUE(TRIM([1]RawShipmentData!B975)))</f>
        <v>45338</v>
      </c>
      <c r="C967" s="2" t="str">
        <f>PROPER(TRIM([1]RawShipmentData!C975))</f>
        <v>Kolkata</v>
      </c>
      <c r="D967" s="2" t="str">
        <f>IFERROR(INDEX([1]HubMaster!$B$2:$B$7,MATCH(C967,[1]HubMaster!$A$2:$A$7,0)),"Unknown")</f>
        <v>East</v>
      </c>
      <c r="E967" s="2" t="str">
        <f>PROPER(TRIM(SUBSTITUTE([1]RawShipmentData!D975,"  "," ")))</f>
        <v>Ecom Express</v>
      </c>
      <c r="F967" s="2" t="str">
        <f>PROPER(TRIM([1]RawShipmentData!E975))</f>
        <v>Road</v>
      </c>
      <c r="G967" s="2" t="str">
        <f>PROPER(TRIM(SUBSTITUTE([1]RawShipmentData!F975,"  "," ")))</f>
        <v>Grocery &amp; Fmcg</v>
      </c>
      <c r="H967" s="2" t="str">
        <f>PROPER(TRIM([1]RawShipmentData!G975))</f>
        <v>South</v>
      </c>
      <c r="I967" s="2" t="str">
        <f t="shared" si="75"/>
        <v>Yes</v>
      </c>
      <c r="J967" s="2">
        <f>IFERROR(VALUE(TRIM(SUBSTITUTE(UPPER([1]RawShipmentData!I967),"KG",""))),"")</f>
        <v>8.3000000000000007</v>
      </c>
      <c r="K967" s="2">
        <f>VALUE(SUBSTITUTE(SUBSTITUTE(SUBSTITUTE(TRIM([1]RawShipmentData!J975),"₹",""),"Rs",""),",",""))</f>
        <v>244</v>
      </c>
      <c r="L967" s="2">
        <f>[1]RawShipmentData!K975</f>
        <v>8</v>
      </c>
      <c r="M967" s="3">
        <f>IF(TRIM([1]RawShipmentData!L975)="","",IF(ISNUMBER(SEARCH("/",TRIM([1]RawShipmentData!L975))),DATE(VALUE(RIGHT(TRIM([1]RawShipmentData!L975),4)),VALUE(MID(TRIM([1]RawShipmentData!L975),FIND("/",TRIM([1]RawShipmentData!L975))+1,2)),VALUE(LEFT(TRIM([1]RawShipmentData!L975),FIND("/",TRIM([1]RawShipmentData!L975))-1))),DATEVALUE(TRIM([1]RawShipmentData!L975))))</f>
        <v>45347</v>
      </c>
      <c r="N967" s="2">
        <f t="shared" si="76"/>
        <v>9</v>
      </c>
      <c r="O967" s="2">
        <f t="shared" si="77"/>
        <v>1</v>
      </c>
      <c r="P967" s="2" t="str">
        <f t="shared" si="78"/>
        <v>Late</v>
      </c>
      <c r="Q967" s="2" t="str">
        <f>PROPER(SUBSTITUTE(TRIM([1]RawShipmentData!M975)," ","-"))</f>
        <v>Delayed</v>
      </c>
      <c r="R967" s="4">
        <f t="shared" si="79"/>
        <v>29.397590361445779</v>
      </c>
      <c r="S967" s="2">
        <f>[1]RawShipmentData!N975</f>
        <v>4</v>
      </c>
      <c r="T967" s="2" t="str">
        <f>IF(OR(UPPER(TRIM([1]RawShipmentData!O975))="YES",UPPER(TRIM([1]RawShipmentData!O975))="Y"),"Yes","No")</f>
        <v>No</v>
      </c>
    </row>
    <row r="968" spans="1:20" x14ac:dyDescent="0.25">
      <c r="A968" s="2" t="str">
        <f>[1]RawShipmentData!A976</f>
        <v>SHP-100504</v>
      </c>
      <c r="B968" s="3">
        <f>IF(ISNUMBER(SEARCH("/",TRIM([1]RawShipmentData!B976))),DATE(VALUE(RIGHT(TRIM([1]RawShipmentData!B976),4)),VALUE(MID(TRIM([1]RawShipmentData!B976),FIND("/",TRIM([1]RawShipmentData!B976))+1,2)),VALUE(LEFT(TRIM([1]RawShipmentData!B976),FIND("/",TRIM([1]RawShipmentData!B976))-1))),DATEVALUE(TRIM([1]RawShipmentData!B976)))</f>
        <v>45328</v>
      </c>
      <c r="C968" s="2" t="str">
        <f>PROPER(TRIM([1]RawShipmentData!C976))</f>
        <v>Bengaluru</v>
      </c>
      <c r="D968" s="2" t="str">
        <f>IFERROR(INDEX([1]HubMaster!$B$2:$B$7,MATCH(C968,[1]HubMaster!$A$2:$A$7,0)),"Unknown")</f>
        <v>South</v>
      </c>
      <c r="E968" s="2" t="str">
        <f>PROPER(TRIM(SUBSTITUTE([1]RawShipmentData!D976,"  "," ")))</f>
        <v>Ecom Express</v>
      </c>
      <c r="F968" s="2" t="str">
        <f>PROPER(TRIM([1]RawShipmentData!E976))</f>
        <v>Road</v>
      </c>
      <c r="G968" s="2" t="str">
        <f>PROPER(TRIM(SUBSTITUTE([1]RawShipmentData!F976,"  "," ")))</f>
        <v>Grocery &amp; Fmcg</v>
      </c>
      <c r="H968" s="2" t="str">
        <f>PROPER(TRIM([1]RawShipmentData!G976))</f>
        <v>West</v>
      </c>
      <c r="I968" s="2" t="str">
        <f t="shared" si="75"/>
        <v>Yes</v>
      </c>
      <c r="J968" s="2">
        <f>IFERROR(VALUE(TRIM(SUBSTITUTE(UPPER([1]RawShipmentData!I968),"KG",""))),"")</f>
        <v>3.2</v>
      </c>
      <c r="K968" s="2">
        <f>VALUE(SUBSTITUTE(SUBSTITUTE(SUBSTITUTE(TRIM([1]RawShipmentData!J976),"₹",""),"Rs",""),",",""))</f>
        <v>295</v>
      </c>
      <c r="L968" s="2">
        <f>[1]RawShipmentData!K976</f>
        <v>8</v>
      </c>
      <c r="M968" s="3">
        <f>IF(TRIM([1]RawShipmentData!L976)="","",IF(ISNUMBER(SEARCH("/",TRIM([1]RawShipmentData!L976))),DATE(VALUE(RIGHT(TRIM([1]RawShipmentData!L976),4)),VALUE(MID(TRIM([1]RawShipmentData!L976),FIND("/",TRIM([1]RawShipmentData!L976))+1,2)),VALUE(LEFT(TRIM([1]RawShipmentData!L976),FIND("/",TRIM([1]RawShipmentData!L976))-1))),DATEVALUE(TRIM([1]RawShipmentData!L976))))</f>
        <v>45337</v>
      </c>
      <c r="N968" s="2">
        <f t="shared" si="76"/>
        <v>9</v>
      </c>
      <c r="O968" s="2">
        <f t="shared" si="77"/>
        <v>1</v>
      </c>
      <c r="P968" s="2" t="str">
        <f t="shared" si="78"/>
        <v>Late</v>
      </c>
      <c r="Q968" s="2" t="str">
        <f>PROPER(SUBSTITUTE(TRIM([1]RawShipmentData!M976)," ","-"))</f>
        <v>Damaged</v>
      </c>
      <c r="R968" s="4">
        <f t="shared" si="79"/>
        <v>92.1875</v>
      </c>
      <c r="S968" s="2">
        <f>[1]RawShipmentData!N976</f>
        <v>0</v>
      </c>
      <c r="T968" s="2" t="str">
        <f>IF(OR(UPPER(TRIM([1]RawShipmentData!O976))="YES",UPPER(TRIM([1]RawShipmentData!O976))="Y"),"Yes","No")</f>
        <v>No</v>
      </c>
    </row>
    <row r="969" spans="1:20" x14ac:dyDescent="0.25">
      <c r="A969" s="2" t="str">
        <f>[1]RawShipmentData!A977</f>
        <v>SHP-100965</v>
      </c>
      <c r="B969" s="3">
        <f>IF(ISNUMBER(SEARCH("/",TRIM([1]RawShipmentData!B977))),DATE(VALUE(RIGHT(TRIM([1]RawShipmentData!B977),4)),VALUE(MID(TRIM([1]RawShipmentData!B977),FIND("/",TRIM([1]RawShipmentData!B977))+1,2)),VALUE(LEFT(TRIM([1]RawShipmentData!B977),FIND("/",TRIM([1]RawShipmentData!B977))-1))),DATEVALUE(TRIM([1]RawShipmentData!B977)))</f>
        <v>45349</v>
      </c>
      <c r="C969" s="2" t="str">
        <f>PROPER(TRIM([1]RawShipmentData!C977))</f>
        <v>Bengaluru</v>
      </c>
      <c r="D969" s="2" t="str">
        <f>IFERROR(INDEX([1]HubMaster!$B$2:$B$7,MATCH(C969,[1]HubMaster!$A$2:$A$7,0)),"Unknown")</f>
        <v>South</v>
      </c>
      <c r="E969" s="2" t="str">
        <f>PROPER(TRIM(SUBSTITUTE([1]RawShipmentData!D977,"  "," ")))</f>
        <v>Dtdc</v>
      </c>
      <c r="F969" s="2" t="str">
        <f>PROPER(TRIM([1]RawShipmentData!E977))</f>
        <v>Surface</v>
      </c>
      <c r="G969" s="2" t="str">
        <f>PROPER(TRIM(SUBSTITUTE([1]RawShipmentData!F977,"  "," ")))</f>
        <v>Grocery &amp; Fmcg</v>
      </c>
      <c r="H969" s="2" t="str">
        <f>PROPER(TRIM([1]RawShipmentData!G977))</f>
        <v>South</v>
      </c>
      <c r="I969" s="2" t="str">
        <f t="shared" si="75"/>
        <v>No</v>
      </c>
      <c r="J969" s="2">
        <f>IFERROR(VALUE(TRIM(SUBSTITUTE(UPPER([1]RawShipmentData!I969),"KG",""))),"")</f>
        <v>7.7</v>
      </c>
      <c r="K969" s="2">
        <f>VALUE(SUBSTITUTE(SUBSTITUTE(SUBSTITUTE(TRIM([1]RawShipmentData!J977),"₹",""),"Rs",""),",",""))</f>
        <v>80</v>
      </c>
      <c r="L969" s="2">
        <f>[1]RawShipmentData!K977</f>
        <v>4</v>
      </c>
      <c r="M969" s="3">
        <f>IF(TRIM([1]RawShipmentData!L977)="","",IF(ISNUMBER(SEARCH("/",TRIM([1]RawShipmentData!L977))),DATE(VALUE(RIGHT(TRIM([1]RawShipmentData!L977),4)),VALUE(MID(TRIM([1]RawShipmentData!L977),FIND("/",TRIM([1]RawShipmentData!L977))+1,2)),VALUE(LEFT(TRIM([1]RawShipmentData!L977),FIND("/",TRIM([1]RawShipmentData!L977))-1))),DATEVALUE(TRIM([1]RawShipmentData!L977))))</f>
        <v>45353</v>
      </c>
      <c r="N969" s="2">
        <f t="shared" si="76"/>
        <v>4</v>
      </c>
      <c r="O969" s="2">
        <f t="shared" si="77"/>
        <v>0</v>
      </c>
      <c r="P969" s="2" t="str">
        <f t="shared" si="78"/>
        <v>On Time</v>
      </c>
      <c r="Q969" s="2" t="str">
        <f>PROPER(SUBSTITUTE(TRIM([1]RawShipmentData!M977)," ","-"))</f>
        <v>Delivered</v>
      </c>
      <c r="R969" s="4">
        <f t="shared" si="79"/>
        <v>10.38961038961039</v>
      </c>
      <c r="S969" s="2">
        <f>[1]RawShipmentData!N977</f>
        <v>5</v>
      </c>
      <c r="T969" s="2" t="str">
        <f>IF(OR(UPPER(TRIM([1]RawShipmentData!O977))="YES",UPPER(TRIM([1]RawShipmentData!O977))="Y"),"Yes","No")</f>
        <v>Yes</v>
      </c>
    </row>
    <row r="970" spans="1:20" x14ac:dyDescent="0.25">
      <c r="A970" s="2" t="str">
        <f>[1]RawShipmentData!A978</f>
        <v>SHP-100079</v>
      </c>
      <c r="B970" s="3">
        <f>IF(ISNUMBER(SEARCH("/",TRIM([1]RawShipmentData!B978))),DATE(VALUE(RIGHT(TRIM([1]RawShipmentData!B978),4)),VALUE(MID(TRIM([1]RawShipmentData!B978),FIND("/",TRIM([1]RawShipmentData!B978))+1,2)),VALUE(LEFT(TRIM([1]RawShipmentData!B978),FIND("/",TRIM([1]RawShipmentData!B978))-1))),DATEVALUE(TRIM([1]RawShipmentData!B978)))</f>
        <v>45429</v>
      </c>
      <c r="C970" s="2" t="str">
        <f>PROPER(TRIM([1]RawShipmentData!C978))</f>
        <v>Mumbai</v>
      </c>
      <c r="D970" s="2" t="str">
        <f>IFERROR(INDEX([1]HubMaster!$B$2:$B$7,MATCH(C970,[1]HubMaster!$A$2:$A$7,0)),"Unknown")</f>
        <v>West</v>
      </c>
      <c r="E970" s="2" t="str">
        <f>PROPER(TRIM(SUBSTITUTE([1]RawShipmentData!D978,"  "," ")))</f>
        <v>Ecom Express</v>
      </c>
      <c r="F970" s="2" t="str">
        <f>PROPER(TRIM([1]RawShipmentData!E978))</f>
        <v>Air</v>
      </c>
      <c r="G970" s="2" t="str">
        <f>PROPER(TRIM(SUBSTITUTE([1]RawShipmentData!F978,"  "," ")))</f>
        <v>Pharma</v>
      </c>
      <c r="H970" s="2" t="str">
        <f>PROPER(TRIM([1]RawShipmentData!G978))</f>
        <v>West</v>
      </c>
      <c r="I970" s="2" t="str">
        <f t="shared" si="75"/>
        <v>No</v>
      </c>
      <c r="J970" s="2">
        <f>IFERROR(VALUE(TRIM(SUBSTITUTE(UPPER([1]RawShipmentData!I970),"KG",""))),"")</f>
        <v>6.8</v>
      </c>
      <c r="K970" s="2">
        <f>VALUE(SUBSTITUTE(SUBSTITUTE(SUBSTITUTE(TRIM([1]RawShipmentData!J978),"₹",""),"Rs",""),",",""))</f>
        <v>211</v>
      </c>
      <c r="L970" s="2">
        <f>[1]RawShipmentData!K978</f>
        <v>2</v>
      </c>
      <c r="M970" s="3">
        <f>IF(TRIM([1]RawShipmentData!L978)="","",IF(ISNUMBER(SEARCH("/",TRIM([1]RawShipmentData!L978))),DATE(VALUE(RIGHT(TRIM([1]RawShipmentData!L978),4)),VALUE(MID(TRIM([1]RawShipmentData!L978),FIND("/",TRIM([1]RawShipmentData!L978))+1,2)),VALUE(LEFT(TRIM([1]RawShipmentData!L978),FIND("/",TRIM([1]RawShipmentData!L978))-1))),DATEVALUE(TRIM([1]RawShipmentData!L978))))</f>
        <v>45431</v>
      </c>
      <c r="N970" s="2">
        <f t="shared" si="76"/>
        <v>2</v>
      </c>
      <c r="O970" s="2">
        <f t="shared" si="77"/>
        <v>0</v>
      </c>
      <c r="P970" s="2" t="str">
        <f t="shared" si="78"/>
        <v>On Time</v>
      </c>
      <c r="Q970" s="2" t="str">
        <f>PROPER(SUBSTITUTE(TRIM([1]RawShipmentData!M978)," ","-"))</f>
        <v>Delivered</v>
      </c>
      <c r="R970" s="4">
        <f t="shared" si="79"/>
        <v>31.029411764705884</v>
      </c>
      <c r="S970" s="2">
        <f>[1]RawShipmentData!N978</f>
        <v>5</v>
      </c>
      <c r="T970" s="2" t="str">
        <f>IF(OR(UPPER(TRIM([1]RawShipmentData!O978))="YES",UPPER(TRIM([1]RawShipmentData!O978))="Y"),"Yes","No")</f>
        <v>Yes</v>
      </c>
    </row>
    <row r="971" spans="1:20" x14ac:dyDescent="0.25">
      <c r="A971" s="2" t="str">
        <f>[1]RawShipmentData!A979</f>
        <v>SHP-100847</v>
      </c>
      <c r="B971" s="3">
        <f>IF(ISNUMBER(SEARCH("/",TRIM([1]RawShipmentData!B979))),DATE(VALUE(RIGHT(TRIM([1]RawShipmentData!B979),4)),VALUE(MID(TRIM([1]RawShipmentData!B979),FIND("/",TRIM([1]RawShipmentData!B979))+1,2)),VALUE(LEFT(TRIM([1]RawShipmentData!B979),FIND("/",TRIM([1]RawShipmentData!B979))-1))),DATEVALUE(TRIM([1]RawShipmentData!B979)))</f>
        <v>45401</v>
      </c>
      <c r="C971" s="2" t="str">
        <f>PROPER(TRIM([1]RawShipmentData!C979))</f>
        <v>Delhi</v>
      </c>
      <c r="D971" s="2" t="str">
        <f>IFERROR(INDEX([1]HubMaster!$B$2:$B$7,MATCH(C971,[1]HubMaster!$A$2:$A$7,0)),"Unknown")</f>
        <v>North</v>
      </c>
      <c r="E971" s="2" t="str">
        <f>PROPER(TRIM(SUBSTITUTE([1]RawShipmentData!D979,"  "," ")))</f>
        <v>Ecom Express</v>
      </c>
      <c r="F971" s="2" t="str">
        <f>PROPER(TRIM([1]RawShipmentData!E979))</f>
        <v>Air</v>
      </c>
      <c r="G971" s="2" t="str">
        <f>PROPER(TRIM(SUBSTITUTE([1]RawShipmentData!F979,"  "," ")))</f>
        <v>Pharma</v>
      </c>
      <c r="H971" s="2" t="str">
        <f>PROPER(TRIM([1]RawShipmentData!G979))</f>
        <v>South</v>
      </c>
      <c r="I971" s="2" t="str">
        <f t="shared" si="75"/>
        <v>Yes</v>
      </c>
      <c r="J971" s="2">
        <f>IFERROR(VALUE(TRIM(SUBSTITUTE(UPPER([1]RawShipmentData!I971),"KG",""))),"")</f>
        <v>3.3</v>
      </c>
      <c r="K971" s="2">
        <f>VALUE(SUBSTITUTE(SUBSTITUTE(SUBSTITUTE(TRIM([1]RawShipmentData!J979),"₹",""),"Rs",""),",",""))</f>
        <v>310</v>
      </c>
      <c r="L971" s="2">
        <f>[1]RawShipmentData!K979</f>
        <v>4</v>
      </c>
      <c r="M971" s="3">
        <f>IF(TRIM([1]RawShipmentData!L979)="","",IF(ISNUMBER(SEARCH("/",TRIM([1]RawShipmentData!L979))),DATE(VALUE(RIGHT(TRIM([1]RawShipmentData!L979),4)),VALUE(MID(TRIM([1]RawShipmentData!L979),FIND("/",TRIM([1]RawShipmentData!L979))+1,2)),VALUE(LEFT(TRIM([1]RawShipmentData!L979),FIND("/",TRIM([1]RawShipmentData!L979))-1))),DATEVALUE(TRIM([1]RawShipmentData!L979))))</f>
        <v>45404</v>
      </c>
      <c r="N971" s="2">
        <f t="shared" si="76"/>
        <v>3</v>
      </c>
      <c r="O971" s="2">
        <f t="shared" si="77"/>
        <v>-1</v>
      </c>
      <c r="P971" s="2" t="str">
        <f t="shared" si="78"/>
        <v>On Time</v>
      </c>
      <c r="Q971" s="2" t="str">
        <f>PROPER(SUBSTITUTE(TRIM([1]RawShipmentData!M979)," ","-"))</f>
        <v>Delivered</v>
      </c>
      <c r="R971" s="4">
        <f t="shared" si="79"/>
        <v>93.939393939393938</v>
      </c>
      <c r="S971" s="2">
        <f>[1]RawShipmentData!N979</f>
        <v>5</v>
      </c>
      <c r="T971" s="2" t="str">
        <f>IF(OR(UPPER(TRIM([1]RawShipmentData!O979))="YES",UPPER(TRIM([1]RawShipmentData!O979))="Y"),"Yes","No")</f>
        <v>Yes</v>
      </c>
    </row>
    <row r="972" spans="1:20" x14ac:dyDescent="0.25">
      <c r="A972" s="2" t="str">
        <f>[1]RawShipmentData!A980</f>
        <v>SHP-100210</v>
      </c>
      <c r="B972" s="3">
        <f>IF(ISNUMBER(SEARCH("/",TRIM([1]RawShipmentData!B980))),DATE(VALUE(RIGHT(TRIM([1]RawShipmentData!B980),4)),VALUE(MID(TRIM([1]RawShipmentData!B980),FIND("/",TRIM([1]RawShipmentData!B980))+1,2)),VALUE(LEFT(TRIM([1]RawShipmentData!B980),FIND("/",TRIM([1]RawShipmentData!B980))-1))),DATEVALUE(TRIM([1]RawShipmentData!B980)))</f>
        <v>45384</v>
      </c>
      <c r="C972" s="2" t="str">
        <f>PROPER(TRIM([1]RawShipmentData!C980))</f>
        <v>Kolkata</v>
      </c>
      <c r="D972" s="2" t="str">
        <f>IFERROR(INDEX([1]HubMaster!$B$2:$B$7,MATCH(C972,[1]HubMaster!$A$2:$A$7,0)),"Unknown")</f>
        <v>East</v>
      </c>
      <c r="E972" s="2" t="str">
        <f>PROPER(TRIM(SUBSTITUTE([1]RawShipmentData!D980,"  "," ")))</f>
        <v/>
      </c>
      <c r="F972" s="2" t="str">
        <f>PROPER(TRIM([1]RawShipmentData!E980))</f>
        <v>Surface</v>
      </c>
      <c r="G972" s="2" t="str">
        <f>PROPER(TRIM(SUBSTITUTE([1]RawShipmentData!F980,"  "," ")))</f>
        <v>Grocery &amp; Fmcg</v>
      </c>
      <c r="H972" s="2" t="str">
        <f>PROPER(TRIM([1]RawShipmentData!G980))</f>
        <v>North</v>
      </c>
      <c r="I972" s="2" t="str">
        <f t="shared" si="75"/>
        <v>Yes</v>
      </c>
      <c r="J972" s="2">
        <f>IFERROR(VALUE(TRIM(SUBSTITUTE(UPPER([1]RawShipmentData!I972),"KG",""))),"")</f>
        <v>11.6</v>
      </c>
      <c r="K972" s="2">
        <f>VALUE(SUBSTITUTE(SUBSTITUTE(SUBSTITUTE(TRIM([1]RawShipmentData!J980),"₹",""),"Rs",""),",",""))</f>
        <v>311</v>
      </c>
      <c r="L972" s="2">
        <f>[1]RawShipmentData!K980</f>
        <v>6</v>
      </c>
      <c r="M972" s="3">
        <f>IF(TRIM([1]RawShipmentData!L980)="","",IF(ISNUMBER(SEARCH("/",TRIM([1]RawShipmentData!L980))),DATE(VALUE(RIGHT(TRIM([1]RawShipmentData!L980),4)),VALUE(MID(TRIM([1]RawShipmentData!L980),FIND("/",TRIM([1]RawShipmentData!L980))+1,2)),VALUE(LEFT(TRIM([1]RawShipmentData!L980),FIND("/",TRIM([1]RawShipmentData!L980))-1))),DATEVALUE(TRIM([1]RawShipmentData!L980))))</f>
        <v>45396</v>
      </c>
      <c r="N972" s="2">
        <f t="shared" si="76"/>
        <v>12</v>
      </c>
      <c r="O972" s="2">
        <f t="shared" si="77"/>
        <v>6</v>
      </c>
      <c r="P972" s="2" t="str">
        <f t="shared" si="78"/>
        <v>Late</v>
      </c>
      <c r="Q972" s="2" t="str">
        <f>PROPER(SUBSTITUTE(TRIM([1]RawShipmentData!M980)," ","-"))</f>
        <v>Delayed</v>
      </c>
      <c r="R972" s="4">
        <f t="shared" si="79"/>
        <v>26.810344827586206</v>
      </c>
      <c r="S972" s="2">
        <f>[1]RawShipmentData!N980</f>
        <v>3</v>
      </c>
      <c r="T972" s="2" t="str">
        <f>IF(OR(UPPER(TRIM([1]RawShipmentData!O980))="YES",UPPER(TRIM([1]RawShipmentData!O980))="Y"),"Yes","No")</f>
        <v>No</v>
      </c>
    </row>
    <row r="973" spans="1:20" x14ac:dyDescent="0.25">
      <c r="A973" s="2" t="str">
        <f>[1]RawShipmentData!A981</f>
        <v>SHP-101174</v>
      </c>
      <c r="B973" s="3">
        <f>IF(ISNUMBER(SEARCH("/",TRIM([1]RawShipmentData!B981))),DATE(VALUE(RIGHT(TRIM([1]RawShipmentData!B981),4)),VALUE(MID(TRIM([1]RawShipmentData!B981),FIND("/",TRIM([1]RawShipmentData!B981))+1,2)),VALUE(LEFT(TRIM([1]RawShipmentData!B981),FIND("/",TRIM([1]RawShipmentData!B981))-1))),DATEVALUE(TRIM([1]RawShipmentData!B981)))</f>
        <v>45383</v>
      </c>
      <c r="C973" s="2" t="str">
        <f>PROPER(TRIM([1]RawShipmentData!C981))</f>
        <v>Delhi</v>
      </c>
      <c r="D973" s="2" t="str">
        <f>IFERROR(INDEX([1]HubMaster!$B$2:$B$7,MATCH(C973,[1]HubMaster!$A$2:$A$7,0)),"Unknown")</f>
        <v>North</v>
      </c>
      <c r="E973" s="2" t="str">
        <f>PROPER(TRIM(SUBSTITUTE([1]RawShipmentData!D981,"  "," ")))</f>
        <v>Ecom Express</v>
      </c>
      <c r="F973" s="2" t="str">
        <f>PROPER(TRIM([1]RawShipmentData!E981))</f>
        <v>Surface</v>
      </c>
      <c r="G973" s="2" t="str">
        <f>PROPER(TRIM(SUBSTITUTE([1]RawShipmentData!F981,"  "," ")))</f>
        <v>Automotive Parts</v>
      </c>
      <c r="H973" s="2" t="str">
        <f>PROPER(TRIM([1]RawShipmentData!G981))</f>
        <v>West</v>
      </c>
      <c r="I973" s="2" t="str">
        <f t="shared" si="75"/>
        <v>Yes</v>
      </c>
      <c r="J973" s="2">
        <f>IFERROR(VALUE(TRIM(SUBSTITUTE(UPPER([1]RawShipmentData!I973),"KG",""))),"")</f>
        <v>5.4</v>
      </c>
      <c r="K973" s="2">
        <f>VALUE(SUBSTITUTE(SUBSTITUTE(SUBSTITUTE(TRIM([1]RawShipmentData!J981),"₹",""),"Rs",""),",",""))</f>
        <v>712</v>
      </c>
      <c r="L973" s="2">
        <f>[1]RawShipmentData!K981</f>
        <v>6</v>
      </c>
      <c r="M973" s="3">
        <f>IF(TRIM([1]RawShipmentData!L981)="","",IF(ISNUMBER(SEARCH("/",TRIM([1]RawShipmentData!L981))),DATE(VALUE(RIGHT(TRIM([1]RawShipmentData!L981),4)),VALUE(MID(TRIM([1]RawShipmentData!L981),FIND("/",TRIM([1]RawShipmentData!L981))+1,2)),VALUE(LEFT(TRIM([1]RawShipmentData!L981),FIND("/",TRIM([1]RawShipmentData!L981))-1))),DATEVALUE(TRIM([1]RawShipmentData!L981))))</f>
        <v>45390</v>
      </c>
      <c r="N973" s="2">
        <f t="shared" si="76"/>
        <v>7</v>
      </c>
      <c r="O973" s="2">
        <f t="shared" si="77"/>
        <v>1</v>
      </c>
      <c r="P973" s="2" t="str">
        <f t="shared" si="78"/>
        <v>Late</v>
      </c>
      <c r="Q973" s="2" t="str">
        <f>PROPER(SUBSTITUTE(TRIM([1]RawShipmentData!M981)," ","-"))</f>
        <v>Delayed</v>
      </c>
      <c r="R973" s="4">
        <f t="shared" si="79"/>
        <v>131.85185185185185</v>
      </c>
      <c r="S973" s="2">
        <f>[1]RawShipmentData!N981</f>
        <v>5</v>
      </c>
      <c r="T973" s="2" t="str">
        <f>IF(OR(UPPER(TRIM([1]RawShipmentData!O981))="YES",UPPER(TRIM([1]RawShipmentData!O981))="Y"),"Yes","No")</f>
        <v>No</v>
      </c>
    </row>
    <row r="974" spans="1:20" x14ac:dyDescent="0.25">
      <c r="A974" s="2" t="str">
        <f>[1]RawShipmentData!A982</f>
        <v>SHP-100310</v>
      </c>
      <c r="B974" s="3">
        <f>IF(ISNUMBER(SEARCH("/",TRIM([1]RawShipmentData!B982))),DATE(VALUE(RIGHT(TRIM([1]RawShipmentData!B982),4)),VALUE(MID(TRIM([1]RawShipmentData!B982),FIND("/",TRIM([1]RawShipmentData!B982))+1,2)),VALUE(LEFT(TRIM([1]RawShipmentData!B982),FIND("/",TRIM([1]RawShipmentData!B982))-1))),DATEVALUE(TRIM([1]RawShipmentData!B982)))</f>
        <v>45368</v>
      </c>
      <c r="C974" s="2" t="str">
        <f>PROPER(TRIM([1]RawShipmentData!C982))</f>
        <v>Chennai</v>
      </c>
      <c r="D974" s="2" t="str">
        <f>IFERROR(INDEX([1]HubMaster!$B$2:$B$7,MATCH(C974,[1]HubMaster!$A$2:$A$7,0)),"Unknown")</f>
        <v>South</v>
      </c>
      <c r="E974" s="2" t="str">
        <f>PROPER(TRIM(SUBSTITUTE([1]RawShipmentData!D982,"  "," ")))</f>
        <v>Dtdc</v>
      </c>
      <c r="F974" s="2" t="str">
        <f>PROPER(TRIM([1]RawShipmentData!E982))</f>
        <v>Air</v>
      </c>
      <c r="G974" s="2" t="str">
        <f>PROPER(TRIM(SUBSTITUTE([1]RawShipmentData!F982,"  "," ")))</f>
        <v>Furniture</v>
      </c>
      <c r="H974" s="2" t="str">
        <f>PROPER(TRIM([1]RawShipmentData!G982))</f>
        <v>East</v>
      </c>
      <c r="I974" s="2" t="str">
        <f t="shared" si="75"/>
        <v>Yes</v>
      </c>
      <c r="J974" s="2">
        <f>IFERROR(VALUE(TRIM(SUBSTITUTE(UPPER([1]RawShipmentData!I974),"KG",""))),"")</f>
        <v>15.6</v>
      </c>
      <c r="K974" s="2">
        <f>VALUE(SUBSTITUTE(SUBSTITUTE(SUBSTITUTE(TRIM([1]RawShipmentData!J982),"₹",""),"Rs",""),",",""))</f>
        <v>2811</v>
      </c>
      <c r="L974" s="2">
        <f>[1]RawShipmentData!K982</f>
        <v>4</v>
      </c>
      <c r="M974" s="3">
        <f>IF(TRIM([1]RawShipmentData!L982)="","",IF(ISNUMBER(SEARCH("/",TRIM([1]RawShipmentData!L982))),DATE(VALUE(RIGHT(TRIM([1]RawShipmentData!L982),4)),VALUE(MID(TRIM([1]RawShipmentData!L982),FIND("/",TRIM([1]RawShipmentData!L982))+1,2)),VALUE(LEFT(TRIM([1]RawShipmentData!L982),FIND("/",TRIM([1]RawShipmentData!L982))-1))),DATEVALUE(TRIM([1]RawShipmentData!L982))))</f>
        <v>45379</v>
      </c>
      <c r="N974" s="2">
        <f t="shared" si="76"/>
        <v>11</v>
      </c>
      <c r="O974" s="2">
        <f t="shared" si="77"/>
        <v>7</v>
      </c>
      <c r="P974" s="2" t="str">
        <f t="shared" si="78"/>
        <v>Late</v>
      </c>
      <c r="Q974" s="2" t="str">
        <f>PROPER(SUBSTITUTE(TRIM([1]RawShipmentData!M982)," ","-"))</f>
        <v>Delayed</v>
      </c>
      <c r="R974" s="4">
        <f t="shared" si="79"/>
        <v>180.19230769230771</v>
      </c>
      <c r="S974" s="2">
        <f>[1]RawShipmentData!N982</f>
        <v>3</v>
      </c>
      <c r="T974" s="2" t="str">
        <f>IF(OR(UPPER(TRIM([1]RawShipmentData!O982))="YES",UPPER(TRIM([1]RawShipmentData!O982))="Y"),"Yes","No")</f>
        <v>No</v>
      </c>
    </row>
    <row r="975" spans="1:20" x14ac:dyDescent="0.25">
      <c r="A975" s="2" t="str">
        <f>[1]RawShipmentData!A983</f>
        <v>SHP-100726</v>
      </c>
      <c r="B975" s="3">
        <f>IF(ISNUMBER(SEARCH("/",TRIM([1]RawShipmentData!B983))),DATE(VALUE(RIGHT(TRIM([1]RawShipmentData!B983),4)),VALUE(MID(TRIM([1]RawShipmentData!B983),FIND("/",TRIM([1]RawShipmentData!B983))+1,2)),VALUE(LEFT(TRIM([1]RawShipmentData!B983),FIND("/",TRIM([1]RawShipmentData!B983))-1))),DATEVALUE(TRIM([1]RawShipmentData!B983)))</f>
        <v>45464</v>
      </c>
      <c r="C975" s="2" t="str">
        <f>PROPER(TRIM([1]RawShipmentData!C983))</f>
        <v>Mumbai</v>
      </c>
      <c r="D975" s="2" t="str">
        <f>IFERROR(INDEX([1]HubMaster!$B$2:$B$7,MATCH(C975,[1]HubMaster!$A$2:$A$7,0)),"Unknown")</f>
        <v>West</v>
      </c>
      <c r="E975" s="2" t="str">
        <f>PROPER(TRIM(SUBSTITUTE([1]RawShipmentData!D983,"  "," ")))</f>
        <v>Delhivery</v>
      </c>
      <c r="F975" s="2" t="str">
        <f>PROPER(TRIM([1]RawShipmentData!E983))</f>
        <v>Air</v>
      </c>
      <c r="G975" s="2" t="str">
        <f>PROPER(TRIM(SUBSTITUTE([1]RawShipmentData!F983,"  "," ")))</f>
        <v>Automotive Parts</v>
      </c>
      <c r="H975" s="2" t="str">
        <f>PROPER(TRIM([1]RawShipmentData!G983))</f>
        <v>North</v>
      </c>
      <c r="I975" s="2" t="str">
        <f t="shared" si="75"/>
        <v>Yes</v>
      </c>
      <c r="J975" s="2">
        <f>IFERROR(VALUE(TRIM(SUBSTITUTE(UPPER([1]RawShipmentData!I975),"KG",""))),"")</f>
        <v>5.6</v>
      </c>
      <c r="K975" s="2">
        <f>VALUE(SUBSTITUTE(SUBSTITUTE(SUBSTITUTE(TRIM([1]RawShipmentData!J983),"₹",""),"Rs",""),",",""))</f>
        <v>1184</v>
      </c>
      <c r="L975" s="2">
        <f>[1]RawShipmentData!K983</f>
        <v>4</v>
      </c>
      <c r="M975" s="3">
        <f>IF(TRIM([1]RawShipmentData!L983)="","",IF(ISNUMBER(SEARCH("/",TRIM([1]RawShipmentData!L983))),DATE(VALUE(RIGHT(TRIM([1]RawShipmentData!L983),4)),VALUE(MID(TRIM([1]RawShipmentData!L983),FIND("/",TRIM([1]RawShipmentData!L983))+1,2)),VALUE(LEFT(TRIM([1]RawShipmentData!L983),FIND("/",TRIM([1]RawShipmentData!L983))-1))),DATEVALUE(TRIM([1]RawShipmentData!L983))))</f>
        <v>45469</v>
      </c>
      <c r="N975" s="2">
        <f t="shared" si="76"/>
        <v>5</v>
      </c>
      <c r="O975" s="2">
        <f t="shared" si="77"/>
        <v>1</v>
      </c>
      <c r="P975" s="2" t="str">
        <f t="shared" si="78"/>
        <v>Late</v>
      </c>
      <c r="Q975" s="2" t="str">
        <f>PROPER(SUBSTITUTE(TRIM([1]RawShipmentData!M983)," ","-"))</f>
        <v>Delayed</v>
      </c>
      <c r="R975" s="4">
        <f t="shared" si="79"/>
        <v>211.42857142857144</v>
      </c>
      <c r="S975" s="2">
        <f>[1]RawShipmentData!N983</f>
        <v>5</v>
      </c>
      <c r="T975" s="2" t="str">
        <f>IF(OR(UPPER(TRIM([1]RawShipmentData!O983))="YES",UPPER(TRIM([1]RawShipmentData!O983))="Y"),"Yes","No")</f>
        <v>Yes</v>
      </c>
    </row>
    <row r="976" spans="1:20" x14ac:dyDescent="0.25">
      <c r="A976" s="2" t="str">
        <f>[1]RawShipmentData!A984</f>
        <v>SHP-100830</v>
      </c>
      <c r="B976" s="3">
        <f>IF(ISNUMBER(SEARCH("/",TRIM([1]RawShipmentData!B984))),DATE(VALUE(RIGHT(TRIM([1]RawShipmentData!B984),4)),VALUE(MID(TRIM([1]RawShipmentData!B984),FIND("/",TRIM([1]RawShipmentData!B984))+1,2)),VALUE(LEFT(TRIM([1]RawShipmentData!B984),FIND("/",TRIM([1]RawShipmentData!B984))-1))),DATEVALUE(TRIM([1]RawShipmentData!B984)))</f>
        <v>45339</v>
      </c>
      <c r="C976" s="2" t="str">
        <f>PROPER(TRIM([1]RawShipmentData!C984))</f>
        <v>Hyderabad</v>
      </c>
      <c r="D976" s="2" t="str">
        <f>IFERROR(INDEX([1]HubMaster!$B$2:$B$7,MATCH(C976,[1]HubMaster!$A$2:$A$7,0)),"Unknown")</f>
        <v>West</v>
      </c>
      <c r="E976" s="2" t="str">
        <f>PROPER(TRIM(SUBSTITUTE([1]RawShipmentData!D984,"  "," ")))</f>
        <v>Bluedart</v>
      </c>
      <c r="F976" s="2" t="str">
        <f>PROPER(TRIM([1]RawShipmentData!E984))</f>
        <v>Surface</v>
      </c>
      <c r="G976" s="2" t="str">
        <f>PROPER(TRIM(SUBSTITUTE([1]RawShipmentData!F984,"  "," ")))</f>
        <v>Grocery &amp; Fmcg</v>
      </c>
      <c r="H976" s="2" t="str">
        <f>PROPER(TRIM([1]RawShipmentData!G984))</f>
        <v>West</v>
      </c>
      <c r="I976" s="2" t="str">
        <f t="shared" si="75"/>
        <v>No</v>
      </c>
      <c r="J976" s="2">
        <f>IFERROR(VALUE(TRIM(SUBSTITUTE(UPPER([1]RawShipmentData!I976),"KG",""))),"")</f>
        <v>11.9</v>
      </c>
      <c r="K976" s="2">
        <f>VALUE(SUBSTITUTE(SUBSTITUTE(SUBSTITUTE(TRIM([1]RawShipmentData!J984),"₹",""),"Rs",""),",",""))</f>
        <v>263</v>
      </c>
      <c r="L976" s="2">
        <f>[1]RawShipmentData!K984</f>
        <v>4</v>
      </c>
      <c r="M976" s="3">
        <f>IF(TRIM([1]RawShipmentData!L984)="","",IF(ISNUMBER(SEARCH("/",TRIM([1]RawShipmentData!L984))),DATE(VALUE(RIGHT(TRIM([1]RawShipmentData!L984),4)),VALUE(MID(TRIM([1]RawShipmentData!L984),FIND("/",TRIM([1]RawShipmentData!L984))+1,2)),VALUE(LEFT(TRIM([1]RawShipmentData!L984),FIND("/",TRIM([1]RawShipmentData!L984))-1))),DATEVALUE(TRIM([1]RawShipmentData!L984))))</f>
        <v>45343</v>
      </c>
      <c r="N976" s="2">
        <f t="shared" si="76"/>
        <v>4</v>
      </c>
      <c r="O976" s="2">
        <f t="shared" si="77"/>
        <v>0</v>
      </c>
      <c r="P976" s="2" t="str">
        <f t="shared" si="78"/>
        <v>On Time</v>
      </c>
      <c r="Q976" s="2" t="str">
        <f>PROPER(SUBSTITUTE(TRIM([1]RawShipmentData!M984)," ","-"))</f>
        <v>Delivered</v>
      </c>
      <c r="R976" s="4">
        <f t="shared" si="79"/>
        <v>22.100840336134453</v>
      </c>
      <c r="S976" s="2">
        <f>[1]RawShipmentData!N984</f>
        <v>4</v>
      </c>
      <c r="T976" s="2" t="str">
        <f>IF(OR(UPPER(TRIM([1]RawShipmentData!O984))="YES",UPPER(TRIM([1]RawShipmentData!O984))="Y"),"Yes","No")</f>
        <v>No</v>
      </c>
    </row>
    <row r="977" spans="1:20" x14ac:dyDescent="0.25">
      <c r="A977" s="2" t="str">
        <f>[1]RawShipmentData!A985</f>
        <v>SHP-101066</v>
      </c>
      <c r="B977" s="3">
        <f>IF(ISNUMBER(SEARCH("/",TRIM([1]RawShipmentData!B985))),DATE(VALUE(RIGHT(TRIM([1]RawShipmentData!B985),4)),VALUE(MID(TRIM([1]RawShipmentData!B985),FIND("/",TRIM([1]RawShipmentData!B985))+1,2)),VALUE(LEFT(TRIM([1]RawShipmentData!B985),FIND("/",TRIM([1]RawShipmentData!B985))-1))),DATEVALUE(TRIM([1]RawShipmentData!B985)))</f>
        <v>45458</v>
      </c>
      <c r="C977" s="2" t="str">
        <f>PROPER(TRIM([1]RawShipmentData!C985))</f>
        <v>Chennai</v>
      </c>
      <c r="D977" s="2" t="str">
        <f>IFERROR(INDEX([1]HubMaster!$B$2:$B$7,MATCH(C977,[1]HubMaster!$A$2:$A$7,0)),"Unknown")</f>
        <v>South</v>
      </c>
      <c r="E977" s="2" t="str">
        <f>PROPER(TRIM(SUBSTITUTE([1]RawShipmentData!D985,"  "," ")))</f>
        <v>Delhivery</v>
      </c>
      <c r="F977" s="2" t="str">
        <f>PROPER(TRIM([1]RawShipmentData!E985))</f>
        <v>Air</v>
      </c>
      <c r="G977" s="2" t="str">
        <f>PROPER(TRIM(SUBSTITUTE([1]RawShipmentData!F985,"  "," ")))</f>
        <v>Apparel</v>
      </c>
      <c r="H977" s="2" t="str">
        <f>PROPER(TRIM([1]RawShipmentData!G985))</f>
        <v>West</v>
      </c>
      <c r="I977" s="2" t="str">
        <f t="shared" si="75"/>
        <v>Yes</v>
      </c>
      <c r="J977" s="2">
        <f>IFERROR(VALUE(TRIM(SUBSTITUTE(UPPER([1]RawShipmentData!I977),"KG",""))),"")</f>
        <v>2.9</v>
      </c>
      <c r="K977" s="2">
        <f>VALUE(SUBSTITUTE(SUBSTITUTE(SUBSTITUTE(TRIM([1]RawShipmentData!J985),"₹",""),"Rs",""),",",""))</f>
        <v>389</v>
      </c>
      <c r="L977" s="2">
        <f>[1]RawShipmentData!K985</f>
        <v>4</v>
      </c>
      <c r="M977" s="3">
        <f>IF(TRIM([1]RawShipmentData!L985)="","",IF(ISNUMBER(SEARCH("/",TRIM([1]RawShipmentData!L985))),DATE(VALUE(RIGHT(TRIM([1]RawShipmentData!L985),4)),VALUE(MID(TRIM([1]RawShipmentData!L985),FIND("/",TRIM([1]RawShipmentData!L985))+1,2)),VALUE(LEFT(TRIM([1]RawShipmentData!L985),FIND("/",TRIM([1]RawShipmentData!L985))-1))),DATEVALUE(TRIM([1]RawShipmentData!L985))))</f>
        <v>45461</v>
      </c>
      <c r="N977" s="2">
        <f t="shared" si="76"/>
        <v>3</v>
      </c>
      <c r="O977" s="2">
        <f t="shared" si="77"/>
        <v>-1</v>
      </c>
      <c r="P977" s="2" t="str">
        <f t="shared" si="78"/>
        <v>On Time</v>
      </c>
      <c r="Q977" s="2" t="str">
        <f>PROPER(SUBSTITUTE(TRIM([1]RawShipmentData!M985)," ","-"))</f>
        <v>Delivered</v>
      </c>
      <c r="R977" s="4">
        <f t="shared" si="79"/>
        <v>134.13793103448276</v>
      </c>
      <c r="S977" s="2">
        <f>[1]RawShipmentData!N985</f>
        <v>5</v>
      </c>
      <c r="T977" s="2" t="str">
        <f>IF(OR(UPPER(TRIM([1]RawShipmentData!O985))="YES",UPPER(TRIM([1]RawShipmentData!O985))="Y"),"Yes","No")</f>
        <v>Yes</v>
      </c>
    </row>
    <row r="978" spans="1:20" x14ac:dyDescent="0.25">
      <c r="A978" s="2" t="str">
        <f>[1]RawShipmentData!A986</f>
        <v>SHP-101208</v>
      </c>
      <c r="B978" s="3">
        <f>IF(ISNUMBER(SEARCH("/",TRIM([1]RawShipmentData!B986))),DATE(VALUE(RIGHT(TRIM([1]RawShipmentData!B986),4)),VALUE(MID(TRIM([1]RawShipmentData!B986),FIND("/",TRIM([1]RawShipmentData!B986))+1,2)),VALUE(LEFT(TRIM([1]RawShipmentData!B986),FIND("/",TRIM([1]RawShipmentData!B986))-1))),DATEVALUE(TRIM([1]RawShipmentData!B986)))</f>
        <v>45315</v>
      </c>
      <c r="C978" s="2" t="str">
        <f>PROPER(TRIM([1]RawShipmentData!C986))</f>
        <v>Kolkata</v>
      </c>
      <c r="D978" s="2" t="str">
        <f>IFERROR(INDEX([1]HubMaster!$B$2:$B$7,MATCH(C978,[1]HubMaster!$A$2:$A$7,0)),"Unknown")</f>
        <v>East</v>
      </c>
      <c r="E978" s="2" t="str">
        <f>PROPER(TRIM(SUBSTITUTE([1]RawShipmentData!D986,"  "," ")))</f>
        <v>Dtdc</v>
      </c>
      <c r="F978" s="2" t="str">
        <f>PROPER(TRIM([1]RawShipmentData!E986))</f>
        <v>Air</v>
      </c>
      <c r="G978" s="2" t="str">
        <f>PROPER(TRIM(SUBSTITUTE([1]RawShipmentData!F986,"  "," ")))</f>
        <v>Apparel</v>
      </c>
      <c r="H978" s="2" t="str">
        <f>PROPER(TRIM([1]RawShipmentData!G986))</f>
        <v>South</v>
      </c>
      <c r="I978" s="2" t="str">
        <f t="shared" si="75"/>
        <v>Yes</v>
      </c>
      <c r="J978" s="2">
        <f>IFERROR(VALUE(TRIM(SUBSTITUTE(UPPER([1]RawShipmentData!I978),"KG",""))),"")</f>
        <v>4.3</v>
      </c>
      <c r="K978" s="2">
        <f>VALUE(SUBSTITUTE(SUBSTITUTE(SUBSTITUTE(TRIM([1]RawShipmentData!J986),"₹",""),"Rs",""),",",""))</f>
        <v>292</v>
      </c>
      <c r="L978" s="2">
        <f>[1]RawShipmentData!K986</f>
        <v>4</v>
      </c>
      <c r="M978" s="3">
        <f>IF(TRIM([1]RawShipmentData!L986)="","",IF(ISNUMBER(SEARCH("/",TRIM([1]RawShipmentData!L986))),DATE(VALUE(RIGHT(TRIM([1]RawShipmentData!L986),4)),VALUE(MID(TRIM([1]RawShipmentData!L986),FIND("/",TRIM([1]RawShipmentData!L986))+1,2)),VALUE(LEFT(TRIM([1]RawShipmentData!L986),FIND("/",TRIM([1]RawShipmentData!L986))-1))),DATEVALUE(TRIM([1]RawShipmentData!L986))))</f>
        <v>45318</v>
      </c>
      <c r="N978" s="2">
        <f t="shared" si="76"/>
        <v>3</v>
      </c>
      <c r="O978" s="2">
        <f t="shared" si="77"/>
        <v>-1</v>
      </c>
      <c r="P978" s="2" t="str">
        <f t="shared" si="78"/>
        <v>On Time</v>
      </c>
      <c r="Q978" s="2" t="str">
        <f>PROPER(SUBSTITUTE(TRIM([1]RawShipmentData!M986)," ","-"))</f>
        <v>Delivered</v>
      </c>
      <c r="R978" s="4">
        <f t="shared" si="79"/>
        <v>67.906976744186053</v>
      </c>
      <c r="S978" s="2">
        <f>[1]RawShipmentData!N986</f>
        <v>3</v>
      </c>
      <c r="T978" s="2" t="str">
        <f>IF(OR(UPPER(TRIM([1]RawShipmentData!O986))="YES",UPPER(TRIM([1]RawShipmentData!O986))="Y"),"Yes","No")</f>
        <v>No</v>
      </c>
    </row>
    <row r="979" spans="1:20" x14ac:dyDescent="0.25">
      <c r="A979" s="2" t="str">
        <f>[1]RawShipmentData!A987</f>
        <v>SHP-101475</v>
      </c>
      <c r="B979" s="3">
        <f>IF(ISNUMBER(SEARCH("/",TRIM([1]RawShipmentData!B987))),DATE(VALUE(RIGHT(TRIM([1]RawShipmentData!B987),4)),VALUE(MID(TRIM([1]RawShipmentData!B987),FIND("/",TRIM([1]RawShipmentData!B987))+1,2)),VALUE(LEFT(TRIM([1]RawShipmentData!B987),FIND("/",TRIM([1]RawShipmentData!B987))-1))),DATEVALUE(TRIM([1]RawShipmentData!B987)))</f>
        <v>45390</v>
      </c>
      <c r="C979" s="2" t="str">
        <f>PROPER(TRIM([1]RawShipmentData!C987))</f>
        <v>Kolkata</v>
      </c>
      <c r="D979" s="2" t="str">
        <f>IFERROR(INDEX([1]HubMaster!$B$2:$B$7,MATCH(C979,[1]HubMaster!$A$2:$A$7,0)),"Unknown")</f>
        <v>East</v>
      </c>
      <c r="E979" s="2" t="str">
        <f>PROPER(TRIM(SUBSTITUTE([1]RawShipmentData!D987,"  "," ")))</f>
        <v>Ecom Express</v>
      </c>
      <c r="F979" s="2" t="str">
        <f>PROPER(TRIM([1]RawShipmentData!E987))</f>
        <v>Road</v>
      </c>
      <c r="G979" s="2" t="str">
        <f>PROPER(TRIM(SUBSTITUTE([1]RawShipmentData!F987,"  "," ")))</f>
        <v>Pharma</v>
      </c>
      <c r="H979" s="2" t="str">
        <f>PROPER(TRIM([1]RawShipmentData!G987))</f>
        <v>East</v>
      </c>
      <c r="I979" s="2" t="str">
        <f t="shared" si="75"/>
        <v>No</v>
      </c>
      <c r="J979" s="2">
        <f>IFERROR(VALUE(TRIM(SUBSTITUTE(UPPER([1]RawShipmentData!I979),"KG",""))),"")</f>
        <v>3.4</v>
      </c>
      <c r="K979" s="2">
        <f>VALUE(SUBSTITUTE(SUBSTITUTE(SUBSTITUTE(TRIM([1]RawShipmentData!J987),"₹",""),"Rs",""),",",""))</f>
        <v>95</v>
      </c>
      <c r="L979" s="2">
        <f>[1]RawShipmentData!K987</f>
        <v>6</v>
      </c>
      <c r="M979" s="3">
        <f>IF(TRIM([1]RawShipmentData!L987)="","",IF(ISNUMBER(SEARCH("/",TRIM([1]RawShipmentData!L987))),DATE(VALUE(RIGHT(TRIM([1]RawShipmentData!L987),4)),VALUE(MID(TRIM([1]RawShipmentData!L987),FIND("/",TRIM([1]RawShipmentData!L987))+1,2)),VALUE(LEFT(TRIM([1]RawShipmentData!L987),FIND("/",TRIM([1]RawShipmentData!L987))-1))),DATEVALUE(TRIM([1]RawShipmentData!L987))))</f>
        <v>45395</v>
      </c>
      <c r="N979" s="2">
        <f t="shared" si="76"/>
        <v>5</v>
      </c>
      <c r="O979" s="2">
        <f t="shared" si="77"/>
        <v>-1</v>
      </c>
      <c r="P979" s="2" t="str">
        <f t="shared" si="78"/>
        <v>On Time</v>
      </c>
      <c r="Q979" s="2" t="str">
        <f>PROPER(SUBSTITUTE(TRIM([1]RawShipmentData!M987)," ","-"))</f>
        <v>Delivered</v>
      </c>
      <c r="R979" s="4">
        <f t="shared" si="79"/>
        <v>27.941176470588236</v>
      </c>
      <c r="S979" s="2">
        <f>[1]RawShipmentData!N987</f>
        <v>4</v>
      </c>
      <c r="T979" s="2" t="str">
        <f>IF(OR(UPPER(TRIM([1]RawShipmentData!O987))="YES",UPPER(TRIM([1]RawShipmentData!O987))="Y"),"Yes","No")</f>
        <v>No</v>
      </c>
    </row>
    <row r="980" spans="1:20" x14ac:dyDescent="0.25">
      <c r="A980" s="2" t="str">
        <f>[1]RawShipmentData!A988</f>
        <v>SHP-101271</v>
      </c>
      <c r="B980" s="3">
        <f>IF(ISNUMBER(SEARCH("/",TRIM([1]RawShipmentData!B988))),DATE(VALUE(RIGHT(TRIM([1]RawShipmentData!B988),4)),VALUE(MID(TRIM([1]RawShipmentData!B988),FIND("/",TRIM([1]RawShipmentData!B988))+1,2)),VALUE(LEFT(TRIM([1]RawShipmentData!B988),FIND("/",TRIM([1]RawShipmentData!B988))-1))),DATEVALUE(TRIM([1]RawShipmentData!B988)))</f>
        <v>45372</v>
      </c>
      <c r="C980" s="2" t="str">
        <f>PROPER(TRIM([1]RawShipmentData!C988))</f>
        <v>Chennai</v>
      </c>
      <c r="D980" s="2" t="str">
        <f>IFERROR(INDEX([1]HubMaster!$B$2:$B$7,MATCH(C980,[1]HubMaster!$A$2:$A$7,0)),"Unknown")</f>
        <v>South</v>
      </c>
      <c r="E980" s="2" t="str">
        <f>PROPER(TRIM(SUBSTITUTE([1]RawShipmentData!D988,"  "," ")))</f>
        <v>Dtdc</v>
      </c>
      <c r="F980" s="2" t="str">
        <f>PROPER(TRIM([1]RawShipmentData!E988))</f>
        <v>Road</v>
      </c>
      <c r="G980" s="2" t="str">
        <f>PROPER(TRIM(SUBSTITUTE([1]RawShipmentData!F988,"  "," ")))</f>
        <v>Pharma</v>
      </c>
      <c r="H980" s="2" t="str">
        <f>PROPER(TRIM([1]RawShipmentData!G988))</f>
        <v>North</v>
      </c>
      <c r="I980" s="2" t="str">
        <f t="shared" si="75"/>
        <v>Yes</v>
      </c>
      <c r="J980" s="2">
        <f>IFERROR(VALUE(TRIM(SUBSTITUTE(UPPER([1]RawShipmentData!I980),"KG",""))),"")</f>
        <v>6.4</v>
      </c>
      <c r="K980" s="2">
        <f>VALUE(SUBSTITUTE(SUBSTITUTE(SUBSTITUTE(TRIM([1]RawShipmentData!J988),"₹",""),"Rs",""),",",""))</f>
        <v>187</v>
      </c>
      <c r="L980" s="2">
        <f>[1]RawShipmentData!K988</f>
        <v>8</v>
      </c>
      <c r="M980" s="3">
        <f>IF(TRIM([1]RawShipmentData!L988)="","",IF(ISNUMBER(SEARCH("/",TRIM([1]RawShipmentData!L988))),DATE(VALUE(RIGHT(TRIM([1]RawShipmentData!L988),4)),VALUE(MID(TRIM([1]RawShipmentData!L988),FIND("/",TRIM([1]RawShipmentData!L988))+1,2)),VALUE(LEFT(TRIM([1]RawShipmentData!L988),FIND("/",TRIM([1]RawShipmentData!L988))-1))),DATEVALUE(TRIM([1]RawShipmentData!L988))))</f>
        <v>45385</v>
      </c>
      <c r="N980" s="2">
        <f t="shared" si="76"/>
        <v>13</v>
      </c>
      <c r="O980" s="2">
        <f t="shared" si="77"/>
        <v>5</v>
      </c>
      <c r="P980" s="2" t="str">
        <f t="shared" si="78"/>
        <v>Late</v>
      </c>
      <c r="Q980" s="2" t="str">
        <f>PROPER(SUBSTITUTE(TRIM([1]RawShipmentData!M988)," ","-"))</f>
        <v>Delayed</v>
      </c>
      <c r="R980" s="4">
        <f t="shared" si="79"/>
        <v>29.21875</v>
      </c>
      <c r="S980" s="2">
        <f>[1]RawShipmentData!N988</f>
        <v>3</v>
      </c>
      <c r="T980" s="2" t="str">
        <f>IF(OR(UPPER(TRIM([1]RawShipmentData!O988))="YES",UPPER(TRIM([1]RawShipmentData!O988))="Y"),"Yes","No")</f>
        <v>No</v>
      </c>
    </row>
    <row r="981" spans="1:20" x14ac:dyDescent="0.25">
      <c r="A981" s="2" t="str">
        <f>[1]RawShipmentData!A989</f>
        <v>SHP-101390</v>
      </c>
      <c r="B981" s="3">
        <f>IF(ISNUMBER(SEARCH("/",TRIM([1]RawShipmentData!B989))),DATE(VALUE(RIGHT(TRIM([1]RawShipmentData!B989),4)),VALUE(MID(TRIM([1]RawShipmentData!B989),FIND("/",TRIM([1]RawShipmentData!B989))+1,2)),VALUE(LEFT(TRIM([1]RawShipmentData!B989),FIND("/",TRIM([1]RawShipmentData!B989))-1))),DATEVALUE(TRIM([1]RawShipmentData!B989)))</f>
        <v>45364</v>
      </c>
      <c r="C981" s="2" t="str">
        <f>PROPER(TRIM([1]RawShipmentData!C989))</f>
        <v>Kolkata</v>
      </c>
      <c r="D981" s="2" t="str">
        <f>IFERROR(INDEX([1]HubMaster!$B$2:$B$7,MATCH(C981,[1]HubMaster!$A$2:$A$7,0)),"Unknown")</f>
        <v>East</v>
      </c>
      <c r="E981" s="2" t="str">
        <f>PROPER(TRIM(SUBSTITUTE([1]RawShipmentData!D989,"  "," ")))</f>
        <v>Delhivery</v>
      </c>
      <c r="F981" s="2" t="str">
        <f>PROPER(TRIM([1]RawShipmentData!E989))</f>
        <v>Air</v>
      </c>
      <c r="G981" s="2" t="str">
        <f>PROPER(TRIM(SUBSTITUTE([1]RawShipmentData!F989,"  "," ")))</f>
        <v>Furniture</v>
      </c>
      <c r="H981" s="2" t="str">
        <f>PROPER(TRIM([1]RawShipmentData!G989))</f>
        <v>East</v>
      </c>
      <c r="I981" s="2" t="str">
        <f t="shared" si="75"/>
        <v>No</v>
      </c>
      <c r="J981" s="2">
        <f>IFERROR(VALUE(TRIM(SUBSTITUTE(UPPER([1]RawShipmentData!I981),"KG",""))),"")</f>
        <v>26.4</v>
      </c>
      <c r="K981" s="2">
        <f>VALUE(SUBSTITUTE(SUBSTITUTE(SUBSTITUTE(TRIM([1]RawShipmentData!J989),"₹",""),"Rs",""),",",""))</f>
        <v>3376</v>
      </c>
      <c r="L981" s="2">
        <f>[1]RawShipmentData!K989</f>
        <v>2</v>
      </c>
      <c r="M981" s="3">
        <f>IF(TRIM([1]RawShipmentData!L989)="","",IF(ISNUMBER(SEARCH("/",TRIM([1]RawShipmentData!L989))),DATE(VALUE(RIGHT(TRIM([1]RawShipmentData!L989),4)),VALUE(MID(TRIM([1]RawShipmentData!L989),FIND("/",TRIM([1]RawShipmentData!L989))+1,2)),VALUE(LEFT(TRIM([1]RawShipmentData!L989),FIND("/",TRIM([1]RawShipmentData!L989))-1))),DATEVALUE(TRIM([1]RawShipmentData!L989))))</f>
        <v>45365</v>
      </c>
      <c r="N981" s="2">
        <f t="shared" si="76"/>
        <v>1</v>
      </c>
      <c r="O981" s="2">
        <f t="shared" si="77"/>
        <v>-1</v>
      </c>
      <c r="P981" s="2" t="str">
        <f t="shared" si="78"/>
        <v>On Time</v>
      </c>
      <c r="Q981" s="2" t="str">
        <f>PROPER(SUBSTITUTE(TRIM([1]RawShipmentData!M989)," ","-"))</f>
        <v>Delivered</v>
      </c>
      <c r="R981" s="4">
        <f t="shared" si="79"/>
        <v>127.87878787878789</v>
      </c>
      <c r="S981" s="2">
        <f>[1]RawShipmentData!N989</f>
        <v>5</v>
      </c>
      <c r="T981" s="2" t="str">
        <f>IF(OR(UPPER(TRIM([1]RawShipmentData!O989))="YES",UPPER(TRIM([1]RawShipmentData!O989))="Y"),"Yes","No")</f>
        <v>Yes</v>
      </c>
    </row>
    <row r="982" spans="1:20" x14ac:dyDescent="0.25">
      <c r="A982" s="2" t="str">
        <f>[1]RawShipmentData!A990</f>
        <v>SHP-100142</v>
      </c>
      <c r="B982" s="3">
        <f>IF(ISNUMBER(SEARCH("/",TRIM([1]RawShipmentData!B990))),DATE(VALUE(RIGHT(TRIM([1]RawShipmentData!B990),4)),VALUE(MID(TRIM([1]RawShipmentData!B990),FIND("/",TRIM([1]RawShipmentData!B990))+1,2)),VALUE(LEFT(TRIM([1]RawShipmentData!B990),FIND("/",TRIM([1]RawShipmentData!B990))-1))),DATEVALUE(TRIM([1]RawShipmentData!B990)))</f>
        <v>45413</v>
      </c>
      <c r="C982" s="2" t="str">
        <f>PROPER(TRIM([1]RawShipmentData!C990))</f>
        <v>Delhi</v>
      </c>
      <c r="D982" s="2" t="str">
        <f>IFERROR(INDEX([1]HubMaster!$B$2:$B$7,MATCH(C982,[1]HubMaster!$A$2:$A$7,0)),"Unknown")</f>
        <v>North</v>
      </c>
      <c r="E982" s="2" t="str">
        <f>PROPER(TRIM(SUBSTITUTE([1]RawShipmentData!D990,"  "," ")))</f>
        <v>Ecom Express</v>
      </c>
      <c r="F982" s="2" t="str">
        <f>PROPER(TRIM([1]RawShipmentData!E990))</f>
        <v>Air</v>
      </c>
      <c r="G982" s="2" t="str">
        <f>PROPER(TRIM(SUBSTITUTE([1]RawShipmentData!F990,"  "," ")))</f>
        <v>Apparel</v>
      </c>
      <c r="H982" s="2" t="str">
        <f>PROPER(TRIM([1]RawShipmentData!G990))</f>
        <v>North</v>
      </c>
      <c r="I982" s="2" t="str">
        <f t="shared" si="75"/>
        <v>No</v>
      </c>
      <c r="J982" s="2">
        <f>IFERROR(VALUE(TRIM(SUBSTITUTE(UPPER([1]RawShipmentData!I982),"KG",""))),"")</f>
        <v>58.1</v>
      </c>
      <c r="K982" s="2">
        <f>VALUE(SUBSTITUTE(SUBSTITUTE(SUBSTITUTE(TRIM([1]RawShipmentData!J990),"₹",""),"Rs",""),",",""))</f>
        <v>333</v>
      </c>
      <c r="L982" s="2">
        <f>[1]RawShipmentData!K990</f>
        <v>2</v>
      </c>
      <c r="M982" s="3">
        <f>IF(TRIM([1]RawShipmentData!L990)="","",IF(ISNUMBER(SEARCH("/",TRIM([1]RawShipmentData!L990))),DATE(VALUE(RIGHT(TRIM([1]RawShipmentData!L990),4)),VALUE(MID(TRIM([1]RawShipmentData!L990),FIND("/",TRIM([1]RawShipmentData!L990))+1,2)),VALUE(LEFT(TRIM([1]RawShipmentData!L990),FIND("/",TRIM([1]RawShipmentData!L990))-1))),DATEVALUE(TRIM([1]RawShipmentData!L990))))</f>
        <v>45417</v>
      </c>
      <c r="N982" s="2">
        <f t="shared" si="76"/>
        <v>4</v>
      </c>
      <c r="O982" s="2">
        <f t="shared" si="77"/>
        <v>2</v>
      </c>
      <c r="P982" s="2" t="str">
        <f t="shared" si="78"/>
        <v>Late</v>
      </c>
      <c r="Q982" s="2" t="str">
        <f>PROPER(SUBSTITUTE(TRIM([1]RawShipmentData!M990)," ","-"))</f>
        <v>Delayed</v>
      </c>
      <c r="R982" s="4">
        <f t="shared" si="79"/>
        <v>5.7314974182444063</v>
      </c>
      <c r="S982" s="2">
        <f>[1]RawShipmentData!N990</f>
        <v>5</v>
      </c>
      <c r="T982" s="2" t="str">
        <f>IF(OR(UPPER(TRIM([1]RawShipmentData!O990))="YES",UPPER(TRIM([1]RawShipmentData!O990))="Y"),"Yes","No")</f>
        <v>Yes</v>
      </c>
    </row>
    <row r="983" spans="1:20" x14ac:dyDescent="0.25">
      <c r="A983" s="2" t="str">
        <f>[1]RawShipmentData!A991</f>
        <v>SHP-100860</v>
      </c>
      <c r="B983" s="3">
        <f>IF(ISNUMBER(SEARCH("/",TRIM([1]RawShipmentData!B991))),DATE(VALUE(RIGHT(TRIM([1]RawShipmentData!B991),4)),VALUE(MID(TRIM([1]RawShipmentData!B991),FIND("/",TRIM([1]RawShipmentData!B991))+1,2)),VALUE(LEFT(TRIM([1]RawShipmentData!B991),FIND("/",TRIM([1]RawShipmentData!B991))-1))),DATEVALUE(TRIM([1]RawShipmentData!B991)))</f>
        <v>45346</v>
      </c>
      <c r="C983" s="2" t="str">
        <f>PROPER(TRIM([1]RawShipmentData!C991))</f>
        <v>Chennai</v>
      </c>
      <c r="D983" s="2" t="str">
        <f>IFERROR(INDEX([1]HubMaster!$B$2:$B$7,MATCH(C983,[1]HubMaster!$A$2:$A$7,0)),"Unknown")</f>
        <v>South</v>
      </c>
      <c r="E983" s="2" t="str">
        <f>PROPER(TRIM(SUBSTITUTE([1]RawShipmentData!D991,"  "," ")))</f>
        <v>Dtdc</v>
      </c>
      <c r="F983" s="2" t="str">
        <f>PROPER(TRIM([1]RawShipmentData!E991))</f>
        <v>Road</v>
      </c>
      <c r="G983" s="2" t="str">
        <f>PROPER(TRIM(SUBSTITUTE([1]RawShipmentData!F991,"  "," ")))</f>
        <v>Apparel</v>
      </c>
      <c r="H983" s="2" t="str">
        <f>PROPER(TRIM([1]RawShipmentData!G991))</f>
        <v>West</v>
      </c>
      <c r="I983" s="2" t="str">
        <f t="shared" si="75"/>
        <v>Yes</v>
      </c>
      <c r="J983" s="2">
        <f>IFERROR(VALUE(TRIM(SUBSTITUTE(UPPER([1]RawShipmentData!I983),"KG",""))),"")</f>
        <v>23.2</v>
      </c>
      <c r="K983" s="2">
        <f>VALUE(SUBSTITUTE(SUBSTITUTE(SUBSTITUTE(TRIM([1]RawShipmentData!J991),"₹",""),"Rs",""),",",""))</f>
        <v>197</v>
      </c>
      <c r="L983" s="2">
        <f>[1]RawShipmentData!K991</f>
        <v>8</v>
      </c>
      <c r="M983" s="3">
        <f>IF(TRIM([1]RawShipmentData!L991)="","",IF(ISNUMBER(SEARCH("/",TRIM([1]RawShipmentData!L991))),DATE(VALUE(RIGHT(TRIM([1]RawShipmentData!L991),4)),VALUE(MID(TRIM([1]RawShipmentData!L991),FIND("/",TRIM([1]RawShipmentData!L991))+1,2)),VALUE(LEFT(TRIM([1]RawShipmentData!L991),FIND("/",TRIM([1]RawShipmentData!L991))-1))),DATEVALUE(TRIM([1]RawShipmentData!L991))))</f>
        <v>45353</v>
      </c>
      <c r="N983" s="2">
        <f t="shared" si="76"/>
        <v>7</v>
      </c>
      <c r="O983" s="2">
        <f t="shared" si="77"/>
        <v>-1</v>
      </c>
      <c r="P983" s="2" t="str">
        <f t="shared" si="78"/>
        <v>On Time</v>
      </c>
      <c r="Q983" s="2" t="str">
        <f>PROPER(SUBSTITUTE(TRIM([1]RawShipmentData!M991)," ","-"))</f>
        <v>Delivered</v>
      </c>
      <c r="R983" s="4">
        <f t="shared" si="79"/>
        <v>8.4913793103448274</v>
      </c>
      <c r="S983" s="2">
        <f>[1]RawShipmentData!N991</f>
        <v>4</v>
      </c>
      <c r="T983" s="2" t="str">
        <f>IF(OR(UPPER(TRIM([1]RawShipmentData!O991))="YES",UPPER(TRIM([1]RawShipmentData!O991))="Y"),"Yes","No")</f>
        <v>No</v>
      </c>
    </row>
    <row r="984" spans="1:20" x14ac:dyDescent="0.25">
      <c r="A984" s="2" t="str">
        <f>[1]RawShipmentData!A992</f>
        <v>SHP-100929</v>
      </c>
      <c r="B984" s="3">
        <f>IF(ISNUMBER(SEARCH("/",TRIM([1]RawShipmentData!B992))),DATE(VALUE(RIGHT(TRIM([1]RawShipmentData!B992),4)),VALUE(MID(TRIM([1]RawShipmentData!B992),FIND("/",TRIM([1]RawShipmentData!B992))+1,2)),VALUE(LEFT(TRIM([1]RawShipmentData!B992),FIND("/",TRIM([1]RawShipmentData!B992))-1))),DATEVALUE(TRIM([1]RawShipmentData!B992)))</f>
        <v>45316</v>
      </c>
      <c r="C984" s="2" t="str">
        <f>PROPER(TRIM([1]RawShipmentData!C992))</f>
        <v>Bengaluru</v>
      </c>
      <c r="D984" s="2" t="str">
        <f>IFERROR(INDEX([1]HubMaster!$B$2:$B$7,MATCH(C984,[1]HubMaster!$A$2:$A$7,0)),"Unknown")</f>
        <v>South</v>
      </c>
      <c r="E984" s="2" t="str">
        <f>PROPER(TRIM(SUBSTITUTE([1]RawShipmentData!D992,"  "," ")))</f>
        <v>Delhivery</v>
      </c>
      <c r="F984" s="2" t="str">
        <f>PROPER(TRIM([1]RawShipmentData!E992))</f>
        <v>Road</v>
      </c>
      <c r="G984" s="2" t="str">
        <f>PROPER(TRIM(SUBSTITUTE([1]RawShipmentData!F992,"  "," ")))</f>
        <v>Automotive Parts</v>
      </c>
      <c r="H984" s="2" t="str">
        <f>PROPER(TRIM([1]RawShipmentData!G992))</f>
        <v>North</v>
      </c>
      <c r="I984" s="2" t="str">
        <f t="shared" si="75"/>
        <v>Yes</v>
      </c>
      <c r="J984" s="2">
        <f>IFERROR(VALUE(TRIM(SUBSTITUTE(UPPER([1]RawShipmentData!I984),"KG",""))),"")</f>
        <v>11.3</v>
      </c>
      <c r="K984" s="2">
        <f>VALUE(SUBSTITUTE(SUBSTITUTE(SUBSTITUTE(TRIM([1]RawShipmentData!J992),"₹",""),"Rs",""),",",""))</f>
        <v>669</v>
      </c>
      <c r="L984" s="2">
        <f>[1]RawShipmentData!K992</f>
        <v>8</v>
      </c>
      <c r="M984" s="3">
        <f>IF(TRIM([1]RawShipmentData!L992)="","",IF(ISNUMBER(SEARCH("/",TRIM([1]RawShipmentData!L992))),DATE(VALUE(RIGHT(TRIM([1]RawShipmentData!L992),4)),VALUE(MID(TRIM([1]RawShipmentData!L992),FIND("/",TRIM([1]RawShipmentData!L992))+1,2)),VALUE(LEFT(TRIM([1]RawShipmentData!L992),FIND("/",TRIM([1]RawShipmentData!L992))-1))),DATEVALUE(TRIM([1]RawShipmentData!L992))))</f>
        <v>45324</v>
      </c>
      <c r="N984" s="2">
        <f t="shared" si="76"/>
        <v>8</v>
      </c>
      <c r="O984" s="2">
        <f t="shared" si="77"/>
        <v>0</v>
      </c>
      <c r="P984" s="2" t="str">
        <f t="shared" si="78"/>
        <v>On Time</v>
      </c>
      <c r="Q984" s="2" t="str">
        <f>PROPER(SUBSTITUTE(TRIM([1]RawShipmentData!M992)," ","-"))</f>
        <v>Delivered</v>
      </c>
      <c r="R984" s="4">
        <f t="shared" si="79"/>
        <v>59.203539823008846</v>
      </c>
      <c r="S984" s="2">
        <f>[1]RawShipmentData!N992</f>
        <v>4</v>
      </c>
      <c r="T984" s="2" t="str">
        <f>IF(OR(UPPER(TRIM([1]RawShipmentData!O992))="YES",UPPER(TRIM([1]RawShipmentData!O992))="Y"),"Yes","No")</f>
        <v>No</v>
      </c>
    </row>
    <row r="985" spans="1:20" x14ac:dyDescent="0.25">
      <c r="A985" s="2" t="str">
        <f>[1]RawShipmentData!A993</f>
        <v>SHP-100430</v>
      </c>
      <c r="B985" s="3">
        <f>IF(ISNUMBER(SEARCH("/",TRIM([1]RawShipmentData!B993))),DATE(VALUE(RIGHT(TRIM([1]RawShipmentData!B993),4)),VALUE(MID(TRIM([1]RawShipmentData!B993),FIND("/",TRIM([1]RawShipmentData!B993))+1,2)),VALUE(LEFT(TRIM([1]RawShipmentData!B993),FIND("/",TRIM([1]RawShipmentData!B993))-1))),DATEVALUE(TRIM([1]RawShipmentData!B993)))</f>
        <v>45433</v>
      </c>
      <c r="C985" s="2" t="str">
        <f>PROPER(TRIM([1]RawShipmentData!C993))</f>
        <v>Hyderabad</v>
      </c>
      <c r="D985" s="2" t="str">
        <f>IFERROR(INDEX([1]HubMaster!$B$2:$B$7,MATCH(C985,[1]HubMaster!$A$2:$A$7,0)),"Unknown")</f>
        <v>West</v>
      </c>
      <c r="E985" s="2" t="str">
        <f>PROPER(TRIM(SUBSTITUTE([1]RawShipmentData!D993,"  "," ")))</f>
        <v>Dtdc</v>
      </c>
      <c r="F985" s="2" t="str">
        <f>PROPER(TRIM([1]RawShipmentData!E993))</f>
        <v>Air</v>
      </c>
      <c r="G985" s="2" t="str">
        <f>PROPER(TRIM(SUBSTITUTE([1]RawShipmentData!F993,"  "," ")))</f>
        <v>Electronics</v>
      </c>
      <c r="H985" s="2" t="str">
        <f>PROPER(TRIM([1]RawShipmentData!G993))</f>
        <v>West</v>
      </c>
      <c r="I985" s="2" t="str">
        <f t="shared" si="75"/>
        <v>No</v>
      </c>
      <c r="J985" s="2">
        <f>IFERROR(VALUE(TRIM(SUBSTITUTE(UPPER([1]RawShipmentData!I985),"KG",""))),"")</f>
        <v>5.3</v>
      </c>
      <c r="K985" s="2">
        <f>VALUE(SUBSTITUTE(SUBSTITUTE(SUBSTITUTE(TRIM([1]RawShipmentData!J993),"₹",""),"Rs",""),",",""))</f>
        <v>107</v>
      </c>
      <c r="L985" s="2">
        <f>[1]RawShipmentData!K993</f>
        <v>2</v>
      </c>
      <c r="M985" s="3">
        <f>IF(TRIM([1]RawShipmentData!L993)="","",IF(ISNUMBER(SEARCH("/",TRIM([1]RawShipmentData!L993))),DATE(VALUE(RIGHT(TRIM([1]RawShipmentData!L993),4)),VALUE(MID(TRIM([1]RawShipmentData!L993),FIND("/",TRIM([1]RawShipmentData!L993))+1,2)),VALUE(LEFT(TRIM([1]RawShipmentData!L993),FIND("/",TRIM([1]RawShipmentData!L993))-1))),DATEVALUE(TRIM([1]RawShipmentData!L993))))</f>
        <v>45437</v>
      </c>
      <c r="N985" s="2">
        <f t="shared" si="76"/>
        <v>4</v>
      </c>
      <c r="O985" s="2">
        <f t="shared" si="77"/>
        <v>2</v>
      </c>
      <c r="P985" s="2" t="str">
        <f t="shared" si="78"/>
        <v>Late</v>
      </c>
      <c r="Q985" s="2" t="str">
        <f>PROPER(SUBSTITUTE(TRIM([1]RawShipmentData!M993)," ","-"))</f>
        <v>Delayed</v>
      </c>
      <c r="R985" s="4">
        <f t="shared" si="79"/>
        <v>20.188679245283019</v>
      </c>
      <c r="S985" s="2">
        <f>[1]RawShipmentData!N993</f>
        <v>3</v>
      </c>
      <c r="T985" s="2" t="str">
        <f>IF(OR(UPPER(TRIM([1]RawShipmentData!O993))="YES",UPPER(TRIM([1]RawShipmentData!O993))="Y"),"Yes","No")</f>
        <v>No</v>
      </c>
    </row>
    <row r="986" spans="1:20" x14ac:dyDescent="0.25">
      <c r="A986" s="2" t="str">
        <f>[1]RawShipmentData!A994</f>
        <v>SHP-100604</v>
      </c>
      <c r="B986" s="3">
        <f>IF(ISNUMBER(SEARCH("/",TRIM([1]RawShipmentData!B994))),DATE(VALUE(RIGHT(TRIM([1]RawShipmentData!B994),4)),VALUE(MID(TRIM([1]RawShipmentData!B994),FIND("/",TRIM([1]RawShipmentData!B994))+1,2)),VALUE(LEFT(TRIM([1]RawShipmentData!B994),FIND("/",TRIM([1]RawShipmentData!B994))-1))),DATEVALUE(TRIM([1]RawShipmentData!B994)))</f>
        <v>45404</v>
      </c>
      <c r="C986" s="2" t="str">
        <f>PROPER(TRIM([1]RawShipmentData!C994))</f>
        <v>Mumbai</v>
      </c>
      <c r="D986" s="2" t="str">
        <f>IFERROR(INDEX([1]HubMaster!$B$2:$B$7,MATCH(C986,[1]HubMaster!$A$2:$A$7,0)),"Unknown")</f>
        <v>West</v>
      </c>
      <c r="E986" s="2" t="str">
        <f>PROPER(TRIM(SUBSTITUTE([1]RawShipmentData!D994,"  "," ")))</f>
        <v>Bluedart</v>
      </c>
      <c r="F986" s="2" t="str">
        <f>PROPER(TRIM([1]RawShipmentData!E994))</f>
        <v>Surface</v>
      </c>
      <c r="G986" s="2" t="str">
        <f>PROPER(TRIM(SUBSTITUTE([1]RawShipmentData!F994,"  "," ")))</f>
        <v>Electronics</v>
      </c>
      <c r="H986" s="2" t="str">
        <f>PROPER(TRIM([1]RawShipmentData!G994))</f>
        <v>West</v>
      </c>
      <c r="I986" s="2" t="str">
        <f t="shared" si="75"/>
        <v>No</v>
      </c>
      <c r="J986" s="2">
        <f>IFERROR(VALUE(TRIM(SUBSTITUTE(UPPER([1]RawShipmentData!I986),"KG",""))),"")</f>
        <v>2.4</v>
      </c>
      <c r="K986" s="2">
        <f>VALUE(SUBSTITUTE(SUBSTITUTE(SUBSTITUTE(TRIM([1]RawShipmentData!J994),"₹",""),"Rs",""),",",""))</f>
        <v>164</v>
      </c>
      <c r="L986" s="2">
        <f>[1]RawShipmentData!K994</f>
        <v>4</v>
      </c>
      <c r="M986" s="3">
        <f>IF(TRIM([1]RawShipmentData!L994)="","",IF(ISNUMBER(SEARCH("/",TRIM([1]RawShipmentData!L994))),DATE(VALUE(RIGHT(TRIM([1]RawShipmentData!L994),4)),VALUE(MID(TRIM([1]RawShipmentData!L994),FIND("/",TRIM([1]RawShipmentData!L994))+1,2)),VALUE(LEFT(TRIM([1]RawShipmentData!L994),FIND("/",TRIM([1]RawShipmentData!L994))-1))),DATEVALUE(TRIM([1]RawShipmentData!L994))))</f>
        <v>45407</v>
      </c>
      <c r="N986" s="2">
        <f t="shared" si="76"/>
        <v>3</v>
      </c>
      <c r="O986" s="2">
        <f t="shared" si="77"/>
        <v>-1</v>
      </c>
      <c r="P986" s="2" t="str">
        <f t="shared" si="78"/>
        <v>On Time</v>
      </c>
      <c r="Q986" s="2" t="str">
        <f>PROPER(SUBSTITUTE(TRIM([1]RawShipmentData!M994)," ","-"))</f>
        <v>Delivered</v>
      </c>
      <c r="R986" s="4">
        <f t="shared" si="79"/>
        <v>68.333333333333343</v>
      </c>
      <c r="S986" s="2">
        <f>[1]RawShipmentData!N994</f>
        <v>3</v>
      </c>
      <c r="T986" s="2" t="str">
        <f>IF(OR(UPPER(TRIM([1]RawShipmentData!O994))="YES",UPPER(TRIM([1]RawShipmentData!O994))="Y"),"Yes","No")</f>
        <v>No</v>
      </c>
    </row>
    <row r="987" spans="1:20" x14ac:dyDescent="0.25">
      <c r="A987" s="2" t="str">
        <f>[1]RawShipmentData!A995</f>
        <v>SHP-101113</v>
      </c>
      <c r="B987" s="3">
        <f>IF(ISNUMBER(SEARCH("/",TRIM([1]RawShipmentData!B995))),DATE(VALUE(RIGHT(TRIM([1]RawShipmentData!B995),4)),VALUE(MID(TRIM([1]RawShipmentData!B995),FIND("/",TRIM([1]RawShipmentData!B995))+1,2)),VALUE(LEFT(TRIM([1]RawShipmentData!B995),FIND("/",TRIM([1]RawShipmentData!B995))-1))),DATEVALUE(TRIM([1]RawShipmentData!B995)))</f>
        <v>45293</v>
      </c>
      <c r="C987" s="2" t="str">
        <f>PROPER(TRIM([1]RawShipmentData!C995))</f>
        <v>Bengaluru</v>
      </c>
      <c r="D987" s="2" t="str">
        <f>IFERROR(INDEX([1]HubMaster!$B$2:$B$7,MATCH(C987,[1]HubMaster!$A$2:$A$7,0)),"Unknown")</f>
        <v>South</v>
      </c>
      <c r="E987" s="2" t="str">
        <f>PROPER(TRIM(SUBSTITUTE([1]RawShipmentData!D995,"  "," ")))</f>
        <v>Dtdc</v>
      </c>
      <c r="F987" s="2" t="str">
        <f>PROPER(TRIM([1]RawShipmentData!E995))</f>
        <v>Road</v>
      </c>
      <c r="G987" s="2" t="str">
        <f>PROPER(TRIM(SUBSTITUTE([1]RawShipmentData!F995,"  "," ")))</f>
        <v>Apparel</v>
      </c>
      <c r="H987" s="2" t="str">
        <f>PROPER(TRIM([1]RawShipmentData!G995))</f>
        <v>East</v>
      </c>
      <c r="I987" s="2" t="str">
        <f t="shared" si="75"/>
        <v>Yes</v>
      </c>
      <c r="J987" s="2">
        <f>IFERROR(VALUE(TRIM(SUBSTITUTE(UPPER([1]RawShipmentData!I987),"KG",""))),"")</f>
        <v>4.9000000000000004</v>
      </c>
      <c r="K987" s="2">
        <f>VALUE(SUBSTITUTE(SUBSTITUTE(SUBSTITUTE(TRIM([1]RawShipmentData!J995),"₹",""),"Rs",""),",",""))</f>
        <v>214</v>
      </c>
      <c r="L987" s="2">
        <f>[1]RawShipmentData!K995</f>
        <v>8</v>
      </c>
      <c r="M987" s="3">
        <f>IF(TRIM([1]RawShipmentData!L995)="","",IF(ISNUMBER(SEARCH("/",TRIM([1]RawShipmentData!L995))),DATE(VALUE(RIGHT(TRIM([1]RawShipmentData!L995),4)),VALUE(MID(TRIM([1]RawShipmentData!L995),FIND("/",TRIM([1]RawShipmentData!L995))+1,2)),VALUE(LEFT(TRIM([1]RawShipmentData!L995),FIND("/",TRIM([1]RawShipmentData!L995))-1))),DATEVALUE(TRIM([1]RawShipmentData!L995))))</f>
        <v>45309</v>
      </c>
      <c r="N987" s="2">
        <f t="shared" si="76"/>
        <v>16</v>
      </c>
      <c r="O987" s="2">
        <f t="shared" si="77"/>
        <v>8</v>
      </c>
      <c r="P987" s="2" t="str">
        <f t="shared" si="78"/>
        <v>Late</v>
      </c>
      <c r="Q987" s="2" t="str">
        <f>PROPER(SUBSTITUTE(TRIM([1]RawShipmentData!M995)," ","-"))</f>
        <v>Delayed</v>
      </c>
      <c r="R987" s="4">
        <f t="shared" si="79"/>
        <v>43.673469387755098</v>
      </c>
      <c r="S987" s="2">
        <f>[1]RawShipmentData!N995</f>
        <v>2</v>
      </c>
      <c r="T987" s="2" t="str">
        <f>IF(OR(UPPER(TRIM([1]RawShipmentData!O995))="YES",UPPER(TRIM([1]RawShipmentData!O995))="Y"),"Yes","No")</f>
        <v>No</v>
      </c>
    </row>
    <row r="988" spans="1:20" x14ac:dyDescent="0.25">
      <c r="A988" s="2" t="str">
        <f>[1]RawShipmentData!A996</f>
        <v>SHP-101409</v>
      </c>
      <c r="B988" s="3">
        <f>IF(ISNUMBER(SEARCH("/",TRIM([1]RawShipmentData!B996))),DATE(VALUE(RIGHT(TRIM([1]RawShipmentData!B996),4)),VALUE(MID(TRIM([1]RawShipmentData!B996),FIND("/",TRIM([1]RawShipmentData!B996))+1,2)),VALUE(LEFT(TRIM([1]RawShipmentData!B996),FIND("/",TRIM([1]RawShipmentData!B996))-1))),DATEVALUE(TRIM([1]RawShipmentData!B996)))</f>
        <v>45396</v>
      </c>
      <c r="C988" s="2" t="str">
        <f>PROPER(TRIM([1]RawShipmentData!C996))</f>
        <v>Kolkata</v>
      </c>
      <c r="D988" s="2" t="str">
        <f>IFERROR(INDEX([1]HubMaster!$B$2:$B$7,MATCH(C988,[1]HubMaster!$A$2:$A$7,0)),"Unknown")</f>
        <v>East</v>
      </c>
      <c r="E988" s="2" t="str">
        <f>PROPER(TRIM(SUBSTITUTE([1]RawShipmentData!D996,"  "," ")))</f>
        <v>Dtdc</v>
      </c>
      <c r="F988" s="2" t="str">
        <f>PROPER(TRIM([1]RawShipmentData!E996))</f>
        <v>Surface</v>
      </c>
      <c r="G988" s="2" t="str">
        <f>PROPER(TRIM(SUBSTITUTE([1]RawShipmentData!F996,"  "," ")))</f>
        <v>Pharma</v>
      </c>
      <c r="H988" s="2" t="str">
        <f>PROPER(TRIM([1]RawShipmentData!G996))</f>
        <v>South</v>
      </c>
      <c r="I988" s="2" t="str">
        <f t="shared" si="75"/>
        <v>Yes</v>
      </c>
      <c r="J988" s="2">
        <f>IFERROR(VALUE(TRIM(SUBSTITUTE(UPPER([1]RawShipmentData!I988),"KG",""))),"")</f>
        <v>1.7</v>
      </c>
      <c r="K988" s="2">
        <f>VALUE(SUBSTITUTE(SUBSTITUTE(SUBSTITUTE(TRIM([1]RawShipmentData!J996),"₹",""),"Rs",""),",",""))</f>
        <v>294</v>
      </c>
      <c r="L988" s="2">
        <f>[1]RawShipmentData!K996</f>
        <v>6</v>
      </c>
      <c r="M988" s="3">
        <f>IF(TRIM([1]RawShipmentData!L996)="","",IF(ISNUMBER(SEARCH("/",TRIM([1]RawShipmentData!L996))),DATE(VALUE(RIGHT(TRIM([1]RawShipmentData!L996),4)),VALUE(MID(TRIM([1]RawShipmentData!L996),FIND("/",TRIM([1]RawShipmentData!L996))+1,2)),VALUE(LEFT(TRIM([1]RawShipmentData!L996),FIND("/",TRIM([1]RawShipmentData!L996))-1))),DATEVALUE(TRIM([1]RawShipmentData!L996))))</f>
        <v>45402</v>
      </c>
      <c r="N988" s="2">
        <f t="shared" si="76"/>
        <v>6</v>
      </c>
      <c r="O988" s="2">
        <f t="shared" si="77"/>
        <v>0</v>
      </c>
      <c r="P988" s="2" t="str">
        <f t="shared" si="78"/>
        <v>On Time</v>
      </c>
      <c r="Q988" s="2" t="str">
        <f>PROPER(SUBSTITUTE(TRIM([1]RawShipmentData!M996)," ","-"))</f>
        <v>Delivered</v>
      </c>
      <c r="R988" s="4">
        <f t="shared" si="79"/>
        <v>172.94117647058823</v>
      </c>
      <c r="S988" s="2">
        <f>[1]RawShipmentData!N996</f>
        <v>5</v>
      </c>
      <c r="T988" s="2" t="str">
        <f>IF(OR(UPPER(TRIM([1]RawShipmentData!O996))="YES",UPPER(TRIM([1]RawShipmentData!O996))="Y"),"Yes","No")</f>
        <v>Yes</v>
      </c>
    </row>
    <row r="989" spans="1:20" x14ac:dyDescent="0.25">
      <c r="A989" s="2" t="str">
        <f>[1]RawShipmentData!A997</f>
        <v>SHP-100071</v>
      </c>
      <c r="B989" s="3">
        <f>IF(ISNUMBER(SEARCH("/",TRIM([1]RawShipmentData!B997))),DATE(VALUE(RIGHT(TRIM([1]RawShipmentData!B997),4)),VALUE(MID(TRIM([1]RawShipmentData!B997),FIND("/",TRIM([1]RawShipmentData!B997))+1,2)),VALUE(LEFT(TRIM([1]RawShipmentData!B997),FIND("/",TRIM([1]RawShipmentData!B997))-1))),DATEVALUE(TRIM([1]RawShipmentData!B997)))</f>
        <v>45314</v>
      </c>
      <c r="C989" s="2" t="str">
        <f>PROPER(TRIM([1]RawShipmentData!C997))</f>
        <v>Hyderabad</v>
      </c>
      <c r="D989" s="2" t="str">
        <f>IFERROR(INDEX([1]HubMaster!$B$2:$B$7,MATCH(C989,[1]HubMaster!$A$2:$A$7,0)),"Unknown")</f>
        <v>West</v>
      </c>
      <c r="E989" s="2" t="str">
        <f>PROPER(TRIM(SUBSTITUTE([1]RawShipmentData!D997,"  "," ")))</f>
        <v>Dtdc</v>
      </c>
      <c r="F989" s="2" t="str">
        <f>PROPER(TRIM([1]RawShipmentData!E997))</f>
        <v>Road</v>
      </c>
      <c r="G989" s="2" t="str">
        <f>PROPER(TRIM(SUBSTITUTE([1]RawShipmentData!F997,"  "," ")))</f>
        <v>Pharma</v>
      </c>
      <c r="H989" s="2" t="str">
        <f>PROPER(TRIM([1]RawShipmentData!G997))</f>
        <v>South</v>
      </c>
      <c r="I989" s="2" t="str">
        <f t="shared" si="75"/>
        <v>Yes</v>
      </c>
      <c r="J989" s="2">
        <f>IFERROR(VALUE(TRIM(SUBSTITUTE(UPPER([1]RawShipmentData!I989),"KG",""))),"")</f>
        <v>74.7</v>
      </c>
      <c r="K989" s="2">
        <f>VALUE(SUBSTITUTE(SUBSTITUTE(SUBSTITUTE(TRIM([1]RawShipmentData!J997),"₹",""),"Rs",""),",",""))</f>
        <v>186</v>
      </c>
      <c r="L989" s="2">
        <f>[1]RawShipmentData!K997</f>
        <v>8</v>
      </c>
      <c r="M989" s="3">
        <f>IF(TRIM([1]RawShipmentData!L997)="","",IF(ISNUMBER(SEARCH("/",TRIM([1]RawShipmentData!L997))),DATE(VALUE(RIGHT(TRIM([1]RawShipmentData!L997),4)),VALUE(MID(TRIM([1]RawShipmentData!L997),FIND("/",TRIM([1]RawShipmentData!L997))+1,2)),VALUE(LEFT(TRIM([1]RawShipmentData!L997),FIND("/",TRIM([1]RawShipmentData!L997))-1))),DATEVALUE(TRIM([1]RawShipmentData!L997))))</f>
        <v>45323</v>
      </c>
      <c r="N989" s="2">
        <f t="shared" si="76"/>
        <v>9</v>
      </c>
      <c r="O989" s="2">
        <f t="shared" si="77"/>
        <v>1</v>
      </c>
      <c r="P989" s="2" t="str">
        <f t="shared" si="78"/>
        <v>Late</v>
      </c>
      <c r="Q989" s="2" t="str">
        <f>PROPER(SUBSTITUTE(TRIM([1]RawShipmentData!M997)," ","-"))</f>
        <v>Delayed</v>
      </c>
      <c r="R989" s="4">
        <f t="shared" si="79"/>
        <v>2.4899598393574296</v>
      </c>
      <c r="S989" s="2">
        <f>[1]RawShipmentData!N997</f>
        <v>4</v>
      </c>
      <c r="T989" s="2" t="str">
        <f>IF(OR(UPPER(TRIM([1]RawShipmentData!O997))="YES",UPPER(TRIM([1]RawShipmentData!O997))="Y"),"Yes","No")</f>
        <v>No</v>
      </c>
    </row>
    <row r="990" spans="1:20" x14ac:dyDescent="0.25">
      <c r="A990" s="2" t="str">
        <f>[1]RawShipmentData!A998</f>
        <v>SHP-101188</v>
      </c>
      <c r="B990" s="3">
        <f>IF(ISNUMBER(SEARCH("/",TRIM([1]RawShipmentData!B998))),DATE(VALUE(RIGHT(TRIM([1]RawShipmentData!B998),4)),VALUE(MID(TRIM([1]RawShipmentData!B998),FIND("/",TRIM([1]RawShipmentData!B998))+1,2)),VALUE(LEFT(TRIM([1]RawShipmentData!B998),FIND("/",TRIM([1]RawShipmentData!B998))-1))),DATEVALUE(TRIM([1]RawShipmentData!B998)))</f>
        <v>45302</v>
      </c>
      <c r="C990" s="2" t="str">
        <f>PROPER(TRIM([1]RawShipmentData!C998))</f>
        <v>Hyderabad</v>
      </c>
      <c r="D990" s="2" t="str">
        <f>IFERROR(INDEX([1]HubMaster!$B$2:$B$7,MATCH(C990,[1]HubMaster!$A$2:$A$7,0)),"Unknown")</f>
        <v>West</v>
      </c>
      <c r="E990" s="2" t="str">
        <f>PROPER(TRIM(SUBSTITUTE([1]RawShipmentData!D998,"  "," ")))</f>
        <v>Delhivery</v>
      </c>
      <c r="F990" s="2" t="str">
        <f>PROPER(TRIM([1]RawShipmentData!E998))</f>
        <v>Road</v>
      </c>
      <c r="G990" s="2" t="str">
        <f>PROPER(TRIM(SUBSTITUTE([1]RawShipmentData!F998,"  "," ")))</f>
        <v>Pharma</v>
      </c>
      <c r="H990" s="2" t="str">
        <f>PROPER(TRIM([1]RawShipmentData!G998))</f>
        <v>East</v>
      </c>
      <c r="I990" s="2" t="str">
        <f t="shared" si="75"/>
        <v>Yes</v>
      </c>
      <c r="J990" s="2">
        <f>IFERROR(VALUE(TRIM(SUBSTITUTE(UPPER([1]RawShipmentData!I990),"KG",""))),"")</f>
        <v>6.8</v>
      </c>
      <c r="K990" s="2">
        <f>VALUE(SUBSTITUTE(SUBSTITUTE(SUBSTITUTE(TRIM([1]RawShipmentData!J998),"₹",""),"Rs",""),",",""))</f>
        <v>218</v>
      </c>
      <c r="L990" s="2">
        <f>[1]RawShipmentData!K998</f>
        <v>8</v>
      </c>
      <c r="M990" s="3">
        <f>IF(TRIM([1]RawShipmentData!L998)="","",IF(ISNUMBER(SEARCH("/",TRIM([1]RawShipmentData!L998))),DATE(VALUE(RIGHT(TRIM([1]RawShipmentData!L998),4)),VALUE(MID(TRIM([1]RawShipmentData!L998),FIND("/",TRIM([1]RawShipmentData!L998))+1,2)),VALUE(LEFT(TRIM([1]RawShipmentData!L998),FIND("/",TRIM([1]RawShipmentData!L998))-1))),DATEVALUE(TRIM([1]RawShipmentData!L998))))</f>
        <v>45310</v>
      </c>
      <c r="N990" s="2">
        <f t="shared" si="76"/>
        <v>8</v>
      </c>
      <c r="O990" s="2">
        <f t="shared" si="77"/>
        <v>0</v>
      </c>
      <c r="P990" s="2" t="str">
        <f t="shared" si="78"/>
        <v>On Time</v>
      </c>
      <c r="Q990" s="2" t="str">
        <f>PROPER(SUBSTITUTE(TRIM([1]RawShipmentData!M998)," ","-"))</f>
        <v>Delivered</v>
      </c>
      <c r="R990" s="4">
        <f t="shared" si="79"/>
        <v>32.058823529411768</v>
      </c>
      <c r="S990" s="2">
        <f>[1]RawShipmentData!N998</f>
        <v>5</v>
      </c>
      <c r="T990" s="2" t="str">
        <f>IF(OR(UPPER(TRIM([1]RawShipmentData!O998))="YES",UPPER(TRIM([1]RawShipmentData!O998))="Y"),"Yes","No")</f>
        <v>No</v>
      </c>
    </row>
    <row r="991" spans="1:20" x14ac:dyDescent="0.25">
      <c r="A991" s="2" t="str">
        <f>[1]RawShipmentData!A999</f>
        <v>SHP-100162</v>
      </c>
      <c r="B991" s="3">
        <f>IF(ISNUMBER(SEARCH("/",TRIM([1]RawShipmentData!B999))),DATE(VALUE(RIGHT(TRIM([1]RawShipmentData!B999),4)),VALUE(MID(TRIM([1]RawShipmentData!B999),FIND("/",TRIM([1]RawShipmentData!B999))+1,2)),VALUE(LEFT(TRIM([1]RawShipmentData!B999),FIND("/",TRIM([1]RawShipmentData!B999))-1))),DATEVALUE(TRIM([1]RawShipmentData!B999)))</f>
        <v>45324</v>
      </c>
      <c r="C991" s="2" t="str">
        <f>PROPER(TRIM([1]RawShipmentData!C999))</f>
        <v>Bengaluru</v>
      </c>
      <c r="D991" s="2" t="str">
        <f>IFERROR(INDEX([1]HubMaster!$B$2:$B$7,MATCH(C991,[1]HubMaster!$A$2:$A$7,0)),"Unknown")</f>
        <v>South</v>
      </c>
      <c r="E991" s="2" t="str">
        <f>PROPER(TRIM(SUBSTITUTE([1]RawShipmentData!D999,"  "," ")))</f>
        <v>Delhivery</v>
      </c>
      <c r="F991" s="2" t="str">
        <f>PROPER(TRIM([1]RawShipmentData!E999))</f>
        <v>Air</v>
      </c>
      <c r="G991" s="2" t="str">
        <f>PROPER(TRIM(SUBSTITUTE([1]RawShipmentData!F999,"  "," ")))</f>
        <v>Apparel</v>
      </c>
      <c r="H991" s="2" t="str">
        <f>PROPER(TRIM([1]RawShipmentData!G999))</f>
        <v>East</v>
      </c>
      <c r="I991" s="2" t="str">
        <f t="shared" si="75"/>
        <v>Yes</v>
      </c>
      <c r="J991" s="2">
        <f>IFERROR(VALUE(TRIM(SUBSTITUTE(UPPER([1]RawShipmentData!I991),"KG",""))),"")</f>
        <v>3.3</v>
      </c>
      <c r="K991" s="2">
        <f>VALUE(SUBSTITUTE(SUBSTITUTE(SUBSTITUTE(TRIM([1]RawShipmentData!J999),"₹",""),"Rs",""),",",""))</f>
        <v>496</v>
      </c>
      <c r="L991" s="2">
        <f>[1]RawShipmentData!K999</f>
        <v>4</v>
      </c>
      <c r="M991" s="3">
        <f>IF(TRIM([1]RawShipmentData!L999)="","",IF(ISNUMBER(SEARCH("/",TRIM([1]RawShipmentData!L999))),DATE(VALUE(RIGHT(TRIM([1]RawShipmentData!L999),4)),VALUE(MID(TRIM([1]RawShipmentData!L999),FIND("/",TRIM([1]RawShipmentData!L999))+1,2)),VALUE(LEFT(TRIM([1]RawShipmentData!L999),FIND("/",TRIM([1]RawShipmentData!L999))-1))),DATEVALUE(TRIM([1]RawShipmentData!L999))))</f>
        <v>45329</v>
      </c>
      <c r="N991" s="2">
        <f t="shared" si="76"/>
        <v>5</v>
      </c>
      <c r="O991" s="2">
        <f t="shared" si="77"/>
        <v>1</v>
      </c>
      <c r="P991" s="2" t="str">
        <f t="shared" si="78"/>
        <v>Late</v>
      </c>
      <c r="Q991" s="2" t="str">
        <f>PROPER(SUBSTITUTE(TRIM([1]RawShipmentData!M999)," ","-"))</f>
        <v>Delayed</v>
      </c>
      <c r="R991" s="4">
        <f t="shared" si="79"/>
        <v>150.30303030303031</v>
      </c>
      <c r="S991" s="2">
        <f>[1]RawShipmentData!N999</f>
        <v>1</v>
      </c>
      <c r="T991" s="2" t="str">
        <f>IF(OR(UPPER(TRIM([1]RawShipmentData!O999))="YES",UPPER(TRIM([1]RawShipmentData!O999))="Y"),"Yes","No")</f>
        <v>Yes</v>
      </c>
    </row>
    <row r="992" spans="1:20" x14ac:dyDescent="0.25">
      <c r="A992" s="2" t="str">
        <f>[1]RawShipmentData!A1000</f>
        <v>SHP-100901</v>
      </c>
      <c r="B992" s="3">
        <f>IF(ISNUMBER(SEARCH("/",TRIM([1]RawShipmentData!B1000))),DATE(VALUE(RIGHT(TRIM([1]RawShipmentData!B1000),4)),VALUE(MID(TRIM([1]RawShipmentData!B1000),FIND("/",TRIM([1]RawShipmentData!B1000))+1,2)),VALUE(LEFT(TRIM([1]RawShipmentData!B1000),FIND("/",TRIM([1]RawShipmentData!B1000))-1))),DATEVALUE(TRIM([1]RawShipmentData!B1000)))</f>
        <v>45377</v>
      </c>
      <c r="C992" s="2" t="str">
        <f>PROPER(TRIM([1]RawShipmentData!C1000))</f>
        <v>Delhi</v>
      </c>
      <c r="D992" s="2" t="str">
        <f>IFERROR(INDEX([1]HubMaster!$B$2:$B$7,MATCH(C992,[1]HubMaster!$A$2:$A$7,0)),"Unknown")</f>
        <v>North</v>
      </c>
      <c r="E992" s="2" t="str">
        <f>PROPER(TRIM(SUBSTITUTE([1]RawShipmentData!D1000,"  "," ")))</f>
        <v>Delhivery</v>
      </c>
      <c r="F992" s="2" t="str">
        <f>PROPER(TRIM([1]RawShipmentData!E1000))</f>
        <v>Air</v>
      </c>
      <c r="G992" s="2" t="str">
        <f>PROPER(TRIM(SUBSTITUTE([1]RawShipmentData!F1000,"  "," ")))</f>
        <v>Furniture</v>
      </c>
      <c r="H992" s="2" t="str">
        <f>PROPER(TRIM([1]RawShipmentData!G1000))</f>
        <v>East</v>
      </c>
      <c r="I992" s="2" t="str">
        <f t="shared" si="75"/>
        <v>Yes</v>
      </c>
      <c r="J992" s="2">
        <f>IFERROR(VALUE(TRIM(SUBSTITUTE(UPPER([1]RawShipmentData!I992),"KG",""))),"")</f>
        <v>35.299999999999997</v>
      </c>
      <c r="K992" s="2">
        <f>VALUE(SUBSTITUTE(SUBSTITUTE(SUBSTITUTE(TRIM([1]RawShipmentData!J1000),"₹",""),"Rs",""),",",""))</f>
        <v>2075</v>
      </c>
      <c r="L992" s="2">
        <f>[1]RawShipmentData!K1000</f>
        <v>4</v>
      </c>
      <c r="M992" s="3">
        <f>IF(TRIM([1]RawShipmentData!L1000)="","",IF(ISNUMBER(SEARCH("/",TRIM([1]RawShipmentData!L1000))),DATE(VALUE(RIGHT(TRIM([1]RawShipmentData!L1000),4)),VALUE(MID(TRIM([1]RawShipmentData!L1000),FIND("/",TRIM([1]RawShipmentData!L1000))+1,2)),VALUE(LEFT(TRIM([1]RawShipmentData!L1000),FIND("/",TRIM([1]RawShipmentData!L1000))-1))),DATEVALUE(TRIM([1]RawShipmentData!L1000))))</f>
        <v>45382</v>
      </c>
      <c r="N992" s="2">
        <f t="shared" si="76"/>
        <v>5</v>
      </c>
      <c r="O992" s="2">
        <f t="shared" si="77"/>
        <v>1</v>
      </c>
      <c r="P992" s="2" t="str">
        <f t="shared" si="78"/>
        <v>Late</v>
      </c>
      <c r="Q992" s="2" t="str">
        <f>PROPER(SUBSTITUTE(TRIM([1]RawShipmentData!M1000)," ","-"))</f>
        <v>Delayed</v>
      </c>
      <c r="R992" s="4">
        <f t="shared" si="79"/>
        <v>58.781869688385271</v>
      </c>
      <c r="S992" s="2">
        <f>[1]RawShipmentData!N1000</f>
        <v>2</v>
      </c>
      <c r="T992" s="2" t="str">
        <f>IF(OR(UPPER(TRIM([1]RawShipmentData!O1000))="YES",UPPER(TRIM([1]RawShipmentData!O1000))="Y"),"Yes","No")</f>
        <v>No</v>
      </c>
    </row>
    <row r="993" spans="1:20" x14ac:dyDescent="0.25">
      <c r="A993" s="2" t="str">
        <f>[1]RawShipmentData!A1001</f>
        <v>SHP-100592</v>
      </c>
      <c r="B993" s="3">
        <f>IF(ISNUMBER(SEARCH("/",TRIM([1]RawShipmentData!B1001))),DATE(VALUE(RIGHT(TRIM([1]RawShipmentData!B1001),4)),VALUE(MID(TRIM([1]RawShipmentData!B1001),FIND("/",TRIM([1]RawShipmentData!B1001))+1,2)),VALUE(LEFT(TRIM([1]RawShipmentData!B1001),FIND("/",TRIM([1]RawShipmentData!B1001))-1))),DATEVALUE(TRIM([1]RawShipmentData!B1001)))</f>
        <v>45387</v>
      </c>
      <c r="C993" s="2" t="str">
        <f>PROPER(TRIM([1]RawShipmentData!C1001))</f>
        <v>Kolkata</v>
      </c>
      <c r="D993" s="2" t="str">
        <f>IFERROR(INDEX([1]HubMaster!$B$2:$B$7,MATCH(C993,[1]HubMaster!$A$2:$A$7,0)),"Unknown")</f>
        <v>East</v>
      </c>
      <c r="E993" s="2" t="str">
        <f>PROPER(TRIM(SUBSTITUTE([1]RawShipmentData!D1001,"  "," ")))</f>
        <v>Delhivery</v>
      </c>
      <c r="F993" s="2" t="str">
        <f>PROPER(TRIM([1]RawShipmentData!E1001))</f>
        <v>Surface</v>
      </c>
      <c r="G993" s="2" t="str">
        <f>PROPER(TRIM(SUBSTITUTE([1]RawShipmentData!F1001,"  "," ")))</f>
        <v>Electronics</v>
      </c>
      <c r="H993" s="2" t="str">
        <f>PROPER(TRIM([1]RawShipmentData!G1001))</f>
        <v>North</v>
      </c>
      <c r="I993" s="2" t="str">
        <f t="shared" si="75"/>
        <v>Yes</v>
      </c>
      <c r="J993" s="2">
        <f>IFERROR(VALUE(TRIM(SUBSTITUTE(UPPER([1]RawShipmentData!I993),"KG",""))),"")</f>
        <v>2.2999999999999998</v>
      </c>
      <c r="K993" s="2">
        <f>VALUE(SUBSTITUTE(SUBSTITUTE(SUBSTITUTE(TRIM([1]RawShipmentData!J1001),"₹",""),"Rs",""),",",""))</f>
        <v>290</v>
      </c>
      <c r="L993" s="2">
        <f>[1]RawShipmentData!K1001</f>
        <v>6</v>
      </c>
      <c r="M993" s="3">
        <f>IF(TRIM([1]RawShipmentData!L1001)="","",IF(ISNUMBER(SEARCH("/",TRIM([1]RawShipmentData!L1001))),DATE(VALUE(RIGHT(TRIM([1]RawShipmentData!L1001),4)),VALUE(MID(TRIM([1]RawShipmentData!L1001),FIND("/",TRIM([1]RawShipmentData!L1001))+1,2)),VALUE(LEFT(TRIM([1]RawShipmentData!L1001),FIND("/",TRIM([1]RawShipmentData!L1001))-1))),DATEVALUE(TRIM([1]RawShipmentData!L1001))))</f>
        <v>45392</v>
      </c>
      <c r="N993" s="2">
        <f t="shared" si="76"/>
        <v>5</v>
      </c>
      <c r="O993" s="2">
        <f t="shared" si="77"/>
        <v>-1</v>
      </c>
      <c r="P993" s="2" t="str">
        <f t="shared" si="78"/>
        <v>On Time</v>
      </c>
      <c r="Q993" s="2" t="str">
        <f>PROPER(SUBSTITUTE(TRIM([1]RawShipmentData!M1001)," ","-"))</f>
        <v>Delivered</v>
      </c>
      <c r="R993" s="4">
        <f t="shared" si="79"/>
        <v>126.08695652173914</v>
      </c>
      <c r="S993" s="2">
        <f>[1]RawShipmentData!N1001</f>
        <v>4</v>
      </c>
      <c r="T993" s="2" t="str">
        <f>IF(OR(UPPER(TRIM([1]RawShipmentData!O1001))="YES",UPPER(TRIM([1]RawShipmentData!O1001))="Y"),"Yes","No")</f>
        <v>No</v>
      </c>
    </row>
    <row r="994" spans="1:20" x14ac:dyDescent="0.25">
      <c r="A994" s="2" t="str">
        <f>[1]RawShipmentData!A1002</f>
        <v>SHP-100511</v>
      </c>
      <c r="B994" s="3">
        <f>IF(ISNUMBER(SEARCH("/",TRIM([1]RawShipmentData!B1002))),DATE(VALUE(RIGHT(TRIM([1]RawShipmentData!B1002),4)),VALUE(MID(TRIM([1]RawShipmentData!B1002),FIND("/",TRIM([1]RawShipmentData!B1002))+1,2)),VALUE(LEFT(TRIM([1]RawShipmentData!B1002),FIND("/",TRIM([1]RawShipmentData!B1002))-1))),DATEVALUE(TRIM([1]RawShipmentData!B1002)))</f>
        <v>45448</v>
      </c>
      <c r="C994" s="2" t="str">
        <f>PROPER(TRIM([1]RawShipmentData!C1002))</f>
        <v>Mumbai</v>
      </c>
      <c r="D994" s="2" t="str">
        <f>IFERROR(INDEX([1]HubMaster!$B$2:$B$7,MATCH(C994,[1]HubMaster!$A$2:$A$7,0)),"Unknown")</f>
        <v>West</v>
      </c>
      <c r="E994" s="2" t="str">
        <f>PROPER(TRIM(SUBSTITUTE([1]RawShipmentData!D1002,"  "," ")))</f>
        <v>Dtdc</v>
      </c>
      <c r="F994" s="2" t="str">
        <f>PROPER(TRIM([1]RawShipmentData!E1002))</f>
        <v>Surface</v>
      </c>
      <c r="G994" s="2" t="str">
        <f>PROPER(TRIM(SUBSTITUTE([1]RawShipmentData!F1002,"  "," ")))</f>
        <v>Pharma</v>
      </c>
      <c r="H994" s="2" t="str">
        <f>PROPER(TRIM([1]RawShipmentData!G1002))</f>
        <v>East</v>
      </c>
      <c r="I994" s="2" t="str">
        <f t="shared" si="75"/>
        <v>Yes</v>
      </c>
      <c r="J994" s="2">
        <f>IFERROR(VALUE(TRIM(SUBSTITUTE(UPPER([1]RawShipmentData!I994),"KG",""))),"")</f>
        <v>8</v>
      </c>
      <c r="K994" s="2">
        <f>VALUE(SUBSTITUTE(SUBSTITUTE(SUBSTITUTE(TRIM([1]RawShipmentData!J1002),"₹",""),"Rs",""),",",""))</f>
        <v>163</v>
      </c>
      <c r="L994" s="2">
        <f>[1]RawShipmentData!K1002</f>
        <v>6</v>
      </c>
      <c r="M994" s="3">
        <f>IF(TRIM([1]RawShipmentData!L1002)="","",IF(ISNUMBER(SEARCH("/",TRIM([1]RawShipmentData!L1002))),DATE(VALUE(RIGHT(TRIM([1]RawShipmentData!L1002),4)),VALUE(MID(TRIM([1]RawShipmentData!L1002),FIND("/",TRIM([1]RawShipmentData!L1002))+1,2)),VALUE(LEFT(TRIM([1]RawShipmentData!L1002),FIND("/",TRIM([1]RawShipmentData!L1002))-1))),DATEVALUE(TRIM([1]RawShipmentData!L1002))))</f>
        <v>45453</v>
      </c>
      <c r="N994" s="2">
        <f t="shared" si="76"/>
        <v>5</v>
      </c>
      <c r="O994" s="2">
        <f t="shared" si="77"/>
        <v>-1</v>
      </c>
      <c r="P994" s="2" t="str">
        <f t="shared" si="78"/>
        <v>On Time</v>
      </c>
      <c r="Q994" s="2" t="str">
        <f>PROPER(SUBSTITUTE(TRIM([1]RawShipmentData!M1002)," ","-"))</f>
        <v>Delivered</v>
      </c>
      <c r="R994" s="4">
        <f t="shared" si="79"/>
        <v>20.375</v>
      </c>
      <c r="S994" s="2">
        <f>[1]RawShipmentData!N1002</f>
        <v>4</v>
      </c>
      <c r="T994" s="2" t="str">
        <f>IF(OR(UPPER(TRIM([1]RawShipmentData!O1002))="YES",UPPER(TRIM([1]RawShipmentData!O1002))="Y"),"Yes","No")</f>
        <v>Yes</v>
      </c>
    </row>
    <row r="995" spans="1:20" x14ac:dyDescent="0.25">
      <c r="A995" s="2" t="str">
        <f>[1]RawShipmentData!A1003</f>
        <v>SHP-100864</v>
      </c>
      <c r="B995" s="3">
        <f>IF(ISNUMBER(SEARCH("/",TRIM([1]RawShipmentData!B1003))),DATE(VALUE(RIGHT(TRIM([1]RawShipmentData!B1003),4)),VALUE(MID(TRIM([1]RawShipmentData!B1003),FIND("/",TRIM([1]RawShipmentData!B1003))+1,2)),VALUE(LEFT(TRIM([1]RawShipmentData!B1003),FIND("/",TRIM([1]RawShipmentData!B1003))-1))),DATEVALUE(TRIM([1]RawShipmentData!B1003)))</f>
        <v>45435</v>
      </c>
      <c r="C995" s="2" t="str">
        <f>PROPER(TRIM([1]RawShipmentData!C1003))</f>
        <v>Delhi</v>
      </c>
      <c r="D995" s="2" t="str">
        <f>IFERROR(INDEX([1]HubMaster!$B$2:$B$7,MATCH(C995,[1]HubMaster!$A$2:$A$7,0)),"Unknown")</f>
        <v>North</v>
      </c>
      <c r="E995" s="2" t="str">
        <f>PROPER(TRIM(SUBSTITUTE([1]RawShipmentData!D1003,"  "," ")))</f>
        <v>Dtdc</v>
      </c>
      <c r="F995" s="2" t="str">
        <f>PROPER(TRIM([1]RawShipmentData!E1003))</f>
        <v>Road</v>
      </c>
      <c r="G995" s="2" t="str">
        <f>PROPER(TRIM(SUBSTITUTE([1]RawShipmentData!F1003,"  "," ")))</f>
        <v>Apparel</v>
      </c>
      <c r="H995" s="2" t="str">
        <f>PROPER(TRIM([1]RawShipmentData!G1003))</f>
        <v>North</v>
      </c>
      <c r="I995" s="2" t="str">
        <f t="shared" si="75"/>
        <v>No</v>
      </c>
      <c r="J995" s="2">
        <f>IFERROR(VALUE(TRIM(SUBSTITUTE(UPPER([1]RawShipmentData!I995),"KG",""))),"")</f>
        <v>1.3</v>
      </c>
      <c r="K995" s="2">
        <f>VALUE(SUBSTITUTE(SUBSTITUTE(SUBSTITUTE(TRIM([1]RawShipmentData!J1003),"₹",""),"Rs",""),",",""))</f>
        <v>89</v>
      </c>
      <c r="L995" s="2">
        <f>[1]RawShipmentData!K1003</f>
        <v>6</v>
      </c>
      <c r="M995" s="3">
        <f>IF(TRIM([1]RawShipmentData!L1003)="","",IF(ISNUMBER(SEARCH("/",TRIM([1]RawShipmentData!L1003))),DATE(VALUE(RIGHT(TRIM([1]RawShipmentData!L1003),4)),VALUE(MID(TRIM([1]RawShipmentData!L1003),FIND("/",TRIM([1]RawShipmentData!L1003))+1,2)),VALUE(LEFT(TRIM([1]RawShipmentData!L1003),FIND("/",TRIM([1]RawShipmentData!L1003))-1))),DATEVALUE(TRIM([1]RawShipmentData!L1003))))</f>
        <v>45442</v>
      </c>
      <c r="N995" s="2">
        <f t="shared" si="76"/>
        <v>7</v>
      </c>
      <c r="O995" s="2">
        <f t="shared" si="77"/>
        <v>1</v>
      </c>
      <c r="P995" s="2" t="str">
        <f t="shared" si="78"/>
        <v>Late</v>
      </c>
      <c r="Q995" s="2" t="str">
        <f>PROPER(SUBSTITUTE(TRIM([1]RawShipmentData!M1003)," ","-"))</f>
        <v>Delayed</v>
      </c>
      <c r="R995" s="4">
        <f t="shared" si="79"/>
        <v>68.461538461538453</v>
      </c>
      <c r="S995" s="2">
        <f>[1]RawShipmentData!N1003</f>
        <v>3</v>
      </c>
      <c r="T995" s="2" t="str">
        <f>IF(OR(UPPER(TRIM([1]RawShipmentData!O1003))="YES",UPPER(TRIM([1]RawShipmentData!O1003))="Y"),"Yes","No")</f>
        <v>Yes</v>
      </c>
    </row>
    <row r="996" spans="1:20" x14ac:dyDescent="0.25">
      <c r="A996" s="2" t="str">
        <f>[1]RawShipmentData!A1004</f>
        <v>SHP-101168</v>
      </c>
      <c r="B996" s="3">
        <f>IF(ISNUMBER(SEARCH("/",TRIM([1]RawShipmentData!B1004))),DATE(VALUE(RIGHT(TRIM([1]RawShipmentData!B1004),4)),VALUE(MID(TRIM([1]RawShipmentData!B1004),FIND("/",TRIM([1]RawShipmentData!B1004))+1,2)),VALUE(LEFT(TRIM([1]RawShipmentData!B1004),FIND("/",TRIM([1]RawShipmentData!B1004))-1))),DATEVALUE(TRIM([1]RawShipmentData!B1004)))</f>
        <v>45403</v>
      </c>
      <c r="C996" s="2" t="str">
        <f>PROPER(TRIM([1]RawShipmentData!C1004))</f>
        <v>Hyderabad</v>
      </c>
      <c r="D996" s="2" t="str">
        <f>IFERROR(INDEX([1]HubMaster!$B$2:$B$7,MATCH(C996,[1]HubMaster!$A$2:$A$7,0)),"Unknown")</f>
        <v>West</v>
      </c>
      <c r="E996" s="2" t="str">
        <f>PROPER(TRIM(SUBSTITUTE([1]RawShipmentData!D1004,"  "," ")))</f>
        <v>Ecom Express</v>
      </c>
      <c r="F996" s="2" t="str">
        <f>PROPER(TRIM([1]RawShipmentData!E1004))</f>
        <v>Air</v>
      </c>
      <c r="G996" s="2" t="str">
        <f>PROPER(TRIM(SUBSTITUTE([1]RawShipmentData!F1004,"  "," ")))</f>
        <v>Electronics</v>
      </c>
      <c r="H996" s="2" t="str">
        <f>PROPER(TRIM([1]RawShipmentData!G1004))</f>
        <v>East</v>
      </c>
      <c r="I996" s="2" t="str">
        <f t="shared" si="75"/>
        <v>Yes</v>
      </c>
      <c r="J996" s="2">
        <f>IFERROR(VALUE(TRIM(SUBSTITUTE(UPPER([1]RawShipmentData!I996),"KG",""))),"")</f>
        <v>4</v>
      </c>
      <c r="K996" s="2">
        <f>VALUE(SUBSTITUTE(SUBSTITUTE(SUBSTITUTE(TRIM([1]RawShipmentData!J1004),"₹",""),"Rs",""),",",""))</f>
        <v>531</v>
      </c>
      <c r="L996" s="2">
        <f>[1]RawShipmentData!K1004</f>
        <v>4</v>
      </c>
      <c r="M996" s="3">
        <f>IF(TRIM([1]RawShipmentData!L1004)="","",IF(ISNUMBER(SEARCH("/",TRIM([1]RawShipmentData!L1004))),DATE(VALUE(RIGHT(TRIM([1]RawShipmentData!L1004),4)),VALUE(MID(TRIM([1]RawShipmentData!L1004),FIND("/",TRIM([1]RawShipmentData!L1004))+1,2)),VALUE(LEFT(TRIM([1]RawShipmentData!L1004),FIND("/",TRIM([1]RawShipmentData!L1004))-1))),DATEVALUE(TRIM([1]RawShipmentData!L1004))))</f>
        <v>45407</v>
      </c>
      <c r="N996" s="2">
        <f t="shared" si="76"/>
        <v>4</v>
      </c>
      <c r="O996" s="2">
        <f t="shared" si="77"/>
        <v>0</v>
      </c>
      <c r="P996" s="2" t="str">
        <f t="shared" si="78"/>
        <v>On Time</v>
      </c>
      <c r="Q996" s="2" t="str">
        <f>PROPER(SUBSTITUTE(TRIM([1]RawShipmentData!M1004)," ","-"))</f>
        <v>Delivered</v>
      </c>
      <c r="R996" s="4">
        <f t="shared" si="79"/>
        <v>132.75</v>
      </c>
      <c r="S996" s="2">
        <f>[1]RawShipmentData!N1004</f>
        <v>4</v>
      </c>
      <c r="T996" s="2" t="str">
        <f>IF(OR(UPPER(TRIM([1]RawShipmentData!O1004))="YES",UPPER(TRIM([1]RawShipmentData!O1004))="Y"),"Yes","No")</f>
        <v>No</v>
      </c>
    </row>
    <row r="997" spans="1:20" x14ac:dyDescent="0.25">
      <c r="A997" s="2" t="str">
        <f>[1]RawShipmentData!A1005</f>
        <v>SHP-100655</v>
      </c>
      <c r="B997" s="3">
        <f>IF(ISNUMBER(SEARCH("/",TRIM([1]RawShipmentData!B1005))),DATE(VALUE(RIGHT(TRIM([1]RawShipmentData!B1005),4)),VALUE(MID(TRIM([1]RawShipmentData!B1005),FIND("/",TRIM([1]RawShipmentData!B1005))+1,2)),VALUE(LEFT(TRIM([1]RawShipmentData!B1005),FIND("/",TRIM([1]RawShipmentData!B1005))-1))),DATEVALUE(TRIM([1]RawShipmentData!B1005)))</f>
        <v>45463</v>
      </c>
      <c r="C997" s="2" t="str">
        <f>PROPER(TRIM([1]RawShipmentData!C1005))</f>
        <v>Bengaluru</v>
      </c>
      <c r="D997" s="2" t="str">
        <f>IFERROR(INDEX([1]HubMaster!$B$2:$B$7,MATCH(C997,[1]HubMaster!$A$2:$A$7,0)),"Unknown")</f>
        <v>South</v>
      </c>
      <c r="E997" s="2" t="str">
        <f>PROPER(TRIM(SUBSTITUTE([1]RawShipmentData!D1005,"  "," ")))</f>
        <v>Ecom Express</v>
      </c>
      <c r="F997" s="2" t="str">
        <f>PROPER(TRIM([1]RawShipmentData!E1005))</f>
        <v>Surface</v>
      </c>
      <c r="G997" s="2" t="str">
        <f>PROPER(TRIM(SUBSTITUTE([1]RawShipmentData!F1005,"  "," ")))</f>
        <v>Grocery &amp; Fmcg</v>
      </c>
      <c r="H997" s="2" t="str">
        <f>PROPER(TRIM([1]RawShipmentData!G1005))</f>
        <v>North</v>
      </c>
      <c r="I997" s="2" t="str">
        <f t="shared" si="75"/>
        <v>Yes</v>
      </c>
      <c r="J997" s="2">
        <f>IFERROR(VALUE(TRIM(SUBSTITUTE(UPPER([1]RawShipmentData!I997),"KG",""))),"")</f>
        <v>2.6</v>
      </c>
      <c r="K997" s="2">
        <f>VALUE(SUBSTITUTE(SUBSTITUTE(SUBSTITUTE(TRIM([1]RawShipmentData!J1005),"₹",""),"Rs",""),",",""))</f>
        <v>589</v>
      </c>
      <c r="L997" s="2">
        <f>[1]RawShipmentData!K1005</f>
        <v>6</v>
      </c>
      <c r="M997" s="3">
        <f>IF(TRIM([1]RawShipmentData!L1005)="","",IF(ISNUMBER(SEARCH("/",TRIM([1]RawShipmentData!L1005))),DATE(VALUE(RIGHT(TRIM([1]RawShipmentData!L1005),4)),VALUE(MID(TRIM([1]RawShipmentData!L1005),FIND("/",TRIM([1]RawShipmentData!L1005))+1,2)),VALUE(LEFT(TRIM([1]RawShipmentData!L1005),FIND("/",TRIM([1]RawShipmentData!L1005))-1))),DATEVALUE(TRIM([1]RawShipmentData!L1005))))</f>
        <v>45469</v>
      </c>
      <c r="N997" s="2">
        <f t="shared" si="76"/>
        <v>6</v>
      </c>
      <c r="O997" s="2">
        <f t="shared" si="77"/>
        <v>0</v>
      </c>
      <c r="P997" s="2" t="str">
        <f t="shared" si="78"/>
        <v>On Time</v>
      </c>
      <c r="Q997" s="2" t="str">
        <f>PROPER(SUBSTITUTE(TRIM([1]RawShipmentData!M1005)," ","-"))</f>
        <v>Delivered</v>
      </c>
      <c r="R997" s="4">
        <f t="shared" si="79"/>
        <v>226.53846153846152</v>
      </c>
      <c r="S997" s="2">
        <f>[1]RawShipmentData!N1005</f>
        <v>3</v>
      </c>
      <c r="T997" s="2" t="str">
        <f>IF(OR(UPPER(TRIM([1]RawShipmentData!O1005))="YES",UPPER(TRIM([1]RawShipmentData!O1005))="Y"),"Yes","No")</f>
        <v>Yes</v>
      </c>
    </row>
    <row r="998" spans="1:20" x14ac:dyDescent="0.25">
      <c r="A998" s="2" t="str">
        <f>[1]RawShipmentData!A1006</f>
        <v>SHP-100848</v>
      </c>
      <c r="B998" s="3">
        <f>IF(ISNUMBER(SEARCH("/",TRIM([1]RawShipmentData!B1006))),DATE(VALUE(RIGHT(TRIM([1]RawShipmentData!B1006),4)),VALUE(MID(TRIM([1]RawShipmentData!B1006),FIND("/",TRIM([1]RawShipmentData!B1006))+1,2)),VALUE(LEFT(TRIM([1]RawShipmentData!B1006),FIND("/",TRIM([1]RawShipmentData!B1006))-1))),DATEVALUE(TRIM([1]RawShipmentData!B1006)))</f>
        <v>45427</v>
      </c>
      <c r="C998" s="2" t="str">
        <f>PROPER(TRIM([1]RawShipmentData!C1006))</f>
        <v>Chennai</v>
      </c>
      <c r="D998" s="2" t="str">
        <f>IFERROR(INDEX([1]HubMaster!$B$2:$B$7,MATCH(C998,[1]HubMaster!$A$2:$A$7,0)),"Unknown")</f>
        <v>South</v>
      </c>
      <c r="E998" s="2" t="str">
        <f>PROPER(TRIM(SUBSTITUTE([1]RawShipmentData!D1006,"  "," ")))</f>
        <v>Xpressbees</v>
      </c>
      <c r="F998" s="2" t="str">
        <f>PROPER(TRIM([1]RawShipmentData!E1006))</f>
        <v>Road</v>
      </c>
      <c r="G998" s="2" t="str">
        <f>PROPER(TRIM(SUBSTITUTE([1]RawShipmentData!F1006,"  "," ")))</f>
        <v>Pharma</v>
      </c>
      <c r="H998" s="2" t="str">
        <f>PROPER(TRIM([1]RawShipmentData!G1006))</f>
        <v>West</v>
      </c>
      <c r="I998" s="2" t="str">
        <f t="shared" si="75"/>
        <v>Yes</v>
      </c>
      <c r="J998" s="2">
        <f>IFERROR(VALUE(TRIM(SUBSTITUTE(UPPER([1]RawShipmentData!I998),"KG",""))),"")</f>
        <v>2.7</v>
      </c>
      <c r="K998" s="2">
        <f>VALUE(SUBSTITUTE(SUBSTITUTE(SUBSTITUTE(TRIM([1]RawShipmentData!J1006),"₹",""),"Rs",""),",",""))</f>
        <v>208</v>
      </c>
      <c r="L998" s="2">
        <f>[1]RawShipmentData!K1006</f>
        <v>8</v>
      </c>
      <c r="M998" s="3">
        <f>IF(TRIM([1]RawShipmentData!L1006)="","",IF(ISNUMBER(SEARCH("/",TRIM([1]RawShipmentData!L1006))),DATE(VALUE(RIGHT(TRIM([1]RawShipmentData!L1006),4)),VALUE(MID(TRIM([1]RawShipmentData!L1006),FIND("/",TRIM([1]RawShipmentData!L1006))+1,2)),VALUE(LEFT(TRIM([1]RawShipmentData!L1006),FIND("/",TRIM([1]RawShipmentData!L1006))-1))),DATEVALUE(TRIM([1]RawShipmentData!L1006))))</f>
        <v>45439</v>
      </c>
      <c r="N998" s="2">
        <f t="shared" si="76"/>
        <v>12</v>
      </c>
      <c r="O998" s="2">
        <f t="shared" si="77"/>
        <v>4</v>
      </c>
      <c r="P998" s="2" t="str">
        <f t="shared" si="78"/>
        <v>Late</v>
      </c>
      <c r="Q998" s="2" t="str">
        <f>PROPER(SUBSTITUTE(TRIM([1]RawShipmentData!M1006)," ","-"))</f>
        <v>Delayed</v>
      </c>
      <c r="R998" s="4">
        <f t="shared" si="79"/>
        <v>77.037037037037038</v>
      </c>
      <c r="S998" s="2">
        <f>[1]RawShipmentData!N1006</f>
        <v>4</v>
      </c>
      <c r="T998" s="2" t="str">
        <f>IF(OR(UPPER(TRIM([1]RawShipmentData!O1006))="YES",UPPER(TRIM([1]RawShipmentData!O1006))="Y"),"Yes","No")</f>
        <v>No</v>
      </c>
    </row>
    <row r="999" spans="1:20" x14ac:dyDescent="0.25">
      <c r="A999" s="2" t="str">
        <f>[1]RawShipmentData!A1007</f>
        <v>SHP-100805</v>
      </c>
      <c r="B999" s="3">
        <f>IF(ISNUMBER(SEARCH("/",TRIM([1]RawShipmentData!B1007))),DATE(VALUE(RIGHT(TRIM([1]RawShipmentData!B1007),4)),VALUE(MID(TRIM([1]RawShipmentData!B1007),FIND("/",TRIM([1]RawShipmentData!B1007))+1,2)),VALUE(LEFT(TRIM([1]RawShipmentData!B1007),FIND("/",TRIM([1]RawShipmentData!B1007))-1))),DATEVALUE(TRIM([1]RawShipmentData!B1007)))</f>
        <v>45420</v>
      </c>
      <c r="C999" s="2" t="str">
        <f>PROPER(TRIM([1]RawShipmentData!C1007))</f>
        <v>Bengaluru</v>
      </c>
      <c r="D999" s="2" t="str">
        <f>IFERROR(INDEX([1]HubMaster!$B$2:$B$7,MATCH(C999,[1]HubMaster!$A$2:$A$7,0)),"Unknown")</f>
        <v>South</v>
      </c>
      <c r="E999" s="2" t="str">
        <f>PROPER(TRIM(SUBSTITUTE([1]RawShipmentData!D1007,"  "," ")))</f>
        <v>Xpressbees</v>
      </c>
      <c r="F999" s="2" t="str">
        <f>PROPER(TRIM([1]RawShipmentData!E1007))</f>
        <v>Surface</v>
      </c>
      <c r="G999" s="2" t="str">
        <f>PROPER(TRIM(SUBSTITUTE([1]RawShipmentData!F1007,"  "," ")))</f>
        <v>Electronics</v>
      </c>
      <c r="H999" s="2" t="str">
        <f>PROPER(TRIM([1]RawShipmentData!G1007))</f>
        <v>East</v>
      </c>
      <c r="I999" s="2" t="str">
        <f t="shared" si="75"/>
        <v>Yes</v>
      </c>
      <c r="J999" s="2">
        <f>IFERROR(VALUE(TRIM(SUBSTITUTE(UPPER([1]RawShipmentData!I999),"KG",""))),"")</f>
        <v>7.9</v>
      </c>
      <c r="K999" s="2">
        <f>VALUE(SUBSTITUTE(SUBSTITUTE(SUBSTITUTE(TRIM([1]RawShipmentData!J1007),"₹",""),"Rs",""),",",""))</f>
        <v>210</v>
      </c>
      <c r="L999" s="2">
        <f>[1]RawShipmentData!K1007</f>
        <v>6</v>
      </c>
      <c r="M999" s="3">
        <f>IF(TRIM([1]RawShipmentData!L1007)="","",IF(ISNUMBER(SEARCH("/",TRIM([1]RawShipmentData!L1007))),DATE(VALUE(RIGHT(TRIM([1]RawShipmentData!L1007),4)),VALUE(MID(TRIM([1]RawShipmentData!L1007),FIND("/",TRIM([1]RawShipmentData!L1007))+1,2)),VALUE(LEFT(TRIM([1]RawShipmentData!L1007),FIND("/",TRIM([1]RawShipmentData!L1007))-1))),DATEVALUE(TRIM([1]RawShipmentData!L1007))))</f>
        <v>45426</v>
      </c>
      <c r="N999" s="2">
        <f t="shared" si="76"/>
        <v>6</v>
      </c>
      <c r="O999" s="2">
        <f t="shared" si="77"/>
        <v>0</v>
      </c>
      <c r="P999" s="2" t="str">
        <f t="shared" si="78"/>
        <v>On Time</v>
      </c>
      <c r="Q999" s="2" t="str">
        <f>PROPER(SUBSTITUTE(TRIM([1]RawShipmentData!M1007)," ","-"))</f>
        <v>Delivered</v>
      </c>
      <c r="R999" s="4">
        <f t="shared" si="79"/>
        <v>26.582278481012658</v>
      </c>
      <c r="S999" s="2">
        <f>[1]RawShipmentData!N1007</f>
        <v>2</v>
      </c>
      <c r="T999" s="2" t="str">
        <f>IF(OR(UPPER(TRIM([1]RawShipmentData!O1007))="YES",UPPER(TRIM([1]RawShipmentData!O1007))="Y"),"Yes","No")</f>
        <v>Yes</v>
      </c>
    </row>
    <row r="1000" spans="1:20" x14ac:dyDescent="0.25">
      <c r="A1000" s="2" t="str">
        <f>[1]RawShipmentData!A1008</f>
        <v>SHP-100820</v>
      </c>
      <c r="B1000" s="3">
        <f>IF(ISNUMBER(SEARCH("/",TRIM([1]RawShipmentData!B1008))),DATE(VALUE(RIGHT(TRIM([1]RawShipmentData!B1008),4)),VALUE(MID(TRIM([1]RawShipmentData!B1008),FIND("/",TRIM([1]RawShipmentData!B1008))+1,2)),VALUE(LEFT(TRIM([1]RawShipmentData!B1008),FIND("/",TRIM([1]RawShipmentData!B1008))-1))),DATEVALUE(TRIM([1]RawShipmentData!B1008)))</f>
        <v>45395</v>
      </c>
      <c r="C1000" s="2" t="str">
        <f>PROPER(TRIM([1]RawShipmentData!C1008))</f>
        <v>Chennai</v>
      </c>
      <c r="D1000" s="2" t="str">
        <f>IFERROR(INDEX([1]HubMaster!$B$2:$B$7,MATCH(C1000,[1]HubMaster!$A$2:$A$7,0)),"Unknown")</f>
        <v>South</v>
      </c>
      <c r="E1000" s="2" t="str">
        <f>PROPER(TRIM(SUBSTITUTE([1]RawShipmentData!D1008,"  "," ")))</f>
        <v>Ecom Express</v>
      </c>
      <c r="F1000" s="2" t="str">
        <f>PROPER(TRIM([1]RawShipmentData!E1008))</f>
        <v>Surface</v>
      </c>
      <c r="G1000" s="2" t="str">
        <f>PROPER(TRIM(SUBSTITUTE([1]RawShipmentData!F1008,"  "," ")))</f>
        <v>Apparel</v>
      </c>
      <c r="H1000" s="2" t="str">
        <f>PROPER(TRIM([1]RawShipmentData!G1008))</f>
        <v>South</v>
      </c>
      <c r="I1000" s="2" t="str">
        <f t="shared" si="75"/>
        <v>No</v>
      </c>
      <c r="J1000" s="2">
        <f>IFERROR(VALUE(TRIM(SUBSTITUTE(UPPER([1]RawShipmentData!I1000),"KG",""))),"")</f>
        <v>41.6</v>
      </c>
      <c r="K1000" s="2">
        <f>VALUE(SUBSTITUTE(SUBSTITUTE(SUBSTITUTE(TRIM([1]RawShipmentData!J1008),"₹",""),"Rs",""),",",""))</f>
        <v>80</v>
      </c>
      <c r="L1000" s="2">
        <f>[1]RawShipmentData!K1008</f>
        <v>4</v>
      </c>
      <c r="M1000" s="3">
        <f>IF(TRIM([1]RawShipmentData!L1008)="","",IF(ISNUMBER(SEARCH("/",TRIM([1]RawShipmentData!L1008))),DATE(VALUE(RIGHT(TRIM([1]RawShipmentData!L1008),4)),VALUE(MID(TRIM([1]RawShipmentData!L1008),FIND("/",TRIM([1]RawShipmentData!L1008))+1,2)),VALUE(LEFT(TRIM([1]RawShipmentData!L1008),FIND("/",TRIM([1]RawShipmentData!L1008))-1))),DATEVALUE(TRIM([1]RawShipmentData!L1008))))</f>
        <v>45398</v>
      </c>
      <c r="N1000" s="2">
        <f t="shared" si="76"/>
        <v>3</v>
      </c>
      <c r="O1000" s="2">
        <f t="shared" si="77"/>
        <v>-1</v>
      </c>
      <c r="P1000" s="2" t="str">
        <f t="shared" si="78"/>
        <v>On Time</v>
      </c>
      <c r="Q1000" s="2" t="str">
        <f>PROPER(SUBSTITUTE(TRIM([1]RawShipmentData!M1008)," ","-"))</f>
        <v>Delivered</v>
      </c>
      <c r="R1000" s="4">
        <f t="shared" si="79"/>
        <v>1.9230769230769229</v>
      </c>
      <c r="S1000" s="2">
        <f>[1]RawShipmentData!N1008</f>
        <v>2</v>
      </c>
      <c r="T1000" s="2" t="str">
        <f>IF(OR(UPPER(TRIM([1]RawShipmentData!O1008))="YES",UPPER(TRIM([1]RawShipmentData!O1008))="Y"),"Yes","No")</f>
        <v>No</v>
      </c>
    </row>
    <row r="1001" spans="1:20" x14ac:dyDescent="0.25">
      <c r="A1001" s="2" t="str">
        <f>[1]RawShipmentData!A1009</f>
        <v>SHP-101037</v>
      </c>
      <c r="B1001" s="3">
        <f>IF(ISNUMBER(SEARCH("/",TRIM([1]RawShipmentData!B1009))),DATE(VALUE(RIGHT(TRIM([1]RawShipmentData!B1009),4)),VALUE(MID(TRIM([1]RawShipmentData!B1009),FIND("/",TRIM([1]RawShipmentData!B1009))+1,2)),VALUE(LEFT(TRIM([1]RawShipmentData!B1009),FIND("/",TRIM([1]RawShipmentData!B1009))-1))),DATEVALUE(TRIM([1]RawShipmentData!B1009)))</f>
        <v>45374</v>
      </c>
      <c r="C1001" s="2" t="str">
        <f>PROPER(TRIM([1]RawShipmentData!C1009))</f>
        <v>Mumbai</v>
      </c>
      <c r="D1001" s="2" t="str">
        <f>IFERROR(INDEX([1]HubMaster!$B$2:$B$7,MATCH(C1001,[1]HubMaster!$A$2:$A$7,0)),"Unknown")</f>
        <v>West</v>
      </c>
      <c r="E1001" s="2" t="str">
        <f>PROPER(TRIM(SUBSTITUTE([1]RawShipmentData!D1009,"  "," ")))</f>
        <v>Bluedart</v>
      </c>
      <c r="F1001" s="2" t="str">
        <f>PROPER(TRIM([1]RawShipmentData!E1009))</f>
        <v>Road</v>
      </c>
      <c r="G1001" s="2" t="str">
        <f>PROPER(TRIM(SUBSTITUTE([1]RawShipmentData!F1009,"  "," ")))</f>
        <v>Pharma</v>
      </c>
      <c r="H1001" s="2" t="str">
        <f>PROPER(TRIM([1]RawShipmentData!G1009))</f>
        <v>East</v>
      </c>
      <c r="I1001" s="2" t="str">
        <f t="shared" si="75"/>
        <v>Yes</v>
      </c>
      <c r="J1001" s="2">
        <f>IFERROR(VALUE(TRIM(SUBSTITUTE(UPPER([1]RawShipmentData!I1001),"KG",""))),"")</f>
        <v>6.7</v>
      </c>
      <c r="K1001" s="2">
        <f>VALUE(SUBSTITUTE(SUBSTITUTE(SUBSTITUTE(TRIM([1]RawShipmentData!J1009),"₹",""),"Rs",""),",",""))</f>
        <v>209</v>
      </c>
      <c r="L1001" s="2">
        <f>[1]RawShipmentData!K1009</f>
        <v>8</v>
      </c>
      <c r="M1001" s="3">
        <f>IF(TRIM([1]RawShipmentData!L1009)="","",IF(ISNUMBER(SEARCH("/",TRIM([1]RawShipmentData!L1009))),DATE(VALUE(RIGHT(TRIM([1]RawShipmentData!L1009),4)),VALUE(MID(TRIM([1]RawShipmentData!L1009),FIND("/",TRIM([1]RawShipmentData!L1009))+1,2)),VALUE(LEFT(TRIM([1]RawShipmentData!L1009),FIND("/",TRIM([1]RawShipmentData!L1009))-1))),DATEVALUE(TRIM([1]RawShipmentData!L1009))))</f>
        <v>45381</v>
      </c>
      <c r="N1001" s="2">
        <f t="shared" si="76"/>
        <v>7</v>
      </c>
      <c r="O1001" s="2">
        <f t="shared" si="77"/>
        <v>-1</v>
      </c>
      <c r="P1001" s="2" t="str">
        <f t="shared" si="78"/>
        <v>On Time</v>
      </c>
      <c r="Q1001" s="2" t="str">
        <f>PROPER(SUBSTITUTE(TRIM([1]RawShipmentData!M1009)," ","-"))</f>
        <v>Delivered</v>
      </c>
      <c r="R1001" s="4">
        <f t="shared" si="79"/>
        <v>31.194029850746269</v>
      </c>
      <c r="S1001" s="2">
        <f>[1]RawShipmentData!N1009</f>
        <v>4</v>
      </c>
      <c r="T1001" s="2" t="str">
        <f>IF(OR(UPPER(TRIM([1]RawShipmentData!O1009))="YES",UPPER(TRIM([1]RawShipmentData!O1009))="Y"),"Yes","No")</f>
        <v>No</v>
      </c>
    </row>
    <row r="1002" spans="1:20" x14ac:dyDescent="0.25">
      <c r="A1002" s="2" t="str">
        <f>[1]RawShipmentData!A1010</f>
        <v>SHP-101226</v>
      </c>
      <c r="B1002" s="3">
        <f>IF(ISNUMBER(SEARCH("/",TRIM([1]RawShipmentData!B1010))),DATE(VALUE(RIGHT(TRIM([1]RawShipmentData!B1010),4)),VALUE(MID(TRIM([1]RawShipmentData!B1010),FIND("/",TRIM([1]RawShipmentData!B1010))+1,2)),VALUE(LEFT(TRIM([1]RawShipmentData!B1010),FIND("/",TRIM([1]RawShipmentData!B1010))-1))),DATEVALUE(TRIM([1]RawShipmentData!B1010)))</f>
        <v>45416</v>
      </c>
      <c r="C1002" s="2" t="str">
        <f>PROPER(TRIM([1]RawShipmentData!C1010))</f>
        <v>Delhi</v>
      </c>
      <c r="D1002" s="2" t="str">
        <f>IFERROR(INDEX([1]HubMaster!$B$2:$B$7,MATCH(C1002,[1]HubMaster!$A$2:$A$7,0)),"Unknown")</f>
        <v>North</v>
      </c>
      <c r="E1002" s="2" t="str">
        <f>PROPER(TRIM(SUBSTITUTE([1]RawShipmentData!D1010,"  "," ")))</f>
        <v>Dtdc</v>
      </c>
      <c r="F1002" s="2" t="str">
        <f>PROPER(TRIM([1]RawShipmentData!E1010))</f>
        <v>Air</v>
      </c>
      <c r="G1002" s="2" t="str">
        <f>PROPER(TRIM(SUBSTITUTE([1]RawShipmentData!F1010,"  "," ")))</f>
        <v>Grocery &amp; Fmcg</v>
      </c>
      <c r="H1002" s="2" t="str">
        <f>PROPER(TRIM([1]RawShipmentData!G1010))</f>
        <v>North</v>
      </c>
      <c r="I1002" s="2" t="str">
        <f t="shared" si="75"/>
        <v>No</v>
      </c>
      <c r="J1002" s="2">
        <f>IFERROR(VALUE(TRIM(SUBSTITUTE(UPPER([1]RawShipmentData!I1002),"KG",""))),"")</f>
        <v>1.3</v>
      </c>
      <c r="K1002" s="2">
        <f>VALUE(SUBSTITUTE(SUBSTITUTE(SUBSTITUTE(TRIM([1]RawShipmentData!J1010),"₹",""),"Rs",""),",",""))</f>
        <v>758</v>
      </c>
      <c r="L1002" s="2">
        <f>[1]RawShipmentData!K1010</f>
        <v>2</v>
      </c>
      <c r="M1002" s="3">
        <f>IF(TRIM([1]RawShipmentData!L1010)="","",IF(ISNUMBER(SEARCH("/",TRIM([1]RawShipmentData!L1010))),DATE(VALUE(RIGHT(TRIM([1]RawShipmentData!L1010),4)),VALUE(MID(TRIM([1]RawShipmentData!L1010),FIND("/",TRIM([1]RawShipmentData!L1010))+1,2)),VALUE(LEFT(TRIM([1]RawShipmentData!L1010),FIND("/",TRIM([1]RawShipmentData!L1010))-1))),DATEVALUE(TRIM([1]RawShipmentData!L1010))))</f>
        <v>45417</v>
      </c>
      <c r="N1002" s="2">
        <f t="shared" si="76"/>
        <v>1</v>
      </c>
      <c r="O1002" s="2">
        <f t="shared" si="77"/>
        <v>-1</v>
      </c>
      <c r="P1002" s="2" t="str">
        <f t="shared" si="78"/>
        <v>On Time</v>
      </c>
      <c r="Q1002" s="2" t="str">
        <f>PROPER(SUBSTITUTE(TRIM([1]RawShipmentData!M1010)," ","-"))</f>
        <v>Delivered</v>
      </c>
      <c r="R1002" s="4">
        <f t="shared" si="79"/>
        <v>583.07692307692309</v>
      </c>
      <c r="S1002" s="2">
        <f>[1]RawShipmentData!N1010</f>
        <v>3</v>
      </c>
      <c r="T1002" s="2" t="str">
        <f>IF(OR(UPPER(TRIM([1]RawShipmentData!O1010))="YES",UPPER(TRIM([1]RawShipmentData!O1010))="Y"),"Yes","No")</f>
        <v>No</v>
      </c>
    </row>
    <row r="1003" spans="1:20" x14ac:dyDescent="0.25">
      <c r="A1003" s="2" t="str">
        <f>[1]RawShipmentData!A1011</f>
        <v>SHP-101092</v>
      </c>
      <c r="B1003" s="3">
        <f>IF(ISNUMBER(SEARCH("/",TRIM([1]RawShipmentData!B1011))),DATE(VALUE(RIGHT(TRIM([1]RawShipmentData!B1011),4)),VALUE(MID(TRIM([1]RawShipmentData!B1011),FIND("/",TRIM([1]RawShipmentData!B1011))+1,2)),VALUE(LEFT(TRIM([1]RawShipmentData!B1011),FIND("/",TRIM([1]RawShipmentData!B1011))-1))),DATEVALUE(TRIM([1]RawShipmentData!B1011)))</f>
        <v>45426</v>
      </c>
      <c r="C1003" s="2" t="str">
        <f>PROPER(TRIM([1]RawShipmentData!C1011))</f>
        <v>Hyderabad</v>
      </c>
      <c r="D1003" s="2" t="str">
        <f>IFERROR(INDEX([1]HubMaster!$B$2:$B$7,MATCH(C1003,[1]HubMaster!$A$2:$A$7,0)),"Unknown")</f>
        <v>West</v>
      </c>
      <c r="E1003" s="2" t="str">
        <f>PROPER(TRIM(SUBSTITUTE([1]RawShipmentData!D1011,"  "," ")))</f>
        <v>Delhivery</v>
      </c>
      <c r="F1003" s="2" t="str">
        <f>PROPER(TRIM([1]RawShipmentData!E1011))</f>
        <v>Surface</v>
      </c>
      <c r="G1003" s="2" t="str">
        <f>PROPER(TRIM(SUBSTITUTE([1]RawShipmentData!F1011,"  "," ")))</f>
        <v>Automotive Parts</v>
      </c>
      <c r="H1003" s="2" t="str">
        <f>PROPER(TRIM([1]RawShipmentData!G1011))</f>
        <v>East</v>
      </c>
      <c r="I1003" s="2" t="str">
        <f t="shared" si="75"/>
        <v>Yes</v>
      </c>
      <c r="J1003" s="2">
        <f>IFERROR(VALUE(TRIM(SUBSTITUTE(UPPER([1]RawShipmentData!I1003),"KG",""))),"")</f>
        <v>3.2</v>
      </c>
      <c r="K1003" s="2">
        <f>VALUE(SUBSTITUTE(SUBSTITUTE(SUBSTITUTE(TRIM([1]RawShipmentData!J1011),"₹",""),"Rs",""),",",""))</f>
        <v>858</v>
      </c>
      <c r="L1003" s="2">
        <f>[1]RawShipmentData!K1011</f>
        <v>6</v>
      </c>
      <c r="M1003" s="3">
        <f>IF(TRIM([1]RawShipmentData!L1011)="","",IF(ISNUMBER(SEARCH("/",TRIM([1]RawShipmentData!L1011))),DATE(VALUE(RIGHT(TRIM([1]RawShipmentData!L1011),4)),VALUE(MID(TRIM([1]RawShipmentData!L1011),FIND("/",TRIM([1]RawShipmentData!L1011))+1,2)),VALUE(LEFT(TRIM([1]RawShipmentData!L1011),FIND("/",TRIM([1]RawShipmentData!L1011))-1))),DATEVALUE(TRIM([1]RawShipmentData!L1011))))</f>
        <v>45432</v>
      </c>
      <c r="N1003" s="2">
        <f t="shared" si="76"/>
        <v>6</v>
      </c>
      <c r="O1003" s="2">
        <f t="shared" si="77"/>
        <v>0</v>
      </c>
      <c r="P1003" s="2" t="str">
        <f t="shared" si="78"/>
        <v>On Time</v>
      </c>
      <c r="Q1003" s="2" t="str">
        <f>PROPER(SUBSTITUTE(TRIM([1]RawShipmentData!M1011)," ","-"))</f>
        <v>Delivered</v>
      </c>
      <c r="R1003" s="4">
        <f t="shared" si="79"/>
        <v>268.125</v>
      </c>
      <c r="S1003" s="2">
        <f>[1]RawShipmentData!N1011</f>
        <v>4</v>
      </c>
      <c r="T1003" s="2" t="str">
        <f>IF(OR(UPPER(TRIM([1]RawShipmentData!O1011))="YES",UPPER(TRIM([1]RawShipmentData!O1011))="Y"),"Yes","No")</f>
        <v>No</v>
      </c>
    </row>
    <row r="1004" spans="1:20" x14ac:dyDescent="0.25">
      <c r="A1004" s="2" t="str">
        <f>[1]RawShipmentData!A1012</f>
        <v>SHP-100217</v>
      </c>
      <c r="B1004" s="3">
        <f>IF(ISNUMBER(SEARCH("/",TRIM([1]RawShipmentData!B1012))),DATE(VALUE(RIGHT(TRIM([1]RawShipmentData!B1012),4)),VALUE(MID(TRIM([1]RawShipmentData!B1012),FIND("/",TRIM([1]RawShipmentData!B1012))+1,2)),VALUE(LEFT(TRIM([1]RawShipmentData!B1012),FIND("/",TRIM([1]RawShipmentData!B1012))-1))),DATEVALUE(TRIM([1]RawShipmentData!B1012)))</f>
        <v>45308</v>
      </c>
      <c r="C1004" s="2" t="str">
        <f>PROPER(TRIM([1]RawShipmentData!C1012))</f>
        <v>Mumbai</v>
      </c>
      <c r="D1004" s="2" t="str">
        <f>IFERROR(INDEX([1]HubMaster!$B$2:$B$7,MATCH(C1004,[1]HubMaster!$A$2:$A$7,0)),"Unknown")</f>
        <v>West</v>
      </c>
      <c r="E1004" s="2" t="str">
        <f>PROPER(TRIM(SUBSTITUTE([1]RawShipmentData!D1012,"  "," ")))</f>
        <v>Delhivery</v>
      </c>
      <c r="F1004" s="2" t="str">
        <f>PROPER(TRIM([1]RawShipmentData!E1012))</f>
        <v>Surface</v>
      </c>
      <c r="G1004" s="2" t="str">
        <f>PROPER(TRIM(SUBSTITUTE([1]RawShipmentData!F1012,"  "," ")))</f>
        <v>Furniture</v>
      </c>
      <c r="H1004" s="2" t="str">
        <f>PROPER(TRIM([1]RawShipmentData!G1012))</f>
        <v>North</v>
      </c>
      <c r="I1004" s="2" t="str">
        <f t="shared" si="75"/>
        <v>Yes</v>
      </c>
      <c r="J1004" s="2">
        <f>IFERROR(VALUE(TRIM(SUBSTITUTE(UPPER([1]RawShipmentData!I1004),"KG",""))),"")</f>
        <v>8.1999999999999993</v>
      </c>
      <c r="K1004" s="2">
        <f>VALUE(SUBSTITUTE(SUBSTITUTE(SUBSTITUTE(TRIM([1]RawShipmentData!J1012),"₹",""),"Rs",""),",",""))</f>
        <v>1547</v>
      </c>
      <c r="L1004" s="2">
        <f>[1]RawShipmentData!K1012</f>
        <v>6</v>
      </c>
      <c r="M1004" s="3">
        <f>IF(TRIM([1]RawShipmentData!L1012)="","",IF(ISNUMBER(SEARCH("/",TRIM([1]RawShipmentData!L1012))),DATE(VALUE(RIGHT(TRIM([1]RawShipmentData!L1012),4)),VALUE(MID(TRIM([1]RawShipmentData!L1012),FIND("/",TRIM([1]RawShipmentData!L1012))+1,2)),VALUE(LEFT(TRIM([1]RawShipmentData!L1012),FIND("/",TRIM([1]RawShipmentData!L1012))-1))),DATEVALUE(TRIM([1]RawShipmentData!L1012))))</f>
        <v>45314</v>
      </c>
      <c r="N1004" s="2">
        <f t="shared" si="76"/>
        <v>6</v>
      </c>
      <c r="O1004" s="2">
        <f t="shared" si="77"/>
        <v>0</v>
      </c>
      <c r="P1004" s="2" t="str">
        <f t="shared" si="78"/>
        <v>On Time</v>
      </c>
      <c r="Q1004" s="2" t="str">
        <f>PROPER(SUBSTITUTE(TRIM([1]RawShipmentData!M1012)," ","-"))</f>
        <v>Delivered</v>
      </c>
      <c r="R1004" s="4">
        <f t="shared" si="79"/>
        <v>188.65853658536588</v>
      </c>
      <c r="S1004" s="2">
        <f>[1]RawShipmentData!N1012</f>
        <v>4</v>
      </c>
      <c r="T1004" s="2" t="str">
        <f>IF(OR(UPPER(TRIM([1]RawShipmentData!O1012))="YES",UPPER(TRIM([1]RawShipmentData!O1012))="Y"),"Yes","No")</f>
        <v>Yes</v>
      </c>
    </row>
    <row r="1005" spans="1:20" x14ac:dyDescent="0.25">
      <c r="A1005" s="2" t="str">
        <f>[1]RawShipmentData!A1013</f>
        <v>SHP-101171</v>
      </c>
      <c r="B1005" s="3">
        <f>IF(ISNUMBER(SEARCH("/",TRIM([1]RawShipmentData!B1013))),DATE(VALUE(RIGHT(TRIM([1]RawShipmentData!B1013),4)),VALUE(MID(TRIM([1]RawShipmentData!B1013),FIND("/",TRIM([1]RawShipmentData!B1013))+1,2)),VALUE(LEFT(TRIM([1]RawShipmentData!B1013),FIND("/",TRIM([1]RawShipmentData!B1013))-1))),DATEVALUE(TRIM([1]RawShipmentData!B1013)))</f>
        <v>45324</v>
      </c>
      <c r="C1005" s="2" t="str">
        <f>PROPER(TRIM([1]RawShipmentData!C1013))</f>
        <v>Chennai</v>
      </c>
      <c r="D1005" s="2" t="str">
        <f>IFERROR(INDEX([1]HubMaster!$B$2:$B$7,MATCH(C1005,[1]HubMaster!$A$2:$A$7,0)),"Unknown")</f>
        <v>South</v>
      </c>
      <c r="E1005" s="2" t="str">
        <f>PROPER(TRIM(SUBSTITUTE([1]RawShipmentData!D1013,"  "," ")))</f>
        <v>Dtdc</v>
      </c>
      <c r="F1005" s="2" t="str">
        <f>PROPER(TRIM([1]RawShipmentData!E1013))</f>
        <v>Air</v>
      </c>
      <c r="G1005" s="2" t="str">
        <f>PROPER(TRIM(SUBSTITUTE([1]RawShipmentData!F1013,"  "," ")))</f>
        <v>Electronics</v>
      </c>
      <c r="H1005" s="2" t="str">
        <f>PROPER(TRIM([1]RawShipmentData!G1013))</f>
        <v>West</v>
      </c>
      <c r="I1005" s="2" t="str">
        <f t="shared" si="75"/>
        <v>Yes</v>
      </c>
      <c r="J1005" s="2">
        <f>IFERROR(VALUE(TRIM(SUBSTITUTE(UPPER([1]RawShipmentData!I1005),"KG",""))),"")</f>
        <v>18.5</v>
      </c>
      <c r="K1005" s="2">
        <f>VALUE(SUBSTITUTE(SUBSTITUTE(SUBSTITUTE(TRIM([1]RawShipmentData!J1013),"₹",""),"Rs",""),",",""))</f>
        <v>384</v>
      </c>
      <c r="L1005" s="2">
        <f>[1]RawShipmentData!K1013</f>
        <v>4</v>
      </c>
      <c r="M1005" s="3">
        <f>IF(TRIM([1]RawShipmentData!L1013)="","",IF(ISNUMBER(SEARCH("/",TRIM([1]RawShipmentData!L1013))),DATE(VALUE(RIGHT(TRIM([1]RawShipmentData!L1013),4)),VALUE(MID(TRIM([1]RawShipmentData!L1013),FIND("/",TRIM([1]RawShipmentData!L1013))+1,2)),VALUE(LEFT(TRIM([1]RawShipmentData!L1013),FIND("/",TRIM([1]RawShipmentData!L1013))-1))),DATEVALUE(TRIM([1]RawShipmentData!L1013))))</f>
        <v>45329</v>
      </c>
      <c r="N1005" s="2">
        <f t="shared" si="76"/>
        <v>5</v>
      </c>
      <c r="O1005" s="2">
        <f t="shared" si="77"/>
        <v>1</v>
      </c>
      <c r="P1005" s="2" t="str">
        <f t="shared" si="78"/>
        <v>Late</v>
      </c>
      <c r="Q1005" s="2" t="str">
        <f>PROPER(SUBSTITUTE(TRIM([1]RawShipmentData!M1013)," ","-"))</f>
        <v>Delayed</v>
      </c>
      <c r="R1005" s="4">
        <f t="shared" si="79"/>
        <v>20.756756756756758</v>
      </c>
      <c r="S1005" s="2">
        <f>[1]RawShipmentData!N1013</f>
        <v>1</v>
      </c>
      <c r="T1005" s="2" t="str">
        <f>IF(OR(UPPER(TRIM([1]RawShipmentData!O1013))="YES",UPPER(TRIM([1]RawShipmentData!O1013))="Y"),"Yes","No")</f>
        <v>Yes</v>
      </c>
    </row>
    <row r="1006" spans="1:20" x14ac:dyDescent="0.25">
      <c r="A1006" s="2" t="str">
        <f>[1]RawShipmentData!A1014</f>
        <v>SHP-100381</v>
      </c>
      <c r="B1006" s="3">
        <f>IF(ISNUMBER(SEARCH("/",TRIM([1]RawShipmentData!B1014))),DATE(VALUE(RIGHT(TRIM([1]RawShipmentData!B1014),4)),VALUE(MID(TRIM([1]RawShipmentData!B1014),FIND("/",TRIM([1]RawShipmentData!B1014))+1,2)),VALUE(LEFT(TRIM([1]RawShipmentData!B1014),FIND("/",TRIM([1]RawShipmentData!B1014))-1))),DATEVALUE(TRIM([1]RawShipmentData!B1014)))</f>
        <v>45363</v>
      </c>
      <c r="C1006" s="2" t="str">
        <f>PROPER(TRIM([1]RawShipmentData!C1014))</f>
        <v>Delhi</v>
      </c>
      <c r="D1006" s="2" t="str">
        <f>IFERROR(INDEX([1]HubMaster!$B$2:$B$7,MATCH(C1006,[1]HubMaster!$A$2:$A$7,0)),"Unknown")</f>
        <v>North</v>
      </c>
      <c r="E1006" s="2" t="str">
        <f>PROPER(TRIM(SUBSTITUTE([1]RawShipmentData!D1014,"  "," ")))</f>
        <v>Ecom Express</v>
      </c>
      <c r="F1006" s="2" t="str">
        <f>PROPER(TRIM([1]RawShipmentData!E1014))</f>
        <v>Air</v>
      </c>
      <c r="G1006" s="2" t="str">
        <f>PROPER(TRIM(SUBSTITUTE([1]RawShipmentData!F1014,"  "," ")))</f>
        <v>Electronics</v>
      </c>
      <c r="H1006" s="2" t="str">
        <f>PROPER(TRIM([1]RawShipmentData!G1014))</f>
        <v>South</v>
      </c>
      <c r="I1006" s="2" t="str">
        <f t="shared" si="75"/>
        <v>Yes</v>
      </c>
      <c r="J1006" s="2">
        <f>IFERROR(VALUE(TRIM(SUBSTITUTE(UPPER([1]RawShipmentData!I1006),"KG",""))),"")</f>
        <v>2.2999999999999998</v>
      </c>
      <c r="K1006" s="2">
        <f>VALUE(SUBSTITUTE(SUBSTITUTE(SUBSTITUTE(TRIM([1]RawShipmentData!J1014),"₹",""),"Rs",""),",",""))</f>
        <v>679</v>
      </c>
      <c r="L1006" s="2">
        <f>[1]RawShipmentData!K1014</f>
        <v>4</v>
      </c>
      <c r="M1006" s="3">
        <f>IF(TRIM([1]RawShipmentData!L1014)="","",IF(ISNUMBER(SEARCH("/",TRIM([1]RawShipmentData!L1014))),DATE(VALUE(RIGHT(TRIM([1]RawShipmentData!L1014),4)),VALUE(MID(TRIM([1]RawShipmentData!L1014),FIND("/",TRIM([1]RawShipmentData!L1014))+1,2)),VALUE(LEFT(TRIM([1]RawShipmentData!L1014),FIND("/",TRIM([1]RawShipmentData!L1014))-1))),DATEVALUE(TRIM([1]RawShipmentData!L1014))))</f>
        <v>45366</v>
      </c>
      <c r="N1006" s="2">
        <f t="shared" si="76"/>
        <v>3</v>
      </c>
      <c r="O1006" s="2">
        <f t="shared" si="77"/>
        <v>-1</v>
      </c>
      <c r="P1006" s="2" t="str">
        <f t="shared" si="78"/>
        <v>On Time</v>
      </c>
      <c r="Q1006" s="2" t="str">
        <f>PROPER(SUBSTITUTE(TRIM([1]RawShipmentData!M1014)," ","-"))</f>
        <v>Delivered</v>
      </c>
      <c r="R1006" s="4">
        <f t="shared" si="79"/>
        <v>295.21739130434787</v>
      </c>
      <c r="S1006" s="2">
        <f>[1]RawShipmentData!N1014</f>
        <v>5</v>
      </c>
      <c r="T1006" s="2" t="str">
        <f>IF(OR(UPPER(TRIM([1]RawShipmentData!O1014))="YES",UPPER(TRIM([1]RawShipmentData!O1014))="Y"),"Yes","No")</f>
        <v>No</v>
      </c>
    </row>
    <row r="1007" spans="1:20" x14ac:dyDescent="0.25">
      <c r="A1007" s="2" t="str">
        <f>[1]RawShipmentData!A1015</f>
        <v>SHP-100849</v>
      </c>
      <c r="B1007" s="3">
        <f>IF(ISNUMBER(SEARCH("/",TRIM([1]RawShipmentData!B1015))),DATE(VALUE(RIGHT(TRIM([1]RawShipmentData!B1015),4)),VALUE(MID(TRIM([1]RawShipmentData!B1015),FIND("/",TRIM([1]RawShipmentData!B1015))+1,2)),VALUE(LEFT(TRIM([1]RawShipmentData!B1015),FIND("/",TRIM([1]RawShipmentData!B1015))-1))),DATEVALUE(TRIM([1]RawShipmentData!B1015)))</f>
        <v>45337</v>
      </c>
      <c r="C1007" s="2" t="str">
        <f>PROPER(TRIM([1]RawShipmentData!C1015))</f>
        <v>Mumbai</v>
      </c>
      <c r="D1007" s="2" t="str">
        <f>IFERROR(INDEX([1]HubMaster!$B$2:$B$7,MATCH(C1007,[1]HubMaster!$A$2:$A$7,0)),"Unknown")</f>
        <v>West</v>
      </c>
      <c r="E1007" s="2" t="str">
        <f>PROPER(TRIM(SUBSTITUTE([1]RawShipmentData!D1015,"  "," ")))</f>
        <v>Bluedart</v>
      </c>
      <c r="F1007" s="2" t="str">
        <f>PROPER(TRIM([1]RawShipmentData!E1015))</f>
        <v>Road</v>
      </c>
      <c r="G1007" s="2" t="str">
        <f>PROPER(TRIM(SUBSTITUTE([1]RawShipmentData!F1015,"  "," ")))</f>
        <v>Furniture</v>
      </c>
      <c r="H1007" s="2" t="str">
        <f>PROPER(TRIM([1]RawShipmentData!G1015))</f>
        <v>East</v>
      </c>
      <c r="I1007" s="2" t="str">
        <f t="shared" si="75"/>
        <v>Yes</v>
      </c>
      <c r="J1007" s="2">
        <f>IFERROR(VALUE(TRIM(SUBSTITUTE(UPPER([1]RawShipmentData!I1007),"KG",""))),"")</f>
        <v>3.3</v>
      </c>
      <c r="K1007" s="2">
        <f>VALUE(SUBSTITUTE(SUBSTITUTE(SUBSTITUTE(TRIM([1]RawShipmentData!J1015),"₹",""),"Rs",""),",",""))</f>
        <v>1023</v>
      </c>
      <c r="L1007" s="2">
        <f>[1]RawShipmentData!K1015</f>
        <v>8</v>
      </c>
      <c r="M1007" s="3">
        <f>IF(TRIM([1]RawShipmentData!L1015)="","",IF(ISNUMBER(SEARCH("/",TRIM([1]RawShipmentData!L1015))),DATE(VALUE(RIGHT(TRIM([1]RawShipmentData!L1015),4)),VALUE(MID(TRIM([1]RawShipmentData!L1015),FIND("/",TRIM([1]RawShipmentData!L1015))+1,2)),VALUE(LEFT(TRIM([1]RawShipmentData!L1015),FIND("/",TRIM([1]RawShipmentData!L1015))-1))),DATEVALUE(TRIM([1]RawShipmentData!L1015))))</f>
        <v>45345</v>
      </c>
      <c r="N1007" s="2">
        <f t="shared" si="76"/>
        <v>8</v>
      </c>
      <c r="O1007" s="2">
        <f t="shared" si="77"/>
        <v>0</v>
      </c>
      <c r="P1007" s="2" t="str">
        <f t="shared" si="78"/>
        <v>On Time</v>
      </c>
      <c r="Q1007" s="2" t="str">
        <f>PROPER(SUBSTITUTE(TRIM([1]RawShipmentData!M1015)," ","-"))</f>
        <v>Delivered</v>
      </c>
      <c r="R1007" s="4">
        <f t="shared" si="79"/>
        <v>310</v>
      </c>
      <c r="S1007" s="2">
        <f>[1]RawShipmentData!N1015</f>
        <v>4</v>
      </c>
      <c r="T1007" s="2" t="str">
        <f>IF(OR(UPPER(TRIM([1]RawShipmentData!O1015))="YES",UPPER(TRIM([1]RawShipmentData!O1015))="Y"),"Yes","No")</f>
        <v>No</v>
      </c>
    </row>
    <row r="1008" spans="1:20" x14ac:dyDescent="0.25">
      <c r="A1008" s="2" t="str">
        <f>[1]RawShipmentData!A1016</f>
        <v>SHP-100256</v>
      </c>
      <c r="B1008" s="3">
        <f>IF(ISNUMBER(SEARCH("/",TRIM([1]RawShipmentData!B1016))),DATE(VALUE(RIGHT(TRIM([1]RawShipmentData!B1016),4)),VALUE(MID(TRIM([1]RawShipmentData!B1016),FIND("/",TRIM([1]RawShipmentData!B1016))+1,2)),VALUE(LEFT(TRIM([1]RawShipmentData!B1016),FIND("/",TRIM([1]RawShipmentData!B1016))-1))),DATEVALUE(TRIM([1]RawShipmentData!B1016)))</f>
        <v>45413</v>
      </c>
      <c r="C1008" s="2" t="str">
        <f>PROPER(TRIM([1]RawShipmentData!C1016))</f>
        <v>Chennai</v>
      </c>
      <c r="D1008" s="2" t="str">
        <f>IFERROR(INDEX([1]HubMaster!$B$2:$B$7,MATCH(C1008,[1]HubMaster!$A$2:$A$7,0)),"Unknown")</f>
        <v>South</v>
      </c>
      <c r="E1008" s="2" t="str">
        <f>PROPER(TRIM(SUBSTITUTE([1]RawShipmentData!D1016,"  "," ")))</f>
        <v>Delhivery</v>
      </c>
      <c r="F1008" s="2" t="str">
        <f>PROPER(TRIM([1]RawShipmentData!E1016))</f>
        <v>Surface</v>
      </c>
      <c r="G1008" s="2" t="str">
        <f>PROPER(TRIM(SUBSTITUTE([1]RawShipmentData!F1016,"  "," ")))</f>
        <v>Apparel</v>
      </c>
      <c r="H1008" s="2" t="str">
        <f>PROPER(TRIM([1]RawShipmentData!G1016))</f>
        <v>South</v>
      </c>
      <c r="I1008" s="2" t="str">
        <f t="shared" si="75"/>
        <v>No</v>
      </c>
      <c r="J1008" s="2">
        <f>IFERROR(VALUE(TRIM(SUBSTITUTE(UPPER([1]RawShipmentData!I1008),"KG",""))),"")</f>
        <v>0.8</v>
      </c>
      <c r="K1008" s="2">
        <f>VALUE(SUBSTITUTE(SUBSTITUTE(SUBSTITUTE(TRIM([1]RawShipmentData!J1016),"₹",""),"Rs",""),",",""))</f>
        <v>80</v>
      </c>
      <c r="L1008" s="2">
        <f>[1]RawShipmentData!K1016</f>
        <v>4</v>
      </c>
      <c r="M1008" s="3">
        <f>IF(TRIM([1]RawShipmentData!L1016)="","",IF(ISNUMBER(SEARCH("/",TRIM([1]RawShipmentData!L1016))),DATE(VALUE(RIGHT(TRIM([1]RawShipmentData!L1016),4)),VALUE(MID(TRIM([1]RawShipmentData!L1016),FIND("/",TRIM([1]RawShipmentData!L1016))+1,2)),VALUE(LEFT(TRIM([1]RawShipmentData!L1016),FIND("/",TRIM([1]RawShipmentData!L1016))-1))),DATEVALUE(TRIM([1]RawShipmentData!L1016))))</f>
        <v>45417</v>
      </c>
      <c r="N1008" s="2">
        <f t="shared" si="76"/>
        <v>4</v>
      </c>
      <c r="O1008" s="2">
        <f t="shared" si="77"/>
        <v>0</v>
      </c>
      <c r="P1008" s="2" t="str">
        <f t="shared" si="78"/>
        <v>On Time</v>
      </c>
      <c r="Q1008" s="2" t="str">
        <f>PROPER(SUBSTITUTE(TRIM([1]RawShipmentData!M1016)," ","-"))</f>
        <v>Delivered</v>
      </c>
      <c r="R1008" s="4">
        <f t="shared" si="79"/>
        <v>100</v>
      </c>
      <c r="S1008" s="2">
        <f>[1]RawShipmentData!N1016</f>
        <v>4</v>
      </c>
      <c r="T1008" s="2" t="str">
        <f>IF(OR(UPPER(TRIM([1]RawShipmentData!O1016))="YES",UPPER(TRIM([1]RawShipmentData!O1016))="Y"),"Yes","No")</f>
        <v>No</v>
      </c>
    </row>
    <row r="1009" spans="1:20" x14ac:dyDescent="0.25">
      <c r="A1009" s="2" t="str">
        <f>[1]RawShipmentData!A1017</f>
        <v>SHP-100675</v>
      </c>
      <c r="B1009" s="3">
        <f>IF(ISNUMBER(SEARCH("/",TRIM([1]RawShipmentData!B1017))),DATE(VALUE(RIGHT(TRIM([1]RawShipmentData!B1017),4)),VALUE(MID(TRIM([1]RawShipmentData!B1017),FIND("/",TRIM([1]RawShipmentData!B1017))+1,2)),VALUE(LEFT(TRIM([1]RawShipmentData!B1017),FIND("/",TRIM([1]RawShipmentData!B1017))-1))),DATEVALUE(TRIM([1]RawShipmentData!B1017)))</f>
        <v>45433</v>
      </c>
      <c r="C1009" s="2" t="str">
        <f>PROPER(TRIM([1]RawShipmentData!C1017))</f>
        <v>Hyderabad</v>
      </c>
      <c r="D1009" s="2" t="str">
        <f>IFERROR(INDEX([1]HubMaster!$B$2:$B$7,MATCH(C1009,[1]HubMaster!$A$2:$A$7,0)),"Unknown")</f>
        <v>West</v>
      </c>
      <c r="E1009" s="2" t="str">
        <f>PROPER(TRIM(SUBSTITUTE([1]RawShipmentData!D1017,"  "," ")))</f>
        <v>Dtdc</v>
      </c>
      <c r="F1009" s="2" t="str">
        <f>PROPER(TRIM([1]RawShipmentData!E1017))</f>
        <v>Road</v>
      </c>
      <c r="G1009" s="2" t="str">
        <f>PROPER(TRIM(SUBSTITUTE([1]RawShipmentData!F1017,"  "," ")))</f>
        <v>Pharma</v>
      </c>
      <c r="H1009" s="2" t="str">
        <f>PROPER(TRIM([1]RawShipmentData!G1017))</f>
        <v>West</v>
      </c>
      <c r="I1009" s="2" t="str">
        <f t="shared" si="75"/>
        <v>No</v>
      </c>
      <c r="J1009" s="2">
        <f>IFERROR(VALUE(TRIM(SUBSTITUTE(UPPER([1]RawShipmentData!I1009),"KG",""))),"")</f>
        <v>2.2000000000000002</v>
      </c>
      <c r="K1009" s="2">
        <f>VALUE(SUBSTITUTE(SUBSTITUTE(SUBSTITUTE(TRIM([1]RawShipmentData!J1017),"₹",""),"Rs",""),",",""))</f>
        <v>81</v>
      </c>
      <c r="L1009" s="2">
        <f>[1]RawShipmentData!K1017</f>
        <v>6</v>
      </c>
      <c r="M1009" s="3">
        <f>IF(TRIM([1]RawShipmentData!L1017)="","",IF(ISNUMBER(SEARCH("/",TRIM([1]RawShipmentData!L1017))),DATE(VALUE(RIGHT(TRIM([1]RawShipmentData!L1017),4)),VALUE(MID(TRIM([1]RawShipmentData!L1017),FIND("/",TRIM([1]RawShipmentData!L1017))+1,2)),VALUE(LEFT(TRIM([1]RawShipmentData!L1017),FIND("/",TRIM([1]RawShipmentData!L1017))-1))),DATEVALUE(TRIM([1]RawShipmentData!L1017))))</f>
        <v>45448</v>
      </c>
      <c r="N1009" s="2">
        <f t="shared" si="76"/>
        <v>15</v>
      </c>
      <c r="O1009" s="2">
        <f t="shared" si="77"/>
        <v>9</v>
      </c>
      <c r="P1009" s="2" t="str">
        <f t="shared" si="78"/>
        <v>Late</v>
      </c>
      <c r="Q1009" s="2" t="str">
        <f>PROPER(SUBSTITUTE(TRIM([1]RawShipmentData!M1017)," ","-"))</f>
        <v>Delayed</v>
      </c>
      <c r="R1009" s="4">
        <f t="shared" si="79"/>
        <v>36.818181818181813</v>
      </c>
      <c r="S1009" s="2">
        <f>[1]RawShipmentData!N1017</f>
        <v>4</v>
      </c>
      <c r="T1009" s="2" t="str">
        <f>IF(OR(UPPER(TRIM([1]RawShipmentData!O1017))="YES",UPPER(TRIM([1]RawShipmentData!O1017))="Y"),"Yes","No")</f>
        <v>Yes</v>
      </c>
    </row>
    <row r="1010" spans="1:20" x14ac:dyDescent="0.25">
      <c r="A1010" s="2" t="str">
        <f>[1]RawShipmentData!A1018</f>
        <v>SHP-100064</v>
      </c>
      <c r="B1010" s="3">
        <f>IF(ISNUMBER(SEARCH("/",TRIM([1]RawShipmentData!B1018))),DATE(VALUE(RIGHT(TRIM([1]RawShipmentData!B1018),4)),VALUE(MID(TRIM([1]RawShipmentData!B1018),FIND("/",TRIM([1]RawShipmentData!B1018))+1,2)),VALUE(LEFT(TRIM([1]RawShipmentData!B1018),FIND("/",TRIM([1]RawShipmentData!B1018))-1))),DATEVALUE(TRIM([1]RawShipmentData!B1018)))</f>
        <v>45329</v>
      </c>
      <c r="C1010" s="2" t="str">
        <f>PROPER(TRIM([1]RawShipmentData!C1018))</f>
        <v>Chennai</v>
      </c>
      <c r="D1010" s="2" t="str">
        <f>IFERROR(INDEX([1]HubMaster!$B$2:$B$7,MATCH(C1010,[1]HubMaster!$A$2:$A$7,0)),"Unknown")</f>
        <v>South</v>
      </c>
      <c r="E1010" s="2" t="str">
        <f>PROPER(TRIM(SUBSTITUTE([1]RawShipmentData!D1018,"  "," ")))</f>
        <v>Xpressbees</v>
      </c>
      <c r="F1010" s="2" t="str">
        <f>PROPER(TRIM([1]RawShipmentData!E1018))</f>
        <v>Surface</v>
      </c>
      <c r="G1010" s="2" t="str">
        <f>PROPER(TRIM(SUBSTITUTE([1]RawShipmentData!F1018,"  "," ")))</f>
        <v>Apparel</v>
      </c>
      <c r="H1010" s="2" t="str">
        <f>PROPER(TRIM([1]RawShipmentData!G1018))</f>
        <v>West</v>
      </c>
      <c r="I1010" s="2" t="str">
        <f t="shared" si="75"/>
        <v>Yes</v>
      </c>
      <c r="J1010" s="2">
        <f>IFERROR(VALUE(TRIM(SUBSTITUTE(UPPER([1]RawShipmentData!I1010),"KG",""))),"")</f>
        <v>15.9</v>
      </c>
      <c r="K1010" s="2">
        <f>VALUE(SUBSTITUTE(SUBSTITUTE(SUBSTITUTE(TRIM([1]RawShipmentData!J1018),"₹",""),"Rs",""),",",""))</f>
        <v>189</v>
      </c>
      <c r="L1010" s="2">
        <f>[1]RawShipmentData!K1018</f>
        <v>6</v>
      </c>
      <c r="M1010" s="3">
        <f>IF(TRIM([1]RawShipmentData!L1018)="","",IF(ISNUMBER(SEARCH("/",TRIM([1]RawShipmentData!L1018))),DATE(VALUE(RIGHT(TRIM([1]RawShipmentData!L1018),4)),VALUE(MID(TRIM([1]RawShipmentData!L1018),FIND("/",TRIM([1]RawShipmentData!L1018))+1,2)),VALUE(LEFT(TRIM([1]RawShipmentData!L1018),FIND("/",TRIM([1]RawShipmentData!L1018))-1))),DATEVALUE(TRIM([1]RawShipmentData!L1018))))</f>
        <v>45342</v>
      </c>
      <c r="N1010" s="2">
        <f t="shared" si="76"/>
        <v>13</v>
      </c>
      <c r="O1010" s="2">
        <f t="shared" si="77"/>
        <v>7</v>
      </c>
      <c r="P1010" s="2" t="str">
        <f t="shared" si="78"/>
        <v>Late</v>
      </c>
      <c r="Q1010" s="2" t="str">
        <f>PROPER(SUBSTITUTE(TRIM([1]RawShipmentData!M1018)," ","-"))</f>
        <v>Delayed</v>
      </c>
      <c r="R1010" s="4">
        <f t="shared" si="79"/>
        <v>11.886792452830189</v>
      </c>
      <c r="S1010" s="2">
        <f>[1]RawShipmentData!N1018</f>
        <v>4</v>
      </c>
      <c r="T1010" s="2" t="str">
        <f>IF(OR(UPPER(TRIM([1]RawShipmentData!O1018))="YES",UPPER(TRIM([1]RawShipmentData!O1018))="Y"),"Yes","No")</f>
        <v>No</v>
      </c>
    </row>
    <row r="1011" spans="1:20" x14ac:dyDescent="0.25">
      <c r="A1011" s="2" t="str">
        <f>[1]RawShipmentData!A1019</f>
        <v>SHP-100319</v>
      </c>
      <c r="B1011" s="3">
        <f>IF(ISNUMBER(SEARCH("/",TRIM([1]RawShipmentData!B1019))),DATE(VALUE(RIGHT(TRIM([1]RawShipmentData!B1019),4)),VALUE(MID(TRIM([1]RawShipmentData!B1019),FIND("/",TRIM([1]RawShipmentData!B1019))+1,2)),VALUE(LEFT(TRIM([1]RawShipmentData!B1019),FIND("/",TRIM([1]RawShipmentData!B1019))-1))),DATEVALUE(TRIM([1]RawShipmentData!B1019)))</f>
        <v>45436</v>
      </c>
      <c r="C1011" s="2" t="str">
        <f>PROPER(TRIM([1]RawShipmentData!C1019))</f>
        <v>Kolkata</v>
      </c>
      <c r="D1011" s="2" t="str">
        <f>IFERROR(INDEX([1]HubMaster!$B$2:$B$7,MATCH(C1011,[1]HubMaster!$A$2:$A$7,0)),"Unknown")</f>
        <v>East</v>
      </c>
      <c r="E1011" s="2" t="str">
        <f>PROPER(TRIM(SUBSTITUTE([1]RawShipmentData!D1019,"  "," ")))</f>
        <v>Xpressbees</v>
      </c>
      <c r="F1011" s="2" t="str">
        <f>PROPER(TRIM([1]RawShipmentData!E1019))</f>
        <v>Surface</v>
      </c>
      <c r="G1011" s="2" t="str">
        <f>PROPER(TRIM(SUBSTITUTE([1]RawShipmentData!F1019,"  "," ")))</f>
        <v>Electronics</v>
      </c>
      <c r="H1011" s="2" t="str">
        <f>PROPER(TRIM([1]RawShipmentData!G1019))</f>
        <v>South</v>
      </c>
      <c r="I1011" s="2" t="str">
        <f t="shared" si="75"/>
        <v>Yes</v>
      </c>
      <c r="J1011" s="2">
        <f>IFERROR(VALUE(TRIM(SUBSTITUTE(UPPER([1]RawShipmentData!I1011),"KG",""))),"")</f>
        <v>32.9</v>
      </c>
      <c r="K1011" s="2">
        <f>VALUE(SUBSTITUTE(SUBSTITUTE(SUBSTITUTE(TRIM([1]RawShipmentData!J1019),"₹",""),"Rs",""),",",""))</f>
        <v>229</v>
      </c>
      <c r="L1011" s="2">
        <f>[1]RawShipmentData!K1019</f>
        <v>6</v>
      </c>
      <c r="M1011" s="3">
        <f>IF(TRIM([1]RawShipmentData!L1019)="","",IF(ISNUMBER(SEARCH("/",TRIM([1]RawShipmentData!L1019))),DATE(VALUE(RIGHT(TRIM([1]RawShipmentData!L1019),4)),VALUE(MID(TRIM([1]RawShipmentData!L1019),FIND("/",TRIM([1]RawShipmentData!L1019))+1,2)),VALUE(LEFT(TRIM([1]RawShipmentData!L1019),FIND("/",TRIM([1]RawShipmentData!L1019))-1))),DATEVALUE(TRIM([1]RawShipmentData!L1019))))</f>
        <v>45441</v>
      </c>
      <c r="N1011" s="2">
        <f t="shared" si="76"/>
        <v>5</v>
      </c>
      <c r="O1011" s="2">
        <f t="shared" si="77"/>
        <v>-1</v>
      </c>
      <c r="P1011" s="2" t="str">
        <f t="shared" si="78"/>
        <v>On Time</v>
      </c>
      <c r="Q1011" s="2" t="str">
        <f>PROPER(SUBSTITUTE(TRIM([1]RawShipmentData!M1019)," ","-"))</f>
        <v>Delivered</v>
      </c>
      <c r="R1011" s="4">
        <f t="shared" si="79"/>
        <v>6.9604863221884505</v>
      </c>
      <c r="S1011" s="2">
        <f>[1]RawShipmentData!N1019</f>
        <v>5</v>
      </c>
      <c r="T1011" s="2" t="str">
        <f>IF(OR(UPPER(TRIM([1]RawShipmentData!O1019))="YES",UPPER(TRIM([1]RawShipmentData!O1019))="Y"),"Yes","No")</f>
        <v>No</v>
      </c>
    </row>
    <row r="1012" spans="1:20" x14ac:dyDescent="0.25">
      <c r="A1012" s="2" t="str">
        <f>[1]RawShipmentData!A1020</f>
        <v>SHP-100669</v>
      </c>
      <c r="B1012" s="3">
        <f>IF(ISNUMBER(SEARCH("/",TRIM([1]RawShipmentData!B1020))),DATE(VALUE(RIGHT(TRIM([1]RawShipmentData!B1020),4)),VALUE(MID(TRIM([1]RawShipmentData!B1020),FIND("/",TRIM([1]RawShipmentData!B1020))+1,2)),VALUE(LEFT(TRIM([1]RawShipmentData!B1020),FIND("/",TRIM([1]RawShipmentData!B1020))-1))),DATEVALUE(TRIM([1]RawShipmentData!B1020)))</f>
        <v>45301</v>
      </c>
      <c r="C1012" s="2" t="str">
        <f>PROPER(TRIM([1]RawShipmentData!C1020))</f>
        <v>Delhi</v>
      </c>
      <c r="D1012" s="2" t="str">
        <f>IFERROR(INDEX([1]HubMaster!$B$2:$B$7,MATCH(C1012,[1]HubMaster!$A$2:$A$7,0)),"Unknown")</f>
        <v>North</v>
      </c>
      <c r="E1012" s="2" t="str">
        <f>PROPER(TRIM(SUBSTITUTE([1]RawShipmentData!D1020,"  "," ")))</f>
        <v>Dtdc</v>
      </c>
      <c r="F1012" s="2" t="str">
        <f>PROPER(TRIM([1]RawShipmentData!E1020))</f>
        <v>Air</v>
      </c>
      <c r="G1012" s="2" t="str">
        <f>PROPER(TRIM(SUBSTITUTE([1]RawShipmentData!F1020,"  "," ")))</f>
        <v>Furniture</v>
      </c>
      <c r="H1012" s="2" t="str">
        <f>PROPER(TRIM([1]RawShipmentData!G1020))</f>
        <v>East</v>
      </c>
      <c r="I1012" s="2" t="str">
        <f t="shared" si="75"/>
        <v>Yes</v>
      </c>
      <c r="J1012" s="2">
        <f>IFERROR(VALUE(TRIM(SUBSTITUTE(UPPER([1]RawShipmentData!I1012),"KG",""))),"")</f>
        <v>62.5</v>
      </c>
      <c r="K1012" s="2">
        <f>VALUE(SUBSTITUTE(SUBSTITUTE(SUBSTITUTE(TRIM([1]RawShipmentData!J1020),"₹",""),"Rs",""),",",""))</f>
        <v>2536</v>
      </c>
      <c r="L1012" s="2">
        <f>[1]RawShipmentData!K1020</f>
        <v>4</v>
      </c>
      <c r="M1012" s="3">
        <f>IF(TRIM([1]RawShipmentData!L1020)="","",IF(ISNUMBER(SEARCH("/",TRIM([1]RawShipmentData!L1020))),DATE(VALUE(RIGHT(TRIM([1]RawShipmentData!L1020),4)),VALUE(MID(TRIM([1]RawShipmentData!L1020),FIND("/",TRIM([1]RawShipmentData!L1020))+1,2)),VALUE(LEFT(TRIM([1]RawShipmentData!L1020),FIND("/",TRIM([1]RawShipmentData!L1020))-1))),DATEVALUE(TRIM([1]RawShipmentData!L1020))))</f>
        <v>45311</v>
      </c>
      <c r="N1012" s="2">
        <f t="shared" si="76"/>
        <v>10</v>
      </c>
      <c r="O1012" s="2">
        <f t="shared" si="77"/>
        <v>6</v>
      </c>
      <c r="P1012" s="2" t="str">
        <f t="shared" si="78"/>
        <v>Late</v>
      </c>
      <c r="Q1012" s="2" t="str">
        <f>PROPER(SUBSTITUTE(TRIM([1]RawShipmentData!M1020)," ","-"))</f>
        <v>Delayed</v>
      </c>
      <c r="R1012" s="4">
        <f t="shared" si="79"/>
        <v>40.576000000000001</v>
      </c>
      <c r="S1012" s="2">
        <f>[1]RawShipmentData!N1020</f>
        <v>5</v>
      </c>
      <c r="T1012" s="2" t="str">
        <f>IF(OR(UPPER(TRIM([1]RawShipmentData!O1020))="YES",UPPER(TRIM([1]RawShipmentData!O1020))="Y"),"Yes","No")</f>
        <v>Yes</v>
      </c>
    </row>
    <row r="1013" spans="1:20" x14ac:dyDescent="0.25">
      <c r="A1013" s="2" t="str">
        <f>[1]RawShipmentData!A1021</f>
        <v>SHP-101530</v>
      </c>
      <c r="B1013" s="3">
        <f>IF(ISNUMBER(SEARCH("/",TRIM([1]RawShipmentData!B1021))),DATE(VALUE(RIGHT(TRIM([1]RawShipmentData!B1021),4)),VALUE(MID(TRIM([1]RawShipmentData!B1021),FIND("/",TRIM([1]RawShipmentData!B1021))+1,2)),VALUE(LEFT(TRIM([1]RawShipmentData!B1021),FIND("/",TRIM([1]RawShipmentData!B1021))-1))),DATEVALUE(TRIM([1]RawShipmentData!B1021)))</f>
        <v>45347</v>
      </c>
      <c r="C1013" s="2" t="str">
        <f>PROPER(TRIM([1]RawShipmentData!C1021))</f>
        <v>Hyderabad</v>
      </c>
      <c r="D1013" s="2" t="str">
        <f>IFERROR(INDEX([1]HubMaster!$B$2:$B$7,MATCH(C1013,[1]HubMaster!$A$2:$A$7,0)),"Unknown")</f>
        <v>West</v>
      </c>
      <c r="E1013" s="2" t="str">
        <f>PROPER(TRIM(SUBSTITUTE([1]RawShipmentData!D1021,"  "," ")))</f>
        <v>Xpressbees</v>
      </c>
      <c r="F1013" s="2" t="str">
        <f>PROPER(TRIM([1]RawShipmentData!E1021))</f>
        <v>Air</v>
      </c>
      <c r="G1013" s="2" t="str">
        <f>PROPER(TRIM(SUBSTITUTE([1]RawShipmentData!F1021,"  "," ")))</f>
        <v>Apparel</v>
      </c>
      <c r="H1013" s="2" t="str">
        <f>PROPER(TRIM([1]RawShipmentData!G1021))</f>
        <v>North</v>
      </c>
      <c r="I1013" s="2" t="str">
        <f t="shared" si="75"/>
        <v>Yes</v>
      </c>
      <c r="J1013" s="2">
        <f>IFERROR(VALUE(TRIM(SUBSTITUTE(UPPER([1]RawShipmentData!I1013),"KG",""))),"")</f>
        <v>5.3</v>
      </c>
      <c r="K1013" s="2">
        <f>VALUE(SUBSTITUTE(SUBSTITUTE(SUBSTITUTE(TRIM([1]RawShipmentData!J1021),"₹",""),"Rs",""),",",""))</f>
        <v>224</v>
      </c>
      <c r="L1013" s="2">
        <f>[1]RawShipmentData!K1021</f>
        <v>4</v>
      </c>
      <c r="M1013" s="3">
        <f>IF(TRIM([1]RawShipmentData!L1021)="","",IF(ISNUMBER(SEARCH("/",TRIM([1]RawShipmentData!L1021))),DATE(VALUE(RIGHT(TRIM([1]RawShipmentData!L1021),4)),VALUE(MID(TRIM([1]RawShipmentData!L1021),FIND("/",TRIM([1]RawShipmentData!L1021))+1,2)),VALUE(LEFT(TRIM([1]RawShipmentData!L1021),FIND("/",TRIM([1]RawShipmentData!L1021))-1))),DATEVALUE(TRIM([1]RawShipmentData!L1021))))</f>
        <v>45351</v>
      </c>
      <c r="N1013" s="2">
        <f t="shared" si="76"/>
        <v>4</v>
      </c>
      <c r="O1013" s="2">
        <f t="shared" si="77"/>
        <v>0</v>
      </c>
      <c r="P1013" s="2" t="str">
        <f t="shared" si="78"/>
        <v>On Time</v>
      </c>
      <c r="Q1013" s="2" t="str">
        <f>PROPER(SUBSTITUTE(TRIM([1]RawShipmentData!M1021)," ","-"))</f>
        <v>Delivered</v>
      </c>
      <c r="R1013" s="4">
        <f t="shared" si="79"/>
        <v>42.264150943396231</v>
      </c>
      <c r="S1013" s="2">
        <f>[1]RawShipmentData!N1021</f>
        <v>5</v>
      </c>
      <c r="T1013" s="2" t="str">
        <f>IF(OR(UPPER(TRIM([1]RawShipmentData!O1021))="YES",UPPER(TRIM([1]RawShipmentData!O1021))="Y"),"Yes","No")</f>
        <v>Yes</v>
      </c>
    </row>
    <row r="1014" spans="1:20" x14ac:dyDescent="0.25">
      <c r="A1014" s="2" t="str">
        <f>[1]RawShipmentData!A1022</f>
        <v>SHP-100792</v>
      </c>
      <c r="B1014" s="3">
        <f>IF(ISNUMBER(SEARCH("/",TRIM([1]RawShipmentData!B1022))),DATE(VALUE(RIGHT(TRIM([1]RawShipmentData!B1022),4)),VALUE(MID(TRIM([1]RawShipmentData!B1022),FIND("/",TRIM([1]RawShipmentData!B1022))+1,2)),VALUE(LEFT(TRIM([1]RawShipmentData!B1022),FIND("/",TRIM([1]RawShipmentData!B1022))-1))),DATEVALUE(TRIM([1]RawShipmentData!B1022)))</f>
        <v>45333</v>
      </c>
      <c r="C1014" s="2" t="str">
        <f>PROPER(TRIM([1]RawShipmentData!C1022))</f>
        <v>Delhi</v>
      </c>
      <c r="D1014" s="2" t="str">
        <f>IFERROR(INDEX([1]HubMaster!$B$2:$B$7,MATCH(C1014,[1]HubMaster!$A$2:$A$7,0)),"Unknown")</f>
        <v>North</v>
      </c>
      <c r="E1014" s="2" t="str">
        <f>PROPER(TRIM(SUBSTITUTE([1]RawShipmentData!D1022,"  "," ")))</f>
        <v>Dtdc</v>
      </c>
      <c r="F1014" s="2" t="str">
        <f>PROPER(TRIM([1]RawShipmentData!E1022))</f>
        <v>Air</v>
      </c>
      <c r="G1014" s="2" t="str">
        <f>PROPER(TRIM(SUBSTITUTE([1]RawShipmentData!F1022,"  "," ")))</f>
        <v>Apparel</v>
      </c>
      <c r="H1014" s="2" t="str">
        <f>PROPER(TRIM([1]RawShipmentData!G1022))</f>
        <v>East</v>
      </c>
      <c r="I1014" s="2" t="str">
        <f t="shared" si="75"/>
        <v>Yes</v>
      </c>
      <c r="J1014" s="2">
        <f>IFERROR(VALUE(TRIM(SUBSTITUTE(UPPER([1]RawShipmentData!I1014),"KG",""))),"")</f>
        <v>11.2</v>
      </c>
      <c r="K1014" s="2">
        <f>VALUE(SUBSTITUTE(SUBSTITUTE(SUBSTITUTE(TRIM([1]RawShipmentData!J1022),"₹",""),"Rs",""),",",""))</f>
        <v>486</v>
      </c>
      <c r="L1014" s="2">
        <f>[1]RawShipmentData!K1022</f>
        <v>4</v>
      </c>
      <c r="M1014" s="3">
        <f>IF(TRIM([1]RawShipmentData!L1022)="","",IF(ISNUMBER(SEARCH("/",TRIM([1]RawShipmentData!L1022))),DATE(VALUE(RIGHT(TRIM([1]RawShipmentData!L1022),4)),VALUE(MID(TRIM([1]RawShipmentData!L1022),FIND("/",TRIM([1]RawShipmentData!L1022))+1,2)),VALUE(LEFT(TRIM([1]RawShipmentData!L1022),FIND("/",TRIM([1]RawShipmentData!L1022))-1))),DATEVALUE(TRIM([1]RawShipmentData!L1022))))</f>
        <v>45337</v>
      </c>
      <c r="N1014" s="2">
        <f t="shared" si="76"/>
        <v>4</v>
      </c>
      <c r="O1014" s="2">
        <f t="shared" si="77"/>
        <v>0</v>
      </c>
      <c r="P1014" s="2" t="str">
        <f t="shared" si="78"/>
        <v>On Time</v>
      </c>
      <c r="Q1014" s="2" t="str">
        <f>PROPER(SUBSTITUTE(TRIM([1]RawShipmentData!M1022)," ","-"))</f>
        <v>Delivered</v>
      </c>
      <c r="R1014" s="4">
        <f t="shared" si="79"/>
        <v>43.392857142857146</v>
      </c>
      <c r="S1014" s="2">
        <f>[1]RawShipmentData!N1022</f>
        <v>3</v>
      </c>
      <c r="T1014" s="2" t="str">
        <f>IF(OR(UPPER(TRIM([1]RawShipmentData!O1022))="YES",UPPER(TRIM([1]RawShipmentData!O1022))="Y"),"Yes","No")</f>
        <v>No</v>
      </c>
    </row>
    <row r="1015" spans="1:20" x14ac:dyDescent="0.25">
      <c r="A1015" s="2" t="str">
        <f>[1]RawShipmentData!A1023</f>
        <v>SHP-100880</v>
      </c>
      <c r="B1015" s="3">
        <f>IF(ISNUMBER(SEARCH("/",TRIM([1]RawShipmentData!B1023))),DATE(VALUE(RIGHT(TRIM([1]RawShipmentData!B1023),4)),VALUE(MID(TRIM([1]RawShipmentData!B1023),FIND("/",TRIM([1]RawShipmentData!B1023))+1,2)),VALUE(LEFT(TRIM([1]RawShipmentData!B1023),FIND("/",TRIM([1]RawShipmentData!B1023))-1))),DATEVALUE(TRIM([1]RawShipmentData!B1023)))</f>
        <v>45372</v>
      </c>
      <c r="C1015" s="2" t="str">
        <f>PROPER(TRIM([1]RawShipmentData!C1023))</f>
        <v>Hyderabad</v>
      </c>
      <c r="D1015" s="2" t="str">
        <f>IFERROR(INDEX([1]HubMaster!$B$2:$B$7,MATCH(C1015,[1]HubMaster!$A$2:$A$7,0)),"Unknown")</f>
        <v>West</v>
      </c>
      <c r="E1015" s="2" t="str">
        <f>PROPER(TRIM(SUBSTITUTE([1]RawShipmentData!D1023,"  "," ")))</f>
        <v>Ecom Express</v>
      </c>
      <c r="F1015" s="2" t="str">
        <f>PROPER(TRIM([1]RawShipmentData!E1023))</f>
        <v>Surface</v>
      </c>
      <c r="G1015" s="2" t="str">
        <f>PROPER(TRIM(SUBSTITUTE([1]RawShipmentData!F1023,"  "," ")))</f>
        <v>Furniture</v>
      </c>
      <c r="H1015" s="2" t="str">
        <f>PROPER(TRIM([1]RawShipmentData!G1023))</f>
        <v>East</v>
      </c>
      <c r="I1015" s="2" t="str">
        <f t="shared" si="75"/>
        <v>Yes</v>
      </c>
      <c r="J1015" s="2">
        <f>IFERROR(VALUE(TRIM(SUBSTITUTE(UPPER([1]RawShipmentData!I1015),"KG",""))),"")</f>
        <v>60</v>
      </c>
      <c r="K1015" s="2">
        <f>VALUE(SUBSTITUTE(SUBSTITUTE(SUBSTITUTE(TRIM([1]RawShipmentData!J1023),"₹",""),"Rs",""),",",""))</f>
        <v>575</v>
      </c>
      <c r="L1015" s="2">
        <f>[1]RawShipmentData!K1023</f>
        <v>6</v>
      </c>
      <c r="M1015" s="3">
        <f>IF(TRIM([1]RawShipmentData!L1023)="","",IF(ISNUMBER(SEARCH("/",TRIM([1]RawShipmentData!L1023))),DATE(VALUE(RIGHT(TRIM([1]RawShipmentData!L1023),4)),VALUE(MID(TRIM([1]RawShipmentData!L1023),FIND("/",TRIM([1]RawShipmentData!L1023))+1,2)),VALUE(LEFT(TRIM([1]RawShipmentData!L1023),FIND("/",TRIM([1]RawShipmentData!L1023))-1))),DATEVALUE(TRIM([1]RawShipmentData!L1023))))</f>
        <v>45379</v>
      </c>
      <c r="N1015" s="2">
        <f t="shared" si="76"/>
        <v>7</v>
      </c>
      <c r="O1015" s="2">
        <f t="shared" si="77"/>
        <v>1</v>
      </c>
      <c r="P1015" s="2" t="str">
        <f t="shared" si="78"/>
        <v>Late</v>
      </c>
      <c r="Q1015" s="2" t="str">
        <f>PROPER(SUBSTITUTE(TRIM([1]RawShipmentData!M1023)," ","-"))</f>
        <v>Delayed</v>
      </c>
      <c r="R1015" s="4">
        <f t="shared" si="79"/>
        <v>9.5833333333333339</v>
      </c>
      <c r="S1015" s="2">
        <f>[1]RawShipmentData!N1023</f>
        <v>1</v>
      </c>
      <c r="T1015" s="2" t="str">
        <f>IF(OR(UPPER(TRIM([1]RawShipmentData!O1023))="YES",UPPER(TRIM([1]RawShipmentData!O1023))="Y"),"Yes","No")</f>
        <v>Yes</v>
      </c>
    </row>
    <row r="1016" spans="1:20" x14ac:dyDescent="0.25">
      <c r="A1016" s="2" t="str">
        <f>[1]RawShipmentData!A1024</f>
        <v>SHP-101034</v>
      </c>
      <c r="B1016" s="3">
        <f>IF(ISNUMBER(SEARCH("/",TRIM([1]RawShipmentData!B1024))),DATE(VALUE(RIGHT(TRIM([1]RawShipmentData!B1024),4)),VALUE(MID(TRIM([1]RawShipmentData!B1024),FIND("/",TRIM([1]RawShipmentData!B1024))+1,2)),VALUE(LEFT(TRIM([1]RawShipmentData!B1024),FIND("/",TRIM([1]RawShipmentData!B1024))-1))),DATEVALUE(TRIM([1]RawShipmentData!B1024)))</f>
        <v>45407</v>
      </c>
      <c r="C1016" s="2" t="str">
        <f>PROPER(TRIM([1]RawShipmentData!C1024))</f>
        <v>Hyderabad</v>
      </c>
      <c r="D1016" s="2" t="str">
        <f>IFERROR(INDEX([1]HubMaster!$B$2:$B$7,MATCH(C1016,[1]HubMaster!$A$2:$A$7,0)),"Unknown")</f>
        <v>West</v>
      </c>
      <c r="E1016" s="2" t="str">
        <f>PROPER(TRIM(SUBSTITUTE([1]RawShipmentData!D1024,"  "," ")))</f>
        <v>Ecom Express</v>
      </c>
      <c r="F1016" s="2" t="str">
        <f>PROPER(TRIM([1]RawShipmentData!E1024))</f>
        <v>Air</v>
      </c>
      <c r="G1016" s="2" t="str">
        <f>PROPER(TRIM(SUBSTITUTE([1]RawShipmentData!F1024,"  "," ")))</f>
        <v>Grocery &amp; Fmcg</v>
      </c>
      <c r="H1016" s="2" t="str">
        <f>PROPER(TRIM([1]RawShipmentData!G1024))</f>
        <v>South</v>
      </c>
      <c r="I1016" s="2" t="str">
        <f t="shared" si="75"/>
        <v>Yes</v>
      </c>
      <c r="J1016" s="2">
        <f>IFERROR(VALUE(TRIM(SUBSTITUTE(UPPER([1]RawShipmentData!I1016),"KG",""))),"")</f>
        <v>2.2999999999999998</v>
      </c>
      <c r="K1016" s="2">
        <f>VALUE(SUBSTITUTE(SUBSTITUTE(SUBSTITUTE(TRIM([1]RawShipmentData!J1024),"₹",""),"Rs",""),",",""))</f>
        <v>424</v>
      </c>
      <c r="L1016" s="2">
        <f>[1]RawShipmentData!K1024</f>
        <v>4</v>
      </c>
      <c r="M1016" s="3">
        <f>IF(TRIM([1]RawShipmentData!L1024)="","",IF(ISNUMBER(SEARCH("/",TRIM([1]RawShipmentData!L1024))),DATE(VALUE(RIGHT(TRIM([1]RawShipmentData!L1024),4)),VALUE(MID(TRIM([1]RawShipmentData!L1024),FIND("/",TRIM([1]RawShipmentData!L1024))+1,2)),VALUE(LEFT(TRIM([1]RawShipmentData!L1024),FIND("/",TRIM([1]RawShipmentData!L1024))-1))),DATEVALUE(TRIM([1]RawShipmentData!L1024))))</f>
        <v>45410</v>
      </c>
      <c r="N1016" s="2">
        <f t="shared" si="76"/>
        <v>3</v>
      </c>
      <c r="O1016" s="2">
        <f t="shared" si="77"/>
        <v>-1</v>
      </c>
      <c r="P1016" s="2" t="str">
        <f t="shared" si="78"/>
        <v>On Time</v>
      </c>
      <c r="Q1016" s="2" t="str">
        <f>PROPER(SUBSTITUTE(TRIM([1]RawShipmentData!M1024)," ","-"))</f>
        <v>Delivered</v>
      </c>
      <c r="R1016" s="4">
        <f t="shared" si="79"/>
        <v>184.34782608695653</v>
      </c>
      <c r="S1016" s="2">
        <f>[1]RawShipmentData!N1024</f>
        <v>5</v>
      </c>
      <c r="T1016" s="2" t="str">
        <f>IF(OR(UPPER(TRIM([1]RawShipmentData!O1024))="YES",UPPER(TRIM([1]RawShipmentData!O1024))="Y"),"Yes","No")</f>
        <v>No</v>
      </c>
    </row>
    <row r="1017" spans="1:20" x14ac:dyDescent="0.25">
      <c r="A1017" s="2" t="str">
        <f>[1]RawShipmentData!A1025</f>
        <v>SHP-100915</v>
      </c>
      <c r="B1017" s="3">
        <f>IF(ISNUMBER(SEARCH("/",TRIM([1]RawShipmentData!B1025))),DATE(VALUE(RIGHT(TRIM([1]RawShipmentData!B1025),4)),VALUE(MID(TRIM([1]RawShipmentData!B1025),FIND("/",TRIM([1]RawShipmentData!B1025))+1,2)),VALUE(LEFT(TRIM([1]RawShipmentData!B1025),FIND("/",TRIM([1]RawShipmentData!B1025))-1))),DATEVALUE(TRIM([1]RawShipmentData!B1025)))</f>
        <v>45461</v>
      </c>
      <c r="C1017" s="2" t="str">
        <f>PROPER(TRIM([1]RawShipmentData!C1025))</f>
        <v>Mumbai</v>
      </c>
      <c r="D1017" s="2" t="str">
        <f>IFERROR(INDEX([1]HubMaster!$B$2:$B$7,MATCH(C1017,[1]HubMaster!$A$2:$A$7,0)),"Unknown")</f>
        <v>West</v>
      </c>
      <c r="E1017" s="2" t="str">
        <f>PROPER(TRIM(SUBSTITUTE([1]RawShipmentData!D1025,"  "," ")))</f>
        <v>Delhivery</v>
      </c>
      <c r="F1017" s="2" t="str">
        <f>PROPER(TRIM([1]RawShipmentData!E1025))</f>
        <v>Road</v>
      </c>
      <c r="G1017" s="2" t="str">
        <f>PROPER(TRIM(SUBSTITUTE([1]RawShipmentData!F1025,"  "," ")))</f>
        <v>Grocery &amp; Fmcg</v>
      </c>
      <c r="H1017" s="2" t="str">
        <f>PROPER(TRIM([1]RawShipmentData!G1025))</f>
        <v>North</v>
      </c>
      <c r="I1017" s="2" t="str">
        <f t="shared" si="75"/>
        <v>Yes</v>
      </c>
      <c r="J1017" s="2">
        <f>IFERROR(VALUE(TRIM(SUBSTITUTE(UPPER([1]RawShipmentData!I1017),"KG",""))),"")</f>
        <v>3.4</v>
      </c>
      <c r="K1017" s="2">
        <f>VALUE(SUBSTITUTE(SUBSTITUTE(SUBSTITUTE(TRIM([1]RawShipmentData!J1025),"₹",""),"Rs",""),",",""))</f>
        <v>408</v>
      </c>
      <c r="L1017" s="2">
        <f>[1]RawShipmentData!K1025</f>
        <v>8</v>
      </c>
      <c r="M1017" s="3">
        <f>IF(TRIM([1]RawShipmentData!L1025)="","",IF(ISNUMBER(SEARCH("/",TRIM([1]RawShipmentData!L1025))),DATE(VALUE(RIGHT(TRIM([1]RawShipmentData!L1025),4)),VALUE(MID(TRIM([1]RawShipmentData!L1025),FIND("/",TRIM([1]RawShipmentData!L1025))+1,2)),VALUE(LEFT(TRIM([1]RawShipmentData!L1025),FIND("/",TRIM([1]RawShipmentData!L1025))-1))),DATEVALUE(TRIM([1]RawShipmentData!L1025))))</f>
        <v>45469</v>
      </c>
      <c r="N1017" s="2">
        <f t="shared" si="76"/>
        <v>8</v>
      </c>
      <c r="O1017" s="2">
        <f t="shared" si="77"/>
        <v>0</v>
      </c>
      <c r="P1017" s="2" t="str">
        <f t="shared" si="78"/>
        <v>On Time</v>
      </c>
      <c r="Q1017" s="2" t="str">
        <f>PROPER(SUBSTITUTE(TRIM([1]RawShipmentData!M1025)," ","-"))</f>
        <v>Delivered</v>
      </c>
      <c r="R1017" s="4">
        <f t="shared" si="79"/>
        <v>120</v>
      </c>
      <c r="S1017" s="2">
        <f>[1]RawShipmentData!N1025</f>
        <v>4</v>
      </c>
      <c r="T1017" s="2" t="str">
        <f>IF(OR(UPPER(TRIM([1]RawShipmentData!O1025))="YES",UPPER(TRIM([1]RawShipmentData!O1025))="Y"),"Yes","No")</f>
        <v>Yes</v>
      </c>
    </row>
    <row r="1018" spans="1:20" x14ac:dyDescent="0.25">
      <c r="A1018" s="2" t="str">
        <f>[1]RawShipmentData!A1026</f>
        <v>SHP-100732</v>
      </c>
      <c r="B1018" s="3">
        <f>IF(ISNUMBER(SEARCH("/",TRIM([1]RawShipmentData!B1026))),DATE(VALUE(RIGHT(TRIM([1]RawShipmentData!B1026),4)),VALUE(MID(TRIM([1]RawShipmentData!B1026),FIND("/",TRIM([1]RawShipmentData!B1026))+1,2)),VALUE(LEFT(TRIM([1]RawShipmentData!B1026),FIND("/",TRIM([1]RawShipmentData!B1026))-1))),DATEVALUE(TRIM([1]RawShipmentData!B1026)))</f>
        <v>45308</v>
      </c>
      <c r="C1018" s="2" t="str">
        <f>PROPER(TRIM([1]RawShipmentData!C1026))</f>
        <v>Kolkata</v>
      </c>
      <c r="D1018" s="2" t="str">
        <f>IFERROR(INDEX([1]HubMaster!$B$2:$B$7,MATCH(C1018,[1]HubMaster!$A$2:$A$7,0)),"Unknown")</f>
        <v>East</v>
      </c>
      <c r="E1018" s="2" t="str">
        <f>PROPER(TRIM(SUBSTITUTE([1]RawShipmentData!D1026,"  "," ")))</f>
        <v>Xpressbees</v>
      </c>
      <c r="F1018" s="2" t="str">
        <f>PROPER(TRIM([1]RawShipmentData!E1026))</f>
        <v>Surface</v>
      </c>
      <c r="G1018" s="2" t="str">
        <f>PROPER(TRIM(SUBSTITUTE([1]RawShipmentData!F1026,"  "," ")))</f>
        <v>Grocery &amp; Fmcg</v>
      </c>
      <c r="H1018" s="2" t="str">
        <f>PROPER(TRIM([1]RawShipmentData!G1026))</f>
        <v>West</v>
      </c>
      <c r="I1018" s="2" t="str">
        <f t="shared" si="75"/>
        <v>Yes</v>
      </c>
      <c r="J1018" s="2">
        <f>IFERROR(VALUE(TRIM(SUBSTITUTE(UPPER([1]RawShipmentData!I1018),"KG",""))),"")</f>
        <v>2.4</v>
      </c>
      <c r="K1018" s="2">
        <f>VALUE(SUBSTITUTE(SUBSTITUTE(SUBSTITUTE(TRIM([1]RawShipmentData!J1026),"₹",""),"Rs",""),",",""))</f>
        <v>229</v>
      </c>
      <c r="L1018" s="2">
        <f>[1]RawShipmentData!K1026</f>
        <v>6</v>
      </c>
      <c r="M1018" s="3">
        <f>IF(TRIM([1]RawShipmentData!L1026)="","",IF(ISNUMBER(SEARCH("/",TRIM([1]RawShipmentData!L1026))),DATE(VALUE(RIGHT(TRIM([1]RawShipmentData!L1026),4)),VALUE(MID(TRIM([1]RawShipmentData!L1026),FIND("/",TRIM([1]RawShipmentData!L1026))+1,2)),VALUE(LEFT(TRIM([1]RawShipmentData!L1026),FIND("/",TRIM([1]RawShipmentData!L1026))-1))),DATEVALUE(TRIM([1]RawShipmentData!L1026))))</f>
        <v>45314</v>
      </c>
      <c r="N1018" s="2">
        <f t="shared" si="76"/>
        <v>6</v>
      </c>
      <c r="O1018" s="2">
        <f t="shared" si="77"/>
        <v>0</v>
      </c>
      <c r="P1018" s="2" t="str">
        <f t="shared" si="78"/>
        <v>On Time</v>
      </c>
      <c r="Q1018" s="2" t="str">
        <f>PROPER(SUBSTITUTE(TRIM([1]RawShipmentData!M1026)," ","-"))</f>
        <v>Delivered</v>
      </c>
      <c r="R1018" s="4">
        <f t="shared" si="79"/>
        <v>95.416666666666671</v>
      </c>
      <c r="S1018" s="2">
        <f>[1]RawShipmentData!N1026</f>
        <v>4</v>
      </c>
      <c r="T1018" s="2" t="str">
        <f>IF(OR(UPPER(TRIM([1]RawShipmentData!O1026))="YES",UPPER(TRIM([1]RawShipmentData!O1026))="Y"),"Yes","No")</f>
        <v>Yes</v>
      </c>
    </row>
    <row r="1019" spans="1:20" x14ac:dyDescent="0.25">
      <c r="A1019" s="2" t="str">
        <f>[1]RawShipmentData!A1027</f>
        <v>SHP-101137</v>
      </c>
      <c r="B1019" s="3">
        <f>IF(ISNUMBER(SEARCH("/",TRIM([1]RawShipmentData!B1027))),DATE(VALUE(RIGHT(TRIM([1]RawShipmentData!B1027),4)),VALUE(MID(TRIM([1]RawShipmentData!B1027),FIND("/",TRIM([1]RawShipmentData!B1027))+1,2)),VALUE(LEFT(TRIM([1]RawShipmentData!B1027),FIND("/",TRIM([1]RawShipmentData!B1027))-1))),DATEVALUE(TRIM([1]RawShipmentData!B1027)))</f>
        <v>45404</v>
      </c>
      <c r="C1019" s="2" t="str">
        <f>PROPER(TRIM([1]RawShipmentData!C1027))</f>
        <v>Chennai</v>
      </c>
      <c r="D1019" s="2" t="str">
        <f>IFERROR(INDEX([1]HubMaster!$B$2:$B$7,MATCH(C1019,[1]HubMaster!$A$2:$A$7,0)),"Unknown")</f>
        <v>South</v>
      </c>
      <c r="E1019" s="2" t="str">
        <f>PROPER(TRIM(SUBSTITUTE([1]RawShipmentData!D1027,"  "," ")))</f>
        <v>Bluedart</v>
      </c>
      <c r="F1019" s="2" t="str">
        <f>PROPER(TRIM([1]RawShipmentData!E1027))</f>
        <v>Surface</v>
      </c>
      <c r="G1019" s="2" t="str">
        <f>PROPER(TRIM(SUBSTITUTE([1]RawShipmentData!F1027,"  "," ")))</f>
        <v>Pharma</v>
      </c>
      <c r="H1019" s="2" t="str">
        <f>PROPER(TRIM([1]RawShipmentData!G1027))</f>
        <v>West</v>
      </c>
      <c r="I1019" s="2" t="str">
        <f t="shared" si="75"/>
        <v>Yes</v>
      </c>
      <c r="J1019" s="2">
        <f>IFERROR(VALUE(TRIM(SUBSTITUTE(UPPER([1]RawShipmentData!I1019),"KG",""))),"")</f>
        <v>4.7</v>
      </c>
      <c r="K1019" s="2">
        <f>VALUE(SUBSTITUTE(SUBSTITUTE(SUBSTITUTE(TRIM([1]RawShipmentData!J1027),"₹",""),"Rs",""),",",""))</f>
        <v>179</v>
      </c>
      <c r="L1019" s="2">
        <f>[1]RawShipmentData!K1027</f>
        <v>6</v>
      </c>
      <c r="M1019" s="3">
        <f>IF(TRIM([1]RawShipmentData!L1027)="","",IF(ISNUMBER(SEARCH("/",TRIM([1]RawShipmentData!L1027))),DATE(VALUE(RIGHT(TRIM([1]RawShipmentData!L1027),4)),VALUE(MID(TRIM([1]RawShipmentData!L1027),FIND("/",TRIM([1]RawShipmentData!L1027))+1,2)),VALUE(LEFT(TRIM([1]RawShipmentData!L1027),FIND("/",TRIM([1]RawShipmentData!L1027))-1))),DATEVALUE(TRIM([1]RawShipmentData!L1027))))</f>
        <v>45410</v>
      </c>
      <c r="N1019" s="2">
        <f t="shared" si="76"/>
        <v>6</v>
      </c>
      <c r="O1019" s="2">
        <f t="shared" si="77"/>
        <v>0</v>
      </c>
      <c r="P1019" s="2" t="str">
        <f t="shared" si="78"/>
        <v>On Time</v>
      </c>
      <c r="Q1019" s="2" t="str">
        <f>PROPER(SUBSTITUTE(TRIM([1]RawShipmentData!M1027)," ","-"))</f>
        <v>Delivered</v>
      </c>
      <c r="R1019" s="4">
        <f t="shared" si="79"/>
        <v>38.085106382978722</v>
      </c>
      <c r="S1019" s="2">
        <f>[1]RawShipmentData!N1027</f>
        <v>5</v>
      </c>
      <c r="T1019" s="2" t="str">
        <f>IF(OR(UPPER(TRIM([1]RawShipmentData!O1027))="YES",UPPER(TRIM([1]RawShipmentData!O1027))="Y"),"Yes","No")</f>
        <v>Yes</v>
      </c>
    </row>
    <row r="1020" spans="1:20" x14ac:dyDescent="0.25">
      <c r="A1020" s="2" t="str">
        <f>[1]RawShipmentData!A1028</f>
        <v>SHP-100978</v>
      </c>
      <c r="B1020" s="3">
        <f>IF(ISNUMBER(SEARCH("/",TRIM([1]RawShipmentData!B1028))),DATE(VALUE(RIGHT(TRIM([1]RawShipmentData!B1028),4)),VALUE(MID(TRIM([1]RawShipmentData!B1028),FIND("/",TRIM([1]RawShipmentData!B1028))+1,2)),VALUE(LEFT(TRIM([1]RawShipmentData!B1028),FIND("/",TRIM([1]RawShipmentData!B1028))-1))),DATEVALUE(TRIM([1]RawShipmentData!B1028)))</f>
        <v>45400</v>
      </c>
      <c r="C1020" s="2" t="str">
        <f>PROPER(TRIM([1]RawShipmentData!C1028))</f>
        <v>Mumbai</v>
      </c>
      <c r="D1020" s="2" t="str">
        <f>IFERROR(INDEX([1]HubMaster!$B$2:$B$7,MATCH(C1020,[1]HubMaster!$A$2:$A$7,0)),"Unknown")</f>
        <v>West</v>
      </c>
      <c r="E1020" s="2" t="str">
        <f>PROPER(TRIM(SUBSTITUTE([1]RawShipmentData!D1028,"  "," ")))</f>
        <v>Bluedart</v>
      </c>
      <c r="F1020" s="2" t="str">
        <f>PROPER(TRIM([1]RawShipmentData!E1028))</f>
        <v>Air</v>
      </c>
      <c r="G1020" s="2" t="str">
        <f>PROPER(TRIM(SUBSTITUTE([1]RawShipmentData!F1028,"  "," ")))</f>
        <v>Electronics</v>
      </c>
      <c r="H1020" s="2" t="str">
        <f>PROPER(TRIM([1]RawShipmentData!G1028))</f>
        <v>East</v>
      </c>
      <c r="I1020" s="2" t="str">
        <f t="shared" si="75"/>
        <v>Yes</v>
      </c>
      <c r="J1020" s="2">
        <f>IFERROR(VALUE(TRIM(SUBSTITUTE(UPPER([1]RawShipmentData!I1020),"KG",""))),"")</f>
        <v>52.9</v>
      </c>
      <c r="K1020" s="2">
        <f>VALUE(SUBSTITUTE(SUBSTITUTE(SUBSTITUTE(TRIM([1]RawShipmentData!J1028),"₹",""),"Rs",""),",",""))</f>
        <v>775</v>
      </c>
      <c r="L1020" s="2">
        <f>[1]RawShipmentData!K1028</f>
        <v>4</v>
      </c>
      <c r="M1020" s="3">
        <f>IF(TRIM([1]RawShipmentData!L1028)="","",IF(ISNUMBER(SEARCH("/",TRIM([1]RawShipmentData!L1028))),DATE(VALUE(RIGHT(TRIM([1]RawShipmentData!L1028),4)),VALUE(MID(TRIM([1]RawShipmentData!L1028),FIND("/",TRIM([1]RawShipmentData!L1028))+1,2)),VALUE(LEFT(TRIM([1]RawShipmentData!L1028),FIND("/",TRIM([1]RawShipmentData!L1028))-1))),DATEVALUE(TRIM([1]RawShipmentData!L1028))))</f>
        <v>45405</v>
      </c>
      <c r="N1020" s="2">
        <f t="shared" si="76"/>
        <v>5</v>
      </c>
      <c r="O1020" s="2">
        <f t="shared" si="77"/>
        <v>1</v>
      </c>
      <c r="P1020" s="2" t="str">
        <f t="shared" si="78"/>
        <v>Late</v>
      </c>
      <c r="Q1020" s="2" t="str">
        <f>PROPER(SUBSTITUTE(TRIM([1]RawShipmentData!M1028)," ","-"))</f>
        <v>Delayed</v>
      </c>
      <c r="R1020" s="4">
        <f t="shared" si="79"/>
        <v>14.650283553875237</v>
      </c>
      <c r="S1020" s="2">
        <f>[1]RawShipmentData!N1028</f>
        <v>2</v>
      </c>
      <c r="T1020" s="2" t="str">
        <f>IF(OR(UPPER(TRIM([1]RawShipmentData!O1028))="YES",UPPER(TRIM([1]RawShipmentData!O1028))="Y"),"Yes","No")</f>
        <v>No</v>
      </c>
    </row>
    <row r="1021" spans="1:20" x14ac:dyDescent="0.25">
      <c r="A1021" s="2" t="str">
        <f>[1]RawShipmentData!A1029</f>
        <v>SHP-101150</v>
      </c>
      <c r="B1021" s="3">
        <f>IF(ISNUMBER(SEARCH("/",TRIM([1]RawShipmentData!B1029))),DATE(VALUE(RIGHT(TRIM([1]RawShipmentData!B1029),4)),VALUE(MID(TRIM([1]RawShipmentData!B1029),FIND("/",TRIM([1]RawShipmentData!B1029))+1,2)),VALUE(LEFT(TRIM([1]RawShipmentData!B1029),FIND("/",TRIM([1]RawShipmentData!B1029))-1))),DATEVALUE(TRIM([1]RawShipmentData!B1029)))</f>
        <v>45357</v>
      </c>
      <c r="C1021" s="2" t="str">
        <f>PROPER(TRIM([1]RawShipmentData!C1029))</f>
        <v>Hyderabad</v>
      </c>
      <c r="D1021" s="2" t="str">
        <f>IFERROR(INDEX([1]HubMaster!$B$2:$B$7,MATCH(C1021,[1]HubMaster!$A$2:$A$7,0)),"Unknown")</f>
        <v>West</v>
      </c>
      <c r="E1021" s="2" t="str">
        <f>PROPER(TRIM(SUBSTITUTE([1]RawShipmentData!D1029,"  "," ")))</f>
        <v>Bluedart</v>
      </c>
      <c r="F1021" s="2" t="str">
        <f>PROPER(TRIM([1]RawShipmentData!E1029))</f>
        <v>Surface</v>
      </c>
      <c r="G1021" s="2" t="str">
        <f>PROPER(TRIM(SUBSTITUTE([1]RawShipmentData!F1029,"  "," ")))</f>
        <v>Automotive Parts</v>
      </c>
      <c r="H1021" s="2" t="str">
        <f>PROPER(TRIM([1]RawShipmentData!G1029))</f>
        <v>East</v>
      </c>
      <c r="I1021" s="2" t="str">
        <f t="shared" si="75"/>
        <v>Yes</v>
      </c>
      <c r="J1021" s="2">
        <f>IFERROR(VALUE(TRIM(SUBSTITUTE(UPPER([1]RawShipmentData!I1021),"KG",""))),"")</f>
        <v>1.8</v>
      </c>
      <c r="K1021" s="2">
        <f>VALUE(SUBSTITUTE(SUBSTITUTE(SUBSTITUTE(TRIM([1]RawShipmentData!J1029),"₹",""),"Rs",""),",",""))</f>
        <v>894</v>
      </c>
      <c r="L1021" s="2">
        <f>[1]RawShipmentData!K1029</f>
        <v>6</v>
      </c>
      <c r="M1021" s="3">
        <f>IF(TRIM([1]RawShipmentData!L1029)="","",IF(ISNUMBER(SEARCH("/",TRIM([1]RawShipmentData!L1029))),DATE(VALUE(RIGHT(TRIM([1]RawShipmentData!L1029),4)),VALUE(MID(TRIM([1]RawShipmentData!L1029),FIND("/",TRIM([1]RawShipmentData!L1029))+1,2)),VALUE(LEFT(TRIM([1]RawShipmentData!L1029),FIND("/",TRIM([1]RawShipmentData!L1029))-1))),DATEVALUE(TRIM([1]RawShipmentData!L1029))))</f>
        <v>45364</v>
      </c>
      <c r="N1021" s="2">
        <f t="shared" si="76"/>
        <v>7</v>
      </c>
      <c r="O1021" s="2">
        <f t="shared" si="77"/>
        <v>1</v>
      </c>
      <c r="P1021" s="2" t="str">
        <f t="shared" si="78"/>
        <v>Late</v>
      </c>
      <c r="Q1021" s="2" t="str">
        <f>PROPER(SUBSTITUTE(TRIM([1]RawShipmentData!M1029)," ","-"))</f>
        <v>Delayed</v>
      </c>
      <c r="R1021" s="4">
        <f t="shared" si="79"/>
        <v>496.66666666666663</v>
      </c>
      <c r="S1021" s="2">
        <f>[1]RawShipmentData!N1029</f>
        <v>1</v>
      </c>
      <c r="T1021" s="2" t="str">
        <f>IF(OR(UPPER(TRIM([1]RawShipmentData!O1029))="YES",UPPER(TRIM([1]RawShipmentData!O1029))="Y"),"Yes","No")</f>
        <v>No</v>
      </c>
    </row>
    <row r="1022" spans="1:20" x14ac:dyDescent="0.25">
      <c r="A1022" s="2" t="str">
        <f>[1]RawShipmentData!A1030</f>
        <v>SHP-101575</v>
      </c>
      <c r="B1022" s="3">
        <f>IF(ISNUMBER(SEARCH("/",TRIM([1]RawShipmentData!B1030))),DATE(VALUE(RIGHT(TRIM([1]RawShipmentData!B1030),4)),VALUE(MID(TRIM([1]RawShipmentData!B1030),FIND("/",TRIM([1]RawShipmentData!B1030))+1,2)),VALUE(LEFT(TRIM([1]RawShipmentData!B1030),FIND("/",TRIM([1]RawShipmentData!B1030))-1))),DATEVALUE(TRIM([1]RawShipmentData!B1030)))</f>
        <v>45468</v>
      </c>
      <c r="C1022" s="2" t="str">
        <f>PROPER(TRIM([1]RawShipmentData!C1030))</f>
        <v>Bengaluru</v>
      </c>
      <c r="D1022" s="2" t="str">
        <f>IFERROR(INDEX([1]HubMaster!$B$2:$B$7,MATCH(C1022,[1]HubMaster!$A$2:$A$7,0)),"Unknown")</f>
        <v>South</v>
      </c>
      <c r="E1022" s="2" t="str">
        <f>PROPER(TRIM(SUBSTITUTE([1]RawShipmentData!D1030,"  "," ")))</f>
        <v>Ecom Express</v>
      </c>
      <c r="F1022" s="2" t="str">
        <f>PROPER(TRIM([1]RawShipmentData!E1030))</f>
        <v>Road</v>
      </c>
      <c r="G1022" s="2" t="str">
        <f>PROPER(TRIM(SUBSTITUTE([1]RawShipmentData!F1030,"  "," ")))</f>
        <v>Automotive Parts</v>
      </c>
      <c r="H1022" s="2" t="str">
        <f>PROPER(TRIM([1]RawShipmentData!G1030))</f>
        <v>West</v>
      </c>
      <c r="I1022" s="2" t="str">
        <f t="shared" si="75"/>
        <v>Yes</v>
      </c>
      <c r="J1022" s="2">
        <f>IFERROR(VALUE(TRIM(SUBSTITUTE(UPPER([1]RawShipmentData!I1022),"KG",""))),"")</f>
        <v>6.9</v>
      </c>
      <c r="K1022" s="2">
        <f>VALUE(SUBSTITUTE(SUBSTITUTE(SUBSTITUTE(TRIM([1]RawShipmentData!J1030),"₹",""),"Rs",""),",",""))</f>
        <v>302</v>
      </c>
      <c r="L1022" s="2">
        <f>[1]RawShipmentData!K1030</f>
        <v>8</v>
      </c>
      <c r="M1022" s="3" t="str">
        <f>IF(TRIM([1]RawShipmentData!L1030)="","",IF(ISNUMBER(SEARCH("/",TRIM([1]RawShipmentData!L1030))),DATE(VALUE(RIGHT(TRIM([1]RawShipmentData!L1030),4)),VALUE(MID(TRIM([1]RawShipmentData!L1030),FIND("/",TRIM([1]RawShipmentData!L1030))+1,2)),VALUE(LEFT(TRIM([1]RawShipmentData!L1030),FIND("/",TRIM([1]RawShipmentData!L1030))-1))),DATEVALUE(TRIM([1]RawShipmentData!L1030))))</f>
        <v/>
      </c>
      <c r="N1022" s="2" t="str">
        <f t="shared" si="76"/>
        <v/>
      </c>
      <c r="O1022" s="2" t="str">
        <f t="shared" si="77"/>
        <v/>
      </c>
      <c r="P1022" s="2" t="str">
        <f t="shared" si="78"/>
        <v>N/A</v>
      </c>
      <c r="Q1022" s="2" t="str">
        <f>PROPER(SUBSTITUTE(TRIM([1]RawShipmentData!M1030)," ","-"))</f>
        <v>In-Transit</v>
      </c>
      <c r="R1022" s="4">
        <f t="shared" si="79"/>
        <v>43.768115942028984</v>
      </c>
      <c r="S1022" s="2">
        <f>[1]RawShipmentData!N1030</f>
        <v>0</v>
      </c>
      <c r="T1022" s="2" t="str">
        <f>IF(OR(UPPER(TRIM([1]RawShipmentData!O1030))="YES",UPPER(TRIM([1]RawShipmentData!O1030))="Y"),"Yes","No")</f>
        <v>No</v>
      </c>
    </row>
    <row r="1023" spans="1:20" x14ac:dyDescent="0.25">
      <c r="A1023" s="2" t="str">
        <f>[1]RawShipmentData!A1031</f>
        <v>SHP-101047</v>
      </c>
      <c r="B1023" s="3">
        <f>IF(ISNUMBER(SEARCH("/",TRIM([1]RawShipmentData!B1031))),DATE(VALUE(RIGHT(TRIM([1]RawShipmentData!B1031),4)),VALUE(MID(TRIM([1]RawShipmentData!B1031),FIND("/",TRIM([1]RawShipmentData!B1031))+1,2)),VALUE(LEFT(TRIM([1]RawShipmentData!B1031),FIND("/",TRIM([1]RawShipmentData!B1031))-1))),DATEVALUE(TRIM([1]RawShipmentData!B1031)))</f>
        <v>45337</v>
      </c>
      <c r="C1023" s="2" t="str">
        <f>PROPER(TRIM([1]RawShipmentData!C1031))</f>
        <v>Hyderabad</v>
      </c>
      <c r="D1023" s="2" t="str">
        <f>IFERROR(INDEX([1]HubMaster!$B$2:$B$7,MATCH(C1023,[1]HubMaster!$A$2:$A$7,0)),"Unknown")</f>
        <v>West</v>
      </c>
      <c r="E1023" s="2" t="str">
        <f>PROPER(TRIM(SUBSTITUTE([1]RawShipmentData!D1031,"  "," ")))</f>
        <v>Delhivery</v>
      </c>
      <c r="F1023" s="2" t="str">
        <f>PROPER(TRIM([1]RawShipmentData!E1031))</f>
        <v>Surface</v>
      </c>
      <c r="G1023" s="2" t="str">
        <f>PROPER(TRIM(SUBSTITUTE([1]RawShipmentData!F1031,"  "," ")))</f>
        <v>Automotive Parts</v>
      </c>
      <c r="H1023" s="2" t="str">
        <f>PROPER(TRIM([1]RawShipmentData!G1031))</f>
        <v>South</v>
      </c>
      <c r="I1023" s="2" t="str">
        <f t="shared" si="75"/>
        <v>Yes</v>
      </c>
      <c r="J1023" s="2">
        <f>IFERROR(VALUE(TRIM(SUBSTITUTE(UPPER([1]RawShipmentData!I1023),"KG",""))),"")</f>
        <v>18.3</v>
      </c>
      <c r="K1023" s="2">
        <f>VALUE(SUBSTITUTE(SUBSTITUTE(SUBSTITUTE(TRIM([1]RawShipmentData!J1031),"₹",""),"Rs",""),",",""))</f>
        <v>945</v>
      </c>
      <c r="L1023" s="2">
        <f>[1]RawShipmentData!K1031</f>
        <v>6</v>
      </c>
      <c r="M1023" s="3">
        <f>IF(TRIM([1]RawShipmentData!L1031)="","",IF(ISNUMBER(SEARCH("/",TRIM([1]RawShipmentData!L1031))),DATE(VALUE(RIGHT(TRIM([1]RawShipmentData!L1031),4)),VALUE(MID(TRIM([1]RawShipmentData!L1031),FIND("/",TRIM([1]RawShipmentData!L1031))+1,2)),VALUE(LEFT(TRIM([1]RawShipmentData!L1031),FIND("/",TRIM([1]RawShipmentData!L1031))-1))),DATEVALUE(TRIM([1]RawShipmentData!L1031))))</f>
        <v>45344</v>
      </c>
      <c r="N1023" s="2">
        <f t="shared" si="76"/>
        <v>7</v>
      </c>
      <c r="O1023" s="2">
        <f t="shared" si="77"/>
        <v>1</v>
      </c>
      <c r="P1023" s="2" t="str">
        <f t="shared" si="78"/>
        <v>Late</v>
      </c>
      <c r="Q1023" s="2" t="str">
        <f>PROPER(SUBSTITUTE(TRIM([1]RawShipmentData!M1031)," ","-"))</f>
        <v>Delayed</v>
      </c>
      <c r="R1023" s="4">
        <f t="shared" si="79"/>
        <v>51.639344262295083</v>
      </c>
      <c r="S1023" s="2">
        <f>[1]RawShipmentData!N1031</f>
        <v>3</v>
      </c>
      <c r="T1023" s="2" t="str">
        <f>IF(OR(UPPER(TRIM([1]RawShipmentData!O1031))="YES",UPPER(TRIM([1]RawShipmentData!O1031))="Y"),"Yes","No")</f>
        <v>Yes</v>
      </c>
    </row>
    <row r="1024" spans="1:20" x14ac:dyDescent="0.25">
      <c r="A1024" s="2" t="str">
        <f>[1]RawShipmentData!A1032</f>
        <v>SHP-100644</v>
      </c>
      <c r="B1024" s="3">
        <f>IF(ISNUMBER(SEARCH("/",TRIM([1]RawShipmentData!B1032))),DATE(VALUE(RIGHT(TRIM([1]RawShipmentData!B1032),4)),VALUE(MID(TRIM([1]RawShipmentData!B1032),FIND("/",TRIM([1]RawShipmentData!B1032))+1,2)),VALUE(LEFT(TRIM([1]RawShipmentData!B1032),FIND("/",TRIM([1]RawShipmentData!B1032))-1))),DATEVALUE(TRIM([1]RawShipmentData!B1032)))</f>
        <v>45341</v>
      </c>
      <c r="C1024" s="2" t="str">
        <f>PROPER(TRIM([1]RawShipmentData!C1032))</f>
        <v>Chennai</v>
      </c>
      <c r="D1024" s="2" t="str">
        <f>IFERROR(INDEX([1]HubMaster!$B$2:$B$7,MATCH(C1024,[1]HubMaster!$A$2:$A$7,0)),"Unknown")</f>
        <v>South</v>
      </c>
      <c r="E1024" s="2" t="str">
        <f>PROPER(TRIM(SUBSTITUTE([1]RawShipmentData!D1032,"  "," ")))</f>
        <v>Xpressbees</v>
      </c>
      <c r="F1024" s="2" t="str">
        <f>PROPER(TRIM([1]RawShipmentData!E1032))</f>
        <v>Road</v>
      </c>
      <c r="G1024" s="2" t="str">
        <f>PROPER(TRIM(SUBSTITUTE([1]RawShipmentData!F1032,"  "," ")))</f>
        <v>Grocery &amp; Fmcg</v>
      </c>
      <c r="H1024" s="2" t="str">
        <f>PROPER(TRIM([1]RawShipmentData!G1032))</f>
        <v>East</v>
      </c>
      <c r="I1024" s="2" t="str">
        <f t="shared" si="75"/>
        <v>Yes</v>
      </c>
      <c r="J1024" s="2">
        <f>IFERROR(VALUE(TRIM(SUBSTITUTE(UPPER([1]RawShipmentData!I1024),"KG",""))),"")</f>
        <v>5.4</v>
      </c>
      <c r="K1024" s="2">
        <f>VALUE(SUBSTITUTE(SUBSTITUTE(SUBSTITUTE(TRIM([1]RawShipmentData!J1032),"₹",""),"Rs",""),",",""))</f>
        <v>216</v>
      </c>
      <c r="L1024" s="2">
        <f>[1]RawShipmentData!K1032</f>
        <v>8</v>
      </c>
      <c r="M1024" s="3">
        <f>IF(TRIM([1]RawShipmentData!L1032)="","",IF(ISNUMBER(SEARCH("/",TRIM([1]RawShipmentData!L1032))),DATE(VALUE(RIGHT(TRIM([1]RawShipmentData!L1032),4)),VALUE(MID(TRIM([1]RawShipmentData!L1032),FIND("/",TRIM([1]RawShipmentData!L1032))+1,2)),VALUE(LEFT(TRIM([1]RawShipmentData!L1032),FIND("/",TRIM([1]RawShipmentData!L1032))-1))),DATEVALUE(TRIM([1]RawShipmentData!L1032))))</f>
        <v>45348</v>
      </c>
      <c r="N1024" s="2">
        <f t="shared" si="76"/>
        <v>7</v>
      </c>
      <c r="O1024" s="2">
        <f t="shared" si="77"/>
        <v>-1</v>
      </c>
      <c r="P1024" s="2" t="str">
        <f t="shared" si="78"/>
        <v>On Time</v>
      </c>
      <c r="Q1024" s="2" t="str">
        <f>PROPER(SUBSTITUTE(TRIM([1]RawShipmentData!M1032)," ","-"))</f>
        <v>Delivered</v>
      </c>
      <c r="R1024" s="4">
        <f t="shared" si="79"/>
        <v>40</v>
      </c>
      <c r="S1024" s="2">
        <f>[1]RawShipmentData!N1032</f>
        <v>5</v>
      </c>
      <c r="T1024" s="2" t="str">
        <f>IF(OR(UPPER(TRIM([1]RawShipmentData!O1032))="YES",UPPER(TRIM([1]RawShipmentData!O1032))="Y"),"Yes","No")</f>
        <v>Yes</v>
      </c>
    </row>
    <row r="1025" spans="1:20" x14ac:dyDescent="0.25">
      <c r="A1025" s="2" t="str">
        <f>[1]RawShipmentData!A1033</f>
        <v>SHP-100136</v>
      </c>
      <c r="B1025" s="3">
        <f>IF(ISNUMBER(SEARCH("/",TRIM([1]RawShipmentData!B1033))),DATE(VALUE(RIGHT(TRIM([1]RawShipmentData!B1033),4)),VALUE(MID(TRIM([1]RawShipmentData!B1033),FIND("/",TRIM([1]RawShipmentData!B1033))+1,2)),VALUE(LEFT(TRIM([1]RawShipmentData!B1033),FIND("/",TRIM([1]RawShipmentData!B1033))-1))),DATEVALUE(TRIM([1]RawShipmentData!B1033)))</f>
        <v>45407</v>
      </c>
      <c r="C1025" s="2" t="str">
        <f>PROPER(TRIM([1]RawShipmentData!C1033))</f>
        <v>Mumbai</v>
      </c>
      <c r="D1025" s="2" t="str">
        <f>IFERROR(INDEX([1]HubMaster!$B$2:$B$7,MATCH(C1025,[1]HubMaster!$A$2:$A$7,0)),"Unknown")</f>
        <v>West</v>
      </c>
      <c r="E1025" s="2" t="str">
        <f>PROPER(TRIM(SUBSTITUTE([1]RawShipmentData!D1033,"  "," ")))</f>
        <v>Xpressbees</v>
      </c>
      <c r="F1025" s="2" t="str">
        <f>PROPER(TRIM([1]RawShipmentData!E1033))</f>
        <v>Air</v>
      </c>
      <c r="G1025" s="2" t="str">
        <f>PROPER(TRIM(SUBSTITUTE([1]RawShipmentData!F1033,"  "," ")))</f>
        <v>Apparel</v>
      </c>
      <c r="H1025" s="2" t="str">
        <f>PROPER(TRIM([1]RawShipmentData!G1033))</f>
        <v>North</v>
      </c>
      <c r="I1025" s="2" t="str">
        <f t="shared" si="75"/>
        <v>Yes</v>
      </c>
      <c r="J1025" s="2">
        <f>IFERROR(VALUE(TRIM(SUBSTITUTE(UPPER([1]RawShipmentData!I1025),"KG",""))),"")</f>
        <v>14.7</v>
      </c>
      <c r="K1025" s="2">
        <f>VALUE(SUBSTITUTE(SUBSTITUTE(SUBSTITUTE(TRIM([1]RawShipmentData!J1033),"₹",""),"Rs",""),",",""))</f>
        <v>290</v>
      </c>
      <c r="L1025" s="2">
        <f>[1]RawShipmentData!K1033</f>
        <v>4</v>
      </c>
      <c r="M1025" s="3">
        <f>IF(TRIM([1]RawShipmentData!L1033)="","",IF(ISNUMBER(SEARCH("/",TRIM([1]RawShipmentData!L1033))),DATE(VALUE(RIGHT(TRIM([1]RawShipmentData!L1033),4)),VALUE(MID(TRIM([1]RawShipmentData!L1033),FIND("/",TRIM([1]RawShipmentData!L1033))+1,2)),VALUE(LEFT(TRIM([1]RawShipmentData!L1033),FIND("/",TRIM([1]RawShipmentData!L1033))-1))),DATEVALUE(TRIM([1]RawShipmentData!L1033))))</f>
        <v>45410</v>
      </c>
      <c r="N1025" s="2">
        <f t="shared" si="76"/>
        <v>3</v>
      </c>
      <c r="O1025" s="2">
        <f t="shared" si="77"/>
        <v>-1</v>
      </c>
      <c r="P1025" s="2" t="str">
        <f t="shared" si="78"/>
        <v>On Time</v>
      </c>
      <c r="Q1025" s="2" t="str">
        <f>PROPER(SUBSTITUTE(TRIM([1]RawShipmentData!M1033)," ","-"))</f>
        <v>Delivered</v>
      </c>
      <c r="R1025" s="4">
        <f t="shared" si="79"/>
        <v>19.727891156462587</v>
      </c>
      <c r="S1025" s="2">
        <f>[1]RawShipmentData!N1033</f>
        <v>2</v>
      </c>
      <c r="T1025" s="2" t="str">
        <f>IF(OR(UPPER(TRIM([1]RawShipmentData!O1033))="YES",UPPER(TRIM([1]RawShipmentData!O1033))="Y"),"Yes","No")</f>
        <v>No</v>
      </c>
    </row>
    <row r="1026" spans="1:20" x14ac:dyDescent="0.25">
      <c r="A1026" s="2" t="str">
        <f>[1]RawShipmentData!A1034</f>
        <v>SHP-101559</v>
      </c>
      <c r="B1026" s="3">
        <f>IF(ISNUMBER(SEARCH("/",TRIM([1]RawShipmentData!B1034))),DATE(VALUE(RIGHT(TRIM([1]RawShipmentData!B1034),4)),VALUE(MID(TRIM([1]RawShipmentData!B1034),FIND("/",TRIM([1]RawShipmentData!B1034))+1,2)),VALUE(LEFT(TRIM([1]RawShipmentData!B1034),FIND("/",TRIM([1]RawShipmentData!B1034))-1))),DATEVALUE(TRIM([1]RawShipmentData!B1034)))</f>
        <v>45331</v>
      </c>
      <c r="C1026" s="2" t="str">
        <f>PROPER(TRIM([1]RawShipmentData!C1034))</f>
        <v>Chennai</v>
      </c>
      <c r="D1026" s="2" t="str">
        <f>IFERROR(INDEX([1]HubMaster!$B$2:$B$7,MATCH(C1026,[1]HubMaster!$A$2:$A$7,0)),"Unknown")</f>
        <v>South</v>
      </c>
      <c r="E1026" s="2" t="str">
        <f>PROPER(TRIM(SUBSTITUTE([1]RawShipmentData!D1034,"  "," ")))</f>
        <v>Xpressbees</v>
      </c>
      <c r="F1026" s="2" t="str">
        <f>PROPER(TRIM([1]RawShipmentData!E1034))</f>
        <v>Air</v>
      </c>
      <c r="G1026" s="2" t="str">
        <f>PROPER(TRIM(SUBSTITUTE([1]RawShipmentData!F1034,"  "," ")))</f>
        <v>Automotive Parts</v>
      </c>
      <c r="H1026" s="2" t="str">
        <f>PROPER(TRIM([1]RawShipmentData!G1034))</f>
        <v>East</v>
      </c>
      <c r="I1026" s="2" t="str">
        <f t="shared" ref="I1026:I1089" si="80">IF(D1026=H1026,"No","Yes")</f>
        <v>Yes</v>
      </c>
      <c r="J1026" s="2">
        <f>IFERROR(VALUE(TRIM(SUBSTITUTE(UPPER([1]RawShipmentData!I1026),"KG",""))),"")</f>
        <v>2.2999999999999998</v>
      </c>
      <c r="K1026" s="2">
        <f>VALUE(SUBSTITUTE(SUBSTITUTE(SUBSTITUTE(TRIM([1]RawShipmentData!J1034),"₹",""),"Rs",""),",",""))</f>
        <v>1394</v>
      </c>
      <c r="L1026" s="2">
        <f>[1]RawShipmentData!K1034</f>
        <v>4</v>
      </c>
      <c r="M1026" s="3">
        <f>IF(TRIM([1]RawShipmentData!L1034)="","",IF(ISNUMBER(SEARCH("/",TRIM([1]RawShipmentData!L1034))),DATE(VALUE(RIGHT(TRIM([1]RawShipmentData!L1034),4)),VALUE(MID(TRIM([1]RawShipmentData!L1034),FIND("/",TRIM([1]RawShipmentData!L1034))+1,2)),VALUE(LEFT(TRIM([1]RawShipmentData!L1034),FIND("/",TRIM([1]RawShipmentData!L1034))-1))),DATEVALUE(TRIM([1]RawShipmentData!L1034))))</f>
        <v>45338</v>
      </c>
      <c r="N1026" s="2">
        <f t="shared" ref="N1026:N1089" si="81">IF(M1026="","",M1026-B1026)</f>
        <v>7</v>
      </c>
      <c r="O1026" s="2">
        <f t="shared" ref="O1026:O1089" si="82">IF(N1026="","",N1026-L1026)</f>
        <v>3</v>
      </c>
      <c r="P1026" s="2" t="str">
        <f t="shared" ref="P1026:P1089" si="83">IF(N1026="","N/A",IF(N1026&lt;=L1026,"On Time","Late"))</f>
        <v>Late</v>
      </c>
      <c r="Q1026" s="2" t="str">
        <f>PROPER(SUBSTITUTE(TRIM([1]RawShipmentData!M1034)," ","-"))</f>
        <v>Delayed</v>
      </c>
      <c r="R1026" s="4">
        <f t="shared" si="79"/>
        <v>606.08695652173913</v>
      </c>
      <c r="S1026" s="2">
        <f>[1]RawShipmentData!N1034</f>
        <v>3</v>
      </c>
      <c r="T1026" s="2" t="str">
        <f>IF(OR(UPPER(TRIM([1]RawShipmentData!O1034))="YES",UPPER(TRIM([1]RawShipmentData!O1034))="Y"),"Yes","No")</f>
        <v>Yes</v>
      </c>
    </row>
    <row r="1027" spans="1:20" x14ac:dyDescent="0.25">
      <c r="A1027" s="2" t="str">
        <f>[1]RawShipmentData!A1035</f>
        <v>SHP-100934</v>
      </c>
      <c r="B1027" s="3">
        <f>IF(ISNUMBER(SEARCH("/",TRIM([1]RawShipmentData!B1035))),DATE(VALUE(RIGHT(TRIM([1]RawShipmentData!B1035),4)),VALUE(MID(TRIM([1]RawShipmentData!B1035),FIND("/",TRIM([1]RawShipmentData!B1035))+1,2)),VALUE(LEFT(TRIM([1]RawShipmentData!B1035),FIND("/",TRIM([1]RawShipmentData!B1035))-1))),DATEVALUE(TRIM([1]RawShipmentData!B1035)))</f>
        <v>45433</v>
      </c>
      <c r="C1027" s="2" t="str">
        <f>PROPER(TRIM([1]RawShipmentData!C1035))</f>
        <v>Kolkata</v>
      </c>
      <c r="D1027" s="2" t="str">
        <f>IFERROR(INDEX([1]HubMaster!$B$2:$B$7,MATCH(C1027,[1]HubMaster!$A$2:$A$7,0)),"Unknown")</f>
        <v>East</v>
      </c>
      <c r="E1027" s="2" t="str">
        <f>PROPER(TRIM(SUBSTITUTE([1]RawShipmentData!D1035,"  "," ")))</f>
        <v>Bluedart</v>
      </c>
      <c r="F1027" s="2" t="str">
        <f>PROPER(TRIM([1]RawShipmentData!E1035))</f>
        <v>Road</v>
      </c>
      <c r="G1027" s="2" t="str">
        <f>PROPER(TRIM(SUBSTITUTE([1]RawShipmentData!F1035,"  "," ")))</f>
        <v>Furniture</v>
      </c>
      <c r="H1027" s="2" t="str">
        <f>PROPER(TRIM([1]RawShipmentData!G1035))</f>
        <v>South</v>
      </c>
      <c r="I1027" s="2" t="str">
        <f t="shared" si="80"/>
        <v>Yes</v>
      </c>
      <c r="J1027" s="2">
        <f>IFERROR(VALUE(TRIM(SUBSTITUTE(UPPER([1]RawShipmentData!I1027),"KG",""))),"")</f>
        <v>2.2000000000000002</v>
      </c>
      <c r="K1027" s="2">
        <f>VALUE(SUBSTITUTE(SUBSTITUTE(SUBSTITUTE(TRIM([1]RawShipmentData!J1035),"₹",""),"Rs",""),",",""))</f>
        <v>362</v>
      </c>
      <c r="L1027" s="2">
        <f>[1]RawShipmentData!K1035</f>
        <v>8</v>
      </c>
      <c r="M1027" s="3">
        <f>IF(TRIM([1]RawShipmentData!L1035)="","",IF(ISNUMBER(SEARCH("/",TRIM([1]RawShipmentData!L1035))),DATE(VALUE(RIGHT(TRIM([1]RawShipmentData!L1035),4)),VALUE(MID(TRIM([1]RawShipmentData!L1035),FIND("/",TRIM([1]RawShipmentData!L1035))+1,2)),VALUE(LEFT(TRIM([1]RawShipmentData!L1035),FIND("/",TRIM([1]RawShipmentData!L1035))-1))),DATEVALUE(TRIM([1]RawShipmentData!L1035))))</f>
        <v>45441</v>
      </c>
      <c r="N1027" s="2">
        <f t="shared" si="81"/>
        <v>8</v>
      </c>
      <c r="O1027" s="2">
        <f t="shared" si="82"/>
        <v>0</v>
      </c>
      <c r="P1027" s="2" t="str">
        <f t="shared" si="83"/>
        <v>On Time</v>
      </c>
      <c r="Q1027" s="2" t="str">
        <f>PROPER(SUBSTITUTE(TRIM([1]RawShipmentData!M1035)," ","-"))</f>
        <v>Delivered</v>
      </c>
      <c r="R1027" s="4">
        <f t="shared" ref="R1027:R1090" si="84">IFERROR(K1027/J1027,"")</f>
        <v>164.54545454545453</v>
      </c>
      <c r="S1027" s="2">
        <f>[1]RawShipmentData!N1035</f>
        <v>1</v>
      </c>
      <c r="T1027" s="2" t="str">
        <f>IF(OR(UPPER(TRIM([1]RawShipmentData!O1035))="YES",UPPER(TRIM([1]RawShipmentData!O1035))="Y"),"Yes","No")</f>
        <v>Yes</v>
      </c>
    </row>
    <row r="1028" spans="1:20" x14ac:dyDescent="0.25">
      <c r="A1028" s="2" t="str">
        <f>[1]RawShipmentData!A1036</f>
        <v>SHP-101291</v>
      </c>
      <c r="B1028" s="3">
        <f>IF(ISNUMBER(SEARCH("/",TRIM([1]RawShipmentData!B1036))),DATE(VALUE(RIGHT(TRIM([1]RawShipmentData!B1036),4)),VALUE(MID(TRIM([1]RawShipmentData!B1036),FIND("/",TRIM([1]RawShipmentData!B1036))+1,2)),VALUE(LEFT(TRIM([1]RawShipmentData!B1036),FIND("/",TRIM([1]RawShipmentData!B1036))-1))),DATEVALUE(TRIM([1]RawShipmentData!B1036)))</f>
        <v>45366</v>
      </c>
      <c r="C1028" s="2" t="str">
        <f>PROPER(TRIM([1]RawShipmentData!C1036))</f>
        <v>Delhi</v>
      </c>
      <c r="D1028" s="2" t="str">
        <f>IFERROR(INDEX([1]HubMaster!$B$2:$B$7,MATCH(C1028,[1]HubMaster!$A$2:$A$7,0)),"Unknown")</f>
        <v>North</v>
      </c>
      <c r="E1028" s="2" t="str">
        <f>PROPER(TRIM(SUBSTITUTE([1]RawShipmentData!D1036,"  "," ")))</f>
        <v>Dtdc</v>
      </c>
      <c r="F1028" s="2" t="str">
        <f>PROPER(TRIM([1]RawShipmentData!E1036))</f>
        <v>Road</v>
      </c>
      <c r="G1028" s="2" t="str">
        <f>PROPER(TRIM(SUBSTITUTE([1]RawShipmentData!F1036,"  "," ")))</f>
        <v>Pharma</v>
      </c>
      <c r="H1028" s="2" t="str">
        <f>PROPER(TRIM([1]RawShipmentData!G1036))</f>
        <v>South</v>
      </c>
      <c r="I1028" s="2" t="str">
        <f t="shared" si="80"/>
        <v>Yes</v>
      </c>
      <c r="J1028" s="2">
        <f>IFERROR(VALUE(TRIM(SUBSTITUTE(UPPER([1]RawShipmentData!I1028),"KG",""))),"")</f>
        <v>14.3</v>
      </c>
      <c r="K1028" s="2">
        <f>VALUE(SUBSTITUTE(SUBSTITUTE(SUBSTITUTE(TRIM([1]RawShipmentData!J1036),"₹",""),"Rs",""),",",""))</f>
        <v>161</v>
      </c>
      <c r="L1028" s="2">
        <f>[1]RawShipmentData!K1036</f>
        <v>8</v>
      </c>
      <c r="M1028" s="3">
        <f>IF(TRIM([1]RawShipmentData!L1036)="","",IF(ISNUMBER(SEARCH("/",TRIM([1]RawShipmentData!L1036))),DATE(VALUE(RIGHT(TRIM([1]RawShipmentData!L1036),4)),VALUE(MID(TRIM([1]RawShipmentData!L1036),FIND("/",TRIM([1]RawShipmentData!L1036))+1,2)),VALUE(LEFT(TRIM([1]RawShipmentData!L1036),FIND("/",TRIM([1]RawShipmentData!L1036))-1))),DATEVALUE(TRIM([1]RawShipmentData!L1036))))</f>
        <v>45375</v>
      </c>
      <c r="N1028" s="2">
        <f t="shared" si="81"/>
        <v>9</v>
      </c>
      <c r="O1028" s="2">
        <f t="shared" si="82"/>
        <v>1</v>
      </c>
      <c r="P1028" s="2" t="str">
        <f t="shared" si="83"/>
        <v>Late</v>
      </c>
      <c r="Q1028" s="2" t="str">
        <f>PROPER(SUBSTITUTE(TRIM([1]RawShipmentData!M1036)," ","-"))</f>
        <v>Delayed</v>
      </c>
      <c r="R1028" s="4">
        <f t="shared" si="84"/>
        <v>11.258741258741258</v>
      </c>
      <c r="S1028" s="2">
        <f>[1]RawShipmentData!N1036</f>
        <v>1</v>
      </c>
      <c r="T1028" s="2" t="str">
        <f>IF(OR(UPPER(TRIM([1]RawShipmentData!O1036))="YES",UPPER(TRIM([1]RawShipmentData!O1036))="Y"),"Yes","No")</f>
        <v>No</v>
      </c>
    </row>
    <row r="1029" spans="1:20" x14ac:dyDescent="0.25">
      <c r="A1029" s="2" t="str">
        <f>[1]RawShipmentData!A1037</f>
        <v>SHP-100977</v>
      </c>
      <c r="B1029" s="3">
        <f>IF(ISNUMBER(SEARCH("/",TRIM([1]RawShipmentData!B1037))),DATE(VALUE(RIGHT(TRIM([1]RawShipmentData!B1037),4)),VALUE(MID(TRIM([1]RawShipmentData!B1037),FIND("/",TRIM([1]RawShipmentData!B1037))+1,2)),VALUE(LEFT(TRIM([1]RawShipmentData!B1037),FIND("/",TRIM([1]RawShipmentData!B1037))-1))),DATEVALUE(TRIM([1]RawShipmentData!B1037)))</f>
        <v>45388</v>
      </c>
      <c r="C1029" s="2" t="str">
        <f>PROPER(TRIM([1]RawShipmentData!C1037))</f>
        <v>Kolkata</v>
      </c>
      <c r="D1029" s="2" t="str">
        <f>IFERROR(INDEX([1]HubMaster!$B$2:$B$7,MATCH(C1029,[1]HubMaster!$A$2:$A$7,0)),"Unknown")</f>
        <v>East</v>
      </c>
      <c r="E1029" s="2" t="str">
        <f>PROPER(TRIM(SUBSTITUTE([1]RawShipmentData!D1037,"  "," ")))</f>
        <v>Xpressbees</v>
      </c>
      <c r="F1029" s="2" t="str">
        <f>PROPER(TRIM([1]RawShipmentData!E1037))</f>
        <v>Air</v>
      </c>
      <c r="G1029" s="2" t="str">
        <f>PROPER(TRIM(SUBSTITUTE([1]RawShipmentData!F1037,"  "," ")))</f>
        <v>Automotive Parts</v>
      </c>
      <c r="H1029" s="2" t="str">
        <f>PROPER(TRIM([1]RawShipmentData!G1037))</f>
        <v>East</v>
      </c>
      <c r="I1029" s="2" t="str">
        <f t="shared" si="80"/>
        <v>No</v>
      </c>
      <c r="J1029" s="2">
        <f>IFERROR(VALUE(TRIM(SUBSTITUTE(UPPER([1]RawShipmentData!I1029),"KG",""))),"")</f>
        <v>34.299999999999997</v>
      </c>
      <c r="K1029" s="2">
        <f>VALUE(SUBSTITUTE(SUBSTITUTE(SUBSTITUTE(TRIM([1]RawShipmentData!J1037),"₹",""),"Rs",""),",",""))</f>
        <v>1062</v>
      </c>
      <c r="L1029" s="2">
        <f>[1]RawShipmentData!K1037</f>
        <v>2</v>
      </c>
      <c r="M1029" s="3">
        <f>IF(TRIM([1]RawShipmentData!L1037)="","",IF(ISNUMBER(SEARCH("/",TRIM([1]RawShipmentData!L1037))),DATE(VALUE(RIGHT(TRIM([1]RawShipmentData!L1037),4)),VALUE(MID(TRIM([1]RawShipmentData!L1037),FIND("/",TRIM([1]RawShipmentData!L1037))+1,2)),VALUE(LEFT(TRIM([1]RawShipmentData!L1037),FIND("/",TRIM([1]RawShipmentData!L1037))-1))),DATEVALUE(TRIM([1]RawShipmentData!L1037))))</f>
        <v>45390</v>
      </c>
      <c r="N1029" s="2">
        <f t="shared" si="81"/>
        <v>2</v>
      </c>
      <c r="O1029" s="2">
        <f t="shared" si="82"/>
        <v>0</v>
      </c>
      <c r="P1029" s="2" t="str">
        <f t="shared" si="83"/>
        <v>On Time</v>
      </c>
      <c r="Q1029" s="2" t="str">
        <f>PROPER(SUBSTITUTE(TRIM([1]RawShipmentData!M1037)," ","-"))</f>
        <v>Delivered</v>
      </c>
      <c r="R1029" s="4">
        <f t="shared" si="84"/>
        <v>30.962099125364436</v>
      </c>
      <c r="S1029" s="2">
        <f>[1]RawShipmentData!N1037</f>
        <v>5</v>
      </c>
      <c r="T1029" s="2" t="str">
        <f>IF(OR(UPPER(TRIM([1]RawShipmentData!O1037))="YES",UPPER(TRIM([1]RawShipmentData!O1037))="Y"),"Yes","No")</f>
        <v>Yes</v>
      </c>
    </row>
    <row r="1030" spans="1:20" x14ac:dyDescent="0.25">
      <c r="A1030" s="2" t="str">
        <f>[1]RawShipmentData!A1038</f>
        <v>SHP-100894</v>
      </c>
      <c r="B1030" s="3">
        <f>IF(ISNUMBER(SEARCH("/",TRIM([1]RawShipmentData!B1038))),DATE(VALUE(RIGHT(TRIM([1]RawShipmentData!B1038),4)),VALUE(MID(TRIM([1]RawShipmentData!B1038),FIND("/",TRIM([1]RawShipmentData!B1038))+1,2)),VALUE(LEFT(TRIM([1]RawShipmentData!B1038),FIND("/",TRIM([1]RawShipmentData!B1038))-1))),DATEVALUE(TRIM([1]RawShipmentData!B1038)))</f>
        <v>45445</v>
      </c>
      <c r="C1030" s="2" t="str">
        <f>PROPER(TRIM([1]RawShipmentData!C1038))</f>
        <v>Hyderabad</v>
      </c>
      <c r="D1030" s="2" t="str">
        <f>IFERROR(INDEX([1]HubMaster!$B$2:$B$7,MATCH(C1030,[1]HubMaster!$A$2:$A$7,0)),"Unknown")</f>
        <v>West</v>
      </c>
      <c r="E1030" s="2" t="str">
        <f>PROPER(TRIM(SUBSTITUTE([1]RawShipmentData!D1038,"  "," ")))</f>
        <v>Xpress Bees</v>
      </c>
      <c r="F1030" s="2" t="str">
        <f>PROPER(TRIM([1]RawShipmentData!E1038))</f>
        <v>Road</v>
      </c>
      <c r="G1030" s="2" t="str">
        <f>PROPER(TRIM(SUBSTITUTE([1]RawShipmentData!F1038,"  "," ")))</f>
        <v>Grocery &amp; Fmcg</v>
      </c>
      <c r="H1030" s="2" t="str">
        <f>PROPER(TRIM([1]RawShipmentData!G1038))</f>
        <v>North</v>
      </c>
      <c r="I1030" s="2" t="str">
        <f t="shared" si="80"/>
        <v>Yes</v>
      </c>
      <c r="J1030" s="2">
        <f>IFERROR(VALUE(TRIM(SUBSTITUTE(UPPER([1]RawShipmentData!I1030),"KG",""))),"")</f>
        <v>10.199999999999999</v>
      </c>
      <c r="K1030" s="2">
        <f>VALUE(SUBSTITUTE(SUBSTITUTE(SUBSTITUTE(TRIM([1]RawShipmentData!J1038),"₹",""),"Rs",""),",",""))</f>
        <v>393</v>
      </c>
      <c r="L1030" s="2">
        <f>[1]RawShipmentData!K1038</f>
        <v>8</v>
      </c>
      <c r="M1030" s="3">
        <f>IF(TRIM([1]RawShipmentData!L1038)="","",IF(ISNUMBER(SEARCH("/",TRIM([1]RawShipmentData!L1038))),DATE(VALUE(RIGHT(TRIM([1]RawShipmentData!L1038),4)),VALUE(MID(TRIM([1]RawShipmentData!L1038),FIND("/",TRIM([1]RawShipmentData!L1038))+1,2)),VALUE(LEFT(TRIM([1]RawShipmentData!L1038),FIND("/",TRIM([1]RawShipmentData!L1038))-1))),DATEVALUE(TRIM([1]RawShipmentData!L1038))))</f>
        <v>45453</v>
      </c>
      <c r="N1030" s="2">
        <f t="shared" si="81"/>
        <v>8</v>
      </c>
      <c r="O1030" s="2">
        <f t="shared" si="82"/>
        <v>0</v>
      </c>
      <c r="P1030" s="2" t="str">
        <f t="shared" si="83"/>
        <v>On Time</v>
      </c>
      <c r="Q1030" s="2" t="str">
        <f>PROPER(SUBSTITUTE(TRIM([1]RawShipmentData!M1038)," ","-"))</f>
        <v>Delivered</v>
      </c>
      <c r="R1030" s="4">
        <f t="shared" si="84"/>
        <v>38.529411764705884</v>
      </c>
      <c r="S1030" s="2">
        <f>[1]RawShipmentData!N1038</f>
        <v>4</v>
      </c>
      <c r="T1030" s="2" t="str">
        <f>IF(OR(UPPER(TRIM([1]RawShipmentData!O1038))="YES",UPPER(TRIM([1]RawShipmentData!O1038))="Y"),"Yes","No")</f>
        <v>Yes</v>
      </c>
    </row>
    <row r="1031" spans="1:20" x14ac:dyDescent="0.25">
      <c r="A1031" s="2" t="str">
        <f>[1]RawShipmentData!A1039</f>
        <v>SHP-100453</v>
      </c>
      <c r="B1031" s="3">
        <f>IF(ISNUMBER(SEARCH("/",TRIM([1]RawShipmentData!B1039))),DATE(VALUE(RIGHT(TRIM([1]RawShipmentData!B1039),4)),VALUE(MID(TRIM([1]RawShipmentData!B1039),FIND("/",TRIM([1]RawShipmentData!B1039))+1,2)),VALUE(LEFT(TRIM([1]RawShipmentData!B1039),FIND("/",TRIM([1]RawShipmentData!B1039))-1))),DATEVALUE(TRIM([1]RawShipmentData!B1039)))</f>
        <v>45449</v>
      </c>
      <c r="C1031" s="2" t="str">
        <f>PROPER(TRIM([1]RawShipmentData!C1039))</f>
        <v>Chennai</v>
      </c>
      <c r="D1031" s="2" t="str">
        <f>IFERROR(INDEX([1]HubMaster!$B$2:$B$7,MATCH(C1031,[1]HubMaster!$A$2:$A$7,0)),"Unknown")</f>
        <v>South</v>
      </c>
      <c r="E1031" s="2" t="str">
        <f>PROPER(TRIM(SUBSTITUTE([1]RawShipmentData!D1039,"  "," ")))</f>
        <v>Dtdc</v>
      </c>
      <c r="F1031" s="2" t="str">
        <f>PROPER(TRIM([1]RawShipmentData!E1039))</f>
        <v>Surface</v>
      </c>
      <c r="G1031" s="2" t="str">
        <f>PROPER(TRIM(SUBSTITUTE([1]RawShipmentData!F1039,"  "," ")))</f>
        <v>Apparel</v>
      </c>
      <c r="H1031" s="2" t="str">
        <f>PROPER(TRIM([1]RawShipmentData!G1039))</f>
        <v>East</v>
      </c>
      <c r="I1031" s="2" t="str">
        <f t="shared" si="80"/>
        <v>Yes</v>
      </c>
      <c r="J1031" s="2">
        <f>IFERROR(VALUE(TRIM(SUBSTITUTE(UPPER([1]RawShipmentData!I1031),"KG",""))),"")</f>
        <v>36.5</v>
      </c>
      <c r="K1031" s="2">
        <f>VALUE(SUBSTITUTE(SUBSTITUTE(SUBSTITUTE(TRIM([1]RawShipmentData!J1039),"₹",""),"Rs",""),",",""))</f>
        <v>330</v>
      </c>
      <c r="L1031" s="2">
        <f>[1]RawShipmentData!K1039</f>
        <v>6</v>
      </c>
      <c r="M1031" s="3">
        <f>IF(TRIM([1]RawShipmentData!L1039)="","",IF(ISNUMBER(SEARCH("/",TRIM([1]RawShipmentData!L1039))),DATE(VALUE(RIGHT(TRIM([1]RawShipmentData!L1039),4)),VALUE(MID(TRIM([1]RawShipmentData!L1039),FIND("/",TRIM([1]RawShipmentData!L1039))+1,2)),VALUE(LEFT(TRIM([1]RawShipmentData!L1039),FIND("/",TRIM([1]RawShipmentData!L1039))-1))),DATEVALUE(TRIM([1]RawShipmentData!L1039))))</f>
        <v>45454</v>
      </c>
      <c r="N1031" s="2">
        <f t="shared" si="81"/>
        <v>5</v>
      </c>
      <c r="O1031" s="2">
        <f t="shared" si="82"/>
        <v>-1</v>
      </c>
      <c r="P1031" s="2" t="str">
        <f t="shared" si="83"/>
        <v>On Time</v>
      </c>
      <c r="Q1031" s="2" t="str">
        <f>PROPER(SUBSTITUTE(TRIM([1]RawShipmentData!M1039)," ","-"))</f>
        <v>Delivered</v>
      </c>
      <c r="R1031" s="4">
        <f t="shared" si="84"/>
        <v>9.0410958904109595</v>
      </c>
      <c r="S1031" s="2">
        <f>[1]RawShipmentData!N1039</f>
        <v>4</v>
      </c>
      <c r="T1031" s="2" t="str">
        <f>IF(OR(UPPER(TRIM([1]RawShipmentData!O1039))="YES",UPPER(TRIM([1]RawShipmentData!O1039))="Y"),"Yes","No")</f>
        <v>No</v>
      </c>
    </row>
    <row r="1032" spans="1:20" x14ac:dyDescent="0.25">
      <c r="A1032" s="2" t="str">
        <f>[1]RawShipmentData!A1040</f>
        <v>SHP-101549</v>
      </c>
      <c r="B1032" s="3">
        <f>IF(ISNUMBER(SEARCH("/",TRIM([1]RawShipmentData!B1040))),DATE(VALUE(RIGHT(TRIM([1]RawShipmentData!B1040),4)),VALUE(MID(TRIM([1]RawShipmentData!B1040),FIND("/",TRIM([1]RawShipmentData!B1040))+1,2)),VALUE(LEFT(TRIM([1]RawShipmentData!B1040),FIND("/",TRIM([1]RawShipmentData!B1040))-1))),DATEVALUE(TRIM([1]RawShipmentData!B1040)))</f>
        <v>45446</v>
      </c>
      <c r="C1032" s="2" t="str">
        <f>PROPER(TRIM([1]RawShipmentData!C1040))</f>
        <v>Hyderabad</v>
      </c>
      <c r="D1032" s="2" t="str">
        <f>IFERROR(INDEX([1]HubMaster!$B$2:$B$7,MATCH(C1032,[1]HubMaster!$A$2:$A$7,0)),"Unknown")</f>
        <v>West</v>
      </c>
      <c r="E1032" s="2" t="str">
        <f>PROPER(TRIM(SUBSTITUTE([1]RawShipmentData!D1040,"  "," ")))</f>
        <v>Xpressbees</v>
      </c>
      <c r="F1032" s="2" t="str">
        <f>PROPER(TRIM([1]RawShipmentData!E1040))</f>
        <v>Surface</v>
      </c>
      <c r="G1032" s="2" t="str">
        <f>PROPER(TRIM(SUBSTITUTE([1]RawShipmentData!F1040,"  "," ")))</f>
        <v>Grocery &amp; Fmcg</v>
      </c>
      <c r="H1032" s="2" t="str">
        <f>PROPER(TRIM([1]RawShipmentData!G1040))</f>
        <v>North</v>
      </c>
      <c r="I1032" s="2" t="str">
        <f t="shared" si="80"/>
        <v>Yes</v>
      </c>
      <c r="J1032" s="2">
        <f>IFERROR(VALUE(TRIM(SUBSTITUTE(UPPER([1]RawShipmentData!I1032),"KG",""))),"")</f>
        <v>6.8</v>
      </c>
      <c r="K1032" s="2">
        <f>VALUE(SUBSTITUTE(SUBSTITUTE(SUBSTITUTE(TRIM([1]RawShipmentData!J1040),"₹",""),"Rs",""),",",""))</f>
        <v>322</v>
      </c>
      <c r="L1032" s="2">
        <f>[1]RawShipmentData!K1040</f>
        <v>6</v>
      </c>
      <c r="M1032" s="3">
        <f>IF(TRIM([1]RawShipmentData!L1040)="","",IF(ISNUMBER(SEARCH("/",TRIM([1]RawShipmentData!L1040))),DATE(VALUE(RIGHT(TRIM([1]RawShipmentData!L1040),4)),VALUE(MID(TRIM([1]RawShipmentData!L1040),FIND("/",TRIM([1]RawShipmentData!L1040))+1,2)),VALUE(LEFT(TRIM([1]RawShipmentData!L1040),FIND("/",TRIM([1]RawShipmentData!L1040))-1))),DATEVALUE(TRIM([1]RawShipmentData!L1040))))</f>
        <v>45452</v>
      </c>
      <c r="N1032" s="2">
        <f t="shared" si="81"/>
        <v>6</v>
      </c>
      <c r="O1032" s="2">
        <f t="shared" si="82"/>
        <v>0</v>
      </c>
      <c r="P1032" s="2" t="str">
        <f t="shared" si="83"/>
        <v>On Time</v>
      </c>
      <c r="Q1032" s="2" t="str">
        <f>PROPER(SUBSTITUTE(TRIM([1]RawShipmentData!M1040)," ","-"))</f>
        <v>Delivered</v>
      </c>
      <c r="R1032" s="4">
        <f t="shared" si="84"/>
        <v>47.352941176470587</v>
      </c>
      <c r="S1032" s="2">
        <f>[1]RawShipmentData!N1040</f>
        <v>5</v>
      </c>
      <c r="T1032" s="2" t="str">
        <f>IF(OR(UPPER(TRIM([1]RawShipmentData!O1040))="YES",UPPER(TRIM([1]RawShipmentData!O1040))="Y"),"Yes","No")</f>
        <v>Yes</v>
      </c>
    </row>
    <row r="1033" spans="1:20" x14ac:dyDescent="0.25">
      <c r="A1033" s="2" t="str">
        <f>[1]RawShipmentData!A1041</f>
        <v>SHP-100941</v>
      </c>
      <c r="B1033" s="3">
        <f>IF(ISNUMBER(SEARCH("/",TRIM([1]RawShipmentData!B1041))),DATE(VALUE(RIGHT(TRIM([1]RawShipmentData!B1041),4)),VALUE(MID(TRIM([1]RawShipmentData!B1041),FIND("/",TRIM([1]RawShipmentData!B1041))+1,2)),VALUE(LEFT(TRIM([1]RawShipmentData!B1041),FIND("/",TRIM([1]RawShipmentData!B1041))-1))),DATEVALUE(TRIM([1]RawShipmentData!B1041)))</f>
        <v>45464</v>
      </c>
      <c r="C1033" s="2" t="str">
        <f>PROPER(TRIM([1]RawShipmentData!C1041))</f>
        <v>Chennai</v>
      </c>
      <c r="D1033" s="2" t="str">
        <f>IFERROR(INDEX([1]HubMaster!$B$2:$B$7,MATCH(C1033,[1]HubMaster!$A$2:$A$7,0)),"Unknown")</f>
        <v>South</v>
      </c>
      <c r="E1033" s="2" t="str">
        <f>PROPER(TRIM(SUBSTITUTE([1]RawShipmentData!D1041,"  "," ")))</f>
        <v>Dtdc</v>
      </c>
      <c r="F1033" s="2" t="str">
        <f>PROPER(TRIM([1]RawShipmentData!E1041))</f>
        <v>Air</v>
      </c>
      <c r="G1033" s="2" t="str">
        <f>PROPER(TRIM(SUBSTITUTE([1]RawShipmentData!F1041,"  "," ")))</f>
        <v>Apparel</v>
      </c>
      <c r="H1033" s="2" t="str">
        <f>PROPER(TRIM([1]RawShipmentData!G1041))</f>
        <v>West</v>
      </c>
      <c r="I1033" s="2" t="str">
        <f t="shared" si="80"/>
        <v>Yes</v>
      </c>
      <c r="J1033" s="2">
        <f>IFERROR(VALUE(TRIM(SUBSTITUTE(UPPER([1]RawShipmentData!I1033),"KG",""))),"")</f>
        <v>1.9</v>
      </c>
      <c r="K1033" s="2">
        <f>VALUE(SUBSTITUTE(SUBSTITUTE(SUBSTITUTE(TRIM([1]RawShipmentData!J1041),"₹",""),"Rs",""),",",""))</f>
        <v>230</v>
      </c>
      <c r="L1033" s="2">
        <f>[1]RawShipmentData!K1041</f>
        <v>4</v>
      </c>
      <c r="M1033" s="3">
        <f>IF(TRIM([1]RawShipmentData!L1041)="","",IF(ISNUMBER(SEARCH("/",TRIM([1]RawShipmentData!L1041))),DATE(VALUE(RIGHT(TRIM([1]RawShipmentData!L1041),4)),VALUE(MID(TRIM([1]RawShipmentData!L1041),FIND("/",TRIM([1]RawShipmentData!L1041))+1,2)),VALUE(LEFT(TRIM([1]RawShipmentData!L1041),FIND("/",TRIM([1]RawShipmentData!L1041))-1))),DATEVALUE(TRIM([1]RawShipmentData!L1041))))</f>
        <v>45468</v>
      </c>
      <c r="N1033" s="2">
        <f t="shared" si="81"/>
        <v>4</v>
      </c>
      <c r="O1033" s="2">
        <f t="shared" si="82"/>
        <v>0</v>
      </c>
      <c r="P1033" s="2" t="str">
        <f t="shared" si="83"/>
        <v>On Time</v>
      </c>
      <c r="Q1033" s="2" t="str">
        <f>PROPER(SUBSTITUTE(TRIM([1]RawShipmentData!M1041)," ","-"))</f>
        <v>Delivered</v>
      </c>
      <c r="R1033" s="4">
        <f t="shared" si="84"/>
        <v>121.05263157894737</v>
      </c>
      <c r="S1033" s="2">
        <f>[1]RawShipmentData!N1041</f>
        <v>5</v>
      </c>
      <c r="T1033" s="2" t="str">
        <f>IF(OR(UPPER(TRIM([1]RawShipmentData!O1041))="YES",UPPER(TRIM([1]RawShipmentData!O1041))="Y"),"Yes","No")</f>
        <v>No</v>
      </c>
    </row>
    <row r="1034" spans="1:20" x14ac:dyDescent="0.25">
      <c r="A1034" s="2" t="str">
        <f>[1]RawShipmentData!A1042</f>
        <v>SHP-101570</v>
      </c>
      <c r="B1034" s="3">
        <f>IF(ISNUMBER(SEARCH("/",TRIM([1]RawShipmentData!B1042))),DATE(VALUE(RIGHT(TRIM([1]RawShipmentData!B1042),4)),VALUE(MID(TRIM([1]RawShipmentData!B1042),FIND("/",TRIM([1]RawShipmentData!B1042))+1,2)),VALUE(LEFT(TRIM([1]RawShipmentData!B1042),FIND("/",TRIM([1]RawShipmentData!B1042))-1))),DATEVALUE(TRIM([1]RawShipmentData!B1042)))</f>
        <v>45471</v>
      </c>
      <c r="C1034" s="2" t="str">
        <f>PROPER(TRIM([1]RawShipmentData!C1042))</f>
        <v>Delhi</v>
      </c>
      <c r="D1034" s="2" t="str">
        <f>IFERROR(INDEX([1]HubMaster!$B$2:$B$7,MATCH(C1034,[1]HubMaster!$A$2:$A$7,0)),"Unknown")</f>
        <v>North</v>
      </c>
      <c r="E1034" s="2" t="str">
        <f>PROPER(TRIM(SUBSTITUTE([1]RawShipmentData!D1042,"  "," ")))</f>
        <v>Xpressbees</v>
      </c>
      <c r="F1034" s="2" t="str">
        <f>PROPER(TRIM([1]RawShipmentData!E1042))</f>
        <v>Surface</v>
      </c>
      <c r="G1034" s="2" t="str">
        <f>PROPER(TRIM(SUBSTITUTE([1]RawShipmentData!F1042,"  "," ")))</f>
        <v>Automotive Parts</v>
      </c>
      <c r="H1034" s="2" t="str">
        <f>PROPER(TRIM([1]RawShipmentData!G1042))</f>
        <v>West</v>
      </c>
      <c r="I1034" s="2" t="str">
        <f t="shared" si="80"/>
        <v>Yes</v>
      </c>
      <c r="J1034" s="2">
        <f>IFERROR(VALUE(TRIM(SUBSTITUTE(UPPER([1]RawShipmentData!I1034),"KG",""))),"")</f>
        <v>26.8</v>
      </c>
      <c r="K1034" s="2">
        <f>VALUE(SUBSTITUTE(SUBSTITUTE(SUBSTITUTE(TRIM([1]RawShipmentData!J1042),"₹",""),"Rs",""),",",""))</f>
        <v>792</v>
      </c>
      <c r="L1034" s="2">
        <f>[1]RawShipmentData!K1042</f>
        <v>6</v>
      </c>
      <c r="M1034" s="3" t="str">
        <f>IF(TRIM([1]RawShipmentData!L1042)="","",IF(ISNUMBER(SEARCH("/",TRIM([1]RawShipmentData!L1042))),DATE(VALUE(RIGHT(TRIM([1]RawShipmentData!L1042),4)),VALUE(MID(TRIM([1]RawShipmentData!L1042),FIND("/",TRIM([1]RawShipmentData!L1042))+1,2)),VALUE(LEFT(TRIM([1]RawShipmentData!L1042),FIND("/",TRIM([1]RawShipmentData!L1042))-1))),DATEVALUE(TRIM([1]RawShipmentData!L1042))))</f>
        <v/>
      </c>
      <c r="N1034" s="2" t="str">
        <f t="shared" si="81"/>
        <v/>
      </c>
      <c r="O1034" s="2" t="str">
        <f t="shared" si="82"/>
        <v/>
      </c>
      <c r="P1034" s="2" t="str">
        <f t="shared" si="83"/>
        <v>N/A</v>
      </c>
      <c r="Q1034" s="2" t="str">
        <f>PROPER(SUBSTITUTE(TRIM([1]RawShipmentData!M1042)," ","-"))</f>
        <v>In-Transit</v>
      </c>
      <c r="R1034" s="4">
        <f t="shared" si="84"/>
        <v>29.552238805970148</v>
      </c>
      <c r="S1034" s="2">
        <f>[1]RawShipmentData!N1042</f>
        <v>0</v>
      </c>
      <c r="T1034" s="2" t="str">
        <f>IF(OR(UPPER(TRIM([1]RawShipmentData!O1042))="YES",UPPER(TRIM([1]RawShipmentData!O1042))="Y"),"Yes","No")</f>
        <v>Yes</v>
      </c>
    </row>
    <row r="1035" spans="1:20" x14ac:dyDescent="0.25">
      <c r="A1035" s="2" t="str">
        <f>[1]RawShipmentData!A1043</f>
        <v>SHP-101327</v>
      </c>
      <c r="B1035" s="3">
        <f>IF(ISNUMBER(SEARCH("/",TRIM([1]RawShipmentData!B1043))),DATE(VALUE(RIGHT(TRIM([1]RawShipmentData!B1043),4)),VALUE(MID(TRIM([1]RawShipmentData!B1043),FIND("/",TRIM([1]RawShipmentData!B1043))+1,2)),VALUE(LEFT(TRIM([1]RawShipmentData!B1043),FIND("/",TRIM([1]RawShipmentData!B1043))-1))),DATEVALUE(TRIM([1]RawShipmentData!B1043)))</f>
        <v>45323</v>
      </c>
      <c r="C1035" s="2" t="str">
        <f>PROPER(TRIM([1]RawShipmentData!C1043))</f>
        <v>Kolkata</v>
      </c>
      <c r="D1035" s="2" t="str">
        <f>IFERROR(INDEX([1]HubMaster!$B$2:$B$7,MATCH(C1035,[1]HubMaster!$A$2:$A$7,0)),"Unknown")</f>
        <v>East</v>
      </c>
      <c r="E1035" s="2" t="str">
        <f>PROPER(TRIM(SUBSTITUTE([1]RawShipmentData!D1043,"  "," ")))</f>
        <v>Xpress Bees</v>
      </c>
      <c r="F1035" s="2" t="str">
        <f>PROPER(TRIM([1]RawShipmentData!E1043))</f>
        <v>Surface</v>
      </c>
      <c r="G1035" s="2" t="str">
        <f>PROPER(TRIM(SUBSTITUTE([1]RawShipmentData!F1043,"  "," ")))</f>
        <v>Apparel</v>
      </c>
      <c r="H1035" s="2" t="str">
        <f>PROPER(TRIM([1]RawShipmentData!G1043))</f>
        <v>West</v>
      </c>
      <c r="I1035" s="2" t="str">
        <f t="shared" si="80"/>
        <v>Yes</v>
      </c>
      <c r="J1035" s="2">
        <f>IFERROR(VALUE(TRIM(SUBSTITUTE(UPPER([1]RawShipmentData!I1035),"KG",""))),"")</f>
        <v>15.1</v>
      </c>
      <c r="K1035" s="2">
        <f>VALUE(SUBSTITUTE(SUBSTITUTE(SUBSTITUTE(TRIM([1]RawShipmentData!J1043),"₹",""),"Rs",""),",",""))</f>
        <v>358</v>
      </c>
      <c r="L1035" s="2">
        <f>[1]RawShipmentData!K1043</f>
        <v>6</v>
      </c>
      <c r="M1035" s="3">
        <f>IF(TRIM([1]RawShipmentData!L1043)="","",IF(ISNUMBER(SEARCH("/",TRIM([1]RawShipmentData!L1043))),DATE(VALUE(RIGHT(TRIM([1]RawShipmentData!L1043),4)),VALUE(MID(TRIM([1]RawShipmentData!L1043),FIND("/",TRIM([1]RawShipmentData!L1043))+1,2)),VALUE(LEFT(TRIM([1]RawShipmentData!L1043),FIND("/",TRIM([1]RawShipmentData!L1043))-1))),DATEVALUE(TRIM([1]RawShipmentData!L1043))))</f>
        <v>45328</v>
      </c>
      <c r="N1035" s="2">
        <f t="shared" si="81"/>
        <v>5</v>
      </c>
      <c r="O1035" s="2">
        <f t="shared" si="82"/>
        <v>-1</v>
      </c>
      <c r="P1035" s="2" t="str">
        <f t="shared" si="83"/>
        <v>On Time</v>
      </c>
      <c r="Q1035" s="2" t="str">
        <f>PROPER(SUBSTITUTE(TRIM([1]RawShipmentData!M1043)," ","-"))</f>
        <v>Delivered</v>
      </c>
      <c r="R1035" s="4">
        <f t="shared" si="84"/>
        <v>23.70860927152318</v>
      </c>
      <c r="S1035" s="2">
        <f>[1]RawShipmentData!N1043</f>
        <v>5</v>
      </c>
      <c r="T1035" s="2" t="str">
        <f>IF(OR(UPPER(TRIM([1]RawShipmentData!O1043))="YES",UPPER(TRIM([1]RawShipmentData!O1043))="Y"),"Yes","No")</f>
        <v>No</v>
      </c>
    </row>
    <row r="1036" spans="1:20" x14ac:dyDescent="0.25">
      <c r="A1036" s="2" t="str">
        <f>[1]RawShipmentData!A1044</f>
        <v>SHP-100257</v>
      </c>
      <c r="B1036" s="3">
        <f>IF(ISNUMBER(SEARCH("/",TRIM([1]RawShipmentData!B1044))),DATE(VALUE(RIGHT(TRIM([1]RawShipmentData!B1044),4)),VALUE(MID(TRIM([1]RawShipmentData!B1044),FIND("/",TRIM([1]RawShipmentData!B1044))+1,2)),VALUE(LEFT(TRIM([1]RawShipmentData!B1044),FIND("/",TRIM([1]RawShipmentData!B1044))-1))),DATEVALUE(TRIM([1]RawShipmentData!B1044)))</f>
        <v>45341</v>
      </c>
      <c r="C1036" s="2" t="str">
        <f>PROPER(TRIM([1]RawShipmentData!C1044))</f>
        <v>Bengaluru</v>
      </c>
      <c r="D1036" s="2" t="str">
        <f>IFERROR(INDEX([1]HubMaster!$B$2:$B$7,MATCH(C1036,[1]HubMaster!$A$2:$A$7,0)),"Unknown")</f>
        <v>South</v>
      </c>
      <c r="E1036" s="2" t="str">
        <f>PROPER(TRIM(SUBSTITUTE([1]RawShipmentData!D1044,"  "," ")))</f>
        <v>Delhivery</v>
      </c>
      <c r="F1036" s="2" t="str">
        <f>PROPER(TRIM([1]RawShipmentData!E1044))</f>
        <v>Road</v>
      </c>
      <c r="G1036" s="2" t="str">
        <f>PROPER(TRIM(SUBSTITUTE([1]RawShipmentData!F1044,"  "," ")))</f>
        <v>Apparel</v>
      </c>
      <c r="H1036" s="2" t="str">
        <f>PROPER(TRIM([1]RawShipmentData!G1044))</f>
        <v>East</v>
      </c>
      <c r="I1036" s="2" t="str">
        <f t="shared" si="80"/>
        <v>Yes</v>
      </c>
      <c r="J1036" s="2">
        <f>IFERROR(VALUE(TRIM(SUBSTITUTE(UPPER([1]RawShipmentData!I1036),"KG",""))),"")</f>
        <v>1.6</v>
      </c>
      <c r="K1036" s="2">
        <f>VALUE(SUBSTITUTE(SUBSTITUTE(SUBSTITUTE(TRIM([1]RawShipmentData!J1044),"₹",""),"Rs",""),",",""))</f>
        <v>223</v>
      </c>
      <c r="L1036" s="2">
        <f>[1]RawShipmentData!K1044</f>
        <v>8</v>
      </c>
      <c r="M1036" s="3">
        <f>IF(TRIM([1]RawShipmentData!L1044)="","",IF(ISNUMBER(SEARCH("/",TRIM([1]RawShipmentData!L1044))),DATE(VALUE(RIGHT(TRIM([1]RawShipmentData!L1044),4)),VALUE(MID(TRIM([1]RawShipmentData!L1044),FIND("/",TRIM([1]RawShipmentData!L1044))+1,2)),VALUE(LEFT(TRIM([1]RawShipmentData!L1044),FIND("/",TRIM([1]RawShipmentData!L1044))-1))),DATEVALUE(TRIM([1]RawShipmentData!L1044))))</f>
        <v>45348</v>
      </c>
      <c r="N1036" s="2">
        <f t="shared" si="81"/>
        <v>7</v>
      </c>
      <c r="O1036" s="2">
        <f t="shared" si="82"/>
        <v>-1</v>
      </c>
      <c r="P1036" s="2" t="str">
        <f t="shared" si="83"/>
        <v>On Time</v>
      </c>
      <c r="Q1036" s="2" t="str">
        <f>PROPER(SUBSTITUTE(TRIM([1]RawShipmentData!M1044)," ","-"))</f>
        <v>Delivered</v>
      </c>
      <c r="R1036" s="4">
        <f t="shared" si="84"/>
        <v>139.375</v>
      </c>
      <c r="S1036" s="2">
        <f>[1]RawShipmentData!N1044</f>
        <v>4</v>
      </c>
      <c r="T1036" s="2" t="str">
        <f>IF(OR(UPPER(TRIM([1]RawShipmentData!O1044))="YES",UPPER(TRIM([1]RawShipmentData!O1044))="Y"),"Yes","No")</f>
        <v>No</v>
      </c>
    </row>
    <row r="1037" spans="1:20" x14ac:dyDescent="0.25">
      <c r="A1037" s="2" t="str">
        <f>[1]RawShipmentData!A1045</f>
        <v>SHP-100505</v>
      </c>
      <c r="B1037" s="3">
        <f>IF(ISNUMBER(SEARCH("/",TRIM([1]RawShipmentData!B1045))),DATE(VALUE(RIGHT(TRIM([1]RawShipmentData!B1045),4)),VALUE(MID(TRIM([1]RawShipmentData!B1045),FIND("/",TRIM([1]RawShipmentData!B1045))+1,2)),VALUE(LEFT(TRIM([1]RawShipmentData!B1045),FIND("/",TRIM([1]RawShipmentData!B1045))-1))),DATEVALUE(TRIM([1]RawShipmentData!B1045)))</f>
        <v>45323</v>
      </c>
      <c r="C1037" s="2" t="str">
        <f>PROPER(TRIM([1]RawShipmentData!C1045))</f>
        <v>Mumbai</v>
      </c>
      <c r="D1037" s="2" t="str">
        <f>IFERROR(INDEX([1]HubMaster!$B$2:$B$7,MATCH(C1037,[1]HubMaster!$A$2:$A$7,0)),"Unknown")</f>
        <v>West</v>
      </c>
      <c r="E1037" s="2" t="str">
        <f>PROPER(TRIM(SUBSTITUTE([1]RawShipmentData!D1045,"  "," ")))</f>
        <v>Ecom Express</v>
      </c>
      <c r="F1037" s="2" t="str">
        <f>PROPER(TRIM([1]RawShipmentData!E1045))</f>
        <v>Air</v>
      </c>
      <c r="G1037" s="2" t="str">
        <f>PROPER(TRIM(SUBSTITUTE([1]RawShipmentData!F1045,"  "," ")))</f>
        <v>Grocery &amp; Fmcg</v>
      </c>
      <c r="H1037" s="2" t="str">
        <f>PROPER(TRIM([1]RawShipmentData!G1045))</f>
        <v>North</v>
      </c>
      <c r="I1037" s="2" t="str">
        <f t="shared" si="80"/>
        <v>Yes</v>
      </c>
      <c r="J1037" s="2">
        <f>IFERROR(VALUE(TRIM(SUBSTITUTE(UPPER([1]RawShipmentData!I1037),"KG",""))),"")</f>
        <v>24</v>
      </c>
      <c r="K1037" s="2">
        <f>VALUE(SUBSTITUTE(SUBSTITUTE(SUBSTITUTE(TRIM([1]RawShipmentData!J1045),"₹",""),"Rs",""),",",""))</f>
        <v>1051</v>
      </c>
      <c r="L1037" s="2">
        <f>[1]RawShipmentData!K1045</f>
        <v>4</v>
      </c>
      <c r="M1037" s="3">
        <f>IF(TRIM([1]RawShipmentData!L1045)="","",IF(ISNUMBER(SEARCH("/",TRIM([1]RawShipmentData!L1045))),DATE(VALUE(RIGHT(TRIM([1]RawShipmentData!L1045),4)),VALUE(MID(TRIM([1]RawShipmentData!L1045),FIND("/",TRIM([1]RawShipmentData!L1045))+1,2)),VALUE(LEFT(TRIM([1]RawShipmentData!L1045),FIND("/",TRIM([1]RawShipmentData!L1045))-1))),DATEVALUE(TRIM([1]RawShipmentData!L1045))))</f>
        <v>45328</v>
      </c>
      <c r="N1037" s="2">
        <f t="shared" si="81"/>
        <v>5</v>
      </c>
      <c r="O1037" s="2">
        <f t="shared" si="82"/>
        <v>1</v>
      </c>
      <c r="P1037" s="2" t="str">
        <f t="shared" si="83"/>
        <v>Late</v>
      </c>
      <c r="Q1037" s="2" t="str">
        <f>PROPER(SUBSTITUTE(TRIM([1]RawShipmentData!M1045)," ","-"))</f>
        <v>Delayed</v>
      </c>
      <c r="R1037" s="4">
        <f t="shared" si="84"/>
        <v>43.791666666666664</v>
      </c>
      <c r="S1037" s="2">
        <f>[1]RawShipmentData!N1045</f>
        <v>1</v>
      </c>
      <c r="T1037" s="2" t="str">
        <f>IF(OR(UPPER(TRIM([1]RawShipmentData!O1045))="YES",UPPER(TRIM([1]RawShipmentData!O1045))="Y"),"Yes","No")</f>
        <v>No</v>
      </c>
    </row>
    <row r="1038" spans="1:20" x14ac:dyDescent="0.25">
      <c r="A1038" s="2" t="str">
        <f>[1]RawShipmentData!A1046</f>
        <v>SHP-100931</v>
      </c>
      <c r="B1038" s="3">
        <f>IF(ISNUMBER(SEARCH("/",TRIM([1]RawShipmentData!B1046))),DATE(VALUE(RIGHT(TRIM([1]RawShipmentData!B1046),4)),VALUE(MID(TRIM([1]RawShipmentData!B1046),FIND("/",TRIM([1]RawShipmentData!B1046))+1,2)),VALUE(LEFT(TRIM([1]RawShipmentData!B1046),FIND("/",TRIM([1]RawShipmentData!B1046))-1))),DATEVALUE(TRIM([1]RawShipmentData!B1046)))</f>
        <v>45389</v>
      </c>
      <c r="C1038" s="2" t="str">
        <f>PROPER(TRIM([1]RawShipmentData!C1046))</f>
        <v>Delhi</v>
      </c>
      <c r="D1038" s="2" t="str">
        <f>IFERROR(INDEX([1]HubMaster!$B$2:$B$7,MATCH(C1038,[1]HubMaster!$A$2:$A$7,0)),"Unknown")</f>
        <v>North</v>
      </c>
      <c r="E1038" s="2" t="str">
        <f>PROPER(TRIM(SUBSTITUTE([1]RawShipmentData!D1046,"  "," ")))</f>
        <v>Dtdc</v>
      </c>
      <c r="F1038" s="2" t="str">
        <f>PROPER(TRIM([1]RawShipmentData!E1046))</f>
        <v>Surface</v>
      </c>
      <c r="G1038" s="2" t="str">
        <f>PROPER(TRIM(SUBSTITUTE([1]RawShipmentData!F1046,"  "," ")))</f>
        <v>Apparel</v>
      </c>
      <c r="H1038" s="2" t="str">
        <f>PROPER(TRIM([1]RawShipmentData!G1046))</f>
        <v>East</v>
      </c>
      <c r="I1038" s="2" t="str">
        <f t="shared" si="80"/>
        <v>Yes</v>
      </c>
      <c r="J1038" s="2">
        <f>IFERROR(VALUE(TRIM(SUBSTITUTE(UPPER([1]RawShipmentData!I1038),"KG",""))),"")</f>
        <v>17.899999999999999</v>
      </c>
      <c r="K1038" s="2">
        <f>VALUE(SUBSTITUTE(SUBSTITUTE(SUBSTITUTE(TRIM([1]RawShipmentData!J1046),"₹",""),"Rs",""),",",""))</f>
        <v>291</v>
      </c>
      <c r="L1038" s="2">
        <f>[1]RawShipmentData!K1046</f>
        <v>6</v>
      </c>
      <c r="M1038" s="3">
        <f>IF(TRIM([1]RawShipmentData!L1046)="","",IF(ISNUMBER(SEARCH("/",TRIM([1]RawShipmentData!L1046))),DATE(VALUE(RIGHT(TRIM([1]RawShipmentData!L1046),4)),VALUE(MID(TRIM([1]RawShipmentData!L1046),FIND("/",TRIM([1]RawShipmentData!L1046))+1,2)),VALUE(LEFT(TRIM([1]RawShipmentData!L1046),FIND("/",TRIM([1]RawShipmentData!L1046))-1))),DATEVALUE(TRIM([1]RawShipmentData!L1046))))</f>
        <v>45395</v>
      </c>
      <c r="N1038" s="2">
        <f t="shared" si="81"/>
        <v>6</v>
      </c>
      <c r="O1038" s="2">
        <f t="shared" si="82"/>
        <v>0</v>
      </c>
      <c r="P1038" s="2" t="str">
        <f t="shared" si="83"/>
        <v>On Time</v>
      </c>
      <c r="Q1038" s="2" t="str">
        <f>PROPER(SUBSTITUTE(TRIM([1]RawShipmentData!M1046)," ","-"))</f>
        <v>Delivered</v>
      </c>
      <c r="R1038" s="4">
        <f t="shared" si="84"/>
        <v>16.256983240223466</v>
      </c>
      <c r="S1038" s="2">
        <f>[1]RawShipmentData!N1046</f>
        <v>4</v>
      </c>
      <c r="T1038" s="2" t="str">
        <f>IF(OR(UPPER(TRIM([1]RawShipmentData!O1046))="YES",UPPER(TRIM([1]RawShipmentData!O1046))="Y"),"Yes","No")</f>
        <v>No</v>
      </c>
    </row>
    <row r="1039" spans="1:20" x14ac:dyDescent="0.25">
      <c r="A1039" s="2" t="str">
        <f>[1]RawShipmentData!A1047</f>
        <v>SHP-101241</v>
      </c>
      <c r="B1039" s="3">
        <f>IF(ISNUMBER(SEARCH("/",TRIM([1]RawShipmentData!B1047))),DATE(VALUE(RIGHT(TRIM([1]RawShipmentData!B1047),4)),VALUE(MID(TRIM([1]RawShipmentData!B1047),FIND("/",TRIM([1]RawShipmentData!B1047))+1,2)),VALUE(LEFT(TRIM([1]RawShipmentData!B1047),FIND("/",TRIM([1]RawShipmentData!B1047))-1))),DATEVALUE(TRIM([1]RawShipmentData!B1047)))</f>
        <v>45440</v>
      </c>
      <c r="C1039" s="2" t="str">
        <f>PROPER(TRIM([1]RawShipmentData!C1047))</f>
        <v>Mumbai</v>
      </c>
      <c r="D1039" s="2" t="str">
        <f>IFERROR(INDEX([1]HubMaster!$B$2:$B$7,MATCH(C1039,[1]HubMaster!$A$2:$A$7,0)),"Unknown")</f>
        <v>West</v>
      </c>
      <c r="E1039" s="2" t="str">
        <f>PROPER(TRIM(SUBSTITUTE([1]RawShipmentData!D1047,"  "," ")))</f>
        <v>Xpress Bees</v>
      </c>
      <c r="F1039" s="2" t="str">
        <f>PROPER(TRIM([1]RawShipmentData!E1047))</f>
        <v>Road</v>
      </c>
      <c r="G1039" s="2" t="str">
        <f>PROPER(TRIM(SUBSTITUTE([1]RawShipmentData!F1047,"  "," ")))</f>
        <v>Automotive Parts</v>
      </c>
      <c r="H1039" s="2" t="str">
        <f>PROPER(TRIM([1]RawShipmentData!G1047))</f>
        <v>East</v>
      </c>
      <c r="I1039" s="2" t="str">
        <f t="shared" si="80"/>
        <v>Yes</v>
      </c>
      <c r="J1039" s="2">
        <f>IFERROR(VALUE(TRIM(SUBSTITUTE(UPPER([1]RawShipmentData!I1039),"KG",""))),"")</f>
        <v>6.4</v>
      </c>
      <c r="K1039" s="2">
        <f>VALUE(SUBSTITUTE(SUBSTITUTE(SUBSTITUTE(TRIM([1]RawShipmentData!J1047),"₹",""),"Rs",""),",",""))</f>
        <v>523</v>
      </c>
      <c r="L1039" s="2">
        <f>[1]RawShipmentData!K1047</f>
        <v>8</v>
      </c>
      <c r="M1039" s="3">
        <f>IF(TRIM([1]RawShipmentData!L1047)="","",IF(ISNUMBER(SEARCH("/",TRIM([1]RawShipmentData!L1047))),DATE(VALUE(RIGHT(TRIM([1]RawShipmentData!L1047),4)),VALUE(MID(TRIM([1]RawShipmentData!L1047),FIND("/",TRIM([1]RawShipmentData!L1047))+1,2)),VALUE(LEFT(TRIM([1]RawShipmentData!L1047),FIND("/",TRIM([1]RawShipmentData!L1047))-1))),DATEVALUE(TRIM([1]RawShipmentData!L1047))))</f>
        <v>45457</v>
      </c>
      <c r="N1039" s="2">
        <f t="shared" si="81"/>
        <v>17</v>
      </c>
      <c r="O1039" s="2">
        <f t="shared" si="82"/>
        <v>9</v>
      </c>
      <c r="P1039" s="2" t="str">
        <f t="shared" si="83"/>
        <v>Late</v>
      </c>
      <c r="Q1039" s="2" t="str">
        <f>PROPER(SUBSTITUTE(TRIM([1]RawShipmentData!M1047)," ","-"))</f>
        <v>Delayed</v>
      </c>
      <c r="R1039" s="4">
        <f t="shared" si="84"/>
        <v>81.71875</v>
      </c>
      <c r="S1039" s="2">
        <f>[1]RawShipmentData!N1047</f>
        <v>3</v>
      </c>
      <c r="T1039" s="2" t="str">
        <f>IF(OR(UPPER(TRIM([1]RawShipmentData!O1047))="YES",UPPER(TRIM([1]RawShipmentData!O1047))="Y"),"Yes","No")</f>
        <v>No</v>
      </c>
    </row>
    <row r="1040" spans="1:20" x14ac:dyDescent="0.25">
      <c r="A1040" s="2" t="str">
        <f>[1]RawShipmentData!A1048</f>
        <v>SHP-100169</v>
      </c>
      <c r="B1040" s="3">
        <f>IF(ISNUMBER(SEARCH("/",TRIM([1]RawShipmentData!B1048))),DATE(VALUE(RIGHT(TRIM([1]RawShipmentData!B1048),4)),VALUE(MID(TRIM([1]RawShipmentData!B1048),FIND("/",TRIM([1]RawShipmentData!B1048))+1,2)),VALUE(LEFT(TRIM([1]RawShipmentData!B1048),FIND("/",TRIM([1]RawShipmentData!B1048))-1))),DATEVALUE(TRIM([1]RawShipmentData!B1048)))</f>
        <v>45445</v>
      </c>
      <c r="C1040" s="2" t="str">
        <f>PROPER(TRIM([1]RawShipmentData!C1048))</f>
        <v>Delhi</v>
      </c>
      <c r="D1040" s="2" t="str">
        <f>IFERROR(INDEX([1]HubMaster!$B$2:$B$7,MATCH(C1040,[1]HubMaster!$A$2:$A$7,0)),"Unknown")</f>
        <v>North</v>
      </c>
      <c r="E1040" s="2" t="str">
        <f>PROPER(TRIM(SUBSTITUTE([1]RawShipmentData!D1048,"  "," ")))</f>
        <v>Xpress Bees</v>
      </c>
      <c r="F1040" s="2" t="str">
        <f>PROPER(TRIM([1]RawShipmentData!E1048))</f>
        <v>Road</v>
      </c>
      <c r="G1040" s="2" t="str">
        <f>PROPER(TRIM(SUBSTITUTE([1]RawShipmentData!F1048,"  "," ")))</f>
        <v>Apparel</v>
      </c>
      <c r="H1040" s="2" t="str">
        <f>PROPER(TRIM([1]RawShipmentData!G1048))</f>
        <v>South</v>
      </c>
      <c r="I1040" s="2" t="str">
        <f t="shared" si="80"/>
        <v>Yes</v>
      </c>
      <c r="J1040" s="2">
        <f>IFERROR(VALUE(TRIM(SUBSTITUTE(UPPER([1]RawShipmentData!I1040),"KG",""))),"")</f>
        <v>7.1</v>
      </c>
      <c r="K1040" s="2">
        <f>VALUE(SUBSTITUTE(SUBSTITUTE(SUBSTITUTE(TRIM([1]RawShipmentData!J1048),"₹",""),"Rs",""),",",""))</f>
        <v>232</v>
      </c>
      <c r="L1040" s="2">
        <f>[1]RawShipmentData!K1048</f>
        <v>8</v>
      </c>
      <c r="M1040" s="3">
        <f>IF(TRIM([1]RawShipmentData!L1048)="","",IF(ISNUMBER(SEARCH("/",TRIM([1]RawShipmentData!L1048))),DATE(VALUE(RIGHT(TRIM([1]RawShipmentData!L1048),4)),VALUE(MID(TRIM([1]RawShipmentData!L1048),FIND("/",TRIM([1]RawShipmentData!L1048))+1,2)),VALUE(LEFT(TRIM([1]RawShipmentData!L1048),FIND("/",TRIM([1]RawShipmentData!L1048))-1))),DATEVALUE(TRIM([1]RawShipmentData!L1048))))</f>
        <v>45453</v>
      </c>
      <c r="N1040" s="2">
        <f t="shared" si="81"/>
        <v>8</v>
      </c>
      <c r="O1040" s="2">
        <f t="shared" si="82"/>
        <v>0</v>
      </c>
      <c r="P1040" s="2" t="str">
        <f t="shared" si="83"/>
        <v>On Time</v>
      </c>
      <c r="Q1040" s="2" t="str">
        <f>PROPER(SUBSTITUTE(TRIM([1]RawShipmentData!M1048)," ","-"))</f>
        <v>Delivered</v>
      </c>
      <c r="R1040" s="4">
        <f t="shared" si="84"/>
        <v>32.676056338028168</v>
      </c>
      <c r="S1040" s="2">
        <f>[1]RawShipmentData!N1048</f>
        <v>5</v>
      </c>
      <c r="T1040" s="2" t="str">
        <f>IF(OR(UPPER(TRIM([1]RawShipmentData!O1048))="YES",UPPER(TRIM([1]RawShipmentData!O1048))="Y"),"Yes","No")</f>
        <v>No</v>
      </c>
    </row>
    <row r="1041" spans="1:20" x14ac:dyDescent="0.25">
      <c r="A1041" s="2" t="str">
        <f>[1]RawShipmentData!A1049</f>
        <v>SHP-100131</v>
      </c>
      <c r="B1041" s="3">
        <f>IF(ISNUMBER(SEARCH("/",TRIM([1]RawShipmentData!B1049))),DATE(VALUE(RIGHT(TRIM([1]RawShipmentData!B1049),4)),VALUE(MID(TRIM([1]RawShipmentData!B1049),FIND("/",TRIM([1]RawShipmentData!B1049))+1,2)),VALUE(LEFT(TRIM([1]RawShipmentData!B1049),FIND("/",TRIM([1]RawShipmentData!B1049))-1))),DATEVALUE(TRIM([1]RawShipmentData!B1049)))</f>
        <v>45450</v>
      </c>
      <c r="C1041" s="2" t="str">
        <f>PROPER(TRIM([1]RawShipmentData!C1049))</f>
        <v>Hyderabad</v>
      </c>
      <c r="D1041" s="2" t="str">
        <f>IFERROR(INDEX([1]HubMaster!$B$2:$B$7,MATCH(C1041,[1]HubMaster!$A$2:$A$7,0)),"Unknown")</f>
        <v>West</v>
      </c>
      <c r="E1041" s="2" t="str">
        <f>PROPER(TRIM(SUBSTITUTE([1]RawShipmentData!D1049,"  "," ")))</f>
        <v>Delhivery</v>
      </c>
      <c r="F1041" s="2" t="str">
        <f>PROPER(TRIM([1]RawShipmentData!E1049))</f>
        <v>Road</v>
      </c>
      <c r="G1041" s="2" t="str">
        <f>PROPER(TRIM(SUBSTITUTE([1]RawShipmentData!F1049,"  "," ")))</f>
        <v>Pharma</v>
      </c>
      <c r="H1041" s="2" t="str">
        <f>PROPER(TRIM([1]RawShipmentData!G1049))</f>
        <v>East</v>
      </c>
      <c r="I1041" s="2" t="str">
        <f t="shared" si="80"/>
        <v>Yes</v>
      </c>
      <c r="J1041" s="2">
        <f>IFERROR(VALUE(TRIM(SUBSTITUTE(UPPER([1]RawShipmentData!I1041),"KG",""))),"")</f>
        <v>1.5</v>
      </c>
      <c r="K1041" s="2">
        <f>VALUE(SUBSTITUTE(SUBSTITUTE(SUBSTITUTE(TRIM([1]RawShipmentData!J1049),"₹",""),"Rs",""),",",""))</f>
        <v>250</v>
      </c>
      <c r="L1041" s="2">
        <f>[1]RawShipmentData!K1049</f>
        <v>8</v>
      </c>
      <c r="M1041" s="3">
        <f>IF(TRIM([1]RawShipmentData!L1049)="","",IF(ISNUMBER(SEARCH("/",TRIM([1]RawShipmentData!L1049))),DATE(VALUE(RIGHT(TRIM([1]RawShipmentData!L1049),4)),VALUE(MID(TRIM([1]RawShipmentData!L1049),FIND("/",TRIM([1]RawShipmentData!L1049))+1,2)),VALUE(LEFT(TRIM([1]RawShipmentData!L1049),FIND("/",TRIM([1]RawShipmentData!L1049))-1))),DATEVALUE(TRIM([1]RawShipmentData!L1049))))</f>
        <v>45459</v>
      </c>
      <c r="N1041" s="2">
        <f t="shared" si="81"/>
        <v>9</v>
      </c>
      <c r="O1041" s="2">
        <f t="shared" si="82"/>
        <v>1</v>
      </c>
      <c r="P1041" s="2" t="str">
        <f t="shared" si="83"/>
        <v>Late</v>
      </c>
      <c r="Q1041" s="2" t="str">
        <f>PROPER(SUBSTITUTE(TRIM([1]RawShipmentData!M1049)," ","-"))</f>
        <v>Delayed</v>
      </c>
      <c r="R1041" s="4">
        <f t="shared" si="84"/>
        <v>166.66666666666666</v>
      </c>
      <c r="S1041" s="2">
        <f>[1]RawShipmentData!N1049</f>
        <v>2</v>
      </c>
      <c r="T1041" s="2" t="str">
        <f>IF(OR(UPPER(TRIM([1]RawShipmentData!O1049))="YES",UPPER(TRIM([1]RawShipmentData!O1049))="Y"),"Yes","No")</f>
        <v>Yes</v>
      </c>
    </row>
    <row r="1042" spans="1:20" x14ac:dyDescent="0.25">
      <c r="A1042" s="2" t="str">
        <f>[1]RawShipmentData!A1050</f>
        <v>SHP-100406</v>
      </c>
      <c r="B1042" s="3">
        <f>IF(ISNUMBER(SEARCH("/",TRIM([1]RawShipmentData!B1050))),DATE(VALUE(RIGHT(TRIM([1]RawShipmentData!B1050),4)),VALUE(MID(TRIM([1]RawShipmentData!B1050),FIND("/",TRIM([1]RawShipmentData!B1050))+1,2)),VALUE(LEFT(TRIM([1]RawShipmentData!B1050),FIND("/",TRIM([1]RawShipmentData!B1050))-1))),DATEVALUE(TRIM([1]RawShipmentData!B1050)))</f>
        <v>45451</v>
      </c>
      <c r="C1042" s="2" t="str">
        <f>PROPER(TRIM([1]RawShipmentData!C1050))</f>
        <v>Hyderabad</v>
      </c>
      <c r="D1042" s="2" t="str">
        <f>IFERROR(INDEX([1]HubMaster!$B$2:$B$7,MATCH(C1042,[1]HubMaster!$A$2:$A$7,0)),"Unknown")</f>
        <v>West</v>
      </c>
      <c r="E1042" s="2" t="str">
        <f>PROPER(TRIM(SUBSTITUTE([1]RawShipmentData!D1050,"  "," ")))</f>
        <v>Dtdc</v>
      </c>
      <c r="F1042" s="2" t="str">
        <f>PROPER(TRIM([1]RawShipmentData!E1050))</f>
        <v>Surface</v>
      </c>
      <c r="G1042" s="2" t="str">
        <f>PROPER(TRIM(SUBSTITUTE([1]RawShipmentData!F1050,"  "," ")))</f>
        <v>Pharma</v>
      </c>
      <c r="H1042" s="2" t="str">
        <f>PROPER(TRIM([1]RawShipmentData!G1050))</f>
        <v>East</v>
      </c>
      <c r="I1042" s="2" t="str">
        <f t="shared" si="80"/>
        <v>Yes</v>
      </c>
      <c r="J1042" s="2">
        <f>IFERROR(VALUE(TRIM(SUBSTITUTE(UPPER([1]RawShipmentData!I1042),"KG",""))),"")</f>
        <v>29.7</v>
      </c>
      <c r="K1042" s="2">
        <f>VALUE(SUBSTITUTE(SUBSTITUTE(SUBSTITUTE(TRIM([1]RawShipmentData!J1050),"₹",""),"Rs",""),",",""))</f>
        <v>135</v>
      </c>
      <c r="L1042" s="2">
        <f>[1]RawShipmentData!K1050</f>
        <v>6</v>
      </c>
      <c r="M1042" s="3">
        <f>IF(TRIM([1]RawShipmentData!L1050)="","",IF(ISNUMBER(SEARCH("/",TRIM([1]RawShipmentData!L1050))),DATE(VALUE(RIGHT(TRIM([1]RawShipmentData!L1050),4)),VALUE(MID(TRIM([1]RawShipmentData!L1050),FIND("/",TRIM([1]RawShipmentData!L1050))+1,2)),VALUE(LEFT(TRIM([1]RawShipmentData!L1050),FIND("/",TRIM([1]RawShipmentData!L1050))-1))),DATEVALUE(TRIM([1]RawShipmentData!L1050))))</f>
        <v>45456</v>
      </c>
      <c r="N1042" s="2">
        <f t="shared" si="81"/>
        <v>5</v>
      </c>
      <c r="O1042" s="2">
        <f t="shared" si="82"/>
        <v>-1</v>
      </c>
      <c r="P1042" s="2" t="str">
        <f t="shared" si="83"/>
        <v>On Time</v>
      </c>
      <c r="Q1042" s="2" t="str">
        <f>PROPER(SUBSTITUTE(TRIM([1]RawShipmentData!M1050)," ","-"))</f>
        <v>Delivered</v>
      </c>
      <c r="R1042" s="4">
        <f t="shared" si="84"/>
        <v>4.5454545454545459</v>
      </c>
      <c r="S1042" s="2">
        <f>[1]RawShipmentData!N1050</f>
        <v>4</v>
      </c>
      <c r="T1042" s="2" t="str">
        <f>IF(OR(UPPER(TRIM([1]RawShipmentData!O1050))="YES",UPPER(TRIM([1]RawShipmentData!O1050))="Y"),"Yes","No")</f>
        <v>No</v>
      </c>
    </row>
    <row r="1043" spans="1:20" x14ac:dyDescent="0.25">
      <c r="A1043" s="2" t="str">
        <f>[1]RawShipmentData!A1051</f>
        <v>SHP-100844</v>
      </c>
      <c r="B1043" s="3">
        <f>IF(ISNUMBER(SEARCH("/",TRIM([1]RawShipmentData!B1051))),DATE(VALUE(RIGHT(TRIM([1]RawShipmentData!B1051),4)),VALUE(MID(TRIM([1]RawShipmentData!B1051),FIND("/",TRIM([1]RawShipmentData!B1051))+1,2)),VALUE(LEFT(TRIM([1]RawShipmentData!B1051),FIND("/",TRIM([1]RawShipmentData!B1051))-1))),DATEVALUE(TRIM([1]RawShipmentData!B1051)))</f>
        <v>45394</v>
      </c>
      <c r="C1043" s="2" t="str">
        <f>PROPER(TRIM([1]RawShipmentData!C1051))</f>
        <v>Delhi</v>
      </c>
      <c r="D1043" s="2" t="str">
        <f>IFERROR(INDEX([1]HubMaster!$B$2:$B$7,MATCH(C1043,[1]HubMaster!$A$2:$A$7,0)),"Unknown")</f>
        <v>North</v>
      </c>
      <c r="E1043" s="2" t="str">
        <f>PROPER(TRIM(SUBSTITUTE([1]RawShipmentData!D1051,"  "," ")))</f>
        <v>Ecom Express</v>
      </c>
      <c r="F1043" s="2" t="str">
        <f>PROPER(TRIM([1]RawShipmentData!E1051))</f>
        <v>Air</v>
      </c>
      <c r="G1043" s="2" t="str">
        <f>PROPER(TRIM(SUBSTITUTE([1]RawShipmentData!F1051,"  "," ")))</f>
        <v>Grocery &amp; Fmcg</v>
      </c>
      <c r="H1043" s="2" t="str">
        <f>PROPER(TRIM([1]RawShipmentData!G1051))</f>
        <v>North</v>
      </c>
      <c r="I1043" s="2" t="str">
        <f t="shared" si="80"/>
        <v>No</v>
      </c>
      <c r="J1043" s="2">
        <f>IFERROR(VALUE(TRIM(SUBSTITUTE(UPPER([1]RawShipmentData!I1043),"KG",""))),"")</f>
        <v>7.8</v>
      </c>
      <c r="K1043" s="2">
        <f>VALUE(SUBSTITUTE(SUBSTITUTE(SUBSTITUTE(TRIM([1]RawShipmentData!J1051),"₹",""),"Rs",""),",",""))</f>
        <v>432</v>
      </c>
      <c r="L1043" s="2">
        <f>[1]RawShipmentData!K1051</f>
        <v>2</v>
      </c>
      <c r="M1043" s="3">
        <f>IF(TRIM([1]RawShipmentData!L1051)="","",IF(ISNUMBER(SEARCH("/",TRIM([1]RawShipmentData!L1051))),DATE(VALUE(RIGHT(TRIM([1]RawShipmentData!L1051),4)),VALUE(MID(TRIM([1]RawShipmentData!L1051),FIND("/",TRIM([1]RawShipmentData!L1051))+1,2)),VALUE(LEFT(TRIM([1]RawShipmentData!L1051),FIND("/",TRIM([1]RawShipmentData!L1051))-1))),DATEVALUE(TRIM([1]RawShipmentData!L1051))))</f>
        <v>45397</v>
      </c>
      <c r="N1043" s="2">
        <f t="shared" si="81"/>
        <v>3</v>
      </c>
      <c r="O1043" s="2">
        <f t="shared" si="82"/>
        <v>1</v>
      </c>
      <c r="P1043" s="2" t="str">
        <f t="shared" si="83"/>
        <v>Late</v>
      </c>
      <c r="Q1043" s="2" t="str">
        <f>PROPER(SUBSTITUTE(TRIM([1]RawShipmentData!M1051)," ","-"))</f>
        <v>Delayed</v>
      </c>
      <c r="R1043" s="4">
        <f t="shared" si="84"/>
        <v>55.384615384615387</v>
      </c>
      <c r="S1043" s="2">
        <f>[1]RawShipmentData!N1051</f>
        <v>4</v>
      </c>
      <c r="T1043" s="2" t="str">
        <f>IF(OR(UPPER(TRIM([1]RawShipmentData!O1051))="YES",UPPER(TRIM([1]RawShipmentData!O1051))="Y"),"Yes","No")</f>
        <v>No</v>
      </c>
    </row>
    <row r="1044" spans="1:20" x14ac:dyDescent="0.25">
      <c r="A1044" s="2" t="str">
        <f>[1]RawShipmentData!A1052</f>
        <v>SHP-100981</v>
      </c>
      <c r="B1044" s="3">
        <f>IF(ISNUMBER(SEARCH("/",TRIM([1]RawShipmentData!B1052))),DATE(VALUE(RIGHT(TRIM([1]RawShipmentData!B1052),4)),VALUE(MID(TRIM([1]RawShipmentData!B1052),FIND("/",TRIM([1]RawShipmentData!B1052))+1,2)),VALUE(LEFT(TRIM([1]RawShipmentData!B1052),FIND("/",TRIM([1]RawShipmentData!B1052))-1))),DATEVALUE(TRIM([1]RawShipmentData!B1052)))</f>
        <v>45438</v>
      </c>
      <c r="C1044" s="2" t="str">
        <f>PROPER(TRIM([1]RawShipmentData!C1052))</f>
        <v>Kolkata</v>
      </c>
      <c r="D1044" s="2" t="str">
        <f>IFERROR(INDEX([1]HubMaster!$B$2:$B$7,MATCH(C1044,[1]HubMaster!$A$2:$A$7,0)),"Unknown")</f>
        <v>East</v>
      </c>
      <c r="E1044" s="2" t="str">
        <f>PROPER(TRIM(SUBSTITUTE([1]RawShipmentData!D1052,"  "," ")))</f>
        <v>Bluedart</v>
      </c>
      <c r="F1044" s="2" t="str">
        <f>PROPER(TRIM([1]RawShipmentData!E1052))</f>
        <v>Air</v>
      </c>
      <c r="G1044" s="2" t="str">
        <f>PROPER(TRIM(SUBSTITUTE([1]RawShipmentData!F1052,"  "," ")))</f>
        <v>Pharma</v>
      </c>
      <c r="H1044" s="2" t="str">
        <f>PROPER(TRIM([1]RawShipmentData!G1052))</f>
        <v>East</v>
      </c>
      <c r="I1044" s="2" t="str">
        <f t="shared" si="80"/>
        <v>No</v>
      </c>
      <c r="J1044" s="2">
        <f>IFERROR(VALUE(TRIM(SUBSTITUTE(UPPER([1]RawShipmentData!I1044),"KG",""))),"")</f>
        <v>3.6</v>
      </c>
      <c r="K1044" s="2">
        <f>VALUE(SUBSTITUTE(SUBSTITUTE(SUBSTITUTE(TRIM([1]RawShipmentData!J1052),"₹",""),"Rs",""),",",""))</f>
        <v>80</v>
      </c>
      <c r="L1044" s="2">
        <f>[1]RawShipmentData!K1052</f>
        <v>2</v>
      </c>
      <c r="M1044" s="3">
        <f>IF(TRIM([1]RawShipmentData!L1052)="","",IF(ISNUMBER(SEARCH("/",TRIM([1]RawShipmentData!L1052))),DATE(VALUE(RIGHT(TRIM([1]RawShipmentData!L1052),4)),VALUE(MID(TRIM([1]RawShipmentData!L1052),FIND("/",TRIM([1]RawShipmentData!L1052))+1,2)),VALUE(LEFT(TRIM([1]RawShipmentData!L1052),FIND("/",TRIM([1]RawShipmentData!L1052))-1))),DATEVALUE(TRIM([1]RawShipmentData!L1052))))</f>
        <v>45439</v>
      </c>
      <c r="N1044" s="2">
        <f t="shared" si="81"/>
        <v>1</v>
      </c>
      <c r="O1044" s="2">
        <f t="shared" si="82"/>
        <v>-1</v>
      </c>
      <c r="P1044" s="2" t="str">
        <f t="shared" si="83"/>
        <v>On Time</v>
      </c>
      <c r="Q1044" s="2" t="str">
        <f>PROPER(SUBSTITUTE(TRIM([1]RawShipmentData!M1052)," ","-"))</f>
        <v>Delivered</v>
      </c>
      <c r="R1044" s="4">
        <f t="shared" si="84"/>
        <v>22.222222222222221</v>
      </c>
      <c r="S1044" s="2">
        <f>[1]RawShipmentData!N1052</f>
        <v>5</v>
      </c>
      <c r="T1044" s="2" t="str">
        <f>IF(OR(UPPER(TRIM([1]RawShipmentData!O1052))="YES",UPPER(TRIM([1]RawShipmentData!O1052))="Y"),"Yes","No")</f>
        <v>Yes</v>
      </c>
    </row>
    <row r="1045" spans="1:20" x14ac:dyDescent="0.25">
      <c r="A1045" s="2" t="str">
        <f>[1]RawShipmentData!A1053</f>
        <v>SHP-101506</v>
      </c>
      <c r="B1045" s="3">
        <f>IF(ISNUMBER(SEARCH("/",TRIM([1]RawShipmentData!B1053))),DATE(VALUE(RIGHT(TRIM([1]RawShipmentData!B1053),4)),VALUE(MID(TRIM([1]RawShipmentData!B1053),FIND("/",TRIM([1]RawShipmentData!B1053))+1,2)),VALUE(LEFT(TRIM([1]RawShipmentData!B1053),FIND("/",TRIM([1]RawShipmentData!B1053))-1))),DATEVALUE(TRIM([1]RawShipmentData!B1053)))</f>
        <v>45317</v>
      </c>
      <c r="C1045" s="2" t="str">
        <f>PROPER(TRIM([1]RawShipmentData!C1053))</f>
        <v>Kolkata</v>
      </c>
      <c r="D1045" s="2" t="str">
        <f>IFERROR(INDEX([1]HubMaster!$B$2:$B$7,MATCH(C1045,[1]HubMaster!$A$2:$A$7,0)),"Unknown")</f>
        <v>East</v>
      </c>
      <c r="E1045" s="2" t="str">
        <f>PROPER(TRIM(SUBSTITUTE([1]RawShipmentData!D1053,"  "," ")))</f>
        <v>Xpressbees</v>
      </c>
      <c r="F1045" s="2" t="str">
        <f>PROPER(TRIM([1]RawShipmentData!E1053))</f>
        <v>Surface</v>
      </c>
      <c r="G1045" s="2" t="str">
        <f>PROPER(TRIM(SUBSTITUTE([1]RawShipmentData!F1053,"  "," ")))</f>
        <v>Grocery &amp; Fmcg</v>
      </c>
      <c r="H1045" s="2" t="str">
        <f>PROPER(TRIM([1]RawShipmentData!G1053))</f>
        <v>South</v>
      </c>
      <c r="I1045" s="2" t="str">
        <f t="shared" si="80"/>
        <v>Yes</v>
      </c>
      <c r="J1045" s="2">
        <f>IFERROR(VALUE(TRIM(SUBSTITUTE(UPPER([1]RawShipmentData!I1045),"KG",""))),"")</f>
        <v>19.3</v>
      </c>
      <c r="K1045" s="2">
        <f>VALUE(SUBSTITUTE(SUBSTITUTE(SUBSTITUTE(TRIM([1]RawShipmentData!J1053),"₹",""),"Rs",""),",",""))</f>
        <v>439</v>
      </c>
      <c r="L1045" s="2">
        <f>[1]RawShipmentData!K1053</f>
        <v>6</v>
      </c>
      <c r="M1045" s="3">
        <f>IF(TRIM([1]RawShipmentData!L1053)="","",IF(ISNUMBER(SEARCH("/",TRIM([1]RawShipmentData!L1053))),DATE(VALUE(RIGHT(TRIM([1]RawShipmentData!L1053),4)),VALUE(MID(TRIM([1]RawShipmentData!L1053),FIND("/",TRIM([1]RawShipmentData!L1053))+1,2)),VALUE(LEFT(TRIM([1]RawShipmentData!L1053),FIND("/",TRIM([1]RawShipmentData!L1053))-1))),DATEVALUE(TRIM([1]RawShipmentData!L1053))))</f>
        <v>45322</v>
      </c>
      <c r="N1045" s="2">
        <f t="shared" si="81"/>
        <v>5</v>
      </c>
      <c r="O1045" s="2">
        <f t="shared" si="82"/>
        <v>-1</v>
      </c>
      <c r="P1045" s="2" t="str">
        <f t="shared" si="83"/>
        <v>On Time</v>
      </c>
      <c r="Q1045" s="2" t="str">
        <f>PROPER(SUBSTITUTE(TRIM([1]RawShipmentData!M1053)," ","-"))</f>
        <v>Delivered</v>
      </c>
      <c r="R1045" s="4">
        <f t="shared" si="84"/>
        <v>22.746113989637305</v>
      </c>
      <c r="S1045" s="2">
        <f>[1]RawShipmentData!N1053</f>
        <v>3</v>
      </c>
      <c r="T1045" s="2" t="str">
        <f>IF(OR(UPPER(TRIM([1]RawShipmentData!O1053))="YES",UPPER(TRIM([1]RawShipmentData!O1053))="Y"),"Yes","No")</f>
        <v>No</v>
      </c>
    </row>
    <row r="1046" spans="1:20" x14ac:dyDescent="0.25">
      <c r="A1046" s="2" t="str">
        <f>[1]RawShipmentData!A1054</f>
        <v>SHP-100724</v>
      </c>
      <c r="B1046" s="3">
        <f>IF(ISNUMBER(SEARCH("/",TRIM([1]RawShipmentData!B1054))),DATE(VALUE(RIGHT(TRIM([1]RawShipmentData!B1054),4)),VALUE(MID(TRIM([1]RawShipmentData!B1054),FIND("/",TRIM([1]RawShipmentData!B1054))+1,2)),VALUE(LEFT(TRIM([1]RawShipmentData!B1054),FIND("/",TRIM([1]RawShipmentData!B1054))-1))),DATEVALUE(TRIM([1]RawShipmentData!B1054)))</f>
        <v>45331</v>
      </c>
      <c r="C1046" s="2" t="str">
        <f>PROPER(TRIM([1]RawShipmentData!C1054))</f>
        <v>Delhi</v>
      </c>
      <c r="D1046" s="2" t="str">
        <f>IFERROR(INDEX([1]HubMaster!$B$2:$B$7,MATCH(C1046,[1]HubMaster!$A$2:$A$7,0)),"Unknown")</f>
        <v>North</v>
      </c>
      <c r="E1046" s="2" t="str">
        <f>PROPER(TRIM(SUBSTITUTE([1]RawShipmentData!D1054,"  "," ")))</f>
        <v>Bluedart</v>
      </c>
      <c r="F1046" s="2" t="str">
        <f>PROPER(TRIM([1]RawShipmentData!E1054))</f>
        <v>Surface</v>
      </c>
      <c r="G1046" s="2" t="str">
        <f>PROPER(TRIM(SUBSTITUTE([1]RawShipmentData!F1054,"  "," ")))</f>
        <v>Pharma</v>
      </c>
      <c r="H1046" s="2" t="str">
        <f>PROPER(TRIM([1]RawShipmentData!G1054))</f>
        <v>South</v>
      </c>
      <c r="I1046" s="2" t="str">
        <f t="shared" si="80"/>
        <v>Yes</v>
      </c>
      <c r="J1046" s="2">
        <f>IFERROR(VALUE(TRIM(SUBSTITUTE(UPPER([1]RawShipmentData!I1046),"KG",""))),"")</f>
        <v>3.8</v>
      </c>
      <c r="K1046" s="2">
        <f>VALUE(SUBSTITUTE(SUBSTITUTE(SUBSTITUTE(TRIM([1]RawShipmentData!J1054),"₹",""),"Rs",""),",",""))</f>
        <v>214</v>
      </c>
      <c r="L1046" s="2">
        <f>[1]RawShipmentData!K1054</f>
        <v>6</v>
      </c>
      <c r="M1046" s="3">
        <f>IF(TRIM([1]RawShipmentData!L1054)="","",IF(ISNUMBER(SEARCH("/",TRIM([1]RawShipmentData!L1054))),DATE(VALUE(RIGHT(TRIM([1]RawShipmentData!L1054),4)),VALUE(MID(TRIM([1]RawShipmentData!L1054),FIND("/",TRIM([1]RawShipmentData!L1054))+1,2)),VALUE(LEFT(TRIM([1]RawShipmentData!L1054),FIND("/",TRIM([1]RawShipmentData!L1054))-1))),DATEVALUE(TRIM([1]RawShipmentData!L1054))))</f>
        <v>45337</v>
      </c>
      <c r="N1046" s="2">
        <f t="shared" si="81"/>
        <v>6</v>
      </c>
      <c r="O1046" s="2">
        <f t="shared" si="82"/>
        <v>0</v>
      </c>
      <c r="P1046" s="2" t="str">
        <f t="shared" si="83"/>
        <v>On Time</v>
      </c>
      <c r="Q1046" s="2" t="str">
        <f>PROPER(SUBSTITUTE(TRIM([1]RawShipmentData!M1054)," ","-"))</f>
        <v>Delivered</v>
      </c>
      <c r="R1046" s="4">
        <f t="shared" si="84"/>
        <v>56.315789473684212</v>
      </c>
      <c r="S1046" s="2">
        <f>[1]RawShipmentData!N1054</f>
        <v>4</v>
      </c>
      <c r="T1046" s="2" t="str">
        <f>IF(OR(UPPER(TRIM([1]RawShipmentData!O1054))="YES",UPPER(TRIM([1]RawShipmentData!O1054))="Y"),"Yes","No")</f>
        <v>No</v>
      </c>
    </row>
    <row r="1047" spans="1:20" x14ac:dyDescent="0.25">
      <c r="A1047" s="2" t="str">
        <f>[1]RawShipmentData!A1055</f>
        <v>SHP-100434</v>
      </c>
      <c r="B1047" s="3">
        <f>IF(ISNUMBER(SEARCH("/",TRIM([1]RawShipmentData!B1055))),DATE(VALUE(RIGHT(TRIM([1]RawShipmentData!B1055),4)),VALUE(MID(TRIM([1]RawShipmentData!B1055),FIND("/",TRIM([1]RawShipmentData!B1055))+1,2)),VALUE(LEFT(TRIM([1]RawShipmentData!B1055),FIND("/",TRIM([1]RawShipmentData!B1055))-1))),DATEVALUE(TRIM([1]RawShipmentData!B1055)))</f>
        <v>45452</v>
      </c>
      <c r="C1047" s="2" t="str">
        <f>PROPER(TRIM([1]RawShipmentData!C1055))</f>
        <v>Chennai</v>
      </c>
      <c r="D1047" s="2" t="str">
        <f>IFERROR(INDEX([1]HubMaster!$B$2:$B$7,MATCH(C1047,[1]HubMaster!$A$2:$A$7,0)),"Unknown")</f>
        <v>South</v>
      </c>
      <c r="E1047" s="2" t="str">
        <f>PROPER(TRIM(SUBSTITUTE([1]RawShipmentData!D1055,"  "," ")))</f>
        <v>Dtdc</v>
      </c>
      <c r="F1047" s="2" t="str">
        <f>PROPER(TRIM([1]RawShipmentData!E1055))</f>
        <v>Surface</v>
      </c>
      <c r="G1047" s="2" t="str">
        <f>PROPER(TRIM(SUBSTITUTE([1]RawShipmentData!F1055,"  "," ")))</f>
        <v>Electronics</v>
      </c>
      <c r="H1047" s="2" t="str">
        <f>PROPER(TRIM([1]RawShipmentData!G1055))</f>
        <v>South</v>
      </c>
      <c r="I1047" s="2" t="str">
        <f t="shared" si="80"/>
        <v>No</v>
      </c>
      <c r="J1047" s="2">
        <f>IFERROR(VALUE(TRIM(SUBSTITUTE(UPPER([1]RawShipmentData!I1047),"KG",""))),"")</f>
        <v>28.3</v>
      </c>
      <c r="K1047" s="2">
        <f>VALUE(SUBSTITUTE(SUBSTITUTE(SUBSTITUTE(TRIM([1]RawShipmentData!J1055),"₹",""),"Rs",""),",",""))</f>
        <v>80</v>
      </c>
      <c r="L1047" s="2">
        <f>[1]RawShipmentData!K1055</f>
        <v>4</v>
      </c>
      <c r="M1047" s="3">
        <f>IF(TRIM([1]RawShipmentData!L1055)="","",IF(ISNUMBER(SEARCH("/",TRIM([1]RawShipmentData!L1055))),DATE(VALUE(RIGHT(TRIM([1]RawShipmentData!L1055),4)),VALUE(MID(TRIM([1]RawShipmentData!L1055),FIND("/",TRIM([1]RawShipmentData!L1055))+1,2)),VALUE(LEFT(TRIM([1]RawShipmentData!L1055),FIND("/",TRIM([1]RawShipmentData!L1055))-1))),DATEVALUE(TRIM([1]RawShipmentData!L1055))))</f>
        <v>45455</v>
      </c>
      <c r="N1047" s="2">
        <f t="shared" si="81"/>
        <v>3</v>
      </c>
      <c r="O1047" s="2">
        <f t="shared" si="82"/>
        <v>-1</v>
      </c>
      <c r="P1047" s="2" t="str">
        <f t="shared" si="83"/>
        <v>On Time</v>
      </c>
      <c r="Q1047" s="2" t="str">
        <f>PROPER(SUBSTITUTE(TRIM([1]RawShipmentData!M1055)," ","-"))</f>
        <v>Delivered</v>
      </c>
      <c r="R1047" s="4">
        <f t="shared" si="84"/>
        <v>2.8268551236749118</v>
      </c>
      <c r="S1047" s="2">
        <f>[1]RawShipmentData!N1055</f>
        <v>5</v>
      </c>
      <c r="T1047" s="2" t="str">
        <f>IF(OR(UPPER(TRIM([1]RawShipmentData!O1055))="YES",UPPER(TRIM([1]RawShipmentData!O1055))="Y"),"Yes","No")</f>
        <v>Yes</v>
      </c>
    </row>
    <row r="1048" spans="1:20" x14ac:dyDescent="0.25">
      <c r="A1048" s="2" t="str">
        <f>[1]RawShipmentData!A1056</f>
        <v>SHP-100149</v>
      </c>
      <c r="B1048" s="3">
        <f>IF(ISNUMBER(SEARCH("/",TRIM([1]RawShipmentData!B1056))),DATE(VALUE(RIGHT(TRIM([1]RawShipmentData!B1056),4)),VALUE(MID(TRIM([1]RawShipmentData!B1056),FIND("/",TRIM([1]RawShipmentData!B1056))+1,2)),VALUE(LEFT(TRIM([1]RawShipmentData!B1056),FIND("/",TRIM([1]RawShipmentData!B1056))-1))),DATEVALUE(TRIM([1]RawShipmentData!B1056)))</f>
        <v>45360</v>
      </c>
      <c r="C1048" s="2" t="str">
        <f>PROPER(TRIM([1]RawShipmentData!C1056))</f>
        <v>Delhi</v>
      </c>
      <c r="D1048" s="2" t="str">
        <f>IFERROR(INDEX([1]HubMaster!$B$2:$B$7,MATCH(C1048,[1]HubMaster!$A$2:$A$7,0)),"Unknown")</f>
        <v>North</v>
      </c>
      <c r="E1048" s="2" t="str">
        <f>PROPER(TRIM(SUBSTITUTE([1]RawShipmentData!D1056,"  "," ")))</f>
        <v>Ecom Express</v>
      </c>
      <c r="F1048" s="2" t="str">
        <f>PROPER(TRIM([1]RawShipmentData!E1056))</f>
        <v>Surface</v>
      </c>
      <c r="G1048" s="2" t="str">
        <f>PROPER(TRIM(SUBSTITUTE([1]RawShipmentData!F1056,"  "," ")))</f>
        <v>Apparel</v>
      </c>
      <c r="H1048" s="2" t="str">
        <f>PROPER(TRIM([1]RawShipmentData!G1056))</f>
        <v>East</v>
      </c>
      <c r="I1048" s="2" t="str">
        <f t="shared" si="80"/>
        <v>Yes</v>
      </c>
      <c r="J1048" s="2">
        <f>IFERROR(VALUE(TRIM(SUBSTITUTE(UPPER([1]RawShipmentData!I1048),"KG",""))),"")</f>
        <v>4.4000000000000004</v>
      </c>
      <c r="K1048" s="2">
        <f>VALUE(SUBSTITUTE(SUBSTITUTE(SUBSTITUTE(TRIM([1]RawShipmentData!J1056),"₹",""),"Rs",""),",",""))</f>
        <v>344</v>
      </c>
      <c r="L1048" s="2">
        <f>[1]RawShipmentData!K1056</f>
        <v>6</v>
      </c>
      <c r="M1048" s="3">
        <f>IF(TRIM([1]RawShipmentData!L1056)="","",IF(ISNUMBER(SEARCH("/",TRIM([1]RawShipmentData!L1056))),DATE(VALUE(RIGHT(TRIM([1]RawShipmentData!L1056),4)),VALUE(MID(TRIM([1]RawShipmentData!L1056),FIND("/",TRIM([1]RawShipmentData!L1056))+1,2)),VALUE(LEFT(TRIM([1]RawShipmentData!L1056),FIND("/",TRIM([1]RawShipmentData!L1056))-1))),DATEVALUE(TRIM([1]RawShipmentData!L1056))))</f>
        <v>45367</v>
      </c>
      <c r="N1048" s="2">
        <f t="shared" si="81"/>
        <v>7</v>
      </c>
      <c r="O1048" s="2">
        <f t="shared" si="82"/>
        <v>1</v>
      </c>
      <c r="P1048" s="2" t="str">
        <f t="shared" si="83"/>
        <v>Late</v>
      </c>
      <c r="Q1048" s="2" t="str">
        <f>PROPER(SUBSTITUTE(TRIM([1]RawShipmentData!M1056)," ","-"))</f>
        <v>Delayed</v>
      </c>
      <c r="R1048" s="4">
        <f t="shared" si="84"/>
        <v>78.181818181818173</v>
      </c>
      <c r="S1048" s="2">
        <f>[1]RawShipmentData!N1056</f>
        <v>3</v>
      </c>
      <c r="T1048" s="2" t="str">
        <f>IF(OR(UPPER(TRIM([1]RawShipmentData!O1056))="YES",UPPER(TRIM([1]RawShipmentData!O1056))="Y"),"Yes","No")</f>
        <v>Yes</v>
      </c>
    </row>
    <row r="1049" spans="1:20" x14ac:dyDescent="0.25">
      <c r="A1049" s="2" t="str">
        <f>[1]RawShipmentData!A1057</f>
        <v>SHP-101599</v>
      </c>
      <c r="B1049" s="3">
        <f>IF(ISNUMBER(SEARCH("/",TRIM([1]RawShipmentData!B1057))),DATE(VALUE(RIGHT(TRIM([1]RawShipmentData!B1057),4)),VALUE(MID(TRIM([1]RawShipmentData!B1057),FIND("/",TRIM([1]RawShipmentData!B1057))+1,2)),VALUE(LEFT(TRIM([1]RawShipmentData!B1057),FIND("/",TRIM([1]RawShipmentData!B1057))-1))),DATEVALUE(TRIM([1]RawShipmentData!B1057)))</f>
        <v>45353</v>
      </c>
      <c r="C1049" s="2" t="str">
        <f>PROPER(TRIM([1]RawShipmentData!C1057))</f>
        <v>Chennai</v>
      </c>
      <c r="D1049" s="2" t="str">
        <f>IFERROR(INDEX([1]HubMaster!$B$2:$B$7,MATCH(C1049,[1]HubMaster!$A$2:$A$7,0)),"Unknown")</f>
        <v>South</v>
      </c>
      <c r="E1049" s="2" t="str">
        <f>PROPER(TRIM(SUBSTITUTE([1]RawShipmentData!D1057,"  "," ")))</f>
        <v>Blue Dart</v>
      </c>
      <c r="F1049" s="2" t="str">
        <f>PROPER(TRIM([1]RawShipmentData!E1057))</f>
        <v>Air</v>
      </c>
      <c r="G1049" s="2" t="str">
        <f>PROPER(TRIM(SUBSTITUTE([1]RawShipmentData!F1057,"  "," ")))</f>
        <v>Automotive Parts</v>
      </c>
      <c r="H1049" s="2" t="str">
        <f>PROPER(TRIM([1]RawShipmentData!G1057))</f>
        <v>West</v>
      </c>
      <c r="I1049" s="2" t="str">
        <f t="shared" si="80"/>
        <v>Yes</v>
      </c>
      <c r="J1049" s="2">
        <f>IFERROR(VALUE(TRIM(SUBSTITUTE(UPPER([1]RawShipmentData!I1049),"KG",""))),"")</f>
        <v>3.3</v>
      </c>
      <c r="K1049" s="2">
        <f>VALUE(SUBSTITUTE(SUBSTITUTE(SUBSTITUTE(TRIM([1]RawShipmentData!J1057),"₹",""),"Rs",""),",",""))</f>
        <v>550</v>
      </c>
      <c r="L1049" s="2">
        <f>[1]RawShipmentData!K1057</f>
        <v>4</v>
      </c>
      <c r="M1049" s="3">
        <f>IF(TRIM([1]RawShipmentData!L1057)="","",IF(ISNUMBER(SEARCH("/",TRIM([1]RawShipmentData!L1057))),DATE(VALUE(RIGHT(TRIM([1]RawShipmentData!L1057),4)),VALUE(MID(TRIM([1]RawShipmentData!L1057),FIND("/",TRIM([1]RawShipmentData!L1057))+1,2)),VALUE(LEFT(TRIM([1]RawShipmentData!L1057),FIND("/",TRIM([1]RawShipmentData!L1057))-1))),DATEVALUE(TRIM([1]RawShipmentData!L1057))))</f>
        <v>45357</v>
      </c>
      <c r="N1049" s="2">
        <f t="shared" si="81"/>
        <v>4</v>
      </c>
      <c r="O1049" s="2">
        <f t="shared" si="82"/>
        <v>0</v>
      </c>
      <c r="P1049" s="2" t="str">
        <f t="shared" si="83"/>
        <v>On Time</v>
      </c>
      <c r="Q1049" s="2" t="str">
        <f>PROPER(SUBSTITUTE(TRIM([1]RawShipmentData!M1057)," ","-"))</f>
        <v>Delivered</v>
      </c>
      <c r="R1049" s="4">
        <f t="shared" si="84"/>
        <v>166.66666666666669</v>
      </c>
      <c r="S1049" s="2">
        <f>[1]RawShipmentData!N1057</f>
        <v>4</v>
      </c>
      <c r="T1049" s="2" t="str">
        <f>IF(OR(UPPER(TRIM([1]RawShipmentData!O1057))="YES",UPPER(TRIM([1]RawShipmentData!O1057))="Y"),"Yes","No")</f>
        <v>Yes</v>
      </c>
    </row>
    <row r="1050" spans="1:20" x14ac:dyDescent="0.25">
      <c r="A1050" s="2" t="str">
        <f>[1]RawShipmentData!A1058</f>
        <v>SHP-101039</v>
      </c>
      <c r="B1050" s="3">
        <f>IF(ISNUMBER(SEARCH("/",TRIM([1]RawShipmentData!B1058))),DATE(VALUE(RIGHT(TRIM([1]RawShipmentData!B1058),4)),VALUE(MID(TRIM([1]RawShipmentData!B1058),FIND("/",TRIM([1]RawShipmentData!B1058))+1,2)),VALUE(LEFT(TRIM([1]RawShipmentData!B1058),FIND("/",TRIM([1]RawShipmentData!B1058))-1))),DATEVALUE(TRIM([1]RawShipmentData!B1058)))</f>
        <v>45470</v>
      </c>
      <c r="C1050" s="2" t="str">
        <f>PROPER(TRIM([1]RawShipmentData!C1058))</f>
        <v>Mumbai</v>
      </c>
      <c r="D1050" s="2" t="str">
        <f>IFERROR(INDEX([1]HubMaster!$B$2:$B$7,MATCH(C1050,[1]HubMaster!$A$2:$A$7,0)),"Unknown")</f>
        <v>West</v>
      </c>
      <c r="E1050" s="2" t="str">
        <f>PROPER(TRIM(SUBSTITUTE([1]RawShipmentData!D1058,"  "," ")))</f>
        <v>Delhivery</v>
      </c>
      <c r="F1050" s="2" t="str">
        <f>PROPER(TRIM([1]RawShipmentData!E1058))</f>
        <v>Air</v>
      </c>
      <c r="G1050" s="2" t="str">
        <f>PROPER(TRIM(SUBSTITUTE([1]RawShipmentData!F1058,"  "," ")))</f>
        <v>Pharma</v>
      </c>
      <c r="H1050" s="2" t="str">
        <f>PROPER(TRIM([1]RawShipmentData!G1058))</f>
        <v>West</v>
      </c>
      <c r="I1050" s="2" t="str">
        <f t="shared" si="80"/>
        <v>No</v>
      </c>
      <c r="J1050" s="2">
        <f>IFERROR(VALUE(TRIM(SUBSTITUTE(UPPER([1]RawShipmentData!I1050),"KG",""))),"")</f>
        <v>0.6</v>
      </c>
      <c r="K1050" s="2">
        <f>VALUE(SUBSTITUTE(SUBSTITUTE(SUBSTITUTE(TRIM([1]RawShipmentData!J1058),"₹",""),"Rs",""),",",""))</f>
        <v>80</v>
      </c>
      <c r="L1050" s="2">
        <f>[1]RawShipmentData!K1058</f>
        <v>2</v>
      </c>
      <c r="M1050" s="3">
        <f>IF(TRIM([1]RawShipmentData!L1058)="","",IF(ISNUMBER(SEARCH("/",TRIM([1]RawShipmentData!L1058))),DATE(VALUE(RIGHT(TRIM([1]RawShipmentData!L1058),4)),VALUE(MID(TRIM([1]RawShipmentData!L1058),FIND("/",TRIM([1]RawShipmentData!L1058))+1,2)),VALUE(LEFT(TRIM([1]RawShipmentData!L1058),FIND("/",TRIM([1]RawShipmentData!L1058))-1))),DATEVALUE(TRIM([1]RawShipmentData!L1058))))</f>
        <v>45473</v>
      </c>
      <c r="N1050" s="2">
        <f t="shared" si="81"/>
        <v>3</v>
      </c>
      <c r="O1050" s="2">
        <f t="shared" si="82"/>
        <v>1</v>
      </c>
      <c r="P1050" s="2" t="str">
        <f t="shared" si="83"/>
        <v>Late</v>
      </c>
      <c r="Q1050" s="2" t="str">
        <f>PROPER(SUBSTITUTE(TRIM([1]RawShipmentData!M1058)," ","-"))</f>
        <v>Delayed</v>
      </c>
      <c r="R1050" s="4">
        <f t="shared" si="84"/>
        <v>133.33333333333334</v>
      </c>
      <c r="S1050" s="2">
        <f>[1]RawShipmentData!N1058</f>
        <v>3</v>
      </c>
      <c r="T1050" s="2" t="str">
        <f>IF(OR(UPPER(TRIM([1]RawShipmentData!O1058))="YES",UPPER(TRIM([1]RawShipmentData!O1058))="Y"),"Yes","No")</f>
        <v>Yes</v>
      </c>
    </row>
    <row r="1051" spans="1:20" x14ac:dyDescent="0.25">
      <c r="A1051" s="2" t="str">
        <f>[1]RawShipmentData!A1059</f>
        <v>SHP-100417</v>
      </c>
      <c r="B1051" s="3">
        <f>IF(ISNUMBER(SEARCH("/",TRIM([1]RawShipmentData!B1059))),DATE(VALUE(RIGHT(TRIM([1]RawShipmentData!B1059),4)),VALUE(MID(TRIM([1]RawShipmentData!B1059),FIND("/",TRIM([1]RawShipmentData!B1059))+1,2)),VALUE(LEFT(TRIM([1]RawShipmentData!B1059),FIND("/",TRIM([1]RawShipmentData!B1059))-1))),DATEVALUE(TRIM([1]RawShipmentData!B1059)))</f>
        <v>45432</v>
      </c>
      <c r="C1051" s="2" t="str">
        <f>PROPER(TRIM([1]RawShipmentData!C1059))</f>
        <v>Bengaluru</v>
      </c>
      <c r="D1051" s="2" t="str">
        <f>IFERROR(INDEX([1]HubMaster!$B$2:$B$7,MATCH(C1051,[1]HubMaster!$A$2:$A$7,0)),"Unknown")</f>
        <v>South</v>
      </c>
      <c r="E1051" s="2" t="str">
        <f>PROPER(TRIM(SUBSTITUTE([1]RawShipmentData!D1059,"  "," ")))</f>
        <v>Xpressbees</v>
      </c>
      <c r="F1051" s="2" t="str">
        <f>PROPER(TRIM([1]RawShipmentData!E1059))</f>
        <v>Road</v>
      </c>
      <c r="G1051" s="2" t="str">
        <f>PROPER(TRIM(SUBSTITUTE([1]RawShipmentData!F1059,"  "," ")))</f>
        <v>Furniture</v>
      </c>
      <c r="H1051" s="2" t="str">
        <f>PROPER(TRIM([1]RawShipmentData!G1059))</f>
        <v>West</v>
      </c>
      <c r="I1051" s="2" t="str">
        <f t="shared" si="80"/>
        <v>Yes</v>
      </c>
      <c r="J1051" s="2">
        <f>IFERROR(VALUE(TRIM(SUBSTITUTE(UPPER([1]RawShipmentData!I1051),"KG",""))),"")</f>
        <v>10.1</v>
      </c>
      <c r="K1051" s="2">
        <f>VALUE(SUBSTITUTE(SUBSTITUTE(SUBSTITUTE(TRIM([1]RawShipmentData!J1059),"₹",""),"Rs",""),",",""))</f>
        <v>1050</v>
      </c>
      <c r="L1051" s="2">
        <f>[1]RawShipmentData!K1059</f>
        <v>8</v>
      </c>
      <c r="M1051" s="3">
        <f>IF(TRIM([1]RawShipmentData!L1059)="","",IF(ISNUMBER(SEARCH("/",TRIM([1]RawShipmentData!L1059))),DATE(VALUE(RIGHT(TRIM([1]RawShipmentData!L1059),4)),VALUE(MID(TRIM([1]RawShipmentData!L1059),FIND("/",TRIM([1]RawShipmentData!L1059))+1,2)),VALUE(LEFT(TRIM([1]RawShipmentData!L1059),FIND("/",TRIM([1]RawShipmentData!L1059))-1))),DATEVALUE(TRIM([1]RawShipmentData!L1059))))</f>
        <v>45439</v>
      </c>
      <c r="N1051" s="2">
        <f t="shared" si="81"/>
        <v>7</v>
      </c>
      <c r="O1051" s="2">
        <f t="shared" si="82"/>
        <v>-1</v>
      </c>
      <c r="P1051" s="2" t="str">
        <f t="shared" si="83"/>
        <v>On Time</v>
      </c>
      <c r="Q1051" s="2" t="str">
        <f>PROPER(SUBSTITUTE(TRIM([1]RawShipmentData!M1059)," ","-"))</f>
        <v>Delivered</v>
      </c>
      <c r="R1051" s="4">
        <f t="shared" si="84"/>
        <v>103.96039603960396</v>
      </c>
      <c r="S1051" s="2">
        <f>[1]RawShipmentData!N1059</f>
        <v>5</v>
      </c>
      <c r="T1051" s="2" t="str">
        <f>IF(OR(UPPER(TRIM([1]RawShipmentData!O1059))="YES",UPPER(TRIM([1]RawShipmentData!O1059))="Y"),"Yes","No")</f>
        <v>No</v>
      </c>
    </row>
    <row r="1052" spans="1:20" x14ac:dyDescent="0.25">
      <c r="A1052" s="2" t="str">
        <f>[1]RawShipmentData!A1060</f>
        <v>SHP-100441</v>
      </c>
      <c r="B1052" s="3">
        <f>IF(ISNUMBER(SEARCH("/",TRIM([1]RawShipmentData!B1060))),DATE(VALUE(RIGHT(TRIM([1]RawShipmentData!B1060),4)),VALUE(MID(TRIM([1]RawShipmentData!B1060),FIND("/",TRIM([1]RawShipmentData!B1060))+1,2)),VALUE(LEFT(TRIM([1]RawShipmentData!B1060),FIND("/",TRIM([1]RawShipmentData!B1060))-1))),DATEVALUE(TRIM([1]RawShipmentData!B1060)))</f>
        <v>45430</v>
      </c>
      <c r="C1052" s="2" t="str">
        <f>PROPER(TRIM([1]RawShipmentData!C1060))</f>
        <v>Hyderabad</v>
      </c>
      <c r="D1052" s="2" t="str">
        <f>IFERROR(INDEX([1]HubMaster!$B$2:$B$7,MATCH(C1052,[1]HubMaster!$A$2:$A$7,0)),"Unknown")</f>
        <v>West</v>
      </c>
      <c r="E1052" s="2" t="str">
        <f>PROPER(TRIM(SUBSTITUTE([1]RawShipmentData!D1060,"  "," ")))</f>
        <v>Dtdc</v>
      </c>
      <c r="F1052" s="2" t="str">
        <f>PROPER(TRIM([1]RawShipmentData!E1060))</f>
        <v>Road</v>
      </c>
      <c r="G1052" s="2" t="str">
        <f>PROPER(TRIM(SUBSTITUTE([1]RawShipmentData!F1060,"  "," ")))</f>
        <v>Pharma</v>
      </c>
      <c r="H1052" s="2" t="str">
        <f>PROPER(TRIM([1]RawShipmentData!G1060))</f>
        <v>East</v>
      </c>
      <c r="I1052" s="2" t="str">
        <f t="shared" si="80"/>
        <v>Yes</v>
      </c>
      <c r="J1052" s="2">
        <f>IFERROR(VALUE(TRIM(SUBSTITUTE(UPPER([1]RawShipmentData!I1052),"KG",""))),"")</f>
        <v>0.9</v>
      </c>
      <c r="K1052" s="2">
        <f>VALUE(SUBSTITUTE(SUBSTITUTE(SUBSTITUTE(TRIM([1]RawShipmentData!J1060),"₹",""),"Rs",""),",",""))</f>
        <v>216</v>
      </c>
      <c r="L1052" s="2">
        <f>[1]RawShipmentData!K1060</f>
        <v>8</v>
      </c>
      <c r="M1052" s="3">
        <f>IF(TRIM([1]RawShipmentData!L1060)="","",IF(ISNUMBER(SEARCH("/",TRIM([1]RawShipmentData!L1060))),DATE(VALUE(RIGHT(TRIM([1]RawShipmentData!L1060),4)),VALUE(MID(TRIM([1]RawShipmentData!L1060),FIND("/",TRIM([1]RawShipmentData!L1060))+1,2)),VALUE(LEFT(TRIM([1]RawShipmentData!L1060),FIND("/",TRIM([1]RawShipmentData!L1060))-1))),DATEVALUE(TRIM([1]RawShipmentData!L1060))))</f>
        <v>45437</v>
      </c>
      <c r="N1052" s="2">
        <f t="shared" si="81"/>
        <v>7</v>
      </c>
      <c r="O1052" s="2">
        <f t="shared" si="82"/>
        <v>-1</v>
      </c>
      <c r="P1052" s="2" t="str">
        <f t="shared" si="83"/>
        <v>On Time</v>
      </c>
      <c r="Q1052" s="2" t="str">
        <f>PROPER(SUBSTITUTE(TRIM([1]RawShipmentData!M1060)," ","-"))</f>
        <v>Delivered</v>
      </c>
      <c r="R1052" s="4">
        <f t="shared" si="84"/>
        <v>240</v>
      </c>
      <c r="S1052" s="2">
        <f>[1]RawShipmentData!N1060</f>
        <v>4</v>
      </c>
      <c r="T1052" s="2" t="str">
        <f>IF(OR(UPPER(TRIM([1]RawShipmentData!O1060))="YES",UPPER(TRIM([1]RawShipmentData!O1060))="Y"),"Yes","No")</f>
        <v>Yes</v>
      </c>
    </row>
    <row r="1053" spans="1:20" x14ac:dyDescent="0.25">
      <c r="A1053" s="2" t="str">
        <f>[1]RawShipmentData!A1061</f>
        <v>SHP-100771</v>
      </c>
      <c r="B1053" s="3">
        <f>IF(ISNUMBER(SEARCH("/",TRIM([1]RawShipmentData!B1061))),DATE(VALUE(RIGHT(TRIM([1]RawShipmentData!B1061),4)),VALUE(MID(TRIM([1]RawShipmentData!B1061),FIND("/",TRIM([1]RawShipmentData!B1061))+1,2)),VALUE(LEFT(TRIM([1]RawShipmentData!B1061),FIND("/",TRIM([1]RawShipmentData!B1061))-1))),DATEVALUE(TRIM([1]RawShipmentData!B1061)))</f>
        <v>45444</v>
      </c>
      <c r="C1053" s="2" t="str">
        <f>PROPER(TRIM([1]RawShipmentData!C1061))</f>
        <v>Hyderabad</v>
      </c>
      <c r="D1053" s="2" t="str">
        <f>IFERROR(INDEX([1]HubMaster!$B$2:$B$7,MATCH(C1053,[1]HubMaster!$A$2:$A$7,0)),"Unknown")</f>
        <v>West</v>
      </c>
      <c r="E1053" s="2" t="str">
        <f>PROPER(TRIM(SUBSTITUTE([1]RawShipmentData!D1061,"  "," ")))</f>
        <v>Blue Dart</v>
      </c>
      <c r="F1053" s="2" t="str">
        <f>PROPER(TRIM([1]RawShipmentData!E1061))</f>
        <v>Air</v>
      </c>
      <c r="G1053" s="2" t="str">
        <f>PROPER(TRIM(SUBSTITUTE([1]RawShipmentData!F1061,"  "," ")))</f>
        <v>Grocery &amp; Fmcg</v>
      </c>
      <c r="H1053" s="2" t="str">
        <f>PROPER(TRIM([1]RawShipmentData!G1061))</f>
        <v>North</v>
      </c>
      <c r="I1053" s="2" t="str">
        <f t="shared" si="80"/>
        <v>Yes</v>
      </c>
      <c r="J1053" s="2">
        <f>IFERROR(VALUE(TRIM(SUBSTITUTE(UPPER([1]RawShipmentData!I1053),"KG",""))),"")</f>
        <v>11.7</v>
      </c>
      <c r="K1053" s="2">
        <f>VALUE(SUBSTITUTE(SUBSTITUTE(SUBSTITUTE(TRIM([1]RawShipmentData!J1061),"₹",""),"Rs",""),",",""))</f>
        <v>572</v>
      </c>
      <c r="L1053" s="2">
        <f>[1]RawShipmentData!K1061</f>
        <v>4</v>
      </c>
      <c r="M1053" s="3">
        <f>IF(TRIM([1]RawShipmentData!L1061)="","",IF(ISNUMBER(SEARCH("/",TRIM([1]RawShipmentData!L1061))),DATE(VALUE(RIGHT(TRIM([1]RawShipmentData!L1061),4)),VALUE(MID(TRIM([1]RawShipmentData!L1061),FIND("/",TRIM([1]RawShipmentData!L1061))+1,2)),VALUE(LEFT(TRIM([1]RawShipmentData!L1061),FIND("/",TRIM([1]RawShipmentData!L1061))-1))),DATEVALUE(TRIM([1]RawShipmentData!L1061))))</f>
        <v>45447</v>
      </c>
      <c r="N1053" s="2">
        <f t="shared" si="81"/>
        <v>3</v>
      </c>
      <c r="O1053" s="2">
        <f t="shared" si="82"/>
        <v>-1</v>
      </c>
      <c r="P1053" s="2" t="str">
        <f t="shared" si="83"/>
        <v>On Time</v>
      </c>
      <c r="Q1053" s="2" t="str">
        <f>PROPER(SUBSTITUTE(TRIM([1]RawShipmentData!M1061)," ","-"))</f>
        <v>Delivered</v>
      </c>
      <c r="R1053" s="4">
        <f t="shared" si="84"/>
        <v>48.888888888888893</v>
      </c>
      <c r="S1053" s="2">
        <f>[1]RawShipmentData!N1061</f>
        <v>5</v>
      </c>
      <c r="T1053" s="2" t="str">
        <f>IF(OR(UPPER(TRIM([1]RawShipmentData!O1061))="YES",UPPER(TRIM([1]RawShipmentData!O1061))="Y"),"Yes","No")</f>
        <v>Yes</v>
      </c>
    </row>
    <row r="1054" spans="1:20" x14ac:dyDescent="0.25">
      <c r="A1054" s="2" t="str">
        <f>[1]RawShipmentData!A1062</f>
        <v>SHP-101281</v>
      </c>
      <c r="B1054" s="3">
        <f>IF(ISNUMBER(SEARCH("/",TRIM([1]RawShipmentData!B1062))),DATE(VALUE(RIGHT(TRIM([1]RawShipmentData!B1062),4)),VALUE(MID(TRIM([1]RawShipmentData!B1062),FIND("/",TRIM([1]RawShipmentData!B1062))+1,2)),VALUE(LEFT(TRIM([1]RawShipmentData!B1062),FIND("/",TRIM([1]RawShipmentData!B1062))-1))),DATEVALUE(TRIM([1]RawShipmentData!B1062)))</f>
        <v>45344</v>
      </c>
      <c r="C1054" s="2" t="str">
        <f>PROPER(TRIM([1]RawShipmentData!C1062))</f>
        <v>Kolkata</v>
      </c>
      <c r="D1054" s="2" t="str">
        <f>IFERROR(INDEX([1]HubMaster!$B$2:$B$7,MATCH(C1054,[1]HubMaster!$A$2:$A$7,0)),"Unknown")</f>
        <v>East</v>
      </c>
      <c r="E1054" s="2" t="str">
        <f>PROPER(TRIM(SUBSTITUTE([1]RawShipmentData!D1062,"  "," ")))</f>
        <v>Xpressbees</v>
      </c>
      <c r="F1054" s="2" t="str">
        <f>PROPER(TRIM([1]RawShipmentData!E1062))</f>
        <v>Air</v>
      </c>
      <c r="G1054" s="2" t="str">
        <f>PROPER(TRIM(SUBSTITUTE([1]RawShipmentData!F1062,"  "," ")))</f>
        <v>Electronics</v>
      </c>
      <c r="H1054" s="2" t="str">
        <f>PROPER(TRIM([1]RawShipmentData!G1062))</f>
        <v>East</v>
      </c>
      <c r="I1054" s="2" t="str">
        <f t="shared" si="80"/>
        <v>No</v>
      </c>
      <c r="J1054" s="2">
        <f>IFERROR(VALUE(TRIM(SUBSTITUTE(UPPER([1]RawShipmentData!I1054),"KG",""))),"")</f>
        <v>2.8</v>
      </c>
      <c r="K1054" s="2">
        <f>VALUE(SUBSTITUTE(SUBSTITUTE(SUBSTITUTE(TRIM([1]RawShipmentData!J1062),"₹",""),"Rs",""),",",""))</f>
        <v>427</v>
      </c>
      <c r="L1054" s="2">
        <f>[1]RawShipmentData!K1062</f>
        <v>2</v>
      </c>
      <c r="M1054" s="3">
        <f>IF(TRIM([1]RawShipmentData!L1062)="","",IF(ISNUMBER(SEARCH("/",TRIM([1]RawShipmentData!L1062))),DATE(VALUE(RIGHT(TRIM([1]RawShipmentData!L1062),4)),VALUE(MID(TRIM([1]RawShipmentData!L1062),FIND("/",TRIM([1]RawShipmentData!L1062))+1,2)),VALUE(LEFT(TRIM([1]RawShipmentData!L1062),FIND("/",TRIM([1]RawShipmentData!L1062))-1))),DATEVALUE(TRIM([1]RawShipmentData!L1062))))</f>
        <v>45347</v>
      </c>
      <c r="N1054" s="2">
        <f t="shared" si="81"/>
        <v>3</v>
      </c>
      <c r="O1054" s="2">
        <f t="shared" si="82"/>
        <v>1</v>
      </c>
      <c r="P1054" s="2" t="str">
        <f t="shared" si="83"/>
        <v>Late</v>
      </c>
      <c r="Q1054" s="2" t="str">
        <f>PROPER(SUBSTITUTE(TRIM([1]RawShipmentData!M1062)," ","-"))</f>
        <v>Delayed</v>
      </c>
      <c r="R1054" s="4">
        <f t="shared" si="84"/>
        <v>152.5</v>
      </c>
      <c r="S1054" s="2">
        <f>[1]RawShipmentData!N1062</f>
        <v>3</v>
      </c>
      <c r="T1054" s="2" t="str">
        <f>IF(OR(UPPER(TRIM([1]RawShipmentData!O1062))="YES",UPPER(TRIM([1]RawShipmentData!O1062))="Y"),"Yes","No")</f>
        <v>Yes</v>
      </c>
    </row>
    <row r="1055" spans="1:20" x14ac:dyDescent="0.25">
      <c r="A1055" s="2" t="str">
        <f>[1]RawShipmentData!A1063</f>
        <v>SHP-101404</v>
      </c>
      <c r="B1055" s="3">
        <f>IF(ISNUMBER(SEARCH("/",TRIM([1]RawShipmentData!B1063))),DATE(VALUE(RIGHT(TRIM([1]RawShipmentData!B1063),4)),VALUE(MID(TRIM([1]RawShipmentData!B1063),FIND("/",TRIM([1]RawShipmentData!B1063))+1,2)),VALUE(LEFT(TRIM([1]RawShipmentData!B1063),FIND("/",TRIM([1]RawShipmentData!B1063))-1))),DATEVALUE(TRIM([1]RawShipmentData!B1063)))</f>
        <v>45292</v>
      </c>
      <c r="C1055" s="2" t="str">
        <f>PROPER(TRIM([1]RawShipmentData!C1063))</f>
        <v>Mumbai</v>
      </c>
      <c r="D1055" s="2" t="str">
        <f>IFERROR(INDEX([1]HubMaster!$B$2:$B$7,MATCH(C1055,[1]HubMaster!$A$2:$A$7,0)),"Unknown")</f>
        <v>West</v>
      </c>
      <c r="E1055" s="2" t="str">
        <f>PROPER(TRIM(SUBSTITUTE([1]RawShipmentData!D1063,"  "," ")))</f>
        <v>Blue Dart</v>
      </c>
      <c r="F1055" s="2" t="str">
        <f>PROPER(TRIM([1]RawShipmentData!E1063))</f>
        <v>Road</v>
      </c>
      <c r="G1055" s="2" t="str">
        <f>PROPER(TRIM(SUBSTITUTE([1]RawShipmentData!F1063,"  "," ")))</f>
        <v>Furniture</v>
      </c>
      <c r="H1055" s="2" t="str">
        <f>PROPER(TRIM([1]RawShipmentData!G1063))</f>
        <v>East</v>
      </c>
      <c r="I1055" s="2" t="str">
        <f t="shared" si="80"/>
        <v>Yes</v>
      </c>
      <c r="J1055" s="2">
        <f>IFERROR(VALUE(TRIM(SUBSTITUTE(UPPER([1]RawShipmentData!I1055),"KG",""))),"")</f>
        <v>1</v>
      </c>
      <c r="K1055" s="2">
        <f>VALUE(SUBSTITUTE(SUBSTITUTE(SUBSTITUTE(TRIM([1]RawShipmentData!J1063),"₹",""),"Rs",""),",",""))</f>
        <v>1138</v>
      </c>
      <c r="L1055" s="2">
        <f>[1]RawShipmentData!K1063</f>
        <v>8</v>
      </c>
      <c r="M1055" s="3">
        <f>IF(TRIM([1]RawShipmentData!L1063)="","",IF(ISNUMBER(SEARCH("/",TRIM([1]RawShipmentData!L1063))),DATE(VALUE(RIGHT(TRIM([1]RawShipmentData!L1063),4)),VALUE(MID(TRIM([1]RawShipmentData!L1063),FIND("/",TRIM([1]RawShipmentData!L1063))+1,2)),VALUE(LEFT(TRIM([1]RawShipmentData!L1063),FIND("/",TRIM([1]RawShipmentData!L1063))-1))),DATEVALUE(TRIM([1]RawShipmentData!L1063))))</f>
        <v>45300</v>
      </c>
      <c r="N1055" s="2">
        <f t="shared" si="81"/>
        <v>8</v>
      </c>
      <c r="O1055" s="2">
        <f t="shared" si="82"/>
        <v>0</v>
      </c>
      <c r="P1055" s="2" t="str">
        <f t="shared" si="83"/>
        <v>On Time</v>
      </c>
      <c r="Q1055" s="2" t="str">
        <f>PROPER(SUBSTITUTE(TRIM([1]RawShipmentData!M1063)," ","-"))</f>
        <v>Delivered</v>
      </c>
      <c r="R1055" s="4">
        <f t="shared" si="84"/>
        <v>1138</v>
      </c>
      <c r="S1055" s="2">
        <f>[1]RawShipmentData!N1063</f>
        <v>5</v>
      </c>
      <c r="T1055" s="2" t="str">
        <f>IF(OR(UPPER(TRIM([1]RawShipmentData!O1063))="YES",UPPER(TRIM([1]RawShipmentData!O1063))="Y"),"Yes","No")</f>
        <v>No</v>
      </c>
    </row>
    <row r="1056" spans="1:20" x14ac:dyDescent="0.25">
      <c r="A1056" s="2" t="str">
        <f>[1]RawShipmentData!A1064</f>
        <v>SHP-100180</v>
      </c>
      <c r="B1056" s="3">
        <f>IF(ISNUMBER(SEARCH("/",TRIM([1]RawShipmentData!B1064))),DATE(VALUE(RIGHT(TRIM([1]RawShipmentData!B1064),4)),VALUE(MID(TRIM([1]RawShipmentData!B1064),FIND("/",TRIM([1]RawShipmentData!B1064))+1,2)),VALUE(LEFT(TRIM([1]RawShipmentData!B1064),FIND("/",TRIM([1]RawShipmentData!B1064))-1))),DATEVALUE(TRIM([1]RawShipmentData!B1064)))</f>
        <v>45300</v>
      </c>
      <c r="C1056" s="2" t="str">
        <f>PROPER(TRIM([1]RawShipmentData!C1064))</f>
        <v>Delhi</v>
      </c>
      <c r="D1056" s="2" t="str">
        <f>IFERROR(INDEX([1]HubMaster!$B$2:$B$7,MATCH(C1056,[1]HubMaster!$A$2:$A$7,0)),"Unknown")</f>
        <v>North</v>
      </c>
      <c r="E1056" s="2" t="str">
        <f>PROPER(TRIM(SUBSTITUTE([1]RawShipmentData!D1064,"  "," ")))</f>
        <v>Ecom Express</v>
      </c>
      <c r="F1056" s="2" t="str">
        <f>PROPER(TRIM([1]RawShipmentData!E1064))</f>
        <v>Road</v>
      </c>
      <c r="G1056" s="2" t="str">
        <f>PROPER(TRIM(SUBSTITUTE([1]RawShipmentData!F1064,"  "," ")))</f>
        <v>Furniture</v>
      </c>
      <c r="H1056" s="2" t="str">
        <f>PROPER(TRIM([1]RawShipmentData!G1064))</f>
        <v>South</v>
      </c>
      <c r="I1056" s="2" t="str">
        <f t="shared" si="80"/>
        <v>Yes</v>
      </c>
      <c r="J1056" s="2">
        <f>IFERROR(VALUE(TRIM(SUBSTITUTE(UPPER([1]RawShipmentData!I1056),"KG",""))),"")</f>
        <v>6.2</v>
      </c>
      <c r="K1056" s="2">
        <f>VALUE(SUBSTITUTE(SUBSTITUTE(SUBSTITUTE(TRIM([1]RawShipmentData!J1064),"₹",""),"Rs",""),",",""))</f>
        <v>966</v>
      </c>
      <c r="L1056" s="2">
        <f>[1]RawShipmentData!K1064</f>
        <v>8</v>
      </c>
      <c r="M1056" s="3">
        <f>IF(TRIM([1]RawShipmentData!L1064)="","",IF(ISNUMBER(SEARCH("/",TRIM([1]RawShipmentData!L1064))),DATE(VALUE(RIGHT(TRIM([1]RawShipmentData!L1064),4)),VALUE(MID(TRIM([1]RawShipmentData!L1064),FIND("/",TRIM([1]RawShipmentData!L1064))+1,2)),VALUE(LEFT(TRIM([1]RawShipmentData!L1064),FIND("/",TRIM([1]RawShipmentData!L1064))-1))),DATEVALUE(TRIM([1]RawShipmentData!L1064))))</f>
        <v>45317</v>
      </c>
      <c r="N1056" s="2">
        <f t="shared" si="81"/>
        <v>17</v>
      </c>
      <c r="O1056" s="2">
        <f t="shared" si="82"/>
        <v>9</v>
      </c>
      <c r="P1056" s="2" t="str">
        <f t="shared" si="83"/>
        <v>Late</v>
      </c>
      <c r="Q1056" s="2" t="str">
        <f>PROPER(SUBSTITUTE(TRIM([1]RawShipmentData!M1064)," ","-"))</f>
        <v>Delayed</v>
      </c>
      <c r="R1056" s="4">
        <f t="shared" si="84"/>
        <v>155.80645161290323</v>
      </c>
      <c r="S1056" s="2">
        <f>[1]RawShipmentData!N1064</f>
        <v>1</v>
      </c>
      <c r="T1056" s="2" t="str">
        <f>IF(OR(UPPER(TRIM([1]RawShipmentData!O1064))="YES",UPPER(TRIM([1]RawShipmentData!O1064))="Y"),"Yes","No")</f>
        <v>No</v>
      </c>
    </row>
    <row r="1057" spans="1:20" x14ac:dyDescent="0.25">
      <c r="A1057" s="2" t="str">
        <f>[1]RawShipmentData!A1065</f>
        <v>SHP-100140</v>
      </c>
      <c r="B1057" s="3">
        <f>IF(ISNUMBER(SEARCH("/",TRIM([1]RawShipmentData!B1065))),DATE(VALUE(RIGHT(TRIM([1]RawShipmentData!B1065),4)),VALUE(MID(TRIM([1]RawShipmentData!B1065),FIND("/",TRIM([1]RawShipmentData!B1065))+1,2)),VALUE(LEFT(TRIM([1]RawShipmentData!B1065),FIND("/",TRIM([1]RawShipmentData!B1065))-1))),DATEVALUE(TRIM([1]RawShipmentData!B1065)))</f>
        <v>45451</v>
      </c>
      <c r="C1057" s="2" t="str">
        <f>PROPER(TRIM([1]RawShipmentData!C1065))</f>
        <v>Hyderabad</v>
      </c>
      <c r="D1057" s="2" t="str">
        <f>IFERROR(INDEX([1]HubMaster!$B$2:$B$7,MATCH(C1057,[1]HubMaster!$A$2:$A$7,0)),"Unknown")</f>
        <v>West</v>
      </c>
      <c r="E1057" s="2" t="str">
        <f>PROPER(TRIM(SUBSTITUTE([1]RawShipmentData!D1065,"  "," ")))</f>
        <v>Dtdc</v>
      </c>
      <c r="F1057" s="2" t="str">
        <f>PROPER(TRIM([1]RawShipmentData!E1065))</f>
        <v>Road</v>
      </c>
      <c r="G1057" s="2" t="str">
        <f>PROPER(TRIM(SUBSTITUTE([1]RawShipmentData!F1065,"  "," ")))</f>
        <v>Electronics</v>
      </c>
      <c r="H1057" s="2" t="str">
        <f>PROPER(TRIM([1]RawShipmentData!G1065))</f>
        <v>North</v>
      </c>
      <c r="I1057" s="2" t="str">
        <f t="shared" si="80"/>
        <v>Yes</v>
      </c>
      <c r="J1057" s="2">
        <f>IFERROR(VALUE(TRIM(SUBSTITUTE(UPPER([1]RawShipmentData!I1057),"KG",""))),"")</f>
        <v>7.9</v>
      </c>
      <c r="K1057" s="2">
        <f>VALUE(SUBSTITUTE(SUBSTITUTE(SUBSTITUTE(TRIM([1]RawShipmentData!J1065),"₹",""),"Rs",""),",",""))</f>
        <v>249</v>
      </c>
      <c r="L1057" s="2">
        <f>[1]RawShipmentData!K1065</f>
        <v>8</v>
      </c>
      <c r="M1057" s="3">
        <f>IF(TRIM([1]RawShipmentData!L1065)="","",IF(ISNUMBER(SEARCH("/",TRIM([1]RawShipmentData!L1065))),DATE(VALUE(RIGHT(TRIM([1]RawShipmentData!L1065),4)),VALUE(MID(TRIM([1]RawShipmentData!L1065),FIND("/",TRIM([1]RawShipmentData!L1065))+1,2)),VALUE(LEFT(TRIM([1]RawShipmentData!L1065),FIND("/",TRIM([1]RawShipmentData!L1065))-1))),DATEVALUE(TRIM([1]RawShipmentData!L1065))))</f>
        <v>45459</v>
      </c>
      <c r="N1057" s="2">
        <f t="shared" si="81"/>
        <v>8</v>
      </c>
      <c r="O1057" s="2">
        <f t="shared" si="82"/>
        <v>0</v>
      </c>
      <c r="P1057" s="2" t="str">
        <f t="shared" si="83"/>
        <v>On Time</v>
      </c>
      <c r="Q1057" s="2" t="str">
        <f>PROPER(SUBSTITUTE(TRIM([1]RawShipmentData!M1065)," ","-"))</f>
        <v>Delivered</v>
      </c>
      <c r="R1057" s="4">
        <f t="shared" si="84"/>
        <v>31.518987341772149</v>
      </c>
      <c r="S1057" s="2">
        <f>[1]RawShipmentData!N1065</f>
        <v>5</v>
      </c>
      <c r="T1057" s="2" t="str">
        <f>IF(OR(UPPER(TRIM([1]RawShipmentData!O1065))="YES",UPPER(TRIM([1]RawShipmentData!O1065))="Y"),"Yes","No")</f>
        <v>No</v>
      </c>
    </row>
    <row r="1058" spans="1:20" x14ac:dyDescent="0.25">
      <c r="A1058" s="2" t="str">
        <f>[1]RawShipmentData!A1066</f>
        <v>SHP-100567</v>
      </c>
      <c r="B1058" s="3">
        <f>IF(ISNUMBER(SEARCH("/",TRIM([1]RawShipmentData!B1066))),DATE(VALUE(RIGHT(TRIM([1]RawShipmentData!B1066),4)),VALUE(MID(TRIM([1]RawShipmentData!B1066),FIND("/",TRIM([1]RawShipmentData!B1066))+1,2)),VALUE(LEFT(TRIM([1]RawShipmentData!B1066),FIND("/",TRIM([1]RawShipmentData!B1066))-1))),DATEVALUE(TRIM([1]RawShipmentData!B1066)))</f>
        <v>45307</v>
      </c>
      <c r="C1058" s="2" t="str">
        <f>PROPER(TRIM([1]RawShipmentData!C1066))</f>
        <v>Mumbai</v>
      </c>
      <c r="D1058" s="2" t="str">
        <f>IFERROR(INDEX([1]HubMaster!$B$2:$B$7,MATCH(C1058,[1]HubMaster!$A$2:$A$7,0)),"Unknown")</f>
        <v>West</v>
      </c>
      <c r="E1058" s="2" t="str">
        <f>PROPER(TRIM(SUBSTITUTE([1]RawShipmentData!D1066,"  "," ")))</f>
        <v>Ecom Express</v>
      </c>
      <c r="F1058" s="2" t="str">
        <f>PROPER(TRIM([1]RawShipmentData!E1066))</f>
        <v>Air</v>
      </c>
      <c r="G1058" s="2" t="str">
        <f>PROPER(TRIM(SUBSTITUTE([1]RawShipmentData!F1066,"  "," ")))</f>
        <v>Automotive Parts</v>
      </c>
      <c r="H1058" s="2" t="str">
        <f>PROPER(TRIM([1]RawShipmentData!G1066))</f>
        <v>South</v>
      </c>
      <c r="I1058" s="2" t="str">
        <f t="shared" si="80"/>
        <v>Yes</v>
      </c>
      <c r="J1058" s="2">
        <f>IFERROR(VALUE(TRIM(SUBSTITUTE(UPPER([1]RawShipmentData!I1058),"KG",""))),"")</f>
        <v>0.9</v>
      </c>
      <c r="K1058" s="2">
        <f>VALUE(SUBSTITUTE(SUBSTITUTE(SUBSTITUTE(TRIM([1]RawShipmentData!J1066),"₹",""),"Rs",""),",",""))</f>
        <v>1098</v>
      </c>
      <c r="L1058" s="2">
        <f>[1]RawShipmentData!K1066</f>
        <v>4</v>
      </c>
      <c r="M1058" s="3">
        <f>IF(TRIM([1]RawShipmentData!L1066)="","",IF(ISNUMBER(SEARCH("/",TRIM([1]RawShipmentData!L1066))),DATE(VALUE(RIGHT(TRIM([1]RawShipmentData!L1066),4)),VALUE(MID(TRIM([1]RawShipmentData!L1066),FIND("/",TRIM([1]RawShipmentData!L1066))+1,2)),VALUE(LEFT(TRIM([1]RawShipmentData!L1066),FIND("/",TRIM([1]RawShipmentData!L1066))-1))),DATEVALUE(TRIM([1]RawShipmentData!L1066))))</f>
        <v>45310</v>
      </c>
      <c r="N1058" s="2">
        <f t="shared" si="81"/>
        <v>3</v>
      </c>
      <c r="O1058" s="2">
        <f t="shared" si="82"/>
        <v>-1</v>
      </c>
      <c r="P1058" s="2" t="str">
        <f t="shared" si="83"/>
        <v>On Time</v>
      </c>
      <c r="Q1058" s="2" t="str">
        <f>PROPER(SUBSTITUTE(TRIM([1]RawShipmentData!M1066)," ","-"))</f>
        <v>Delivered</v>
      </c>
      <c r="R1058" s="4">
        <f t="shared" si="84"/>
        <v>1220</v>
      </c>
      <c r="S1058" s="2">
        <f>[1]RawShipmentData!N1066</f>
        <v>5</v>
      </c>
      <c r="T1058" s="2" t="str">
        <f>IF(OR(UPPER(TRIM([1]RawShipmentData!O1066))="YES",UPPER(TRIM([1]RawShipmentData!O1066))="Y"),"Yes","No")</f>
        <v>No</v>
      </c>
    </row>
    <row r="1059" spans="1:20" x14ac:dyDescent="0.25">
      <c r="A1059" s="2" t="str">
        <f>[1]RawShipmentData!A1067</f>
        <v>SHP-101185</v>
      </c>
      <c r="B1059" s="3">
        <f>IF(ISNUMBER(SEARCH("/",TRIM([1]RawShipmentData!B1067))),DATE(VALUE(RIGHT(TRIM([1]RawShipmentData!B1067),4)),VALUE(MID(TRIM([1]RawShipmentData!B1067),FIND("/",TRIM([1]RawShipmentData!B1067))+1,2)),VALUE(LEFT(TRIM([1]RawShipmentData!B1067),FIND("/",TRIM([1]RawShipmentData!B1067))-1))),DATEVALUE(TRIM([1]RawShipmentData!B1067)))</f>
        <v>45345</v>
      </c>
      <c r="C1059" s="2" t="str">
        <f>PROPER(TRIM([1]RawShipmentData!C1067))</f>
        <v>Bengaluru</v>
      </c>
      <c r="D1059" s="2" t="str">
        <f>IFERROR(INDEX([1]HubMaster!$B$2:$B$7,MATCH(C1059,[1]HubMaster!$A$2:$A$7,0)),"Unknown")</f>
        <v>South</v>
      </c>
      <c r="E1059" s="2" t="str">
        <f>PROPER(TRIM(SUBSTITUTE([1]RawShipmentData!D1067,"  "," ")))</f>
        <v>Dtdc</v>
      </c>
      <c r="F1059" s="2" t="str">
        <f>PROPER(TRIM([1]RawShipmentData!E1067))</f>
        <v>Road</v>
      </c>
      <c r="G1059" s="2" t="str">
        <f>PROPER(TRIM(SUBSTITUTE([1]RawShipmentData!F1067,"  "," ")))</f>
        <v>Electronics</v>
      </c>
      <c r="H1059" s="2" t="str">
        <f>PROPER(TRIM([1]RawShipmentData!G1067))</f>
        <v>West</v>
      </c>
      <c r="I1059" s="2" t="str">
        <f t="shared" si="80"/>
        <v>Yes</v>
      </c>
      <c r="J1059" s="2">
        <f>IFERROR(VALUE(TRIM(SUBSTITUTE(UPPER([1]RawShipmentData!I1059),"KG",""))),"")</f>
        <v>63.8</v>
      </c>
      <c r="K1059" s="2">
        <f>VALUE(SUBSTITUTE(SUBSTITUTE(SUBSTITUTE(TRIM([1]RawShipmentData!J1067),"₹",""),"Rs",""),",",""))</f>
        <v>351</v>
      </c>
      <c r="L1059" s="2">
        <f>[1]RawShipmentData!K1067</f>
        <v>8</v>
      </c>
      <c r="M1059" s="3">
        <f>IF(TRIM([1]RawShipmentData!L1067)="","",IF(ISNUMBER(SEARCH("/",TRIM([1]RawShipmentData!L1067))),DATE(VALUE(RIGHT(TRIM([1]RawShipmentData!L1067),4)),VALUE(MID(TRIM([1]RawShipmentData!L1067),FIND("/",TRIM([1]RawShipmentData!L1067))+1,2)),VALUE(LEFT(TRIM([1]RawShipmentData!L1067),FIND("/",TRIM([1]RawShipmentData!L1067))-1))),DATEVALUE(TRIM([1]RawShipmentData!L1067))))</f>
        <v>45352</v>
      </c>
      <c r="N1059" s="2">
        <f t="shared" si="81"/>
        <v>7</v>
      </c>
      <c r="O1059" s="2">
        <f t="shared" si="82"/>
        <v>-1</v>
      </c>
      <c r="P1059" s="2" t="str">
        <f t="shared" si="83"/>
        <v>On Time</v>
      </c>
      <c r="Q1059" s="2" t="str">
        <f>PROPER(SUBSTITUTE(TRIM([1]RawShipmentData!M1067)," ","-"))</f>
        <v>Damaged</v>
      </c>
      <c r="R1059" s="4">
        <f t="shared" si="84"/>
        <v>5.5015673981191222</v>
      </c>
      <c r="S1059" s="2">
        <f>[1]RawShipmentData!N1067</f>
        <v>0</v>
      </c>
      <c r="T1059" s="2" t="str">
        <f>IF(OR(UPPER(TRIM([1]RawShipmentData!O1067))="YES",UPPER(TRIM([1]RawShipmentData!O1067))="Y"),"Yes","No")</f>
        <v>Yes</v>
      </c>
    </row>
    <row r="1060" spans="1:20" x14ac:dyDescent="0.25">
      <c r="A1060" s="2" t="str">
        <f>[1]RawShipmentData!A1068</f>
        <v>SHP-101043</v>
      </c>
      <c r="B1060" s="3">
        <f>IF(ISNUMBER(SEARCH("/",TRIM([1]RawShipmentData!B1068))),DATE(VALUE(RIGHT(TRIM([1]RawShipmentData!B1068),4)),VALUE(MID(TRIM([1]RawShipmentData!B1068),FIND("/",TRIM([1]RawShipmentData!B1068))+1,2)),VALUE(LEFT(TRIM([1]RawShipmentData!B1068),FIND("/",TRIM([1]RawShipmentData!B1068))-1))),DATEVALUE(TRIM([1]RawShipmentData!B1068)))</f>
        <v>45303</v>
      </c>
      <c r="C1060" s="2" t="str">
        <f>PROPER(TRIM([1]RawShipmentData!C1068))</f>
        <v>Hyderabad</v>
      </c>
      <c r="D1060" s="2" t="str">
        <f>IFERROR(INDEX([1]HubMaster!$B$2:$B$7,MATCH(C1060,[1]HubMaster!$A$2:$A$7,0)),"Unknown")</f>
        <v>West</v>
      </c>
      <c r="E1060" s="2" t="str">
        <f>PROPER(TRIM(SUBSTITUTE([1]RawShipmentData!D1068,"  "," ")))</f>
        <v>Xpressbees</v>
      </c>
      <c r="F1060" s="2" t="str">
        <f>PROPER(TRIM([1]RawShipmentData!E1068))</f>
        <v>Air</v>
      </c>
      <c r="G1060" s="2" t="str">
        <f>PROPER(TRIM(SUBSTITUTE([1]RawShipmentData!F1068,"  "," ")))</f>
        <v>Furniture</v>
      </c>
      <c r="H1060" s="2" t="str">
        <f>PROPER(TRIM([1]RawShipmentData!G1068))</f>
        <v>West</v>
      </c>
      <c r="I1060" s="2" t="str">
        <f t="shared" si="80"/>
        <v>No</v>
      </c>
      <c r="J1060" s="2">
        <f>IFERROR(VALUE(TRIM(SUBSTITUTE(UPPER([1]RawShipmentData!I1060),"KG",""))),"")</f>
        <v>4.5999999999999996</v>
      </c>
      <c r="K1060" s="2">
        <f>VALUE(SUBSTITUTE(SUBSTITUTE(SUBSTITUTE(TRIM([1]RawShipmentData!J1068),"₹",""),"Rs",""),",",""))</f>
        <v>3412</v>
      </c>
      <c r="L1060" s="2">
        <f>[1]RawShipmentData!K1068</f>
        <v>2</v>
      </c>
      <c r="M1060" s="3">
        <f>IF(TRIM([1]RawShipmentData!L1068)="","",IF(ISNUMBER(SEARCH("/",TRIM([1]RawShipmentData!L1068))),DATE(VALUE(RIGHT(TRIM([1]RawShipmentData!L1068),4)),VALUE(MID(TRIM([1]RawShipmentData!L1068),FIND("/",TRIM([1]RawShipmentData!L1068))+1,2)),VALUE(LEFT(TRIM([1]RawShipmentData!L1068),FIND("/",TRIM([1]RawShipmentData!L1068))-1))),DATEVALUE(TRIM([1]RawShipmentData!L1068))))</f>
        <v>45304</v>
      </c>
      <c r="N1060" s="2">
        <f t="shared" si="81"/>
        <v>1</v>
      </c>
      <c r="O1060" s="2">
        <f t="shared" si="82"/>
        <v>-1</v>
      </c>
      <c r="P1060" s="2" t="str">
        <f t="shared" si="83"/>
        <v>On Time</v>
      </c>
      <c r="Q1060" s="2" t="str">
        <f>PROPER(SUBSTITUTE(TRIM([1]RawShipmentData!M1068)," ","-"))</f>
        <v>Delivered</v>
      </c>
      <c r="R1060" s="4">
        <f t="shared" si="84"/>
        <v>741.73913043478262</v>
      </c>
      <c r="S1060" s="2">
        <f>[1]RawShipmentData!N1068</f>
        <v>4</v>
      </c>
      <c r="T1060" s="2" t="str">
        <f>IF(OR(UPPER(TRIM([1]RawShipmentData!O1068))="YES",UPPER(TRIM([1]RawShipmentData!O1068))="Y"),"Yes","No")</f>
        <v>No</v>
      </c>
    </row>
    <row r="1061" spans="1:20" x14ac:dyDescent="0.25">
      <c r="A1061" s="2" t="str">
        <f>[1]RawShipmentData!A1069</f>
        <v>SHP-100355</v>
      </c>
      <c r="B1061" s="3">
        <f>IF(ISNUMBER(SEARCH("/",TRIM([1]RawShipmentData!B1069))),DATE(VALUE(RIGHT(TRIM([1]RawShipmentData!B1069),4)),VALUE(MID(TRIM([1]RawShipmentData!B1069),FIND("/",TRIM([1]RawShipmentData!B1069))+1,2)),VALUE(LEFT(TRIM([1]RawShipmentData!B1069),FIND("/",TRIM([1]RawShipmentData!B1069))-1))),DATEVALUE(TRIM([1]RawShipmentData!B1069)))</f>
        <v>45344</v>
      </c>
      <c r="C1061" s="2" t="str">
        <f>PROPER(TRIM([1]RawShipmentData!C1069))</f>
        <v>Mumbai</v>
      </c>
      <c r="D1061" s="2" t="str">
        <f>IFERROR(INDEX([1]HubMaster!$B$2:$B$7,MATCH(C1061,[1]HubMaster!$A$2:$A$7,0)),"Unknown")</f>
        <v>West</v>
      </c>
      <c r="E1061" s="2" t="str">
        <f>PROPER(TRIM(SUBSTITUTE([1]RawShipmentData!D1069,"  "," ")))</f>
        <v>Dtdc</v>
      </c>
      <c r="F1061" s="2" t="str">
        <f>PROPER(TRIM([1]RawShipmentData!E1069))</f>
        <v>Road</v>
      </c>
      <c r="G1061" s="2" t="str">
        <f>PROPER(TRIM(SUBSTITUTE([1]RawShipmentData!F1069,"  "," ")))</f>
        <v>Pharma</v>
      </c>
      <c r="H1061" s="2" t="str">
        <f>PROPER(TRIM([1]RawShipmentData!G1069))</f>
        <v>West</v>
      </c>
      <c r="I1061" s="2" t="str">
        <f t="shared" si="80"/>
        <v>No</v>
      </c>
      <c r="J1061" s="2">
        <f>IFERROR(VALUE(TRIM(SUBSTITUTE(UPPER([1]RawShipmentData!I1061),"KG",""))),"")</f>
        <v>8.5</v>
      </c>
      <c r="K1061" s="2">
        <f>VALUE(SUBSTITUTE(SUBSTITUTE(SUBSTITUTE(TRIM([1]RawShipmentData!J1069),"₹",""),"Rs",""),",",""))</f>
        <v>104</v>
      </c>
      <c r="L1061" s="2">
        <f>[1]RawShipmentData!K1069</f>
        <v>6</v>
      </c>
      <c r="M1061" s="3">
        <f>IF(TRIM([1]RawShipmentData!L1069)="","",IF(ISNUMBER(SEARCH("/",TRIM([1]RawShipmentData!L1069))),DATE(VALUE(RIGHT(TRIM([1]RawShipmentData!L1069),4)),VALUE(MID(TRIM([1]RawShipmentData!L1069),FIND("/",TRIM([1]RawShipmentData!L1069))+1,2)),VALUE(LEFT(TRIM([1]RawShipmentData!L1069),FIND("/",TRIM([1]RawShipmentData!L1069))-1))),DATEVALUE(TRIM([1]RawShipmentData!L1069))))</f>
        <v>45350</v>
      </c>
      <c r="N1061" s="2">
        <f t="shared" si="81"/>
        <v>6</v>
      </c>
      <c r="O1061" s="2">
        <f t="shared" si="82"/>
        <v>0</v>
      </c>
      <c r="P1061" s="2" t="str">
        <f t="shared" si="83"/>
        <v>On Time</v>
      </c>
      <c r="Q1061" s="2" t="str">
        <f>PROPER(SUBSTITUTE(TRIM([1]RawShipmentData!M1069)," ","-"))</f>
        <v>Delivered</v>
      </c>
      <c r="R1061" s="4">
        <f t="shared" si="84"/>
        <v>12.235294117647058</v>
      </c>
      <c r="S1061" s="2">
        <f>[1]RawShipmentData!N1069</f>
        <v>4</v>
      </c>
      <c r="T1061" s="2" t="str">
        <f>IF(OR(UPPER(TRIM([1]RawShipmentData!O1069))="YES",UPPER(TRIM([1]RawShipmentData!O1069))="Y"),"Yes","No")</f>
        <v>No</v>
      </c>
    </row>
    <row r="1062" spans="1:20" x14ac:dyDescent="0.25">
      <c r="A1062" s="2" t="str">
        <f>[1]RawShipmentData!A1070</f>
        <v>SHP-100409</v>
      </c>
      <c r="B1062" s="3">
        <f>IF(ISNUMBER(SEARCH("/",TRIM([1]RawShipmentData!B1070))),DATE(VALUE(RIGHT(TRIM([1]RawShipmentData!B1070),4)),VALUE(MID(TRIM([1]RawShipmentData!B1070),FIND("/",TRIM([1]RawShipmentData!B1070))+1,2)),VALUE(LEFT(TRIM([1]RawShipmentData!B1070),FIND("/",TRIM([1]RawShipmentData!B1070))-1))),DATEVALUE(TRIM([1]RawShipmentData!B1070)))</f>
        <v>45401</v>
      </c>
      <c r="C1062" s="2" t="str">
        <f>PROPER(TRIM([1]RawShipmentData!C1070))</f>
        <v>Bengaluru</v>
      </c>
      <c r="D1062" s="2" t="str">
        <f>IFERROR(INDEX([1]HubMaster!$B$2:$B$7,MATCH(C1062,[1]HubMaster!$A$2:$A$7,0)),"Unknown")</f>
        <v>South</v>
      </c>
      <c r="E1062" s="2" t="str">
        <f>PROPER(TRIM(SUBSTITUTE([1]RawShipmentData!D1070,"  "," ")))</f>
        <v>Delhivery</v>
      </c>
      <c r="F1062" s="2" t="str">
        <f>PROPER(TRIM([1]RawShipmentData!E1070))</f>
        <v>Surface</v>
      </c>
      <c r="G1062" s="2" t="str">
        <f>PROPER(TRIM(SUBSTITUTE([1]RawShipmentData!F1070,"  "," ")))</f>
        <v>Pharma</v>
      </c>
      <c r="H1062" s="2" t="str">
        <f>PROPER(TRIM([1]RawShipmentData!G1070))</f>
        <v>South</v>
      </c>
      <c r="I1062" s="2" t="str">
        <f t="shared" si="80"/>
        <v>No</v>
      </c>
      <c r="J1062" s="2">
        <f>IFERROR(VALUE(TRIM(SUBSTITUTE(UPPER([1]RawShipmentData!I1062),"KG",""))),"")</f>
        <v>9.6999999999999993</v>
      </c>
      <c r="K1062" s="2">
        <f>VALUE(SUBSTITUTE(SUBSTITUTE(SUBSTITUTE(TRIM([1]RawShipmentData!J1070),"₹",""),"Rs",""),",",""))</f>
        <v>91</v>
      </c>
      <c r="L1062" s="2">
        <f>[1]RawShipmentData!K1070</f>
        <v>4</v>
      </c>
      <c r="M1062" s="3">
        <f>IF(TRIM([1]RawShipmentData!L1070)="","",IF(ISNUMBER(SEARCH("/",TRIM([1]RawShipmentData!L1070))),DATE(VALUE(RIGHT(TRIM([1]RawShipmentData!L1070),4)),VALUE(MID(TRIM([1]RawShipmentData!L1070),FIND("/",TRIM([1]RawShipmentData!L1070))+1,2)),VALUE(LEFT(TRIM([1]RawShipmentData!L1070),FIND("/",TRIM([1]RawShipmentData!L1070))-1))),DATEVALUE(TRIM([1]RawShipmentData!L1070))))</f>
        <v>45414</v>
      </c>
      <c r="N1062" s="2">
        <f t="shared" si="81"/>
        <v>13</v>
      </c>
      <c r="O1062" s="2">
        <f t="shared" si="82"/>
        <v>9</v>
      </c>
      <c r="P1062" s="2" t="str">
        <f t="shared" si="83"/>
        <v>Late</v>
      </c>
      <c r="Q1062" s="2" t="str">
        <f>PROPER(SUBSTITUTE(TRIM([1]RawShipmentData!M1070)," ","-"))</f>
        <v>Delayed</v>
      </c>
      <c r="R1062" s="4">
        <f t="shared" si="84"/>
        <v>9.3814432989690726</v>
      </c>
      <c r="S1062" s="2">
        <f>[1]RawShipmentData!N1070</f>
        <v>3</v>
      </c>
      <c r="T1062" s="2" t="str">
        <f>IF(OR(UPPER(TRIM([1]RawShipmentData!O1070))="YES",UPPER(TRIM([1]RawShipmentData!O1070))="Y"),"Yes","No")</f>
        <v>Yes</v>
      </c>
    </row>
    <row r="1063" spans="1:20" x14ac:dyDescent="0.25">
      <c r="A1063" s="2" t="str">
        <f>[1]RawShipmentData!A1071</f>
        <v>SHP-101492</v>
      </c>
      <c r="B1063" s="3">
        <f>IF(ISNUMBER(SEARCH("/",TRIM([1]RawShipmentData!B1071))),DATE(VALUE(RIGHT(TRIM([1]RawShipmentData!B1071),4)),VALUE(MID(TRIM([1]RawShipmentData!B1071),FIND("/",TRIM([1]RawShipmentData!B1071))+1,2)),VALUE(LEFT(TRIM([1]RawShipmentData!B1071),FIND("/",TRIM([1]RawShipmentData!B1071))-1))),DATEVALUE(TRIM([1]RawShipmentData!B1071)))</f>
        <v>45459</v>
      </c>
      <c r="C1063" s="2" t="str">
        <f>PROPER(TRIM([1]RawShipmentData!C1071))</f>
        <v>Mumbai</v>
      </c>
      <c r="D1063" s="2" t="str">
        <f>IFERROR(INDEX([1]HubMaster!$B$2:$B$7,MATCH(C1063,[1]HubMaster!$A$2:$A$7,0)),"Unknown")</f>
        <v>West</v>
      </c>
      <c r="E1063" s="2" t="str">
        <f>PROPER(TRIM(SUBSTITUTE([1]RawShipmentData!D1071,"  "," ")))</f>
        <v>Xpressbees</v>
      </c>
      <c r="F1063" s="2" t="str">
        <f>PROPER(TRIM([1]RawShipmentData!E1071))</f>
        <v>Surface</v>
      </c>
      <c r="G1063" s="2" t="str">
        <f>PROPER(TRIM(SUBSTITUTE([1]RawShipmentData!F1071,"  "," ")))</f>
        <v>Apparel</v>
      </c>
      <c r="H1063" s="2" t="str">
        <f>PROPER(TRIM([1]RawShipmentData!G1071))</f>
        <v>South</v>
      </c>
      <c r="I1063" s="2" t="str">
        <f t="shared" si="80"/>
        <v>Yes</v>
      </c>
      <c r="J1063" s="2">
        <f>IFERROR(VALUE(TRIM(SUBSTITUTE(UPPER([1]RawShipmentData!I1063),"KG",""))),"")</f>
        <v>68.5</v>
      </c>
      <c r="K1063" s="2">
        <f>VALUE(SUBSTITUTE(SUBSTITUTE(SUBSTITUTE(TRIM([1]RawShipmentData!J1071),"₹",""),"Rs",""),",",""))</f>
        <v>292</v>
      </c>
      <c r="L1063" s="2">
        <f>[1]RawShipmentData!K1071</f>
        <v>6</v>
      </c>
      <c r="M1063" s="3">
        <f>IF(TRIM([1]RawShipmentData!L1071)="","",IF(ISNUMBER(SEARCH("/",TRIM([1]RawShipmentData!L1071))),DATE(VALUE(RIGHT(TRIM([1]RawShipmentData!L1071),4)),VALUE(MID(TRIM([1]RawShipmentData!L1071),FIND("/",TRIM([1]RawShipmentData!L1071))+1,2)),VALUE(LEFT(TRIM([1]RawShipmentData!L1071),FIND("/",TRIM([1]RawShipmentData!L1071))-1))),DATEVALUE(TRIM([1]RawShipmentData!L1071))))</f>
        <v>45465</v>
      </c>
      <c r="N1063" s="2">
        <f t="shared" si="81"/>
        <v>6</v>
      </c>
      <c r="O1063" s="2">
        <f t="shared" si="82"/>
        <v>0</v>
      </c>
      <c r="P1063" s="2" t="str">
        <f t="shared" si="83"/>
        <v>On Time</v>
      </c>
      <c r="Q1063" s="2" t="str">
        <f>PROPER(SUBSTITUTE(TRIM([1]RawShipmentData!M1071)," ","-"))</f>
        <v>Delivered</v>
      </c>
      <c r="R1063" s="4">
        <f t="shared" si="84"/>
        <v>4.2627737226277373</v>
      </c>
      <c r="S1063" s="2">
        <f>[1]RawShipmentData!N1071</f>
        <v>4</v>
      </c>
      <c r="T1063" s="2" t="str">
        <f>IF(OR(UPPER(TRIM([1]RawShipmentData!O1071))="YES",UPPER(TRIM([1]RawShipmentData!O1071))="Y"),"Yes","No")</f>
        <v>No</v>
      </c>
    </row>
    <row r="1064" spans="1:20" x14ac:dyDescent="0.25">
      <c r="A1064" s="2" t="str">
        <f>[1]RawShipmentData!A1072</f>
        <v>SHP-101063</v>
      </c>
      <c r="B1064" s="3">
        <f>IF(ISNUMBER(SEARCH("/",TRIM([1]RawShipmentData!B1072))),DATE(VALUE(RIGHT(TRIM([1]RawShipmentData!B1072),4)),VALUE(MID(TRIM([1]RawShipmentData!B1072),FIND("/",TRIM([1]RawShipmentData!B1072))+1,2)),VALUE(LEFT(TRIM([1]RawShipmentData!B1072),FIND("/",TRIM([1]RawShipmentData!B1072))-1))),DATEVALUE(TRIM([1]RawShipmentData!B1072)))</f>
        <v>45337</v>
      </c>
      <c r="C1064" s="2" t="str">
        <f>PROPER(TRIM([1]RawShipmentData!C1072))</f>
        <v>Kolkata</v>
      </c>
      <c r="D1064" s="2" t="str">
        <f>IFERROR(INDEX([1]HubMaster!$B$2:$B$7,MATCH(C1064,[1]HubMaster!$A$2:$A$7,0)),"Unknown")</f>
        <v>East</v>
      </c>
      <c r="E1064" s="2" t="str">
        <f>PROPER(TRIM(SUBSTITUTE([1]RawShipmentData!D1072,"  "," ")))</f>
        <v>Ecom Express</v>
      </c>
      <c r="F1064" s="2" t="str">
        <f>PROPER(TRIM([1]RawShipmentData!E1072))</f>
        <v>Road</v>
      </c>
      <c r="G1064" s="2" t="str">
        <f>PROPER(TRIM(SUBSTITUTE([1]RawShipmentData!F1072,"  "," ")))</f>
        <v>Electronics</v>
      </c>
      <c r="H1064" s="2" t="str">
        <f>PROPER(TRIM([1]RawShipmentData!G1072))</f>
        <v>North</v>
      </c>
      <c r="I1064" s="2" t="str">
        <f t="shared" si="80"/>
        <v>Yes</v>
      </c>
      <c r="J1064" s="2">
        <f>IFERROR(VALUE(TRIM(SUBSTITUTE(UPPER([1]RawShipmentData!I1064),"KG",""))),"")</f>
        <v>58.2</v>
      </c>
      <c r="K1064" s="2">
        <f>VALUE(SUBSTITUTE(SUBSTITUTE(SUBSTITUTE(TRIM([1]RawShipmentData!J1072),"₹",""),"Rs",""),",",""))</f>
        <v>290</v>
      </c>
      <c r="L1064" s="2">
        <f>[1]RawShipmentData!K1072</f>
        <v>8</v>
      </c>
      <c r="M1064" s="3">
        <f>IF(TRIM([1]RawShipmentData!L1072)="","",IF(ISNUMBER(SEARCH("/",TRIM([1]RawShipmentData!L1072))),DATE(VALUE(RIGHT(TRIM([1]RawShipmentData!L1072),4)),VALUE(MID(TRIM([1]RawShipmentData!L1072),FIND("/",TRIM([1]RawShipmentData!L1072))+1,2)),VALUE(LEFT(TRIM([1]RawShipmentData!L1072),FIND("/",TRIM([1]RawShipmentData!L1072))-1))),DATEVALUE(TRIM([1]RawShipmentData!L1072))))</f>
        <v>45345</v>
      </c>
      <c r="N1064" s="2">
        <f t="shared" si="81"/>
        <v>8</v>
      </c>
      <c r="O1064" s="2">
        <f t="shared" si="82"/>
        <v>0</v>
      </c>
      <c r="P1064" s="2" t="str">
        <f t="shared" si="83"/>
        <v>On Time</v>
      </c>
      <c r="Q1064" s="2" t="str">
        <f>PROPER(SUBSTITUTE(TRIM([1]RawShipmentData!M1072)," ","-"))</f>
        <v>Delivered</v>
      </c>
      <c r="R1064" s="4">
        <f t="shared" si="84"/>
        <v>4.9828178694158076</v>
      </c>
      <c r="S1064" s="2">
        <f>[1]RawShipmentData!N1072</f>
        <v>3</v>
      </c>
      <c r="T1064" s="2" t="str">
        <f>IF(OR(UPPER(TRIM([1]RawShipmentData!O1072))="YES",UPPER(TRIM([1]RawShipmentData!O1072))="Y"),"Yes","No")</f>
        <v>Yes</v>
      </c>
    </row>
    <row r="1065" spans="1:20" x14ac:dyDescent="0.25">
      <c r="A1065" s="2" t="str">
        <f>[1]RawShipmentData!A1073</f>
        <v>SHP-100950</v>
      </c>
      <c r="B1065" s="3">
        <f>IF(ISNUMBER(SEARCH("/",TRIM([1]RawShipmentData!B1073))),DATE(VALUE(RIGHT(TRIM([1]RawShipmentData!B1073),4)),VALUE(MID(TRIM([1]RawShipmentData!B1073),FIND("/",TRIM([1]RawShipmentData!B1073))+1,2)),VALUE(LEFT(TRIM([1]RawShipmentData!B1073),FIND("/",TRIM([1]RawShipmentData!B1073))-1))),DATEVALUE(TRIM([1]RawShipmentData!B1073)))</f>
        <v>45300</v>
      </c>
      <c r="C1065" s="2" t="str">
        <f>PROPER(TRIM([1]RawShipmentData!C1073))</f>
        <v>Mumbai</v>
      </c>
      <c r="D1065" s="2" t="str">
        <f>IFERROR(INDEX([1]HubMaster!$B$2:$B$7,MATCH(C1065,[1]HubMaster!$A$2:$A$7,0)),"Unknown")</f>
        <v>West</v>
      </c>
      <c r="E1065" s="2" t="str">
        <f>PROPER(TRIM(SUBSTITUTE([1]RawShipmentData!D1073,"  "," ")))</f>
        <v>Delhivery</v>
      </c>
      <c r="F1065" s="2" t="str">
        <f>PROPER(TRIM([1]RawShipmentData!E1073))</f>
        <v>Surface</v>
      </c>
      <c r="G1065" s="2" t="str">
        <f>PROPER(TRIM(SUBSTITUTE([1]RawShipmentData!F1073,"  "," ")))</f>
        <v>Apparel</v>
      </c>
      <c r="H1065" s="2" t="str">
        <f>PROPER(TRIM([1]RawShipmentData!G1073))</f>
        <v>South</v>
      </c>
      <c r="I1065" s="2" t="str">
        <f t="shared" si="80"/>
        <v>Yes</v>
      </c>
      <c r="J1065" s="2">
        <f>IFERROR(VALUE(TRIM(SUBSTITUTE(UPPER([1]RawShipmentData!I1065),"KG",""))),"")</f>
        <v>4.5</v>
      </c>
      <c r="K1065" s="2">
        <f>VALUE(SUBSTITUTE(SUBSTITUTE(SUBSTITUTE(TRIM([1]RawShipmentData!J1073),"₹",""),"Rs",""),",",""))</f>
        <v>138</v>
      </c>
      <c r="L1065" s="2">
        <f>[1]RawShipmentData!K1073</f>
        <v>6</v>
      </c>
      <c r="M1065" s="3">
        <f>IF(TRIM([1]RawShipmentData!L1073)="","",IF(ISNUMBER(SEARCH("/",TRIM([1]RawShipmentData!L1073))),DATE(VALUE(RIGHT(TRIM([1]RawShipmentData!L1073),4)),VALUE(MID(TRIM([1]RawShipmentData!L1073),FIND("/",TRIM([1]RawShipmentData!L1073))+1,2)),VALUE(LEFT(TRIM([1]RawShipmentData!L1073),FIND("/",TRIM([1]RawShipmentData!L1073))-1))),DATEVALUE(TRIM([1]RawShipmentData!L1073))))</f>
        <v>45305</v>
      </c>
      <c r="N1065" s="2">
        <f t="shared" si="81"/>
        <v>5</v>
      </c>
      <c r="O1065" s="2">
        <f t="shared" si="82"/>
        <v>-1</v>
      </c>
      <c r="P1065" s="2" t="str">
        <f t="shared" si="83"/>
        <v>On Time</v>
      </c>
      <c r="Q1065" s="2" t="str">
        <f>PROPER(SUBSTITUTE(TRIM([1]RawShipmentData!M1073)," ","-"))</f>
        <v>Delivered</v>
      </c>
      <c r="R1065" s="4">
        <f t="shared" si="84"/>
        <v>30.666666666666668</v>
      </c>
      <c r="S1065" s="2">
        <f>[1]RawShipmentData!N1073</f>
        <v>4</v>
      </c>
      <c r="T1065" s="2" t="str">
        <f>IF(OR(UPPER(TRIM([1]RawShipmentData!O1073))="YES",UPPER(TRIM([1]RawShipmentData!O1073))="Y"),"Yes","No")</f>
        <v>Yes</v>
      </c>
    </row>
    <row r="1066" spans="1:20" x14ac:dyDescent="0.25">
      <c r="A1066" s="2" t="str">
        <f>[1]RawShipmentData!A1074</f>
        <v>SHP-101568</v>
      </c>
      <c r="B1066" s="3">
        <f>IF(ISNUMBER(SEARCH("/",TRIM([1]RawShipmentData!B1074))),DATE(VALUE(RIGHT(TRIM([1]RawShipmentData!B1074),4)),VALUE(MID(TRIM([1]RawShipmentData!B1074),FIND("/",TRIM([1]RawShipmentData!B1074))+1,2)),VALUE(LEFT(TRIM([1]RawShipmentData!B1074),FIND("/",TRIM([1]RawShipmentData!B1074))-1))),DATEVALUE(TRIM([1]RawShipmentData!B1074)))</f>
        <v>45454</v>
      </c>
      <c r="C1066" s="2" t="str">
        <f>PROPER(TRIM([1]RawShipmentData!C1074))</f>
        <v>Kolkata</v>
      </c>
      <c r="D1066" s="2" t="str">
        <f>IFERROR(INDEX([1]HubMaster!$B$2:$B$7,MATCH(C1066,[1]HubMaster!$A$2:$A$7,0)),"Unknown")</f>
        <v>East</v>
      </c>
      <c r="E1066" s="2" t="str">
        <f>PROPER(TRIM(SUBSTITUTE([1]RawShipmentData!D1074,"  "," ")))</f>
        <v>Dtdc</v>
      </c>
      <c r="F1066" s="2" t="str">
        <f>PROPER(TRIM([1]RawShipmentData!E1074))</f>
        <v>Road</v>
      </c>
      <c r="G1066" s="2" t="str">
        <f>PROPER(TRIM(SUBSTITUTE([1]RawShipmentData!F1074,"  "," ")))</f>
        <v>Furniture</v>
      </c>
      <c r="H1066" s="2" t="str">
        <f>PROPER(TRIM([1]RawShipmentData!G1074))</f>
        <v>West</v>
      </c>
      <c r="I1066" s="2" t="str">
        <f t="shared" si="80"/>
        <v>Yes</v>
      </c>
      <c r="J1066" s="2">
        <f>IFERROR(VALUE(TRIM(SUBSTITUTE(UPPER([1]RawShipmentData!I1066),"KG",""))),"")</f>
        <v>20.3</v>
      </c>
      <c r="K1066" s="2">
        <f>VALUE(SUBSTITUTE(SUBSTITUTE(SUBSTITUTE(TRIM([1]RawShipmentData!J1074),"₹",""),"Rs",""),",",""))</f>
        <v>1049</v>
      </c>
      <c r="L1066" s="2">
        <f>[1]RawShipmentData!K1074</f>
        <v>8</v>
      </c>
      <c r="M1066" s="3">
        <f>IF(TRIM([1]RawShipmentData!L1074)="","",IF(ISNUMBER(SEARCH("/",TRIM([1]RawShipmentData!L1074))),DATE(VALUE(RIGHT(TRIM([1]RawShipmentData!L1074),4)),VALUE(MID(TRIM([1]RawShipmentData!L1074),FIND("/",TRIM([1]RawShipmentData!L1074))+1,2)),VALUE(LEFT(TRIM([1]RawShipmentData!L1074),FIND("/",TRIM([1]RawShipmentData!L1074))-1))),DATEVALUE(TRIM([1]RawShipmentData!L1074))))</f>
        <v>45463</v>
      </c>
      <c r="N1066" s="2">
        <f t="shared" si="81"/>
        <v>9</v>
      </c>
      <c r="O1066" s="2">
        <f t="shared" si="82"/>
        <v>1</v>
      </c>
      <c r="P1066" s="2" t="str">
        <f t="shared" si="83"/>
        <v>Late</v>
      </c>
      <c r="Q1066" s="2" t="str">
        <f>PROPER(SUBSTITUTE(TRIM([1]RawShipmentData!M1074)," ","-"))</f>
        <v>Returned</v>
      </c>
      <c r="R1066" s="4">
        <f t="shared" si="84"/>
        <v>51.674876847290641</v>
      </c>
      <c r="S1066" s="2">
        <f>[1]RawShipmentData!N1074</f>
        <v>0</v>
      </c>
      <c r="T1066" s="2" t="str">
        <f>IF(OR(UPPER(TRIM([1]RawShipmentData!O1074))="YES",UPPER(TRIM([1]RawShipmentData!O1074))="Y"),"Yes","No")</f>
        <v>No</v>
      </c>
    </row>
    <row r="1067" spans="1:20" x14ac:dyDescent="0.25">
      <c r="A1067" s="2" t="str">
        <f>[1]RawShipmentData!A1075</f>
        <v>SHP-101283</v>
      </c>
      <c r="B1067" s="3">
        <f>IF(ISNUMBER(SEARCH("/",TRIM([1]RawShipmentData!B1075))),DATE(VALUE(RIGHT(TRIM([1]RawShipmentData!B1075),4)),VALUE(MID(TRIM([1]RawShipmentData!B1075),FIND("/",TRIM([1]RawShipmentData!B1075))+1,2)),VALUE(LEFT(TRIM([1]RawShipmentData!B1075),FIND("/",TRIM([1]RawShipmentData!B1075))-1))),DATEVALUE(TRIM([1]RawShipmentData!B1075)))</f>
        <v>45379</v>
      </c>
      <c r="C1067" s="2" t="str">
        <f>PROPER(TRIM([1]RawShipmentData!C1075))</f>
        <v>Mumbai</v>
      </c>
      <c r="D1067" s="2" t="str">
        <f>IFERROR(INDEX([1]HubMaster!$B$2:$B$7,MATCH(C1067,[1]HubMaster!$A$2:$A$7,0)),"Unknown")</f>
        <v>West</v>
      </c>
      <c r="E1067" s="2" t="str">
        <f>PROPER(TRIM(SUBSTITUTE([1]RawShipmentData!D1075,"  "," ")))</f>
        <v>Xpressbees</v>
      </c>
      <c r="F1067" s="2" t="str">
        <f>PROPER(TRIM([1]RawShipmentData!E1075))</f>
        <v>Air</v>
      </c>
      <c r="G1067" s="2" t="str">
        <f>PROPER(TRIM(SUBSTITUTE([1]RawShipmentData!F1075,"  "," ")))</f>
        <v>Pharma</v>
      </c>
      <c r="H1067" s="2" t="str">
        <f>PROPER(TRIM([1]RawShipmentData!G1075))</f>
        <v>South</v>
      </c>
      <c r="I1067" s="2" t="str">
        <f t="shared" si="80"/>
        <v>Yes</v>
      </c>
      <c r="J1067" s="2">
        <f>IFERROR(VALUE(TRIM(SUBSTITUTE(UPPER([1]RawShipmentData!I1067),"KG",""))),"")</f>
        <v>10.199999999999999</v>
      </c>
      <c r="K1067" s="2">
        <f>VALUE(SUBSTITUTE(SUBSTITUTE(SUBSTITUTE(TRIM([1]RawShipmentData!J1075),"₹",""),"Rs",""),",",""))</f>
        <v>366</v>
      </c>
      <c r="L1067" s="2">
        <f>[1]RawShipmentData!K1075</f>
        <v>4</v>
      </c>
      <c r="M1067" s="3">
        <f>IF(TRIM([1]RawShipmentData!L1075)="","",IF(ISNUMBER(SEARCH("/",TRIM([1]RawShipmentData!L1075))),DATE(VALUE(RIGHT(TRIM([1]RawShipmentData!L1075),4)),VALUE(MID(TRIM([1]RawShipmentData!L1075),FIND("/",TRIM([1]RawShipmentData!L1075))+1,2)),VALUE(LEFT(TRIM([1]RawShipmentData!L1075),FIND("/",TRIM([1]RawShipmentData!L1075))-1))),DATEVALUE(TRIM([1]RawShipmentData!L1075))))</f>
        <v>45383</v>
      </c>
      <c r="N1067" s="2">
        <f t="shared" si="81"/>
        <v>4</v>
      </c>
      <c r="O1067" s="2">
        <f t="shared" si="82"/>
        <v>0</v>
      </c>
      <c r="P1067" s="2" t="str">
        <f t="shared" si="83"/>
        <v>On Time</v>
      </c>
      <c r="Q1067" s="2" t="str">
        <f>PROPER(SUBSTITUTE(TRIM([1]RawShipmentData!M1075)," ","-"))</f>
        <v>Delivered</v>
      </c>
      <c r="R1067" s="4">
        <f t="shared" si="84"/>
        <v>35.882352941176471</v>
      </c>
      <c r="S1067" s="2">
        <f>[1]RawShipmentData!N1075</f>
        <v>4</v>
      </c>
      <c r="T1067" s="2" t="str">
        <f>IF(OR(UPPER(TRIM([1]RawShipmentData!O1075))="YES",UPPER(TRIM([1]RawShipmentData!O1075))="Y"),"Yes","No")</f>
        <v>Yes</v>
      </c>
    </row>
    <row r="1068" spans="1:20" x14ac:dyDescent="0.25">
      <c r="A1068" s="2" t="str">
        <f>[1]RawShipmentData!A1077</f>
        <v>SHP-101077</v>
      </c>
      <c r="B1068" s="3">
        <f>IF(ISNUMBER(SEARCH("/",TRIM([1]RawShipmentData!B1077))),DATE(VALUE(RIGHT(TRIM([1]RawShipmentData!B1077),4)),VALUE(MID(TRIM([1]RawShipmentData!B1077),FIND("/",TRIM([1]RawShipmentData!B1077))+1,2)),VALUE(LEFT(TRIM([1]RawShipmentData!B1077),FIND("/",TRIM([1]RawShipmentData!B1077))-1))),DATEVALUE(TRIM([1]RawShipmentData!B1077)))</f>
        <v>45389</v>
      </c>
      <c r="C1068" s="2" t="str">
        <f>PROPER(TRIM([1]RawShipmentData!C1077))</f>
        <v>Bengaluru</v>
      </c>
      <c r="D1068" s="2" t="str">
        <f>IFERROR(INDEX([1]HubMaster!$B$2:$B$7,MATCH(C1068,[1]HubMaster!$A$2:$A$7,0)),"Unknown")</f>
        <v>South</v>
      </c>
      <c r="E1068" s="2" t="str">
        <f>PROPER(TRIM(SUBSTITUTE([1]RawShipmentData!D1077,"  "," ")))</f>
        <v>Ecom Express</v>
      </c>
      <c r="F1068" s="2" t="str">
        <f>PROPER(TRIM([1]RawShipmentData!E1077))</f>
        <v>Air</v>
      </c>
      <c r="G1068" s="2" t="str">
        <f>PROPER(TRIM(SUBSTITUTE([1]RawShipmentData!F1077,"  "," ")))</f>
        <v>Automotive Parts</v>
      </c>
      <c r="H1068" s="2" t="str">
        <f>PROPER(TRIM([1]RawShipmentData!G1077))</f>
        <v>South</v>
      </c>
      <c r="I1068" s="2" t="str">
        <f t="shared" si="80"/>
        <v>No</v>
      </c>
      <c r="J1068" s="2">
        <f>IFERROR(VALUE(TRIM(SUBSTITUTE(UPPER([1]RawShipmentData!I1068),"KG",""))),"")</f>
        <v>74.7</v>
      </c>
      <c r="K1068" s="2">
        <f>VALUE(SUBSTITUTE(SUBSTITUTE(SUBSTITUTE(TRIM([1]RawShipmentData!J1077),"₹",""),"Rs",""),",",""))</f>
        <v>540</v>
      </c>
      <c r="L1068" s="2">
        <f>[1]RawShipmentData!K1077</f>
        <v>2</v>
      </c>
      <c r="M1068" s="3">
        <f>IF(TRIM([1]RawShipmentData!L1077)="","",IF(ISNUMBER(SEARCH("/",TRIM([1]RawShipmentData!L1077))),DATE(VALUE(RIGHT(TRIM([1]RawShipmentData!L1077),4)),VALUE(MID(TRIM([1]RawShipmentData!L1077),FIND("/",TRIM([1]RawShipmentData!L1077))+1,2)),VALUE(LEFT(TRIM([1]RawShipmentData!L1077),FIND("/",TRIM([1]RawShipmentData!L1077))-1))),DATEVALUE(TRIM([1]RawShipmentData!L1077))))</f>
        <v>45392</v>
      </c>
      <c r="N1068" s="2">
        <f t="shared" si="81"/>
        <v>3</v>
      </c>
      <c r="O1068" s="2">
        <f t="shared" si="82"/>
        <v>1</v>
      </c>
      <c r="P1068" s="2" t="str">
        <f t="shared" si="83"/>
        <v>Late</v>
      </c>
      <c r="Q1068" s="2" t="str">
        <f>PROPER(SUBSTITUTE(TRIM([1]RawShipmentData!M1077)," ","-"))</f>
        <v>Delayed</v>
      </c>
      <c r="R1068" s="4">
        <f t="shared" si="84"/>
        <v>7.2289156626506017</v>
      </c>
      <c r="S1068" s="2">
        <f>[1]RawShipmentData!N1077</f>
        <v>2</v>
      </c>
      <c r="T1068" s="2" t="str">
        <f>IF(OR(UPPER(TRIM([1]RawShipmentData!O1077))="YES",UPPER(TRIM([1]RawShipmentData!O1077))="Y"),"Yes","No")</f>
        <v>Yes</v>
      </c>
    </row>
    <row r="1069" spans="1:20" x14ac:dyDescent="0.25">
      <c r="A1069" s="2" t="str">
        <f>[1]RawShipmentData!A1078</f>
        <v>SHP-100547</v>
      </c>
      <c r="B1069" s="3">
        <f>IF(ISNUMBER(SEARCH("/",TRIM([1]RawShipmentData!B1078))),DATE(VALUE(RIGHT(TRIM([1]RawShipmentData!B1078),4)),VALUE(MID(TRIM([1]RawShipmentData!B1078),FIND("/",TRIM([1]RawShipmentData!B1078))+1,2)),VALUE(LEFT(TRIM([1]RawShipmentData!B1078),FIND("/",TRIM([1]RawShipmentData!B1078))-1))),DATEVALUE(TRIM([1]RawShipmentData!B1078)))</f>
        <v>45361</v>
      </c>
      <c r="C1069" s="2" t="str">
        <f>PROPER(TRIM([1]RawShipmentData!C1078))</f>
        <v>Chennai</v>
      </c>
      <c r="D1069" s="2" t="str">
        <f>IFERROR(INDEX([1]HubMaster!$B$2:$B$7,MATCH(C1069,[1]HubMaster!$A$2:$A$7,0)),"Unknown")</f>
        <v>South</v>
      </c>
      <c r="E1069" s="2" t="str">
        <f>PROPER(TRIM(SUBSTITUTE([1]RawShipmentData!D1078,"  "," ")))</f>
        <v>Ecom Express</v>
      </c>
      <c r="F1069" s="2" t="str">
        <f>PROPER(TRIM([1]RawShipmentData!E1078))</f>
        <v>Road</v>
      </c>
      <c r="G1069" s="2" t="str">
        <f>PROPER(TRIM(SUBSTITUTE([1]RawShipmentData!F1078,"  "," ")))</f>
        <v>Electronics</v>
      </c>
      <c r="H1069" s="2" t="str">
        <f>PROPER(TRIM([1]RawShipmentData!G1078))</f>
        <v>South</v>
      </c>
      <c r="I1069" s="2" t="str">
        <f t="shared" si="80"/>
        <v>No</v>
      </c>
      <c r="J1069" s="2">
        <f>IFERROR(VALUE(TRIM(SUBSTITUTE(UPPER([1]RawShipmentData!I1069),"KG",""))),"")</f>
        <v>4.9000000000000004</v>
      </c>
      <c r="K1069" s="2">
        <f>VALUE(SUBSTITUTE(SUBSTITUTE(SUBSTITUTE(TRIM([1]RawShipmentData!J1078),"₹",""),"Rs",""),",",""))</f>
        <v>103</v>
      </c>
      <c r="L1069" s="2">
        <f>[1]RawShipmentData!K1078</f>
        <v>6</v>
      </c>
      <c r="M1069" s="3">
        <f>IF(TRIM([1]RawShipmentData!L1078)="","",IF(ISNUMBER(SEARCH("/",TRIM([1]RawShipmentData!L1078))),DATE(VALUE(RIGHT(TRIM([1]RawShipmentData!L1078),4)),VALUE(MID(TRIM([1]RawShipmentData!L1078),FIND("/",TRIM([1]RawShipmentData!L1078))+1,2)),VALUE(LEFT(TRIM([1]RawShipmentData!L1078),FIND("/",TRIM([1]RawShipmentData!L1078))-1))),DATEVALUE(TRIM([1]RawShipmentData!L1078))))</f>
        <v>45371</v>
      </c>
      <c r="N1069" s="2">
        <f t="shared" si="81"/>
        <v>10</v>
      </c>
      <c r="O1069" s="2">
        <f t="shared" si="82"/>
        <v>4</v>
      </c>
      <c r="P1069" s="2" t="str">
        <f t="shared" si="83"/>
        <v>Late</v>
      </c>
      <c r="Q1069" s="2" t="str">
        <f>PROPER(SUBSTITUTE(TRIM([1]RawShipmentData!M1078)," ","-"))</f>
        <v>Delayed</v>
      </c>
      <c r="R1069" s="4">
        <f t="shared" si="84"/>
        <v>21.020408163265305</v>
      </c>
      <c r="S1069" s="2">
        <f>[1]RawShipmentData!N1078</f>
        <v>4</v>
      </c>
      <c r="T1069" s="2" t="str">
        <f>IF(OR(UPPER(TRIM([1]RawShipmentData!O1078))="YES",UPPER(TRIM([1]RawShipmentData!O1078))="Y"),"Yes","No")</f>
        <v>No</v>
      </c>
    </row>
    <row r="1070" spans="1:20" x14ac:dyDescent="0.25">
      <c r="A1070" s="2" t="str">
        <f>[1]RawShipmentData!A1079</f>
        <v>SHP-100506</v>
      </c>
      <c r="B1070" s="3">
        <f>IF(ISNUMBER(SEARCH("/",TRIM([1]RawShipmentData!B1079))),DATE(VALUE(RIGHT(TRIM([1]RawShipmentData!B1079),4)),VALUE(MID(TRIM([1]RawShipmentData!B1079),FIND("/",TRIM([1]RawShipmentData!B1079))+1,2)),VALUE(LEFT(TRIM([1]RawShipmentData!B1079),FIND("/",TRIM([1]RawShipmentData!B1079))-1))),DATEVALUE(TRIM([1]RawShipmentData!B1079)))</f>
        <v>45298</v>
      </c>
      <c r="C1070" s="2" t="str">
        <f>PROPER(TRIM([1]RawShipmentData!C1079))</f>
        <v>Bengaluru</v>
      </c>
      <c r="D1070" s="2" t="str">
        <f>IFERROR(INDEX([1]HubMaster!$B$2:$B$7,MATCH(C1070,[1]HubMaster!$A$2:$A$7,0)),"Unknown")</f>
        <v>South</v>
      </c>
      <c r="E1070" s="2" t="str">
        <f>PROPER(TRIM(SUBSTITUTE([1]RawShipmentData!D1079,"  "," ")))</f>
        <v>Xpressbees</v>
      </c>
      <c r="F1070" s="2" t="str">
        <f>PROPER(TRIM([1]RawShipmentData!E1079))</f>
        <v>Air</v>
      </c>
      <c r="G1070" s="2" t="str">
        <f>PROPER(TRIM(SUBSTITUTE([1]RawShipmentData!F1079,"  "," ")))</f>
        <v>Furniture</v>
      </c>
      <c r="H1070" s="2" t="str">
        <f>PROPER(TRIM([1]RawShipmentData!G1079))</f>
        <v>East</v>
      </c>
      <c r="I1070" s="2" t="str">
        <f t="shared" si="80"/>
        <v>Yes</v>
      </c>
      <c r="J1070" s="2">
        <f>IFERROR(VALUE(TRIM(SUBSTITUTE(UPPER([1]RawShipmentData!I1070),"KG",""))),"")</f>
        <v>3.2</v>
      </c>
      <c r="K1070" s="2">
        <f>VALUE(SUBSTITUTE(SUBSTITUTE(SUBSTITUTE(TRIM([1]RawShipmentData!J1079),"₹",""),"Rs",""),",",""))</f>
        <v>2674</v>
      </c>
      <c r="L1070" s="2">
        <f>[1]RawShipmentData!K1079</f>
        <v>4</v>
      </c>
      <c r="M1070" s="3">
        <f>IF(TRIM([1]RawShipmentData!L1079)="","",IF(ISNUMBER(SEARCH("/",TRIM([1]RawShipmentData!L1079))),DATE(VALUE(RIGHT(TRIM([1]RawShipmentData!L1079),4)),VALUE(MID(TRIM([1]RawShipmentData!L1079),FIND("/",TRIM([1]RawShipmentData!L1079))+1,2)),VALUE(LEFT(TRIM([1]RawShipmentData!L1079),FIND("/",TRIM([1]RawShipmentData!L1079))-1))),DATEVALUE(TRIM([1]RawShipmentData!L1079))))</f>
        <v>45310</v>
      </c>
      <c r="N1070" s="2">
        <f t="shared" si="81"/>
        <v>12</v>
      </c>
      <c r="O1070" s="2">
        <f t="shared" si="82"/>
        <v>8</v>
      </c>
      <c r="P1070" s="2" t="str">
        <f t="shared" si="83"/>
        <v>Late</v>
      </c>
      <c r="Q1070" s="2" t="str">
        <f>PROPER(SUBSTITUTE(TRIM([1]RawShipmentData!M1079)," ","-"))</f>
        <v>Delayed</v>
      </c>
      <c r="R1070" s="4">
        <f t="shared" si="84"/>
        <v>835.625</v>
      </c>
      <c r="S1070" s="2">
        <f>[1]RawShipmentData!N1079</f>
        <v>2</v>
      </c>
      <c r="T1070" s="2" t="str">
        <f>IF(OR(UPPER(TRIM([1]RawShipmentData!O1079))="YES",UPPER(TRIM([1]RawShipmentData!O1079))="Y"),"Yes","No")</f>
        <v>No</v>
      </c>
    </row>
    <row r="1071" spans="1:20" x14ac:dyDescent="0.25">
      <c r="A1071" s="2" t="str">
        <f>[1]RawShipmentData!A1080</f>
        <v>SHP-100282</v>
      </c>
      <c r="B1071" s="3">
        <f>IF(ISNUMBER(SEARCH("/",TRIM([1]RawShipmentData!B1080))),DATE(VALUE(RIGHT(TRIM([1]RawShipmentData!B1080),4)),VALUE(MID(TRIM([1]RawShipmentData!B1080),FIND("/",TRIM([1]RawShipmentData!B1080))+1,2)),VALUE(LEFT(TRIM([1]RawShipmentData!B1080),FIND("/",TRIM([1]RawShipmentData!B1080))-1))),DATEVALUE(TRIM([1]RawShipmentData!B1080)))</f>
        <v>45298</v>
      </c>
      <c r="C1071" s="2" t="str">
        <f>PROPER(TRIM([1]RawShipmentData!C1080))</f>
        <v>Chennai</v>
      </c>
      <c r="D1071" s="2" t="str">
        <f>IFERROR(INDEX([1]HubMaster!$B$2:$B$7,MATCH(C1071,[1]HubMaster!$A$2:$A$7,0)),"Unknown")</f>
        <v>South</v>
      </c>
      <c r="E1071" s="2" t="str">
        <f>PROPER(TRIM(SUBSTITUTE([1]RawShipmentData!D1080,"  "," ")))</f>
        <v>Ecom Express</v>
      </c>
      <c r="F1071" s="2" t="str">
        <f>PROPER(TRIM([1]RawShipmentData!E1080))</f>
        <v>Surface</v>
      </c>
      <c r="G1071" s="2" t="str">
        <f>PROPER(TRIM(SUBSTITUTE([1]RawShipmentData!F1080,"  "," ")))</f>
        <v>Furniture</v>
      </c>
      <c r="H1071" s="2" t="str">
        <f>PROPER(TRIM([1]RawShipmentData!G1080))</f>
        <v>East</v>
      </c>
      <c r="I1071" s="2" t="str">
        <f t="shared" si="80"/>
        <v>Yes</v>
      </c>
      <c r="J1071" s="2">
        <f>IFERROR(VALUE(TRIM(SUBSTITUTE(UPPER([1]RawShipmentData!I1071),"KG",""))),"")</f>
        <v>5.3</v>
      </c>
      <c r="K1071" s="2">
        <f>VALUE(SUBSTITUTE(SUBSTITUTE(SUBSTITUTE(TRIM([1]RawShipmentData!J1080),"₹",""),"Rs",""),",",""))</f>
        <v>1736</v>
      </c>
      <c r="L1071" s="2">
        <f>[1]RawShipmentData!K1080</f>
        <v>6</v>
      </c>
      <c r="M1071" s="3">
        <f>IF(TRIM([1]RawShipmentData!L1080)="","",IF(ISNUMBER(SEARCH("/",TRIM([1]RawShipmentData!L1080))),DATE(VALUE(RIGHT(TRIM([1]RawShipmentData!L1080),4)),VALUE(MID(TRIM([1]RawShipmentData!L1080),FIND("/",TRIM([1]RawShipmentData!L1080))+1,2)),VALUE(LEFT(TRIM([1]RawShipmentData!L1080),FIND("/",TRIM([1]RawShipmentData!L1080))-1))),DATEVALUE(TRIM([1]RawShipmentData!L1080))))</f>
        <v>45303</v>
      </c>
      <c r="N1071" s="2">
        <f t="shared" si="81"/>
        <v>5</v>
      </c>
      <c r="O1071" s="2">
        <f t="shared" si="82"/>
        <v>-1</v>
      </c>
      <c r="P1071" s="2" t="str">
        <f t="shared" si="83"/>
        <v>On Time</v>
      </c>
      <c r="Q1071" s="2" t="str">
        <f>PROPER(SUBSTITUTE(TRIM([1]RawShipmentData!M1080)," ","-"))</f>
        <v>Delivered</v>
      </c>
      <c r="R1071" s="4">
        <f t="shared" si="84"/>
        <v>327.54716981132077</v>
      </c>
      <c r="S1071" s="2">
        <f>[1]RawShipmentData!N1080</f>
        <v>4</v>
      </c>
      <c r="T1071" s="2" t="str">
        <f>IF(OR(UPPER(TRIM([1]RawShipmentData!O1080))="YES",UPPER(TRIM([1]RawShipmentData!O1080))="Y"),"Yes","No")</f>
        <v>Yes</v>
      </c>
    </row>
    <row r="1072" spans="1:20" x14ac:dyDescent="0.25">
      <c r="A1072" s="2" t="str">
        <f>[1]RawShipmentData!A1081</f>
        <v>SHP-101060</v>
      </c>
      <c r="B1072" s="3">
        <f>IF(ISNUMBER(SEARCH("/",TRIM([1]RawShipmentData!B1081))),DATE(VALUE(RIGHT(TRIM([1]RawShipmentData!B1081),4)),VALUE(MID(TRIM([1]RawShipmentData!B1081),FIND("/",TRIM([1]RawShipmentData!B1081))+1,2)),VALUE(LEFT(TRIM([1]RawShipmentData!B1081),FIND("/",TRIM([1]RawShipmentData!B1081))-1))),DATEVALUE(TRIM([1]RawShipmentData!B1081)))</f>
        <v>45347</v>
      </c>
      <c r="C1072" s="2" t="str">
        <f>PROPER(TRIM([1]RawShipmentData!C1081))</f>
        <v>Bengaluru</v>
      </c>
      <c r="D1072" s="2" t="str">
        <f>IFERROR(INDEX([1]HubMaster!$B$2:$B$7,MATCH(C1072,[1]HubMaster!$A$2:$A$7,0)),"Unknown")</f>
        <v>South</v>
      </c>
      <c r="E1072" s="2" t="str">
        <f>PROPER(TRIM(SUBSTITUTE([1]RawShipmentData!D1081,"  "," ")))</f>
        <v>Xpress Bees</v>
      </c>
      <c r="F1072" s="2" t="str">
        <f>PROPER(TRIM([1]RawShipmentData!E1081))</f>
        <v>Surface</v>
      </c>
      <c r="G1072" s="2" t="str">
        <f>PROPER(TRIM(SUBSTITUTE([1]RawShipmentData!F1081,"  "," ")))</f>
        <v>Pharma</v>
      </c>
      <c r="H1072" s="2" t="str">
        <f>PROPER(TRIM([1]RawShipmentData!G1081))</f>
        <v>East</v>
      </c>
      <c r="I1072" s="2" t="str">
        <f t="shared" si="80"/>
        <v>Yes</v>
      </c>
      <c r="J1072" s="2">
        <f>IFERROR(VALUE(TRIM(SUBSTITUTE(UPPER([1]RawShipmentData!I1072),"KG",""))),"")</f>
        <v>11</v>
      </c>
      <c r="K1072" s="2">
        <f>VALUE(SUBSTITUTE(SUBSTITUTE(SUBSTITUTE(TRIM([1]RawShipmentData!J1081),"₹",""),"Rs",""),",",""))</f>
        <v>267</v>
      </c>
      <c r="L1072" s="2">
        <f>[1]RawShipmentData!K1081</f>
        <v>6</v>
      </c>
      <c r="M1072" s="3">
        <f>IF(TRIM([1]RawShipmentData!L1081)="","",IF(ISNUMBER(SEARCH("/",TRIM([1]RawShipmentData!L1081))),DATE(VALUE(RIGHT(TRIM([1]RawShipmentData!L1081),4)),VALUE(MID(TRIM([1]RawShipmentData!L1081),FIND("/",TRIM([1]RawShipmentData!L1081))+1,2)),VALUE(LEFT(TRIM([1]RawShipmentData!L1081),FIND("/",TRIM([1]RawShipmentData!L1081))-1))),DATEVALUE(TRIM([1]RawShipmentData!L1081))))</f>
        <v>45354</v>
      </c>
      <c r="N1072" s="2">
        <f t="shared" si="81"/>
        <v>7</v>
      </c>
      <c r="O1072" s="2">
        <f t="shared" si="82"/>
        <v>1</v>
      </c>
      <c r="P1072" s="2" t="str">
        <f t="shared" si="83"/>
        <v>Late</v>
      </c>
      <c r="Q1072" s="2" t="str">
        <f>PROPER(SUBSTITUTE(TRIM([1]RawShipmentData!M1081)," ","-"))</f>
        <v>Delayed</v>
      </c>
      <c r="R1072" s="4">
        <f t="shared" si="84"/>
        <v>24.272727272727273</v>
      </c>
      <c r="S1072" s="2">
        <f>[1]RawShipmentData!N1081</f>
        <v>2</v>
      </c>
      <c r="T1072" s="2" t="str">
        <f>IF(OR(UPPER(TRIM([1]RawShipmentData!O1081))="YES",UPPER(TRIM([1]RawShipmentData!O1081))="Y"),"Yes","No")</f>
        <v>Yes</v>
      </c>
    </row>
    <row r="1073" spans="1:20" x14ac:dyDescent="0.25">
      <c r="A1073" s="2" t="str">
        <f>[1]RawShipmentData!A1082</f>
        <v>SHP-100075</v>
      </c>
      <c r="B1073" s="3">
        <f>IF(ISNUMBER(SEARCH("/",TRIM([1]RawShipmentData!B1082))),DATE(VALUE(RIGHT(TRIM([1]RawShipmentData!B1082),4)),VALUE(MID(TRIM([1]RawShipmentData!B1082),FIND("/",TRIM([1]RawShipmentData!B1082))+1,2)),VALUE(LEFT(TRIM([1]RawShipmentData!B1082),FIND("/",TRIM([1]RawShipmentData!B1082))-1))),DATEVALUE(TRIM([1]RawShipmentData!B1082)))</f>
        <v>45423</v>
      </c>
      <c r="C1073" s="2" t="str">
        <f>PROPER(TRIM([1]RawShipmentData!C1082))</f>
        <v>Hyderabad</v>
      </c>
      <c r="D1073" s="2" t="str">
        <f>IFERROR(INDEX([1]HubMaster!$B$2:$B$7,MATCH(C1073,[1]HubMaster!$A$2:$A$7,0)),"Unknown")</f>
        <v>West</v>
      </c>
      <c r="E1073" s="2" t="str">
        <f>PROPER(TRIM(SUBSTITUTE([1]RawShipmentData!D1082,"  "," ")))</f>
        <v>Xpress Bees</v>
      </c>
      <c r="F1073" s="2" t="str">
        <f>PROPER(TRIM([1]RawShipmentData!E1082))</f>
        <v>Surface</v>
      </c>
      <c r="G1073" s="2" t="str">
        <f>PROPER(TRIM(SUBSTITUTE([1]RawShipmentData!F1082,"  "," ")))</f>
        <v>Electronics</v>
      </c>
      <c r="H1073" s="2" t="str">
        <f>PROPER(TRIM([1]RawShipmentData!G1082))</f>
        <v>East</v>
      </c>
      <c r="I1073" s="2" t="str">
        <f t="shared" si="80"/>
        <v>Yes</v>
      </c>
      <c r="J1073" s="2">
        <f>IFERROR(VALUE(TRIM(SUBSTITUTE(UPPER([1]RawShipmentData!I1073),"KG",""))),"")</f>
        <v>0.6</v>
      </c>
      <c r="K1073" s="2">
        <f>VALUE(SUBSTITUTE(SUBSTITUTE(SUBSTITUTE(TRIM([1]RawShipmentData!J1082),"₹",""),"Rs",""),",",""))</f>
        <v>481</v>
      </c>
      <c r="L1073" s="2">
        <f>[1]RawShipmentData!K1082</f>
        <v>6</v>
      </c>
      <c r="M1073" s="3">
        <f>IF(TRIM([1]RawShipmentData!L1082)="","",IF(ISNUMBER(SEARCH("/",TRIM([1]RawShipmentData!L1082))),DATE(VALUE(RIGHT(TRIM([1]RawShipmentData!L1082),4)),VALUE(MID(TRIM([1]RawShipmentData!L1082),FIND("/",TRIM([1]RawShipmentData!L1082))+1,2)),VALUE(LEFT(TRIM([1]RawShipmentData!L1082),FIND("/",TRIM([1]RawShipmentData!L1082))-1))),DATEVALUE(TRIM([1]RawShipmentData!L1082))))</f>
        <v>45430</v>
      </c>
      <c r="N1073" s="2">
        <f t="shared" si="81"/>
        <v>7</v>
      </c>
      <c r="O1073" s="2">
        <f t="shared" si="82"/>
        <v>1</v>
      </c>
      <c r="P1073" s="2" t="str">
        <f t="shared" si="83"/>
        <v>Late</v>
      </c>
      <c r="Q1073" s="2" t="str">
        <f>PROPER(SUBSTITUTE(TRIM([1]RawShipmentData!M1082)," ","-"))</f>
        <v>Delayed</v>
      </c>
      <c r="R1073" s="4">
        <f t="shared" si="84"/>
        <v>801.66666666666674</v>
      </c>
      <c r="S1073" s="2">
        <f>[1]RawShipmentData!N1082</f>
        <v>2</v>
      </c>
      <c r="T1073" s="2" t="str">
        <f>IF(OR(UPPER(TRIM([1]RawShipmentData!O1082))="YES",UPPER(TRIM([1]RawShipmentData!O1082))="Y"),"Yes","No")</f>
        <v>No</v>
      </c>
    </row>
    <row r="1074" spans="1:20" x14ac:dyDescent="0.25">
      <c r="A1074" s="2" t="str">
        <f>[1]RawShipmentData!A1083</f>
        <v>SHP-100373</v>
      </c>
      <c r="B1074" s="3">
        <f>IF(ISNUMBER(SEARCH("/",TRIM([1]RawShipmentData!B1083))),DATE(VALUE(RIGHT(TRIM([1]RawShipmentData!B1083),4)),VALUE(MID(TRIM([1]RawShipmentData!B1083),FIND("/",TRIM([1]RawShipmentData!B1083))+1,2)),VALUE(LEFT(TRIM([1]RawShipmentData!B1083),FIND("/",TRIM([1]RawShipmentData!B1083))-1))),DATEVALUE(TRIM([1]RawShipmentData!B1083)))</f>
        <v>45361</v>
      </c>
      <c r="C1074" s="2" t="str">
        <f>PROPER(TRIM([1]RawShipmentData!C1083))</f>
        <v>Kolkata</v>
      </c>
      <c r="D1074" s="2" t="str">
        <f>IFERROR(INDEX([1]HubMaster!$B$2:$B$7,MATCH(C1074,[1]HubMaster!$A$2:$A$7,0)),"Unknown")</f>
        <v>East</v>
      </c>
      <c r="E1074" s="2" t="str">
        <f>PROPER(TRIM(SUBSTITUTE([1]RawShipmentData!D1083,"  "," ")))</f>
        <v>Ecom Express</v>
      </c>
      <c r="F1074" s="2" t="str">
        <f>PROPER(TRIM([1]RawShipmentData!E1083))</f>
        <v>Road</v>
      </c>
      <c r="G1074" s="2" t="str">
        <f>PROPER(TRIM(SUBSTITUTE([1]RawShipmentData!F1083,"  "," ")))</f>
        <v>Furniture</v>
      </c>
      <c r="H1074" s="2" t="str">
        <f>PROPER(TRIM([1]RawShipmentData!G1083))</f>
        <v>East</v>
      </c>
      <c r="I1074" s="2" t="str">
        <f t="shared" si="80"/>
        <v>No</v>
      </c>
      <c r="J1074" s="2">
        <f>IFERROR(VALUE(TRIM(SUBSTITUTE(UPPER([1]RawShipmentData!I1074),"KG",""))),"")</f>
        <v>61.4</v>
      </c>
      <c r="K1074" s="2">
        <f>VALUE(SUBSTITUTE(SUBSTITUTE(SUBSTITUTE(TRIM([1]RawShipmentData!J1083),"₹",""),"Rs",""),",",""))</f>
        <v>1168</v>
      </c>
      <c r="L1074" s="2">
        <f>[1]RawShipmentData!K1083</f>
        <v>6</v>
      </c>
      <c r="M1074" s="3">
        <f>IF(TRIM([1]RawShipmentData!L1083)="","",IF(ISNUMBER(SEARCH("/",TRIM([1]RawShipmentData!L1083))),DATE(VALUE(RIGHT(TRIM([1]RawShipmentData!L1083),4)),VALUE(MID(TRIM([1]RawShipmentData!L1083),FIND("/",TRIM([1]RawShipmentData!L1083))+1,2)),VALUE(LEFT(TRIM([1]RawShipmentData!L1083),FIND("/",TRIM([1]RawShipmentData!L1083))-1))),DATEVALUE(TRIM([1]RawShipmentData!L1083))))</f>
        <v>45367</v>
      </c>
      <c r="N1074" s="2">
        <f t="shared" si="81"/>
        <v>6</v>
      </c>
      <c r="O1074" s="2">
        <f t="shared" si="82"/>
        <v>0</v>
      </c>
      <c r="P1074" s="2" t="str">
        <f t="shared" si="83"/>
        <v>On Time</v>
      </c>
      <c r="Q1074" s="2" t="str">
        <f>PROPER(SUBSTITUTE(TRIM([1]RawShipmentData!M1083)," ","-"))</f>
        <v>Delivered</v>
      </c>
      <c r="R1074" s="4">
        <f t="shared" si="84"/>
        <v>19.022801302931597</v>
      </c>
      <c r="S1074" s="2">
        <f>[1]RawShipmentData!N1083</f>
        <v>3</v>
      </c>
      <c r="T1074" s="2" t="str">
        <f>IF(OR(UPPER(TRIM([1]RawShipmentData!O1083))="YES",UPPER(TRIM([1]RawShipmentData!O1083))="Y"),"Yes","No")</f>
        <v>Yes</v>
      </c>
    </row>
    <row r="1075" spans="1:20" x14ac:dyDescent="0.25">
      <c r="A1075" s="2" t="str">
        <f>[1]RawShipmentData!A1084</f>
        <v>SHP-100957</v>
      </c>
      <c r="B1075" s="3">
        <f>IF(ISNUMBER(SEARCH("/",TRIM([1]RawShipmentData!B1084))),DATE(VALUE(RIGHT(TRIM([1]RawShipmentData!B1084),4)),VALUE(MID(TRIM([1]RawShipmentData!B1084),FIND("/",TRIM([1]RawShipmentData!B1084))+1,2)),VALUE(LEFT(TRIM([1]RawShipmentData!B1084),FIND("/",TRIM([1]RawShipmentData!B1084))-1))),DATEVALUE(TRIM([1]RawShipmentData!B1084)))</f>
        <v>45456</v>
      </c>
      <c r="C1075" s="2" t="str">
        <f>PROPER(TRIM([1]RawShipmentData!C1084))</f>
        <v>Kolkata</v>
      </c>
      <c r="D1075" s="2" t="str">
        <f>IFERROR(INDEX([1]HubMaster!$B$2:$B$7,MATCH(C1075,[1]HubMaster!$A$2:$A$7,0)),"Unknown")</f>
        <v>East</v>
      </c>
      <c r="E1075" s="2" t="str">
        <f>PROPER(TRIM(SUBSTITUTE([1]RawShipmentData!D1084,"  "," ")))</f>
        <v>Bluedart</v>
      </c>
      <c r="F1075" s="2" t="str">
        <f>PROPER(TRIM([1]RawShipmentData!E1084))</f>
        <v>Air</v>
      </c>
      <c r="G1075" s="2" t="str">
        <f>PROPER(TRIM(SUBSTITUTE([1]RawShipmentData!F1084,"  "," ")))</f>
        <v>Pharma</v>
      </c>
      <c r="H1075" s="2" t="str">
        <f>PROPER(TRIM([1]RawShipmentData!G1084))</f>
        <v>West</v>
      </c>
      <c r="I1075" s="2" t="str">
        <f t="shared" si="80"/>
        <v>Yes</v>
      </c>
      <c r="J1075" s="2">
        <f>IFERROR(VALUE(TRIM(SUBSTITUTE(UPPER([1]RawShipmentData!I1075),"KG",""))),"")</f>
        <v>3.8</v>
      </c>
      <c r="K1075" s="2">
        <f>VALUE(SUBSTITUTE(SUBSTITUTE(SUBSTITUTE(TRIM([1]RawShipmentData!J1084),"₹",""),"Rs",""),",",""))</f>
        <v>328</v>
      </c>
      <c r="L1075" s="2">
        <f>[1]RawShipmentData!K1084</f>
        <v>4</v>
      </c>
      <c r="M1075" s="3">
        <f>IF(TRIM([1]RawShipmentData!L1084)="","",IF(ISNUMBER(SEARCH("/",TRIM([1]RawShipmentData!L1084))),DATE(VALUE(RIGHT(TRIM([1]RawShipmentData!L1084),4)),VALUE(MID(TRIM([1]RawShipmentData!L1084),FIND("/",TRIM([1]RawShipmentData!L1084))+1,2)),VALUE(LEFT(TRIM([1]RawShipmentData!L1084),FIND("/",TRIM([1]RawShipmentData!L1084))-1))),DATEVALUE(TRIM([1]RawShipmentData!L1084))))</f>
        <v>45459</v>
      </c>
      <c r="N1075" s="2">
        <f t="shared" si="81"/>
        <v>3</v>
      </c>
      <c r="O1075" s="2">
        <f t="shared" si="82"/>
        <v>-1</v>
      </c>
      <c r="P1075" s="2" t="str">
        <f t="shared" si="83"/>
        <v>On Time</v>
      </c>
      <c r="Q1075" s="2" t="str">
        <f>PROPER(SUBSTITUTE(TRIM([1]RawShipmentData!M1084)," ","-"))</f>
        <v>Delivered</v>
      </c>
      <c r="R1075" s="4">
        <f t="shared" si="84"/>
        <v>86.31578947368422</v>
      </c>
      <c r="S1075" s="2">
        <f>[1]RawShipmentData!N1084</f>
        <v>5</v>
      </c>
      <c r="T1075" s="2" t="str">
        <f>IF(OR(UPPER(TRIM([1]RawShipmentData!O1084))="YES",UPPER(TRIM([1]RawShipmentData!O1084))="Y"),"Yes","No")</f>
        <v>No</v>
      </c>
    </row>
    <row r="1076" spans="1:20" x14ac:dyDescent="0.25">
      <c r="A1076" s="2" t="str">
        <f>[1]RawShipmentData!A1085</f>
        <v>SHP-101450</v>
      </c>
      <c r="B1076" s="3">
        <f>IF(ISNUMBER(SEARCH("/",TRIM([1]RawShipmentData!B1085))),DATE(VALUE(RIGHT(TRIM([1]RawShipmentData!B1085),4)),VALUE(MID(TRIM([1]RawShipmentData!B1085),FIND("/",TRIM([1]RawShipmentData!B1085))+1,2)),VALUE(LEFT(TRIM([1]RawShipmentData!B1085),FIND("/",TRIM([1]RawShipmentData!B1085))-1))),DATEVALUE(TRIM([1]RawShipmentData!B1085)))</f>
        <v>45358</v>
      </c>
      <c r="C1076" s="2" t="str">
        <f>PROPER(TRIM([1]RawShipmentData!C1085))</f>
        <v>Kolkata</v>
      </c>
      <c r="D1076" s="2" t="str">
        <f>IFERROR(INDEX([1]HubMaster!$B$2:$B$7,MATCH(C1076,[1]HubMaster!$A$2:$A$7,0)),"Unknown")</f>
        <v>East</v>
      </c>
      <c r="E1076" s="2" t="str">
        <f>PROPER(TRIM(SUBSTITUTE([1]RawShipmentData!D1085,"  "," ")))</f>
        <v>Xpressbees</v>
      </c>
      <c r="F1076" s="2" t="str">
        <f>PROPER(TRIM([1]RawShipmentData!E1085))</f>
        <v>Air</v>
      </c>
      <c r="G1076" s="2" t="str">
        <f>PROPER(TRIM(SUBSTITUTE([1]RawShipmentData!F1085,"  "," ")))</f>
        <v>Automotive Parts</v>
      </c>
      <c r="H1076" s="2" t="str">
        <f>PROPER(TRIM([1]RawShipmentData!G1085))</f>
        <v>West</v>
      </c>
      <c r="I1076" s="2" t="str">
        <f t="shared" si="80"/>
        <v>Yes</v>
      </c>
      <c r="J1076" s="2">
        <f>IFERROR(VALUE(TRIM(SUBSTITUTE(UPPER([1]RawShipmentData!I1076),"KG",""))),"")</f>
        <v>1.8</v>
      </c>
      <c r="K1076" s="2">
        <f>VALUE(SUBSTITUTE(SUBSTITUTE(SUBSTITUTE(TRIM([1]RawShipmentData!J1085),"₹",""),"Rs",""),",",""))</f>
        <v>1382</v>
      </c>
      <c r="L1076" s="2">
        <f>[1]RawShipmentData!K1085</f>
        <v>4</v>
      </c>
      <c r="M1076" s="3">
        <f>IF(TRIM([1]RawShipmentData!L1085)="","",IF(ISNUMBER(SEARCH("/",TRIM([1]RawShipmentData!L1085))),DATE(VALUE(RIGHT(TRIM([1]RawShipmentData!L1085),4)),VALUE(MID(TRIM([1]RawShipmentData!L1085),FIND("/",TRIM([1]RawShipmentData!L1085))+1,2)),VALUE(LEFT(TRIM([1]RawShipmentData!L1085),FIND("/",TRIM([1]RawShipmentData!L1085))-1))),DATEVALUE(TRIM([1]RawShipmentData!L1085))))</f>
        <v>45362</v>
      </c>
      <c r="N1076" s="2">
        <f t="shared" si="81"/>
        <v>4</v>
      </c>
      <c r="O1076" s="2">
        <f t="shared" si="82"/>
        <v>0</v>
      </c>
      <c r="P1076" s="2" t="str">
        <f t="shared" si="83"/>
        <v>On Time</v>
      </c>
      <c r="Q1076" s="2" t="str">
        <f>PROPER(SUBSTITUTE(TRIM([1]RawShipmentData!M1085)," ","-"))</f>
        <v>Delivered</v>
      </c>
      <c r="R1076" s="4">
        <f t="shared" si="84"/>
        <v>767.77777777777771</v>
      </c>
      <c r="S1076" s="2">
        <f>[1]RawShipmentData!N1085</f>
        <v>4</v>
      </c>
      <c r="T1076" s="2" t="str">
        <f>IF(OR(UPPER(TRIM([1]RawShipmentData!O1085))="YES",UPPER(TRIM([1]RawShipmentData!O1085))="Y"),"Yes","No")</f>
        <v>No</v>
      </c>
    </row>
    <row r="1077" spans="1:20" x14ac:dyDescent="0.25">
      <c r="A1077" s="2" t="str">
        <f>[1]RawShipmentData!A1086</f>
        <v>SHP-101363</v>
      </c>
      <c r="B1077" s="3">
        <f>IF(ISNUMBER(SEARCH("/",TRIM([1]RawShipmentData!B1086))),DATE(VALUE(RIGHT(TRIM([1]RawShipmentData!B1086),4)),VALUE(MID(TRIM([1]RawShipmentData!B1086),FIND("/",TRIM([1]RawShipmentData!B1086))+1,2)),VALUE(LEFT(TRIM([1]RawShipmentData!B1086),FIND("/",TRIM([1]RawShipmentData!B1086))-1))),DATEVALUE(TRIM([1]RawShipmentData!B1086)))</f>
        <v>45360</v>
      </c>
      <c r="C1077" s="2" t="str">
        <f>PROPER(TRIM([1]RawShipmentData!C1086))</f>
        <v>Chennai</v>
      </c>
      <c r="D1077" s="2" t="str">
        <f>IFERROR(INDEX([1]HubMaster!$B$2:$B$7,MATCH(C1077,[1]HubMaster!$A$2:$A$7,0)),"Unknown")</f>
        <v>South</v>
      </c>
      <c r="E1077" s="2" t="str">
        <f>PROPER(TRIM(SUBSTITUTE([1]RawShipmentData!D1086,"  "," ")))</f>
        <v>Blue Dart</v>
      </c>
      <c r="F1077" s="2" t="str">
        <f>PROPER(TRIM([1]RawShipmentData!E1086))</f>
        <v>Surface</v>
      </c>
      <c r="G1077" s="2" t="str">
        <f>PROPER(TRIM(SUBSTITUTE([1]RawShipmentData!F1086,"  "," ")))</f>
        <v>Grocery &amp; Fmcg</v>
      </c>
      <c r="H1077" s="2" t="str">
        <f>PROPER(TRIM([1]RawShipmentData!G1086))</f>
        <v>South</v>
      </c>
      <c r="I1077" s="2" t="str">
        <f t="shared" si="80"/>
        <v>No</v>
      </c>
      <c r="J1077" s="2">
        <f>IFERROR(VALUE(TRIM(SUBSTITUTE(UPPER([1]RawShipmentData!I1077),"KG",""))),"")</f>
        <v>12.4</v>
      </c>
      <c r="K1077" s="2">
        <f>VALUE(SUBSTITUTE(SUBSTITUTE(SUBSTITUTE(TRIM([1]RawShipmentData!J1086),"₹",""),"Rs",""),",",""))</f>
        <v>80</v>
      </c>
      <c r="L1077" s="2">
        <f>[1]RawShipmentData!K1086</f>
        <v>4</v>
      </c>
      <c r="M1077" s="3">
        <f>IF(TRIM([1]RawShipmentData!L1086)="","",IF(ISNUMBER(SEARCH("/",TRIM([1]RawShipmentData!L1086))),DATE(VALUE(RIGHT(TRIM([1]RawShipmentData!L1086),4)),VALUE(MID(TRIM([1]RawShipmentData!L1086),FIND("/",TRIM([1]RawShipmentData!L1086))+1,2)),VALUE(LEFT(TRIM([1]RawShipmentData!L1086),FIND("/",TRIM([1]RawShipmentData!L1086))-1))),DATEVALUE(TRIM([1]RawShipmentData!L1086))))</f>
        <v>45365</v>
      </c>
      <c r="N1077" s="2">
        <f t="shared" si="81"/>
        <v>5</v>
      </c>
      <c r="O1077" s="2">
        <f t="shared" si="82"/>
        <v>1</v>
      </c>
      <c r="P1077" s="2" t="str">
        <f t="shared" si="83"/>
        <v>Late</v>
      </c>
      <c r="Q1077" s="2" t="str">
        <f>PROPER(SUBSTITUTE(TRIM([1]RawShipmentData!M1086)," ","-"))</f>
        <v>Delayed</v>
      </c>
      <c r="R1077" s="4">
        <f t="shared" si="84"/>
        <v>6.4516129032258061</v>
      </c>
      <c r="S1077" s="2">
        <f>[1]RawShipmentData!N1086</f>
        <v>3</v>
      </c>
      <c r="T1077" s="2" t="str">
        <f>IF(OR(UPPER(TRIM([1]RawShipmentData!O1086))="YES",UPPER(TRIM([1]RawShipmentData!O1086))="Y"),"Yes","No")</f>
        <v>Yes</v>
      </c>
    </row>
    <row r="1078" spans="1:20" x14ac:dyDescent="0.25">
      <c r="A1078" s="2" t="str">
        <f>[1]RawShipmentData!A1087</f>
        <v>SHP-100211</v>
      </c>
      <c r="B1078" s="3">
        <f>IF(ISNUMBER(SEARCH("/",TRIM([1]RawShipmentData!B1087))),DATE(VALUE(RIGHT(TRIM([1]RawShipmentData!B1087),4)),VALUE(MID(TRIM([1]RawShipmentData!B1087),FIND("/",TRIM([1]RawShipmentData!B1087))+1,2)),VALUE(LEFT(TRIM([1]RawShipmentData!B1087),FIND("/",TRIM([1]RawShipmentData!B1087))-1))),DATEVALUE(TRIM([1]RawShipmentData!B1087)))</f>
        <v>45293</v>
      </c>
      <c r="C1078" s="2" t="str">
        <f>PROPER(TRIM([1]RawShipmentData!C1087))</f>
        <v>Hyderabad</v>
      </c>
      <c r="D1078" s="2" t="str">
        <f>IFERROR(INDEX([1]HubMaster!$B$2:$B$7,MATCH(C1078,[1]HubMaster!$A$2:$A$7,0)),"Unknown")</f>
        <v>West</v>
      </c>
      <c r="E1078" s="2" t="str">
        <f>PROPER(TRIM(SUBSTITUTE([1]RawShipmentData!D1087,"  "," ")))</f>
        <v>Dtdc</v>
      </c>
      <c r="F1078" s="2" t="str">
        <f>PROPER(TRIM([1]RawShipmentData!E1087))</f>
        <v>Road</v>
      </c>
      <c r="G1078" s="2" t="str">
        <f>PROPER(TRIM(SUBSTITUTE([1]RawShipmentData!F1087,"  "," ")))</f>
        <v>Pharma</v>
      </c>
      <c r="H1078" s="2" t="str">
        <f>PROPER(TRIM([1]RawShipmentData!G1087))</f>
        <v>South</v>
      </c>
      <c r="I1078" s="2" t="str">
        <f t="shared" si="80"/>
        <v>Yes</v>
      </c>
      <c r="J1078" s="2">
        <f>IFERROR(VALUE(TRIM(SUBSTITUTE(UPPER([1]RawShipmentData!I1078),"KG",""))),"")</f>
        <v>6.5</v>
      </c>
      <c r="K1078" s="2">
        <f>VALUE(SUBSTITUTE(SUBSTITUTE(SUBSTITUTE(TRIM([1]RawShipmentData!J1087),"₹",""),"Rs",""),",",""))</f>
        <v>206</v>
      </c>
      <c r="L1078" s="2">
        <f>[1]RawShipmentData!K1087</f>
        <v>8</v>
      </c>
      <c r="M1078" s="3">
        <f>IF(TRIM([1]RawShipmentData!L1087)="","",IF(ISNUMBER(SEARCH("/",TRIM([1]RawShipmentData!L1087))),DATE(VALUE(RIGHT(TRIM([1]RawShipmentData!L1087),4)),VALUE(MID(TRIM([1]RawShipmentData!L1087),FIND("/",TRIM([1]RawShipmentData!L1087))+1,2)),VALUE(LEFT(TRIM([1]RawShipmentData!L1087),FIND("/",TRIM([1]RawShipmentData!L1087))-1))),DATEVALUE(TRIM([1]RawShipmentData!L1087))))</f>
        <v>45302</v>
      </c>
      <c r="N1078" s="2">
        <f t="shared" si="81"/>
        <v>9</v>
      </c>
      <c r="O1078" s="2">
        <f t="shared" si="82"/>
        <v>1</v>
      </c>
      <c r="P1078" s="2" t="str">
        <f t="shared" si="83"/>
        <v>Late</v>
      </c>
      <c r="Q1078" s="2" t="str">
        <f>PROPER(SUBSTITUTE(TRIM([1]RawShipmentData!M1087)," ","-"))</f>
        <v>Delayed</v>
      </c>
      <c r="R1078" s="4">
        <f t="shared" si="84"/>
        <v>31.692307692307693</v>
      </c>
      <c r="S1078" s="2">
        <f>[1]RawShipmentData!N1087</f>
        <v>3</v>
      </c>
      <c r="T1078" s="2" t="str">
        <f>IF(OR(UPPER(TRIM([1]RawShipmentData!O1087))="YES",UPPER(TRIM([1]RawShipmentData!O1087))="Y"),"Yes","No")</f>
        <v>No</v>
      </c>
    </row>
    <row r="1079" spans="1:20" x14ac:dyDescent="0.25">
      <c r="A1079" s="2" t="str">
        <f>[1]RawShipmentData!A1088</f>
        <v>SHP-100292</v>
      </c>
      <c r="B1079" s="3">
        <f>IF(ISNUMBER(SEARCH("/",TRIM([1]RawShipmentData!B1088))),DATE(VALUE(RIGHT(TRIM([1]RawShipmentData!B1088),4)),VALUE(MID(TRIM([1]RawShipmentData!B1088),FIND("/",TRIM([1]RawShipmentData!B1088))+1,2)),VALUE(LEFT(TRIM([1]RawShipmentData!B1088),FIND("/",TRIM([1]RawShipmentData!B1088))-1))),DATEVALUE(TRIM([1]RawShipmentData!B1088)))</f>
        <v>45399</v>
      </c>
      <c r="C1079" s="2" t="str">
        <f>PROPER(TRIM([1]RawShipmentData!C1088))</f>
        <v>Delhi</v>
      </c>
      <c r="D1079" s="2" t="str">
        <f>IFERROR(INDEX([1]HubMaster!$B$2:$B$7,MATCH(C1079,[1]HubMaster!$A$2:$A$7,0)),"Unknown")</f>
        <v>North</v>
      </c>
      <c r="E1079" s="2" t="str">
        <f>PROPER(TRIM(SUBSTITUTE([1]RawShipmentData!D1088,"  "," ")))</f>
        <v>Bluedart</v>
      </c>
      <c r="F1079" s="2" t="str">
        <f>PROPER(TRIM([1]RawShipmentData!E1088))</f>
        <v>Air</v>
      </c>
      <c r="G1079" s="2" t="str">
        <f>PROPER(TRIM(SUBSTITUTE([1]RawShipmentData!F1088,"  "," ")))</f>
        <v>Pharma</v>
      </c>
      <c r="H1079" s="2" t="str">
        <f>PROPER(TRIM([1]RawShipmentData!G1088))</f>
        <v>West</v>
      </c>
      <c r="I1079" s="2" t="str">
        <f t="shared" si="80"/>
        <v>Yes</v>
      </c>
      <c r="J1079" s="2">
        <f>IFERROR(VALUE(TRIM(SUBSTITUTE(UPPER([1]RawShipmentData!I1079),"KG",""))),"")</f>
        <v>55</v>
      </c>
      <c r="K1079" s="2">
        <f>VALUE(SUBSTITUTE(SUBSTITUTE(SUBSTITUTE(TRIM([1]RawShipmentData!J1088),"₹",""),"Rs",""),",",""))</f>
        <v>302</v>
      </c>
      <c r="L1079" s="2">
        <f>[1]RawShipmentData!K1088</f>
        <v>4</v>
      </c>
      <c r="M1079" s="3">
        <f>IF(TRIM([1]RawShipmentData!L1088)="","",IF(ISNUMBER(SEARCH("/",TRIM([1]RawShipmentData!L1088))),DATE(VALUE(RIGHT(TRIM([1]RawShipmentData!L1088),4)),VALUE(MID(TRIM([1]RawShipmentData!L1088),FIND("/",TRIM([1]RawShipmentData!L1088))+1,2)),VALUE(LEFT(TRIM([1]RawShipmentData!L1088),FIND("/",TRIM([1]RawShipmentData!L1088))-1))),DATEVALUE(TRIM([1]RawShipmentData!L1088))))</f>
        <v>45403</v>
      </c>
      <c r="N1079" s="2">
        <f t="shared" si="81"/>
        <v>4</v>
      </c>
      <c r="O1079" s="2">
        <f t="shared" si="82"/>
        <v>0</v>
      </c>
      <c r="P1079" s="2" t="str">
        <f t="shared" si="83"/>
        <v>On Time</v>
      </c>
      <c r="Q1079" s="2" t="str">
        <f>PROPER(SUBSTITUTE(TRIM([1]RawShipmentData!M1088)," ","-"))</f>
        <v>Delivered</v>
      </c>
      <c r="R1079" s="4">
        <f t="shared" si="84"/>
        <v>5.4909090909090912</v>
      </c>
      <c r="S1079" s="2">
        <f>[1]RawShipmentData!N1088</f>
        <v>3</v>
      </c>
      <c r="T1079" s="2" t="str">
        <f>IF(OR(UPPER(TRIM([1]RawShipmentData!O1088))="YES",UPPER(TRIM([1]RawShipmentData!O1088))="Y"),"Yes","No")</f>
        <v>No</v>
      </c>
    </row>
    <row r="1080" spans="1:20" x14ac:dyDescent="0.25">
      <c r="A1080" s="2" t="str">
        <f>[1]RawShipmentData!A1089</f>
        <v>SHP-100611</v>
      </c>
      <c r="B1080" s="3">
        <f>IF(ISNUMBER(SEARCH("/",TRIM([1]RawShipmentData!B1089))),DATE(VALUE(RIGHT(TRIM([1]RawShipmentData!B1089),4)),VALUE(MID(TRIM([1]RawShipmentData!B1089),FIND("/",TRIM([1]RawShipmentData!B1089))+1,2)),VALUE(LEFT(TRIM([1]RawShipmentData!B1089),FIND("/",TRIM([1]RawShipmentData!B1089))-1))),DATEVALUE(TRIM([1]RawShipmentData!B1089)))</f>
        <v>45393</v>
      </c>
      <c r="C1080" s="2" t="str">
        <f>PROPER(TRIM([1]RawShipmentData!C1089))</f>
        <v>Hyderabad</v>
      </c>
      <c r="D1080" s="2" t="str">
        <f>IFERROR(INDEX([1]HubMaster!$B$2:$B$7,MATCH(C1080,[1]HubMaster!$A$2:$A$7,0)),"Unknown")</f>
        <v>West</v>
      </c>
      <c r="E1080" s="2" t="str">
        <f>PROPER(TRIM(SUBSTITUTE([1]RawShipmentData!D1089,"  "," ")))</f>
        <v>Bluedart</v>
      </c>
      <c r="F1080" s="2" t="str">
        <f>PROPER(TRIM([1]RawShipmentData!E1089))</f>
        <v>Air</v>
      </c>
      <c r="G1080" s="2" t="str">
        <f>PROPER(TRIM(SUBSTITUTE([1]RawShipmentData!F1089,"  "," ")))</f>
        <v>Automotive Parts</v>
      </c>
      <c r="H1080" s="2" t="str">
        <f>PROPER(TRIM([1]RawShipmentData!G1089))</f>
        <v>East</v>
      </c>
      <c r="I1080" s="2" t="str">
        <f t="shared" si="80"/>
        <v>Yes</v>
      </c>
      <c r="J1080" s="2">
        <f>IFERROR(VALUE(TRIM(SUBSTITUTE(UPPER([1]RawShipmentData!I1080),"KG",""))),"")</f>
        <v>71.5</v>
      </c>
      <c r="K1080" s="2">
        <f>VALUE(SUBSTITUTE(SUBSTITUTE(SUBSTITUTE(TRIM([1]RawShipmentData!J1089),"₹",""),"Rs",""),",",""))</f>
        <v>1174</v>
      </c>
      <c r="L1080" s="2">
        <f>[1]RawShipmentData!K1089</f>
        <v>4</v>
      </c>
      <c r="M1080" s="3">
        <f>IF(TRIM([1]RawShipmentData!L1089)="","",IF(ISNUMBER(SEARCH("/",TRIM([1]RawShipmentData!L1089))),DATE(VALUE(RIGHT(TRIM([1]RawShipmentData!L1089),4)),VALUE(MID(TRIM([1]RawShipmentData!L1089),FIND("/",TRIM([1]RawShipmentData!L1089))+1,2)),VALUE(LEFT(TRIM([1]RawShipmentData!L1089),FIND("/",TRIM([1]RawShipmentData!L1089))-1))),DATEVALUE(TRIM([1]RawShipmentData!L1089))))</f>
        <v>45396</v>
      </c>
      <c r="N1080" s="2">
        <f t="shared" si="81"/>
        <v>3</v>
      </c>
      <c r="O1080" s="2">
        <f t="shared" si="82"/>
        <v>-1</v>
      </c>
      <c r="P1080" s="2" t="str">
        <f t="shared" si="83"/>
        <v>On Time</v>
      </c>
      <c r="Q1080" s="2" t="str">
        <f>PROPER(SUBSTITUTE(TRIM([1]RawShipmentData!M1089)," ","-"))</f>
        <v>Returned</v>
      </c>
      <c r="R1080" s="4">
        <f t="shared" si="84"/>
        <v>16.41958041958042</v>
      </c>
      <c r="S1080" s="2">
        <f>[1]RawShipmentData!N1089</f>
        <v>0</v>
      </c>
      <c r="T1080" s="2" t="str">
        <f>IF(OR(UPPER(TRIM([1]RawShipmentData!O1089))="YES",UPPER(TRIM([1]RawShipmentData!O1089))="Y"),"Yes","No")</f>
        <v>Yes</v>
      </c>
    </row>
    <row r="1081" spans="1:20" x14ac:dyDescent="0.25">
      <c r="A1081" s="2" t="str">
        <f>[1]RawShipmentData!A1090</f>
        <v>SHP-100657</v>
      </c>
      <c r="B1081" s="3">
        <f>IF(ISNUMBER(SEARCH("/",TRIM([1]RawShipmentData!B1090))),DATE(VALUE(RIGHT(TRIM([1]RawShipmentData!B1090),4)),VALUE(MID(TRIM([1]RawShipmentData!B1090),FIND("/",TRIM([1]RawShipmentData!B1090))+1,2)),VALUE(LEFT(TRIM([1]RawShipmentData!B1090),FIND("/",TRIM([1]RawShipmentData!B1090))-1))),DATEVALUE(TRIM([1]RawShipmentData!B1090)))</f>
        <v>45385</v>
      </c>
      <c r="C1081" s="2" t="str">
        <f>PROPER(TRIM([1]RawShipmentData!C1090))</f>
        <v>Chennai</v>
      </c>
      <c r="D1081" s="2" t="str">
        <f>IFERROR(INDEX([1]HubMaster!$B$2:$B$7,MATCH(C1081,[1]HubMaster!$A$2:$A$7,0)),"Unknown")</f>
        <v>South</v>
      </c>
      <c r="E1081" s="2" t="str">
        <f>PROPER(TRIM(SUBSTITUTE([1]RawShipmentData!D1090,"  "," ")))</f>
        <v>Dtdc</v>
      </c>
      <c r="F1081" s="2" t="str">
        <f>PROPER(TRIM([1]RawShipmentData!E1090))</f>
        <v>Surface</v>
      </c>
      <c r="G1081" s="2" t="str">
        <f>PROPER(TRIM(SUBSTITUTE([1]RawShipmentData!F1090,"  "," ")))</f>
        <v>Grocery &amp; Fmcg</v>
      </c>
      <c r="H1081" s="2" t="str">
        <f>PROPER(TRIM([1]RawShipmentData!G1090))</f>
        <v>North</v>
      </c>
      <c r="I1081" s="2" t="str">
        <f t="shared" si="80"/>
        <v>Yes</v>
      </c>
      <c r="J1081" s="2">
        <f>IFERROR(VALUE(TRIM(SUBSTITUTE(UPPER([1]RawShipmentData!I1081),"KG",""))),"")</f>
        <v>4.4000000000000004</v>
      </c>
      <c r="K1081" s="2">
        <f>VALUE(SUBSTITUTE(SUBSTITUTE(SUBSTITUTE(TRIM([1]RawShipmentData!J1090),"₹",""),"Rs",""),",",""))</f>
        <v>192</v>
      </c>
      <c r="L1081" s="2">
        <f>[1]RawShipmentData!K1090</f>
        <v>6</v>
      </c>
      <c r="M1081" s="3">
        <f>IF(TRIM([1]RawShipmentData!L1090)="","",IF(ISNUMBER(SEARCH("/",TRIM([1]RawShipmentData!L1090))),DATE(VALUE(RIGHT(TRIM([1]RawShipmentData!L1090),4)),VALUE(MID(TRIM([1]RawShipmentData!L1090),FIND("/",TRIM([1]RawShipmentData!L1090))+1,2)),VALUE(LEFT(TRIM([1]RawShipmentData!L1090),FIND("/",TRIM([1]RawShipmentData!L1090))-1))),DATEVALUE(TRIM([1]RawShipmentData!L1090))))</f>
        <v>45397</v>
      </c>
      <c r="N1081" s="2">
        <f t="shared" si="81"/>
        <v>12</v>
      </c>
      <c r="O1081" s="2">
        <f t="shared" si="82"/>
        <v>6</v>
      </c>
      <c r="P1081" s="2" t="str">
        <f t="shared" si="83"/>
        <v>Late</v>
      </c>
      <c r="Q1081" s="2" t="str">
        <f>PROPER(SUBSTITUTE(TRIM([1]RawShipmentData!M1090)," ","-"))</f>
        <v>Delayed</v>
      </c>
      <c r="R1081" s="4">
        <f t="shared" si="84"/>
        <v>43.636363636363633</v>
      </c>
      <c r="S1081" s="2">
        <f>[1]RawShipmentData!N1090</f>
        <v>2</v>
      </c>
      <c r="T1081" s="2" t="str">
        <f>IF(OR(UPPER(TRIM([1]RawShipmentData!O1090))="YES",UPPER(TRIM([1]RawShipmentData!O1090))="Y"),"Yes","No")</f>
        <v>No</v>
      </c>
    </row>
    <row r="1082" spans="1:20" x14ac:dyDescent="0.25">
      <c r="A1082" s="2" t="str">
        <f>[1]RawShipmentData!A1091</f>
        <v>SHP-100831</v>
      </c>
      <c r="B1082" s="3">
        <f>IF(ISNUMBER(SEARCH("/",TRIM([1]RawShipmentData!B1091))),DATE(VALUE(RIGHT(TRIM([1]RawShipmentData!B1091),4)),VALUE(MID(TRIM([1]RawShipmentData!B1091),FIND("/",TRIM([1]RawShipmentData!B1091))+1,2)),VALUE(LEFT(TRIM([1]RawShipmentData!B1091),FIND("/",TRIM([1]RawShipmentData!B1091))-1))),DATEVALUE(TRIM([1]RawShipmentData!B1091)))</f>
        <v>45339</v>
      </c>
      <c r="C1082" s="2" t="str">
        <f>PROPER(TRIM([1]RawShipmentData!C1091))</f>
        <v>Mumbai</v>
      </c>
      <c r="D1082" s="2" t="str">
        <f>IFERROR(INDEX([1]HubMaster!$B$2:$B$7,MATCH(C1082,[1]HubMaster!$A$2:$A$7,0)),"Unknown")</f>
        <v>West</v>
      </c>
      <c r="E1082" s="2" t="str">
        <f>PROPER(TRIM(SUBSTITUTE([1]RawShipmentData!D1091,"  "," ")))</f>
        <v>Xpress Bees</v>
      </c>
      <c r="F1082" s="2" t="str">
        <f>PROPER(TRIM([1]RawShipmentData!E1091))</f>
        <v>Air</v>
      </c>
      <c r="G1082" s="2" t="str">
        <f>PROPER(TRIM(SUBSTITUTE([1]RawShipmentData!F1091,"  "," ")))</f>
        <v>Automotive Parts</v>
      </c>
      <c r="H1082" s="2" t="str">
        <f>PROPER(TRIM([1]RawShipmentData!G1091))</f>
        <v>South</v>
      </c>
      <c r="I1082" s="2" t="str">
        <f t="shared" si="80"/>
        <v>Yes</v>
      </c>
      <c r="J1082" s="2">
        <f>IFERROR(VALUE(TRIM(SUBSTITUTE(UPPER([1]RawShipmentData!I1082),"KG",""))),"")</f>
        <v>14.1</v>
      </c>
      <c r="K1082" s="2">
        <f>VALUE(SUBSTITUTE(SUBSTITUTE(SUBSTITUTE(TRIM([1]RawShipmentData!J1091),"₹",""),"Rs",""),",",""))</f>
        <v>1813</v>
      </c>
      <c r="L1082" s="2">
        <f>[1]RawShipmentData!K1091</f>
        <v>4</v>
      </c>
      <c r="M1082" s="3">
        <f>IF(TRIM([1]RawShipmentData!L1091)="","",IF(ISNUMBER(SEARCH("/",TRIM([1]RawShipmentData!L1091))),DATE(VALUE(RIGHT(TRIM([1]RawShipmentData!L1091),4)),VALUE(MID(TRIM([1]RawShipmentData!L1091),FIND("/",TRIM([1]RawShipmentData!L1091))+1,2)),VALUE(LEFT(TRIM([1]RawShipmentData!L1091),FIND("/",TRIM([1]RawShipmentData!L1091))-1))),DATEVALUE(TRIM([1]RawShipmentData!L1091))))</f>
        <v>45344</v>
      </c>
      <c r="N1082" s="2">
        <f t="shared" si="81"/>
        <v>5</v>
      </c>
      <c r="O1082" s="2">
        <f t="shared" si="82"/>
        <v>1</v>
      </c>
      <c r="P1082" s="2" t="str">
        <f t="shared" si="83"/>
        <v>Late</v>
      </c>
      <c r="Q1082" s="2" t="str">
        <f>PROPER(SUBSTITUTE(TRIM([1]RawShipmentData!M1091)," ","-"))</f>
        <v>Delayed</v>
      </c>
      <c r="R1082" s="4">
        <f t="shared" si="84"/>
        <v>128.58156028368793</v>
      </c>
      <c r="S1082" s="2">
        <f>[1]RawShipmentData!N1091</f>
        <v>2</v>
      </c>
      <c r="T1082" s="2" t="str">
        <f>IF(OR(UPPER(TRIM([1]RawShipmentData!O1091))="YES",UPPER(TRIM([1]RawShipmentData!O1091))="Y"),"Yes","No")</f>
        <v>No</v>
      </c>
    </row>
    <row r="1083" spans="1:20" x14ac:dyDescent="0.25">
      <c r="A1083" s="2" t="str">
        <f>[1]RawShipmentData!A1092</f>
        <v>SHP-101540</v>
      </c>
      <c r="B1083" s="3">
        <f>IF(ISNUMBER(SEARCH("/",TRIM([1]RawShipmentData!B1092))),DATE(VALUE(RIGHT(TRIM([1]RawShipmentData!B1092),4)),VALUE(MID(TRIM([1]RawShipmentData!B1092),FIND("/",TRIM([1]RawShipmentData!B1092))+1,2)),VALUE(LEFT(TRIM([1]RawShipmentData!B1092),FIND("/",TRIM([1]RawShipmentData!B1092))-1))),DATEVALUE(TRIM([1]RawShipmentData!B1092)))</f>
        <v>45458</v>
      </c>
      <c r="C1083" s="2" t="str">
        <f>PROPER(TRIM([1]RawShipmentData!C1092))</f>
        <v>Delhi</v>
      </c>
      <c r="D1083" s="2" t="str">
        <f>IFERROR(INDEX([1]HubMaster!$B$2:$B$7,MATCH(C1083,[1]HubMaster!$A$2:$A$7,0)),"Unknown")</f>
        <v>North</v>
      </c>
      <c r="E1083" s="2" t="str">
        <f>PROPER(TRIM(SUBSTITUTE([1]RawShipmentData!D1092,"  "," ")))</f>
        <v>Xpressbees</v>
      </c>
      <c r="F1083" s="2" t="str">
        <f>PROPER(TRIM([1]RawShipmentData!E1092))</f>
        <v>Road</v>
      </c>
      <c r="G1083" s="2" t="str">
        <f>PROPER(TRIM(SUBSTITUTE([1]RawShipmentData!F1092,"  "," ")))</f>
        <v>Grocery &amp; Fmcg</v>
      </c>
      <c r="H1083" s="2" t="str">
        <f>PROPER(TRIM([1]RawShipmentData!G1092))</f>
        <v>West</v>
      </c>
      <c r="I1083" s="2" t="str">
        <f t="shared" si="80"/>
        <v>Yes</v>
      </c>
      <c r="J1083" s="2">
        <f>IFERROR(VALUE(TRIM(SUBSTITUTE(UPPER([1]RawShipmentData!I1083),"KG",""))),"")</f>
        <v>79.5</v>
      </c>
      <c r="K1083" s="2">
        <f>VALUE(SUBSTITUTE(SUBSTITUTE(SUBSTITUTE(TRIM([1]RawShipmentData!J1092),"₹",""),"Rs",""),",",""))</f>
        <v>221</v>
      </c>
      <c r="L1083" s="2">
        <f>[1]RawShipmentData!K1092</f>
        <v>8</v>
      </c>
      <c r="M1083" s="3">
        <f>IF(TRIM([1]RawShipmentData!L1092)="","",IF(ISNUMBER(SEARCH("/",TRIM([1]RawShipmentData!L1092))),DATE(VALUE(RIGHT(TRIM([1]RawShipmentData!L1092),4)),VALUE(MID(TRIM([1]RawShipmentData!L1092),FIND("/",TRIM([1]RawShipmentData!L1092))+1,2)),VALUE(LEFT(TRIM([1]RawShipmentData!L1092),FIND("/",TRIM([1]RawShipmentData!L1092))-1))),DATEVALUE(TRIM([1]RawShipmentData!L1092))))</f>
        <v>45471</v>
      </c>
      <c r="N1083" s="2">
        <f t="shared" si="81"/>
        <v>13</v>
      </c>
      <c r="O1083" s="2">
        <f t="shared" si="82"/>
        <v>5</v>
      </c>
      <c r="P1083" s="2" t="str">
        <f t="shared" si="83"/>
        <v>Late</v>
      </c>
      <c r="Q1083" s="2" t="str">
        <f>PROPER(SUBSTITUTE(TRIM([1]RawShipmentData!M1092)," ","-"))</f>
        <v>Delayed</v>
      </c>
      <c r="R1083" s="4">
        <f t="shared" si="84"/>
        <v>2.7798742138364778</v>
      </c>
      <c r="S1083" s="2">
        <f>[1]RawShipmentData!N1092</f>
        <v>1</v>
      </c>
      <c r="T1083" s="2" t="str">
        <f>IF(OR(UPPER(TRIM([1]RawShipmentData!O1092))="YES",UPPER(TRIM([1]RawShipmentData!O1092))="Y"),"Yes","No")</f>
        <v>Yes</v>
      </c>
    </row>
    <row r="1084" spans="1:20" x14ac:dyDescent="0.25">
      <c r="A1084" s="2" t="str">
        <f>[1]RawShipmentData!A1093</f>
        <v>SHP-101286</v>
      </c>
      <c r="B1084" s="3">
        <f>IF(ISNUMBER(SEARCH("/",TRIM([1]RawShipmentData!B1093))),DATE(VALUE(RIGHT(TRIM([1]RawShipmentData!B1093),4)),VALUE(MID(TRIM([1]RawShipmentData!B1093),FIND("/",TRIM([1]RawShipmentData!B1093))+1,2)),VALUE(LEFT(TRIM([1]RawShipmentData!B1093),FIND("/",TRIM([1]RawShipmentData!B1093))-1))),DATEVALUE(TRIM([1]RawShipmentData!B1093)))</f>
        <v>45358</v>
      </c>
      <c r="C1084" s="2" t="str">
        <f>PROPER(TRIM([1]RawShipmentData!C1093))</f>
        <v>Kolkata</v>
      </c>
      <c r="D1084" s="2" t="str">
        <f>IFERROR(INDEX([1]HubMaster!$B$2:$B$7,MATCH(C1084,[1]HubMaster!$A$2:$A$7,0)),"Unknown")</f>
        <v>East</v>
      </c>
      <c r="E1084" s="2" t="str">
        <f>PROPER(TRIM(SUBSTITUTE([1]RawShipmentData!D1093,"  "," ")))</f>
        <v>Ecom Express</v>
      </c>
      <c r="F1084" s="2" t="str">
        <f>PROPER(TRIM([1]RawShipmentData!E1093))</f>
        <v>Road</v>
      </c>
      <c r="G1084" s="2" t="str">
        <f>PROPER(TRIM(SUBSTITUTE([1]RawShipmentData!F1093,"  "," ")))</f>
        <v>Grocery &amp; Fmcg</v>
      </c>
      <c r="H1084" s="2" t="str">
        <f>PROPER(TRIM([1]RawShipmentData!G1093))</f>
        <v>West</v>
      </c>
      <c r="I1084" s="2" t="str">
        <f t="shared" si="80"/>
        <v>Yes</v>
      </c>
      <c r="J1084" s="2">
        <f>IFERROR(VALUE(TRIM(SUBSTITUTE(UPPER([1]RawShipmentData!I1084),"KG",""))),"")</f>
        <v>3</v>
      </c>
      <c r="K1084" s="2">
        <f>VALUE(SUBSTITUTE(SUBSTITUTE(SUBSTITUTE(TRIM([1]RawShipmentData!J1093),"₹",""),"Rs",""),",",""))</f>
        <v>359</v>
      </c>
      <c r="L1084" s="2">
        <f>[1]RawShipmentData!K1093</f>
        <v>8</v>
      </c>
      <c r="M1084" s="3">
        <f>IF(TRIM([1]RawShipmentData!L1093)="","",IF(ISNUMBER(SEARCH("/",TRIM([1]RawShipmentData!L1093))),DATE(VALUE(RIGHT(TRIM([1]RawShipmentData!L1093),4)),VALUE(MID(TRIM([1]RawShipmentData!L1093),FIND("/",TRIM([1]RawShipmentData!L1093))+1,2)),VALUE(LEFT(TRIM([1]RawShipmentData!L1093),FIND("/",TRIM([1]RawShipmentData!L1093))-1))),DATEVALUE(TRIM([1]RawShipmentData!L1093))))</f>
        <v>45374</v>
      </c>
      <c r="N1084" s="2">
        <f t="shared" si="81"/>
        <v>16</v>
      </c>
      <c r="O1084" s="2">
        <f t="shared" si="82"/>
        <v>8</v>
      </c>
      <c r="P1084" s="2" t="str">
        <f t="shared" si="83"/>
        <v>Late</v>
      </c>
      <c r="Q1084" s="2" t="str">
        <f>PROPER(SUBSTITUTE(TRIM([1]RawShipmentData!M1093)," ","-"))</f>
        <v>Delayed</v>
      </c>
      <c r="R1084" s="4">
        <f t="shared" si="84"/>
        <v>119.66666666666667</v>
      </c>
      <c r="S1084" s="2">
        <f>[1]RawShipmentData!N1093</f>
        <v>1</v>
      </c>
      <c r="T1084" s="2" t="str">
        <f>IF(OR(UPPER(TRIM([1]RawShipmentData!O1093))="YES",UPPER(TRIM([1]RawShipmentData!O1093))="Y"),"Yes","No")</f>
        <v>Yes</v>
      </c>
    </row>
    <row r="1085" spans="1:20" x14ac:dyDescent="0.25">
      <c r="A1085" s="2" t="str">
        <f>[1]RawShipmentData!A1094</f>
        <v>SHP-100132</v>
      </c>
      <c r="B1085" s="3">
        <f>IF(ISNUMBER(SEARCH("/",TRIM([1]RawShipmentData!B1094))),DATE(VALUE(RIGHT(TRIM([1]RawShipmentData!B1094),4)),VALUE(MID(TRIM([1]RawShipmentData!B1094),FIND("/",TRIM([1]RawShipmentData!B1094))+1,2)),VALUE(LEFT(TRIM([1]RawShipmentData!B1094),FIND("/",TRIM([1]RawShipmentData!B1094))-1))),DATEVALUE(TRIM([1]RawShipmentData!B1094)))</f>
        <v>45377</v>
      </c>
      <c r="C1085" s="2" t="str">
        <f>PROPER(TRIM([1]RawShipmentData!C1094))</f>
        <v>Mumbai</v>
      </c>
      <c r="D1085" s="2" t="str">
        <f>IFERROR(INDEX([1]HubMaster!$B$2:$B$7,MATCH(C1085,[1]HubMaster!$A$2:$A$7,0)),"Unknown")</f>
        <v>West</v>
      </c>
      <c r="E1085" s="2" t="str">
        <f>PROPER(TRIM(SUBSTITUTE([1]RawShipmentData!D1094,"  "," ")))</f>
        <v>Delhivery</v>
      </c>
      <c r="F1085" s="2" t="str">
        <f>PROPER(TRIM([1]RawShipmentData!E1094))</f>
        <v>Surface</v>
      </c>
      <c r="G1085" s="2" t="str">
        <f>PROPER(TRIM(SUBSTITUTE([1]RawShipmentData!F1094,"  "," ")))</f>
        <v>Pharma</v>
      </c>
      <c r="H1085" s="2" t="str">
        <f>PROPER(TRIM([1]RawShipmentData!G1094))</f>
        <v>North</v>
      </c>
      <c r="I1085" s="2" t="str">
        <f t="shared" si="80"/>
        <v>Yes</v>
      </c>
      <c r="J1085" s="2">
        <f>IFERROR(VALUE(TRIM(SUBSTITUTE(UPPER([1]RawShipmentData!I1085),"KG",""))),"")</f>
        <v>27.9</v>
      </c>
      <c r="K1085" s="2">
        <f>VALUE(SUBSTITUTE(SUBSTITUTE(SUBSTITUTE(TRIM([1]RawShipmentData!J1094),"₹",""),"Rs",""),",",""))</f>
        <v>237</v>
      </c>
      <c r="L1085" s="2">
        <f>[1]RawShipmentData!K1094</f>
        <v>6</v>
      </c>
      <c r="M1085" s="3">
        <f>IF(TRIM([1]RawShipmentData!L1094)="","",IF(ISNUMBER(SEARCH("/",TRIM([1]RawShipmentData!L1094))),DATE(VALUE(RIGHT(TRIM([1]RawShipmentData!L1094),4)),VALUE(MID(TRIM([1]RawShipmentData!L1094),FIND("/",TRIM([1]RawShipmentData!L1094))+1,2)),VALUE(LEFT(TRIM([1]RawShipmentData!L1094),FIND("/",TRIM([1]RawShipmentData!L1094))-1))),DATEVALUE(TRIM([1]RawShipmentData!L1094))))</f>
        <v>45383</v>
      </c>
      <c r="N1085" s="2">
        <f t="shared" si="81"/>
        <v>6</v>
      </c>
      <c r="O1085" s="2">
        <f t="shared" si="82"/>
        <v>0</v>
      </c>
      <c r="P1085" s="2" t="str">
        <f t="shared" si="83"/>
        <v>On Time</v>
      </c>
      <c r="Q1085" s="2" t="str">
        <f>PROPER(SUBSTITUTE(TRIM([1]RawShipmentData!M1094)," ","-"))</f>
        <v>Delivered</v>
      </c>
      <c r="R1085" s="4">
        <f t="shared" si="84"/>
        <v>8.4946236559139781</v>
      </c>
      <c r="S1085" s="2">
        <f>[1]RawShipmentData!N1094</f>
        <v>4</v>
      </c>
      <c r="T1085" s="2" t="str">
        <f>IF(OR(UPPER(TRIM([1]RawShipmentData!O1094))="YES",UPPER(TRIM([1]RawShipmentData!O1094))="Y"),"Yes","No")</f>
        <v>No</v>
      </c>
    </row>
    <row r="1086" spans="1:20" x14ac:dyDescent="0.25">
      <c r="A1086" s="2" t="str">
        <f>[1]RawShipmentData!A1095</f>
        <v>SHP-101550</v>
      </c>
      <c r="B1086" s="3">
        <f>IF(ISNUMBER(SEARCH("/",TRIM([1]RawShipmentData!B1095))),DATE(VALUE(RIGHT(TRIM([1]RawShipmentData!B1095),4)),VALUE(MID(TRIM([1]RawShipmentData!B1095),FIND("/",TRIM([1]RawShipmentData!B1095))+1,2)),VALUE(LEFT(TRIM([1]RawShipmentData!B1095),FIND("/",TRIM([1]RawShipmentData!B1095))-1))),DATEVALUE(TRIM([1]RawShipmentData!B1095)))</f>
        <v>45419</v>
      </c>
      <c r="C1086" s="2" t="str">
        <f>PROPER(TRIM([1]RawShipmentData!C1095))</f>
        <v>Mumbai</v>
      </c>
      <c r="D1086" s="2" t="str">
        <f>IFERROR(INDEX([1]HubMaster!$B$2:$B$7,MATCH(C1086,[1]HubMaster!$A$2:$A$7,0)),"Unknown")</f>
        <v>West</v>
      </c>
      <c r="E1086" s="2" t="str">
        <f>PROPER(TRIM(SUBSTITUTE([1]RawShipmentData!D1095,"  "," ")))</f>
        <v>Delhivery</v>
      </c>
      <c r="F1086" s="2" t="str">
        <f>PROPER(TRIM([1]RawShipmentData!E1095))</f>
        <v>Air</v>
      </c>
      <c r="G1086" s="2" t="str">
        <f>PROPER(TRIM(SUBSTITUTE([1]RawShipmentData!F1095,"  "," ")))</f>
        <v>Automotive Parts</v>
      </c>
      <c r="H1086" s="2" t="str">
        <f>PROPER(TRIM([1]RawShipmentData!G1095))</f>
        <v>North</v>
      </c>
      <c r="I1086" s="2" t="str">
        <f t="shared" si="80"/>
        <v>Yes</v>
      </c>
      <c r="J1086" s="2">
        <f>IFERROR(VALUE(TRIM(SUBSTITUTE(UPPER([1]RawShipmentData!I1086),"KG",""))),"")</f>
        <v>2.7</v>
      </c>
      <c r="K1086" s="2">
        <f>VALUE(SUBSTITUTE(SUBSTITUTE(SUBSTITUTE(TRIM([1]RawShipmentData!J1095),"₹",""),"Rs",""),",",""))</f>
        <v>836</v>
      </c>
      <c r="L1086" s="2">
        <f>[1]RawShipmentData!K1095</f>
        <v>4</v>
      </c>
      <c r="M1086" s="3">
        <f>IF(TRIM([1]RawShipmentData!L1095)="","",IF(ISNUMBER(SEARCH("/",TRIM([1]RawShipmentData!L1095))),DATE(VALUE(RIGHT(TRIM([1]RawShipmentData!L1095),4)),VALUE(MID(TRIM([1]RawShipmentData!L1095),FIND("/",TRIM([1]RawShipmentData!L1095))+1,2)),VALUE(LEFT(TRIM([1]RawShipmentData!L1095),FIND("/",TRIM([1]RawShipmentData!L1095))-1))),DATEVALUE(TRIM([1]RawShipmentData!L1095))))</f>
        <v>45423</v>
      </c>
      <c r="N1086" s="2">
        <f t="shared" si="81"/>
        <v>4</v>
      </c>
      <c r="O1086" s="2">
        <f t="shared" si="82"/>
        <v>0</v>
      </c>
      <c r="P1086" s="2" t="str">
        <f t="shared" si="83"/>
        <v>On Time</v>
      </c>
      <c r="Q1086" s="2" t="str">
        <f>PROPER(SUBSTITUTE(TRIM([1]RawShipmentData!M1095)," ","-"))</f>
        <v>Delivered</v>
      </c>
      <c r="R1086" s="4">
        <f t="shared" si="84"/>
        <v>309.62962962962962</v>
      </c>
      <c r="S1086" s="2">
        <f>[1]RawShipmentData!N1095</f>
        <v>4</v>
      </c>
      <c r="T1086" s="2" t="str">
        <f>IF(OR(UPPER(TRIM([1]RawShipmentData!O1095))="YES",UPPER(TRIM([1]RawShipmentData!O1095))="Y"),"Yes","No")</f>
        <v>No</v>
      </c>
    </row>
    <row r="1087" spans="1:20" x14ac:dyDescent="0.25">
      <c r="A1087" s="2" t="str">
        <f>[1]RawShipmentData!A1096</f>
        <v>SHP-101252</v>
      </c>
      <c r="B1087" s="3">
        <f>IF(ISNUMBER(SEARCH("/",TRIM([1]RawShipmentData!B1096))),DATE(VALUE(RIGHT(TRIM([1]RawShipmentData!B1096),4)),VALUE(MID(TRIM([1]RawShipmentData!B1096),FIND("/",TRIM([1]RawShipmentData!B1096))+1,2)),VALUE(LEFT(TRIM([1]RawShipmentData!B1096),FIND("/",TRIM([1]RawShipmentData!B1096))-1))),DATEVALUE(TRIM([1]RawShipmentData!B1096)))</f>
        <v>45459</v>
      </c>
      <c r="C1087" s="2" t="str">
        <f>PROPER(TRIM([1]RawShipmentData!C1096))</f>
        <v>Mumbai</v>
      </c>
      <c r="D1087" s="2" t="str">
        <f>IFERROR(INDEX([1]HubMaster!$B$2:$B$7,MATCH(C1087,[1]HubMaster!$A$2:$A$7,0)),"Unknown")</f>
        <v>West</v>
      </c>
      <c r="E1087" s="2" t="str">
        <f>PROPER(TRIM(SUBSTITUTE([1]RawShipmentData!D1096,"  "," ")))</f>
        <v>Bluedart</v>
      </c>
      <c r="F1087" s="2" t="str">
        <f>PROPER(TRIM([1]RawShipmentData!E1096))</f>
        <v>Air</v>
      </c>
      <c r="G1087" s="2" t="str">
        <f>PROPER(TRIM(SUBSTITUTE([1]RawShipmentData!F1096,"  "," ")))</f>
        <v>Furniture</v>
      </c>
      <c r="H1087" s="2" t="str">
        <f>PROPER(TRIM([1]RawShipmentData!G1096))</f>
        <v>South</v>
      </c>
      <c r="I1087" s="2" t="str">
        <f t="shared" si="80"/>
        <v>Yes</v>
      </c>
      <c r="J1087" s="2">
        <f>IFERROR(VALUE(TRIM(SUBSTITUTE(UPPER([1]RawShipmentData!I1087),"KG",""))),"")</f>
        <v>4.5</v>
      </c>
      <c r="K1087" s="2">
        <f>VALUE(SUBSTITUTE(SUBSTITUTE(SUBSTITUTE(TRIM([1]RawShipmentData!J1096),"₹",""),"Rs",""),",",""))</f>
        <v>2228</v>
      </c>
      <c r="L1087" s="2">
        <f>[1]RawShipmentData!K1096</f>
        <v>4</v>
      </c>
      <c r="M1087" s="3">
        <f>IF(TRIM([1]RawShipmentData!L1096)="","",IF(ISNUMBER(SEARCH("/",TRIM([1]RawShipmentData!L1096))),DATE(VALUE(RIGHT(TRIM([1]RawShipmentData!L1096),4)),VALUE(MID(TRIM([1]RawShipmentData!L1096),FIND("/",TRIM([1]RawShipmentData!L1096))+1,2)),VALUE(LEFT(TRIM([1]RawShipmentData!L1096),FIND("/",TRIM([1]RawShipmentData!L1096))-1))),DATEVALUE(TRIM([1]RawShipmentData!L1096))))</f>
        <v>45464</v>
      </c>
      <c r="N1087" s="2">
        <f t="shared" si="81"/>
        <v>5</v>
      </c>
      <c r="O1087" s="2">
        <f t="shared" si="82"/>
        <v>1</v>
      </c>
      <c r="P1087" s="2" t="str">
        <f t="shared" si="83"/>
        <v>Late</v>
      </c>
      <c r="Q1087" s="2" t="str">
        <f>PROPER(SUBSTITUTE(TRIM([1]RawShipmentData!M1096)," ","-"))</f>
        <v>Delayed</v>
      </c>
      <c r="R1087" s="4">
        <f t="shared" si="84"/>
        <v>495.11111111111109</v>
      </c>
      <c r="S1087" s="2">
        <f>[1]RawShipmentData!N1096</f>
        <v>2</v>
      </c>
      <c r="T1087" s="2" t="str">
        <f>IF(OR(UPPER(TRIM([1]RawShipmentData!O1096))="YES",UPPER(TRIM([1]RawShipmentData!O1096))="Y"),"Yes","No")</f>
        <v>Yes</v>
      </c>
    </row>
    <row r="1088" spans="1:20" x14ac:dyDescent="0.25">
      <c r="A1088" s="2" t="str">
        <f>[1]RawShipmentData!A1097</f>
        <v>SHP-101155</v>
      </c>
      <c r="B1088" s="3">
        <f>IF(ISNUMBER(SEARCH("/",TRIM([1]RawShipmentData!B1097))),DATE(VALUE(RIGHT(TRIM([1]RawShipmentData!B1097),4)),VALUE(MID(TRIM([1]RawShipmentData!B1097),FIND("/",TRIM([1]RawShipmentData!B1097))+1,2)),VALUE(LEFT(TRIM([1]RawShipmentData!B1097),FIND("/",TRIM([1]RawShipmentData!B1097))-1))),DATEVALUE(TRIM([1]RawShipmentData!B1097)))</f>
        <v>45374</v>
      </c>
      <c r="C1088" s="2" t="str">
        <f>PROPER(TRIM([1]RawShipmentData!C1097))</f>
        <v>Kolkata</v>
      </c>
      <c r="D1088" s="2" t="str">
        <f>IFERROR(INDEX([1]HubMaster!$B$2:$B$7,MATCH(C1088,[1]HubMaster!$A$2:$A$7,0)),"Unknown")</f>
        <v>East</v>
      </c>
      <c r="E1088" s="2" t="str">
        <f>PROPER(TRIM(SUBSTITUTE([1]RawShipmentData!D1097,"  "," ")))</f>
        <v>Ecom Express</v>
      </c>
      <c r="F1088" s="2" t="str">
        <f>PROPER(TRIM([1]RawShipmentData!E1097))</f>
        <v>Road</v>
      </c>
      <c r="G1088" s="2" t="str">
        <f>PROPER(TRIM(SUBSTITUTE([1]RawShipmentData!F1097,"  "," ")))</f>
        <v>Furniture</v>
      </c>
      <c r="H1088" s="2" t="str">
        <f>PROPER(TRIM([1]RawShipmentData!G1097))</f>
        <v>South</v>
      </c>
      <c r="I1088" s="2" t="str">
        <f t="shared" si="80"/>
        <v>Yes</v>
      </c>
      <c r="J1088" s="2">
        <f>IFERROR(VALUE(TRIM(SUBSTITUTE(UPPER([1]RawShipmentData!I1088),"KG",""))),"")</f>
        <v>3.6</v>
      </c>
      <c r="K1088" s="2">
        <f>VALUE(SUBSTITUTE(SUBSTITUTE(SUBSTITUTE(TRIM([1]RawShipmentData!J1097),"₹",""),"Rs",""),",",""))</f>
        <v>493</v>
      </c>
      <c r="L1088" s="2">
        <f>[1]RawShipmentData!K1097</f>
        <v>8</v>
      </c>
      <c r="M1088" s="3">
        <f>IF(TRIM([1]RawShipmentData!L1097)="","",IF(ISNUMBER(SEARCH("/",TRIM([1]RawShipmentData!L1097))),DATE(VALUE(RIGHT(TRIM([1]RawShipmentData!L1097),4)),VALUE(MID(TRIM([1]RawShipmentData!L1097),FIND("/",TRIM([1]RawShipmentData!L1097))+1,2)),VALUE(LEFT(TRIM([1]RawShipmentData!L1097),FIND("/",TRIM([1]RawShipmentData!L1097))-1))),DATEVALUE(TRIM([1]RawShipmentData!L1097))))</f>
        <v>45381</v>
      </c>
      <c r="N1088" s="2">
        <f t="shared" si="81"/>
        <v>7</v>
      </c>
      <c r="O1088" s="2">
        <f t="shared" si="82"/>
        <v>-1</v>
      </c>
      <c r="P1088" s="2" t="str">
        <f t="shared" si="83"/>
        <v>On Time</v>
      </c>
      <c r="Q1088" s="2" t="str">
        <f>PROPER(SUBSTITUTE(TRIM([1]RawShipmentData!M1097)," ","-"))</f>
        <v>Returned</v>
      </c>
      <c r="R1088" s="4">
        <f t="shared" si="84"/>
        <v>136.94444444444443</v>
      </c>
      <c r="S1088" s="2">
        <f>[1]RawShipmentData!N1097</f>
        <v>0</v>
      </c>
      <c r="T1088" s="2" t="str">
        <f>IF(OR(UPPER(TRIM([1]RawShipmentData!O1097))="YES",UPPER(TRIM([1]RawShipmentData!O1097))="Y"),"Yes","No")</f>
        <v>No</v>
      </c>
    </row>
    <row r="1089" spans="1:20" x14ac:dyDescent="0.25">
      <c r="A1089" s="2" t="str">
        <f>[1]RawShipmentData!A1098</f>
        <v>SHP-100444</v>
      </c>
      <c r="B1089" s="3">
        <f>IF(ISNUMBER(SEARCH("/",TRIM([1]RawShipmentData!B1098))),DATE(VALUE(RIGHT(TRIM([1]RawShipmentData!B1098),4)),VALUE(MID(TRIM([1]RawShipmentData!B1098),FIND("/",TRIM([1]RawShipmentData!B1098))+1,2)),VALUE(LEFT(TRIM([1]RawShipmentData!B1098),FIND("/",TRIM([1]RawShipmentData!B1098))-1))),DATEVALUE(TRIM([1]RawShipmentData!B1098)))</f>
        <v>45453</v>
      </c>
      <c r="C1089" s="2" t="str">
        <f>PROPER(TRIM([1]RawShipmentData!C1098))</f>
        <v>Bengaluru</v>
      </c>
      <c r="D1089" s="2" t="str">
        <f>IFERROR(INDEX([1]HubMaster!$B$2:$B$7,MATCH(C1089,[1]HubMaster!$A$2:$A$7,0)),"Unknown")</f>
        <v>South</v>
      </c>
      <c r="E1089" s="2" t="str">
        <f>PROPER(TRIM(SUBSTITUTE([1]RawShipmentData!D1098,"  "," ")))</f>
        <v>Ecom Express</v>
      </c>
      <c r="F1089" s="2" t="str">
        <f>PROPER(TRIM([1]RawShipmentData!E1098))</f>
        <v>Surface</v>
      </c>
      <c r="G1089" s="2" t="str">
        <f>PROPER(TRIM(SUBSTITUTE([1]RawShipmentData!F1098,"  "," ")))</f>
        <v>Automotive Parts</v>
      </c>
      <c r="H1089" s="2" t="str">
        <f>PROPER(TRIM([1]RawShipmentData!G1098))</f>
        <v>East</v>
      </c>
      <c r="I1089" s="2" t="str">
        <f t="shared" si="80"/>
        <v>Yes</v>
      </c>
      <c r="J1089" s="2">
        <f>IFERROR(VALUE(TRIM(SUBSTITUTE(UPPER([1]RawShipmentData!I1089),"KG",""))),"")</f>
        <v>21.8</v>
      </c>
      <c r="K1089" s="2">
        <f>VALUE(SUBSTITUTE(SUBSTITUTE(SUBSTITUTE(TRIM([1]RawShipmentData!J1098),"₹",""),"Rs",""),",",""))</f>
        <v>527</v>
      </c>
      <c r="L1089" s="2">
        <f>[1]RawShipmentData!K1098</f>
        <v>6</v>
      </c>
      <c r="M1089" s="3">
        <f>IF(TRIM([1]RawShipmentData!L1098)="","",IF(ISNUMBER(SEARCH("/",TRIM([1]RawShipmentData!L1098))),DATE(VALUE(RIGHT(TRIM([1]RawShipmentData!L1098),4)),VALUE(MID(TRIM([1]RawShipmentData!L1098),FIND("/",TRIM([1]RawShipmentData!L1098))+1,2)),VALUE(LEFT(TRIM([1]RawShipmentData!L1098),FIND("/",TRIM([1]RawShipmentData!L1098))-1))),DATEVALUE(TRIM([1]RawShipmentData!L1098))))</f>
        <v>45458</v>
      </c>
      <c r="N1089" s="2">
        <f t="shared" si="81"/>
        <v>5</v>
      </c>
      <c r="O1089" s="2">
        <f t="shared" si="82"/>
        <v>-1</v>
      </c>
      <c r="P1089" s="2" t="str">
        <f t="shared" si="83"/>
        <v>On Time</v>
      </c>
      <c r="Q1089" s="2" t="str">
        <f>PROPER(SUBSTITUTE(TRIM([1]RawShipmentData!M1098)," ","-"))</f>
        <v>Delivered</v>
      </c>
      <c r="R1089" s="4">
        <f t="shared" si="84"/>
        <v>24.174311926605505</v>
      </c>
      <c r="S1089" s="2">
        <f>[1]RawShipmentData!N1098</f>
        <v>3</v>
      </c>
      <c r="T1089" s="2" t="str">
        <f>IF(OR(UPPER(TRIM([1]RawShipmentData!O1098))="YES",UPPER(TRIM([1]RawShipmentData!O1098))="Y"),"Yes","No")</f>
        <v>No</v>
      </c>
    </row>
    <row r="1090" spans="1:20" x14ac:dyDescent="0.25">
      <c r="A1090" s="2" t="str">
        <f>[1]RawShipmentData!A1099</f>
        <v>SHP-101138</v>
      </c>
      <c r="B1090" s="3">
        <f>IF(ISNUMBER(SEARCH("/",TRIM([1]RawShipmentData!B1099))),DATE(VALUE(RIGHT(TRIM([1]RawShipmentData!B1099),4)),VALUE(MID(TRIM([1]RawShipmentData!B1099),FIND("/",TRIM([1]RawShipmentData!B1099))+1,2)),VALUE(LEFT(TRIM([1]RawShipmentData!B1099),FIND("/",TRIM([1]RawShipmentData!B1099))-1))),DATEVALUE(TRIM([1]RawShipmentData!B1099)))</f>
        <v>45420</v>
      </c>
      <c r="C1090" s="2" t="str">
        <f>PROPER(TRIM([1]RawShipmentData!C1099))</f>
        <v>Kolkata</v>
      </c>
      <c r="D1090" s="2" t="str">
        <f>IFERROR(INDEX([1]HubMaster!$B$2:$B$7,MATCH(C1090,[1]HubMaster!$A$2:$A$7,0)),"Unknown")</f>
        <v>East</v>
      </c>
      <c r="E1090" s="2" t="str">
        <f>PROPER(TRIM(SUBSTITUTE([1]RawShipmentData!D1099,"  "," ")))</f>
        <v>Ecom Express</v>
      </c>
      <c r="F1090" s="2" t="str">
        <f>PROPER(TRIM([1]RawShipmentData!E1099))</f>
        <v>Air</v>
      </c>
      <c r="G1090" s="2" t="str">
        <f>PROPER(TRIM(SUBSTITUTE([1]RawShipmentData!F1099,"  "," ")))</f>
        <v>Pharma</v>
      </c>
      <c r="H1090" s="2" t="str">
        <f>PROPER(TRIM([1]RawShipmentData!G1099))</f>
        <v>North</v>
      </c>
      <c r="I1090" s="2" t="str">
        <f t="shared" ref="I1090:I1153" si="85">IF(D1090=H1090,"No","Yes")</f>
        <v>Yes</v>
      </c>
      <c r="J1090" s="2">
        <f>IFERROR(VALUE(TRIM(SUBSTITUTE(UPPER([1]RawShipmentData!I1090),"KG",""))),"")</f>
        <v>2.7</v>
      </c>
      <c r="K1090" s="2">
        <f>VALUE(SUBSTITUTE(SUBSTITUTE(SUBSTITUTE(TRIM([1]RawShipmentData!J1099),"₹",""),"Rs",""),",",""))</f>
        <v>238</v>
      </c>
      <c r="L1090" s="2">
        <f>[1]RawShipmentData!K1099</f>
        <v>4</v>
      </c>
      <c r="M1090" s="3">
        <f>IF(TRIM([1]RawShipmentData!L1099)="","",IF(ISNUMBER(SEARCH("/",TRIM([1]RawShipmentData!L1099))),DATE(VALUE(RIGHT(TRIM([1]RawShipmentData!L1099),4)),VALUE(MID(TRIM([1]RawShipmentData!L1099),FIND("/",TRIM([1]RawShipmentData!L1099))+1,2)),VALUE(LEFT(TRIM([1]RawShipmentData!L1099),FIND("/",TRIM([1]RawShipmentData!L1099))-1))),DATEVALUE(TRIM([1]RawShipmentData!L1099))))</f>
        <v>45424</v>
      </c>
      <c r="N1090" s="2">
        <f t="shared" ref="N1090:N1153" si="86">IF(M1090="","",M1090-B1090)</f>
        <v>4</v>
      </c>
      <c r="O1090" s="2">
        <f t="shared" ref="O1090:O1153" si="87">IF(N1090="","",N1090-L1090)</f>
        <v>0</v>
      </c>
      <c r="P1090" s="2" t="str">
        <f t="shared" ref="P1090:P1153" si="88">IF(N1090="","N/A",IF(N1090&lt;=L1090,"On Time","Late"))</f>
        <v>On Time</v>
      </c>
      <c r="Q1090" s="2" t="str">
        <f>PROPER(SUBSTITUTE(TRIM([1]RawShipmentData!M1099)," ","-"))</f>
        <v>Delivered</v>
      </c>
      <c r="R1090" s="4">
        <f t="shared" si="84"/>
        <v>88.148148148148138</v>
      </c>
      <c r="S1090" s="2">
        <f>[1]RawShipmentData!N1099</f>
        <v>4</v>
      </c>
      <c r="T1090" s="2" t="str">
        <f>IF(OR(UPPER(TRIM([1]RawShipmentData!O1099))="YES",UPPER(TRIM([1]RawShipmentData!O1099))="Y"),"Yes","No")</f>
        <v>Yes</v>
      </c>
    </row>
    <row r="1091" spans="1:20" x14ac:dyDescent="0.25">
      <c r="A1091" s="2" t="str">
        <f>[1]RawShipmentData!A1100</f>
        <v>SHP-101058</v>
      </c>
      <c r="B1091" s="3">
        <f>IF(ISNUMBER(SEARCH("/",TRIM([1]RawShipmentData!B1100))),DATE(VALUE(RIGHT(TRIM([1]RawShipmentData!B1100),4)),VALUE(MID(TRIM([1]RawShipmentData!B1100),FIND("/",TRIM([1]RawShipmentData!B1100))+1,2)),VALUE(LEFT(TRIM([1]RawShipmentData!B1100),FIND("/",TRIM([1]RawShipmentData!B1100))-1))),DATEVALUE(TRIM([1]RawShipmentData!B1100)))</f>
        <v>45325</v>
      </c>
      <c r="C1091" s="2" t="str">
        <f>PROPER(TRIM([1]RawShipmentData!C1100))</f>
        <v>Kolkata</v>
      </c>
      <c r="D1091" s="2" t="str">
        <f>IFERROR(INDEX([1]HubMaster!$B$2:$B$7,MATCH(C1091,[1]HubMaster!$A$2:$A$7,0)),"Unknown")</f>
        <v>East</v>
      </c>
      <c r="E1091" s="2" t="str">
        <f>PROPER(TRIM(SUBSTITUTE([1]RawShipmentData!D1100,"  "," ")))</f>
        <v>Xpressbees</v>
      </c>
      <c r="F1091" s="2" t="str">
        <f>PROPER(TRIM([1]RawShipmentData!E1100))</f>
        <v>Air</v>
      </c>
      <c r="G1091" s="2" t="str">
        <f>PROPER(TRIM(SUBSTITUTE([1]RawShipmentData!F1100,"  "," ")))</f>
        <v>Apparel</v>
      </c>
      <c r="H1091" s="2" t="str">
        <f>PROPER(TRIM([1]RawShipmentData!G1100))</f>
        <v>North</v>
      </c>
      <c r="I1091" s="2" t="str">
        <f t="shared" si="85"/>
        <v>Yes</v>
      </c>
      <c r="J1091" s="2">
        <f>IFERROR(VALUE(TRIM(SUBSTITUTE(UPPER([1]RawShipmentData!I1091),"KG",""))),"")</f>
        <v>37.1</v>
      </c>
      <c r="K1091" s="2">
        <f>VALUE(SUBSTITUTE(SUBSTITUTE(SUBSTITUTE(TRIM([1]RawShipmentData!J1100),"₹",""),"Rs",""),",",""))</f>
        <v>467</v>
      </c>
      <c r="L1091" s="2">
        <f>[1]RawShipmentData!K1100</f>
        <v>4</v>
      </c>
      <c r="M1091" s="3">
        <f>IF(TRIM([1]RawShipmentData!L1100)="","",IF(ISNUMBER(SEARCH("/",TRIM([1]RawShipmentData!L1100))),DATE(VALUE(RIGHT(TRIM([1]RawShipmentData!L1100),4)),VALUE(MID(TRIM([1]RawShipmentData!L1100),FIND("/",TRIM([1]RawShipmentData!L1100))+1,2)),VALUE(LEFT(TRIM([1]RawShipmentData!L1100),FIND("/",TRIM([1]RawShipmentData!L1100))-1))),DATEVALUE(TRIM([1]RawShipmentData!L1100))))</f>
        <v>45336</v>
      </c>
      <c r="N1091" s="2">
        <f t="shared" si="86"/>
        <v>11</v>
      </c>
      <c r="O1091" s="2">
        <f t="shared" si="87"/>
        <v>7</v>
      </c>
      <c r="P1091" s="2" t="str">
        <f t="shared" si="88"/>
        <v>Late</v>
      </c>
      <c r="Q1091" s="2" t="str">
        <f>PROPER(SUBSTITUTE(TRIM([1]RawShipmentData!M1100)," ","-"))</f>
        <v>Delayed</v>
      </c>
      <c r="R1091" s="4">
        <f t="shared" ref="R1091:R1154" si="89">IFERROR(K1091/J1091,"")</f>
        <v>12.587601078167115</v>
      </c>
      <c r="S1091" s="2">
        <f>[1]RawShipmentData!N1100</f>
        <v>3</v>
      </c>
      <c r="T1091" s="2" t="str">
        <f>IF(OR(UPPER(TRIM([1]RawShipmentData!O1100))="YES",UPPER(TRIM([1]RawShipmentData!O1100))="Y"),"Yes","No")</f>
        <v>Yes</v>
      </c>
    </row>
    <row r="1092" spans="1:20" x14ac:dyDescent="0.25">
      <c r="A1092" s="2" t="str">
        <f>[1]RawShipmentData!A1101</f>
        <v>SHP-101408</v>
      </c>
      <c r="B1092" s="3">
        <f>IF(ISNUMBER(SEARCH("/",TRIM([1]RawShipmentData!B1101))),DATE(VALUE(RIGHT(TRIM([1]RawShipmentData!B1101),4)),VALUE(MID(TRIM([1]RawShipmentData!B1101),FIND("/",TRIM([1]RawShipmentData!B1101))+1,2)),VALUE(LEFT(TRIM([1]RawShipmentData!B1101),FIND("/",TRIM([1]RawShipmentData!B1101))-1))),DATEVALUE(TRIM([1]RawShipmentData!B1101)))</f>
        <v>45339</v>
      </c>
      <c r="C1092" s="2" t="str">
        <f>PROPER(TRIM([1]RawShipmentData!C1101))</f>
        <v>Bengaluru</v>
      </c>
      <c r="D1092" s="2" t="str">
        <f>IFERROR(INDEX([1]HubMaster!$B$2:$B$7,MATCH(C1092,[1]HubMaster!$A$2:$A$7,0)),"Unknown")</f>
        <v>South</v>
      </c>
      <c r="E1092" s="2" t="str">
        <f>PROPER(TRIM(SUBSTITUTE([1]RawShipmentData!D1101,"  "," ")))</f>
        <v>Dtdc</v>
      </c>
      <c r="F1092" s="2" t="str">
        <f>PROPER(TRIM([1]RawShipmentData!E1101))</f>
        <v>Air</v>
      </c>
      <c r="G1092" s="2" t="str">
        <f>PROPER(TRIM(SUBSTITUTE([1]RawShipmentData!F1101,"  "," ")))</f>
        <v>Apparel</v>
      </c>
      <c r="H1092" s="2" t="str">
        <f>PROPER(TRIM([1]RawShipmentData!G1101))</f>
        <v>South</v>
      </c>
      <c r="I1092" s="2" t="str">
        <f t="shared" si="85"/>
        <v>No</v>
      </c>
      <c r="J1092" s="2">
        <f>IFERROR(VALUE(TRIM(SUBSTITUTE(UPPER([1]RawShipmentData!I1092),"KG",""))),"")</f>
        <v>3.8</v>
      </c>
      <c r="K1092" s="2">
        <f>VALUE(SUBSTITUTE(SUBSTITUTE(SUBSTITUTE(TRIM([1]RawShipmentData!J1101),"₹",""),"Rs",""),",",""))</f>
        <v>93</v>
      </c>
      <c r="L1092" s="2">
        <f>[1]RawShipmentData!K1101</f>
        <v>2</v>
      </c>
      <c r="M1092" s="3">
        <f>IF(TRIM([1]RawShipmentData!L1101)="","",IF(ISNUMBER(SEARCH("/",TRIM([1]RawShipmentData!L1101))),DATE(VALUE(RIGHT(TRIM([1]RawShipmentData!L1101),4)),VALUE(MID(TRIM([1]RawShipmentData!L1101),FIND("/",TRIM([1]RawShipmentData!L1101))+1,2)),VALUE(LEFT(TRIM([1]RawShipmentData!L1101),FIND("/",TRIM([1]RawShipmentData!L1101))-1))),DATEVALUE(TRIM([1]RawShipmentData!L1101))))</f>
        <v>45341</v>
      </c>
      <c r="N1092" s="2">
        <f t="shared" si="86"/>
        <v>2</v>
      </c>
      <c r="O1092" s="2">
        <f t="shared" si="87"/>
        <v>0</v>
      </c>
      <c r="P1092" s="2" t="str">
        <f t="shared" si="88"/>
        <v>On Time</v>
      </c>
      <c r="Q1092" s="2" t="str">
        <f>PROPER(SUBSTITUTE(TRIM([1]RawShipmentData!M1101)," ","-"))</f>
        <v>Delivered</v>
      </c>
      <c r="R1092" s="4">
        <f t="shared" si="89"/>
        <v>24.473684210526319</v>
      </c>
      <c r="S1092" s="2">
        <f>[1]RawShipmentData!N1101</f>
        <v>4</v>
      </c>
      <c r="T1092" s="2" t="str">
        <f>IF(OR(UPPER(TRIM([1]RawShipmentData!O1101))="YES",UPPER(TRIM([1]RawShipmentData!O1101))="Y"),"Yes","No")</f>
        <v>No</v>
      </c>
    </row>
    <row r="1093" spans="1:20" x14ac:dyDescent="0.25">
      <c r="A1093" s="2" t="str">
        <f>[1]RawShipmentData!A1102</f>
        <v>SHP-100461</v>
      </c>
      <c r="B1093" s="3">
        <f>IF(ISNUMBER(SEARCH("/",TRIM([1]RawShipmentData!B1102))),DATE(VALUE(RIGHT(TRIM([1]RawShipmentData!B1102),4)),VALUE(MID(TRIM([1]RawShipmentData!B1102),FIND("/",TRIM([1]RawShipmentData!B1102))+1,2)),VALUE(LEFT(TRIM([1]RawShipmentData!B1102),FIND("/",TRIM([1]RawShipmentData!B1102))-1))),DATEVALUE(TRIM([1]RawShipmentData!B1102)))</f>
        <v>45370</v>
      </c>
      <c r="C1093" s="2" t="str">
        <f>PROPER(TRIM([1]RawShipmentData!C1102))</f>
        <v>Mumbai</v>
      </c>
      <c r="D1093" s="2" t="str">
        <f>IFERROR(INDEX([1]HubMaster!$B$2:$B$7,MATCH(C1093,[1]HubMaster!$A$2:$A$7,0)),"Unknown")</f>
        <v>West</v>
      </c>
      <c r="E1093" s="2" t="str">
        <f>PROPER(TRIM(SUBSTITUTE([1]RawShipmentData!D1102,"  "," ")))</f>
        <v/>
      </c>
      <c r="F1093" s="2" t="str">
        <f>PROPER(TRIM([1]RawShipmentData!E1102))</f>
        <v>Road</v>
      </c>
      <c r="G1093" s="2" t="str">
        <f>PROPER(TRIM(SUBSTITUTE([1]RawShipmentData!F1102,"  "," ")))</f>
        <v>Apparel</v>
      </c>
      <c r="H1093" s="2" t="str">
        <f>PROPER(TRIM([1]RawShipmentData!G1102))</f>
        <v>West</v>
      </c>
      <c r="I1093" s="2" t="str">
        <f t="shared" si="85"/>
        <v>No</v>
      </c>
      <c r="J1093" s="2">
        <f>IFERROR(VALUE(TRIM(SUBSTITUTE(UPPER([1]RawShipmentData!I1093),"KG",""))),"")</f>
        <v>12.8</v>
      </c>
      <c r="K1093" s="2">
        <f>VALUE(SUBSTITUTE(SUBSTITUTE(SUBSTITUTE(TRIM([1]RawShipmentData!J1102),"₹",""),"Rs",""),",",""))</f>
        <v>111</v>
      </c>
      <c r="L1093" s="2">
        <f>[1]RawShipmentData!K1102</f>
        <v>6</v>
      </c>
      <c r="M1093" s="3">
        <f>IF(TRIM([1]RawShipmentData!L1102)="","",IF(ISNUMBER(SEARCH("/",TRIM([1]RawShipmentData!L1102))),DATE(VALUE(RIGHT(TRIM([1]RawShipmentData!L1102),4)),VALUE(MID(TRIM([1]RawShipmentData!L1102),FIND("/",TRIM([1]RawShipmentData!L1102))+1,2)),VALUE(LEFT(TRIM([1]RawShipmentData!L1102),FIND("/",TRIM([1]RawShipmentData!L1102))-1))),DATEVALUE(TRIM([1]RawShipmentData!L1102))))</f>
        <v>45385</v>
      </c>
      <c r="N1093" s="2">
        <f t="shared" si="86"/>
        <v>15</v>
      </c>
      <c r="O1093" s="2">
        <f t="shared" si="87"/>
        <v>9</v>
      </c>
      <c r="P1093" s="2" t="str">
        <f t="shared" si="88"/>
        <v>Late</v>
      </c>
      <c r="Q1093" s="2" t="str">
        <f>PROPER(SUBSTITUTE(TRIM([1]RawShipmentData!M1102)," ","-"))</f>
        <v>Delayed</v>
      </c>
      <c r="R1093" s="4">
        <f t="shared" si="89"/>
        <v>8.671875</v>
      </c>
      <c r="S1093" s="2">
        <f>[1]RawShipmentData!N1102</f>
        <v>5</v>
      </c>
      <c r="T1093" s="2" t="str">
        <f>IF(OR(UPPER(TRIM([1]RawShipmentData!O1102))="YES",UPPER(TRIM([1]RawShipmentData!O1102))="Y"),"Yes","No")</f>
        <v>Yes</v>
      </c>
    </row>
    <row r="1094" spans="1:20" x14ac:dyDescent="0.25">
      <c r="A1094" s="2" t="str">
        <f>[1]RawShipmentData!A1103</f>
        <v>SHP-100069</v>
      </c>
      <c r="B1094" s="3">
        <f>IF(ISNUMBER(SEARCH("/",TRIM([1]RawShipmentData!B1103))),DATE(VALUE(RIGHT(TRIM([1]RawShipmentData!B1103),4)),VALUE(MID(TRIM([1]RawShipmentData!B1103),FIND("/",TRIM([1]RawShipmentData!B1103))+1,2)),VALUE(LEFT(TRIM([1]RawShipmentData!B1103),FIND("/",TRIM([1]RawShipmentData!B1103))-1))),DATEVALUE(TRIM([1]RawShipmentData!B1103)))</f>
        <v>45359</v>
      </c>
      <c r="C1094" s="2" t="str">
        <f>PROPER(TRIM([1]RawShipmentData!C1103))</f>
        <v>Bengaluru</v>
      </c>
      <c r="D1094" s="2" t="str">
        <f>IFERROR(INDEX([1]HubMaster!$B$2:$B$7,MATCH(C1094,[1]HubMaster!$A$2:$A$7,0)),"Unknown")</f>
        <v>South</v>
      </c>
      <c r="E1094" s="2" t="str">
        <f>PROPER(TRIM(SUBSTITUTE([1]RawShipmentData!D1103,"  "," ")))</f>
        <v>Ecom Express</v>
      </c>
      <c r="F1094" s="2" t="str">
        <f>PROPER(TRIM([1]RawShipmentData!E1103))</f>
        <v>Air</v>
      </c>
      <c r="G1094" s="2" t="str">
        <f>PROPER(TRIM(SUBSTITUTE([1]RawShipmentData!F1103,"  "," ")))</f>
        <v>Pharma</v>
      </c>
      <c r="H1094" s="2" t="str">
        <f>PROPER(TRIM([1]RawShipmentData!G1103))</f>
        <v>East</v>
      </c>
      <c r="I1094" s="2" t="str">
        <f t="shared" si="85"/>
        <v>Yes</v>
      </c>
      <c r="J1094" s="2">
        <f>IFERROR(VALUE(TRIM(SUBSTITUTE(UPPER([1]RawShipmentData!I1094),"KG",""))),"")</f>
        <v>3.7</v>
      </c>
      <c r="K1094" s="2">
        <f>VALUE(SUBSTITUTE(SUBSTITUTE(SUBSTITUTE(TRIM([1]RawShipmentData!J1103),"₹",""),"Rs",""),",",""))</f>
        <v>276</v>
      </c>
      <c r="L1094" s="2">
        <f>[1]RawShipmentData!K1103</f>
        <v>4</v>
      </c>
      <c r="M1094" s="3">
        <f>IF(TRIM([1]RawShipmentData!L1103)="","",IF(ISNUMBER(SEARCH("/",TRIM([1]RawShipmentData!L1103))),DATE(VALUE(RIGHT(TRIM([1]RawShipmentData!L1103),4)),VALUE(MID(TRIM([1]RawShipmentData!L1103),FIND("/",TRIM([1]RawShipmentData!L1103))+1,2)),VALUE(LEFT(TRIM([1]RawShipmentData!L1103),FIND("/",TRIM([1]RawShipmentData!L1103))-1))),DATEVALUE(TRIM([1]RawShipmentData!L1103))))</f>
        <v>45362</v>
      </c>
      <c r="N1094" s="2">
        <f t="shared" si="86"/>
        <v>3</v>
      </c>
      <c r="O1094" s="2">
        <f t="shared" si="87"/>
        <v>-1</v>
      </c>
      <c r="P1094" s="2" t="str">
        <f t="shared" si="88"/>
        <v>On Time</v>
      </c>
      <c r="Q1094" s="2" t="str">
        <f>PROPER(SUBSTITUTE(TRIM([1]RawShipmentData!M1103)," ","-"))</f>
        <v>Delivered</v>
      </c>
      <c r="R1094" s="4">
        <f t="shared" si="89"/>
        <v>74.594594594594597</v>
      </c>
      <c r="S1094" s="2">
        <f>[1]RawShipmentData!N1103</f>
        <v>5</v>
      </c>
      <c r="T1094" s="2" t="str">
        <f>IF(OR(UPPER(TRIM([1]RawShipmentData!O1103))="YES",UPPER(TRIM([1]RawShipmentData!O1103))="Y"),"Yes","No")</f>
        <v>No</v>
      </c>
    </row>
    <row r="1095" spans="1:20" x14ac:dyDescent="0.25">
      <c r="A1095" s="2" t="str">
        <f>[1]RawShipmentData!A1104</f>
        <v>SHP-101376</v>
      </c>
      <c r="B1095" s="3">
        <f>IF(ISNUMBER(SEARCH("/",TRIM([1]RawShipmentData!B1104))),DATE(VALUE(RIGHT(TRIM([1]RawShipmentData!B1104),4)),VALUE(MID(TRIM([1]RawShipmentData!B1104),FIND("/",TRIM([1]RawShipmentData!B1104))+1,2)),VALUE(LEFT(TRIM([1]RawShipmentData!B1104),FIND("/",TRIM([1]RawShipmentData!B1104))-1))),DATEVALUE(TRIM([1]RawShipmentData!B1104)))</f>
        <v>45334</v>
      </c>
      <c r="C1095" s="2" t="str">
        <f>PROPER(TRIM([1]RawShipmentData!C1104))</f>
        <v>Bengaluru</v>
      </c>
      <c r="D1095" s="2" t="str">
        <f>IFERROR(INDEX([1]HubMaster!$B$2:$B$7,MATCH(C1095,[1]HubMaster!$A$2:$A$7,0)),"Unknown")</f>
        <v>South</v>
      </c>
      <c r="E1095" s="2" t="str">
        <f>PROPER(TRIM(SUBSTITUTE([1]RawShipmentData!D1104,"  "," ")))</f>
        <v>Dtdc</v>
      </c>
      <c r="F1095" s="2" t="str">
        <f>PROPER(TRIM([1]RawShipmentData!E1104))</f>
        <v>Road</v>
      </c>
      <c r="G1095" s="2" t="str">
        <f>PROPER(TRIM(SUBSTITUTE([1]RawShipmentData!F1104,"  "," ")))</f>
        <v>Automotive Parts</v>
      </c>
      <c r="H1095" s="2" t="str">
        <f>PROPER(TRIM([1]RawShipmentData!G1104))</f>
        <v>North</v>
      </c>
      <c r="I1095" s="2" t="str">
        <f t="shared" si="85"/>
        <v>Yes</v>
      </c>
      <c r="J1095" s="2">
        <f>IFERROR(VALUE(TRIM(SUBSTITUTE(UPPER([1]RawShipmentData!I1095),"KG",""))),"")</f>
        <v>14.7</v>
      </c>
      <c r="K1095" s="2">
        <f>VALUE(SUBSTITUTE(SUBSTITUTE(SUBSTITUTE(TRIM([1]RawShipmentData!J1104),"₹",""),"Rs",""),",",""))</f>
        <v>426</v>
      </c>
      <c r="L1095" s="2">
        <f>[1]RawShipmentData!K1104</f>
        <v>8</v>
      </c>
      <c r="M1095" s="3">
        <f>IF(TRIM([1]RawShipmentData!L1104)="","",IF(ISNUMBER(SEARCH("/",TRIM([1]RawShipmentData!L1104))),DATE(VALUE(RIGHT(TRIM([1]RawShipmentData!L1104),4)),VALUE(MID(TRIM([1]RawShipmentData!L1104),FIND("/",TRIM([1]RawShipmentData!L1104))+1,2)),VALUE(LEFT(TRIM([1]RawShipmentData!L1104),FIND("/",TRIM([1]RawShipmentData!L1104))-1))),DATEVALUE(TRIM([1]RawShipmentData!L1104))))</f>
        <v>45342</v>
      </c>
      <c r="N1095" s="2">
        <f t="shared" si="86"/>
        <v>8</v>
      </c>
      <c r="O1095" s="2">
        <f t="shared" si="87"/>
        <v>0</v>
      </c>
      <c r="P1095" s="2" t="str">
        <f t="shared" si="88"/>
        <v>On Time</v>
      </c>
      <c r="Q1095" s="2" t="str">
        <f>PROPER(SUBSTITUTE(TRIM([1]RawShipmentData!M1104)," ","-"))</f>
        <v>Delivered</v>
      </c>
      <c r="R1095" s="4">
        <f t="shared" si="89"/>
        <v>28.979591836734695</v>
      </c>
      <c r="S1095" s="2">
        <f>[1]RawShipmentData!N1104</f>
        <v>2</v>
      </c>
      <c r="T1095" s="2" t="str">
        <f>IF(OR(UPPER(TRIM([1]RawShipmentData!O1104))="YES",UPPER(TRIM([1]RawShipmentData!O1104))="Y"),"Yes","No")</f>
        <v>Yes</v>
      </c>
    </row>
    <row r="1096" spans="1:20" x14ac:dyDescent="0.25">
      <c r="A1096" s="2" t="str">
        <f>[1]RawShipmentData!A1105</f>
        <v>SHP-100715</v>
      </c>
      <c r="B1096" s="3">
        <f>IF(ISNUMBER(SEARCH("/",TRIM([1]RawShipmentData!B1105))),DATE(VALUE(RIGHT(TRIM([1]RawShipmentData!B1105),4)),VALUE(MID(TRIM([1]RawShipmentData!B1105),FIND("/",TRIM([1]RawShipmentData!B1105))+1,2)),VALUE(LEFT(TRIM([1]RawShipmentData!B1105),FIND("/",TRIM([1]RawShipmentData!B1105))-1))),DATEVALUE(TRIM([1]RawShipmentData!B1105)))</f>
        <v>45343</v>
      </c>
      <c r="C1096" s="2" t="str">
        <f>PROPER(TRIM([1]RawShipmentData!C1105))</f>
        <v>Hyderabad</v>
      </c>
      <c r="D1096" s="2" t="str">
        <f>IFERROR(INDEX([1]HubMaster!$B$2:$B$7,MATCH(C1096,[1]HubMaster!$A$2:$A$7,0)),"Unknown")</f>
        <v>West</v>
      </c>
      <c r="E1096" s="2" t="str">
        <f>PROPER(TRIM(SUBSTITUTE([1]RawShipmentData!D1105,"  "," ")))</f>
        <v>Xpressbees</v>
      </c>
      <c r="F1096" s="2" t="str">
        <f>PROPER(TRIM([1]RawShipmentData!E1105))</f>
        <v>Road</v>
      </c>
      <c r="G1096" s="2" t="str">
        <f>PROPER(TRIM(SUBSTITUTE([1]RawShipmentData!F1105,"  "," ")))</f>
        <v>Grocery &amp; Fmcg</v>
      </c>
      <c r="H1096" s="2" t="str">
        <f>PROPER(TRIM([1]RawShipmentData!G1105))</f>
        <v>East</v>
      </c>
      <c r="I1096" s="2" t="str">
        <f t="shared" si="85"/>
        <v>Yes</v>
      </c>
      <c r="J1096" s="2">
        <f>IFERROR(VALUE(TRIM(SUBSTITUTE(UPPER([1]RawShipmentData!I1096),"KG",""))),"")</f>
        <v>46.3</v>
      </c>
      <c r="K1096" s="2">
        <f>VALUE(SUBSTITUTE(SUBSTITUTE(SUBSTITUTE(TRIM([1]RawShipmentData!J1105),"₹",""),"Rs",""),",",""))</f>
        <v>259</v>
      </c>
      <c r="L1096" s="2">
        <f>[1]RawShipmentData!K1105</f>
        <v>8</v>
      </c>
      <c r="M1096" s="3">
        <f>IF(TRIM([1]RawShipmentData!L1105)="","",IF(ISNUMBER(SEARCH("/",TRIM([1]RawShipmentData!L1105))),DATE(VALUE(RIGHT(TRIM([1]RawShipmentData!L1105),4)),VALUE(MID(TRIM([1]RawShipmentData!L1105),FIND("/",TRIM([1]RawShipmentData!L1105))+1,2)),VALUE(LEFT(TRIM([1]RawShipmentData!L1105),FIND("/",TRIM([1]RawShipmentData!L1105))-1))),DATEVALUE(TRIM([1]RawShipmentData!L1105))))</f>
        <v>45350</v>
      </c>
      <c r="N1096" s="2">
        <f t="shared" si="86"/>
        <v>7</v>
      </c>
      <c r="O1096" s="2">
        <f t="shared" si="87"/>
        <v>-1</v>
      </c>
      <c r="P1096" s="2" t="str">
        <f t="shared" si="88"/>
        <v>On Time</v>
      </c>
      <c r="Q1096" s="2" t="str">
        <f>PROPER(SUBSTITUTE(TRIM([1]RawShipmentData!M1105)," ","-"))</f>
        <v>Delivered</v>
      </c>
      <c r="R1096" s="4">
        <f t="shared" si="89"/>
        <v>5.5939524838012966</v>
      </c>
      <c r="S1096" s="2">
        <f>[1]RawShipmentData!N1105</f>
        <v>5</v>
      </c>
      <c r="T1096" s="2" t="str">
        <f>IF(OR(UPPER(TRIM([1]RawShipmentData!O1105))="YES",UPPER(TRIM([1]RawShipmentData!O1105))="Y"),"Yes","No")</f>
        <v>Yes</v>
      </c>
    </row>
    <row r="1097" spans="1:20" x14ac:dyDescent="0.25">
      <c r="A1097" s="2" t="str">
        <f>[1]RawShipmentData!A1106</f>
        <v>SHP-100410</v>
      </c>
      <c r="B1097" s="3">
        <f>IF(ISNUMBER(SEARCH("/",TRIM([1]RawShipmentData!B1106))),DATE(VALUE(RIGHT(TRIM([1]RawShipmentData!B1106),4)),VALUE(MID(TRIM([1]RawShipmentData!B1106),FIND("/",TRIM([1]RawShipmentData!B1106))+1,2)),VALUE(LEFT(TRIM([1]RawShipmentData!B1106),FIND("/",TRIM([1]RawShipmentData!B1106))-1))),DATEVALUE(TRIM([1]RawShipmentData!B1106)))</f>
        <v>45295</v>
      </c>
      <c r="C1097" s="2" t="str">
        <f>PROPER(TRIM([1]RawShipmentData!C1106))</f>
        <v>Delhi</v>
      </c>
      <c r="D1097" s="2" t="str">
        <f>IFERROR(INDEX([1]HubMaster!$B$2:$B$7,MATCH(C1097,[1]HubMaster!$A$2:$A$7,0)),"Unknown")</f>
        <v>North</v>
      </c>
      <c r="E1097" s="2" t="str">
        <f>PROPER(TRIM(SUBSTITUTE([1]RawShipmentData!D1106,"  "," ")))</f>
        <v>Dtdc</v>
      </c>
      <c r="F1097" s="2" t="str">
        <f>PROPER(TRIM([1]RawShipmentData!E1106))</f>
        <v>Air</v>
      </c>
      <c r="G1097" s="2" t="str">
        <f>PROPER(TRIM(SUBSTITUTE([1]RawShipmentData!F1106,"  "," ")))</f>
        <v>Pharma</v>
      </c>
      <c r="H1097" s="2" t="str">
        <f>PROPER(TRIM([1]RawShipmentData!G1106))</f>
        <v>East</v>
      </c>
      <c r="I1097" s="2" t="str">
        <f t="shared" si="85"/>
        <v>Yes</v>
      </c>
      <c r="J1097" s="2">
        <f>IFERROR(VALUE(TRIM(SUBSTITUTE(UPPER([1]RawShipmentData!I1097),"KG",""))),"")</f>
        <v>21</v>
      </c>
      <c r="K1097" s="2">
        <f>VALUE(SUBSTITUTE(SUBSTITUTE(SUBSTITUTE(TRIM([1]RawShipmentData!J1106),"₹",""),"Rs",""),",",""))</f>
        <v>265</v>
      </c>
      <c r="L1097" s="2">
        <f>[1]RawShipmentData!K1106</f>
        <v>4</v>
      </c>
      <c r="M1097" s="3">
        <f>IF(TRIM([1]RawShipmentData!L1106)="","",IF(ISNUMBER(SEARCH("/",TRIM([1]RawShipmentData!L1106))),DATE(VALUE(RIGHT(TRIM([1]RawShipmentData!L1106),4)),VALUE(MID(TRIM([1]RawShipmentData!L1106),FIND("/",TRIM([1]RawShipmentData!L1106))+1,2)),VALUE(LEFT(TRIM([1]RawShipmentData!L1106),FIND("/",TRIM([1]RawShipmentData!L1106))-1))),DATEVALUE(TRIM([1]RawShipmentData!L1106))))</f>
        <v>45300</v>
      </c>
      <c r="N1097" s="2">
        <f t="shared" si="86"/>
        <v>5</v>
      </c>
      <c r="O1097" s="2">
        <f t="shared" si="87"/>
        <v>1</v>
      </c>
      <c r="P1097" s="2" t="str">
        <f t="shared" si="88"/>
        <v>Late</v>
      </c>
      <c r="Q1097" s="2" t="str">
        <f>PROPER(SUBSTITUTE(TRIM([1]RawShipmentData!M1106)," ","-"))</f>
        <v>Delayed</v>
      </c>
      <c r="R1097" s="4">
        <f t="shared" si="89"/>
        <v>12.619047619047619</v>
      </c>
      <c r="S1097" s="2">
        <f>[1]RawShipmentData!N1106</f>
        <v>4</v>
      </c>
      <c r="T1097" s="2" t="str">
        <f>IF(OR(UPPER(TRIM([1]RawShipmentData!O1106))="YES",UPPER(TRIM([1]RawShipmentData!O1106))="Y"),"Yes","No")</f>
        <v>No</v>
      </c>
    </row>
    <row r="1098" spans="1:20" x14ac:dyDescent="0.25">
      <c r="A1098" s="2" t="str">
        <f>[1]RawShipmentData!A1107</f>
        <v>SHP-100048</v>
      </c>
      <c r="B1098" s="3">
        <f>IF(ISNUMBER(SEARCH("/",TRIM([1]RawShipmentData!B1107))),DATE(VALUE(RIGHT(TRIM([1]RawShipmentData!B1107),4)),VALUE(MID(TRIM([1]RawShipmentData!B1107),FIND("/",TRIM([1]RawShipmentData!B1107))+1,2)),VALUE(LEFT(TRIM([1]RawShipmentData!B1107),FIND("/",TRIM([1]RawShipmentData!B1107))-1))),DATEVALUE(TRIM([1]RawShipmentData!B1107)))</f>
        <v>45373</v>
      </c>
      <c r="C1098" s="2" t="str">
        <f>PROPER(TRIM([1]RawShipmentData!C1107))</f>
        <v>Chennai</v>
      </c>
      <c r="D1098" s="2" t="str">
        <f>IFERROR(INDEX([1]HubMaster!$B$2:$B$7,MATCH(C1098,[1]HubMaster!$A$2:$A$7,0)),"Unknown")</f>
        <v>South</v>
      </c>
      <c r="E1098" s="2" t="str">
        <f>PROPER(TRIM(SUBSTITUTE([1]RawShipmentData!D1107,"  "," ")))</f>
        <v>Delhivery</v>
      </c>
      <c r="F1098" s="2" t="str">
        <f>PROPER(TRIM([1]RawShipmentData!E1107))</f>
        <v>Road</v>
      </c>
      <c r="G1098" s="2" t="str">
        <f>PROPER(TRIM(SUBSTITUTE([1]RawShipmentData!F1107,"  "," ")))</f>
        <v>Grocery &amp; Fmcg</v>
      </c>
      <c r="H1098" s="2" t="str">
        <f>PROPER(TRIM([1]RawShipmentData!G1107))</f>
        <v>South</v>
      </c>
      <c r="I1098" s="2" t="str">
        <f t="shared" si="85"/>
        <v>No</v>
      </c>
      <c r="J1098" s="2">
        <f>IFERROR(VALUE(TRIM(SUBSTITUTE(UPPER([1]RawShipmentData!I1098),"KG",""))),"")</f>
        <v>16.7</v>
      </c>
      <c r="K1098" s="2">
        <f>VALUE(SUBSTITUTE(SUBSTITUTE(SUBSTITUTE(TRIM([1]RawShipmentData!J1107),"₹",""),"Rs",""),",",""))</f>
        <v>155</v>
      </c>
      <c r="L1098" s="2">
        <f>[1]RawShipmentData!K1107</f>
        <v>6</v>
      </c>
      <c r="M1098" s="3">
        <f>IF(TRIM([1]RawShipmentData!L1107)="","",IF(ISNUMBER(SEARCH("/",TRIM([1]RawShipmentData!L1107))),DATE(VALUE(RIGHT(TRIM([1]RawShipmentData!L1107),4)),VALUE(MID(TRIM([1]RawShipmentData!L1107),FIND("/",TRIM([1]RawShipmentData!L1107))+1,2)),VALUE(LEFT(TRIM([1]RawShipmentData!L1107),FIND("/",TRIM([1]RawShipmentData!L1107))-1))),DATEVALUE(TRIM([1]RawShipmentData!L1107))))</f>
        <v>45381</v>
      </c>
      <c r="N1098" s="2">
        <f t="shared" si="86"/>
        <v>8</v>
      </c>
      <c r="O1098" s="2">
        <f t="shared" si="87"/>
        <v>2</v>
      </c>
      <c r="P1098" s="2" t="str">
        <f t="shared" si="88"/>
        <v>Late</v>
      </c>
      <c r="Q1098" s="2" t="str">
        <f>PROPER(SUBSTITUTE(TRIM([1]RawShipmentData!M1107)," ","-"))</f>
        <v>Delayed</v>
      </c>
      <c r="R1098" s="4">
        <f t="shared" si="89"/>
        <v>9.2814371257485035</v>
      </c>
      <c r="S1098" s="2">
        <f>[1]RawShipmentData!N1107</f>
        <v>3</v>
      </c>
      <c r="T1098" s="2" t="str">
        <f>IF(OR(UPPER(TRIM([1]RawShipmentData!O1107))="YES",UPPER(TRIM([1]RawShipmentData!O1107))="Y"),"Yes","No")</f>
        <v>No</v>
      </c>
    </row>
    <row r="1099" spans="1:20" x14ac:dyDescent="0.25">
      <c r="A1099" s="2" t="str">
        <f>[1]RawShipmentData!A1108</f>
        <v>SHP-100793</v>
      </c>
      <c r="B1099" s="3">
        <f>IF(ISNUMBER(SEARCH("/",TRIM([1]RawShipmentData!B1108))),DATE(VALUE(RIGHT(TRIM([1]RawShipmentData!B1108),4)),VALUE(MID(TRIM([1]RawShipmentData!B1108),FIND("/",TRIM([1]RawShipmentData!B1108))+1,2)),VALUE(LEFT(TRIM([1]RawShipmentData!B1108),FIND("/",TRIM([1]RawShipmentData!B1108))-1))),DATEVALUE(TRIM([1]RawShipmentData!B1108)))</f>
        <v>45372</v>
      </c>
      <c r="C1099" s="2" t="str">
        <f>PROPER(TRIM([1]RawShipmentData!C1108))</f>
        <v>Kolkata</v>
      </c>
      <c r="D1099" s="2" t="str">
        <f>IFERROR(INDEX([1]HubMaster!$B$2:$B$7,MATCH(C1099,[1]HubMaster!$A$2:$A$7,0)),"Unknown")</f>
        <v>East</v>
      </c>
      <c r="E1099" s="2" t="str">
        <f>PROPER(TRIM(SUBSTITUTE([1]RawShipmentData!D1108,"  "," ")))</f>
        <v>Delhivery</v>
      </c>
      <c r="F1099" s="2" t="str">
        <f>PROPER(TRIM([1]RawShipmentData!E1108))</f>
        <v>Road</v>
      </c>
      <c r="G1099" s="2" t="str">
        <f>PROPER(TRIM(SUBSTITUTE([1]RawShipmentData!F1108,"  "," ")))</f>
        <v>Grocery &amp; Fmcg</v>
      </c>
      <c r="H1099" s="2" t="str">
        <f>PROPER(TRIM([1]RawShipmentData!G1108))</f>
        <v>South</v>
      </c>
      <c r="I1099" s="2" t="str">
        <f t="shared" si="85"/>
        <v>Yes</v>
      </c>
      <c r="J1099" s="2">
        <f>IFERROR(VALUE(TRIM(SUBSTITUTE(UPPER([1]RawShipmentData!I1099),"KG",""))),"")</f>
        <v>2.5</v>
      </c>
      <c r="K1099" s="2">
        <f>VALUE(SUBSTITUTE(SUBSTITUTE(SUBSTITUTE(TRIM([1]RawShipmentData!J1108),"₹",""),"Rs",""),",",""))</f>
        <v>273</v>
      </c>
      <c r="L1099" s="2">
        <f>[1]RawShipmentData!K1108</f>
        <v>8</v>
      </c>
      <c r="M1099" s="3">
        <f>IF(TRIM([1]RawShipmentData!L1108)="","",IF(ISNUMBER(SEARCH("/",TRIM([1]RawShipmentData!L1108))),DATE(VALUE(RIGHT(TRIM([1]RawShipmentData!L1108),4)),VALUE(MID(TRIM([1]RawShipmentData!L1108),FIND("/",TRIM([1]RawShipmentData!L1108))+1,2)),VALUE(LEFT(TRIM([1]RawShipmentData!L1108),FIND("/",TRIM([1]RawShipmentData!L1108))-1))),DATEVALUE(TRIM([1]RawShipmentData!L1108))))</f>
        <v>45381</v>
      </c>
      <c r="N1099" s="2">
        <f t="shared" si="86"/>
        <v>9</v>
      </c>
      <c r="O1099" s="2">
        <f t="shared" si="87"/>
        <v>1</v>
      </c>
      <c r="P1099" s="2" t="str">
        <f t="shared" si="88"/>
        <v>Late</v>
      </c>
      <c r="Q1099" s="2" t="str">
        <f>PROPER(SUBSTITUTE(TRIM([1]RawShipmentData!M1108)," ","-"))</f>
        <v>Delayed</v>
      </c>
      <c r="R1099" s="4">
        <f t="shared" si="89"/>
        <v>109.2</v>
      </c>
      <c r="S1099" s="2">
        <f>[1]RawShipmentData!N1108</f>
        <v>4</v>
      </c>
      <c r="T1099" s="2" t="str">
        <f>IF(OR(UPPER(TRIM([1]RawShipmentData!O1108))="YES",UPPER(TRIM([1]RawShipmentData!O1108))="Y"),"Yes","No")</f>
        <v>Yes</v>
      </c>
    </row>
    <row r="1100" spans="1:20" x14ac:dyDescent="0.25">
      <c r="A1100" s="2" t="str">
        <f>[1]RawShipmentData!A1109</f>
        <v>SHP-101293</v>
      </c>
      <c r="B1100" s="3">
        <f>IF(ISNUMBER(SEARCH("/",TRIM([1]RawShipmentData!B1109))),DATE(VALUE(RIGHT(TRIM([1]RawShipmentData!B1109),4)),VALUE(MID(TRIM([1]RawShipmentData!B1109),FIND("/",TRIM([1]RawShipmentData!B1109))+1,2)),VALUE(LEFT(TRIM([1]RawShipmentData!B1109),FIND("/",TRIM([1]RawShipmentData!B1109))-1))),DATEVALUE(TRIM([1]RawShipmentData!B1109)))</f>
        <v>45357</v>
      </c>
      <c r="C1100" s="2" t="str">
        <f>PROPER(TRIM([1]RawShipmentData!C1109))</f>
        <v>Kolkata</v>
      </c>
      <c r="D1100" s="2" t="str">
        <f>IFERROR(INDEX([1]HubMaster!$B$2:$B$7,MATCH(C1100,[1]HubMaster!$A$2:$A$7,0)),"Unknown")</f>
        <v>East</v>
      </c>
      <c r="E1100" s="2" t="str">
        <f>PROPER(TRIM(SUBSTITUTE([1]RawShipmentData!D1109,"  "," ")))</f>
        <v>Delhivery</v>
      </c>
      <c r="F1100" s="2" t="str">
        <f>PROPER(TRIM([1]RawShipmentData!E1109))</f>
        <v>Road</v>
      </c>
      <c r="G1100" s="2" t="str">
        <f>PROPER(TRIM(SUBSTITUTE([1]RawShipmentData!F1109,"  "," ")))</f>
        <v>Electronics</v>
      </c>
      <c r="H1100" s="2" t="str">
        <f>PROPER(TRIM([1]RawShipmentData!G1109))</f>
        <v>West</v>
      </c>
      <c r="I1100" s="2" t="str">
        <f t="shared" si="85"/>
        <v>Yes</v>
      </c>
      <c r="J1100" s="2">
        <f>IFERROR(VALUE(TRIM(SUBSTITUTE(UPPER([1]RawShipmentData!I1100),"KG",""))),"")</f>
        <v>6.4</v>
      </c>
      <c r="K1100" s="2">
        <f>VALUE(SUBSTITUTE(SUBSTITUTE(SUBSTITUTE(TRIM([1]RawShipmentData!J1109),"₹",""),"Rs",""),",",""))</f>
        <v>324</v>
      </c>
      <c r="L1100" s="2">
        <f>[1]RawShipmentData!K1109</f>
        <v>8</v>
      </c>
      <c r="M1100" s="3">
        <f>IF(TRIM([1]RawShipmentData!L1109)="","",IF(ISNUMBER(SEARCH("/",TRIM([1]RawShipmentData!L1109))),DATE(VALUE(RIGHT(TRIM([1]RawShipmentData!L1109),4)),VALUE(MID(TRIM([1]RawShipmentData!L1109),FIND("/",TRIM([1]RawShipmentData!L1109))+1,2)),VALUE(LEFT(TRIM([1]RawShipmentData!L1109),FIND("/",TRIM([1]RawShipmentData!L1109))-1))),DATEVALUE(TRIM([1]RawShipmentData!L1109))))</f>
        <v>45366</v>
      </c>
      <c r="N1100" s="2">
        <f t="shared" si="86"/>
        <v>9</v>
      </c>
      <c r="O1100" s="2">
        <f t="shared" si="87"/>
        <v>1</v>
      </c>
      <c r="P1100" s="2" t="str">
        <f t="shared" si="88"/>
        <v>Late</v>
      </c>
      <c r="Q1100" s="2" t="str">
        <f>PROPER(SUBSTITUTE(TRIM([1]RawShipmentData!M1109)," ","-"))</f>
        <v>Delayed</v>
      </c>
      <c r="R1100" s="4">
        <f t="shared" si="89"/>
        <v>50.625</v>
      </c>
      <c r="S1100" s="2">
        <f>[1]RawShipmentData!N1109</f>
        <v>2</v>
      </c>
      <c r="T1100" s="2" t="str">
        <f>IF(OR(UPPER(TRIM([1]RawShipmentData!O1109))="YES",UPPER(TRIM([1]RawShipmentData!O1109))="Y"),"Yes","No")</f>
        <v>Yes</v>
      </c>
    </row>
    <row r="1101" spans="1:20" x14ac:dyDescent="0.25">
      <c r="A1101" s="2" t="str">
        <f>[1]RawShipmentData!A1110</f>
        <v>SHP-101347</v>
      </c>
      <c r="B1101" s="3">
        <f>IF(ISNUMBER(SEARCH("/",TRIM([1]RawShipmentData!B1110))),DATE(VALUE(RIGHT(TRIM([1]RawShipmentData!B1110),4)),VALUE(MID(TRIM([1]RawShipmentData!B1110),FIND("/",TRIM([1]RawShipmentData!B1110))+1,2)),VALUE(LEFT(TRIM([1]RawShipmentData!B1110),FIND("/",TRIM([1]RawShipmentData!B1110))-1))),DATEVALUE(TRIM([1]RawShipmentData!B1110)))</f>
        <v>45436</v>
      </c>
      <c r="C1101" s="2" t="str">
        <f>PROPER(TRIM([1]RawShipmentData!C1110))</f>
        <v>Mumbai</v>
      </c>
      <c r="D1101" s="2" t="str">
        <f>IFERROR(INDEX([1]HubMaster!$B$2:$B$7,MATCH(C1101,[1]HubMaster!$A$2:$A$7,0)),"Unknown")</f>
        <v>West</v>
      </c>
      <c r="E1101" s="2" t="str">
        <f>PROPER(TRIM(SUBSTITUTE([1]RawShipmentData!D1110,"  "," ")))</f>
        <v>Xpressbees</v>
      </c>
      <c r="F1101" s="2" t="str">
        <f>PROPER(TRIM([1]RawShipmentData!E1110))</f>
        <v>Air</v>
      </c>
      <c r="G1101" s="2" t="str">
        <f>PROPER(TRIM(SUBSTITUTE([1]RawShipmentData!F1110,"  "," ")))</f>
        <v>Furniture</v>
      </c>
      <c r="H1101" s="2" t="str">
        <f>PROPER(TRIM([1]RawShipmentData!G1110))</f>
        <v>North</v>
      </c>
      <c r="I1101" s="2" t="str">
        <f t="shared" si="85"/>
        <v>Yes</v>
      </c>
      <c r="J1101" s="2">
        <f>IFERROR(VALUE(TRIM(SUBSTITUTE(UPPER([1]RawShipmentData!I1101),"KG",""))),"")</f>
        <v>1.7</v>
      </c>
      <c r="K1101" s="2">
        <f>VALUE(SUBSTITUTE(SUBSTITUTE(SUBSTITUTE(TRIM([1]RawShipmentData!J1110),"₹",""),"Rs",""),",",""))</f>
        <v>2075</v>
      </c>
      <c r="L1101" s="2">
        <f>[1]RawShipmentData!K1110</f>
        <v>4</v>
      </c>
      <c r="M1101" s="3">
        <f>IF(TRIM([1]RawShipmentData!L1110)="","",IF(ISNUMBER(SEARCH("/",TRIM([1]RawShipmentData!L1110))),DATE(VALUE(RIGHT(TRIM([1]RawShipmentData!L1110),4)),VALUE(MID(TRIM([1]RawShipmentData!L1110),FIND("/",TRIM([1]RawShipmentData!L1110))+1,2)),VALUE(LEFT(TRIM([1]RawShipmentData!L1110),FIND("/",TRIM([1]RawShipmentData!L1110))-1))),DATEVALUE(TRIM([1]RawShipmentData!L1110))))</f>
        <v>45441</v>
      </c>
      <c r="N1101" s="2">
        <f t="shared" si="86"/>
        <v>5</v>
      </c>
      <c r="O1101" s="2">
        <f t="shared" si="87"/>
        <v>1</v>
      </c>
      <c r="P1101" s="2" t="str">
        <f t="shared" si="88"/>
        <v>Late</v>
      </c>
      <c r="Q1101" s="2" t="str">
        <f>PROPER(SUBSTITUTE(TRIM([1]RawShipmentData!M1110)," ","-"))</f>
        <v>Damaged</v>
      </c>
      <c r="R1101" s="4">
        <f t="shared" si="89"/>
        <v>1220.5882352941176</v>
      </c>
      <c r="S1101" s="2">
        <f>[1]RawShipmentData!N1110</f>
        <v>0</v>
      </c>
      <c r="T1101" s="2" t="str">
        <f>IF(OR(UPPER(TRIM([1]RawShipmentData!O1110))="YES",UPPER(TRIM([1]RawShipmentData!O1110))="Y"),"Yes","No")</f>
        <v>No</v>
      </c>
    </row>
    <row r="1102" spans="1:20" x14ac:dyDescent="0.25">
      <c r="A1102" s="2" t="str">
        <f>[1]RawShipmentData!A1111</f>
        <v>SHP-101421</v>
      </c>
      <c r="B1102" s="3">
        <f>IF(ISNUMBER(SEARCH("/",TRIM([1]RawShipmentData!B1111))),DATE(VALUE(RIGHT(TRIM([1]RawShipmentData!B1111),4)),VALUE(MID(TRIM([1]RawShipmentData!B1111),FIND("/",TRIM([1]RawShipmentData!B1111))+1,2)),VALUE(LEFT(TRIM([1]RawShipmentData!B1111),FIND("/",TRIM([1]RawShipmentData!B1111))-1))),DATEVALUE(TRIM([1]RawShipmentData!B1111)))</f>
        <v>45461</v>
      </c>
      <c r="C1102" s="2" t="str">
        <f>PROPER(TRIM([1]RawShipmentData!C1111))</f>
        <v>Chennai</v>
      </c>
      <c r="D1102" s="2" t="str">
        <f>IFERROR(INDEX([1]HubMaster!$B$2:$B$7,MATCH(C1102,[1]HubMaster!$A$2:$A$7,0)),"Unknown")</f>
        <v>South</v>
      </c>
      <c r="E1102" s="2" t="str">
        <f>PROPER(TRIM(SUBSTITUTE([1]RawShipmentData!D1111,"  "," ")))</f>
        <v>Blue Dart</v>
      </c>
      <c r="F1102" s="2" t="str">
        <f>PROPER(TRIM([1]RawShipmentData!E1111))</f>
        <v>Road</v>
      </c>
      <c r="G1102" s="2" t="str">
        <f>PROPER(TRIM(SUBSTITUTE([1]RawShipmentData!F1111,"  "," ")))</f>
        <v>Electronics</v>
      </c>
      <c r="H1102" s="2" t="str">
        <f>PROPER(TRIM([1]RawShipmentData!G1111))</f>
        <v>South</v>
      </c>
      <c r="I1102" s="2" t="str">
        <f t="shared" si="85"/>
        <v>No</v>
      </c>
      <c r="J1102" s="2">
        <f>IFERROR(VALUE(TRIM(SUBSTITUTE(UPPER([1]RawShipmentData!I1102),"KG",""))),"")</f>
        <v>6.6</v>
      </c>
      <c r="K1102" s="2">
        <f>VALUE(SUBSTITUTE(SUBSTITUTE(SUBSTITUTE(TRIM([1]RawShipmentData!J1111),"₹",""),"Rs",""),",",""))</f>
        <v>215</v>
      </c>
      <c r="L1102" s="2">
        <f>[1]RawShipmentData!K1111</f>
        <v>6</v>
      </c>
      <c r="M1102" s="3">
        <f>IF(TRIM([1]RawShipmentData!L1111)="","",IF(ISNUMBER(SEARCH("/",TRIM([1]RawShipmentData!L1111))),DATE(VALUE(RIGHT(TRIM([1]RawShipmentData!L1111),4)),VALUE(MID(TRIM([1]RawShipmentData!L1111),FIND("/",TRIM([1]RawShipmentData!L1111))+1,2)),VALUE(LEFT(TRIM([1]RawShipmentData!L1111),FIND("/",TRIM([1]RawShipmentData!L1111))-1))),DATEVALUE(TRIM([1]RawShipmentData!L1111))))</f>
        <v>45467</v>
      </c>
      <c r="N1102" s="2">
        <f t="shared" si="86"/>
        <v>6</v>
      </c>
      <c r="O1102" s="2">
        <f t="shared" si="87"/>
        <v>0</v>
      </c>
      <c r="P1102" s="2" t="str">
        <f t="shared" si="88"/>
        <v>On Time</v>
      </c>
      <c r="Q1102" s="2" t="str">
        <f>PROPER(SUBSTITUTE(TRIM([1]RawShipmentData!M1111)," ","-"))</f>
        <v>Delivered</v>
      </c>
      <c r="R1102" s="4">
        <f t="shared" si="89"/>
        <v>32.575757575757578</v>
      </c>
      <c r="S1102" s="2">
        <f>[1]RawShipmentData!N1111</f>
        <v>5</v>
      </c>
      <c r="T1102" s="2" t="str">
        <f>IF(OR(UPPER(TRIM([1]RawShipmentData!O1111))="YES",UPPER(TRIM([1]RawShipmentData!O1111))="Y"),"Yes","No")</f>
        <v>Yes</v>
      </c>
    </row>
    <row r="1103" spans="1:20" x14ac:dyDescent="0.25">
      <c r="A1103" s="2" t="str">
        <f>[1]RawShipmentData!A1112</f>
        <v>SHP-101302</v>
      </c>
      <c r="B1103" s="3">
        <f>IF(ISNUMBER(SEARCH("/",TRIM([1]RawShipmentData!B1112))),DATE(VALUE(RIGHT(TRIM([1]RawShipmentData!B1112),4)),VALUE(MID(TRIM([1]RawShipmentData!B1112),FIND("/",TRIM([1]RawShipmentData!B1112))+1,2)),VALUE(LEFT(TRIM([1]RawShipmentData!B1112),FIND("/",TRIM([1]RawShipmentData!B1112))-1))),DATEVALUE(TRIM([1]RawShipmentData!B1112)))</f>
        <v>45396</v>
      </c>
      <c r="C1103" s="2" t="str">
        <f>PROPER(TRIM([1]RawShipmentData!C1112))</f>
        <v>Bengaluru</v>
      </c>
      <c r="D1103" s="2" t="str">
        <f>IFERROR(INDEX([1]HubMaster!$B$2:$B$7,MATCH(C1103,[1]HubMaster!$A$2:$A$7,0)),"Unknown")</f>
        <v>South</v>
      </c>
      <c r="E1103" s="2" t="str">
        <f>PROPER(TRIM(SUBSTITUTE([1]RawShipmentData!D1112,"  "," ")))</f>
        <v>Xpressbees</v>
      </c>
      <c r="F1103" s="2" t="str">
        <f>PROPER(TRIM([1]RawShipmentData!E1112))</f>
        <v>Surface</v>
      </c>
      <c r="G1103" s="2" t="str">
        <f>PROPER(TRIM(SUBSTITUTE([1]RawShipmentData!F1112,"  "," ")))</f>
        <v>Pharma</v>
      </c>
      <c r="H1103" s="2" t="str">
        <f>PROPER(TRIM([1]RawShipmentData!G1112))</f>
        <v>South</v>
      </c>
      <c r="I1103" s="2" t="str">
        <f t="shared" si="85"/>
        <v>No</v>
      </c>
      <c r="J1103" s="2">
        <f>IFERROR(VALUE(TRIM(SUBSTITUTE(UPPER([1]RawShipmentData!I1103),"KG",""))),"")</f>
        <v>3.4</v>
      </c>
      <c r="K1103" s="2">
        <f>VALUE(SUBSTITUTE(SUBSTITUTE(SUBSTITUTE(TRIM([1]RawShipmentData!J1112),"₹",""),"Rs",""),",",""))</f>
        <v>140</v>
      </c>
      <c r="L1103" s="2">
        <f>[1]RawShipmentData!K1112</f>
        <v>4</v>
      </c>
      <c r="M1103" s="3">
        <f>IF(TRIM([1]RawShipmentData!L1112)="","",IF(ISNUMBER(SEARCH("/",TRIM([1]RawShipmentData!L1112))),DATE(VALUE(RIGHT(TRIM([1]RawShipmentData!L1112),4)),VALUE(MID(TRIM([1]RawShipmentData!L1112),FIND("/",TRIM([1]RawShipmentData!L1112))+1,2)),VALUE(LEFT(TRIM([1]RawShipmentData!L1112),FIND("/",TRIM([1]RawShipmentData!L1112))-1))),DATEVALUE(TRIM([1]RawShipmentData!L1112))))</f>
        <v>45400</v>
      </c>
      <c r="N1103" s="2">
        <f t="shared" si="86"/>
        <v>4</v>
      </c>
      <c r="O1103" s="2">
        <f t="shared" si="87"/>
        <v>0</v>
      </c>
      <c r="P1103" s="2" t="str">
        <f t="shared" si="88"/>
        <v>On Time</v>
      </c>
      <c r="Q1103" s="2" t="str">
        <f>PROPER(SUBSTITUTE(TRIM([1]RawShipmentData!M1112)," ","-"))</f>
        <v>Delivered</v>
      </c>
      <c r="R1103" s="4">
        <f t="shared" si="89"/>
        <v>41.176470588235297</v>
      </c>
      <c r="S1103" s="2">
        <f>[1]RawShipmentData!N1112</f>
        <v>4</v>
      </c>
      <c r="T1103" s="2" t="str">
        <f>IF(OR(UPPER(TRIM([1]RawShipmentData!O1112))="YES",UPPER(TRIM([1]RawShipmentData!O1112))="Y"),"Yes","No")</f>
        <v>Yes</v>
      </c>
    </row>
    <row r="1104" spans="1:20" x14ac:dyDescent="0.25">
      <c r="A1104" s="2" t="str">
        <f>[1]RawShipmentData!A1113</f>
        <v>SHP-101201</v>
      </c>
      <c r="B1104" s="3">
        <f>IF(ISNUMBER(SEARCH("/",TRIM([1]RawShipmentData!B1113))),DATE(VALUE(RIGHT(TRIM([1]RawShipmentData!B1113),4)),VALUE(MID(TRIM([1]RawShipmentData!B1113),FIND("/",TRIM([1]RawShipmentData!B1113))+1,2)),VALUE(LEFT(TRIM([1]RawShipmentData!B1113),FIND("/",TRIM([1]RawShipmentData!B1113))-1))),DATEVALUE(TRIM([1]RawShipmentData!B1113)))</f>
        <v>45362</v>
      </c>
      <c r="C1104" s="2" t="str">
        <f>PROPER(TRIM([1]RawShipmentData!C1113))</f>
        <v>Kolkata</v>
      </c>
      <c r="D1104" s="2" t="str">
        <f>IFERROR(INDEX([1]HubMaster!$B$2:$B$7,MATCH(C1104,[1]HubMaster!$A$2:$A$7,0)),"Unknown")</f>
        <v>East</v>
      </c>
      <c r="E1104" s="2" t="str">
        <f>PROPER(TRIM(SUBSTITUTE([1]RawShipmentData!D1113,"  "," ")))</f>
        <v>Xpressbees</v>
      </c>
      <c r="F1104" s="2" t="str">
        <f>PROPER(TRIM([1]RawShipmentData!E1113))</f>
        <v>Road</v>
      </c>
      <c r="G1104" s="2" t="str">
        <f>PROPER(TRIM(SUBSTITUTE([1]RawShipmentData!F1113,"  "," ")))</f>
        <v>Automotive Parts</v>
      </c>
      <c r="H1104" s="2" t="str">
        <f>PROPER(TRIM([1]RawShipmentData!G1113))</f>
        <v>North</v>
      </c>
      <c r="I1104" s="2" t="str">
        <f t="shared" si="85"/>
        <v>Yes</v>
      </c>
      <c r="J1104" s="2">
        <f>IFERROR(VALUE(TRIM(SUBSTITUTE(UPPER([1]RawShipmentData!I1104),"KG",""))),"")</f>
        <v>21.7</v>
      </c>
      <c r="K1104" s="2">
        <f>VALUE(SUBSTITUTE(SUBSTITUTE(SUBSTITUTE(TRIM([1]RawShipmentData!J1113),"₹",""),"Rs",""),",",""))</f>
        <v>358</v>
      </c>
      <c r="L1104" s="2">
        <f>[1]RawShipmentData!K1113</f>
        <v>8</v>
      </c>
      <c r="M1104" s="3">
        <f>IF(TRIM([1]RawShipmentData!L1113)="","",IF(ISNUMBER(SEARCH("/",TRIM([1]RawShipmentData!L1113))),DATE(VALUE(RIGHT(TRIM([1]RawShipmentData!L1113),4)),VALUE(MID(TRIM([1]RawShipmentData!L1113),FIND("/",TRIM([1]RawShipmentData!L1113))+1,2)),VALUE(LEFT(TRIM([1]RawShipmentData!L1113),FIND("/",TRIM([1]RawShipmentData!L1113))-1))),DATEVALUE(TRIM([1]RawShipmentData!L1113))))</f>
        <v>45371</v>
      </c>
      <c r="N1104" s="2">
        <f t="shared" si="86"/>
        <v>9</v>
      </c>
      <c r="O1104" s="2">
        <f t="shared" si="87"/>
        <v>1</v>
      </c>
      <c r="P1104" s="2" t="str">
        <f t="shared" si="88"/>
        <v>Late</v>
      </c>
      <c r="Q1104" s="2" t="str">
        <f>PROPER(SUBSTITUTE(TRIM([1]RawShipmentData!M1113)," ","-"))</f>
        <v>Delayed</v>
      </c>
      <c r="R1104" s="4">
        <f t="shared" si="89"/>
        <v>16.497695852534562</v>
      </c>
      <c r="S1104" s="2">
        <f>[1]RawShipmentData!N1113</f>
        <v>3</v>
      </c>
      <c r="T1104" s="2" t="str">
        <f>IF(OR(UPPER(TRIM([1]RawShipmentData!O1113))="YES",UPPER(TRIM([1]RawShipmentData!O1113))="Y"),"Yes","No")</f>
        <v>No</v>
      </c>
    </row>
    <row r="1105" spans="1:20" x14ac:dyDescent="0.25">
      <c r="A1105" s="2" t="str">
        <f>[1]RawShipmentData!A1114</f>
        <v>SHP-100151</v>
      </c>
      <c r="B1105" s="3">
        <f>IF(ISNUMBER(SEARCH("/",TRIM([1]RawShipmentData!B1114))),DATE(VALUE(RIGHT(TRIM([1]RawShipmentData!B1114),4)),VALUE(MID(TRIM([1]RawShipmentData!B1114),FIND("/",TRIM([1]RawShipmentData!B1114))+1,2)),VALUE(LEFT(TRIM([1]RawShipmentData!B1114),FIND("/",TRIM([1]RawShipmentData!B1114))-1))),DATEVALUE(TRIM([1]RawShipmentData!B1114)))</f>
        <v>45334</v>
      </c>
      <c r="C1105" s="2" t="str">
        <f>PROPER(TRIM([1]RawShipmentData!C1114))</f>
        <v>Mumbai</v>
      </c>
      <c r="D1105" s="2" t="str">
        <f>IFERROR(INDEX([1]HubMaster!$B$2:$B$7,MATCH(C1105,[1]HubMaster!$A$2:$A$7,0)),"Unknown")</f>
        <v>West</v>
      </c>
      <c r="E1105" s="2" t="str">
        <f>PROPER(TRIM(SUBSTITUTE([1]RawShipmentData!D1114,"  "," ")))</f>
        <v>Dtdc</v>
      </c>
      <c r="F1105" s="2" t="str">
        <f>PROPER(TRIM([1]RawShipmentData!E1114))</f>
        <v>Surface</v>
      </c>
      <c r="G1105" s="2" t="str">
        <f>PROPER(TRIM(SUBSTITUTE([1]RawShipmentData!F1114,"  "," ")))</f>
        <v>Grocery &amp; Fmcg</v>
      </c>
      <c r="H1105" s="2" t="str">
        <f>PROPER(TRIM([1]RawShipmentData!G1114))</f>
        <v>East</v>
      </c>
      <c r="I1105" s="2" t="str">
        <f t="shared" si="85"/>
        <v>Yes</v>
      </c>
      <c r="J1105" s="2">
        <f>IFERROR(VALUE(TRIM(SUBSTITUTE(UPPER([1]RawShipmentData!I1105),"KG",""))),"")</f>
        <v>3.7</v>
      </c>
      <c r="K1105" s="2">
        <f>VALUE(SUBSTITUTE(SUBSTITUTE(SUBSTITUTE(TRIM([1]RawShipmentData!J1114),"₹",""),"Rs",""),",",""))</f>
        <v>635</v>
      </c>
      <c r="L1105" s="2">
        <f>[1]RawShipmentData!K1114</f>
        <v>6</v>
      </c>
      <c r="M1105" s="3">
        <f>IF(TRIM([1]RawShipmentData!L1114)="","",IF(ISNUMBER(SEARCH("/",TRIM([1]RawShipmentData!L1114))),DATE(VALUE(RIGHT(TRIM([1]RawShipmentData!L1114),4)),VALUE(MID(TRIM([1]RawShipmentData!L1114),FIND("/",TRIM([1]RawShipmentData!L1114))+1,2)),VALUE(LEFT(TRIM([1]RawShipmentData!L1114),FIND("/",TRIM([1]RawShipmentData!L1114))-1))),DATEVALUE(TRIM([1]RawShipmentData!L1114))))</f>
        <v>45345</v>
      </c>
      <c r="N1105" s="2">
        <f t="shared" si="86"/>
        <v>11</v>
      </c>
      <c r="O1105" s="2">
        <f t="shared" si="87"/>
        <v>5</v>
      </c>
      <c r="P1105" s="2" t="str">
        <f t="shared" si="88"/>
        <v>Late</v>
      </c>
      <c r="Q1105" s="2" t="str">
        <f>PROPER(SUBSTITUTE(TRIM([1]RawShipmentData!M1114)," ","-"))</f>
        <v>Delayed</v>
      </c>
      <c r="R1105" s="4">
        <f t="shared" si="89"/>
        <v>171.62162162162161</v>
      </c>
      <c r="S1105" s="2">
        <f>[1]RawShipmentData!N1114</f>
        <v>5</v>
      </c>
      <c r="T1105" s="2" t="str">
        <f>IF(OR(UPPER(TRIM([1]RawShipmentData!O1114))="YES",UPPER(TRIM([1]RawShipmentData!O1114))="Y"),"Yes","No")</f>
        <v>No</v>
      </c>
    </row>
    <row r="1106" spans="1:20" x14ac:dyDescent="0.25">
      <c r="A1106" s="2" t="str">
        <f>[1]RawShipmentData!A1115</f>
        <v>SHP-101355</v>
      </c>
      <c r="B1106" s="3">
        <f>IF(ISNUMBER(SEARCH("/",TRIM([1]RawShipmentData!B1115))),DATE(VALUE(RIGHT(TRIM([1]RawShipmentData!B1115),4)),VALUE(MID(TRIM([1]RawShipmentData!B1115),FIND("/",TRIM([1]RawShipmentData!B1115))+1,2)),VALUE(LEFT(TRIM([1]RawShipmentData!B1115),FIND("/",TRIM([1]RawShipmentData!B1115))-1))),DATEVALUE(TRIM([1]RawShipmentData!B1115)))</f>
        <v>45318</v>
      </c>
      <c r="C1106" s="2" t="str">
        <f>PROPER(TRIM([1]RawShipmentData!C1115))</f>
        <v>Mumbai</v>
      </c>
      <c r="D1106" s="2" t="str">
        <f>IFERROR(INDEX([1]HubMaster!$B$2:$B$7,MATCH(C1106,[1]HubMaster!$A$2:$A$7,0)),"Unknown")</f>
        <v>West</v>
      </c>
      <c r="E1106" s="2" t="str">
        <f>PROPER(TRIM(SUBSTITUTE([1]RawShipmentData!D1115,"  "," ")))</f>
        <v>Delhivery</v>
      </c>
      <c r="F1106" s="2" t="str">
        <f>PROPER(TRIM([1]RawShipmentData!E1115))</f>
        <v>Air</v>
      </c>
      <c r="G1106" s="2" t="str">
        <f>PROPER(TRIM(SUBSTITUTE([1]RawShipmentData!F1115,"  "," ")))</f>
        <v>Furniture</v>
      </c>
      <c r="H1106" s="2" t="str">
        <f>PROPER(TRIM([1]RawShipmentData!G1115))</f>
        <v>North</v>
      </c>
      <c r="I1106" s="2" t="str">
        <f t="shared" si="85"/>
        <v>Yes</v>
      </c>
      <c r="J1106" s="2">
        <f>IFERROR(VALUE(TRIM(SUBSTITUTE(UPPER([1]RawShipmentData!I1106),"KG",""))),"")</f>
        <v>2.2999999999999998</v>
      </c>
      <c r="K1106" s="2">
        <f>VALUE(SUBSTITUTE(SUBSTITUTE(SUBSTITUTE(TRIM([1]RawShipmentData!J1115),"₹",""),"Rs",""),",",""))</f>
        <v>992</v>
      </c>
      <c r="L1106" s="2">
        <f>[1]RawShipmentData!K1115</f>
        <v>4</v>
      </c>
      <c r="M1106" s="3">
        <f>IF(TRIM([1]RawShipmentData!L1115)="","",IF(ISNUMBER(SEARCH("/",TRIM([1]RawShipmentData!L1115))),DATE(VALUE(RIGHT(TRIM([1]RawShipmentData!L1115),4)),VALUE(MID(TRIM([1]RawShipmentData!L1115),FIND("/",TRIM([1]RawShipmentData!L1115))+1,2)),VALUE(LEFT(TRIM([1]RawShipmentData!L1115),FIND("/",TRIM([1]RawShipmentData!L1115))-1))),DATEVALUE(TRIM([1]RawShipmentData!L1115))))</f>
        <v>45322</v>
      </c>
      <c r="N1106" s="2">
        <f t="shared" si="86"/>
        <v>4</v>
      </c>
      <c r="O1106" s="2">
        <f t="shared" si="87"/>
        <v>0</v>
      </c>
      <c r="P1106" s="2" t="str">
        <f t="shared" si="88"/>
        <v>On Time</v>
      </c>
      <c r="Q1106" s="2" t="str">
        <f>PROPER(SUBSTITUTE(TRIM([1]RawShipmentData!M1115)," ","-"))</f>
        <v>Delivered</v>
      </c>
      <c r="R1106" s="4">
        <f t="shared" si="89"/>
        <v>431.304347826087</v>
      </c>
      <c r="S1106" s="2">
        <f>[1]RawShipmentData!N1115</f>
        <v>5</v>
      </c>
      <c r="T1106" s="2" t="str">
        <f>IF(OR(UPPER(TRIM([1]RawShipmentData!O1115))="YES",UPPER(TRIM([1]RawShipmentData!O1115))="Y"),"Yes","No")</f>
        <v>No</v>
      </c>
    </row>
    <row r="1107" spans="1:20" x14ac:dyDescent="0.25">
      <c r="A1107" s="2" t="str">
        <f>[1]RawShipmentData!A1116</f>
        <v>SHP-101511</v>
      </c>
      <c r="B1107" s="3">
        <f>IF(ISNUMBER(SEARCH("/",TRIM([1]RawShipmentData!B1116))),DATE(VALUE(RIGHT(TRIM([1]RawShipmentData!B1116),4)),VALUE(MID(TRIM([1]RawShipmentData!B1116),FIND("/",TRIM([1]RawShipmentData!B1116))+1,2)),VALUE(LEFT(TRIM([1]RawShipmentData!B1116),FIND("/",TRIM([1]RawShipmentData!B1116))-1))),DATEVALUE(TRIM([1]RawShipmentData!B1116)))</f>
        <v>45389</v>
      </c>
      <c r="C1107" s="2" t="str">
        <f>PROPER(TRIM([1]RawShipmentData!C1116))</f>
        <v>Chennai</v>
      </c>
      <c r="D1107" s="2" t="str">
        <f>IFERROR(INDEX([1]HubMaster!$B$2:$B$7,MATCH(C1107,[1]HubMaster!$A$2:$A$7,0)),"Unknown")</f>
        <v>South</v>
      </c>
      <c r="E1107" s="2" t="str">
        <f>PROPER(TRIM(SUBSTITUTE([1]RawShipmentData!D1116,"  "," ")))</f>
        <v>Bluedart</v>
      </c>
      <c r="F1107" s="2" t="str">
        <f>PROPER(TRIM([1]RawShipmentData!E1116))</f>
        <v>Surface</v>
      </c>
      <c r="G1107" s="2" t="str">
        <f>PROPER(TRIM(SUBSTITUTE([1]RawShipmentData!F1116,"  "," ")))</f>
        <v>Apparel</v>
      </c>
      <c r="H1107" s="2" t="str">
        <f>PROPER(TRIM([1]RawShipmentData!G1116))</f>
        <v>West</v>
      </c>
      <c r="I1107" s="2" t="str">
        <f t="shared" si="85"/>
        <v>Yes</v>
      </c>
      <c r="J1107" s="2">
        <f>IFERROR(VALUE(TRIM(SUBSTITUTE(UPPER([1]RawShipmentData!I1107),"KG",""))),"")</f>
        <v>10.7</v>
      </c>
      <c r="K1107" s="2">
        <f>VALUE(SUBSTITUTE(SUBSTITUTE(SUBSTITUTE(TRIM([1]RawShipmentData!J1116),"₹",""),"Rs",""),",",""))</f>
        <v>364</v>
      </c>
      <c r="L1107" s="2">
        <f>[1]RawShipmentData!K1116</f>
        <v>6</v>
      </c>
      <c r="M1107" s="3">
        <f>IF(TRIM([1]RawShipmentData!L1116)="","",IF(ISNUMBER(SEARCH("/",TRIM([1]RawShipmentData!L1116))),DATE(VALUE(RIGHT(TRIM([1]RawShipmentData!L1116),4)),VALUE(MID(TRIM([1]RawShipmentData!L1116),FIND("/",TRIM([1]RawShipmentData!L1116))+1,2)),VALUE(LEFT(TRIM([1]RawShipmentData!L1116),FIND("/",TRIM([1]RawShipmentData!L1116))-1))),DATEVALUE(TRIM([1]RawShipmentData!L1116))))</f>
        <v>45396</v>
      </c>
      <c r="N1107" s="2">
        <f t="shared" si="86"/>
        <v>7</v>
      </c>
      <c r="O1107" s="2">
        <f t="shared" si="87"/>
        <v>1</v>
      </c>
      <c r="P1107" s="2" t="str">
        <f t="shared" si="88"/>
        <v>Late</v>
      </c>
      <c r="Q1107" s="2" t="str">
        <f>PROPER(SUBSTITUTE(TRIM([1]RawShipmentData!M1116)," ","-"))</f>
        <v>Delayed</v>
      </c>
      <c r="R1107" s="4">
        <f t="shared" si="89"/>
        <v>34.018691588785046</v>
      </c>
      <c r="S1107" s="2">
        <f>[1]RawShipmentData!N1116</f>
        <v>4</v>
      </c>
      <c r="T1107" s="2" t="str">
        <f>IF(OR(UPPER(TRIM([1]RawShipmentData!O1116))="YES",UPPER(TRIM([1]RawShipmentData!O1116))="Y"),"Yes","No")</f>
        <v>No</v>
      </c>
    </row>
    <row r="1108" spans="1:20" x14ac:dyDescent="0.25">
      <c r="A1108" s="2" t="str">
        <f>[1]RawShipmentData!A1117</f>
        <v>SHP-100078</v>
      </c>
      <c r="B1108" s="3">
        <f>IF(ISNUMBER(SEARCH("/",TRIM([1]RawShipmentData!B1117))),DATE(VALUE(RIGHT(TRIM([1]RawShipmentData!B1117),4)),VALUE(MID(TRIM([1]RawShipmentData!B1117),FIND("/",TRIM([1]RawShipmentData!B1117))+1,2)),VALUE(LEFT(TRIM([1]RawShipmentData!B1117),FIND("/",TRIM([1]RawShipmentData!B1117))-1))),DATEVALUE(TRIM([1]RawShipmentData!B1117)))</f>
        <v>45359</v>
      </c>
      <c r="C1108" s="2" t="str">
        <f>PROPER(TRIM([1]RawShipmentData!C1117))</f>
        <v>Kolkata</v>
      </c>
      <c r="D1108" s="2" t="str">
        <f>IFERROR(INDEX([1]HubMaster!$B$2:$B$7,MATCH(C1108,[1]HubMaster!$A$2:$A$7,0)),"Unknown")</f>
        <v>East</v>
      </c>
      <c r="E1108" s="2" t="str">
        <f>PROPER(TRIM(SUBSTITUTE([1]RawShipmentData!D1117,"  "," ")))</f>
        <v>Delhivery</v>
      </c>
      <c r="F1108" s="2" t="str">
        <f>PROPER(TRIM([1]RawShipmentData!E1117))</f>
        <v>Road</v>
      </c>
      <c r="G1108" s="2" t="str">
        <f>PROPER(TRIM(SUBSTITUTE([1]RawShipmentData!F1117,"  "," ")))</f>
        <v>Pharma</v>
      </c>
      <c r="H1108" s="2" t="str">
        <f>PROPER(TRIM([1]RawShipmentData!G1117))</f>
        <v>West</v>
      </c>
      <c r="I1108" s="2" t="str">
        <f t="shared" si="85"/>
        <v>Yes</v>
      </c>
      <c r="J1108" s="2">
        <f>IFERROR(VALUE(TRIM(SUBSTITUTE(UPPER([1]RawShipmentData!I1108),"KG",""))),"")</f>
        <v>7.5</v>
      </c>
      <c r="K1108" s="2">
        <f>VALUE(SUBSTITUTE(SUBSTITUTE(SUBSTITUTE(TRIM([1]RawShipmentData!J1117),"₹",""),"Rs",""),",",""))</f>
        <v>261</v>
      </c>
      <c r="L1108" s="2">
        <f>[1]RawShipmentData!K1117</f>
        <v>8</v>
      </c>
      <c r="M1108" s="3">
        <f>IF(TRIM([1]RawShipmentData!L1117)="","",IF(ISNUMBER(SEARCH("/",TRIM([1]RawShipmentData!L1117))),DATE(VALUE(RIGHT(TRIM([1]RawShipmentData!L1117),4)),VALUE(MID(TRIM([1]RawShipmentData!L1117),FIND("/",TRIM([1]RawShipmentData!L1117))+1,2)),VALUE(LEFT(TRIM([1]RawShipmentData!L1117),FIND("/",TRIM([1]RawShipmentData!L1117))-1))),DATEVALUE(TRIM([1]RawShipmentData!L1117))))</f>
        <v>45367</v>
      </c>
      <c r="N1108" s="2">
        <f t="shared" si="86"/>
        <v>8</v>
      </c>
      <c r="O1108" s="2">
        <f t="shared" si="87"/>
        <v>0</v>
      </c>
      <c r="P1108" s="2" t="str">
        <f t="shared" si="88"/>
        <v>On Time</v>
      </c>
      <c r="Q1108" s="2" t="str">
        <f>PROPER(SUBSTITUTE(TRIM([1]RawShipmentData!M1117)," ","-"))</f>
        <v>Delivered</v>
      </c>
      <c r="R1108" s="4">
        <f t="shared" si="89"/>
        <v>34.799999999999997</v>
      </c>
      <c r="S1108" s="2">
        <f>[1]RawShipmentData!N1117</f>
        <v>5</v>
      </c>
      <c r="T1108" s="2" t="str">
        <f>IF(OR(UPPER(TRIM([1]RawShipmentData!O1117))="YES",UPPER(TRIM([1]RawShipmentData!O1117))="Y"),"Yes","No")</f>
        <v>Yes</v>
      </c>
    </row>
    <row r="1109" spans="1:20" x14ac:dyDescent="0.25">
      <c r="A1109" s="2" t="str">
        <f>[1]RawShipmentData!A1119</f>
        <v>SHP-100109</v>
      </c>
      <c r="B1109" s="3">
        <f>IF(ISNUMBER(SEARCH("/",TRIM([1]RawShipmentData!B1119))),DATE(VALUE(RIGHT(TRIM([1]RawShipmentData!B1119),4)),VALUE(MID(TRIM([1]RawShipmentData!B1119),FIND("/",TRIM([1]RawShipmentData!B1119))+1,2)),VALUE(LEFT(TRIM([1]RawShipmentData!B1119),FIND("/",TRIM([1]RawShipmentData!B1119))-1))),DATEVALUE(TRIM([1]RawShipmentData!B1119)))</f>
        <v>45435</v>
      </c>
      <c r="C1109" s="2" t="str">
        <f>PROPER(TRIM([1]RawShipmentData!C1119))</f>
        <v>Chennai</v>
      </c>
      <c r="D1109" s="2" t="str">
        <f>IFERROR(INDEX([1]HubMaster!$B$2:$B$7,MATCH(C1109,[1]HubMaster!$A$2:$A$7,0)),"Unknown")</f>
        <v>South</v>
      </c>
      <c r="E1109" s="2" t="str">
        <f>PROPER(TRIM(SUBSTITUTE([1]RawShipmentData!D1119,"  "," ")))</f>
        <v>Dtdc</v>
      </c>
      <c r="F1109" s="2" t="str">
        <f>PROPER(TRIM([1]RawShipmentData!E1119))</f>
        <v>Road</v>
      </c>
      <c r="G1109" s="2" t="str">
        <f>PROPER(TRIM(SUBSTITUTE([1]RawShipmentData!F1119,"  "," ")))</f>
        <v>Furniture</v>
      </c>
      <c r="H1109" s="2" t="str">
        <f>PROPER(TRIM([1]RawShipmentData!G1119))</f>
        <v>South</v>
      </c>
      <c r="I1109" s="2" t="str">
        <f t="shared" si="85"/>
        <v>No</v>
      </c>
      <c r="J1109" s="2">
        <f>IFERROR(VALUE(TRIM(SUBSTITUTE(UPPER([1]RawShipmentData!I1109),"KG",""))),"")</f>
        <v>14.2</v>
      </c>
      <c r="K1109" s="2">
        <f>VALUE(SUBSTITUTE(SUBSTITUTE(SUBSTITUTE(TRIM([1]RawShipmentData!J1119),"₹",""),"Rs",""),",",""))</f>
        <v>223</v>
      </c>
      <c r="L1109" s="2">
        <f>[1]RawShipmentData!K1119</f>
        <v>6</v>
      </c>
      <c r="M1109" s="3">
        <f>IF(TRIM([1]RawShipmentData!L1119)="","",IF(ISNUMBER(SEARCH("/",TRIM([1]RawShipmentData!L1119))),DATE(VALUE(RIGHT(TRIM([1]RawShipmentData!L1119),4)),VALUE(MID(TRIM([1]RawShipmentData!L1119),FIND("/",TRIM([1]RawShipmentData!L1119))+1,2)),VALUE(LEFT(TRIM([1]RawShipmentData!L1119),FIND("/",TRIM([1]RawShipmentData!L1119))-1))),DATEVALUE(TRIM([1]RawShipmentData!L1119))))</f>
        <v>45441</v>
      </c>
      <c r="N1109" s="2">
        <f t="shared" si="86"/>
        <v>6</v>
      </c>
      <c r="O1109" s="2">
        <f t="shared" si="87"/>
        <v>0</v>
      </c>
      <c r="P1109" s="2" t="str">
        <f t="shared" si="88"/>
        <v>On Time</v>
      </c>
      <c r="Q1109" s="2" t="str">
        <f>PROPER(SUBSTITUTE(TRIM([1]RawShipmentData!M1119)," ","-"))</f>
        <v>Delivered</v>
      </c>
      <c r="R1109" s="4">
        <f t="shared" si="89"/>
        <v>15.704225352112676</v>
      </c>
      <c r="S1109" s="2">
        <f>[1]RawShipmentData!N1119</f>
        <v>4</v>
      </c>
      <c r="T1109" s="2" t="str">
        <f>IF(OR(UPPER(TRIM([1]RawShipmentData!O1119))="YES",UPPER(TRIM([1]RawShipmentData!O1119))="Y"),"Yes","No")</f>
        <v>Yes</v>
      </c>
    </row>
    <row r="1110" spans="1:20" x14ac:dyDescent="0.25">
      <c r="A1110" s="2" t="str">
        <f>[1]RawShipmentData!A1120</f>
        <v>SHP-100739</v>
      </c>
      <c r="B1110" s="3">
        <f>IF(ISNUMBER(SEARCH("/",TRIM([1]RawShipmentData!B1120))),DATE(VALUE(RIGHT(TRIM([1]RawShipmentData!B1120),4)),VALUE(MID(TRIM([1]RawShipmentData!B1120),FIND("/",TRIM([1]RawShipmentData!B1120))+1,2)),VALUE(LEFT(TRIM([1]RawShipmentData!B1120),FIND("/",TRIM([1]RawShipmentData!B1120))-1))),DATEVALUE(TRIM([1]RawShipmentData!B1120)))</f>
        <v>45331</v>
      </c>
      <c r="C1110" s="2" t="str">
        <f>PROPER(TRIM([1]RawShipmentData!C1120))</f>
        <v>Mumbai</v>
      </c>
      <c r="D1110" s="2" t="str">
        <f>IFERROR(INDEX([1]HubMaster!$B$2:$B$7,MATCH(C1110,[1]HubMaster!$A$2:$A$7,0)),"Unknown")</f>
        <v>West</v>
      </c>
      <c r="E1110" s="2" t="str">
        <f>PROPER(TRIM(SUBSTITUTE([1]RawShipmentData!D1120,"  "," ")))</f>
        <v>Dtdc</v>
      </c>
      <c r="F1110" s="2" t="str">
        <f>PROPER(TRIM([1]RawShipmentData!E1120))</f>
        <v>Air</v>
      </c>
      <c r="G1110" s="2" t="str">
        <f>PROPER(TRIM(SUBSTITUTE([1]RawShipmentData!F1120,"  "," ")))</f>
        <v>Pharma</v>
      </c>
      <c r="H1110" s="2" t="str">
        <f>PROPER(TRIM([1]RawShipmentData!G1120))</f>
        <v>North</v>
      </c>
      <c r="I1110" s="2" t="str">
        <f t="shared" si="85"/>
        <v>Yes</v>
      </c>
      <c r="J1110" s="2">
        <f>IFERROR(VALUE(TRIM(SUBSTITUTE(UPPER([1]RawShipmentData!I1110),"KG",""))),"")</f>
        <v>43.3</v>
      </c>
      <c r="K1110" s="2">
        <f>VALUE(SUBSTITUTE(SUBSTITUTE(SUBSTITUTE(TRIM([1]RawShipmentData!J1120),"₹",""),"Rs",""),",",""))</f>
        <v>229</v>
      </c>
      <c r="L1110" s="2">
        <f>[1]RawShipmentData!K1120</f>
        <v>4</v>
      </c>
      <c r="M1110" s="3">
        <f>IF(TRIM([1]RawShipmentData!L1120)="","",IF(ISNUMBER(SEARCH("/",TRIM([1]RawShipmentData!L1120))),DATE(VALUE(RIGHT(TRIM([1]RawShipmentData!L1120),4)),VALUE(MID(TRIM([1]RawShipmentData!L1120),FIND("/",TRIM([1]RawShipmentData!L1120))+1,2)),VALUE(LEFT(TRIM([1]RawShipmentData!L1120),FIND("/",TRIM([1]RawShipmentData!L1120))-1))),DATEVALUE(TRIM([1]RawShipmentData!L1120))))</f>
        <v>45336</v>
      </c>
      <c r="N1110" s="2">
        <f t="shared" si="86"/>
        <v>5</v>
      </c>
      <c r="O1110" s="2">
        <f t="shared" si="87"/>
        <v>1</v>
      </c>
      <c r="P1110" s="2" t="str">
        <f t="shared" si="88"/>
        <v>Late</v>
      </c>
      <c r="Q1110" s="2" t="str">
        <f>PROPER(SUBSTITUTE(TRIM([1]RawShipmentData!M1120)," ","-"))</f>
        <v>Delayed</v>
      </c>
      <c r="R1110" s="4">
        <f t="shared" si="89"/>
        <v>5.2886836027713633</v>
      </c>
      <c r="S1110" s="2">
        <f>[1]RawShipmentData!N1120</f>
        <v>3</v>
      </c>
      <c r="T1110" s="2" t="str">
        <f>IF(OR(UPPER(TRIM([1]RawShipmentData!O1120))="YES",UPPER(TRIM([1]RawShipmentData!O1120))="Y"),"Yes","No")</f>
        <v>No</v>
      </c>
    </row>
    <row r="1111" spans="1:20" x14ac:dyDescent="0.25">
      <c r="A1111" s="2" t="str">
        <f>[1]RawShipmentData!A1121</f>
        <v>SHP-100093</v>
      </c>
      <c r="B1111" s="3">
        <f>IF(ISNUMBER(SEARCH("/",TRIM([1]RawShipmentData!B1121))),DATE(VALUE(RIGHT(TRIM([1]RawShipmentData!B1121),4)),VALUE(MID(TRIM([1]RawShipmentData!B1121),FIND("/",TRIM([1]RawShipmentData!B1121))+1,2)),VALUE(LEFT(TRIM([1]RawShipmentData!B1121),FIND("/",TRIM([1]RawShipmentData!B1121))-1))),DATEVALUE(TRIM([1]RawShipmentData!B1121)))</f>
        <v>45403</v>
      </c>
      <c r="C1111" s="2" t="str">
        <f>PROPER(TRIM([1]RawShipmentData!C1121))</f>
        <v>Bengaluru</v>
      </c>
      <c r="D1111" s="2" t="str">
        <f>IFERROR(INDEX([1]HubMaster!$B$2:$B$7,MATCH(C1111,[1]HubMaster!$A$2:$A$7,0)),"Unknown")</f>
        <v>South</v>
      </c>
      <c r="E1111" s="2" t="str">
        <f>PROPER(TRIM(SUBSTITUTE([1]RawShipmentData!D1121,"  "," ")))</f>
        <v>Dtdc</v>
      </c>
      <c r="F1111" s="2" t="str">
        <f>PROPER(TRIM([1]RawShipmentData!E1121))</f>
        <v>Air</v>
      </c>
      <c r="G1111" s="2" t="str">
        <f>PROPER(TRIM(SUBSTITUTE([1]RawShipmentData!F1121,"  "," ")))</f>
        <v>Pharma</v>
      </c>
      <c r="H1111" s="2" t="str">
        <f>PROPER(TRIM([1]RawShipmentData!G1121))</f>
        <v>South</v>
      </c>
      <c r="I1111" s="2" t="str">
        <f t="shared" si="85"/>
        <v>No</v>
      </c>
      <c r="J1111" s="2">
        <f>IFERROR(VALUE(TRIM(SUBSTITUTE(UPPER([1]RawShipmentData!I1111),"KG",""))),"")</f>
        <v>11.8</v>
      </c>
      <c r="K1111" s="2">
        <f>VALUE(SUBSTITUTE(SUBSTITUTE(SUBSTITUTE(TRIM([1]RawShipmentData!J1121),"₹",""),"Rs",""),",",""))</f>
        <v>99</v>
      </c>
      <c r="L1111" s="2">
        <f>[1]RawShipmentData!K1121</f>
        <v>2</v>
      </c>
      <c r="M1111" s="3">
        <f>IF(TRIM([1]RawShipmentData!L1121)="","",IF(ISNUMBER(SEARCH("/",TRIM([1]RawShipmentData!L1121))),DATE(VALUE(RIGHT(TRIM([1]RawShipmentData!L1121),4)),VALUE(MID(TRIM([1]RawShipmentData!L1121),FIND("/",TRIM([1]RawShipmentData!L1121))+1,2)),VALUE(LEFT(TRIM([1]RawShipmentData!L1121),FIND("/",TRIM([1]RawShipmentData!L1121))-1))),DATEVALUE(TRIM([1]RawShipmentData!L1121))))</f>
        <v>45407</v>
      </c>
      <c r="N1111" s="2">
        <f t="shared" si="86"/>
        <v>4</v>
      </c>
      <c r="O1111" s="2">
        <f t="shared" si="87"/>
        <v>2</v>
      </c>
      <c r="P1111" s="2" t="str">
        <f t="shared" si="88"/>
        <v>Late</v>
      </c>
      <c r="Q1111" s="2" t="str">
        <f>PROPER(SUBSTITUTE(TRIM([1]RawShipmentData!M1121)," ","-"))</f>
        <v>Delayed</v>
      </c>
      <c r="R1111" s="4">
        <f t="shared" si="89"/>
        <v>8.3898305084745761</v>
      </c>
      <c r="S1111" s="2">
        <f>[1]RawShipmentData!N1121</f>
        <v>4</v>
      </c>
      <c r="T1111" s="2" t="str">
        <f>IF(OR(UPPER(TRIM([1]RawShipmentData!O1121))="YES",UPPER(TRIM([1]RawShipmentData!O1121))="Y"),"Yes","No")</f>
        <v>No</v>
      </c>
    </row>
    <row r="1112" spans="1:20" x14ac:dyDescent="0.25">
      <c r="A1112" s="2" t="str">
        <f>[1]RawShipmentData!A1122</f>
        <v>SHP-100447</v>
      </c>
      <c r="B1112" s="3">
        <f>IF(ISNUMBER(SEARCH("/",TRIM([1]RawShipmentData!B1122))),DATE(VALUE(RIGHT(TRIM([1]RawShipmentData!B1122),4)),VALUE(MID(TRIM([1]RawShipmentData!B1122),FIND("/",TRIM([1]RawShipmentData!B1122))+1,2)),VALUE(LEFT(TRIM([1]RawShipmentData!B1122),FIND("/",TRIM([1]RawShipmentData!B1122))-1))),DATEVALUE(TRIM([1]RawShipmentData!B1122)))</f>
        <v>45294</v>
      </c>
      <c r="C1112" s="2" t="str">
        <f>PROPER(TRIM([1]RawShipmentData!C1122))</f>
        <v>Kolkata</v>
      </c>
      <c r="D1112" s="2" t="str">
        <f>IFERROR(INDEX([1]HubMaster!$B$2:$B$7,MATCH(C1112,[1]HubMaster!$A$2:$A$7,0)),"Unknown")</f>
        <v>East</v>
      </c>
      <c r="E1112" s="2" t="str">
        <f>PROPER(TRIM(SUBSTITUTE([1]RawShipmentData!D1122,"  "," ")))</f>
        <v>Bluedart</v>
      </c>
      <c r="F1112" s="2" t="str">
        <f>PROPER(TRIM([1]RawShipmentData!E1122))</f>
        <v>Road</v>
      </c>
      <c r="G1112" s="2" t="str">
        <f>PROPER(TRIM(SUBSTITUTE([1]RawShipmentData!F1122,"  "," ")))</f>
        <v>Furniture</v>
      </c>
      <c r="H1112" s="2" t="str">
        <f>PROPER(TRIM([1]RawShipmentData!G1122))</f>
        <v>East</v>
      </c>
      <c r="I1112" s="2" t="str">
        <f t="shared" si="85"/>
        <v>No</v>
      </c>
      <c r="J1112" s="2">
        <f>IFERROR(VALUE(TRIM(SUBSTITUTE(UPPER([1]RawShipmentData!I1112),"KG",""))),"")</f>
        <v>3.7</v>
      </c>
      <c r="K1112" s="2">
        <f>VALUE(SUBSTITUTE(SUBSTITUTE(SUBSTITUTE(TRIM([1]RawShipmentData!J1122),"₹",""),"Rs",""),",",""))</f>
        <v>900</v>
      </c>
      <c r="L1112" s="2">
        <f>[1]RawShipmentData!K1122</f>
        <v>6</v>
      </c>
      <c r="M1112" s="3">
        <f>IF(TRIM([1]RawShipmentData!L1122)="","",IF(ISNUMBER(SEARCH("/",TRIM([1]RawShipmentData!L1122))),DATE(VALUE(RIGHT(TRIM([1]RawShipmentData!L1122),4)),VALUE(MID(TRIM([1]RawShipmentData!L1122),FIND("/",TRIM([1]RawShipmentData!L1122))+1,2)),VALUE(LEFT(TRIM([1]RawShipmentData!L1122),FIND("/",TRIM([1]RawShipmentData!L1122))-1))),DATEVALUE(TRIM([1]RawShipmentData!L1122))))</f>
        <v>45301</v>
      </c>
      <c r="N1112" s="2">
        <f t="shared" si="86"/>
        <v>7</v>
      </c>
      <c r="O1112" s="2">
        <f t="shared" si="87"/>
        <v>1</v>
      </c>
      <c r="P1112" s="2" t="str">
        <f t="shared" si="88"/>
        <v>Late</v>
      </c>
      <c r="Q1112" s="2" t="str">
        <f>PROPER(SUBSTITUTE(TRIM([1]RawShipmentData!M1122)," ","-"))</f>
        <v>Delayed</v>
      </c>
      <c r="R1112" s="4">
        <f t="shared" si="89"/>
        <v>243.24324324324323</v>
      </c>
      <c r="S1112" s="2">
        <f>[1]RawShipmentData!N1122</f>
        <v>3</v>
      </c>
      <c r="T1112" s="2" t="str">
        <f>IF(OR(UPPER(TRIM([1]RawShipmentData!O1122))="YES",UPPER(TRIM([1]RawShipmentData!O1122))="Y"),"Yes","No")</f>
        <v>Yes</v>
      </c>
    </row>
    <row r="1113" spans="1:20" x14ac:dyDescent="0.25">
      <c r="A1113" s="2" t="str">
        <f>[1]RawShipmentData!A1123</f>
        <v>SHP-100167</v>
      </c>
      <c r="B1113" s="3">
        <f>IF(ISNUMBER(SEARCH("/",TRIM([1]RawShipmentData!B1123))),DATE(VALUE(RIGHT(TRIM([1]RawShipmentData!B1123),4)),VALUE(MID(TRIM([1]RawShipmentData!B1123),FIND("/",TRIM([1]RawShipmentData!B1123))+1,2)),VALUE(LEFT(TRIM([1]RawShipmentData!B1123),FIND("/",TRIM([1]RawShipmentData!B1123))-1))),DATEVALUE(TRIM([1]RawShipmentData!B1123)))</f>
        <v>45319</v>
      </c>
      <c r="C1113" s="2" t="str">
        <f>PROPER(TRIM([1]RawShipmentData!C1123))</f>
        <v>Hyderabad</v>
      </c>
      <c r="D1113" s="2" t="str">
        <f>IFERROR(INDEX([1]HubMaster!$B$2:$B$7,MATCH(C1113,[1]HubMaster!$A$2:$A$7,0)),"Unknown")</f>
        <v>West</v>
      </c>
      <c r="E1113" s="2" t="str">
        <f>PROPER(TRIM(SUBSTITUTE([1]RawShipmentData!D1123,"  "," ")))</f>
        <v>Ecom Express</v>
      </c>
      <c r="F1113" s="2" t="str">
        <f>PROPER(TRIM([1]RawShipmentData!E1123))</f>
        <v>Surface</v>
      </c>
      <c r="G1113" s="2" t="str">
        <f>PROPER(TRIM(SUBSTITUTE([1]RawShipmentData!F1123,"  "," ")))</f>
        <v>Grocery &amp; Fmcg</v>
      </c>
      <c r="H1113" s="2" t="str">
        <f>PROPER(TRIM([1]RawShipmentData!G1123))</f>
        <v>South</v>
      </c>
      <c r="I1113" s="2" t="str">
        <f t="shared" si="85"/>
        <v>Yes</v>
      </c>
      <c r="J1113" s="2">
        <f>IFERROR(VALUE(TRIM(SUBSTITUTE(UPPER([1]RawShipmentData!I1113),"KG",""))),"")</f>
        <v>16.7</v>
      </c>
      <c r="K1113" s="2">
        <f>VALUE(SUBSTITUTE(SUBSTITUTE(SUBSTITUTE(TRIM([1]RawShipmentData!J1123),"₹",""),"Rs",""),",",""))</f>
        <v>386</v>
      </c>
      <c r="L1113" s="2">
        <f>[1]RawShipmentData!K1123</f>
        <v>6</v>
      </c>
      <c r="M1113" s="3">
        <f>IF(TRIM([1]RawShipmentData!L1123)="","",IF(ISNUMBER(SEARCH("/",TRIM([1]RawShipmentData!L1123))),DATE(VALUE(RIGHT(TRIM([1]RawShipmentData!L1123),4)),VALUE(MID(TRIM([1]RawShipmentData!L1123),FIND("/",TRIM([1]RawShipmentData!L1123))+1,2)),VALUE(LEFT(TRIM([1]RawShipmentData!L1123),FIND("/",TRIM([1]RawShipmentData!L1123))-1))),DATEVALUE(TRIM([1]RawShipmentData!L1123))))</f>
        <v>45325</v>
      </c>
      <c r="N1113" s="2">
        <f t="shared" si="86"/>
        <v>6</v>
      </c>
      <c r="O1113" s="2">
        <f t="shared" si="87"/>
        <v>0</v>
      </c>
      <c r="P1113" s="2" t="str">
        <f t="shared" si="88"/>
        <v>On Time</v>
      </c>
      <c r="Q1113" s="2" t="str">
        <f>PROPER(SUBSTITUTE(TRIM([1]RawShipmentData!M1123)," ","-"))</f>
        <v>Delivered</v>
      </c>
      <c r="R1113" s="4">
        <f t="shared" si="89"/>
        <v>23.113772455089823</v>
      </c>
      <c r="S1113" s="2">
        <f>[1]RawShipmentData!N1123</f>
        <v>4</v>
      </c>
      <c r="T1113" s="2" t="str">
        <f>IF(OR(UPPER(TRIM([1]RawShipmentData!O1123))="YES",UPPER(TRIM([1]RawShipmentData!O1123))="Y"),"Yes","No")</f>
        <v>No</v>
      </c>
    </row>
    <row r="1114" spans="1:20" x14ac:dyDescent="0.25">
      <c r="A1114" s="2" t="str">
        <f>[1]RawShipmentData!A1124</f>
        <v>SHP-101135</v>
      </c>
      <c r="B1114" s="3">
        <f>IF(ISNUMBER(SEARCH("/",TRIM([1]RawShipmentData!B1124))),DATE(VALUE(RIGHT(TRIM([1]RawShipmentData!B1124),4)),VALUE(MID(TRIM([1]RawShipmentData!B1124),FIND("/",TRIM([1]RawShipmentData!B1124))+1,2)),VALUE(LEFT(TRIM([1]RawShipmentData!B1124),FIND("/",TRIM([1]RawShipmentData!B1124))-1))),DATEVALUE(TRIM([1]RawShipmentData!B1124)))</f>
        <v>45308</v>
      </c>
      <c r="C1114" s="2" t="str">
        <f>PROPER(TRIM([1]RawShipmentData!C1124))</f>
        <v>Mumbai</v>
      </c>
      <c r="D1114" s="2" t="str">
        <f>IFERROR(INDEX([1]HubMaster!$B$2:$B$7,MATCH(C1114,[1]HubMaster!$A$2:$A$7,0)),"Unknown")</f>
        <v>West</v>
      </c>
      <c r="E1114" s="2" t="str">
        <f>PROPER(TRIM(SUBSTITUTE([1]RawShipmentData!D1124,"  "," ")))</f>
        <v>Bluedart</v>
      </c>
      <c r="F1114" s="2" t="str">
        <f>PROPER(TRIM([1]RawShipmentData!E1124))</f>
        <v>Road</v>
      </c>
      <c r="G1114" s="2" t="str">
        <f>PROPER(TRIM(SUBSTITUTE([1]RawShipmentData!F1124,"  "," ")))</f>
        <v>Grocery &amp; Fmcg</v>
      </c>
      <c r="H1114" s="2" t="str">
        <f>PROPER(TRIM([1]RawShipmentData!G1124))</f>
        <v>North</v>
      </c>
      <c r="I1114" s="2" t="str">
        <f t="shared" si="85"/>
        <v>Yes</v>
      </c>
      <c r="J1114" s="2">
        <f>IFERROR(VALUE(TRIM(SUBSTITUTE(UPPER([1]RawShipmentData!I1114),"KG",""))),"")</f>
        <v>19.600000000000001</v>
      </c>
      <c r="K1114" s="2">
        <f>VALUE(SUBSTITUTE(SUBSTITUTE(SUBSTITUTE(TRIM([1]RawShipmentData!J1124),"₹",""),"Rs",""),",",""))</f>
        <v>355</v>
      </c>
      <c r="L1114" s="2">
        <f>[1]RawShipmentData!K1124</f>
        <v>8</v>
      </c>
      <c r="M1114" s="3">
        <f>IF(TRIM([1]RawShipmentData!L1124)="","",IF(ISNUMBER(SEARCH("/",TRIM([1]RawShipmentData!L1124))),DATE(VALUE(RIGHT(TRIM([1]RawShipmentData!L1124),4)),VALUE(MID(TRIM([1]RawShipmentData!L1124),FIND("/",TRIM([1]RawShipmentData!L1124))+1,2)),VALUE(LEFT(TRIM([1]RawShipmentData!L1124),FIND("/",TRIM([1]RawShipmentData!L1124))-1))),DATEVALUE(TRIM([1]RawShipmentData!L1124))))</f>
        <v>45315</v>
      </c>
      <c r="N1114" s="2">
        <f t="shared" si="86"/>
        <v>7</v>
      </c>
      <c r="O1114" s="2">
        <f t="shared" si="87"/>
        <v>-1</v>
      </c>
      <c r="P1114" s="2" t="str">
        <f t="shared" si="88"/>
        <v>On Time</v>
      </c>
      <c r="Q1114" s="2" t="str">
        <f>PROPER(SUBSTITUTE(TRIM([1]RawShipmentData!M1124)," ","-"))</f>
        <v>Delivered</v>
      </c>
      <c r="R1114" s="4">
        <f t="shared" si="89"/>
        <v>18.112244897959183</v>
      </c>
      <c r="S1114" s="2">
        <f>[1]RawShipmentData!N1124</f>
        <v>2</v>
      </c>
      <c r="T1114" s="2" t="str">
        <f>IF(OR(UPPER(TRIM([1]RawShipmentData!O1124))="YES",UPPER(TRIM([1]RawShipmentData!O1124))="Y"),"Yes","No")</f>
        <v>No</v>
      </c>
    </row>
    <row r="1115" spans="1:20" x14ac:dyDescent="0.25">
      <c r="A1115" s="2" t="str">
        <f>[1]RawShipmentData!A1125</f>
        <v>SHP-100099</v>
      </c>
      <c r="B1115" s="3">
        <f>IF(ISNUMBER(SEARCH("/",TRIM([1]RawShipmentData!B1125))),DATE(VALUE(RIGHT(TRIM([1]RawShipmentData!B1125),4)),VALUE(MID(TRIM([1]RawShipmentData!B1125),FIND("/",TRIM([1]RawShipmentData!B1125))+1,2)),VALUE(LEFT(TRIM([1]RawShipmentData!B1125),FIND("/",TRIM([1]RawShipmentData!B1125))-1))),DATEVALUE(TRIM([1]RawShipmentData!B1125)))</f>
        <v>45329</v>
      </c>
      <c r="C1115" s="2" t="str">
        <f>PROPER(TRIM([1]RawShipmentData!C1125))</f>
        <v>Mumbai</v>
      </c>
      <c r="D1115" s="2" t="str">
        <f>IFERROR(INDEX([1]HubMaster!$B$2:$B$7,MATCH(C1115,[1]HubMaster!$A$2:$A$7,0)),"Unknown")</f>
        <v>West</v>
      </c>
      <c r="E1115" s="2" t="str">
        <f>PROPER(TRIM(SUBSTITUTE([1]RawShipmentData!D1125,"  "," ")))</f>
        <v>Dtdc</v>
      </c>
      <c r="F1115" s="2" t="str">
        <f>PROPER(TRIM([1]RawShipmentData!E1125))</f>
        <v>Surface</v>
      </c>
      <c r="G1115" s="2" t="str">
        <f>PROPER(TRIM(SUBSTITUTE([1]RawShipmentData!F1125,"  "," ")))</f>
        <v>Furniture</v>
      </c>
      <c r="H1115" s="2" t="str">
        <f>PROPER(TRIM([1]RawShipmentData!G1125))</f>
        <v>North</v>
      </c>
      <c r="I1115" s="2" t="str">
        <f t="shared" si="85"/>
        <v>Yes</v>
      </c>
      <c r="J1115" s="2">
        <f>IFERROR(VALUE(TRIM(SUBSTITUTE(UPPER([1]RawShipmentData!I1115),"KG",""))),"")</f>
        <v>17.5</v>
      </c>
      <c r="K1115" s="2">
        <f>VALUE(SUBSTITUTE(SUBSTITUTE(SUBSTITUTE(TRIM([1]RawShipmentData!J1125),"₹",""),"Rs",""),",",""))</f>
        <v>1447</v>
      </c>
      <c r="L1115" s="2">
        <f>[1]RawShipmentData!K1125</f>
        <v>6</v>
      </c>
      <c r="M1115" s="3">
        <f>IF(TRIM([1]RawShipmentData!L1125)="","",IF(ISNUMBER(SEARCH("/",TRIM([1]RawShipmentData!L1125))),DATE(VALUE(RIGHT(TRIM([1]RawShipmentData!L1125),4)),VALUE(MID(TRIM([1]RawShipmentData!L1125),FIND("/",TRIM([1]RawShipmentData!L1125))+1,2)),VALUE(LEFT(TRIM([1]RawShipmentData!L1125),FIND("/",TRIM([1]RawShipmentData!L1125))-1))),DATEVALUE(TRIM([1]RawShipmentData!L1125))))</f>
        <v>45336</v>
      </c>
      <c r="N1115" s="2">
        <f t="shared" si="86"/>
        <v>7</v>
      </c>
      <c r="O1115" s="2">
        <f t="shared" si="87"/>
        <v>1</v>
      </c>
      <c r="P1115" s="2" t="str">
        <f t="shared" si="88"/>
        <v>Late</v>
      </c>
      <c r="Q1115" s="2" t="str">
        <f>PROPER(SUBSTITUTE(TRIM([1]RawShipmentData!M1125)," ","-"))</f>
        <v>Delayed</v>
      </c>
      <c r="R1115" s="4">
        <f t="shared" si="89"/>
        <v>82.685714285714283</v>
      </c>
      <c r="S1115" s="2">
        <f>[1]RawShipmentData!N1125</f>
        <v>3</v>
      </c>
      <c r="T1115" s="2" t="str">
        <f>IF(OR(UPPER(TRIM([1]RawShipmentData!O1125))="YES",UPPER(TRIM([1]RawShipmentData!O1125))="Y"),"Yes","No")</f>
        <v>No</v>
      </c>
    </row>
    <row r="1116" spans="1:20" x14ac:dyDescent="0.25">
      <c r="A1116" s="2" t="str">
        <f>[1]RawShipmentData!A1126</f>
        <v>SHP-101476</v>
      </c>
      <c r="B1116" s="3">
        <f>IF(ISNUMBER(SEARCH("/",TRIM([1]RawShipmentData!B1126))),DATE(VALUE(RIGHT(TRIM([1]RawShipmentData!B1126),4)),VALUE(MID(TRIM([1]RawShipmentData!B1126),FIND("/",TRIM([1]RawShipmentData!B1126))+1,2)),VALUE(LEFT(TRIM([1]RawShipmentData!B1126),FIND("/",TRIM([1]RawShipmentData!B1126))-1))),DATEVALUE(TRIM([1]RawShipmentData!B1126)))</f>
        <v>45462</v>
      </c>
      <c r="C1116" s="2" t="str">
        <f>PROPER(TRIM([1]RawShipmentData!C1126))</f>
        <v>Hyderabad</v>
      </c>
      <c r="D1116" s="2" t="str">
        <f>IFERROR(INDEX([1]HubMaster!$B$2:$B$7,MATCH(C1116,[1]HubMaster!$A$2:$A$7,0)),"Unknown")</f>
        <v>West</v>
      </c>
      <c r="E1116" s="2" t="str">
        <f>PROPER(TRIM(SUBSTITUTE([1]RawShipmentData!D1126,"  "," ")))</f>
        <v>Ecom Express</v>
      </c>
      <c r="F1116" s="2" t="str">
        <f>PROPER(TRIM([1]RawShipmentData!E1126))</f>
        <v>Air</v>
      </c>
      <c r="G1116" s="2" t="str">
        <f>PROPER(TRIM(SUBSTITUTE([1]RawShipmentData!F1126,"  "," ")))</f>
        <v>Pharma</v>
      </c>
      <c r="H1116" s="2" t="str">
        <f>PROPER(TRIM([1]RawShipmentData!G1126))</f>
        <v>East</v>
      </c>
      <c r="I1116" s="2" t="str">
        <f t="shared" si="85"/>
        <v>Yes</v>
      </c>
      <c r="J1116" s="2">
        <f>IFERROR(VALUE(TRIM(SUBSTITUTE(UPPER([1]RawShipmentData!I1116),"KG",""))),"")</f>
        <v>7</v>
      </c>
      <c r="K1116" s="2">
        <f>VALUE(SUBSTITUTE(SUBSTITUTE(SUBSTITUTE(TRIM([1]RawShipmentData!J1126),"₹",""),"Rs",""),",",""))</f>
        <v>245</v>
      </c>
      <c r="L1116" s="2">
        <f>[1]RawShipmentData!K1126</f>
        <v>4</v>
      </c>
      <c r="M1116" s="3">
        <f>IF(TRIM([1]RawShipmentData!L1126)="","",IF(ISNUMBER(SEARCH("/",TRIM([1]RawShipmentData!L1126))),DATE(VALUE(RIGHT(TRIM([1]RawShipmentData!L1126),4)),VALUE(MID(TRIM([1]RawShipmentData!L1126),FIND("/",TRIM([1]RawShipmentData!L1126))+1,2)),VALUE(LEFT(TRIM([1]RawShipmentData!L1126),FIND("/",TRIM([1]RawShipmentData!L1126))-1))),DATEVALUE(TRIM([1]RawShipmentData!L1126))))</f>
        <v>45466</v>
      </c>
      <c r="N1116" s="2">
        <f t="shared" si="86"/>
        <v>4</v>
      </c>
      <c r="O1116" s="2">
        <f t="shared" si="87"/>
        <v>0</v>
      </c>
      <c r="P1116" s="2" t="str">
        <f t="shared" si="88"/>
        <v>On Time</v>
      </c>
      <c r="Q1116" s="2" t="str">
        <f>PROPER(SUBSTITUTE(TRIM([1]RawShipmentData!M1126)," ","-"))</f>
        <v>Delivered</v>
      </c>
      <c r="R1116" s="4">
        <f t="shared" si="89"/>
        <v>35</v>
      </c>
      <c r="S1116" s="2">
        <f>[1]RawShipmentData!N1126</f>
        <v>5</v>
      </c>
      <c r="T1116" s="2" t="str">
        <f>IF(OR(UPPER(TRIM([1]RawShipmentData!O1126))="YES",UPPER(TRIM([1]RawShipmentData!O1126))="Y"),"Yes","No")</f>
        <v>No</v>
      </c>
    </row>
    <row r="1117" spans="1:20" x14ac:dyDescent="0.25">
      <c r="A1117" s="2" t="str">
        <f>[1]RawShipmentData!A1127</f>
        <v>SHP-100595</v>
      </c>
      <c r="B1117" s="3">
        <f>IF(ISNUMBER(SEARCH("/",TRIM([1]RawShipmentData!B1127))),DATE(VALUE(RIGHT(TRIM([1]RawShipmentData!B1127),4)),VALUE(MID(TRIM([1]RawShipmentData!B1127),FIND("/",TRIM([1]RawShipmentData!B1127))+1,2)),VALUE(LEFT(TRIM([1]RawShipmentData!B1127),FIND("/",TRIM([1]RawShipmentData!B1127))-1))),DATEVALUE(TRIM([1]RawShipmentData!B1127)))</f>
        <v>45407</v>
      </c>
      <c r="C1117" s="2" t="str">
        <f>PROPER(TRIM([1]RawShipmentData!C1127))</f>
        <v>Hyderabad</v>
      </c>
      <c r="D1117" s="2" t="str">
        <f>IFERROR(INDEX([1]HubMaster!$B$2:$B$7,MATCH(C1117,[1]HubMaster!$A$2:$A$7,0)),"Unknown")</f>
        <v>West</v>
      </c>
      <c r="E1117" s="2" t="str">
        <f>PROPER(TRIM(SUBSTITUTE([1]RawShipmentData!D1127,"  "," ")))</f>
        <v>Dtdc</v>
      </c>
      <c r="F1117" s="2" t="str">
        <f>PROPER(TRIM([1]RawShipmentData!E1127))</f>
        <v>Road</v>
      </c>
      <c r="G1117" s="2" t="str">
        <f>PROPER(TRIM(SUBSTITUTE([1]RawShipmentData!F1127,"  "," ")))</f>
        <v>Furniture</v>
      </c>
      <c r="H1117" s="2" t="str">
        <f>PROPER(TRIM([1]RawShipmentData!G1127))</f>
        <v>North</v>
      </c>
      <c r="I1117" s="2" t="str">
        <f t="shared" si="85"/>
        <v>Yes</v>
      </c>
      <c r="J1117" s="2">
        <f>IFERROR(VALUE(TRIM(SUBSTITUTE(UPPER([1]RawShipmentData!I1117),"KG",""))),"")</f>
        <v>4.3</v>
      </c>
      <c r="K1117" s="2">
        <f>VALUE(SUBSTITUTE(SUBSTITUTE(SUBSTITUTE(TRIM([1]RawShipmentData!J1127),"₹",""),"Rs",""),",",""))</f>
        <v>994</v>
      </c>
      <c r="L1117" s="2">
        <f>[1]RawShipmentData!K1127</f>
        <v>8</v>
      </c>
      <c r="M1117" s="3">
        <f>IF(TRIM([1]RawShipmentData!L1127)="","",IF(ISNUMBER(SEARCH("/",TRIM([1]RawShipmentData!L1127))),DATE(VALUE(RIGHT(TRIM([1]RawShipmentData!L1127),4)),VALUE(MID(TRIM([1]RawShipmentData!L1127),FIND("/",TRIM([1]RawShipmentData!L1127))+1,2)),VALUE(LEFT(TRIM([1]RawShipmentData!L1127),FIND("/",TRIM([1]RawShipmentData!L1127))-1))),DATEVALUE(TRIM([1]RawShipmentData!L1127))))</f>
        <v>45414</v>
      </c>
      <c r="N1117" s="2">
        <f t="shared" si="86"/>
        <v>7</v>
      </c>
      <c r="O1117" s="2">
        <f t="shared" si="87"/>
        <v>-1</v>
      </c>
      <c r="P1117" s="2" t="str">
        <f t="shared" si="88"/>
        <v>On Time</v>
      </c>
      <c r="Q1117" s="2" t="str">
        <f>PROPER(SUBSTITUTE(TRIM([1]RawShipmentData!M1127)," ","-"))</f>
        <v>Delivered</v>
      </c>
      <c r="R1117" s="4">
        <f t="shared" si="89"/>
        <v>231.16279069767444</v>
      </c>
      <c r="S1117" s="2">
        <f>[1]RawShipmentData!N1127</f>
        <v>4</v>
      </c>
      <c r="T1117" s="2" t="str">
        <f>IF(OR(UPPER(TRIM([1]RawShipmentData!O1127))="YES",UPPER(TRIM([1]RawShipmentData!O1127))="Y"),"Yes","No")</f>
        <v>No</v>
      </c>
    </row>
    <row r="1118" spans="1:20" x14ac:dyDescent="0.25">
      <c r="A1118" s="2" t="str">
        <f>[1]RawShipmentData!A1128</f>
        <v>SHP-100422</v>
      </c>
      <c r="B1118" s="3">
        <f>IF(ISNUMBER(SEARCH("/",TRIM([1]RawShipmentData!B1128))),DATE(VALUE(RIGHT(TRIM([1]RawShipmentData!B1128),4)),VALUE(MID(TRIM([1]RawShipmentData!B1128),FIND("/",TRIM([1]RawShipmentData!B1128))+1,2)),VALUE(LEFT(TRIM([1]RawShipmentData!B1128),FIND("/",TRIM([1]RawShipmentData!B1128))-1))),DATEVALUE(TRIM([1]RawShipmentData!B1128)))</f>
        <v>45445</v>
      </c>
      <c r="C1118" s="2" t="str">
        <f>PROPER(TRIM([1]RawShipmentData!C1128))</f>
        <v>Chennai</v>
      </c>
      <c r="D1118" s="2" t="str">
        <f>IFERROR(INDEX([1]HubMaster!$B$2:$B$7,MATCH(C1118,[1]HubMaster!$A$2:$A$7,0)),"Unknown")</f>
        <v>South</v>
      </c>
      <c r="E1118" s="2" t="str">
        <f>PROPER(TRIM(SUBSTITUTE([1]RawShipmentData!D1128,"  "," ")))</f>
        <v>Dtdc</v>
      </c>
      <c r="F1118" s="2" t="str">
        <f>PROPER(TRIM([1]RawShipmentData!E1128))</f>
        <v>Air</v>
      </c>
      <c r="G1118" s="2" t="str">
        <f>PROPER(TRIM(SUBSTITUTE([1]RawShipmentData!F1128,"  "," ")))</f>
        <v>Pharma</v>
      </c>
      <c r="H1118" s="2" t="str">
        <f>PROPER(TRIM([1]RawShipmentData!G1128))</f>
        <v>South</v>
      </c>
      <c r="I1118" s="2" t="str">
        <f t="shared" si="85"/>
        <v>No</v>
      </c>
      <c r="J1118" s="2">
        <f>IFERROR(VALUE(TRIM(SUBSTITUTE(UPPER([1]RawShipmentData!I1118),"KG",""))),"")</f>
        <v>2.4</v>
      </c>
      <c r="K1118" s="2">
        <f>VALUE(SUBSTITUTE(SUBSTITUTE(SUBSTITUTE(TRIM([1]RawShipmentData!J1128),"₹",""),"Rs",""),",",""))</f>
        <v>191</v>
      </c>
      <c r="L1118" s="2">
        <f>[1]RawShipmentData!K1128</f>
        <v>2</v>
      </c>
      <c r="M1118" s="3">
        <f>IF(TRIM([1]RawShipmentData!L1128)="","",IF(ISNUMBER(SEARCH("/",TRIM([1]RawShipmentData!L1128))),DATE(VALUE(RIGHT(TRIM([1]RawShipmentData!L1128),4)),VALUE(MID(TRIM([1]RawShipmentData!L1128),FIND("/",TRIM([1]RawShipmentData!L1128))+1,2)),VALUE(LEFT(TRIM([1]RawShipmentData!L1128),FIND("/",TRIM([1]RawShipmentData!L1128))-1))),DATEVALUE(TRIM([1]RawShipmentData!L1128))))</f>
        <v>45450</v>
      </c>
      <c r="N1118" s="2">
        <f t="shared" si="86"/>
        <v>5</v>
      </c>
      <c r="O1118" s="2">
        <f t="shared" si="87"/>
        <v>3</v>
      </c>
      <c r="P1118" s="2" t="str">
        <f t="shared" si="88"/>
        <v>Late</v>
      </c>
      <c r="Q1118" s="2" t="str">
        <f>PROPER(SUBSTITUTE(TRIM([1]RawShipmentData!M1128)," ","-"))</f>
        <v>Delayed</v>
      </c>
      <c r="R1118" s="4">
        <f t="shared" si="89"/>
        <v>79.583333333333343</v>
      </c>
      <c r="S1118" s="2">
        <f>[1]RawShipmentData!N1128</f>
        <v>3</v>
      </c>
      <c r="T1118" s="2" t="str">
        <f>IF(OR(UPPER(TRIM([1]RawShipmentData!O1128))="YES",UPPER(TRIM([1]RawShipmentData!O1128))="Y"),"Yes","No")</f>
        <v>No</v>
      </c>
    </row>
    <row r="1119" spans="1:20" x14ac:dyDescent="0.25">
      <c r="A1119" s="2" t="str">
        <f>[1]RawShipmentData!A1129</f>
        <v>SHP-101139</v>
      </c>
      <c r="B1119" s="3">
        <f>IF(ISNUMBER(SEARCH("/",TRIM([1]RawShipmentData!B1129))),DATE(VALUE(RIGHT(TRIM([1]RawShipmentData!B1129),4)),VALUE(MID(TRIM([1]RawShipmentData!B1129),FIND("/",TRIM([1]RawShipmentData!B1129))+1,2)),VALUE(LEFT(TRIM([1]RawShipmentData!B1129),FIND("/",TRIM([1]RawShipmentData!B1129))-1))),DATEVALUE(TRIM([1]RawShipmentData!B1129)))</f>
        <v>45446</v>
      </c>
      <c r="C1119" s="2" t="str">
        <f>PROPER(TRIM([1]RawShipmentData!C1129))</f>
        <v>Delhi</v>
      </c>
      <c r="D1119" s="2" t="str">
        <f>IFERROR(INDEX([1]HubMaster!$B$2:$B$7,MATCH(C1119,[1]HubMaster!$A$2:$A$7,0)),"Unknown")</f>
        <v>North</v>
      </c>
      <c r="E1119" s="2" t="str">
        <f>PROPER(TRIM(SUBSTITUTE([1]RawShipmentData!D1129,"  "," ")))</f>
        <v>Dtdc</v>
      </c>
      <c r="F1119" s="2" t="str">
        <f>PROPER(TRIM([1]RawShipmentData!E1129))</f>
        <v>Road</v>
      </c>
      <c r="G1119" s="2" t="str">
        <f>PROPER(TRIM(SUBSTITUTE([1]RawShipmentData!F1129,"  "," ")))</f>
        <v>Automotive Parts</v>
      </c>
      <c r="H1119" s="2" t="str">
        <f>PROPER(TRIM([1]RawShipmentData!G1129))</f>
        <v>North</v>
      </c>
      <c r="I1119" s="2" t="str">
        <f t="shared" si="85"/>
        <v>No</v>
      </c>
      <c r="J1119" s="2">
        <f>IFERROR(VALUE(TRIM(SUBSTITUTE(UPPER([1]RawShipmentData!I1119),"KG",""))),"")</f>
        <v>16.5</v>
      </c>
      <c r="K1119" s="2">
        <f>VALUE(SUBSTITUTE(SUBSTITUTE(SUBSTITUTE(TRIM([1]RawShipmentData!J1129),"₹",""),"Rs",""),",",""))</f>
        <v>307</v>
      </c>
      <c r="L1119" s="2">
        <f>[1]RawShipmentData!K1129</f>
        <v>6</v>
      </c>
      <c r="M1119" s="3">
        <f>IF(TRIM([1]RawShipmentData!L1129)="","",IF(ISNUMBER(SEARCH("/",TRIM([1]RawShipmentData!L1129))),DATE(VALUE(RIGHT(TRIM([1]RawShipmentData!L1129),4)),VALUE(MID(TRIM([1]RawShipmentData!L1129),FIND("/",TRIM([1]RawShipmentData!L1129))+1,2)),VALUE(LEFT(TRIM([1]RawShipmentData!L1129),FIND("/",TRIM([1]RawShipmentData!L1129))-1))),DATEVALUE(TRIM([1]RawShipmentData!L1129))))</f>
        <v>45453</v>
      </c>
      <c r="N1119" s="2">
        <f t="shared" si="86"/>
        <v>7</v>
      </c>
      <c r="O1119" s="2">
        <f t="shared" si="87"/>
        <v>1</v>
      </c>
      <c r="P1119" s="2" t="str">
        <f t="shared" si="88"/>
        <v>Late</v>
      </c>
      <c r="Q1119" s="2" t="str">
        <f>PROPER(SUBSTITUTE(TRIM([1]RawShipmentData!M1129)," ","-"))</f>
        <v>Delayed</v>
      </c>
      <c r="R1119" s="4">
        <f t="shared" si="89"/>
        <v>18.606060606060606</v>
      </c>
      <c r="S1119" s="2">
        <f>[1]RawShipmentData!N1129</f>
        <v>2</v>
      </c>
      <c r="T1119" s="2" t="str">
        <f>IF(OR(UPPER(TRIM([1]RawShipmentData!O1129))="YES",UPPER(TRIM([1]RawShipmentData!O1129))="Y"),"Yes","No")</f>
        <v>No</v>
      </c>
    </row>
    <row r="1120" spans="1:20" x14ac:dyDescent="0.25">
      <c r="A1120" s="2" t="str">
        <f>[1]RawShipmentData!A1130</f>
        <v>SHP-100270</v>
      </c>
      <c r="B1120" s="3">
        <f>IF(ISNUMBER(SEARCH("/",TRIM([1]RawShipmentData!B1130))),DATE(VALUE(RIGHT(TRIM([1]RawShipmentData!B1130),4)),VALUE(MID(TRIM([1]RawShipmentData!B1130),FIND("/",TRIM([1]RawShipmentData!B1130))+1,2)),VALUE(LEFT(TRIM([1]RawShipmentData!B1130),FIND("/",TRIM([1]RawShipmentData!B1130))-1))),DATEVALUE(TRIM([1]RawShipmentData!B1130)))</f>
        <v>45296</v>
      </c>
      <c r="C1120" s="2" t="str">
        <f>PROPER(TRIM([1]RawShipmentData!C1130))</f>
        <v>Bengaluru</v>
      </c>
      <c r="D1120" s="2" t="str">
        <f>IFERROR(INDEX([1]HubMaster!$B$2:$B$7,MATCH(C1120,[1]HubMaster!$A$2:$A$7,0)),"Unknown")</f>
        <v>South</v>
      </c>
      <c r="E1120" s="2" t="str">
        <f>PROPER(TRIM(SUBSTITUTE([1]RawShipmentData!D1130,"  "," ")))</f>
        <v>Delhivery</v>
      </c>
      <c r="F1120" s="2" t="str">
        <f>PROPER(TRIM([1]RawShipmentData!E1130))</f>
        <v>Surface</v>
      </c>
      <c r="G1120" s="2" t="str">
        <f>PROPER(TRIM(SUBSTITUTE([1]RawShipmentData!F1130,"  "," ")))</f>
        <v>Pharma</v>
      </c>
      <c r="H1120" s="2" t="str">
        <f>PROPER(TRIM([1]RawShipmentData!G1130))</f>
        <v>East</v>
      </c>
      <c r="I1120" s="2" t="str">
        <f t="shared" si="85"/>
        <v>Yes</v>
      </c>
      <c r="J1120" s="2">
        <f>IFERROR(VALUE(TRIM(SUBSTITUTE(UPPER([1]RawShipmentData!I1120),"KG",""))),"")</f>
        <v>1.7</v>
      </c>
      <c r="K1120" s="2">
        <f>VALUE(SUBSTITUTE(SUBSTITUTE(SUBSTITUTE(TRIM([1]RawShipmentData!J1130),"₹",""),"Rs",""),",",""))</f>
        <v>205</v>
      </c>
      <c r="L1120" s="2">
        <f>[1]RawShipmentData!K1130</f>
        <v>6</v>
      </c>
      <c r="M1120" s="3">
        <f>IF(TRIM([1]RawShipmentData!L1130)="","",IF(ISNUMBER(SEARCH("/",TRIM([1]RawShipmentData!L1130))),DATE(VALUE(RIGHT(TRIM([1]RawShipmentData!L1130),4)),VALUE(MID(TRIM([1]RawShipmentData!L1130),FIND("/",TRIM([1]RawShipmentData!L1130))+1,2)),VALUE(LEFT(TRIM([1]RawShipmentData!L1130),FIND("/",TRIM([1]RawShipmentData!L1130))-1))),DATEVALUE(TRIM([1]RawShipmentData!L1130))))</f>
        <v>45301</v>
      </c>
      <c r="N1120" s="2">
        <f t="shared" si="86"/>
        <v>5</v>
      </c>
      <c r="O1120" s="2">
        <f t="shared" si="87"/>
        <v>-1</v>
      </c>
      <c r="P1120" s="2" t="str">
        <f t="shared" si="88"/>
        <v>On Time</v>
      </c>
      <c r="Q1120" s="2" t="str">
        <f>PROPER(SUBSTITUTE(TRIM([1]RawShipmentData!M1130)," ","-"))</f>
        <v>Delivered</v>
      </c>
      <c r="R1120" s="4">
        <f t="shared" si="89"/>
        <v>120.58823529411765</v>
      </c>
      <c r="S1120" s="2">
        <f>[1]RawShipmentData!N1130</f>
        <v>3</v>
      </c>
      <c r="T1120" s="2" t="str">
        <f>IF(OR(UPPER(TRIM([1]RawShipmentData!O1130))="YES",UPPER(TRIM([1]RawShipmentData!O1130))="Y"),"Yes","No")</f>
        <v>No</v>
      </c>
    </row>
    <row r="1121" spans="1:20" x14ac:dyDescent="0.25">
      <c r="A1121" s="2" t="str">
        <f>[1]RawShipmentData!A1131</f>
        <v>SHP-100463</v>
      </c>
      <c r="B1121" s="3">
        <f>IF(ISNUMBER(SEARCH("/",TRIM([1]RawShipmentData!B1131))),DATE(VALUE(RIGHT(TRIM([1]RawShipmentData!B1131),4)),VALUE(MID(TRIM([1]RawShipmentData!B1131),FIND("/",TRIM([1]RawShipmentData!B1131))+1,2)),VALUE(LEFT(TRIM([1]RawShipmentData!B1131),FIND("/",TRIM([1]RawShipmentData!B1131))-1))),DATEVALUE(TRIM([1]RawShipmentData!B1131)))</f>
        <v>45452</v>
      </c>
      <c r="C1121" s="2" t="str">
        <f>PROPER(TRIM([1]RawShipmentData!C1131))</f>
        <v>Chennai</v>
      </c>
      <c r="D1121" s="2" t="str">
        <f>IFERROR(INDEX([1]HubMaster!$B$2:$B$7,MATCH(C1121,[1]HubMaster!$A$2:$A$7,0)),"Unknown")</f>
        <v>South</v>
      </c>
      <c r="E1121" s="2" t="str">
        <f>PROPER(TRIM(SUBSTITUTE([1]RawShipmentData!D1131,"  "," ")))</f>
        <v>Bluedart</v>
      </c>
      <c r="F1121" s="2" t="str">
        <f>PROPER(TRIM([1]RawShipmentData!E1131))</f>
        <v>Air</v>
      </c>
      <c r="G1121" s="2" t="str">
        <f>PROPER(TRIM(SUBSTITUTE([1]RawShipmentData!F1131,"  "," ")))</f>
        <v>Grocery &amp; Fmcg</v>
      </c>
      <c r="H1121" s="2" t="str">
        <f>PROPER(TRIM([1]RawShipmentData!G1131))</f>
        <v>South</v>
      </c>
      <c r="I1121" s="2" t="str">
        <f t="shared" si="85"/>
        <v>No</v>
      </c>
      <c r="J1121" s="2">
        <f>IFERROR(VALUE(TRIM(SUBSTITUTE(UPPER([1]RawShipmentData!I1121),"KG",""))),"")</f>
        <v>1.5</v>
      </c>
      <c r="K1121" s="2">
        <f>VALUE(SUBSTITUTE(SUBSTITUTE(SUBSTITUTE(TRIM([1]RawShipmentData!J1131),"₹",""),"Rs",""),",",""))</f>
        <v>807</v>
      </c>
      <c r="L1121" s="2">
        <f>[1]RawShipmentData!K1131</f>
        <v>2</v>
      </c>
      <c r="M1121" s="3">
        <f>IF(TRIM([1]RawShipmentData!L1131)="","",IF(ISNUMBER(SEARCH("/",TRIM([1]RawShipmentData!L1131))),DATE(VALUE(RIGHT(TRIM([1]RawShipmentData!L1131),4)),VALUE(MID(TRIM([1]RawShipmentData!L1131),FIND("/",TRIM([1]RawShipmentData!L1131))+1,2)),VALUE(LEFT(TRIM([1]RawShipmentData!L1131),FIND("/",TRIM([1]RawShipmentData!L1131))-1))),DATEVALUE(TRIM([1]RawShipmentData!L1131))))</f>
        <v>45454</v>
      </c>
      <c r="N1121" s="2">
        <f t="shared" si="86"/>
        <v>2</v>
      </c>
      <c r="O1121" s="2">
        <f t="shared" si="87"/>
        <v>0</v>
      </c>
      <c r="P1121" s="2" t="str">
        <f t="shared" si="88"/>
        <v>On Time</v>
      </c>
      <c r="Q1121" s="2" t="str">
        <f>PROPER(SUBSTITUTE(TRIM([1]RawShipmentData!M1131)," ","-"))</f>
        <v>Delivered</v>
      </c>
      <c r="R1121" s="4">
        <f t="shared" si="89"/>
        <v>538</v>
      </c>
      <c r="S1121" s="2">
        <f>[1]RawShipmentData!N1131</f>
        <v>5</v>
      </c>
      <c r="T1121" s="2" t="str">
        <f>IF(OR(UPPER(TRIM([1]RawShipmentData!O1131))="YES",UPPER(TRIM([1]RawShipmentData!O1131))="Y"),"Yes","No")</f>
        <v>Yes</v>
      </c>
    </row>
    <row r="1122" spans="1:20" x14ac:dyDescent="0.25">
      <c r="A1122" s="2" t="str">
        <f>[1]RawShipmentData!A1132</f>
        <v>SHP-100325</v>
      </c>
      <c r="B1122" s="3">
        <f>IF(ISNUMBER(SEARCH("/",TRIM([1]RawShipmentData!B1132))),DATE(VALUE(RIGHT(TRIM([1]RawShipmentData!B1132),4)),VALUE(MID(TRIM([1]RawShipmentData!B1132),FIND("/",TRIM([1]RawShipmentData!B1132))+1,2)),VALUE(LEFT(TRIM([1]RawShipmentData!B1132),FIND("/",TRIM([1]RawShipmentData!B1132))-1))),DATEVALUE(TRIM([1]RawShipmentData!B1132)))</f>
        <v>45394</v>
      </c>
      <c r="C1122" s="2" t="str">
        <f>PROPER(TRIM([1]RawShipmentData!C1132))</f>
        <v>Kolkata</v>
      </c>
      <c r="D1122" s="2" t="str">
        <f>IFERROR(INDEX([1]HubMaster!$B$2:$B$7,MATCH(C1122,[1]HubMaster!$A$2:$A$7,0)),"Unknown")</f>
        <v>East</v>
      </c>
      <c r="E1122" s="2" t="str">
        <f>PROPER(TRIM(SUBSTITUTE([1]RawShipmentData!D1132,"  "," ")))</f>
        <v>Dtdc</v>
      </c>
      <c r="F1122" s="2" t="str">
        <f>PROPER(TRIM([1]RawShipmentData!E1132))</f>
        <v>Surface</v>
      </c>
      <c r="G1122" s="2" t="str">
        <f>PROPER(TRIM(SUBSTITUTE([1]RawShipmentData!F1132,"  "," ")))</f>
        <v>Automotive Parts</v>
      </c>
      <c r="H1122" s="2" t="str">
        <f>PROPER(TRIM([1]RawShipmentData!G1132))</f>
        <v>West</v>
      </c>
      <c r="I1122" s="2" t="str">
        <f t="shared" si="85"/>
        <v>Yes</v>
      </c>
      <c r="J1122" s="2">
        <f>IFERROR(VALUE(TRIM(SUBSTITUTE(UPPER([1]RawShipmentData!I1122),"KG",""))),"")</f>
        <v>66.2</v>
      </c>
      <c r="K1122" s="2">
        <f>VALUE(SUBSTITUTE(SUBSTITUTE(SUBSTITUTE(TRIM([1]RawShipmentData!J1132),"₹",""),"Rs",""),",",""))</f>
        <v>502</v>
      </c>
      <c r="L1122" s="2">
        <f>[1]RawShipmentData!K1132</f>
        <v>6</v>
      </c>
      <c r="M1122" s="3">
        <f>IF(TRIM([1]RawShipmentData!L1132)="","",IF(ISNUMBER(SEARCH("/",TRIM([1]RawShipmentData!L1132))),DATE(VALUE(RIGHT(TRIM([1]RawShipmentData!L1132),4)),VALUE(MID(TRIM([1]RawShipmentData!L1132),FIND("/",TRIM([1]RawShipmentData!L1132))+1,2)),VALUE(LEFT(TRIM([1]RawShipmentData!L1132),FIND("/",TRIM([1]RawShipmentData!L1132))-1))),DATEVALUE(TRIM([1]RawShipmentData!L1132))))</f>
        <v>45409</v>
      </c>
      <c r="N1122" s="2">
        <f t="shared" si="86"/>
        <v>15</v>
      </c>
      <c r="O1122" s="2">
        <f t="shared" si="87"/>
        <v>9</v>
      </c>
      <c r="P1122" s="2" t="str">
        <f t="shared" si="88"/>
        <v>Late</v>
      </c>
      <c r="Q1122" s="2" t="str">
        <f>PROPER(SUBSTITUTE(TRIM([1]RawShipmentData!M1132)," ","-"))</f>
        <v>Delayed</v>
      </c>
      <c r="R1122" s="4">
        <f t="shared" si="89"/>
        <v>7.5830815709969785</v>
      </c>
      <c r="S1122" s="2">
        <f>[1]RawShipmentData!N1132</f>
        <v>2</v>
      </c>
      <c r="T1122" s="2" t="str">
        <f>IF(OR(UPPER(TRIM([1]RawShipmentData!O1132))="YES",UPPER(TRIM([1]RawShipmentData!O1132))="Y"),"Yes","No")</f>
        <v>Yes</v>
      </c>
    </row>
    <row r="1123" spans="1:20" x14ac:dyDescent="0.25">
      <c r="A1123" s="2" t="str">
        <f>[1]RawShipmentData!A1133</f>
        <v>SHP-100789</v>
      </c>
      <c r="B1123" s="3">
        <f>IF(ISNUMBER(SEARCH("/",TRIM([1]RawShipmentData!B1133))),DATE(VALUE(RIGHT(TRIM([1]RawShipmentData!B1133),4)),VALUE(MID(TRIM([1]RawShipmentData!B1133),FIND("/",TRIM([1]RawShipmentData!B1133))+1,2)),VALUE(LEFT(TRIM([1]RawShipmentData!B1133),FIND("/",TRIM([1]RawShipmentData!B1133))-1))),DATEVALUE(TRIM([1]RawShipmentData!B1133)))</f>
        <v>45437</v>
      </c>
      <c r="C1123" s="2" t="str">
        <f>PROPER(TRIM([1]RawShipmentData!C1133))</f>
        <v>Chennai</v>
      </c>
      <c r="D1123" s="2" t="str">
        <f>IFERROR(INDEX([1]HubMaster!$B$2:$B$7,MATCH(C1123,[1]HubMaster!$A$2:$A$7,0)),"Unknown")</f>
        <v>South</v>
      </c>
      <c r="E1123" s="2" t="str">
        <f>PROPER(TRIM(SUBSTITUTE([1]RawShipmentData!D1133,"  "," ")))</f>
        <v>Delhivery</v>
      </c>
      <c r="F1123" s="2" t="str">
        <f>PROPER(TRIM([1]RawShipmentData!E1133))</f>
        <v>Road</v>
      </c>
      <c r="G1123" s="2" t="str">
        <f>PROPER(TRIM(SUBSTITUTE([1]RawShipmentData!F1133,"  "," ")))</f>
        <v>Automotive Parts</v>
      </c>
      <c r="H1123" s="2" t="str">
        <f>PROPER(TRIM([1]RawShipmentData!G1133))</f>
        <v>North</v>
      </c>
      <c r="I1123" s="2" t="str">
        <f t="shared" si="85"/>
        <v>Yes</v>
      </c>
      <c r="J1123" s="2">
        <f>IFERROR(VALUE(TRIM(SUBSTITUTE(UPPER([1]RawShipmentData!I1123),"KG",""))),"")</f>
        <v>8.4</v>
      </c>
      <c r="K1123" s="2">
        <f>VALUE(SUBSTITUTE(SUBSTITUTE(SUBSTITUTE(TRIM([1]RawShipmentData!J1133),"₹",""),"Rs",""),",",""))</f>
        <v>324</v>
      </c>
      <c r="L1123" s="2">
        <f>[1]RawShipmentData!K1133</f>
        <v>8</v>
      </c>
      <c r="M1123" s="3">
        <f>IF(TRIM([1]RawShipmentData!L1133)="","",IF(ISNUMBER(SEARCH("/",TRIM([1]RawShipmentData!L1133))),DATE(VALUE(RIGHT(TRIM([1]RawShipmentData!L1133),4)),VALUE(MID(TRIM([1]RawShipmentData!L1133),FIND("/",TRIM([1]RawShipmentData!L1133))+1,2)),VALUE(LEFT(TRIM([1]RawShipmentData!L1133),FIND("/",TRIM([1]RawShipmentData!L1133))-1))),DATEVALUE(TRIM([1]RawShipmentData!L1133))))</f>
        <v>45446</v>
      </c>
      <c r="N1123" s="2">
        <f t="shared" si="86"/>
        <v>9</v>
      </c>
      <c r="O1123" s="2">
        <f t="shared" si="87"/>
        <v>1</v>
      </c>
      <c r="P1123" s="2" t="str">
        <f t="shared" si="88"/>
        <v>Late</v>
      </c>
      <c r="Q1123" s="2" t="str">
        <f>PROPER(SUBSTITUTE(TRIM([1]RawShipmentData!M1133)," ","-"))</f>
        <v>Delayed</v>
      </c>
      <c r="R1123" s="4">
        <f t="shared" si="89"/>
        <v>38.571428571428569</v>
      </c>
      <c r="S1123" s="2">
        <f>[1]RawShipmentData!N1133</f>
        <v>2</v>
      </c>
      <c r="T1123" s="2" t="str">
        <f>IF(OR(UPPER(TRIM([1]RawShipmentData!O1133))="YES",UPPER(TRIM([1]RawShipmentData!O1133))="Y"),"Yes","No")</f>
        <v>Yes</v>
      </c>
    </row>
    <row r="1124" spans="1:20" x14ac:dyDescent="0.25">
      <c r="A1124" s="2" t="str">
        <f>[1]RawShipmentData!A1134</f>
        <v>SHP-100265</v>
      </c>
      <c r="B1124" s="3">
        <f>IF(ISNUMBER(SEARCH("/",TRIM([1]RawShipmentData!B1134))),DATE(VALUE(RIGHT(TRIM([1]RawShipmentData!B1134),4)),VALUE(MID(TRIM([1]RawShipmentData!B1134),FIND("/",TRIM([1]RawShipmentData!B1134))+1,2)),VALUE(LEFT(TRIM([1]RawShipmentData!B1134),FIND("/",TRIM([1]RawShipmentData!B1134))-1))),DATEVALUE(TRIM([1]RawShipmentData!B1134)))</f>
        <v>45303</v>
      </c>
      <c r="C1124" s="2" t="str">
        <f>PROPER(TRIM([1]RawShipmentData!C1134))</f>
        <v>Kolkata</v>
      </c>
      <c r="D1124" s="2" t="str">
        <f>IFERROR(INDEX([1]HubMaster!$B$2:$B$7,MATCH(C1124,[1]HubMaster!$A$2:$A$7,0)),"Unknown")</f>
        <v>East</v>
      </c>
      <c r="E1124" s="2" t="str">
        <f>PROPER(TRIM(SUBSTITUTE([1]RawShipmentData!D1134,"  "," ")))</f>
        <v>Dtdc</v>
      </c>
      <c r="F1124" s="2" t="str">
        <f>PROPER(TRIM([1]RawShipmentData!E1134))</f>
        <v>Surface</v>
      </c>
      <c r="G1124" s="2" t="str">
        <f>PROPER(TRIM(SUBSTITUTE([1]RawShipmentData!F1134,"  "," ")))</f>
        <v>Electronics</v>
      </c>
      <c r="H1124" s="2" t="str">
        <f>PROPER(TRIM([1]RawShipmentData!G1134))</f>
        <v>West</v>
      </c>
      <c r="I1124" s="2" t="str">
        <f t="shared" si="85"/>
        <v>Yes</v>
      </c>
      <c r="J1124" s="2">
        <f>IFERROR(VALUE(TRIM(SUBSTITUTE(UPPER([1]RawShipmentData!I1124),"KG",""))),"")</f>
        <v>15.6</v>
      </c>
      <c r="K1124" s="2">
        <f>VALUE(SUBSTITUTE(SUBSTITUTE(SUBSTITUTE(TRIM([1]RawShipmentData!J1134),"₹",""),"Rs",""),",",""))</f>
        <v>201</v>
      </c>
      <c r="L1124" s="2">
        <f>[1]RawShipmentData!K1134</f>
        <v>6</v>
      </c>
      <c r="M1124" s="3">
        <f>IF(TRIM([1]RawShipmentData!L1134)="","",IF(ISNUMBER(SEARCH("/",TRIM([1]RawShipmentData!L1134))),DATE(VALUE(RIGHT(TRIM([1]RawShipmentData!L1134),4)),VALUE(MID(TRIM([1]RawShipmentData!L1134),FIND("/",TRIM([1]RawShipmentData!L1134))+1,2)),VALUE(LEFT(TRIM([1]RawShipmentData!L1134),FIND("/",TRIM([1]RawShipmentData!L1134))-1))),DATEVALUE(TRIM([1]RawShipmentData!L1134))))</f>
        <v>45310</v>
      </c>
      <c r="N1124" s="2">
        <f t="shared" si="86"/>
        <v>7</v>
      </c>
      <c r="O1124" s="2">
        <f t="shared" si="87"/>
        <v>1</v>
      </c>
      <c r="P1124" s="2" t="str">
        <f t="shared" si="88"/>
        <v>Late</v>
      </c>
      <c r="Q1124" s="2" t="str">
        <f>PROPER(SUBSTITUTE(TRIM([1]RawShipmentData!M1134)," ","-"))</f>
        <v>Delayed</v>
      </c>
      <c r="R1124" s="4">
        <f t="shared" si="89"/>
        <v>12.884615384615385</v>
      </c>
      <c r="S1124" s="2">
        <f>[1]RawShipmentData!N1134</f>
        <v>3</v>
      </c>
      <c r="T1124" s="2" t="str">
        <f>IF(OR(UPPER(TRIM([1]RawShipmentData!O1134))="YES",UPPER(TRIM([1]RawShipmentData!O1134))="Y"),"Yes","No")</f>
        <v>No</v>
      </c>
    </row>
    <row r="1125" spans="1:20" x14ac:dyDescent="0.25">
      <c r="A1125" s="2" t="str">
        <f>[1]RawShipmentData!A1135</f>
        <v>SHP-100703</v>
      </c>
      <c r="B1125" s="3">
        <f>IF(ISNUMBER(SEARCH("/",TRIM([1]RawShipmentData!B1135))),DATE(VALUE(RIGHT(TRIM([1]RawShipmentData!B1135),4)),VALUE(MID(TRIM([1]RawShipmentData!B1135),FIND("/",TRIM([1]RawShipmentData!B1135))+1,2)),VALUE(LEFT(TRIM([1]RawShipmentData!B1135),FIND("/",TRIM([1]RawShipmentData!B1135))-1))),DATEVALUE(TRIM([1]RawShipmentData!B1135)))</f>
        <v>45392</v>
      </c>
      <c r="C1125" s="2" t="str">
        <f>PROPER(TRIM([1]RawShipmentData!C1135))</f>
        <v>Kolkata</v>
      </c>
      <c r="D1125" s="2" t="str">
        <f>IFERROR(INDEX([1]HubMaster!$B$2:$B$7,MATCH(C1125,[1]HubMaster!$A$2:$A$7,0)),"Unknown")</f>
        <v>East</v>
      </c>
      <c r="E1125" s="2" t="str">
        <f>PROPER(TRIM(SUBSTITUTE([1]RawShipmentData!D1135,"  "," ")))</f>
        <v>Xpressbees</v>
      </c>
      <c r="F1125" s="2" t="str">
        <f>PROPER(TRIM([1]RawShipmentData!E1135))</f>
        <v>Air</v>
      </c>
      <c r="G1125" s="2" t="str">
        <f>PROPER(TRIM(SUBSTITUTE([1]RawShipmentData!F1135,"  "," ")))</f>
        <v>Apparel</v>
      </c>
      <c r="H1125" s="2" t="str">
        <f>PROPER(TRIM([1]RawShipmentData!G1135))</f>
        <v>South</v>
      </c>
      <c r="I1125" s="2" t="str">
        <f t="shared" si="85"/>
        <v>Yes</v>
      </c>
      <c r="J1125" s="2">
        <f>IFERROR(VALUE(TRIM(SUBSTITUTE(UPPER([1]RawShipmentData!I1125),"KG",""))),"")</f>
        <v>58.6</v>
      </c>
      <c r="K1125" s="2">
        <f>VALUE(SUBSTITUTE(SUBSTITUTE(SUBSTITUTE(TRIM([1]RawShipmentData!J1135),"₹",""),"Rs",""),",",""))</f>
        <v>300</v>
      </c>
      <c r="L1125" s="2">
        <f>[1]RawShipmentData!K1135</f>
        <v>4</v>
      </c>
      <c r="M1125" s="3">
        <f>IF(TRIM([1]RawShipmentData!L1135)="","",IF(ISNUMBER(SEARCH("/",TRIM([1]RawShipmentData!L1135))),DATE(VALUE(RIGHT(TRIM([1]RawShipmentData!L1135),4)),VALUE(MID(TRIM([1]RawShipmentData!L1135),FIND("/",TRIM([1]RawShipmentData!L1135))+1,2)),VALUE(LEFT(TRIM([1]RawShipmentData!L1135),FIND("/",TRIM([1]RawShipmentData!L1135))-1))),DATEVALUE(TRIM([1]RawShipmentData!L1135))))</f>
        <v>45397</v>
      </c>
      <c r="N1125" s="2">
        <f t="shared" si="86"/>
        <v>5</v>
      </c>
      <c r="O1125" s="2">
        <f t="shared" si="87"/>
        <v>1</v>
      </c>
      <c r="P1125" s="2" t="str">
        <f t="shared" si="88"/>
        <v>Late</v>
      </c>
      <c r="Q1125" s="2" t="str">
        <f>PROPER(SUBSTITUTE(TRIM([1]RawShipmentData!M1135)," ","-"))</f>
        <v>Delayed</v>
      </c>
      <c r="R1125" s="4">
        <f t="shared" si="89"/>
        <v>5.1194539249146755</v>
      </c>
      <c r="S1125" s="2">
        <f>[1]RawShipmentData!N1135</f>
        <v>3</v>
      </c>
      <c r="T1125" s="2" t="str">
        <f>IF(OR(UPPER(TRIM([1]RawShipmentData!O1135))="YES",UPPER(TRIM([1]RawShipmentData!O1135))="Y"),"Yes","No")</f>
        <v>No</v>
      </c>
    </row>
    <row r="1126" spans="1:20" x14ac:dyDescent="0.25">
      <c r="A1126" s="2" t="str">
        <f>[1]RawShipmentData!A1136</f>
        <v>SHP-101407</v>
      </c>
      <c r="B1126" s="3">
        <f>IF(ISNUMBER(SEARCH("/",TRIM([1]RawShipmentData!B1136))),DATE(VALUE(RIGHT(TRIM([1]RawShipmentData!B1136),4)),VALUE(MID(TRIM([1]RawShipmentData!B1136),FIND("/",TRIM([1]RawShipmentData!B1136))+1,2)),VALUE(LEFT(TRIM([1]RawShipmentData!B1136),FIND("/",TRIM([1]RawShipmentData!B1136))-1))),DATEVALUE(TRIM([1]RawShipmentData!B1136)))</f>
        <v>45452</v>
      </c>
      <c r="C1126" s="2" t="str">
        <f>PROPER(TRIM([1]RawShipmentData!C1136))</f>
        <v>Delhi</v>
      </c>
      <c r="D1126" s="2" t="str">
        <f>IFERROR(INDEX([1]HubMaster!$B$2:$B$7,MATCH(C1126,[1]HubMaster!$A$2:$A$7,0)),"Unknown")</f>
        <v>North</v>
      </c>
      <c r="E1126" s="2" t="str">
        <f>PROPER(TRIM(SUBSTITUTE([1]RawShipmentData!D1136,"  "," ")))</f>
        <v>Ecom Express</v>
      </c>
      <c r="F1126" s="2" t="str">
        <f>PROPER(TRIM([1]RawShipmentData!E1136))</f>
        <v>Surface</v>
      </c>
      <c r="G1126" s="2" t="str">
        <f>PROPER(TRIM(SUBSTITUTE([1]RawShipmentData!F1136,"  "," ")))</f>
        <v>Automotive Parts</v>
      </c>
      <c r="H1126" s="2" t="str">
        <f>PROPER(TRIM([1]RawShipmentData!G1136))</f>
        <v>South</v>
      </c>
      <c r="I1126" s="2" t="str">
        <f t="shared" si="85"/>
        <v>Yes</v>
      </c>
      <c r="J1126" s="2">
        <f>IFERROR(VALUE(TRIM(SUBSTITUTE(UPPER([1]RawShipmentData!I1126),"KG",""))),"")</f>
        <v>1.1000000000000001</v>
      </c>
      <c r="K1126" s="2">
        <f>VALUE(SUBSTITUTE(SUBSTITUTE(SUBSTITUTE(TRIM([1]RawShipmentData!J1136),"₹",""),"Rs",""),",",""))</f>
        <v>483</v>
      </c>
      <c r="L1126" s="2">
        <f>[1]RawShipmentData!K1136</f>
        <v>6</v>
      </c>
      <c r="M1126" s="3">
        <f>IF(TRIM([1]RawShipmentData!L1136)="","",IF(ISNUMBER(SEARCH("/",TRIM([1]RawShipmentData!L1136))),DATE(VALUE(RIGHT(TRIM([1]RawShipmentData!L1136),4)),VALUE(MID(TRIM([1]RawShipmentData!L1136),FIND("/",TRIM([1]RawShipmentData!L1136))+1,2)),VALUE(LEFT(TRIM([1]RawShipmentData!L1136),FIND("/",TRIM([1]RawShipmentData!L1136))-1))),DATEVALUE(TRIM([1]RawShipmentData!L1136))))</f>
        <v>45463</v>
      </c>
      <c r="N1126" s="2">
        <f t="shared" si="86"/>
        <v>11</v>
      </c>
      <c r="O1126" s="2">
        <f t="shared" si="87"/>
        <v>5</v>
      </c>
      <c r="P1126" s="2" t="str">
        <f t="shared" si="88"/>
        <v>Late</v>
      </c>
      <c r="Q1126" s="2" t="str">
        <f>PROPER(SUBSTITUTE(TRIM([1]RawShipmentData!M1136)," ","-"))</f>
        <v>Delayed</v>
      </c>
      <c r="R1126" s="4">
        <f t="shared" si="89"/>
        <v>439.09090909090907</v>
      </c>
      <c r="S1126" s="2">
        <f>[1]RawShipmentData!N1136</f>
        <v>2</v>
      </c>
      <c r="T1126" s="2" t="str">
        <f>IF(OR(UPPER(TRIM([1]RawShipmentData!O1136))="YES",UPPER(TRIM([1]RawShipmentData!O1136))="Y"),"Yes","No")</f>
        <v>No</v>
      </c>
    </row>
    <row r="1127" spans="1:20" x14ac:dyDescent="0.25">
      <c r="A1127" s="2" t="str">
        <f>[1]RawShipmentData!A1137</f>
        <v>SHP-101374</v>
      </c>
      <c r="B1127" s="3">
        <f>IF(ISNUMBER(SEARCH("/",TRIM([1]RawShipmentData!B1137))),DATE(VALUE(RIGHT(TRIM([1]RawShipmentData!B1137),4)),VALUE(MID(TRIM([1]RawShipmentData!B1137),FIND("/",TRIM([1]RawShipmentData!B1137))+1,2)),VALUE(LEFT(TRIM([1]RawShipmentData!B1137),FIND("/",TRIM([1]RawShipmentData!B1137))-1))),DATEVALUE(TRIM([1]RawShipmentData!B1137)))</f>
        <v>45362</v>
      </c>
      <c r="C1127" s="2" t="str">
        <f>PROPER(TRIM([1]RawShipmentData!C1137))</f>
        <v>Kolkata</v>
      </c>
      <c r="D1127" s="2" t="str">
        <f>IFERROR(INDEX([1]HubMaster!$B$2:$B$7,MATCH(C1127,[1]HubMaster!$A$2:$A$7,0)),"Unknown")</f>
        <v>East</v>
      </c>
      <c r="E1127" s="2" t="str">
        <f>PROPER(TRIM(SUBSTITUTE([1]RawShipmentData!D1137,"  "," ")))</f>
        <v>Ecom Express</v>
      </c>
      <c r="F1127" s="2" t="str">
        <f>PROPER(TRIM([1]RawShipmentData!E1137))</f>
        <v>Road</v>
      </c>
      <c r="G1127" s="2" t="str">
        <f>PROPER(TRIM(SUBSTITUTE([1]RawShipmentData!F1137,"  "," ")))</f>
        <v>Furniture</v>
      </c>
      <c r="H1127" s="2" t="str">
        <f>PROPER(TRIM([1]RawShipmentData!G1137))</f>
        <v>North</v>
      </c>
      <c r="I1127" s="2" t="str">
        <f t="shared" si="85"/>
        <v>Yes</v>
      </c>
      <c r="J1127" s="2">
        <f>IFERROR(VALUE(TRIM(SUBSTITUTE(UPPER([1]RawShipmentData!I1127),"KG",""))),"")</f>
        <v>56.8</v>
      </c>
      <c r="K1127" s="2">
        <f>VALUE(SUBSTITUTE(SUBSTITUTE(SUBSTITUTE(TRIM([1]RawShipmentData!J1137),"₹",""),"Rs",""),",",""))</f>
        <v>766</v>
      </c>
      <c r="L1127" s="2">
        <f>[1]RawShipmentData!K1137</f>
        <v>8</v>
      </c>
      <c r="M1127" s="3">
        <f>IF(TRIM([1]RawShipmentData!L1137)="","",IF(ISNUMBER(SEARCH("/",TRIM([1]RawShipmentData!L1137))),DATE(VALUE(RIGHT(TRIM([1]RawShipmentData!L1137),4)),VALUE(MID(TRIM([1]RawShipmentData!L1137),FIND("/",TRIM([1]RawShipmentData!L1137))+1,2)),VALUE(LEFT(TRIM([1]RawShipmentData!L1137),FIND("/",TRIM([1]RawShipmentData!L1137))-1))),DATEVALUE(TRIM([1]RawShipmentData!L1137))))</f>
        <v>45369</v>
      </c>
      <c r="N1127" s="2">
        <f t="shared" si="86"/>
        <v>7</v>
      </c>
      <c r="O1127" s="2">
        <f t="shared" si="87"/>
        <v>-1</v>
      </c>
      <c r="P1127" s="2" t="str">
        <f t="shared" si="88"/>
        <v>On Time</v>
      </c>
      <c r="Q1127" s="2" t="str">
        <f>PROPER(SUBSTITUTE(TRIM([1]RawShipmentData!M1137)," ","-"))</f>
        <v>Delivered</v>
      </c>
      <c r="R1127" s="4">
        <f t="shared" si="89"/>
        <v>13.485915492957748</v>
      </c>
      <c r="S1127" s="2">
        <f>[1]RawShipmentData!N1137</f>
        <v>5</v>
      </c>
      <c r="T1127" s="2" t="str">
        <f>IF(OR(UPPER(TRIM([1]RawShipmentData!O1137))="YES",UPPER(TRIM([1]RawShipmentData!O1137))="Y"),"Yes","No")</f>
        <v>Yes</v>
      </c>
    </row>
    <row r="1128" spans="1:20" x14ac:dyDescent="0.25">
      <c r="A1128" s="2" t="str">
        <f>[1]RawShipmentData!A1138</f>
        <v>SHP-101193</v>
      </c>
      <c r="B1128" s="3">
        <f>IF(ISNUMBER(SEARCH("/",TRIM([1]RawShipmentData!B1138))),DATE(VALUE(RIGHT(TRIM([1]RawShipmentData!B1138),4)),VALUE(MID(TRIM([1]RawShipmentData!B1138),FIND("/",TRIM([1]RawShipmentData!B1138))+1,2)),VALUE(LEFT(TRIM([1]RawShipmentData!B1138),FIND("/",TRIM([1]RawShipmentData!B1138))-1))),DATEVALUE(TRIM([1]RawShipmentData!B1138)))</f>
        <v>45371</v>
      </c>
      <c r="C1128" s="2" t="str">
        <f>PROPER(TRIM([1]RawShipmentData!C1138))</f>
        <v>Mumbai</v>
      </c>
      <c r="D1128" s="2" t="str">
        <f>IFERROR(INDEX([1]HubMaster!$B$2:$B$7,MATCH(C1128,[1]HubMaster!$A$2:$A$7,0)),"Unknown")</f>
        <v>West</v>
      </c>
      <c r="E1128" s="2" t="str">
        <f>PROPER(TRIM(SUBSTITUTE([1]RawShipmentData!D1138,"  "," ")))</f>
        <v>Ecom Express</v>
      </c>
      <c r="F1128" s="2" t="str">
        <f>PROPER(TRIM([1]RawShipmentData!E1138))</f>
        <v>Road</v>
      </c>
      <c r="G1128" s="2" t="str">
        <f>PROPER(TRIM(SUBSTITUTE([1]RawShipmentData!F1138,"  "," ")))</f>
        <v>Apparel</v>
      </c>
      <c r="H1128" s="2" t="str">
        <f>PROPER(TRIM([1]RawShipmentData!G1138))</f>
        <v>North</v>
      </c>
      <c r="I1128" s="2" t="str">
        <f t="shared" si="85"/>
        <v>Yes</v>
      </c>
      <c r="J1128" s="2">
        <f>IFERROR(VALUE(TRIM(SUBSTITUTE(UPPER([1]RawShipmentData!I1128),"KG",""))),"")</f>
        <v>3.4</v>
      </c>
      <c r="K1128" s="2">
        <f>VALUE(SUBSTITUTE(SUBSTITUTE(SUBSTITUTE(TRIM([1]RawShipmentData!J1138),"₹",""),"Rs",""),",",""))</f>
        <v>269</v>
      </c>
      <c r="L1128" s="2">
        <f>[1]RawShipmentData!K1138</f>
        <v>8</v>
      </c>
      <c r="M1128" s="3">
        <f>IF(TRIM([1]RawShipmentData!L1138)="","",IF(ISNUMBER(SEARCH("/",TRIM([1]RawShipmentData!L1138))),DATE(VALUE(RIGHT(TRIM([1]RawShipmentData!L1138),4)),VALUE(MID(TRIM([1]RawShipmentData!L1138),FIND("/",TRIM([1]RawShipmentData!L1138))+1,2)),VALUE(LEFT(TRIM([1]RawShipmentData!L1138),FIND("/",TRIM([1]RawShipmentData!L1138))-1))),DATEVALUE(TRIM([1]RawShipmentData!L1138))))</f>
        <v>45378</v>
      </c>
      <c r="N1128" s="2">
        <f t="shared" si="86"/>
        <v>7</v>
      </c>
      <c r="O1128" s="2">
        <f t="shared" si="87"/>
        <v>-1</v>
      </c>
      <c r="P1128" s="2" t="str">
        <f t="shared" si="88"/>
        <v>On Time</v>
      </c>
      <c r="Q1128" s="2" t="str">
        <f>PROPER(SUBSTITUTE(TRIM([1]RawShipmentData!M1138)," ","-"))</f>
        <v>Delivered</v>
      </c>
      <c r="R1128" s="4">
        <f t="shared" si="89"/>
        <v>79.117647058823536</v>
      </c>
      <c r="S1128" s="2">
        <f>[1]RawShipmentData!N1138</f>
        <v>4</v>
      </c>
      <c r="T1128" s="2" t="str">
        <f>IF(OR(UPPER(TRIM([1]RawShipmentData!O1138))="YES",UPPER(TRIM([1]RawShipmentData!O1138))="Y"),"Yes","No")</f>
        <v>No</v>
      </c>
    </row>
    <row r="1129" spans="1:20" x14ac:dyDescent="0.25">
      <c r="A1129" s="2" t="str">
        <f>[1]RawShipmentData!A1139</f>
        <v>SHP-100478</v>
      </c>
      <c r="B1129" s="3">
        <f>IF(ISNUMBER(SEARCH("/",TRIM([1]RawShipmentData!B1139))),DATE(VALUE(RIGHT(TRIM([1]RawShipmentData!B1139),4)),VALUE(MID(TRIM([1]RawShipmentData!B1139),FIND("/",TRIM([1]RawShipmentData!B1139))+1,2)),VALUE(LEFT(TRIM([1]RawShipmentData!B1139),FIND("/",TRIM([1]RawShipmentData!B1139))-1))),DATEVALUE(TRIM([1]RawShipmentData!B1139)))</f>
        <v>45464</v>
      </c>
      <c r="C1129" s="2" t="str">
        <f>PROPER(TRIM([1]RawShipmentData!C1139))</f>
        <v>Delhi</v>
      </c>
      <c r="D1129" s="2" t="str">
        <f>IFERROR(INDEX([1]HubMaster!$B$2:$B$7,MATCH(C1129,[1]HubMaster!$A$2:$A$7,0)),"Unknown")</f>
        <v>North</v>
      </c>
      <c r="E1129" s="2" t="str">
        <f>PROPER(TRIM(SUBSTITUTE([1]RawShipmentData!D1139,"  "," ")))</f>
        <v>Xpressbees</v>
      </c>
      <c r="F1129" s="2" t="str">
        <f>PROPER(TRIM([1]RawShipmentData!E1139))</f>
        <v>Surface</v>
      </c>
      <c r="G1129" s="2" t="str">
        <f>PROPER(TRIM(SUBSTITUTE([1]RawShipmentData!F1139,"  "," ")))</f>
        <v>Grocery &amp; Fmcg</v>
      </c>
      <c r="H1129" s="2" t="str">
        <f>PROPER(TRIM([1]RawShipmentData!G1139))</f>
        <v>West</v>
      </c>
      <c r="I1129" s="2" t="str">
        <f t="shared" si="85"/>
        <v>Yes</v>
      </c>
      <c r="J1129" s="2">
        <f>IFERROR(VALUE(TRIM(SUBSTITUTE(UPPER([1]RawShipmentData!I1129),"KG",""))),"")</f>
        <v>20.7</v>
      </c>
      <c r="K1129" s="2">
        <f>VALUE(SUBSTITUTE(SUBSTITUTE(SUBSTITUTE(TRIM([1]RawShipmentData!J1139),"₹",""),"Rs",""),",",""))</f>
        <v>461</v>
      </c>
      <c r="L1129" s="2">
        <f>[1]RawShipmentData!K1139</f>
        <v>6</v>
      </c>
      <c r="M1129" s="3">
        <f>IF(TRIM([1]RawShipmentData!L1139)="","",IF(ISNUMBER(SEARCH("/",TRIM([1]RawShipmentData!L1139))),DATE(VALUE(RIGHT(TRIM([1]RawShipmentData!L1139),4)),VALUE(MID(TRIM([1]RawShipmentData!L1139),FIND("/",TRIM([1]RawShipmentData!L1139))+1,2)),VALUE(LEFT(TRIM([1]RawShipmentData!L1139),FIND("/",TRIM([1]RawShipmentData!L1139))-1))),DATEVALUE(TRIM([1]RawShipmentData!L1139))))</f>
        <v>45476</v>
      </c>
      <c r="N1129" s="2">
        <f t="shared" si="86"/>
        <v>12</v>
      </c>
      <c r="O1129" s="2">
        <f t="shared" si="87"/>
        <v>6</v>
      </c>
      <c r="P1129" s="2" t="str">
        <f t="shared" si="88"/>
        <v>Late</v>
      </c>
      <c r="Q1129" s="2" t="str">
        <f>PROPER(SUBSTITUTE(TRIM([1]RawShipmentData!M1139)," ","-"))</f>
        <v>Delayed</v>
      </c>
      <c r="R1129" s="4">
        <f t="shared" si="89"/>
        <v>22.270531400966185</v>
      </c>
      <c r="S1129" s="2">
        <f>[1]RawShipmentData!N1139</f>
        <v>3</v>
      </c>
      <c r="T1129" s="2" t="str">
        <f>IF(OR(UPPER(TRIM([1]RawShipmentData!O1139))="YES",UPPER(TRIM([1]RawShipmentData!O1139))="Y"),"Yes","No")</f>
        <v>Yes</v>
      </c>
    </row>
    <row r="1130" spans="1:20" x14ac:dyDescent="0.25">
      <c r="A1130" s="2" t="str">
        <f>[1]RawShipmentData!A1140</f>
        <v>SHP-101434</v>
      </c>
      <c r="B1130" s="3">
        <f>IF(ISNUMBER(SEARCH("/",TRIM([1]RawShipmentData!B1140))),DATE(VALUE(RIGHT(TRIM([1]RawShipmentData!B1140),4)),VALUE(MID(TRIM([1]RawShipmentData!B1140),FIND("/",TRIM([1]RawShipmentData!B1140))+1,2)),VALUE(LEFT(TRIM([1]RawShipmentData!B1140),FIND("/",TRIM([1]RawShipmentData!B1140))-1))),DATEVALUE(TRIM([1]RawShipmentData!B1140)))</f>
        <v>45440</v>
      </c>
      <c r="C1130" s="2" t="str">
        <f>PROPER(TRIM([1]RawShipmentData!C1140))</f>
        <v>Mumbai</v>
      </c>
      <c r="D1130" s="2" t="str">
        <f>IFERROR(INDEX([1]HubMaster!$B$2:$B$7,MATCH(C1130,[1]HubMaster!$A$2:$A$7,0)),"Unknown")</f>
        <v>West</v>
      </c>
      <c r="E1130" s="2" t="str">
        <f>PROPER(TRIM(SUBSTITUTE([1]RawShipmentData!D1140,"  "," ")))</f>
        <v>Delhivery</v>
      </c>
      <c r="F1130" s="2" t="str">
        <f>PROPER(TRIM([1]RawShipmentData!E1140))</f>
        <v>Air</v>
      </c>
      <c r="G1130" s="2" t="str">
        <f>PROPER(TRIM(SUBSTITUTE([1]RawShipmentData!F1140,"  "," ")))</f>
        <v>Furniture</v>
      </c>
      <c r="H1130" s="2" t="str">
        <f>PROPER(TRIM([1]RawShipmentData!G1140))</f>
        <v>West</v>
      </c>
      <c r="I1130" s="2" t="str">
        <f t="shared" si="85"/>
        <v>No</v>
      </c>
      <c r="J1130" s="2">
        <f>IFERROR(VALUE(TRIM(SUBSTITUTE(UPPER([1]RawShipmentData!I1130),"KG",""))),"")</f>
        <v>1.5</v>
      </c>
      <c r="K1130" s="2">
        <f>VALUE(SUBSTITUTE(SUBSTITUTE(SUBSTITUTE(TRIM([1]RawShipmentData!J1140),"₹",""),"Rs",""),",",""))</f>
        <v>1643</v>
      </c>
      <c r="L1130" s="2">
        <f>[1]RawShipmentData!K1140</f>
        <v>2</v>
      </c>
      <c r="M1130" s="3">
        <f>IF(TRIM([1]RawShipmentData!L1140)="","",IF(ISNUMBER(SEARCH("/",TRIM([1]RawShipmentData!L1140))),DATE(VALUE(RIGHT(TRIM([1]RawShipmentData!L1140),4)),VALUE(MID(TRIM([1]RawShipmentData!L1140),FIND("/",TRIM([1]RawShipmentData!L1140))+1,2)),VALUE(LEFT(TRIM([1]RawShipmentData!L1140),FIND("/",TRIM([1]RawShipmentData!L1140))-1))),DATEVALUE(TRIM([1]RawShipmentData!L1140))))</f>
        <v>45445</v>
      </c>
      <c r="N1130" s="2">
        <f t="shared" si="86"/>
        <v>5</v>
      </c>
      <c r="O1130" s="2">
        <f t="shared" si="87"/>
        <v>3</v>
      </c>
      <c r="P1130" s="2" t="str">
        <f t="shared" si="88"/>
        <v>Late</v>
      </c>
      <c r="Q1130" s="2" t="str">
        <f>PROPER(SUBSTITUTE(TRIM([1]RawShipmentData!M1140)," ","-"))</f>
        <v>Delayed</v>
      </c>
      <c r="R1130" s="4">
        <f t="shared" si="89"/>
        <v>1095.3333333333333</v>
      </c>
      <c r="S1130" s="2">
        <f>[1]RawShipmentData!N1140</f>
        <v>1</v>
      </c>
      <c r="T1130" s="2" t="str">
        <f>IF(OR(UPPER(TRIM([1]RawShipmentData!O1140))="YES",UPPER(TRIM([1]RawShipmentData!O1140))="Y"),"Yes","No")</f>
        <v>No</v>
      </c>
    </row>
    <row r="1131" spans="1:20" x14ac:dyDescent="0.25">
      <c r="A1131" s="2" t="str">
        <f>[1]RawShipmentData!A1141</f>
        <v>SHP-101351</v>
      </c>
      <c r="B1131" s="3">
        <f>IF(ISNUMBER(SEARCH("/",TRIM([1]RawShipmentData!B1141))),DATE(VALUE(RIGHT(TRIM([1]RawShipmentData!B1141),4)),VALUE(MID(TRIM([1]RawShipmentData!B1141),FIND("/",TRIM([1]RawShipmentData!B1141))+1,2)),VALUE(LEFT(TRIM([1]RawShipmentData!B1141),FIND("/",TRIM([1]RawShipmentData!B1141))-1))),DATEVALUE(TRIM([1]RawShipmentData!B1141)))</f>
        <v>45394</v>
      </c>
      <c r="C1131" s="2" t="str">
        <f>PROPER(TRIM([1]RawShipmentData!C1141))</f>
        <v>Chennai</v>
      </c>
      <c r="D1131" s="2" t="str">
        <f>IFERROR(INDEX([1]HubMaster!$B$2:$B$7,MATCH(C1131,[1]HubMaster!$A$2:$A$7,0)),"Unknown")</f>
        <v>South</v>
      </c>
      <c r="E1131" s="2" t="str">
        <f>PROPER(TRIM(SUBSTITUTE([1]RawShipmentData!D1141,"  "," ")))</f>
        <v>Xpressbees</v>
      </c>
      <c r="F1131" s="2" t="str">
        <f>PROPER(TRIM([1]RawShipmentData!E1141))</f>
        <v>Road</v>
      </c>
      <c r="G1131" s="2" t="str">
        <f>PROPER(TRIM(SUBSTITUTE([1]RawShipmentData!F1141,"  "," ")))</f>
        <v>Automotive Parts</v>
      </c>
      <c r="H1131" s="2" t="str">
        <f>PROPER(TRIM([1]RawShipmentData!G1141))</f>
        <v>East</v>
      </c>
      <c r="I1131" s="2" t="str">
        <f t="shared" si="85"/>
        <v>Yes</v>
      </c>
      <c r="J1131" s="2">
        <f>IFERROR(VALUE(TRIM(SUBSTITUTE(UPPER([1]RawShipmentData!I1131),"KG",""))),"")</f>
        <v>18.5</v>
      </c>
      <c r="K1131" s="2">
        <f>VALUE(SUBSTITUTE(SUBSTITUTE(SUBSTITUTE(TRIM([1]RawShipmentData!J1141),"₹",""),"Rs",""),",",""))</f>
        <v>387</v>
      </c>
      <c r="L1131" s="2">
        <f>[1]RawShipmentData!K1141</f>
        <v>8</v>
      </c>
      <c r="M1131" s="3">
        <f>IF(TRIM([1]RawShipmentData!L1141)="","",IF(ISNUMBER(SEARCH("/",TRIM([1]RawShipmentData!L1141))),DATE(VALUE(RIGHT(TRIM([1]RawShipmentData!L1141),4)),VALUE(MID(TRIM([1]RawShipmentData!L1141),FIND("/",TRIM([1]RawShipmentData!L1141))+1,2)),VALUE(LEFT(TRIM([1]RawShipmentData!L1141),FIND("/",TRIM([1]RawShipmentData!L1141))-1))),DATEVALUE(TRIM([1]RawShipmentData!L1141))))</f>
        <v>45401</v>
      </c>
      <c r="N1131" s="2">
        <f t="shared" si="86"/>
        <v>7</v>
      </c>
      <c r="O1131" s="2">
        <f t="shared" si="87"/>
        <v>-1</v>
      </c>
      <c r="P1131" s="2" t="str">
        <f t="shared" si="88"/>
        <v>On Time</v>
      </c>
      <c r="Q1131" s="2" t="str">
        <f>PROPER(SUBSTITUTE(TRIM([1]RawShipmentData!M1141)," ","-"))</f>
        <v>Delivered</v>
      </c>
      <c r="R1131" s="4">
        <f t="shared" si="89"/>
        <v>20.918918918918919</v>
      </c>
      <c r="S1131" s="2">
        <f>[1]RawShipmentData!N1141</f>
        <v>5</v>
      </c>
      <c r="T1131" s="2" t="str">
        <f>IF(OR(UPPER(TRIM([1]RawShipmentData!O1141))="YES",UPPER(TRIM([1]RawShipmentData!O1141))="Y"),"Yes","No")</f>
        <v>No</v>
      </c>
    </row>
    <row r="1132" spans="1:20" x14ac:dyDescent="0.25">
      <c r="A1132" s="2" t="str">
        <f>[1]RawShipmentData!A1142</f>
        <v>SHP-100661</v>
      </c>
      <c r="B1132" s="3">
        <f>IF(ISNUMBER(SEARCH("/",TRIM([1]RawShipmentData!B1142))),DATE(VALUE(RIGHT(TRIM([1]RawShipmentData!B1142),4)),VALUE(MID(TRIM([1]RawShipmentData!B1142),FIND("/",TRIM([1]RawShipmentData!B1142))+1,2)),VALUE(LEFT(TRIM([1]RawShipmentData!B1142),FIND("/",TRIM([1]RawShipmentData!B1142))-1))),DATEVALUE(TRIM([1]RawShipmentData!B1142)))</f>
        <v>45379</v>
      </c>
      <c r="C1132" s="2" t="str">
        <f>PROPER(TRIM([1]RawShipmentData!C1142))</f>
        <v>Mumbai</v>
      </c>
      <c r="D1132" s="2" t="str">
        <f>IFERROR(INDEX([1]HubMaster!$B$2:$B$7,MATCH(C1132,[1]HubMaster!$A$2:$A$7,0)),"Unknown")</f>
        <v>West</v>
      </c>
      <c r="E1132" s="2" t="str">
        <f>PROPER(TRIM(SUBSTITUTE([1]RawShipmentData!D1142,"  "," ")))</f>
        <v>Xpressbees</v>
      </c>
      <c r="F1132" s="2" t="str">
        <f>PROPER(TRIM([1]RawShipmentData!E1142))</f>
        <v>Road</v>
      </c>
      <c r="G1132" s="2" t="str">
        <f>PROPER(TRIM(SUBSTITUTE([1]RawShipmentData!F1142,"  "," ")))</f>
        <v>Automotive Parts</v>
      </c>
      <c r="H1132" s="2" t="str">
        <f>PROPER(TRIM([1]RawShipmentData!G1142))</f>
        <v>North</v>
      </c>
      <c r="I1132" s="2" t="str">
        <f t="shared" si="85"/>
        <v>Yes</v>
      </c>
      <c r="J1132" s="2">
        <f>IFERROR(VALUE(TRIM(SUBSTITUTE(UPPER([1]RawShipmentData!I1132),"KG",""))),"")</f>
        <v>13.9</v>
      </c>
      <c r="K1132" s="2">
        <f>VALUE(SUBSTITUTE(SUBSTITUTE(SUBSTITUTE(TRIM([1]RawShipmentData!J1142),"₹",""),"Rs",""),",",""))</f>
        <v>549</v>
      </c>
      <c r="L1132" s="2">
        <f>[1]RawShipmentData!K1142</f>
        <v>8</v>
      </c>
      <c r="M1132" s="3">
        <f>IF(TRIM([1]RawShipmentData!L1142)="","",IF(ISNUMBER(SEARCH("/",TRIM([1]RawShipmentData!L1142))),DATE(VALUE(RIGHT(TRIM([1]RawShipmentData!L1142),4)),VALUE(MID(TRIM([1]RawShipmentData!L1142),FIND("/",TRIM([1]RawShipmentData!L1142))+1,2)),VALUE(LEFT(TRIM([1]RawShipmentData!L1142),FIND("/",TRIM([1]RawShipmentData!L1142))-1))),DATEVALUE(TRIM([1]RawShipmentData!L1142))))</f>
        <v>45388</v>
      </c>
      <c r="N1132" s="2">
        <f t="shared" si="86"/>
        <v>9</v>
      </c>
      <c r="O1132" s="2">
        <f t="shared" si="87"/>
        <v>1</v>
      </c>
      <c r="P1132" s="2" t="str">
        <f t="shared" si="88"/>
        <v>Late</v>
      </c>
      <c r="Q1132" s="2" t="str">
        <f>PROPER(SUBSTITUTE(TRIM([1]RawShipmentData!M1142)," ","-"))</f>
        <v>Delayed</v>
      </c>
      <c r="R1132" s="4">
        <f t="shared" si="89"/>
        <v>39.49640287769784</v>
      </c>
      <c r="S1132" s="2">
        <f>[1]RawShipmentData!N1142</f>
        <v>1</v>
      </c>
      <c r="T1132" s="2" t="str">
        <f>IF(OR(UPPER(TRIM([1]RawShipmentData!O1142))="YES",UPPER(TRIM([1]RawShipmentData!O1142))="Y"),"Yes","No")</f>
        <v>No</v>
      </c>
    </row>
    <row r="1133" spans="1:20" x14ac:dyDescent="0.25">
      <c r="A1133" s="2" t="str">
        <f>[1]RawShipmentData!A1143</f>
        <v>SHP-101294</v>
      </c>
      <c r="B1133" s="3">
        <f>IF(ISNUMBER(SEARCH("/",TRIM([1]RawShipmentData!B1143))),DATE(VALUE(RIGHT(TRIM([1]RawShipmentData!B1143),4)),VALUE(MID(TRIM([1]RawShipmentData!B1143),FIND("/",TRIM([1]RawShipmentData!B1143))+1,2)),VALUE(LEFT(TRIM([1]RawShipmentData!B1143),FIND("/",TRIM([1]RawShipmentData!B1143))-1))),DATEVALUE(TRIM([1]RawShipmentData!B1143)))</f>
        <v>45413</v>
      </c>
      <c r="C1133" s="2" t="str">
        <f>PROPER(TRIM([1]RawShipmentData!C1143))</f>
        <v>Delhi</v>
      </c>
      <c r="D1133" s="2" t="str">
        <f>IFERROR(INDEX([1]HubMaster!$B$2:$B$7,MATCH(C1133,[1]HubMaster!$A$2:$A$7,0)),"Unknown")</f>
        <v>North</v>
      </c>
      <c r="E1133" s="2" t="str">
        <f>PROPER(TRIM(SUBSTITUTE([1]RawShipmentData!D1143,"  "," ")))</f>
        <v>Delhivery</v>
      </c>
      <c r="F1133" s="2" t="str">
        <f>PROPER(TRIM([1]RawShipmentData!E1143))</f>
        <v>Air</v>
      </c>
      <c r="G1133" s="2" t="str">
        <f>PROPER(TRIM(SUBSTITUTE([1]RawShipmentData!F1143,"  "," ")))</f>
        <v>Grocery &amp; Fmcg</v>
      </c>
      <c r="H1133" s="2" t="str">
        <f>PROPER(TRIM([1]RawShipmentData!G1143))</f>
        <v>South</v>
      </c>
      <c r="I1133" s="2" t="str">
        <f t="shared" si="85"/>
        <v>Yes</v>
      </c>
      <c r="J1133" s="2">
        <f>IFERROR(VALUE(TRIM(SUBSTITUTE(UPPER([1]RawShipmentData!I1133),"KG",""))),"")</f>
        <v>10.5</v>
      </c>
      <c r="K1133" s="2">
        <f>VALUE(SUBSTITUTE(SUBSTITUTE(SUBSTITUTE(TRIM([1]RawShipmentData!J1143),"₹",""),"Rs",""),",",""))</f>
        <v>276</v>
      </c>
      <c r="L1133" s="2">
        <f>[1]RawShipmentData!K1143</f>
        <v>4</v>
      </c>
      <c r="M1133" s="3">
        <f>IF(TRIM([1]RawShipmentData!L1143)="","",IF(ISNUMBER(SEARCH("/",TRIM([1]RawShipmentData!L1143))),DATE(VALUE(RIGHT(TRIM([1]RawShipmentData!L1143),4)),VALUE(MID(TRIM([1]RawShipmentData!L1143),FIND("/",TRIM([1]RawShipmentData!L1143))+1,2)),VALUE(LEFT(TRIM([1]RawShipmentData!L1143),FIND("/",TRIM([1]RawShipmentData!L1143))-1))),DATEVALUE(TRIM([1]RawShipmentData!L1143))))</f>
        <v>45417</v>
      </c>
      <c r="N1133" s="2">
        <f t="shared" si="86"/>
        <v>4</v>
      </c>
      <c r="O1133" s="2">
        <f t="shared" si="87"/>
        <v>0</v>
      </c>
      <c r="P1133" s="2" t="str">
        <f t="shared" si="88"/>
        <v>On Time</v>
      </c>
      <c r="Q1133" s="2" t="str">
        <f>PROPER(SUBSTITUTE(TRIM([1]RawShipmentData!M1143)," ","-"))</f>
        <v>Delivered</v>
      </c>
      <c r="R1133" s="4">
        <f t="shared" si="89"/>
        <v>26.285714285714285</v>
      </c>
      <c r="S1133" s="2">
        <f>[1]RawShipmentData!N1143</f>
        <v>2</v>
      </c>
      <c r="T1133" s="2" t="str">
        <f>IF(OR(UPPER(TRIM([1]RawShipmentData!O1143))="YES",UPPER(TRIM([1]RawShipmentData!O1143))="Y"),"Yes","No")</f>
        <v>No</v>
      </c>
    </row>
    <row r="1134" spans="1:20" x14ac:dyDescent="0.25">
      <c r="A1134" s="2" t="str">
        <f>[1]RawShipmentData!A1144</f>
        <v>SHP-100543</v>
      </c>
      <c r="B1134" s="3">
        <f>IF(ISNUMBER(SEARCH("/",TRIM([1]RawShipmentData!B1144))),DATE(VALUE(RIGHT(TRIM([1]RawShipmentData!B1144),4)),VALUE(MID(TRIM([1]RawShipmentData!B1144),FIND("/",TRIM([1]RawShipmentData!B1144))+1,2)),VALUE(LEFT(TRIM([1]RawShipmentData!B1144),FIND("/",TRIM([1]RawShipmentData!B1144))-1))),DATEVALUE(TRIM([1]RawShipmentData!B1144)))</f>
        <v>45406</v>
      </c>
      <c r="C1134" s="2" t="str">
        <f>PROPER(TRIM([1]RawShipmentData!C1144))</f>
        <v>Hyderabad</v>
      </c>
      <c r="D1134" s="2" t="str">
        <f>IFERROR(INDEX([1]HubMaster!$B$2:$B$7,MATCH(C1134,[1]HubMaster!$A$2:$A$7,0)),"Unknown")</f>
        <v>West</v>
      </c>
      <c r="E1134" s="2" t="str">
        <f>PROPER(TRIM(SUBSTITUTE([1]RawShipmentData!D1144,"  "," ")))</f>
        <v>Delhivery</v>
      </c>
      <c r="F1134" s="2" t="str">
        <f>PROPER(TRIM([1]RawShipmentData!E1144))</f>
        <v>Road</v>
      </c>
      <c r="G1134" s="2" t="str">
        <f>PROPER(TRIM(SUBSTITUTE([1]RawShipmentData!F1144,"  "," ")))</f>
        <v>Automotive Parts</v>
      </c>
      <c r="H1134" s="2" t="str">
        <f>PROPER(TRIM([1]RawShipmentData!G1144))</f>
        <v>East</v>
      </c>
      <c r="I1134" s="2" t="str">
        <f t="shared" si="85"/>
        <v>Yes</v>
      </c>
      <c r="J1134" s="2">
        <f>IFERROR(VALUE(TRIM(SUBSTITUTE(UPPER([1]RawShipmentData!I1134),"KG",""))),"")</f>
        <v>2.8</v>
      </c>
      <c r="K1134" s="2">
        <f>VALUE(SUBSTITUTE(SUBSTITUTE(SUBSTITUTE(TRIM([1]RawShipmentData!J1144),"₹",""),"Rs",""),",",""))</f>
        <v>398</v>
      </c>
      <c r="L1134" s="2">
        <f>[1]RawShipmentData!K1144</f>
        <v>8</v>
      </c>
      <c r="M1134" s="3">
        <f>IF(TRIM([1]RawShipmentData!L1144)="","",IF(ISNUMBER(SEARCH("/",TRIM([1]RawShipmentData!L1144))),DATE(VALUE(RIGHT(TRIM([1]RawShipmentData!L1144),4)),VALUE(MID(TRIM([1]RawShipmentData!L1144),FIND("/",TRIM([1]RawShipmentData!L1144))+1,2)),VALUE(LEFT(TRIM([1]RawShipmentData!L1144),FIND("/",TRIM([1]RawShipmentData!L1144))-1))),DATEVALUE(TRIM([1]RawShipmentData!L1144))))</f>
        <v>45413</v>
      </c>
      <c r="N1134" s="2">
        <f t="shared" si="86"/>
        <v>7</v>
      </c>
      <c r="O1134" s="2">
        <f t="shared" si="87"/>
        <v>-1</v>
      </c>
      <c r="P1134" s="2" t="str">
        <f t="shared" si="88"/>
        <v>On Time</v>
      </c>
      <c r="Q1134" s="2" t="str">
        <f>PROPER(SUBSTITUTE(TRIM([1]RawShipmentData!M1144)," ","-"))</f>
        <v>Delivered</v>
      </c>
      <c r="R1134" s="4">
        <f t="shared" si="89"/>
        <v>142.14285714285714</v>
      </c>
      <c r="S1134" s="2">
        <f>[1]RawShipmentData!N1144</f>
        <v>4</v>
      </c>
      <c r="T1134" s="2" t="str">
        <f>IF(OR(UPPER(TRIM([1]RawShipmentData!O1144))="YES",UPPER(TRIM([1]RawShipmentData!O1144))="Y"),"Yes","No")</f>
        <v>No</v>
      </c>
    </row>
    <row r="1135" spans="1:20" x14ac:dyDescent="0.25">
      <c r="A1135" s="2" t="str">
        <f>[1]RawShipmentData!A1145</f>
        <v>SHP-100697</v>
      </c>
      <c r="B1135" s="3">
        <f>IF(ISNUMBER(SEARCH("/",TRIM([1]RawShipmentData!B1145))),DATE(VALUE(RIGHT(TRIM([1]RawShipmentData!B1145),4)),VALUE(MID(TRIM([1]RawShipmentData!B1145),FIND("/",TRIM([1]RawShipmentData!B1145))+1,2)),VALUE(LEFT(TRIM([1]RawShipmentData!B1145),FIND("/",TRIM([1]RawShipmentData!B1145))-1))),DATEVALUE(TRIM([1]RawShipmentData!B1145)))</f>
        <v>45391</v>
      </c>
      <c r="C1135" s="2" t="str">
        <f>PROPER(TRIM([1]RawShipmentData!C1145))</f>
        <v>Kolkata</v>
      </c>
      <c r="D1135" s="2" t="str">
        <f>IFERROR(INDEX([1]HubMaster!$B$2:$B$7,MATCH(C1135,[1]HubMaster!$A$2:$A$7,0)),"Unknown")</f>
        <v>East</v>
      </c>
      <c r="E1135" s="2" t="str">
        <f>PROPER(TRIM(SUBSTITUTE([1]RawShipmentData!D1145,"  "," ")))</f>
        <v>Delhivery</v>
      </c>
      <c r="F1135" s="2" t="str">
        <f>PROPER(TRIM([1]RawShipmentData!E1145))</f>
        <v>Air</v>
      </c>
      <c r="G1135" s="2" t="str">
        <f>PROPER(TRIM(SUBSTITUTE([1]RawShipmentData!F1145,"  "," ")))</f>
        <v>Grocery &amp; Fmcg</v>
      </c>
      <c r="H1135" s="2" t="str">
        <f>PROPER(TRIM([1]RawShipmentData!G1145))</f>
        <v>West</v>
      </c>
      <c r="I1135" s="2" t="str">
        <f t="shared" si="85"/>
        <v>Yes</v>
      </c>
      <c r="J1135" s="2">
        <f>IFERROR(VALUE(TRIM(SUBSTITUTE(UPPER([1]RawShipmentData!I1135),"KG",""))),"")</f>
        <v>3.8</v>
      </c>
      <c r="K1135" s="2">
        <f>VALUE(SUBSTITUTE(SUBSTITUTE(SUBSTITUTE(TRIM([1]RawShipmentData!J1145),"₹",""),"Rs",""),",",""))</f>
        <v>296</v>
      </c>
      <c r="L1135" s="2">
        <f>[1]RawShipmentData!K1145</f>
        <v>4</v>
      </c>
      <c r="M1135" s="3">
        <f>IF(TRIM([1]RawShipmentData!L1145)="","",IF(ISNUMBER(SEARCH("/",TRIM([1]RawShipmentData!L1145))),DATE(VALUE(RIGHT(TRIM([1]RawShipmentData!L1145),4)),VALUE(MID(TRIM([1]RawShipmentData!L1145),FIND("/",TRIM([1]RawShipmentData!L1145))+1,2)),VALUE(LEFT(TRIM([1]RawShipmentData!L1145),FIND("/",TRIM([1]RawShipmentData!L1145))-1))),DATEVALUE(TRIM([1]RawShipmentData!L1145))))</f>
        <v>45396</v>
      </c>
      <c r="N1135" s="2">
        <f t="shared" si="86"/>
        <v>5</v>
      </c>
      <c r="O1135" s="2">
        <f t="shared" si="87"/>
        <v>1</v>
      </c>
      <c r="P1135" s="2" t="str">
        <f t="shared" si="88"/>
        <v>Late</v>
      </c>
      <c r="Q1135" s="2" t="str">
        <f>PROPER(SUBSTITUTE(TRIM([1]RawShipmentData!M1145)," ","-"))</f>
        <v>Delayed</v>
      </c>
      <c r="R1135" s="4">
        <f t="shared" si="89"/>
        <v>77.89473684210526</v>
      </c>
      <c r="S1135" s="2">
        <f>[1]RawShipmentData!N1145</f>
        <v>3</v>
      </c>
      <c r="T1135" s="2" t="str">
        <f>IF(OR(UPPER(TRIM([1]RawShipmentData!O1145))="YES",UPPER(TRIM([1]RawShipmentData!O1145))="Y"),"Yes","No")</f>
        <v>Yes</v>
      </c>
    </row>
    <row r="1136" spans="1:20" x14ac:dyDescent="0.25">
      <c r="A1136" s="2" t="str">
        <f>[1]RawShipmentData!A1146</f>
        <v>SHP-100350</v>
      </c>
      <c r="B1136" s="3">
        <f>IF(ISNUMBER(SEARCH("/",TRIM([1]RawShipmentData!B1146))),DATE(VALUE(RIGHT(TRIM([1]RawShipmentData!B1146),4)),VALUE(MID(TRIM([1]RawShipmentData!B1146),FIND("/",TRIM([1]RawShipmentData!B1146))+1,2)),VALUE(LEFT(TRIM([1]RawShipmentData!B1146),FIND("/",TRIM([1]RawShipmentData!B1146))-1))),DATEVALUE(TRIM([1]RawShipmentData!B1146)))</f>
        <v>45416</v>
      </c>
      <c r="C1136" s="2" t="str">
        <f>PROPER(TRIM([1]RawShipmentData!C1146))</f>
        <v>Chennai</v>
      </c>
      <c r="D1136" s="2" t="str">
        <f>IFERROR(INDEX([1]HubMaster!$B$2:$B$7,MATCH(C1136,[1]HubMaster!$A$2:$A$7,0)),"Unknown")</f>
        <v>South</v>
      </c>
      <c r="E1136" s="2" t="str">
        <f>PROPER(TRIM(SUBSTITUTE([1]RawShipmentData!D1146,"  "," ")))</f>
        <v>Delhivery</v>
      </c>
      <c r="F1136" s="2" t="str">
        <f>PROPER(TRIM([1]RawShipmentData!E1146))</f>
        <v>Air</v>
      </c>
      <c r="G1136" s="2" t="str">
        <f>PROPER(TRIM(SUBSTITUTE([1]RawShipmentData!F1146,"  "," ")))</f>
        <v>Grocery &amp; Fmcg</v>
      </c>
      <c r="H1136" s="2" t="str">
        <f>PROPER(TRIM([1]RawShipmentData!G1146))</f>
        <v>South</v>
      </c>
      <c r="I1136" s="2" t="str">
        <f t="shared" si="85"/>
        <v>No</v>
      </c>
      <c r="J1136" s="2">
        <f>IFERROR(VALUE(TRIM(SUBSTITUTE(UPPER([1]RawShipmentData!I1136),"KG",""))),"")</f>
        <v>14</v>
      </c>
      <c r="K1136" s="2">
        <f>VALUE(SUBSTITUTE(SUBSTITUTE(SUBSTITUTE(TRIM([1]RawShipmentData!J1146),"₹",""),"Rs",""),",",""))</f>
        <v>336</v>
      </c>
      <c r="L1136" s="2">
        <f>[1]RawShipmentData!K1146</f>
        <v>2</v>
      </c>
      <c r="M1136" s="3">
        <f>IF(TRIM([1]RawShipmentData!L1146)="","",IF(ISNUMBER(SEARCH("/",TRIM([1]RawShipmentData!L1146))),DATE(VALUE(RIGHT(TRIM([1]RawShipmentData!L1146),4)),VALUE(MID(TRIM([1]RawShipmentData!L1146),FIND("/",TRIM([1]RawShipmentData!L1146))+1,2)),VALUE(LEFT(TRIM([1]RawShipmentData!L1146),FIND("/",TRIM([1]RawShipmentData!L1146))-1))),DATEVALUE(TRIM([1]RawShipmentData!L1146))))</f>
        <v>45419</v>
      </c>
      <c r="N1136" s="2">
        <f t="shared" si="86"/>
        <v>3</v>
      </c>
      <c r="O1136" s="2">
        <f t="shared" si="87"/>
        <v>1</v>
      </c>
      <c r="P1136" s="2" t="str">
        <f t="shared" si="88"/>
        <v>Late</v>
      </c>
      <c r="Q1136" s="2" t="str">
        <f>PROPER(SUBSTITUTE(TRIM([1]RawShipmentData!M1146)," ","-"))</f>
        <v>Delayed</v>
      </c>
      <c r="R1136" s="4">
        <f t="shared" si="89"/>
        <v>24</v>
      </c>
      <c r="S1136" s="2">
        <f>[1]RawShipmentData!N1146</f>
        <v>1</v>
      </c>
      <c r="T1136" s="2" t="str">
        <f>IF(OR(UPPER(TRIM([1]RawShipmentData!O1146))="YES",UPPER(TRIM([1]RawShipmentData!O1146))="Y"),"Yes","No")</f>
        <v>Yes</v>
      </c>
    </row>
    <row r="1137" spans="1:20" x14ac:dyDescent="0.25">
      <c r="A1137" s="2" t="str">
        <f>[1]RawShipmentData!A1147</f>
        <v>SHP-101544</v>
      </c>
      <c r="B1137" s="3">
        <f>IF(ISNUMBER(SEARCH("/",TRIM([1]RawShipmentData!B1147))),DATE(VALUE(RIGHT(TRIM([1]RawShipmentData!B1147),4)),VALUE(MID(TRIM([1]RawShipmentData!B1147),FIND("/",TRIM([1]RawShipmentData!B1147))+1,2)),VALUE(LEFT(TRIM([1]RawShipmentData!B1147),FIND("/",TRIM([1]RawShipmentData!B1147))-1))),DATEVALUE(TRIM([1]RawShipmentData!B1147)))</f>
        <v>45325</v>
      </c>
      <c r="C1137" s="2" t="str">
        <f>PROPER(TRIM([1]RawShipmentData!C1147))</f>
        <v>Bengaluru</v>
      </c>
      <c r="D1137" s="2" t="str">
        <f>IFERROR(INDEX([1]HubMaster!$B$2:$B$7,MATCH(C1137,[1]HubMaster!$A$2:$A$7,0)),"Unknown")</f>
        <v>South</v>
      </c>
      <c r="E1137" s="2" t="str">
        <f>PROPER(TRIM(SUBSTITUTE([1]RawShipmentData!D1147,"  "," ")))</f>
        <v>Xpressbees</v>
      </c>
      <c r="F1137" s="2" t="str">
        <f>PROPER(TRIM([1]RawShipmentData!E1147))</f>
        <v>Road</v>
      </c>
      <c r="G1137" s="2" t="str">
        <f>PROPER(TRIM(SUBSTITUTE([1]RawShipmentData!F1147,"  "," ")))</f>
        <v>Pharma</v>
      </c>
      <c r="H1137" s="2" t="str">
        <f>PROPER(TRIM([1]RawShipmentData!G1147))</f>
        <v>North</v>
      </c>
      <c r="I1137" s="2" t="str">
        <f t="shared" si="85"/>
        <v>Yes</v>
      </c>
      <c r="J1137" s="2">
        <f>IFERROR(VALUE(TRIM(SUBSTITUTE(UPPER([1]RawShipmentData!I1137),"KG",""))),"")</f>
        <v>44.6</v>
      </c>
      <c r="K1137" s="2">
        <f>VALUE(SUBSTITUTE(SUBSTITUTE(SUBSTITUTE(TRIM([1]RawShipmentData!J1147),"₹",""),"Rs",""),",",""))</f>
        <v>151</v>
      </c>
      <c r="L1137" s="2">
        <f>[1]RawShipmentData!K1147</f>
        <v>8</v>
      </c>
      <c r="M1137" s="3">
        <f>IF(TRIM([1]RawShipmentData!L1147)="","",IF(ISNUMBER(SEARCH("/",TRIM([1]RawShipmentData!L1147))),DATE(VALUE(RIGHT(TRIM([1]RawShipmentData!L1147),4)),VALUE(MID(TRIM([1]RawShipmentData!L1147),FIND("/",TRIM([1]RawShipmentData!L1147))+1,2)),VALUE(LEFT(TRIM([1]RawShipmentData!L1147),FIND("/",TRIM([1]RawShipmentData!L1147))-1))),DATEVALUE(TRIM([1]RawShipmentData!L1147))))</f>
        <v>45340</v>
      </c>
      <c r="N1137" s="2">
        <f t="shared" si="86"/>
        <v>15</v>
      </c>
      <c r="O1137" s="2">
        <f t="shared" si="87"/>
        <v>7</v>
      </c>
      <c r="P1137" s="2" t="str">
        <f t="shared" si="88"/>
        <v>Late</v>
      </c>
      <c r="Q1137" s="2" t="str">
        <f>PROPER(SUBSTITUTE(TRIM([1]RawShipmentData!M1147)," ","-"))</f>
        <v>Delayed</v>
      </c>
      <c r="R1137" s="4">
        <f t="shared" si="89"/>
        <v>3.3856502242152464</v>
      </c>
      <c r="S1137" s="2">
        <f>[1]RawShipmentData!N1147</f>
        <v>4</v>
      </c>
      <c r="T1137" s="2" t="str">
        <f>IF(OR(UPPER(TRIM([1]RawShipmentData!O1147))="YES",UPPER(TRIM([1]RawShipmentData!O1147))="Y"),"Yes","No")</f>
        <v>No</v>
      </c>
    </row>
    <row r="1138" spans="1:20" x14ac:dyDescent="0.25">
      <c r="A1138" s="2" t="str">
        <f>[1]RawShipmentData!A1148</f>
        <v>SHP-101594</v>
      </c>
      <c r="B1138" s="3">
        <f>IF(ISNUMBER(SEARCH("/",TRIM([1]RawShipmentData!B1148))),DATE(VALUE(RIGHT(TRIM([1]RawShipmentData!B1148),4)),VALUE(MID(TRIM([1]RawShipmentData!B1148),FIND("/",TRIM([1]RawShipmentData!B1148))+1,2)),VALUE(LEFT(TRIM([1]RawShipmentData!B1148),FIND("/",TRIM([1]RawShipmentData!B1148))-1))),DATEVALUE(TRIM([1]RawShipmentData!B1148)))</f>
        <v>45370</v>
      </c>
      <c r="C1138" s="2" t="str">
        <f>PROPER(TRIM([1]RawShipmentData!C1148))</f>
        <v>Hyderabad</v>
      </c>
      <c r="D1138" s="2" t="str">
        <f>IFERROR(INDEX([1]HubMaster!$B$2:$B$7,MATCH(C1138,[1]HubMaster!$A$2:$A$7,0)),"Unknown")</f>
        <v>West</v>
      </c>
      <c r="E1138" s="2" t="str">
        <f>PROPER(TRIM(SUBSTITUTE([1]RawShipmentData!D1148,"  "," ")))</f>
        <v>Bluedart</v>
      </c>
      <c r="F1138" s="2" t="str">
        <f>PROPER(TRIM([1]RawShipmentData!E1148))</f>
        <v>Surface</v>
      </c>
      <c r="G1138" s="2" t="str">
        <f>PROPER(TRIM(SUBSTITUTE([1]RawShipmentData!F1148,"  "," ")))</f>
        <v>Furniture</v>
      </c>
      <c r="H1138" s="2" t="str">
        <f>PROPER(TRIM([1]RawShipmentData!G1148))</f>
        <v>South</v>
      </c>
      <c r="I1138" s="2" t="str">
        <f t="shared" si="85"/>
        <v>Yes</v>
      </c>
      <c r="J1138" s="2">
        <f>IFERROR(VALUE(TRIM(SUBSTITUTE(UPPER([1]RawShipmentData!I1138),"KG",""))),"")</f>
        <v>7.4</v>
      </c>
      <c r="K1138" s="2">
        <f>VALUE(SUBSTITUTE(SUBSTITUTE(SUBSTITUTE(TRIM([1]RawShipmentData!J1148),"₹",""),"Rs",""),",",""))</f>
        <v>802</v>
      </c>
      <c r="L1138" s="2">
        <f>[1]RawShipmentData!K1148</f>
        <v>6</v>
      </c>
      <c r="M1138" s="3">
        <f>IF(TRIM([1]RawShipmentData!L1148)="","",IF(ISNUMBER(SEARCH("/",TRIM([1]RawShipmentData!L1148))),DATE(VALUE(RIGHT(TRIM([1]RawShipmentData!L1148),4)),VALUE(MID(TRIM([1]RawShipmentData!L1148),FIND("/",TRIM([1]RawShipmentData!L1148))+1,2)),VALUE(LEFT(TRIM([1]RawShipmentData!L1148),FIND("/",TRIM([1]RawShipmentData!L1148))-1))),DATEVALUE(TRIM([1]RawShipmentData!L1148))))</f>
        <v>45377</v>
      </c>
      <c r="N1138" s="2">
        <f t="shared" si="86"/>
        <v>7</v>
      </c>
      <c r="O1138" s="2">
        <f t="shared" si="87"/>
        <v>1</v>
      </c>
      <c r="P1138" s="2" t="str">
        <f t="shared" si="88"/>
        <v>Late</v>
      </c>
      <c r="Q1138" s="2" t="str">
        <f>PROPER(SUBSTITUTE(TRIM([1]RawShipmentData!M1148)," ","-"))</f>
        <v>Returned</v>
      </c>
      <c r="R1138" s="4">
        <f t="shared" si="89"/>
        <v>108.37837837837837</v>
      </c>
      <c r="S1138" s="2">
        <f>[1]RawShipmentData!N1148</f>
        <v>0</v>
      </c>
      <c r="T1138" s="2" t="str">
        <f>IF(OR(UPPER(TRIM([1]RawShipmentData!O1148))="YES",UPPER(TRIM([1]RawShipmentData!O1148))="Y"),"Yes","No")</f>
        <v>Yes</v>
      </c>
    </row>
    <row r="1139" spans="1:20" x14ac:dyDescent="0.25">
      <c r="A1139" s="2" t="str">
        <f>[1]RawShipmentData!A1149</f>
        <v>SHP-101457</v>
      </c>
      <c r="B1139" s="3">
        <f>IF(ISNUMBER(SEARCH("/",TRIM([1]RawShipmentData!B1149))),DATE(VALUE(RIGHT(TRIM([1]RawShipmentData!B1149),4)),VALUE(MID(TRIM([1]RawShipmentData!B1149),FIND("/",TRIM([1]RawShipmentData!B1149))+1,2)),VALUE(LEFT(TRIM([1]RawShipmentData!B1149),FIND("/",TRIM([1]RawShipmentData!B1149))-1))),DATEVALUE(TRIM([1]RawShipmentData!B1149)))</f>
        <v>45372</v>
      </c>
      <c r="C1139" s="2" t="str">
        <f>PROPER(TRIM([1]RawShipmentData!C1149))</f>
        <v>Delhi</v>
      </c>
      <c r="D1139" s="2" t="str">
        <f>IFERROR(INDEX([1]HubMaster!$B$2:$B$7,MATCH(C1139,[1]HubMaster!$A$2:$A$7,0)),"Unknown")</f>
        <v>North</v>
      </c>
      <c r="E1139" s="2" t="str">
        <f>PROPER(TRIM(SUBSTITUTE([1]RawShipmentData!D1149,"  "," ")))</f>
        <v>Dtdc</v>
      </c>
      <c r="F1139" s="2" t="str">
        <f>PROPER(TRIM([1]RawShipmentData!E1149))</f>
        <v>Surface</v>
      </c>
      <c r="G1139" s="2" t="str">
        <f>PROPER(TRIM(SUBSTITUTE([1]RawShipmentData!F1149,"  "," ")))</f>
        <v>Furniture</v>
      </c>
      <c r="H1139" s="2" t="str">
        <f>PROPER(TRIM([1]RawShipmentData!G1149))</f>
        <v>East</v>
      </c>
      <c r="I1139" s="2" t="str">
        <f t="shared" si="85"/>
        <v>Yes</v>
      </c>
      <c r="J1139" s="2">
        <f>IFERROR(VALUE(TRIM(SUBSTITUTE(UPPER([1]RawShipmentData!I1139),"KG",""))),"")</f>
        <v>13.8</v>
      </c>
      <c r="K1139" s="2">
        <f>VALUE(SUBSTITUTE(SUBSTITUTE(SUBSTITUTE(TRIM([1]RawShipmentData!J1149),"₹",""),"Rs",""),",",""))</f>
        <v>790</v>
      </c>
      <c r="L1139" s="2">
        <f>[1]RawShipmentData!K1149</f>
        <v>6</v>
      </c>
      <c r="M1139" s="3">
        <f>IF(TRIM([1]RawShipmentData!L1149)="","",IF(ISNUMBER(SEARCH("/",TRIM([1]RawShipmentData!L1149))),DATE(VALUE(RIGHT(TRIM([1]RawShipmentData!L1149),4)),VALUE(MID(TRIM([1]RawShipmentData!L1149),FIND("/",TRIM([1]RawShipmentData!L1149))+1,2)),VALUE(LEFT(TRIM([1]RawShipmentData!L1149),FIND("/",TRIM([1]RawShipmentData!L1149))-1))),DATEVALUE(TRIM([1]RawShipmentData!L1149))))</f>
        <v>45378</v>
      </c>
      <c r="N1139" s="2">
        <f t="shared" si="86"/>
        <v>6</v>
      </c>
      <c r="O1139" s="2">
        <f t="shared" si="87"/>
        <v>0</v>
      </c>
      <c r="P1139" s="2" t="str">
        <f t="shared" si="88"/>
        <v>On Time</v>
      </c>
      <c r="Q1139" s="2" t="str">
        <f>PROPER(SUBSTITUTE(TRIM([1]RawShipmentData!M1149)," ","-"))</f>
        <v>Delivered</v>
      </c>
      <c r="R1139" s="4">
        <f t="shared" si="89"/>
        <v>57.246376811594203</v>
      </c>
      <c r="S1139" s="2">
        <f>[1]RawShipmentData!N1149</f>
        <v>2</v>
      </c>
      <c r="T1139" s="2" t="str">
        <f>IF(OR(UPPER(TRIM([1]RawShipmentData!O1149))="YES",UPPER(TRIM([1]RawShipmentData!O1149))="Y"),"Yes","No")</f>
        <v>No</v>
      </c>
    </row>
    <row r="1140" spans="1:20" x14ac:dyDescent="0.25">
      <c r="A1140" s="2" t="str">
        <f>[1]RawShipmentData!A1150</f>
        <v>SHP-101571</v>
      </c>
      <c r="B1140" s="3">
        <f>IF(ISNUMBER(SEARCH("/",TRIM([1]RawShipmentData!B1150))),DATE(VALUE(RIGHT(TRIM([1]RawShipmentData!B1150),4)),VALUE(MID(TRIM([1]RawShipmentData!B1150),FIND("/",TRIM([1]RawShipmentData!B1150))+1,2)),VALUE(LEFT(TRIM([1]RawShipmentData!B1150),FIND("/",TRIM([1]RawShipmentData!B1150))-1))),DATEVALUE(TRIM([1]RawShipmentData!B1150)))</f>
        <v>45310</v>
      </c>
      <c r="C1140" s="2" t="str">
        <f>PROPER(TRIM([1]RawShipmentData!C1150))</f>
        <v>Hyderabad</v>
      </c>
      <c r="D1140" s="2" t="str">
        <f>IFERROR(INDEX([1]HubMaster!$B$2:$B$7,MATCH(C1140,[1]HubMaster!$A$2:$A$7,0)),"Unknown")</f>
        <v>West</v>
      </c>
      <c r="E1140" s="2" t="str">
        <f>PROPER(TRIM(SUBSTITUTE([1]RawShipmentData!D1150,"  "," ")))</f>
        <v>Delhivery</v>
      </c>
      <c r="F1140" s="2" t="str">
        <f>PROPER(TRIM([1]RawShipmentData!E1150))</f>
        <v>Surface</v>
      </c>
      <c r="G1140" s="2" t="str">
        <f>PROPER(TRIM(SUBSTITUTE([1]RawShipmentData!F1150,"  "," ")))</f>
        <v>Grocery &amp; Fmcg</v>
      </c>
      <c r="H1140" s="2" t="str">
        <f>PROPER(TRIM([1]RawShipmentData!G1150))</f>
        <v>North</v>
      </c>
      <c r="I1140" s="2" t="str">
        <f t="shared" si="85"/>
        <v>Yes</v>
      </c>
      <c r="J1140" s="2">
        <f>IFERROR(VALUE(TRIM(SUBSTITUTE(UPPER([1]RawShipmentData!I1140),"KG",""))),"")</f>
        <v>36.700000000000003</v>
      </c>
      <c r="K1140" s="2">
        <f>VALUE(SUBSTITUTE(SUBSTITUTE(SUBSTITUTE(TRIM([1]RawShipmentData!J1150),"₹",""),"Rs",""),",",""))</f>
        <v>414</v>
      </c>
      <c r="L1140" s="2">
        <f>[1]RawShipmentData!K1150</f>
        <v>6</v>
      </c>
      <c r="M1140" s="3">
        <f>IF(TRIM([1]RawShipmentData!L1150)="","",IF(ISNUMBER(SEARCH("/",TRIM([1]RawShipmentData!L1150))),DATE(VALUE(RIGHT(TRIM([1]RawShipmentData!L1150),4)),VALUE(MID(TRIM([1]RawShipmentData!L1150),FIND("/",TRIM([1]RawShipmentData!L1150))+1,2)),VALUE(LEFT(TRIM([1]RawShipmentData!L1150),FIND("/",TRIM([1]RawShipmentData!L1150))-1))),DATEVALUE(TRIM([1]RawShipmentData!L1150))))</f>
        <v>45317</v>
      </c>
      <c r="N1140" s="2">
        <f t="shared" si="86"/>
        <v>7</v>
      </c>
      <c r="O1140" s="2">
        <f t="shared" si="87"/>
        <v>1</v>
      </c>
      <c r="P1140" s="2" t="str">
        <f t="shared" si="88"/>
        <v>Late</v>
      </c>
      <c r="Q1140" s="2" t="str">
        <f>PROPER(SUBSTITUTE(TRIM([1]RawShipmentData!M1150)," ","-"))</f>
        <v>Delayed</v>
      </c>
      <c r="R1140" s="4">
        <f t="shared" si="89"/>
        <v>11.280653950953678</v>
      </c>
      <c r="S1140" s="2">
        <f>[1]RawShipmentData!N1150</f>
        <v>1</v>
      </c>
      <c r="T1140" s="2" t="str">
        <f>IF(OR(UPPER(TRIM([1]RawShipmentData!O1150))="YES",UPPER(TRIM([1]RawShipmentData!O1150))="Y"),"Yes","No")</f>
        <v>No</v>
      </c>
    </row>
    <row r="1141" spans="1:20" x14ac:dyDescent="0.25">
      <c r="A1141" s="2" t="str">
        <f>[1]RawShipmentData!A1151</f>
        <v>SHP-100549</v>
      </c>
      <c r="B1141" s="3">
        <f>IF(ISNUMBER(SEARCH("/",TRIM([1]RawShipmentData!B1151))),DATE(VALUE(RIGHT(TRIM([1]RawShipmentData!B1151),4)),VALUE(MID(TRIM([1]RawShipmentData!B1151),FIND("/",TRIM([1]RawShipmentData!B1151))+1,2)),VALUE(LEFT(TRIM([1]RawShipmentData!B1151),FIND("/",TRIM([1]RawShipmentData!B1151))-1))),DATEVALUE(TRIM([1]RawShipmentData!B1151)))</f>
        <v>45438</v>
      </c>
      <c r="C1141" s="2" t="str">
        <f>PROPER(TRIM([1]RawShipmentData!C1151))</f>
        <v>Bengaluru</v>
      </c>
      <c r="D1141" s="2" t="str">
        <f>IFERROR(INDEX([1]HubMaster!$B$2:$B$7,MATCH(C1141,[1]HubMaster!$A$2:$A$7,0)),"Unknown")</f>
        <v>South</v>
      </c>
      <c r="E1141" s="2" t="str">
        <f>PROPER(TRIM(SUBSTITUTE([1]RawShipmentData!D1151,"  "," ")))</f>
        <v>Xpressbees</v>
      </c>
      <c r="F1141" s="2" t="str">
        <f>PROPER(TRIM([1]RawShipmentData!E1151))</f>
        <v>Surface</v>
      </c>
      <c r="G1141" s="2" t="str">
        <f>PROPER(TRIM(SUBSTITUTE([1]RawShipmentData!F1151,"  "," ")))</f>
        <v>Pharma</v>
      </c>
      <c r="H1141" s="2" t="str">
        <f>PROPER(TRIM([1]RawShipmentData!G1151))</f>
        <v>South</v>
      </c>
      <c r="I1141" s="2" t="str">
        <f t="shared" si="85"/>
        <v>No</v>
      </c>
      <c r="J1141" s="2">
        <f>IFERROR(VALUE(TRIM(SUBSTITUTE(UPPER([1]RawShipmentData!I1141),"KG",""))),"")</f>
        <v>16.5</v>
      </c>
      <c r="K1141" s="2">
        <f>VALUE(SUBSTITUTE(SUBSTITUTE(SUBSTITUTE(TRIM([1]RawShipmentData!J1151),"₹",""),"Rs",""),",",""))</f>
        <v>80</v>
      </c>
      <c r="L1141" s="2">
        <f>[1]RawShipmentData!K1151</f>
        <v>4</v>
      </c>
      <c r="M1141" s="3">
        <f>IF(TRIM([1]RawShipmentData!L1151)="","",IF(ISNUMBER(SEARCH("/",TRIM([1]RawShipmentData!L1151))),DATE(VALUE(RIGHT(TRIM([1]RawShipmentData!L1151),4)),VALUE(MID(TRIM([1]RawShipmentData!L1151),FIND("/",TRIM([1]RawShipmentData!L1151))+1,2)),VALUE(LEFT(TRIM([1]RawShipmentData!L1151),FIND("/",TRIM([1]RawShipmentData!L1151))-1))),DATEVALUE(TRIM([1]RawShipmentData!L1151))))</f>
        <v>45444</v>
      </c>
      <c r="N1141" s="2">
        <f t="shared" si="86"/>
        <v>6</v>
      </c>
      <c r="O1141" s="2">
        <f t="shared" si="87"/>
        <v>2</v>
      </c>
      <c r="P1141" s="2" t="str">
        <f t="shared" si="88"/>
        <v>Late</v>
      </c>
      <c r="Q1141" s="2" t="str">
        <f>PROPER(SUBSTITUTE(TRIM([1]RawShipmentData!M1151)," ","-"))</f>
        <v>Delayed</v>
      </c>
      <c r="R1141" s="4">
        <f t="shared" si="89"/>
        <v>4.8484848484848486</v>
      </c>
      <c r="S1141" s="2">
        <f>[1]RawShipmentData!N1151</f>
        <v>1</v>
      </c>
      <c r="T1141" s="2" t="str">
        <f>IF(OR(UPPER(TRIM([1]RawShipmentData!O1151))="YES",UPPER(TRIM([1]RawShipmentData!O1151))="Y"),"Yes","No")</f>
        <v>No</v>
      </c>
    </row>
    <row r="1142" spans="1:20" x14ac:dyDescent="0.25">
      <c r="A1142" s="2" t="str">
        <f>[1]RawShipmentData!A1153</f>
        <v>SHP-100035</v>
      </c>
      <c r="B1142" s="3">
        <f>IF(ISNUMBER(SEARCH("/",TRIM([1]RawShipmentData!B1153))),DATE(VALUE(RIGHT(TRIM([1]RawShipmentData!B1153),4)),VALUE(MID(TRIM([1]RawShipmentData!B1153),FIND("/",TRIM([1]RawShipmentData!B1153))+1,2)),VALUE(LEFT(TRIM([1]RawShipmentData!B1153),FIND("/",TRIM([1]RawShipmentData!B1153))-1))),DATEVALUE(TRIM([1]RawShipmentData!B1153)))</f>
        <v>45409</v>
      </c>
      <c r="C1142" s="2" t="str">
        <f>PROPER(TRIM([1]RawShipmentData!C1153))</f>
        <v>Delhi</v>
      </c>
      <c r="D1142" s="2" t="str">
        <f>IFERROR(INDEX([1]HubMaster!$B$2:$B$7,MATCH(C1142,[1]HubMaster!$A$2:$A$7,0)),"Unknown")</f>
        <v>North</v>
      </c>
      <c r="E1142" s="2" t="str">
        <f>PROPER(TRIM(SUBSTITUTE([1]RawShipmentData!D1153,"  "," ")))</f>
        <v>Dtdc</v>
      </c>
      <c r="F1142" s="2" t="str">
        <f>PROPER(TRIM([1]RawShipmentData!E1153))</f>
        <v>Surface</v>
      </c>
      <c r="G1142" s="2" t="str">
        <f>PROPER(TRIM(SUBSTITUTE([1]RawShipmentData!F1153,"  "," ")))</f>
        <v>Furniture</v>
      </c>
      <c r="H1142" s="2" t="str">
        <f>PROPER(TRIM([1]RawShipmentData!G1153))</f>
        <v>West</v>
      </c>
      <c r="I1142" s="2" t="str">
        <f t="shared" si="85"/>
        <v>Yes</v>
      </c>
      <c r="J1142" s="2">
        <f>IFERROR(VALUE(TRIM(SUBSTITUTE(UPPER([1]RawShipmentData!I1142),"KG",""))),"")</f>
        <v>27.6</v>
      </c>
      <c r="K1142" s="2">
        <f>VALUE(SUBSTITUTE(SUBSTITUTE(SUBSTITUTE(TRIM([1]RawShipmentData!J1153),"₹",""),"Rs",""),",",""))</f>
        <v>1157</v>
      </c>
      <c r="L1142" s="2">
        <f>[1]RawShipmentData!K1153</f>
        <v>6</v>
      </c>
      <c r="M1142" s="3">
        <f>IF(TRIM([1]RawShipmentData!L1153)="","",IF(ISNUMBER(SEARCH("/",TRIM([1]RawShipmentData!L1153))),DATE(VALUE(RIGHT(TRIM([1]RawShipmentData!L1153),4)),VALUE(MID(TRIM([1]RawShipmentData!L1153),FIND("/",TRIM([1]RawShipmentData!L1153))+1,2)),VALUE(LEFT(TRIM([1]RawShipmentData!L1153),FIND("/",TRIM([1]RawShipmentData!L1153))-1))),DATEVALUE(TRIM([1]RawShipmentData!L1153))))</f>
        <v>45421</v>
      </c>
      <c r="N1142" s="2">
        <f t="shared" si="86"/>
        <v>12</v>
      </c>
      <c r="O1142" s="2">
        <f t="shared" si="87"/>
        <v>6</v>
      </c>
      <c r="P1142" s="2" t="str">
        <f t="shared" si="88"/>
        <v>Late</v>
      </c>
      <c r="Q1142" s="2" t="str">
        <f>PROPER(SUBSTITUTE(TRIM([1]RawShipmentData!M1153)," ","-"))</f>
        <v>Delayed</v>
      </c>
      <c r="R1142" s="4">
        <f t="shared" si="89"/>
        <v>41.920289855072461</v>
      </c>
      <c r="S1142" s="2">
        <f>[1]RawShipmentData!N1153</f>
        <v>4</v>
      </c>
      <c r="T1142" s="2" t="str">
        <f>IF(OR(UPPER(TRIM([1]RawShipmentData!O1153))="YES",UPPER(TRIM([1]RawShipmentData!O1153))="Y"),"Yes","No")</f>
        <v>No</v>
      </c>
    </row>
    <row r="1143" spans="1:20" x14ac:dyDescent="0.25">
      <c r="A1143" s="2" t="str">
        <f>[1]RawShipmentData!A1154</f>
        <v>SHP-101218</v>
      </c>
      <c r="B1143" s="3">
        <f>IF(ISNUMBER(SEARCH("/",TRIM([1]RawShipmentData!B1154))),DATE(VALUE(RIGHT(TRIM([1]RawShipmentData!B1154),4)),VALUE(MID(TRIM([1]RawShipmentData!B1154),FIND("/",TRIM([1]RawShipmentData!B1154))+1,2)),VALUE(LEFT(TRIM([1]RawShipmentData!B1154),FIND("/",TRIM([1]RawShipmentData!B1154))-1))),DATEVALUE(TRIM([1]RawShipmentData!B1154)))</f>
        <v>45309</v>
      </c>
      <c r="C1143" s="2" t="str">
        <f>PROPER(TRIM([1]RawShipmentData!C1154))</f>
        <v>Delhi</v>
      </c>
      <c r="D1143" s="2" t="str">
        <f>IFERROR(INDEX([1]HubMaster!$B$2:$B$7,MATCH(C1143,[1]HubMaster!$A$2:$A$7,0)),"Unknown")</f>
        <v>North</v>
      </c>
      <c r="E1143" s="2" t="str">
        <f>PROPER(TRIM(SUBSTITUTE([1]RawShipmentData!D1154,"  "," ")))</f>
        <v>Dtdc</v>
      </c>
      <c r="F1143" s="2" t="str">
        <f>PROPER(TRIM([1]RawShipmentData!E1154))</f>
        <v>Air</v>
      </c>
      <c r="G1143" s="2" t="str">
        <f>PROPER(TRIM(SUBSTITUTE([1]RawShipmentData!F1154,"  "," ")))</f>
        <v>Apparel</v>
      </c>
      <c r="H1143" s="2" t="str">
        <f>PROPER(TRIM([1]RawShipmentData!G1154))</f>
        <v>East</v>
      </c>
      <c r="I1143" s="2" t="str">
        <f t="shared" si="85"/>
        <v>Yes</v>
      </c>
      <c r="J1143" s="2">
        <f>IFERROR(VALUE(TRIM(SUBSTITUTE(UPPER([1]RawShipmentData!I1143),"KG",""))),"")</f>
        <v>3.3</v>
      </c>
      <c r="K1143" s="2">
        <f>VALUE(SUBSTITUTE(SUBSTITUTE(SUBSTITUTE(TRIM([1]RawShipmentData!J1154),"₹",""),"Rs",""),",",""))</f>
        <v>471</v>
      </c>
      <c r="L1143" s="2">
        <f>[1]RawShipmentData!K1154</f>
        <v>4</v>
      </c>
      <c r="M1143" s="3">
        <f>IF(TRIM([1]RawShipmentData!L1154)="","",IF(ISNUMBER(SEARCH("/",TRIM([1]RawShipmentData!L1154))),DATE(VALUE(RIGHT(TRIM([1]RawShipmentData!L1154),4)),VALUE(MID(TRIM([1]RawShipmentData!L1154),FIND("/",TRIM([1]RawShipmentData!L1154))+1,2)),VALUE(LEFT(TRIM([1]RawShipmentData!L1154),FIND("/",TRIM([1]RawShipmentData!L1154))-1))),DATEVALUE(TRIM([1]RawShipmentData!L1154))))</f>
        <v>45312</v>
      </c>
      <c r="N1143" s="2">
        <f t="shared" si="86"/>
        <v>3</v>
      </c>
      <c r="O1143" s="2">
        <f t="shared" si="87"/>
        <v>-1</v>
      </c>
      <c r="P1143" s="2" t="str">
        <f t="shared" si="88"/>
        <v>On Time</v>
      </c>
      <c r="Q1143" s="2" t="str">
        <f>PROPER(SUBSTITUTE(TRIM([1]RawShipmentData!M1154)," ","-"))</f>
        <v>Delivered</v>
      </c>
      <c r="R1143" s="4">
        <f t="shared" si="89"/>
        <v>142.72727272727275</v>
      </c>
      <c r="S1143" s="2">
        <f>[1]RawShipmentData!N1154</f>
        <v>4</v>
      </c>
      <c r="T1143" s="2" t="str">
        <f>IF(OR(UPPER(TRIM([1]RawShipmentData!O1154))="YES",UPPER(TRIM([1]RawShipmentData!O1154))="Y"),"Yes","No")</f>
        <v>No</v>
      </c>
    </row>
    <row r="1144" spans="1:20" x14ac:dyDescent="0.25">
      <c r="A1144" s="2" t="str">
        <f>[1]RawShipmentData!A1155</f>
        <v>SHP-100806</v>
      </c>
      <c r="B1144" s="3">
        <f>IF(ISNUMBER(SEARCH("/",TRIM([1]RawShipmentData!B1155))),DATE(VALUE(RIGHT(TRIM([1]RawShipmentData!B1155),4)),VALUE(MID(TRIM([1]RawShipmentData!B1155),FIND("/",TRIM([1]RawShipmentData!B1155))+1,2)),VALUE(LEFT(TRIM([1]RawShipmentData!B1155),FIND("/",TRIM([1]RawShipmentData!B1155))-1))),DATEVALUE(TRIM([1]RawShipmentData!B1155)))</f>
        <v>45468</v>
      </c>
      <c r="C1144" s="2" t="str">
        <f>PROPER(TRIM([1]RawShipmentData!C1155))</f>
        <v>Bengaluru</v>
      </c>
      <c r="D1144" s="2" t="str">
        <f>IFERROR(INDEX([1]HubMaster!$B$2:$B$7,MATCH(C1144,[1]HubMaster!$A$2:$A$7,0)),"Unknown")</f>
        <v>South</v>
      </c>
      <c r="E1144" s="2" t="str">
        <f>PROPER(TRIM(SUBSTITUTE([1]RawShipmentData!D1155,"  "," ")))</f>
        <v>Ecom Express</v>
      </c>
      <c r="F1144" s="2" t="str">
        <f>PROPER(TRIM([1]RawShipmentData!E1155))</f>
        <v>Surface</v>
      </c>
      <c r="G1144" s="2" t="str">
        <f>PROPER(TRIM(SUBSTITUTE([1]RawShipmentData!F1155,"  "," ")))</f>
        <v>Furniture</v>
      </c>
      <c r="H1144" s="2" t="str">
        <f>PROPER(TRIM([1]RawShipmentData!G1155))</f>
        <v>East</v>
      </c>
      <c r="I1144" s="2" t="str">
        <f t="shared" si="85"/>
        <v>Yes</v>
      </c>
      <c r="J1144" s="2">
        <f>IFERROR(VALUE(TRIM(SUBSTITUTE(UPPER([1]RawShipmentData!I1144),"KG",""))),"")</f>
        <v>16.8</v>
      </c>
      <c r="K1144" s="2">
        <f>VALUE(SUBSTITUTE(SUBSTITUTE(SUBSTITUTE(TRIM([1]RawShipmentData!J1155),"₹",""),"Rs",""),",",""))</f>
        <v>1777</v>
      </c>
      <c r="L1144" s="2">
        <f>[1]RawShipmentData!K1155</f>
        <v>6</v>
      </c>
      <c r="M1144" s="3">
        <f>IF(TRIM([1]RawShipmentData!L1155)="","",IF(ISNUMBER(SEARCH("/",TRIM([1]RawShipmentData!L1155))),DATE(VALUE(RIGHT(TRIM([1]RawShipmentData!L1155),4)),VALUE(MID(TRIM([1]RawShipmentData!L1155),FIND("/",TRIM([1]RawShipmentData!L1155))+1,2)),VALUE(LEFT(TRIM([1]RawShipmentData!L1155),FIND("/",TRIM([1]RawShipmentData!L1155))-1))),DATEVALUE(TRIM([1]RawShipmentData!L1155))))</f>
        <v>45476</v>
      </c>
      <c r="N1144" s="2">
        <f t="shared" si="86"/>
        <v>8</v>
      </c>
      <c r="O1144" s="2">
        <f t="shared" si="87"/>
        <v>2</v>
      </c>
      <c r="P1144" s="2" t="str">
        <f t="shared" si="88"/>
        <v>Late</v>
      </c>
      <c r="Q1144" s="2" t="str">
        <f>PROPER(SUBSTITUTE(TRIM([1]RawShipmentData!M1155)," ","-"))</f>
        <v>Delayed</v>
      </c>
      <c r="R1144" s="4">
        <f t="shared" si="89"/>
        <v>105.77380952380952</v>
      </c>
      <c r="S1144" s="2">
        <f>[1]RawShipmentData!N1155</f>
        <v>3</v>
      </c>
      <c r="T1144" s="2" t="str">
        <f>IF(OR(UPPER(TRIM([1]RawShipmentData!O1155))="YES",UPPER(TRIM([1]RawShipmentData!O1155))="Y"),"Yes","No")</f>
        <v>Yes</v>
      </c>
    </row>
    <row r="1145" spans="1:20" x14ac:dyDescent="0.25">
      <c r="A1145" s="2" t="str">
        <f>[1]RawShipmentData!A1156</f>
        <v>SHP-100280</v>
      </c>
      <c r="B1145" s="3">
        <f>IF(ISNUMBER(SEARCH("/",TRIM([1]RawShipmentData!B1156))),DATE(VALUE(RIGHT(TRIM([1]RawShipmentData!B1156),4)),VALUE(MID(TRIM([1]RawShipmentData!B1156),FIND("/",TRIM([1]RawShipmentData!B1156))+1,2)),VALUE(LEFT(TRIM([1]RawShipmentData!B1156),FIND("/",TRIM([1]RawShipmentData!B1156))-1))),DATEVALUE(TRIM([1]RawShipmentData!B1156)))</f>
        <v>45460</v>
      </c>
      <c r="C1145" s="2" t="str">
        <f>PROPER(TRIM([1]RawShipmentData!C1156))</f>
        <v>Delhi</v>
      </c>
      <c r="D1145" s="2" t="str">
        <f>IFERROR(INDEX([1]HubMaster!$B$2:$B$7,MATCH(C1145,[1]HubMaster!$A$2:$A$7,0)),"Unknown")</f>
        <v>North</v>
      </c>
      <c r="E1145" s="2" t="str">
        <f>PROPER(TRIM(SUBSTITUTE([1]RawShipmentData!D1156,"  "," ")))</f>
        <v>Dtdc</v>
      </c>
      <c r="F1145" s="2" t="str">
        <f>PROPER(TRIM([1]RawShipmentData!E1156))</f>
        <v>Surface</v>
      </c>
      <c r="G1145" s="2" t="str">
        <f>PROPER(TRIM(SUBSTITUTE([1]RawShipmentData!F1156,"  "," ")))</f>
        <v>Apparel</v>
      </c>
      <c r="H1145" s="2" t="str">
        <f>PROPER(TRIM([1]RawShipmentData!G1156))</f>
        <v>North</v>
      </c>
      <c r="I1145" s="2" t="str">
        <f t="shared" si="85"/>
        <v>No</v>
      </c>
      <c r="J1145" s="2">
        <f>IFERROR(VALUE(TRIM(SUBSTITUTE(UPPER([1]RawShipmentData!I1145),"KG",""))),"")</f>
        <v>3.9</v>
      </c>
      <c r="K1145" s="2">
        <f>VALUE(SUBSTITUTE(SUBSTITUTE(SUBSTITUTE(TRIM([1]RawShipmentData!J1156),"₹",""),"Rs",""),",",""))</f>
        <v>80</v>
      </c>
      <c r="L1145" s="2">
        <f>[1]RawShipmentData!K1156</f>
        <v>4</v>
      </c>
      <c r="M1145" s="3">
        <f>IF(TRIM([1]RawShipmentData!L1156)="","",IF(ISNUMBER(SEARCH("/",TRIM([1]RawShipmentData!L1156))),DATE(VALUE(RIGHT(TRIM([1]RawShipmentData!L1156),4)),VALUE(MID(TRIM([1]RawShipmentData!L1156),FIND("/",TRIM([1]RawShipmentData!L1156))+1,2)),VALUE(LEFT(TRIM([1]RawShipmentData!L1156),FIND("/",TRIM([1]RawShipmentData!L1156))-1))),DATEVALUE(TRIM([1]RawShipmentData!L1156))))</f>
        <v>45464</v>
      </c>
      <c r="N1145" s="2">
        <f t="shared" si="86"/>
        <v>4</v>
      </c>
      <c r="O1145" s="2">
        <f t="shared" si="87"/>
        <v>0</v>
      </c>
      <c r="P1145" s="2" t="str">
        <f t="shared" si="88"/>
        <v>On Time</v>
      </c>
      <c r="Q1145" s="2" t="str">
        <f>PROPER(SUBSTITUTE(TRIM([1]RawShipmentData!M1156)," ","-"))</f>
        <v>Delivered</v>
      </c>
      <c r="R1145" s="4">
        <f t="shared" si="89"/>
        <v>20.512820512820515</v>
      </c>
      <c r="S1145" s="2">
        <f>[1]RawShipmentData!N1156</f>
        <v>3</v>
      </c>
      <c r="T1145" s="2" t="str">
        <f>IF(OR(UPPER(TRIM([1]RawShipmentData!O1156))="YES",UPPER(TRIM([1]RawShipmentData!O1156))="Y"),"Yes","No")</f>
        <v>No</v>
      </c>
    </row>
    <row r="1146" spans="1:20" x14ac:dyDescent="0.25">
      <c r="A1146" s="2" t="str">
        <f>[1]RawShipmentData!A1157</f>
        <v>SHP-101251</v>
      </c>
      <c r="B1146" s="3">
        <f>IF(ISNUMBER(SEARCH("/",TRIM([1]RawShipmentData!B1157))),DATE(VALUE(RIGHT(TRIM([1]RawShipmentData!B1157),4)),VALUE(MID(TRIM([1]RawShipmentData!B1157),FIND("/",TRIM([1]RawShipmentData!B1157))+1,2)),VALUE(LEFT(TRIM([1]RawShipmentData!B1157),FIND("/",TRIM([1]RawShipmentData!B1157))-1))),DATEVALUE(TRIM([1]RawShipmentData!B1157)))</f>
        <v>45328</v>
      </c>
      <c r="C1146" s="2" t="str">
        <f>PROPER(TRIM([1]RawShipmentData!C1157))</f>
        <v>Mumbai</v>
      </c>
      <c r="D1146" s="2" t="str">
        <f>IFERROR(INDEX([1]HubMaster!$B$2:$B$7,MATCH(C1146,[1]HubMaster!$A$2:$A$7,0)),"Unknown")</f>
        <v>West</v>
      </c>
      <c r="E1146" s="2" t="str">
        <f>PROPER(TRIM(SUBSTITUTE([1]RawShipmentData!D1157,"  "," ")))</f>
        <v>Xpress Bees</v>
      </c>
      <c r="F1146" s="2" t="str">
        <f>PROPER(TRIM([1]RawShipmentData!E1157))</f>
        <v>Road</v>
      </c>
      <c r="G1146" s="2" t="str">
        <f>PROPER(TRIM(SUBSTITUTE([1]RawShipmentData!F1157,"  "," ")))</f>
        <v>Grocery &amp; Fmcg</v>
      </c>
      <c r="H1146" s="2" t="str">
        <f>PROPER(TRIM([1]RawShipmentData!G1157))</f>
        <v>East</v>
      </c>
      <c r="I1146" s="2" t="str">
        <f t="shared" si="85"/>
        <v>Yes</v>
      </c>
      <c r="J1146" s="2">
        <f>IFERROR(VALUE(TRIM(SUBSTITUTE(UPPER([1]RawShipmentData!I1146),"KG",""))),"")</f>
        <v>7.8</v>
      </c>
      <c r="K1146" s="2">
        <f>VALUE(SUBSTITUTE(SUBSTITUTE(SUBSTITUTE(TRIM([1]RawShipmentData!J1157),"₹",""),"Rs",""),",",""))</f>
        <v>227</v>
      </c>
      <c r="L1146" s="2">
        <f>[1]RawShipmentData!K1157</f>
        <v>8</v>
      </c>
      <c r="M1146" s="3">
        <f>IF(TRIM([1]RawShipmentData!L1157)="","",IF(ISNUMBER(SEARCH("/",TRIM([1]RawShipmentData!L1157))),DATE(VALUE(RIGHT(TRIM([1]RawShipmentData!L1157),4)),VALUE(MID(TRIM([1]RawShipmentData!L1157),FIND("/",TRIM([1]RawShipmentData!L1157))+1,2)),VALUE(LEFT(TRIM([1]RawShipmentData!L1157),FIND("/",TRIM([1]RawShipmentData!L1157))-1))),DATEVALUE(TRIM([1]RawShipmentData!L1157))))</f>
        <v>45338</v>
      </c>
      <c r="N1146" s="2">
        <f t="shared" si="86"/>
        <v>10</v>
      </c>
      <c r="O1146" s="2">
        <f t="shared" si="87"/>
        <v>2</v>
      </c>
      <c r="P1146" s="2" t="str">
        <f t="shared" si="88"/>
        <v>Late</v>
      </c>
      <c r="Q1146" s="2" t="str">
        <f>PROPER(SUBSTITUTE(TRIM([1]RawShipmentData!M1157)," ","-"))</f>
        <v>Delayed</v>
      </c>
      <c r="R1146" s="4">
        <f t="shared" si="89"/>
        <v>29.102564102564102</v>
      </c>
      <c r="S1146" s="2">
        <f>[1]RawShipmentData!N1157</f>
        <v>2</v>
      </c>
      <c r="T1146" s="2" t="str">
        <f>IF(OR(UPPER(TRIM([1]RawShipmentData!O1157))="YES",UPPER(TRIM([1]RawShipmentData!O1157))="Y"),"Yes","No")</f>
        <v>No</v>
      </c>
    </row>
    <row r="1147" spans="1:20" x14ac:dyDescent="0.25">
      <c r="A1147" s="2" t="str">
        <f>[1]RawShipmentData!A1158</f>
        <v>SHP-100006</v>
      </c>
      <c r="B1147" s="3">
        <f>IF(ISNUMBER(SEARCH("/",TRIM([1]RawShipmentData!B1158))),DATE(VALUE(RIGHT(TRIM([1]RawShipmentData!B1158),4)),VALUE(MID(TRIM([1]RawShipmentData!B1158),FIND("/",TRIM([1]RawShipmentData!B1158))+1,2)),VALUE(LEFT(TRIM([1]RawShipmentData!B1158),FIND("/",TRIM([1]RawShipmentData!B1158))-1))),DATEVALUE(TRIM([1]RawShipmentData!B1158)))</f>
        <v>45324</v>
      </c>
      <c r="C1147" s="2" t="str">
        <f>PROPER(TRIM([1]RawShipmentData!C1158))</f>
        <v>Hyderabad</v>
      </c>
      <c r="D1147" s="2" t="str">
        <f>IFERROR(INDEX([1]HubMaster!$B$2:$B$7,MATCH(C1147,[1]HubMaster!$A$2:$A$7,0)),"Unknown")</f>
        <v>West</v>
      </c>
      <c r="E1147" s="2" t="str">
        <f>PROPER(TRIM(SUBSTITUTE([1]RawShipmentData!D1158,"  "," ")))</f>
        <v>Ecom Express</v>
      </c>
      <c r="F1147" s="2" t="str">
        <f>PROPER(TRIM([1]RawShipmentData!E1158))</f>
        <v>Air</v>
      </c>
      <c r="G1147" s="2" t="str">
        <f>PROPER(TRIM(SUBSTITUTE([1]RawShipmentData!F1158,"  "," ")))</f>
        <v>Pharma</v>
      </c>
      <c r="H1147" s="2" t="str">
        <f>PROPER(TRIM([1]RawShipmentData!G1158))</f>
        <v>North</v>
      </c>
      <c r="I1147" s="2" t="str">
        <f t="shared" si="85"/>
        <v>Yes</v>
      </c>
      <c r="J1147" s="2">
        <f>IFERROR(VALUE(TRIM(SUBSTITUTE(UPPER([1]RawShipmentData!I1147),"KG",""))),"")</f>
        <v>1.2</v>
      </c>
      <c r="K1147" s="2">
        <f>VALUE(SUBSTITUTE(SUBSTITUTE(SUBSTITUTE(TRIM([1]RawShipmentData!J1158),"₹",""),"Rs",""),",",""))</f>
        <v>295</v>
      </c>
      <c r="L1147" s="2">
        <f>[1]RawShipmentData!K1158</f>
        <v>4</v>
      </c>
      <c r="M1147" s="3">
        <f>IF(TRIM([1]RawShipmentData!L1158)="","",IF(ISNUMBER(SEARCH("/",TRIM([1]RawShipmentData!L1158))),DATE(VALUE(RIGHT(TRIM([1]RawShipmentData!L1158),4)),VALUE(MID(TRIM([1]RawShipmentData!L1158),FIND("/",TRIM([1]RawShipmentData!L1158))+1,2)),VALUE(LEFT(TRIM([1]RawShipmentData!L1158),FIND("/",TRIM([1]RawShipmentData!L1158))-1))),DATEVALUE(TRIM([1]RawShipmentData!L1158))))</f>
        <v>45329</v>
      </c>
      <c r="N1147" s="2">
        <f t="shared" si="86"/>
        <v>5</v>
      </c>
      <c r="O1147" s="2">
        <f t="shared" si="87"/>
        <v>1</v>
      </c>
      <c r="P1147" s="2" t="str">
        <f t="shared" si="88"/>
        <v>Late</v>
      </c>
      <c r="Q1147" s="2" t="str">
        <f>PROPER(SUBSTITUTE(TRIM([1]RawShipmentData!M1158)," ","-"))</f>
        <v>Delayed</v>
      </c>
      <c r="R1147" s="4">
        <f t="shared" si="89"/>
        <v>245.83333333333334</v>
      </c>
      <c r="S1147" s="2">
        <f>[1]RawShipmentData!N1158</f>
        <v>1</v>
      </c>
      <c r="T1147" s="2" t="str">
        <f>IF(OR(UPPER(TRIM([1]RawShipmentData!O1158))="YES",UPPER(TRIM([1]RawShipmentData!O1158))="Y"),"Yes","No")</f>
        <v>Yes</v>
      </c>
    </row>
    <row r="1148" spans="1:20" x14ac:dyDescent="0.25">
      <c r="A1148" s="2" t="str">
        <f>[1]RawShipmentData!A1159</f>
        <v>SHP-101484</v>
      </c>
      <c r="B1148" s="3">
        <f>IF(ISNUMBER(SEARCH("/",TRIM([1]RawShipmentData!B1159))),DATE(VALUE(RIGHT(TRIM([1]RawShipmentData!B1159),4)),VALUE(MID(TRIM([1]RawShipmentData!B1159),FIND("/",TRIM([1]RawShipmentData!B1159))+1,2)),VALUE(LEFT(TRIM([1]RawShipmentData!B1159),FIND("/",TRIM([1]RawShipmentData!B1159))-1))),DATEVALUE(TRIM([1]RawShipmentData!B1159)))</f>
        <v>45444</v>
      </c>
      <c r="C1148" s="2" t="str">
        <f>PROPER(TRIM([1]RawShipmentData!C1159))</f>
        <v>Chennai</v>
      </c>
      <c r="D1148" s="2" t="str">
        <f>IFERROR(INDEX([1]HubMaster!$B$2:$B$7,MATCH(C1148,[1]HubMaster!$A$2:$A$7,0)),"Unknown")</f>
        <v>South</v>
      </c>
      <c r="E1148" s="2" t="str">
        <f>PROPER(TRIM(SUBSTITUTE([1]RawShipmentData!D1159,"  "," ")))</f>
        <v>Bluedart</v>
      </c>
      <c r="F1148" s="2" t="str">
        <f>PROPER(TRIM([1]RawShipmentData!E1159))</f>
        <v>Air</v>
      </c>
      <c r="G1148" s="2" t="str">
        <f>PROPER(TRIM(SUBSTITUTE([1]RawShipmentData!F1159,"  "," ")))</f>
        <v>Automotive Parts</v>
      </c>
      <c r="H1148" s="2" t="str">
        <f>PROPER(TRIM([1]RawShipmentData!G1159))</f>
        <v>West</v>
      </c>
      <c r="I1148" s="2" t="str">
        <f t="shared" si="85"/>
        <v>Yes</v>
      </c>
      <c r="J1148" s="2">
        <f>IFERROR(VALUE(TRIM(SUBSTITUTE(UPPER([1]RawShipmentData!I1148),"KG",""))),"")</f>
        <v>29.8</v>
      </c>
      <c r="K1148" s="2">
        <f>VALUE(SUBSTITUTE(SUBSTITUTE(SUBSTITUTE(TRIM([1]RawShipmentData!J1159),"₹",""),"Rs",""),",",""))</f>
        <v>467</v>
      </c>
      <c r="L1148" s="2">
        <f>[1]RawShipmentData!K1159</f>
        <v>4</v>
      </c>
      <c r="M1148" s="3">
        <f>IF(TRIM([1]RawShipmentData!L1159)="","",IF(ISNUMBER(SEARCH("/",TRIM([1]RawShipmentData!L1159))),DATE(VALUE(RIGHT(TRIM([1]RawShipmentData!L1159),4)),VALUE(MID(TRIM([1]RawShipmentData!L1159),FIND("/",TRIM([1]RawShipmentData!L1159))+1,2)),VALUE(LEFT(TRIM([1]RawShipmentData!L1159),FIND("/",TRIM([1]RawShipmentData!L1159))-1))),DATEVALUE(TRIM([1]RawShipmentData!L1159))))</f>
        <v>45449</v>
      </c>
      <c r="N1148" s="2">
        <f t="shared" si="86"/>
        <v>5</v>
      </c>
      <c r="O1148" s="2">
        <f t="shared" si="87"/>
        <v>1</v>
      </c>
      <c r="P1148" s="2" t="str">
        <f t="shared" si="88"/>
        <v>Late</v>
      </c>
      <c r="Q1148" s="2" t="str">
        <f>PROPER(SUBSTITUTE(TRIM([1]RawShipmentData!M1159)," ","-"))</f>
        <v>Delayed</v>
      </c>
      <c r="R1148" s="4">
        <f t="shared" si="89"/>
        <v>15.671140939597315</v>
      </c>
      <c r="S1148" s="2">
        <f>[1]RawShipmentData!N1159</f>
        <v>3</v>
      </c>
      <c r="T1148" s="2" t="str">
        <f>IF(OR(UPPER(TRIM([1]RawShipmentData!O1159))="YES",UPPER(TRIM([1]RawShipmentData!O1159))="Y"),"Yes","No")</f>
        <v>Yes</v>
      </c>
    </row>
    <row r="1149" spans="1:20" x14ac:dyDescent="0.25">
      <c r="A1149" s="2" t="str">
        <f>[1]RawShipmentData!A1160</f>
        <v>SHP-100220</v>
      </c>
      <c r="B1149" s="3">
        <f>IF(ISNUMBER(SEARCH("/",TRIM([1]RawShipmentData!B1160))),DATE(VALUE(RIGHT(TRIM([1]RawShipmentData!B1160),4)),VALUE(MID(TRIM([1]RawShipmentData!B1160),FIND("/",TRIM([1]RawShipmentData!B1160))+1,2)),VALUE(LEFT(TRIM([1]RawShipmentData!B1160),FIND("/",TRIM([1]RawShipmentData!B1160))-1))),DATEVALUE(TRIM([1]RawShipmentData!B1160)))</f>
        <v>45451</v>
      </c>
      <c r="C1149" s="2" t="str">
        <f>PROPER(TRIM([1]RawShipmentData!C1160))</f>
        <v>Chennai</v>
      </c>
      <c r="D1149" s="2" t="str">
        <f>IFERROR(INDEX([1]HubMaster!$B$2:$B$7,MATCH(C1149,[1]HubMaster!$A$2:$A$7,0)),"Unknown")</f>
        <v>South</v>
      </c>
      <c r="E1149" s="2" t="str">
        <f>PROPER(TRIM(SUBSTITUTE([1]RawShipmentData!D1160,"  "," ")))</f>
        <v>Delhivery</v>
      </c>
      <c r="F1149" s="2" t="str">
        <f>PROPER(TRIM([1]RawShipmentData!E1160))</f>
        <v>Air</v>
      </c>
      <c r="G1149" s="2" t="str">
        <f>PROPER(TRIM(SUBSTITUTE([1]RawShipmentData!F1160,"  "," ")))</f>
        <v>Grocery &amp; Fmcg</v>
      </c>
      <c r="H1149" s="2" t="str">
        <f>PROPER(TRIM([1]RawShipmentData!G1160))</f>
        <v>West</v>
      </c>
      <c r="I1149" s="2" t="str">
        <f t="shared" si="85"/>
        <v>Yes</v>
      </c>
      <c r="J1149" s="2">
        <f>IFERROR(VALUE(TRIM(SUBSTITUTE(UPPER([1]RawShipmentData!I1149),"KG",""))),"")</f>
        <v>27.9</v>
      </c>
      <c r="K1149" s="2">
        <f>VALUE(SUBSTITUTE(SUBSTITUTE(SUBSTITUTE(TRIM([1]RawShipmentData!J1160),"₹",""),"Rs",""),",",""))</f>
        <v>886</v>
      </c>
      <c r="L1149" s="2">
        <f>[1]RawShipmentData!K1160</f>
        <v>4</v>
      </c>
      <c r="M1149" s="3">
        <f>IF(TRIM([1]RawShipmentData!L1160)="","",IF(ISNUMBER(SEARCH("/",TRIM([1]RawShipmentData!L1160))),DATE(VALUE(RIGHT(TRIM([1]RawShipmentData!L1160),4)),VALUE(MID(TRIM([1]RawShipmentData!L1160),FIND("/",TRIM([1]RawShipmentData!L1160))+1,2)),VALUE(LEFT(TRIM([1]RawShipmentData!L1160),FIND("/",TRIM([1]RawShipmentData!L1160))-1))),DATEVALUE(TRIM([1]RawShipmentData!L1160))))</f>
        <v>45454</v>
      </c>
      <c r="N1149" s="2">
        <f t="shared" si="86"/>
        <v>3</v>
      </c>
      <c r="O1149" s="2">
        <f t="shared" si="87"/>
        <v>-1</v>
      </c>
      <c r="P1149" s="2" t="str">
        <f t="shared" si="88"/>
        <v>On Time</v>
      </c>
      <c r="Q1149" s="2" t="str">
        <f>PROPER(SUBSTITUTE(TRIM([1]RawShipmentData!M1160)," ","-"))</f>
        <v>Delivered</v>
      </c>
      <c r="R1149" s="4">
        <f t="shared" si="89"/>
        <v>31.756272401433694</v>
      </c>
      <c r="S1149" s="2">
        <f>[1]RawShipmentData!N1160</f>
        <v>3</v>
      </c>
      <c r="T1149" s="2" t="str">
        <f>IF(OR(UPPER(TRIM([1]RawShipmentData!O1160))="YES",UPPER(TRIM([1]RawShipmentData!O1160))="Y"),"Yes","No")</f>
        <v>No</v>
      </c>
    </row>
    <row r="1150" spans="1:20" x14ac:dyDescent="0.25">
      <c r="A1150" s="2" t="str">
        <f>[1]RawShipmentData!A1161</f>
        <v>SHP-101524</v>
      </c>
      <c r="B1150" s="3">
        <f>IF(ISNUMBER(SEARCH("/",TRIM([1]RawShipmentData!B1161))),DATE(VALUE(RIGHT(TRIM([1]RawShipmentData!B1161),4)),VALUE(MID(TRIM([1]RawShipmentData!B1161),FIND("/",TRIM([1]RawShipmentData!B1161))+1,2)),VALUE(LEFT(TRIM([1]RawShipmentData!B1161),FIND("/",TRIM([1]RawShipmentData!B1161))-1))),DATEVALUE(TRIM([1]RawShipmentData!B1161)))</f>
        <v>45303</v>
      </c>
      <c r="C1150" s="2" t="str">
        <f>PROPER(TRIM([1]RawShipmentData!C1161))</f>
        <v>Hyderabad</v>
      </c>
      <c r="D1150" s="2" t="str">
        <f>IFERROR(INDEX([1]HubMaster!$B$2:$B$7,MATCH(C1150,[1]HubMaster!$A$2:$A$7,0)),"Unknown")</f>
        <v>West</v>
      </c>
      <c r="E1150" s="2" t="str">
        <f>PROPER(TRIM(SUBSTITUTE([1]RawShipmentData!D1161,"  "," ")))</f>
        <v>Ecom Express</v>
      </c>
      <c r="F1150" s="2" t="str">
        <f>PROPER(TRIM([1]RawShipmentData!E1161))</f>
        <v>Surface</v>
      </c>
      <c r="G1150" s="2" t="str">
        <f>PROPER(TRIM(SUBSTITUTE([1]RawShipmentData!F1161,"  "," ")))</f>
        <v>Grocery &amp; Fmcg</v>
      </c>
      <c r="H1150" s="2" t="str">
        <f>PROPER(TRIM([1]RawShipmentData!G1161))</f>
        <v>South</v>
      </c>
      <c r="I1150" s="2" t="str">
        <f t="shared" si="85"/>
        <v>Yes</v>
      </c>
      <c r="J1150" s="2">
        <f>IFERROR(VALUE(TRIM(SUBSTITUTE(UPPER([1]RawShipmentData!I1150),"KG",""))),"")</f>
        <v>9.4</v>
      </c>
      <c r="K1150" s="2">
        <f>VALUE(SUBSTITUTE(SUBSTITUTE(SUBSTITUTE(TRIM([1]RawShipmentData!J1161),"₹",""),"Rs",""),",",""))</f>
        <v>334</v>
      </c>
      <c r="L1150" s="2">
        <f>[1]RawShipmentData!K1161</f>
        <v>6</v>
      </c>
      <c r="M1150" s="3">
        <f>IF(TRIM([1]RawShipmentData!L1161)="","",IF(ISNUMBER(SEARCH("/",TRIM([1]RawShipmentData!L1161))),DATE(VALUE(RIGHT(TRIM([1]RawShipmentData!L1161),4)),VALUE(MID(TRIM([1]RawShipmentData!L1161),FIND("/",TRIM([1]RawShipmentData!L1161))+1,2)),VALUE(LEFT(TRIM([1]RawShipmentData!L1161),FIND("/",TRIM([1]RawShipmentData!L1161))-1))),DATEVALUE(TRIM([1]RawShipmentData!L1161))))</f>
        <v>45309</v>
      </c>
      <c r="N1150" s="2">
        <f t="shared" si="86"/>
        <v>6</v>
      </c>
      <c r="O1150" s="2">
        <f t="shared" si="87"/>
        <v>0</v>
      </c>
      <c r="P1150" s="2" t="str">
        <f t="shared" si="88"/>
        <v>On Time</v>
      </c>
      <c r="Q1150" s="2" t="str">
        <f>PROPER(SUBSTITUTE(TRIM([1]RawShipmentData!M1161)," ","-"))</f>
        <v>Delivered</v>
      </c>
      <c r="R1150" s="4">
        <f t="shared" si="89"/>
        <v>35.531914893617021</v>
      </c>
      <c r="S1150" s="2">
        <f>[1]RawShipmentData!N1161</f>
        <v>2</v>
      </c>
      <c r="T1150" s="2" t="str">
        <f>IF(OR(UPPER(TRIM([1]RawShipmentData!O1161))="YES",UPPER(TRIM([1]RawShipmentData!O1161))="Y"),"Yes","No")</f>
        <v>No</v>
      </c>
    </row>
    <row r="1151" spans="1:20" x14ac:dyDescent="0.25">
      <c r="A1151" s="2" t="str">
        <f>[1]RawShipmentData!A1162</f>
        <v>SHP-101240</v>
      </c>
      <c r="B1151" s="3">
        <f>IF(ISNUMBER(SEARCH("/",TRIM([1]RawShipmentData!B1162))),DATE(VALUE(RIGHT(TRIM([1]RawShipmentData!B1162),4)),VALUE(MID(TRIM([1]RawShipmentData!B1162),FIND("/",TRIM([1]RawShipmentData!B1162))+1,2)),VALUE(LEFT(TRIM([1]RawShipmentData!B1162),FIND("/",TRIM([1]RawShipmentData!B1162))-1))),DATEVALUE(TRIM([1]RawShipmentData!B1162)))</f>
        <v>45401</v>
      </c>
      <c r="C1151" s="2" t="str">
        <f>PROPER(TRIM([1]RawShipmentData!C1162))</f>
        <v>Kolkata</v>
      </c>
      <c r="D1151" s="2" t="str">
        <f>IFERROR(INDEX([1]HubMaster!$B$2:$B$7,MATCH(C1151,[1]HubMaster!$A$2:$A$7,0)),"Unknown")</f>
        <v>East</v>
      </c>
      <c r="E1151" s="2" t="str">
        <f>PROPER(TRIM(SUBSTITUTE([1]RawShipmentData!D1162,"  "," ")))</f>
        <v>Dtdc</v>
      </c>
      <c r="F1151" s="2" t="str">
        <f>PROPER(TRIM([1]RawShipmentData!E1162))</f>
        <v>Air</v>
      </c>
      <c r="G1151" s="2" t="str">
        <f>PROPER(TRIM(SUBSTITUTE([1]RawShipmentData!F1162,"  "," ")))</f>
        <v>Furniture</v>
      </c>
      <c r="H1151" s="2" t="str">
        <f>PROPER(TRIM([1]RawShipmentData!G1162))</f>
        <v>East</v>
      </c>
      <c r="I1151" s="2" t="str">
        <f t="shared" si="85"/>
        <v>No</v>
      </c>
      <c r="J1151" s="2">
        <f>IFERROR(VALUE(TRIM(SUBSTITUTE(UPPER([1]RawShipmentData!I1151),"KG",""))),"")</f>
        <v>1.3</v>
      </c>
      <c r="K1151" s="2">
        <f>VALUE(SUBSTITUTE(SUBSTITUTE(SUBSTITUTE(TRIM([1]RawShipmentData!J1162),"₹",""),"Rs",""),",",""))</f>
        <v>1904</v>
      </c>
      <c r="L1151" s="2">
        <f>[1]RawShipmentData!K1162</f>
        <v>2</v>
      </c>
      <c r="M1151" s="3">
        <f>IF(TRIM([1]RawShipmentData!L1162)="","",IF(ISNUMBER(SEARCH("/",TRIM([1]RawShipmentData!L1162))),DATE(VALUE(RIGHT(TRIM([1]RawShipmentData!L1162),4)),VALUE(MID(TRIM([1]RawShipmentData!L1162),FIND("/",TRIM([1]RawShipmentData!L1162))+1,2)),VALUE(LEFT(TRIM([1]RawShipmentData!L1162),FIND("/",TRIM([1]RawShipmentData!L1162))-1))),DATEVALUE(TRIM([1]RawShipmentData!L1162))))</f>
        <v>45403</v>
      </c>
      <c r="N1151" s="2">
        <f t="shared" si="86"/>
        <v>2</v>
      </c>
      <c r="O1151" s="2">
        <f t="shared" si="87"/>
        <v>0</v>
      </c>
      <c r="P1151" s="2" t="str">
        <f t="shared" si="88"/>
        <v>On Time</v>
      </c>
      <c r="Q1151" s="2" t="str">
        <f>PROPER(SUBSTITUTE(TRIM([1]RawShipmentData!M1162)," ","-"))</f>
        <v>Delivered</v>
      </c>
      <c r="R1151" s="4">
        <f t="shared" si="89"/>
        <v>1464.6153846153845</v>
      </c>
      <c r="S1151" s="2">
        <f>[1]RawShipmentData!N1162</f>
        <v>4</v>
      </c>
      <c r="T1151" s="2" t="str">
        <f>IF(OR(UPPER(TRIM([1]RawShipmentData!O1162))="YES",UPPER(TRIM([1]RawShipmentData!O1162))="Y"),"Yes","No")</f>
        <v>No</v>
      </c>
    </row>
    <row r="1152" spans="1:20" x14ac:dyDescent="0.25">
      <c r="A1152" s="2" t="str">
        <f>[1]RawShipmentData!A1163</f>
        <v>SHP-100722</v>
      </c>
      <c r="B1152" s="3">
        <f>IF(ISNUMBER(SEARCH("/",TRIM([1]RawShipmentData!B1163))),DATE(VALUE(RIGHT(TRIM([1]RawShipmentData!B1163),4)),VALUE(MID(TRIM([1]RawShipmentData!B1163),FIND("/",TRIM([1]RawShipmentData!B1163))+1,2)),VALUE(LEFT(TRIM([1]RawShipmentData!B1163),FIND("/",TRIM([1]RawShipmentData!B1163))-1))),DATEVALUE(TRIM([1]RawShipmentData!B1163)))</f>
        <v>45339</v>
      </c>
      <c r="C1152" s="2" t="str">
        <f>PROPER(TRIM([1]RawShipmentData!C1163))</f>
        <v>Kolkata</v>
      </c>
      <c r="D1152" s="2" t="str">
        <f>IFERROR(INDEX([1]HubMaster!$B$2:$B$7,MATCH(C1152,[1]HubMaster!$A$2:$A$7,0)),"Unknown")</f>
        <v>East</v>
      </c>
      <c r="E1152" s="2" t="str">
        <f>PROPER(TRIM(SUBSTITUTE([1]RawShipmentData!D1163,"  "," ")))</f>
        <v>Dtdc</v>
      </c>
      <c r="F1152" s="2" t="str">
        <f>PROPER(TRIM([1]RawShipmentData!E1163))</f>
        <v>Road</v>
      </c>
      <c r="G1152" s="2" t="str">
        <f>PROPER(TRIM(SUBSTITUTE([1]RawShipmentData!F1163,"  "," ")))</f>
        <v>Automotive Parts</v>
      </c>
      <c r="H1152" s="2" t="str">
        <f>PROPER(TRIM([1]RawShipmentData!G1163))</f>
        <v>North</v>
      </c>
      <c r="I1152" s="2" t="str">
        <f t="shared" si="85"/>
        <v>Yes</v>
      </c>
      <c r="J1152" s="2">
        <f>IFERROR(VALUE(TRIM(SUBSTITUTE(UPPER([1]RawShipmentData!I1152),"KG",""))),"")</f>
        <v>10.199999999999999</v>
      </c>
      <c r="K1152" s="2">
        <f>VALUE(SUBSTITUTE(SUBSTITUTE(SUBSTITUTE(TRIM([1]RawShipmentData!J1163),"₹",""),"Rs",""),",",""))</f>
        <v>229</v>
      </c>
      <c r="L1152" s="2">
        <f>[1]RawShipmentData!K1163</f>
        <v>8</v>
      </c>
      <c r="M1152" s="3">
        <f>IF(TRIM([1]RawShipmentData!L1163)="","",IF(ISNUMBER(SEARCH("/",TRIM([1]RawShipmentData!L1163))),DATE(VALUE(RIGHT(TRIM([1]RawShipmentData!L1163),4)),VALUE(MID(TRIM([1]RawShipmentData!L1163),FIND("/",TRIM([1]RawShipmentData!L1163))+1,2)),VALUE(LEFT(TRIM([1]RawShipmentData!L1163),FIND("/",TRIM([1]RawShipmentData!L1163))-1))),DATEVALUE(TRIM([1]RawShipmentData!L1163))))</f>
        <v>45347</v>
      </c>
      <c r="N1152" s="2">
        <f t="shared" si="86"/>
        <v>8</v>
      </c>
      <c r="O1152" s="2">
        <f t="shared" si="87"/>
        <v>0</v>
      </c>
      <c r="P1152" s="2" t="str">
        <f t="shared" si="88"/>
        <v>On Time</v>
      </c>
      <c r="Q1152" s="2" t="str">
        <f>PROPER(SUBSTITUTE(TRIM([1]RawShipmentData!M1163)," ","-"))</f>
        <v>Delivered</v>
      </c>
      <c r="R1152" s="4">
        <f t="shared" si="89"/>
        <v>22.450980392156865</v>
      </c>
      <c r="S1152" s="2">
        <f>[1]RawShipmentData!N1163</f>
        <v>2</v>
      </c>
      <c r="T1152" s="2" t="str">
        <f>IF(OR(UPPER(TRIM([1]RawShipmentData!O1163))="YES",UPPER(TRIM([1]RawShipmentData!O1163))="Y"),"Yes","No")</f>
        <v>No</v>
      </c>
    </row>
    <row r="1153" spans="1:20" x14ac:dyDescent="0.25">
      <c r="A1153" s="2" t="str">
        <f>[1]RawShipmentData!A1164</f>
        <v>SHP-101177</v>
      </c>
      <c r="B1153" s="3">
        <f>IF(ISNUMBER(SEARCH("/",TRIM([1]RawShipmentData!B1164))),DATE(VALUE(RIGHT(TRIM([1]RawShipmentData!B1164),4)),VALUE(MID(TRIM([1]RawShipmentData!B1164),FIND("/",TRIM([1]RawShipmentData!B1164))+1,2)),VALUE(LEFT(TRIM([1]RawShipmentData!B1164),FIND("/",TRIM([1]RawShipmentData!B1164))-1))),DATEVALUE(TRIM([1]RawShipmentData!B1164)))</f>
        <v>45387</v>
      </c>
      <c r="C1153" s="2" t="str">
        <f>PROPER(TRIM([1]RawShipmentData!C1164))</f>
        <v>Chennai</v>
      </c>
      <c r="D1153" s="2" t="str">
        <f>IFERROR(INDEX([1]HubMaster!$B$2:$B$7,MATCH(C1153,[1]HubMaster!$A$2:$A$7,0)),"Unknown")</f>
        <v>South</v>
      </c>
      <c r="E1153" s="2" t="str">
        <f>PROPER(TRIM(SUBSTITUTE([1]RawShipmentData!D1164,"  "," ")))</f>
        <v>Blue Dart</v>
      </c>
      <c r="F1153" s="2" t="str">
        <f>PROPER(TRIM([1]RawShipmentData!E1164))</f>
        <v>Air</v>
      </c>
      <c r="G1153" s="2" t="str">
        <f>PROPER(TRIM(SUBSTITUTE([1]RawShipmentData!F1164,"  "," ")))</f>
        <v>Grocery &amp; Fmcg</v>
      </c>
      <c r="H1153" s="2" t="str">
        <f>PROPER(TRIM([1]RawShipmentData!G1164))</f>
        <v>West</v>
      </c>
      <c r="I1153" s="2" t="str">
        <f t="shared" si="85"/>
        <v>Yes</v>
      </c>
      <c r="J1153" s="2">
        <f>IFERROR(VALUE(TRIM(SUBSTITUTE(UPPER([1]RawShipmentData!I1153),"KG",""))),"")</f>
        <v>43.8</v>
      </c>
      <c r="K1153" s="2">
        <f>VALUE(SUBSTITUTE(SUBSTITUTE(SUBSTITUTE(TRIM([1]RawShipmentData!J1164),"₹",""),"Rs",""),",",""))</f>
        <v>782</v>
      </c>
      <c r="L1153" s="2">
        <f>[1]RawShipmentData!K1164</f>
        <v>4</v>
      </c>
      <c r="M1153" s="3">
        <f>IF(TRIM([1]RawShipmentData!L1164)="","",IF(ISNUMBER(SEARCH("/",TRIM([1]RawShipmentData!L1164))),DATE(VALUE(RIGHT(TRIM([1]RawShipmentData!L1164),4)),VALUE(MID(TRIM([1]RawShipmentData!L1164),FIND("/",TRIM([1]RawShipmentData!L1164))+1,2)),VALUE(LEFT(TRIM([1]RawShipmentData!L1164),FIND("/",TRIM([1]RawShipmentData!L1164))-1))),DATEVALUE(TRIM([1]RawShipmentData!L1164))))</f>
        <v>45391</v>
      </c>
      <c r="N1153" s="2">
        <f t="shared" si="86"/>
        <v>4</v>
      </c>
      <c r="O1153" s="2">
        <f t="shared" si="87"/>
        <v>0</v>
      </c>
      <c r="P1153" s="2" t="str">
        <f t="shared" si="88"/>
        <v>On Time</v>
      </c>
      <c r="Q1153" s="2" t="str">
        <f>PROPER(SUBSTITUTE(TRIM([1]RawShipmentData!M1164)," ","-"))</f>
        <v>Delivered</v>
      </c>
      <c r="R1153" s="4">
        <f t="shared" si="89"/>
        <v>17.853881278538815</v>
      </c>
      <c r="S1153" s="2">
        <f>[1]RawShipmentData!N1164</f>
        <v>4</v>
      </c>
      <c r="T1153" s="2" t="str">
        <f>IF(OR(UPPER(TRIM([1]RawShipmentData!O1164))="YES",UPPER(TRIM([1]RawShipmentData!O1164))="Y"),"Yes","No")</f>
        <v>No</v>
      </c>
    </row>
    <row r="1154" spans="1:20" x14ac:dyDescent="0.25">
      <c r="A1154" s="2" t="str">
        <f>[1]RawShipmentData!A1165</f>
        <v>SHP-100580</v>
      </c>
      <c r="B1154" s="3">
        <f>IF(ISNUMBER(SEARCH("/",TRIM([1]RawShipmentData!B1165))),DATE(VALUE(RIGHT(TRIM([1]RawShipmentData!B1165),4)),VALUE(MID(TRIM([1]RawShipmentData!B1165),FIND("/",TRIM([1]RawShipmentData!B1165))+1,2)),VALUE(LEFT(TRIM([1]RawShipmentData!B1165),FIND("/",TRIM([1]RawShipmentData!B1165))-1))),DATEVALUE(TRIM([1]RawShipmentData!B1165)))</f>
        <v>45312</v>
      </c>
      <c r="C1154" s="2" t="str">
        <f>PROPER(TRIM([1]RawShipmentData!C1165))</f>
        <v>Mumbai</v>
      </c>
      <c r="D1154" s="2" t="str">
        <f>IFERROR(INDEX([1]HubMaster!$B$2:$B$7,MATCH(C1154,[1]HubMaster!$A$2:$A$7,0)),"Unknown")</f>
        <v>West</v>
      </c>
      <c r="E1154" s="2" t="str">
        <f>PROPER(TRIM(SUBSTITUTE([1]RawShipmentData!D1165,"  "," ")))</f>
        <v>Bluedart</v>
      </c>
      <c r="F1154" s="2" t="str">
        <f>PROPER(TRIM([1]RawShipmentData!E1165))</f>
        <v>Surface</v>
      </c>
      <c r="G1154" s="2" t="str">
        <f>PROPER(TRIM(SUBSTITUTE([1]RawShipmentData!F1165,"  "," ")))</f>
        <v>Grocery &amp; Fmcg</v>
      </c>
      <c r="H1154" s="2" t="str">
        <f>PROPER(TRIM([1]RawShipmentData!G1165))</f>
        <v>North</v>
      </c>
      <c r="I1154" s="2" t="str">
        <f t="shared" ref="I1154:I1217" si="90">IF(D1154=H1154,"No","Yes")</f>
        <v>Yes</v>
      </c>
      <c r="J1154" s="2">
        <f>IFERROR(VALUE(TRIM(SUBSTITUTE(UPPER([1]RawShipmentData!I1154),"KG",""))),"")</f>
        <v>7.7</v>
      </c>
      <c r="K1154" s="2">
        <f>VALUE(SUBSTITUTE(SUBSTITUTE(SUBSTITUTE(TRIM([1]RawShipmentData!J1165),"₹",""),"Rs",""),",",""))</f>
        <v>515</v>
      </c>
      <c r="L1154" s="2">
        <f>[1]RawShipmentData!K1165</f>
        <v>6</v>
      </c>
      <c r="M1154" s="3">
        <f>IF(TRIM([1]RawShipmentData!L1165)="","",IF(ISNUMBER(SEARCH("/",TRIM([1]RawShipmentData!L1165))),DATE(VALUE(RIGHT(TRIM([1]RawShipmentData!L1165),4)),VALUE(MID(TRIM([1]RawShipmentData!L1165),FIND("/",TRIM([1]RawShipmentData!L1165))+1,2)),VALUE(LEFT(TRIM([1]RawShipmentData!L1165),FIND("/",TRIM([1]RawShipmentData!L1165))-1))),DATEVALUE(TRIM([1]RawShipmentData!L1165))))</f>
        <v>45318</v>
      </c>
      <c r="N1154" s="2">
        <f t="shared" ref="N1154:N1217" si="91">IF(M1154="","",M1154-B1154)</f>
        <v>6</v>
      </c>
      <c r="O1154" s="2">
        <f t="shared" ref="O1154:O1217" si="92">IF(N1154="","",N1154-L1154)</f>
        <v>0</v>
      </c>
      <c r="P1154" s="2" t="str">
        <f t="shared" ref="P1154:P1217" si="93">IF(N1154="","N/A",IF(N1154&lt;=L1154,"On Time","Late"))</f>
        <v>On Time</v>
      </c>
      <c r="Q1154" s="2" t="str">
        <f>PROPER(SUBSTITUTE(TRIM([1]RawShipmentData!M1165)," ","-"))</f>
        <v>Delivered</v>
      </c>
      <c r="R1154" s="4">
        <f t="shared" si="89"/>
        <v>66.883116883116884</v>
      </c>
      <c r="S1154" s="2">
        <f>[1]RawShipmentData!N1165</f>
        <v>5</v>
      </c>
      <c r="T1154" s="2" t="str">
        <f>IF(OR(UPPER(TRIM([1]RawShipmentData!O1165))="YES",UPPER(TRIM([1]RawShipmentData!O1165))="Y"),"Yes","No")</f>
        <v>No</v>
      </c>
    </row>
    <row r="1155" spans="1:20" x14ac:dyDescent="0.25">
      <c r="A1155" s="2" t="str">
        <f>[1]RawShipmentData!A1166</f>
        <v>SHP-101551</v>
      </c>
      <c r="B1155" s="3">
        <f>IF(ISNUMBER(SEARCH("/",TRIM([1]RawShipmentData!B1166))),DATE(VALUE(RIGHT(TRIM([1]RawShipmentData!B1166),4)),VALUE(MID(TRIM([1]RawShipmentData!B1166),FIND("/",TRIM([1]RawShipmentData!B1166))+1,2)),VALUE(LEFT(TRIM([1]RawShipmentData!B1166),FIND("/",TRIM([1]RawShipmentData!B1166))-1))),DATEVALUE(TRIM([1]RawShipmentData!B1166)))</f>
        <v>45307</v>
      </c>
      <c r="C1155" s="2" t="str">
        <f>PROPER(TRIM([1]RawShipmentData!C1166))</f>
        <v>Bengaluru</v>
      </c>
      <c r="D1155" s="2" t="str">
        <f>IFERROR(INDEX([1]HubMaster!$B$2:$B$7,MATCH(C1155,[1]HubMaster!$A$2:$A$7,0)),"Unknown")</f>
        <v>South</v>
      </c>
      <c r="E1155" s="2" t="str">
        <f>PROPER(TRIM(SUBSTITUTE([1]RawShipmentData!D1166,"  "," ")))</f>
        <v>Bluedart</v>
      </c>
      <c r="F1155" s="2" t="str">
        <f>PROPER(TRIM([1]RawShipmentData!E1166))</f>
        <v>Surface</v>
      </c>
      <c r="G1155" s="2" t="str">
        <f>PROPER(TRIM(SUBSTITUTE([1]RawShipmentData!F1166,"  "," ")))</f>
        <v>Electronics</v>
      </c>
      <c r="H1155" s="2" t="str">
        <f>PROPER(TRIM([1]RawShipmentData!G1166))</f>
        <v>South</v>
      </c>
      <c r="I1155" s="2" t="str">
        <f t="shared" si="90"/>
        <v>No</v>
      </c>
      <c r="J1155" s="2">
        <f>IFERROR(VALUE(TRIM(SUBSTITUTE(UPPER([1]RawShipmentData!I1155),"KG",""))),"")</f>
        <v>75.2</v>
      </c>
      <c r="K1155" s="2">
        <f>VALUE(SUBSTITUTE(SUBSTITUTE(SUBSTITUTE(TRIM([1]RawShipmentData!J1166),"₹",""),"Rs",""),",",""))</f>
        <v>152</v>
      </c>
      <c r="L1155" s="2">
        <f>[1]RawShipmentData!K1166</f>
        <v>4</v>
      </c>
      <c r="M1155" s="3">
        <f>IF(TRIM([1]RawShipmentData!L1166)="","",IF(ISNUMBER(SEARCH("/",TRIM([1]RawShipmentData!L1166))),DATE(VALUE(RIGHT(TRIM([1]RawShipmentData!L1166),4)),VALUE(MID(TRIM([1]RawShipmentData!L1166),FIND("/",TRIM([1]RawShipmentData!L1166))+1,2)),VALUE(LEFT(TRIM([1]RawShipmentData!L1166),FIND("/",TRIM([1]RawShipmentData!L1166))-1))),DATEVALUE(TRIM([1]RawShipmentData!L1166))))</f>
        <v>45311</v>
      </c>
      <c r="N1155" s="2">
        <f t="shared" si="91"/>
        <v>4</v>
      </c>
      <c r="O1155" s="2">
        <f t="shared" si="92"/>
        <v>0</v>
      </c>
      <c r="P1155" s="2" t="str">
        <f t="shared" si="93"/>
        <v>On Time</v>
      </c>
      <c r="Q1155" s="2" t="str">
        <f>PROPER(SUBSTITUTE(TRIM([1]RawShipmentData!M1166)," ","-"))</f>
        <v>Delivered</v>
      </c>
      <c r="R1155" s="4">
        <f t="shared" ref="R1155:R1218" si="94">IFERROR(K1155/J1155,"")</f>
        <v>2.021276595744681</v>
      </c>
      <c r="S1155" s="2">
        <f>[1]RawShipmentData!N1166</f>
        <v>3</v>
      </c>
      <c r="T1155" s="2" t="str">
        <f>IF(OR(UPPER(TRIM([1]RawShipmentData!O1166))="YES",UPPER(TRIM([1]RawShipmentData!O1166))="Y"),"Yes","No")</f>
        <v>Yes</v>
      </c>
    </row>
    <row r="1156" spans="1:20" x14ac:dyDescent="0.25">
      <c r="A1156" s="2" t="str">
        <f>[1]RawShipmentData!A1167</f>
        <v>SHP-100222</v>
      </c>
      <c r="B1156" s="3">
        <f>IF(ISNUMBER(SEARCH("/",TRIM([1]RawShipmentData!B1167))),DATE(VALUE(RIGHT(TRIM([1]RawShipmentData!B1167),4)),VALUE(MID(TRIM([1]RawShipmentData!B1167),FIND("/",TRIM([1]RawShipmentData!B1167))+1,2)),VALUE(LEFT(TRIM([1]RawShipmentData!B1167),FIND("/",TRIM([1]RawShipmentData!B1167))-1))),DATEVALUE(TRIM([1]RawShipmentData!B1167)))</f>
        <v>45456</v>
      </c>
      <c r="C1156" s="2" t="str">
        <f>PROPER(TRIM([1]RawShipmentData!C1167))</f>
        <v>Hyderabad</v>
      </c>
      <c r="D1156" s="2" t="str">
        <f>IFERROR(INDEX([1]HubMaster!$B$2:$B$7,MATCH(C1156,[1]HubMaster!$A$2:$A$7,0)),"Unknown")</f>
        <v>West</v>
      </c>
      <c r="E1156" s="2" t="str">
        <f>PROPER(TRIM(SUBSTITUTE([1]RawShipmentData!D1167,"  "," ")))</f>
        <v>Bluedart</v>
      </c>
      <c r="F1156" s="2" t="str">
        <f>PROPER(TRIM([1]RawShipmentData!E1167))</f>
        <v>Air</v>
      </c>
      <c r="G1156" s="2" t="str">
        <f>PROPER(TRIM(SUBSTITUTE([1]RawShipmentData!F1167,"  "," ")))</f>
        <v>Apparel</v>
      </c>
      <c r="H1156" s="2" t="str">
        <f>PROPER(TRIM([1]RawShipmentData!G1167))</f>
        <v>West</v>
      </c>
      <c r="I1156" s="2" t="str">
        <f t="shared" si="90"/>
        <v>No</v>
      </c>
      <c r="J1156" s="2">
        <f>IFERROR(VALUE(TRIM(SUBSTITUTE(UPPER([1]RawShipmentData!I1156),"KG",""))),"")</f>
        <v>1.3</v>
      </c>
      <c r="K1156" s="2">
        <f>VALUE(SUBSTITUTE(SUBSTITUTE(SUBSTITUTE(TRIM([1]RawShipmentData!J1167),"₹",""),"Rs",""),",",""))</f>
        <v>96</v>
      </c>
      <c r="L1156" s="2">
        <f>[1]RawShipmentData!K1167</f>
        <v>2</v>
      </c>
      <c r="M1156" s="3">
        <f>IF(TRIM([1]RawShipmentData!L1167)="","",IF(ISNUMBER(SEARCH("/",TRIM([1]RawShipmentData!L1167))),DATE(VALUE(RIGHT(TRIM([1]RawShipmentData!L1167),4)),VALUE(MID(TRIM([1]RawShipmentData!L1167),FIND("/",TRIM([1]RawShipmentData!L1167))+1,2)),VALUE(LEFT(TRIM([1]RawShipmentData!L1167),FIND("/",TRIM([1]RawShipmentData!L1167))-1))),DATEVALUE(TRIM([1]RawShipmentData!L1167))))</f>
        <v>45457</v>
      </c>
      <c r="N1156" s="2">
        <f t="shared" si="91"/>
        <v>1</v>
      </c>
      <c r="O1156" s="2">
        <f t="shared" si="92"/>
        <v>-1</v>
      </c>
      <c r="P1156" s="2" t="str">
        <f t="shared" si="93"/>
        <v>On Time</v>
      </c>
      <c r="Q1156" s="2" t="str">
        <f>PROPER(SUBSTITUTE(TRIM([1]RawShipmentData!M1167)," ","-"))</f>
        <v>Delivered</v>
      </c>
      <c r="R1156" s="4">
        <f t="shared" si="94"/>
        <v>73.84615384615384</v>
      </c>
      <c r="S1156" s="2">
        <f>[1]RawShipmentData!N1167</f>
        <v>5</v>
      </c>
      <c r="T1156" s="2" t="str">
        <f>IF(OR(UPPER(TRIM([1]RawShipmentData!O1167))="YES",UPPER(TRIM([1]RawShipmentData!O1167))="Y"),"Yes","No")</f>
        <v>No</v>
      </c>
    </row>
    <row r="1157" spans="1:20" x14ac:dyDescent="0.25">
      <c r="A1157" s="2" t="str">
        <f>[1]RawShipmentData!A1168</f>
        <v>SHP-101090</v>
      </c>
      <c r="B1157" s="3">
        <f>IF(ISNUMBER(SEARCH("/",TRIM([1]RawShipmentData!B1168))),DATE(VALUE(RIGHT(TRIM([1]RawShipmentData!B1168),4)),VALUE(MID(TRIM([1]RawShipmentData!B1168),FIND("/",TRIM([1]RawShipmentData!B1168))+1,2)),VALUE(LEFT(TRIM([1]RawShipmentData!B1168),FIND("/",TRIM([1]RawShipmentData!B1168))-1))),DATEVALUE(TRIM([1]RawShipmentData!B1168)))</f>
        <v>45352</v>
      </c>
      <c r="C1157" s="2" t="str">
        <f>PROPER(TRIM([1]RawShipmentData!C1168))</f>
        <v>Hyderabad</v>
      </c>
      <c r="D1157" s="2" t="str">
        <f>IFERROR(INDEX([1]HubMaster!$B$2:$B$7,MATCH(C1157,[1]HubMaster!$A$2:$A$7,0)),"Unknown")</f>
        <v>West</v>
      </c>
      <c r="E1157" s="2" t="str">
        <f>PROPER(TRIM(SUBSTITUTE([1]RawShipmentData!D1168,"  "," ")))</f>
        <v>Bluedart</v>
      </c>
      <c r="F1157" s="2" t="str">
        <f>PROPER(TRIM([1]RawShipmentData!E1168))</f>
        <v>Surface</v>
      </c>
      <c r="G1157" s="2" t="str">
        <f>PROPER(TRIM(SUBSTITUTE([1]RawShipmentData!F1168,"  "," ")))</f>
        <v>Automotive Parts</v>
      </c>
      <c r="H1157" s="2" t="str">
        <f>PROPER(TRIM([1]RawShipmentData!G1168))</f>
        <v>South</v>
      </c>
      <c r="I1157" s="2" t="str">
        <f t="shared" si="90"/>
        <v>Yes</v>
      </c>
      <c r="J1157" s="2">
        <f>IFERROR(VALUE(TRIM(SUBSTITUTE(UPPER([1]RawShipmentData!I1157),"KG",""))),"")</f>
        <v>4.5</v>
      </c>
      <c r="K1157" s="2">
        <f>VALUE(SUBSTITUTE(SUBSTITUTE(SUBSTITUTE(TRIM([1]RawShipmentData!J1168),"₹",""),"Rs",""),",",""))</f>
        <v>581</v>
      </c>
      <c r="L1157" s="2">
        <f>[1]RawShipmentData!K1168</f>
        <v>6</v>
      </c>
      <c r="M1157" s="3">
        <f>IF(TRIM([1]RawShipmentData!L1168)="","",IF(ISNUMBER(SEARCH("/",TRIM([1]RawShipmentData!L1168))),DATE(VALUE(RIGHT(TRIM([1]RawShipmentData!L1168),4)),VALUE(MID(TRIM([1]RawShipmentData!L1168),FIND("/",TRIM([1]RawShipmentData!L1168))+1,2)),VALUE(LEFT(TRIM([1]RawShipmentData!L1168),FIND("/",TRIM([1]RawShipmentData!L1168))-1))),DATEVALUE(TRIM([1]RawShipmentData!L1168))))</f>
        <v>45359</v>
      </c>
      <c r="N1157" s="2">
        <f t="shared" si="91"/>
        <v>7</v>
      </c>
      <c r="O1157" s="2">
        <f t="shared" si="92"/>
        <v>1</v>
      </c>
      <c r="P1157" s="2" t="str">
        <f t="shared" si="93"/>
        <v>Late</v>
      </c>
      <c r="Q1157" s="2" t="str">
        <f>PROPER(SUBSTITUTE(TRIM([1]RawShipmentData!M1168)," ","-"))</f>
        <v>Delayed</v>
      </c>
      <c r="R1157" s="4">
        <f t="shared" si="94"/>
        <v>129.11111111111111</v>
      </c>
      <c r="S1157" s="2">
        <f>[1]RawShipmentData!N1168</f>
        <v>4</v>
      </c>
      <c r="T1157" s="2" t="str">
        <f>IF(OR(UPPER(TRIM([1]RawShipmentData!O1168))="YES",UPPER(TRIM([1]RawShipmentData!O1168))="Y"),"Yes","No")</f>
        <v>Yes</v>
      </c>
    </row>
    <row r="1158" spans="1:20" x14ac:dyDescent="0.25">
      <c r="A1158" s="2" t="str">
        <f>[1]RawShipmentData!A1169</f>
        <v>SHP-100898</v>
      </c>
      <c r="B1158" s="3">
        <f>IF(ISNUMBER(SEARCH("/",TRIM([1]RawShipmentData!B1169))),DATE(VALUE(RIGHT(TRIM([1]RawShipmentData!B1169),4)),VALUE(MID(TRIM([1]RawShipmentData!B1169),FIND("/",TRIM([1]RawShipmentData!B1169))+1,2)),VALUE(LEFT(TRIM([1]RawShipmentData!B1169),FIND("/",TRIM([1]RawShipmentData!B1169))-1))),DATEVALUE(TRIM([1]RawShipmentData!B1169)))</f>
        <v>45463</v>
      </c>
      <c r="C1158" s="2" t="str">
        <f>PROPER(TRIM([1]RawShipmentData!C1169))</f>
        <v>Hyderabad</v>
      </c>
      <c r="D1158" s="2" t="str">
        <f>IFERROR(INDEX([1]HubMaster!$B$2:$B$7,MATCH(C1158,[1]HubMaster!$A$2:$A$7,0)),"Unknown")</f>
        <v>West</v>
      </c>
      <c r="E1158" s="2" t="str">
        <f>PROPER(TRIM(SUBSTITUTE([1]RawShipmentData!D1169,"  "," ")))</f>
        <v>Delhivery</v>
      </c>
      <c r="F1158" s="2" t="str">
        <f>PROPER(TRIM([1]RawShipmentData!E1169))</f>
        <v>Air</v>
      </c>
      <c r="G1158" s="2" t="str">
        <f>PROPER(TRIM(SUBSTITUTE([1]RawShipmentData!F1169,"  "," ")))</f>
        <v>Apparel</v>
      </c>
      <c r="H1158" s="2" t="str">
        <f>PROPER(TRIM([1]RawShipmentData!G1169))</f>
        <v>West</v>
      </c>
      <c r="I1158" s="2" t="str">
        <f t="shared" si="90"/>
        <v>No</v>
      </c>
      <c r="J1158" s="2">
        <f>IFERROR(VALUE(TRIM(SUBSTITUTE(UPPER([1]RawShipmentData!I1158),"KG",""))),"")</f>
        <v>2.1</v>
      </c>
      <c r="K1158" s="2">
        <f>VALUE(SUBSTITUTE(SUBSTITUTE(SUBSTITUTE(TRIM([1]RawShipmentData!J1169),"₹",""),"Rs",""),",",""))</f>
        <v>322</v>
      </c>
      <c r="L1158" s="2">
        <f>[1]RawShipmentData!K1169</f>
        <v>2</v>
      </c>
      <c r="M1158" s="3">
        <f>IF(TRIM([1]RawShipmentData!L1169)="","",IF(ISNUMBER(SEARCH("/",TRIM([1]RawShipmentData!L1169))),DATE(VALUE(RIGHT(TRIM([1]RawShipmentData!L1169),4)),VALUE(MID(TRIM([1]RawShipmentData!L1169),FIND("/",TRIM([1]RawShipmentData!L1169))+1,2)),VALUE(LEFT(TRIM([1]RawShipmentData!L1169),FIND("/",TRIM([1]RawShipmentData!L1169))-1))),DATEVALUE(TRIM([1]RawShipmentData!L1169))))</f>
        <v>45464</v>
      </c>
      <c r="N1158" s="2">
        <f t="shared" si="91"/>
        <v>1</v>
      </c>
      <c r="O1158" s="2">
        <f t="shared" si="92"/>
        <v>-1</v>
      </c>
      <c r="P1158" s="2" t="str">
        <f t="shared" si="93"/>
        <v>On Time</v>
      </c>
      <c r="Q1158" s="2" t="str">
        <f>PROPER(SUBSTITUTE(TRIM([1]RawShipmentData!M1169)," ","-"))</f>
        <v>Delivered</v>
      </c>
      <c r="R1158" s="4">
        <f t="shared" si="94"/>
        <v>153.33333333333331</v>
      </c>
      <c r="S1158" s="2">
        <f>[1]RawShipmentData!N1169</f>
        <v>5</v>
      </c>
      <c r="T1158" s="2" t="str">
        <f>IF(OR(UPPER(TRIM([1]RawShipmentData!O1169))="YES",UPPER(TRIM([1]RawShipmentData!O1169))="Y"),"Yes","No")</f>
        <v>Yes</v>
      </c>
    </row>
    <row r="1159" spans="1:20" x14ac:dyDescent="0.25">
      <c r="A1159" s="2" t="str">
        <f>[1]RawShipmentData!A1170</f>
        <v>SHP-100301</v>
      </c>
      <c r="B1159" s="3">
        <f>IF(ISNUMBER(SEARCH("/",TRIM([1]RawShipmentData!B1170))),DATE(VALUE(RIGHT(TRIM([1]RawShipmentData!B1170),4)),VALUE(MID(TRIM([1]RawShipmentData!B1170),FIND("/",TRIM([1]RawShipmentData!B1170))+1,2)),VALUE(LEFT(TRIM([1]RawShipmentData!B1170),FIND("/",TRIM([1]RawShipmentData!B1170))-1))),DATEVALUE(TRIM([1]RawShipmentData!B1170)))</f>
        <v>45457</v>
      </c>
      <c r="C1159" s="2" t="str">
        <f>PROPER(TRIM([1]RawShipmentData!C1170))</f>
        <v>Mumbai</v>
      </c>
      <c r="D1159" s="2" t="str">
        <f>IFERROR(INDEX([1]HubMaster!$B$2:$B$7,MATCH(C1159,[1]HubMaster!$A$2:$A$7,0)),"Unknown")</f>
        <v>West</v>
      </c>
      <c r="E1159" s="2" t="str">
        <f>PROPER(TRIM(SUBSTITUTE([1]RawShipmentData!D1170,"  "," ")))</f>
        <v>Ecom Express</v>
      </c>
      <c r="F1159" s="2" t="str">
        <f>PROPER(TRIM([1]RawShipmentData!E1170))</f>
        <v>Surface</v>
      </c>
      <c r="G1159" s="2" t="str">
        <f>PROPER(TRIM(SUBSTITUTE([1]RawShipmentData!F1170,"  "," ")))</f>
        <v>Furniture</v>
      </c>
      <c r="H1159" s="2" t="str">
        <f>PROPER(TRIM([1]RawShipmentData!G1170))</f>
        <v>North</v>
      </c>
      <c r="I1159" s="2" t="str">
        <f t="shared" si="90"/>
        <v>Yes</v>
      </c>
      <c r="J1159" s="2">
        <f>IFERROR(VALUE(TRIM(SUBSTITUTE(UPPER([1]RawShipmentData!I1159),"KG",""))),"")</f>
        <v>6.7</v>
      </c>
      <c r="K1159" s="2">
        <f>VALUE(SUBSTITUTE(SUBSTITUTE(SUBSTITUTE(TRIM([1]RawShipmentData!J1170),"₹",""),"Rs",""),",",""))</f>
        <v>1217</v>
      </c>
      <c r="L1159" s="2">
        <f>[1]RawShipmentData!K1170</f>
        <v>6</v>
      </c>
      <c r="M1159" s="3">
        <f>IF(TRIM([1]RawShipmentData!L1170)="","",IF(ISNUMBER(SEARCH("/",TRIM([1]RawShipmentData!L1170))),DATE(VALUE(RIGHT(TRIM([1]RawShipmentData!L1170),4)),VALUE(MID(TRIM([1]RawShipmentData!L1170),FIND("/",TRIM([1]RawShipmentData!L1170))+1,2)),VALUE(LEFT(TRIM([1]RawShipmentData!L1170),FIND("/",TRIM([1]RawShipmentData!L1170))-1))),DATEVALUE(TRIM([1]RawShipmentData!L1170))))</f>
        <v>45464</v>
      </c>
      <c r="N1159" s="2">
        <f t="shared" si="91"/>
        <v>7</v>
      </c>
      <c r="O1159" s="2">
        <f t="shared" si="92"/>
        <v>1</v>
      </c>
      <c r="P1159" s="2" t="str">
        <f t="shared" si="93"/>
        <v>Late</v>
      </c>
      <c r="Q1159" s="2" t="str">
        <f>PROPER(SUBSTITUTE(TRIM([1]RawShipmentData!M1170)," ","-"))</f>
        <v>Delayed</v>
      </c>
      <c r="R1159" s="4">
        <f t="shared" si="94"/>
        <v>181.64179104477611</v>
      </c>
      <c r="S1159" s="2">
        <f>[1]RawShipmentData!N1170</f>
        <v>3</v>
      </c>
      <c r="T1159" s="2" t="str">
        <f>IF(OR(UPPER(TRIM([1]RawShipmentData!O1170))="YES",UPPER(TRIM([1]RawShipmentData!O1170))="Y"),"Yes","No")</f>
        <v>Yes</v>
      </c>
    </row>
    <row r="1160" spans="1:20" x14ac:dyDescent="0.25">
      <c r="A1160" s="2" t="str">
        <f>[1]RawShipmentData!A1171</f>
        <v>SHP-101497</v>
      </c>
      <c r="B1160" s="3">
        <f>IF(ISNUMBER(SEARCH("/",TRIM([1]RawShipmentData!B1171))),DATE(VALUE(RIGHT(TRIM([1]RawShipmentData!B1171),4)),VALUE(MID(TRIM([1]RawShipmentData!B1171),FIND("/",TRIM([1]RawShipmentData!B1171))+1,2)),VALUE(LEFT(TRIM([1]RawShipmentData!B1171),FIND("/",TRIM([1]RawShipmentData!B1171))-1))),DATEVALUE(TRIM([1]RawShipmentData!B1171)))</f>
        <v>45457</v>
      </c>
      <c r="C1160" s="2" t="str">
        <f>PROPER(TRIM([1]RawShipmentData!C1171))</f>
        <v>Kolkata</v>
      </c>
      <c r="D1160" s="2" t="str">
        <f>IFERROR(INDEX([1]HubMaster!$B$2:$B$7,MATCH(C1160,[1]HubMaster!$A$2:$A$7,0)),"Unknown")</f>
        <v>East</v>
      </c>
      <c r="E1160" s="2" t="str">
        <f>PROPER(TRIM(SUBSTITUTE([1]RawShipmentData!D1171,"  "," ")))</f>
        <v>Xpress Bees</v>
      </c>
      <c r="F1160" s="2" t="str">
        <f>PROPER(TRIM([1]RawShipmentData!E1171))</f>
        <v>Surface</v>
      </c>
      <c r="G1160" s="2" t="str">
        <f>PROPER(TRIM(SUBSTITUTE([1]RawShipmentData!F1171,"  "," ")))</f>
        <v>Pharma</v>
      </c>
      <c r="H1160" s="2" t="str">
        <f>PROPER(TRIM([1]RawShipmentData!G1171))</f>
        <v>North</v>
      </c>
      <c r="I1160" s="2" t="str">
        <f t="shared" si="90"/>
        <v>Yes</v>
      </c>
      <c r="J1160" s="2">
        <f>IFERROR(VALUE(TRIM(SUBSTITUTE(UPPER([1]RawShipmentData!I1160),"KG",""))),"")</f>
        <v>15.8</v>
      </c>
      <c r="K1160" s="2">
        <f>VALUE(SUBSTITUTE(SUBSTITUTE(SUBSTITUTE(TRIM([1]RawShipmentData!J1171),"₹",""),"Rs",""),",",""))</f>
        <v>188</v>
      </c>
      <c r="L1160" s="2">
        <f>[1]RawShipmentData!K1171</f>
        <v>6</v>
      </c>
      <c r="M1160" s="3">
        <f>IF(TRIM([1]RawShipmentData!L1171)="","",IF(ISNUMBER(SEARCH("/",TRIM([1]RawShipmentData!L1171))),DATE(VALUE(RIGHT(TRIM([1]RawShipmentData!L1171),4)),VALUE(MID(TRIM([1]RawShipmentData!L1171),FIND("/",TRIM([1]RawShipmentData!L1171))+1,2)),VALUE(LEFT(TRIM([1]RawShipmentData!L1171),FIND("/",TRIM([1]RawShipmentData!L1171))-1))),DATEVALUE(TRIM([1]RawShipmentData!L1171))))</f>
        <v>45464</v>
      </c>
      <c r="N1160" s="2">
        <f t="shared" si="91"/>
        <v>7</v>
      </c>
      <c r="O1160" s="2">
        <f t="shared" si="92"/>
        <v>1</v>
      </c>
      <c r="P1160" s="2" t="str">
        <f t="shared" si="93"/>
        <v>Late</v>
      </c>
      <c r="Q1160" s="2" t="str">
        <f>PROPER(SUBSTITUTE(TRIM([1]RawShipmentData!M1171)," ","-"))</f>
        <v>Delayed</v>
      </c>
      <c r="R1160" s="4">
        <f t="shared" si="94"/>
        <v>11.898734177215189</v>
      </c>
      <c r="S1160" s="2">
        <f>[1]RawShipmentData!N1171</f>
        <v>4</v>
      </c>
      <c r="T1160" s="2" t="str">
        <f>IF(OR(UPPER(TRIM([1]RawShipmentData!O1171))="YES",UPPER(TRIM([1]RawShipmentData!O1171))="Y"),"Yes","No")</f>
        <v>No</v>
      </c>
    </row>
    <row r="1161" spans="1:20" x14ac:dyDescent="0.25">
      <c r="A1161" s="2" t="str">
        <f>[1]RawShipmentData!A1172</f>
        <v>SHP-100311</v>
      </c>
      <c r="B1161" s="3">
        <f>IF(ISNUMBER(SEARCH("/",TRIM([1]RawShipmentData!B1172))),DATE(VALUE(RIGHT(TRIM([1]RawShipmentData!B1172),4)),VALUE(MID(TRIM([1]RawShipmentData!B1172),FIND("/",TRIM([1]RawShipmentData!B1172))+1,2)),VALUE(LEFT(TRIM([1]RawShipmentData!B1172),FIND("/",TRIM([1]RawShipmentData!B1172))-1))),DATEVALUE(TRIM([1]RawShipmentData!B1172)))</f>
        <v>45337</v>
      </c>
      <c r="C1161" s="2" t="str">
        <f>PROPER(TRIM([1]RawShipmentData!C1172))</f>
        <v>Mumbai</v>
      </c>
      <c r="D1161" s="2" t="str">
        <f>IFERROR(INDEX([1]HubMaster!$B$2:$B$7,MATCH(C1161,[1]HubMaster!$A$2:$A$7,0)),"Unknown")</f>
        <v>West</v>
      </c>
      <c r="E1161" s="2" t="str">
        <f>PROPER(TRIM(SUBSTITUTE([1]RawShipmentData!D1172,"  "," ")))</f>
        <v>Xpressbees</v>
      </c>
      <c r="F1161" s="2" t="str">
        <f>PROPER(TRIM([1]RawShipmentData!E1172))</f>
        <v>Air</v>
      </c>
      <c r="G1161" s="2" t="str">
        <f>PROPER(TRIM(SUBSTITUTE([1]RawShipmentData!F1172,"  "," ")))</f>
        <v>Pharma</v>
      </c>
      <c r="H1161" s="2" t="str">
        <f>PROPER(TRIM([1]RawShipmentData!G1172))</f>
        <v>South</v>
      </c>
      <c r="I1161" s="2" t="str">
        <f t="shared" si="90"/>
        <v>Yes</v>
      </c>
      <c r="J1161" s="2">
        <f>IFERROR(VALUE(TRIM(SUBSTITUTE(UPPER([1]RawShipmentData!I1161),"KG",""))),"")</f>
        <v>8.1999999999999993</v>
      </c>
      <c r="K1161" s="2">
        <f>VALUE(SUBSTITUTE(SUBSTITUTE(SUBSTITUTE(TRIM([1]RawShipmentData!J1172),"₹",""),"Rs",""),",",""))</f>
        <v>242</v>
      </c>
      <c r="L1161" s="2">
        <f>[1]RawShipmentData!K1172</f>
        <v>4</v>
      </c>
      <c r="M1161" s="3">
        <f>IF(TRIM([1]RawShipmentData!L1172)="","",IF(ISNUMBER(SEARCH("/",TRIM([1]RawShipmentData!L1172))),DATE(VALUE(RIGHT(TRIM([1]RawShipmentData!L1172),4)),VALUE(MID(TRIM([1]RawShipmentData!L1172),FIND("/",TRIM([1]RawShipmentData!L1172))+1,2)),VALUE(LEFT(TRIM([1]RawShipmentData!L1172),FIND("/",TRIM([1]RawShipmentData!L1172))-1))),DATEVALUE(TRIM([1]RawShipmentData!L1172))))</f>
        <v>45345</v>
      </c>
      <c r="N1161" s="2">
        <f t="shared" si="91"/>
        <v>8</v>
      </c>
      <c r="O1161" s="2">
        <f t="shared" si="92"/>
        <v>4</v>
      </c>
      <c r="P1161" s="2" t="str">
        <f t="shared" si="93"/>
        <v>Late</v>
      </c>
      <c r="Q1161" s="2" t="str">
        <f>PROPER(SUBSTITUTE(TRIM([1]RawShipmentData!M1172)," ","-"))</f>
        <v>Delayed</v>
      </c>
      <c r="R1161" s="4">
        <f t="shared" si="94"/>
        <v>29.512195121951223</v>
      </c>
      <c r="S1161" s="2">
        <f>[1]RawShipmentData!N1172</f>
        <v>2</v>
      </c>
      <c r="T1161" s="2" t="str">
        <f>IF(OR(UPPER(TRIM([1]RawShipmentData!O1172))="YES",UPPER(TRIM([1]RawShipmentData!O1172))="Y"),"Yes","No")</f>
        <v>Yes</v>
      </c>
    </row>
    <row r="1162" spans="1:20" x14ac:dyDescent="0.25">
      <c r="A1162" s="2" t="str">
        <f>[1]RawShipmentData!A1173</f>
        <v>SHP-101123</v>
      </c>
      <c r="B1162" s="3">
        <f>IF(ISNUMBER(SEARCH("/",TRIM([1]RawShipmentData!B1173))),DATE(VALUE(RIGHT(TRIM([1]RawShipmentData!B1173),4)),VALUE(MID(TRIM([1]RawShipmentData!B1173),FIND("/",TRIM([1]RawShipmentData!B1173))+1,2)),VALUE(LEFT(TRIM([1]RawShipmentData!B1173),FIND("/",TRIM([1]RawShipmentData!B1173))-1))),DATEVALUE(TRIM([1]RawShipmentData!B1173)))</f>
        <v>45424</v>
      </c>
      <c r="C1162" s="2" t="str">
        <f>PROPER(TRIM([1]RawShipmentData!C1173))</f>
        <v>Bengaluru</v>
      </c>
      <c r="D1162" s="2" t="str">
        <f>IFERROR(INDEX([1]HubMaster!$B$2:$B$7,MATCH(C1162,[1]HubMaster!$A$2:$A$7,0)),"Unknown")</f>
        <v>South</v>
      </c>
      <c r="E1162" s="2" t="str">
        <f>PROPER(TRIM(SUBSTITUTE([1]RawShipmentData!D1173,"  "," ")))</f>
        <v>Xpress Bees</v>
      </c>
      <c r="F1162" s="2" t="str">
        <f>PROPER(TRIM([1]RawShipmentData!E1173))</f>
        <v>Surface</v>
      </c>
      <c r="G1162" s="2" t="str">
        <f>PROPER(TRIM(SUBSTITUTE([1]RawShipmentData!F1173,"  "," ")))</f>
        <v>Furniture</v>
      </c>
      <c r="H1162" s="2" t="str">
        <f>PROPER(TRIM([1]RawShipmentData!G1173))</f>
        <v>South</v>
      </c>
      <c r="I1162" s="2" t="str">
        <f t="shared" si="90"/>
        <v>No</v>
      </c>
      <c r="J1162" s="2">
        <f>IFERROR(VALUE(TRIM(SUBSTITUTE(UPPER([1]RawShipmentData!I1162),"KG",""))),"")</f>
        <v>42.4</v>
      </c>
      <c r="K1162" s="2">
        <f>VALUE(SUBSTITUTE(SUBSTITUTE(SUBSTITUTE(TRIM([1]RawShipmentData!J1173),"₹",""),"Rs",""),",",""))</f>
        <v>442</v>
      </c>
      <c r="L1162" s="2">
        <f>[1]RawShipmentData!K1173</f>
        <v>4</v>
      </c>
      <c r="M1162" s="3">
        <f>IF(TRIM([1]RawShipmentData!L1173)="","",IF(ISNUMBER(SEARCH("/",TRIM([1]RawShipmentData!L1173))),DATE(VALUE(RIGHT(TRIM([1]RawShipmentData!L1173),4)),VALUE(MID(TRIM([1]RawShipmentData!L1173),FIND("/",TRIM([1]RawShipmentData!L1173))+1,2)),VALUE(LEFT(TRIM([1]RawShipmentData!L1173),FIND("/",TRIM([1]RawShipmentData!L1173))-1))),DATEVALUE(TRIM([1]RawShipmentData!L1173))))</f>
        <v>45428</v>
      </c>
      <c r="N1162" s="2">
        <f t="shared" si="91"/>
        <v>4</v>
      </c>
      <c r="O1162" s="2">
        <f t="shared" si="92"/>
        <v>0</v>
      </c>
      <c r="P1162" s="2" t="str">
        <f t="shared" si="93"/>
        <v>On Time</v>
      </c>
      <c r="Q1162" s="2" t="str">
        <f>PROPER(SUBSTITUTE(TRIM([1]RawShipmentData!M1173)," ","-"))</f>
        <v>Delivered</v>
      </c>
      <c r="R1162" s="4">
        <f t="shared" si="94"/>
        <v>10.424528301886793</v>
      </c>
      <c r="S1162" s="2">
        <f>[1]RawShipmentData!N1173</f>
        <v>4</v>
      </c>
      <c r="T1162" s="2" t="str">
        <f>IF(OR(UPPER(TRIM([1]RawShipmentData!O1173))="YES",UPPER(TRIM([1]RawShipmentData!O1173))="Y"),"Yes","No")</f>
        <v>Yes</v>
      </c>
    </row>
    <row r="1163" spans="1:20" x14ac:dyDescent="0.25">
      <c r="A1163" s="2" t="str">
        <f>[1]RawShipmentData!A1174</f>
        <v>SHP-100882</v>
      </c>
      <c r="B1163" s="3">
        <f>IF(ISNUMBER(SEARCH("/",TRIM([1]RawShipmentData!B1174))),DATE(VALUE(RIGHT(TRIM([1]RawShipmentData!B1174),4)),VALUE(MID(TRIM([1]RawShipmentData!B1174),FIND("/",TRIM([1]RawShipmentData!B1174))+1,2)),VALUE(LEFT(TRIM([1]RawShipmentData!B1174),FIND("/",TRIM([1]RawShipmentData!B1174))-1))),DATEVALUE(TRIM([1]RawShipmentData!B1174)))</f>
        <v>45343</v>
      </c>
      <c r="C1163" s="2" t="str">
        <f>PROPER(TRIM([1]RawShipmentData!C1174))</f>
        <v>Mumbai</v>
      </c>
      <c r="D1163" s="2" t="str">
        <f>IFERROR(INDEX([1]HubMaster!$B$2:$B$7,MATCH(C1163,[1]HubMaster!$A$2:$A$7,0)),"Unknown")</f>
        <v>West</v>
      </c>
      <c r="E1163" s="2" t="str">
        <f>PROPER(TRIM(SUBSTITUTE([1]RawShipmentData!D1174,"  "," ")))</f>
        <v>Xpressbees</v>
      </c>
      <c r="F1163" s="2" t="str">
        <f>PROPER(TRIM([1]RawShipmentData!E1174))</f>
        <v>Road</v>
      </c>
      <c r="G1163" s="2" t="str">
        <f>PROPER(TRIM(SUBSTITUTE([1]RawShipmentData!F1174,"  "," ")))</f>
        <v>Grocery &amp; Fmcg</v>
      </c>
      <c r="H1163" s="2" t="str">
        <f>PROPER(TRIM([1]RawShipmentData!G1174))</f>
        <v>South</v>
      </c>
      <c r="I1163" s="2" t="str">
        <f t="shared" si="90"/>
        <v>Yes</v>
      </c>
      <c r="J1163" s="2">
        <f>IFERROR(VALUE(TRIM(SUBSTITUTE(UPPER([1]RawShipmentData!I1163),"KG",""))),"")</f>
        <v>5.6</v>
      </c>
      <c r="K1163" s="2">
        <f>VALUE(SUBSTITUTE(SUBSTITUTE(SUBSTITUTE(TRIM([1]RawShipmentData!J1174),"₹",""),"Rs",""),",",""))</f>
        <v>420</v>
      </c>
      <c r="L1163" s="2">
        <f>[1]RawShipmentData!K1174</f>
        <v>8</v>
      </c>
      <c r="M1163" s="3">
        <f>IF(TRIM([1]RawShipmentData!L1174)="","",IF(ISNUMBER(SEARCH("/",TRIM([1]RawShipmentData!L1174))),DATE(VALUE(RIGHT(TRIM([1]RawShipmentData!L1174),4)),VALUE(MID(TRIM([1]RawShipmentData!L1174),FIND("/",TRIM([1]RawShipmentData!L1174))+1,2)),VALUE(LEFT(TRIM([1]RawShipmentData!L1174),FIND("/",TRIM([1]RawShipmentData!L1174))-1))),DATEVALUE(TRIM([1]RawShipmentData!L1174))))</f>
        <v>45350</v>
      </c>
      <c r="N1163" s="2">
        <f t="shared" si="91"/>
        <v>7</v>
      </c>
      <c r="O1163" s="2">
        <f t="shared" si="92"/>
        <v>-1</v>
      </c>
      <c r="P1163" s="2" t="str">
        <f t="shared" si="93"/>
        <v>On Time</v>
      </c>
      <c r="Q1163" s="2" t="str">
        <f>PROPER(SUBSTITUTE(TRIM([1]RawShipmentData!M1174)," ","-"))</f>
        <v>Delivered</v>
      </c>
      <c r="R1163" s="4">
        <f t="shared" si="94"/>
        <v>75</v>
      </c>
      <c r="S1163" s="2">
        <f>[1]RawShipmentData!N1174</f>
        <v>4</v>
      </c>
      <c r="T1163" s="2" t="str">
        <f>IF(OR(UPPER(TRIM([1]RawShipmentData!O1174))="YES",UPPER(TRIM([1]RawShipmentData!O1174))="Y"),"Yes","No")</f>
        <v>No</v>
      </c>
    </row>
    <row r="1164" spans="1:20" x14ac:dyDescent="0.25">
      <c r="A1164" s="2" t="str">
        <f>[1]RawShipmentData!A1175</f>
        <v>SHP-100229</v>
      </c>
      <c r="B1164" s="3">
        <f>IF(ISNUMBER(SEARCH("/",TRIM([1]RawShipmentData!B1175))),DATE(VALUE(RIGHT(TRIM([1]RawShipmentData!B1175),4)),VALUE(MID(TRIM([1]RawShipmentData!B1175),FIND("/",TRIM([1]RawShipmentData!B1175))+1,2)),VALUE(LEFT(TRIM([1]RawShipmentData!B1175),FIND("/",TRIM([1]RawShipmentData!B1175))-1))),DATEVALUE(TRIM([1]RawShipmentData!B1175)))</f>
        <v>45432</v>
      </c>
      <c r="C1164" s="2" t="str">
        <f>PROPER(TRIM([1]RawShipmentData!C1175))</f>
        <v>Bengaluru</v>
      </c>
      <c r="D1164" s="2" t="str">
        <f>IFERROR(INDEX([1]HubMaster!$B$2:$B$7,MATCH(C1164,[1]HubMaster!$A$2:$A$7,0)),"Unknown")</f>
        <v>South</v>
      </c>
      <c r="E1164" s="2" t="str">
        <f>PROPER(TRIM(SUBSTITUTE([1]RawShipmentData!D1175,"  "," ")))</f>
        <v>Dtdc</v>
      </c>
      <c r="F1164" s="2" t="str">
        <f>PROPER(TRIM([1]RawShipmentData!E1175))</f>
        <v>Surface</v>
      </c>
      <c r="G1164" s="2" t="str">
        <f>PROPER(TRIM(SUBSTITUTE([1]RawShipmentData!F1175,"  "," ")))</f>
        <v>Electronics</v>
      </c>
      <c r="H1164" s="2" t="str">
        <f>PROPER(TRIM([1]RawShipmentData!G1175))</f>
        <v>South</v>
      </c>
      <c r="I1164" s="2" t="str">
        <f t="shared" si="90"/>
        <v>No</v>
      </c>
      <c r="J1164" s="2">
        <f>IFERROR(VALUE(TRIM(SUBSTITUTE(UPPER([1]RawShipmentData!I1164),"KG",""))),"")</f>
        <v>13.5</v>
      </c>
      <c r="K1164" s="2">
        <f>VALUE(SUBSTITUTE(SUBSTITUTE(SUBSTITUTE(TRIM([1]RawShipmentData!J1175),"₹",""),"Rs",""),",",""))</f>
        <v>80</v>
      </c>
      <c r="L1164" s="2">
        <f>[1]RawShipmentData!K1175</f>
        <v>4</v>
      </c>
      <c r="M1164" s="3">
        <f>IF(TRIM([1]RawShipmentData!L1175)="","",IF(ISNUMBER(SEARCH("/",TRIM([1]RawShipmentData!L1175))),DATE(VALUE(RIGHT(TRIM([1]RawShipmentData!L1175),4)),VALUE(MID(TRIM([1]RawShipmentData!L1175),FIND("/",TRIM([1]RawShipmentData!L1175))+1,2)),VALUE(LEFT(TRIM([1]RawShipmentData!L1175),FIND("/",TRIM([1]RawShipmentData!L1175))-1))),DATEVALUE(TRIM([1]RawShipmentData!L1175))))</f>
        <v>45436</v>
      </c>
      <c r="N1164" s="2">
        <f t="shared" si="91"/>
        <v>4</v>
      </c>
      <c r="O1164" s="2">
        <f t="shared" si="92"/>
        <v>0</v>
      </c>
      <c r="P1164" s="2" t="str">
        <f t="shared" si="93"/>
        <v>On Time</v>
      </c>
      <c r="Q1164" s="2" t="str">
        <f>PROPER(SUBSTITUTE(TRIM([1]RawShipmentData!M1175)," ","-"))</f>
        <v>Delivered</v>
      </c>
      <c r="R1164" s="4">
        <f t="shared" si="94"/>
        <v>5.9259259259259256</v>
      </c>
      <c r="S1164" s="2">
        <f>[1]RawShipmentData!N1175</f>
        <v>5</v>
      </c>
      <c r="T1164" s="2" t="str">
        <f>IF(OR(UPPER(TRIM([1]RawShipmentData!O1175))="YES",UPPER(TRIM([1]RawShipmentData!O1175))="Y"),"Yes","No")</f>
        <v>No</v>
      </c>
    </row>
    <row r="1165" spans="1:20" x14ac:dyDescent="0.25">
      <c r="A1165" s="2" t="str">
        <f>[1]RawShipmentData!A1176</f>
        <v>SHP-100216</v>
      </c>
      <c r="B1165" s="3">
        <f>IF(ISNUMBER(SEARCH("/",TRIM([1]RawShipmentData!B1176))),DATE(VALUE(RIGHT(TRIM([1]RawShipmentData!B1176),4)),VALUE(MID(TRIM([1]RawShipmentData!B1176),FIND("/",TRIM([1]RawShipmentData!B1176))+1,2)),VALUE(LEFT(TRIM([1]RawShipmentData!B1176),FIND("/",TRIM([1]RawShipmentData!B1176))-1))),DATEVALUE(TRIM([1]RawShipmentData!B1176)))</f>
        <v>45297</v>
      </c>
      <c r="C1165" s="2" t="str">
        <f>PROPER(TRIM([1]RawShipmentData!C1176))</f>
        <v>Kolkata</v>
      </c>
      <c r="D1165" s="2" t="str">
        <f>IFERROR(INDEX([1]HubMaster!$B$2:$B$7,MATCH(C1165,[1]HubMaster!$A$2:$A$7,0)),"Unknown")</f>
        <v>East</v>
      </c>
      <c r="E1165" s="2" t="str">
        <f>PROPER(TRIM(SUBSTITUTE([1]RawShipmentData!D1176,"  "," ")))</f>
        <v>Ecom Express</v>
      </c>
      <c r="F1165" s="2" t="str">
        <f>PROPER(TRIM([1]RawShipmentData!E1176))</f>
        <v>Surface</v>
      </c>
      <c r="G1165" s="2" t="str">
        <f>PROPER(TRIM(SUBSTITUTE([1]RawShipmentData!F1176,"  "," ")))</f>
        <v>Pharma</v>
      </c>
      <c r="H1165" s="2" t="str">
        <f>PROPER(TRIM([1]RawShipmentData!G1176))</f>
        <v>East</v>
      </c>
      <c r="I1165" s="2" t="str">
        <f t="shared" si="90"/>
        <v>No</v>
      </c>
      <c r="J1165" s="2">
        <f>IFERROR(VALUE(TRIM(SUBSTITUTE(UPPER([1]RawShipmentData!I1165),"KG",""))),"")</f>
        <v>16.100000000000001</v>
      </c>
      <c r="K1165" s="2">
        <f>VALUE(SUBSTITUTE(SUBSTITUTE(SUBSTITUTE(TRIM([1]RawShipmentData!J1176),"₹",""),"Rs",""),",",""))</f>
        <v>129</v>
      </c>
      <c r="L1165" s="2">
        <f>[1]RawShipmentData!K1176</f>
        <v>4</v>
      </c>
      <c r="M1165" s="3">
        <f>IF(TRIM([1]RawShipmentData!L1176)="","",IF(ISNUMBER(SEARCH("/",TRIM([1]RawShipmentData!L1176))),DATE(VALUE(RIGHT(TRIM([1]RawShipmentData!L1176),4)),VALUE(MID(TRIM([1]RawShipmentData!L1176),FIND("/",TRIM([1]RawShipmentData!L1176))+1,2)),VALUE(LEFT(TRIM([1]RawShipmentData!L1176),FIND("/",TRIM([1]RawShipmentData!L1176))-1))),DATEVALUE(TRIM([1]RawShipmentData!L1176))))</f>
        <v>45303</v>
      </c>
      <c r="N1165" s="2">
        <f t="shared" si="91"/>
        <v>6</v>
      </c>
      <c r="O1165" s="2">
        <f t="shared" si="92"/>
        <v>2</v>
      </c>
      <c r="P1165" s="2" t="str">
        <f t="shared" si="93"/>
        <v>Late</v>
      </c>
      <c r="Q1165" s="2" t="str">
        <f>PROPER(SUBSTITUTE(TRIM([1]RawShipmentData!M1176)," ","-"))</f>
        <v>Delayed</v>
      </c>
      <c r="R1165" s="4">
        <f t="shared" si="94"/>
        <v>8.012422360248447</v>
      </c>
      <c r="S1165" s="2">
        <f>[1]RawShipmentData!N1176</f>
        <v>3</v>
      </c>
      <c r="T1165" s="2" t="str">
        <f>IF(OR(UPPER(TRIM([1]RawShipmentData!O1176))="YES",UPPER(TRIM([1]RawShipmentData!O1176))="Y"),"Yes","No")</f>
        <v>No</v>
      </c>
    </row>
    <row r="1166" spans="1:20" x14ac:dyDescent="0.25">
      <c r="A1166" s="2" t="str">
        <f>[1]RawShipmentData!A1177</f>
        <v>SHP-100455</v>
      </c>
      <c r="B1166" s="3">
        <f>IF(ISNUMBER(SEARCH("/",TRIM([1]RawShipmentData!B1177))),DATE(VALUE(RIGHT(TRIM([1]RawShipmentData!B1177),4)),VALUE(MID(TRIM([1]RawShipmentData!B1177),FIND("/",TRIM([1]RawShipmentData!B1177))+1,2)),VALUE(LEFT(TRIM([1]RawShipmentData!B1177),FIND("/",TRIM([1]RawShipmentData!B1177))-1))),DATEVALUE(TRIM([1]RawShipmentData!B1177)))</f>
        <v>45329</v>
      </c>
      <c r="C1166" s="2" t="str">
        <f>PROPER(TRIM([1]RawShipmentData!C1177))</f>
        <v>Chennai</v>
      </c>
      <c r="D1166" s="2" t="str">
        <f>IFERROR(INDEX([1]HubMaster!$B$2:$B$7,MATCH(C1166,[1]HubMaster!$A$2:$A$7,0)),"Unknown")</f>
        <v>South</v>
      </c>
      <c r="E1166" s="2" t="str">
        <f>PROPER(TRIM(SUBSTITUTE([1]RawShipmentData!D1177,"  "," ")))</f>
        <v>Ecom Express</v>
      </c>
      <c r="F1166" s="2" t="str">
        <f>PROPER(TRIM([1]RawShipmentData!E1177))</f>
        <v>Road</v>
      </c>
      <c r="G1166" s="2" t="str">
        <f>PROPER(TRIM(SUBSTITUTE([1]RawShipmentData!F1177,"  "," ")))</f>
        <v>Pharma</v>
      </c>
      <c r="H1166" s="2" t="str">
        <f>PROPER(TRIM([1]RawShipmentData!G1177))</f>
        <v>West</v>
      </c>
      <c r="I1166" s="2" t="str">
        <f t="shared" si="90"/>
        <v>Yes</v>
      </c>
      <c r="J1166" s="2">
        <f>IFERROR(VALUE(TRIM(SUBSTITUTE(UPPER([1]RawShipmentData!I1166),"KG",""))),"")</f>
        <v>4.5</v>
      </c>
      <c r="K1166" s="2">
        <f>VALUE(SUBSTITUTE(SUBSTITUTE(SUBSTITUTE(TRIM([1]RawShipmentData!J1177),"₹",""),"Rs",""),",",""))</f>
        <v>210</v>
      </c>
      <c r="L1166" s="2">
        <f>[1]RawShipmentData!K1177</f>
        <v>8</v>
      </c>
      <c r="M1166" s="3">
        <f>IF(TRIM([1]RawShipmentData!L1177)="","",IF(ISNUMBER(SEARCH("/",TRIM([1]RawShipmentData!L1177))),DATE(VALUE(RIGHT(TRIM([1]RawShipmentData!L1177),4)),VALUE(MID(TRIM([1]RawShipmentData!L1177),FIND("/",TRIM([1]RawShipmentData!L1177))+1,2)),VALUE(LEFT(TRIM([1]RawShipmentData!L1177),FIND("/",TRIM([1]RawShipmentData!L1177))-1))),DATEVALUE(TRIM([1]RawShipmentData!L1177))))</f>
        <v>45336</v>
      </c>
      <c r="N1166" s="2">
        <f t="shared" si="91"/>
        <v>7</v>
      </c>
      <c r="O1166" s="2">
        <f t="shared" si="92"/>
        <v>-1</v>
      </c>
      <c r="P1166" s="2" t="str">
        <f t="shared" si="93"/>
        <v>On Time</v>
      </c>
      <c r="Q1166" s="2" t="str">
        <f>PROPER(SUBSTITUTE(TRIM([1]RawShipmentData!M1177)," ","-"))</f>
        <v>Delivered</v>
      </c>
      <c r="R1166" s="4">
        <f t="shared" si="94"/>
        <v>46.666666666666664</v>
      </c>
      <c r="S1166" s="2">
        <f>[1]RawShipmentData!N1177</f>
        <v>5</v>
      </c>
      <c r="T1166" s="2" t="str">
        <f>IF(OR(UPPER(TRIM([1]RawShipmentData!O1177))="YES",UPPER(TRIM([1]RawShipmentData!O1177))="Y"),"Yes","No")</f>
        <v>No</v>
      </c>
    </row>
    <row r="1167" spans="1:20" x14ac:dyDescent="0.25">
      <c r="A1167" s="2" t="str">
        <f>[1]RawShipmentData!A1178</f>
        <v>SHP-100540</v>
      </c>
      <c r="B1167" s="3">
        <f>IF(ISNUMBER(SEARCH("/",TRIM([1]RawShipmentData!B1178))),DATE(VALUE(RIGHT(TRIM([1]RawShipmentData!B1178),4)),VALUE(MID(TRIM([1]RawShipmentData!B1178),FIND("/",TRIM([1]RawShipmentData!B1178))+1,2)),VALUE(LEFT(TRIM([1]RawShipmentData!B1178),FIND("/",TRIM([1]RawShipmentData!B1178))-1))),DATEVALUE(TRIM([1]RawShipmentData!B1178)))</f>
        <v>45449</v>
      </c>
      <c r="C1167" s="2" t="str">
        <f>PROPER(TRIM([1]RawShipmentData!C1178))</f>
        <v>Bengaluru</v>
      </c>
      <c r="D1167" s="2" t="str">
        <f>IFERROR(INDEX([1]HubMaster!$B$2:$B$7,MATCH(C1167,[1]HubMaster!$A$2:$A$7,0)),"Unknown")</f>
        <v>South</v>
      </c>
      <c r="E1167" s="2" t="str">
        <f>PROPER(TRIM(SUBSTITUTE([1]RawShipmentData!D1178,"  "," ")))</f>
        <v>Ecom Express</v>
      </c>
      <c r="F1167" s="2" t="str">
        <f>PROPER(TRIM([1]RawShipmentData!E1178))</f>
        <v>Road</v>
      </c>
      <c r="G1167" s="2" t="str">
        <f>PROPER(TRIM(SUBSTITUTE([1]RawShipmentData!F1178,"  "," ")))</f>
        <v>Automotive Parts</v>
      </c>
      <c r="H1167" s="2" t="str">
        <f>PROPER(TRIM([1]RawShipmentData!G1178))</f>
        <v>West</v>
      </c>
      <c r="I1167" s="2" t="str">
        <f t="shared" si="90"/>
        <v>Yes</v>
      </c>
      <c r="J1167" s="2">
        <f>IFERROR(VALUE(TRIM(SUBSTITUTE(UPPER([1]RawShipmentData!I1167),"KG",""))),"")</f>
        <v>0.9</v>
      </c>
      <c r="K1167" s="2">
        <f>VALUE(SUBSTITUTE(SUBSTITUTE(SUBSTITUTE(TRIM([1]RawShipmentData!J1178),"₹",""),"Rs",""),",",""))</f>
        <v>370</v>
      </c>
      <c r="L1167" s="2">
        <f>[1]RawShipmentData!K1178</f>
        <v>8</v>
      </c>
      <c r="M1167" s="3">
        <f>IF(TRIM([1]RawShipmentData!L1178)="","",IF(ISNUMBER(SEARCH("/",TRIM([1]RawShipmentData!L1178))),DATE(VALUE(RIGHT(TRIM([1]RawShipmentData!L1178),4)),VALUE(MID(TRIM([1]RawShipmentData!L1178),FIND("/",TRIM([1]RawShipmentData!L1178))+1,2)),VALUE(LEFT(TRIM([1]RawShipmentData!L1178),FIND("/",TRIM([1]RawShipmentData!L1178))-1))),DATEVALUE(TRIM([1]RawShipmentData!L1178))))</f>
        <v>45457</v>
      </c>
      <c r="N1167" s="2">
        <f t="shared" si="91"/>
        <v>8</v>
      </c>
      <c r="O1167" s="2">
        <f t="shared" si="92"/>
        <v>0</v>
      </c>
      <c r="P1167" s="2" t="str">
        <f t="shared" si="93"/>
        <v>On Time</v>
      </c>
      <c r="Q1167" s="2" t="str">
        <f>PROPER(SUBSTITUTE(TRIM([1]RawShipmentData!M1178)," ","-"))</f>
        <v>Delivered</v>
      </c>
      <c r="R1167" s="4">
        <f t="shared" si="94"/>
        <v>411.11111111111109</v>
      </c>
      <c r="S1167" s="2">
        <f>[1]RawShipmentData!N1178</f>
        <v>3</v>
      </c>
      <c r="T1167" s="2" t="str">
        <f>IF(OR(UPPER(TRIM([1]RawShipmentData!O1178))="YES",UPPER(TRIM([1]RawShipmentData!O1178))="Y"),"Yes","No")</f>
        <v>No</v>
      </c>
    </row>
    <row r="1168" spans="1:20" x14ac:dyDescent="0.25">
      <c r="A1168" s="2" t="str">
        <f>[1]RawShipmentData!A1179</f>
        <v>SHP-101586</v>
      </c>
      <c r="B1168" s="3">
        <f>IF(ISNUMBER(SEARCH("/",TRIM([1]RawShipmentData!B1179))),DATE(VALUE(RIGHT(TRIM([1]RawShipmentData!B1179),4)),VALUE(MID(TRIM([1]RawShipmentData!B1179),FIND("/",TRIM([1]RawShipmentData!B1179))+1,2)),VALUE(LEFT(TRIM([1]RawShipmentData!B1179),FIND("/",TRIM([1]RawShipmentData!B1179))-1))),DATEVALUE(TRIM([1]RawShipmentData!B1179)))</f>
        <v>45452</v>
      </c>
      <c r="C1168" s="2" t="str">
        <f>PROPER(TRIM([1]RawShipmentData!C1179))</f>
        <v>Kolkata</v>
      </c>
      <c r="D1168" s="2" t="str">
        <f>IFERROR(INDEX([1]HubMaster!$B$2:$B$7,MATCH(C1168,[1]HubMaster!$A$2:$A$7,0)),"Unknown")</f>
        <v>East</v>
      </c>
      <c r="E1168" s="2" t="str">
        <f>PROPER(TRIM(SUBSTITUTE([1]RawShipmentData!D1179,"  "," ")))</f>
        <v>Delhivery</v>
      </c>
      <c r="F1168" s="2" t="str">
        <f>PROPER(TRIM([1]RawShipmentData!E1179))</f>
        <v>Road</v>
      </c>
      <c r="G1168" s="2" t="str">
        <f>PROPER(TRIM(SUBSTITUTE([1]RawShipmentData!F1179,"  "," ")))</f>
        <v>Grocery &amp; Fmcg</v>
      </c>
      <c r="H1168" s="2" t="str">
        <f>PROPER(TRIM([1]RawShipmentData!G1179))</f>
        <v>North</v>
      </c>
      <c r="I1168" s="2" t="str">
        <f t="shared" si="90"/>
        <v>Yes</v>
      </c>
      <c r="J1168" s="2">
        <f>IFERROR(VALUE(TRIM(SUBSTITUTE(UPPER([1]RawShipmentData!I1168),"KG",""))),"")</f>
        <v>20.9</v>
      </c>
      <c r="K1168" s="2">
        <f>VALUE(SUBSTITUTE(SUBSTITUTE(SUBSTITUTE(TRIM([1]RawShipmentData!J1179),"₹",""),"Rs",""),",",""))</f>
        <v>444</v>
      </c>
      <c r="L1168" s="2">
        <f>[1]RawShipmentData!K1179</f>
        <v>8</v>
      </c>
      <c r="M1168" s="3">
        <f>IF(TRIM([1]RawShipmentData!L1179)="","",IF(ISNUMBER(SEARCH("/",TRIM([1]RawShipmentData!L1179))),DATE(VALUE(RIGHT(TRIM([1]RawShipmentData!L1179),4)),VALUE(MID(TRIM([1]RawShipmentData!L1179),FIND("/",TRIM([1]RawShipmentData!L1179))+1,2)),VALUE(LEFT(TRIM([1]RawShipmentData!L1179),FIND("/",TRIM([1]RawShipmentData!L1179))-1))),DATEVALUE(TRIM([1]RawShipmentData!L1179))))</f>
        <v>45461</v>
      </c>
      <c r="N1168" s="2">
        <f t="shared" si="91"/>
        <v>9</v>
      </c>
      <c r="O1168" s="2">
        <f t="shared" si="92"/>
        <v>1</v>
      </c>
      <c r="P1168" s="2" t="str">
        <f t="shared" si="93"/>
        <v>Late</v>
      </c>
      <c r="Q1168" s="2" t="str">
        <f>PROPER(SUBSTITUTE(TRIM([1]RawShipmentData!M1179)," ","-"))</f>
        <v>Delayed</v>
      </c>
      <c r="R1168" s="4">
        <f t="shared" si="94"/>
        <v>21.244019138755981</v>
      </c>
      <c r="S1168" s="2">
        <f>[1]RawShipmentData!N1179</f>
        <v>4</v>
      </c>
      <c r="T1168" s="2" t="str">
        <f>IF(OR(UPPER(TRIM([1]RawShipmentData!O1179))="YES",UPPER(TRIM([1]RawShipmentData!O1179))="Y"),"Yes","No")</f>
        <v>No</v>
      </c>
    </row>
    <row r="1169" spans="1:20" x14ac:dyDescent="0.25">
      <c r="A1169" s="2" t="str">
        <f>[1]RawShipmentData!A1180</f>
        <v>SHP-100039</v>
      </c>
      <c r="B1169" s="3">
        <f>IF(ISNUMBER(SEARCH("/",TRIM([1]RawShipmentData!B1180))),DATE(VALUE(RIGHT(TRIM([1]RawShipmentData!B1180),4)),VALUE(MID(TRIM([1]RawShipmentData!B1180),FIND("/",TRIM([1]RawShipmentData!B1180))+1,2)),VALUE(LEFT(TRIM([1]RawShipmentData!B1180),FIND("/",TRIM([1]RawShipmentData!B1180))-1))),DATEVALUE(TRIM([1]RawShipmentData!B1180)))</f>
        <v>45357</v>
      </c>
      <c r="C1169" s="2" t="str">
        <f>PROPER(TRIM([1]RawShipmentData!C1180))</f>
        <v>Mumbai</v>
      </c>
      <c r="D1169" s="2" t="str">
        <f>IFERROR(INDEX([1]HubMaster!$B$2:$B$7,MATCH(C1169,[1]HubMaster!$A$2:$A$7,0)),"Unknown")</f>
        <v>West</v>
      </c>
      <c r="E1169" s="2" t="str">
        <f>PROPER(TRIM(SUBSTITUTE([1]RawShipmentData!D1180,"  "," ")))</f>
        <v>Ecom Express</v>
      </c>
      <c r="F1169" s="2" t="str">
        <f>PROPER(TRIM([1]RawShipmentData!E1180))</f>
        <v>Surface</v>
      </c>
      <c r="G1169" s="2" t="str">
        <f>PROPER(TRIM(SUBSTITUTE([1]RawShipmentData!F1180,"  "," ")))</f>
        <v>Pharma</v>
      </c>
      <c r="H1169" s="2" t="str">
        <f>PROPER(TRIM([1]RawShipmentData!G1180))</f>
        <v>South</v>
      </c>
      <c r="I1169" s="2" t="str">
        <f t="shared" si="90"/>
        <v>Yes</v>
      </c>
      <c r="J1169" s="2">
        <f>IFERROR(VALUE(TRIM(SUBSTITUTE(UPPER([1]RawShipmentData!I1169),"KG",""))),"")</f>
        <v>7</v>
      </c>
      <c r="K1169" s="2">
        <f>VALUE(SUBSTITUTE(SUBSTITUTE(SUBSTITUTE(TRIM([1]RawShipmentData!J1180),"₹",""),"Rs",""),",",""))</f>
        <v>158</v>
      </c>
      <c r="L1169" s="2">
        <f>[1]RawShipmentData!K1180</f>
        <v>6</v>
      </c>
      <c r="M1169" s="3">
        <f>IF(TRIM([1]RawShipmentData!L1180)="","",IF(ISNUMBER(SEARCH("/",TRIM([1]RawShipmentData!L1180))),DATE(VALUE(RIGHT(TRIM([1]RawShipmentData!L1180),4)),VALUE(MID(TRIM([1]RawShipmentData!L1180),FIND("/",TRIM([1]RawShipmentData!L1180))+1,2)),VALUE(LEFT(TRIM([1]RawShipmentData!L1180),FIND("/",TRIM([1]RawShipmentData!L1180))-1))),DATEVALUE(TRIM([1]RawShipmentData!L1180))))</f>
        <v>45364</v>
      </c>
      <c r="N1169" s="2">
        <f t="shared" si="91"/>
        <v>7</v>
      </c>
      <c r="O1169" s="2">
        <f t="shared" si="92"/>
        <v>1</v>
      </c>
      <c r="P1169" s="2" t="str">
        <f t="shared" si="93"/>
        <v>Late</v>
      </c>
      <c r="Q1169" s="2" t="str">
        <f>PROPER(SUBSTITUTE(TRIM([1]RawShipmentData!M1180)," ","-"))</f>
        <v>Delayed</v>
      </c>
      <c r="R1169" s="4">
        <f t="shared" si="94"/>
        <v>22.571428571428573</v>
      </c>
      <c r="S1169" s="2">
        <f>[1]RawShipmentData!N1180</f>
        <v>3</v>
      </c>
      <c r="T1169" s="2" t="str">
        <f>IF(OR(UPPER(TRIM([1]RawShipmentData!O1180))="YES",UPPER(TRIM([1]RawShipmentData!O1180))="Y"),"Yes","No")</f>
        <v>Yes</v>
      </c>
    </row>
    <row r="1170" spans="1:20" x14ac:dyDescent="0.25">
      <c r="A1170" s="2" t="str">
        <f>[1]RawShipmentData!A1181</f>
        <v>SHP-101211</v>
      </c>
      <c r="B1170" s="3">
        <f>IF(ISNUMBER(SEARCH("/",TRIM([1]RawShipmentData!B1181))),DATE(VALUE(RIGHT(TRIM([1]RawShipmentData!B1181),4)),VALUE(MID(TRIM([1]RawShipmentData!B1181),FIND("/",TRIM([1]RawShipmentData!B1181))+1,2)),VALUE(LEFT(TRIM([1]RawShipmentData!B1181),FIND("/",TRIM([1]RawShipmentData!B1181))-1))),DATEVALUE(TRIM([1]RawShipmentData!B1181)))</f>
        <v>45293</v>
      </c>
      <c r="C1170" s="2" t="str">
        <f>PROPER(TRIM([1]RawShipmentData!C1181))</f>
        <v>Kolkata</v>
      </c>
      <c r="D1170" s="2" t="str">
        <f>IFERROR(INDEX([1]HubMaster!$B$2:$B$7,MATCH(C1170,[1]HubMaster!$A$2:$A$7,0)),"Unknown")</f>
        <v>East</v>
      </c>
      <c r="E1170" s="2" t="str">
        <f>PROPER(TRIM(SUBSTITUTE([1]RawShipmentData!D1181,"  "," ")))</f>
        <v>Bluedart</v>
      </c>
      <c r="F1170" s="2" t="str">
        <f>PROPER(TRIM([1]RawShipmentData!E1181))</f>
        <v>Air</v>
      </c>
      <c r="G1170" s="2" t="str">
        <f>PROPER(TRIM(SUBSTITUTE([1]RawShipmentData!F1181,"  "," ")))</f>
        <v>Automotive Parts</v>
      </c>
      <c r="H1170" s="2" t="str">
        <f>PROPER(TRIM([1]RawShipmentData!G1181))</f>
        <v>North</v>
      </c>
      <c r="I1170" s="2" t="str">
        <f t="shared" si="90"/>
        <v>Yes</v>
      </c>
      <c r="J1170" s="2">
        <f>IFERROR(VALUE(TRIM(SUBSTITUTE(UPPER([1]RawShipmentData!I1170),"KG",""))),"")</f>
        <v>46.2</v>
      </c>
      <c r="K1170" s="2">
        <f>VALUE(SUBSTITUTE(SUBSTITUTE(SUBSTITUTE(TRIM([1]RawShipmentData!J1181),"₹",""),"Rs",""),",",""))</f>
        <v>986</v>
      </c>
      <c r="L1170" s="2">
        <f>[1]RawShipmentData!K1181</f>
        <v>4</v>
      </c>
      <c r="M1170" s="3">
        <f>IF(TRIM([1]RawShipmentData!L1181)="","",IF(ISNUMBER(SEARCH("/",TRIM([1]RawShipmentData!L1181))),DATE(VALUE(RIGHT(TRIM([1]RawShipmentData!L1181),4)),VALUE(MID(TRIM([1]RawShipmentData!L1181),FIND("/",TRIM([1]RawShipmentData!L1181))+1,2)),VALUE(LEFT(TRIM([1]RawShipmentData!L1181),FIND("/",TRIM([1]RawShipmentData!L1181))-1))),DATEVALUE(TRIM([1]RawShipmentData!L1181))))</f>
        <v>45298</v>
      </c>
      <c r="N1170" s="2">
        <f t="shared" si="91"/>
        <v>5</v>
      </c>
      <c r="O1170" s="2">
        <f t="shared" si="92"/>
        <v>1</v>
      </c>
      <c r="P1170" s="2" t="str">
        <f t="shared" si="93"/>
        <v>Late</v>
      </c>
      <c r="Q1170" s="2" t="str">
        <f>PROPER(SUBSTITUTE(TRIM([1]RawShipmentData!M1181)," ","-"))</f>
        <v>Delayed</v>
      </c>
      <c r="R1170" s="4">
        <f t="shared" si="94"/>
        <v>21.341991341991342</v>
      </c>
      <c r="S1170" s="2">
        <f>[1]RawShipmentData!N1181</f>
        <v>3</v>
      </c>
      <c r="T1170" s="2" t="str">
        <f>IF(OR(UPPER(TRIM([1]RawShipmentData!O1181))="YES",UPPER(TRIM([1]RawShipmentData!O1181))="Y"),"Yes","No")</f>
        <v>No</v>
      </c>
    </row>
    <row r="1171" spans="1:20" x14ac:dyDescent="0.25">
      <c r="A1171" s="2" t="str">
        <f>[1]RawShipmentData!A1182</f>
        <v>SHP-100654</v>
      </c>
      <c r="B1171" s="3">
        <f>IF(ISNUMBER(SEARCH("/",TRIM([1]RawShipmentData!B1182))),DATE(VALUE(RIGHT(TRIM([1]RawShipmentData!B1182),4)),VALUE(MID(TRIM([1]RawShipmentData!B1182),FIND("/",TRIM([1]RawShipmentData!B1182))+1,2)),VALUE(LEFT(TRIM([1]RawShipmentData!B1182),FIND("/",TRIM([1]RawShipmentData!B1182))-1))),DATEVALUE(TRIM([1]RawShipmentData!B1182)))</f>
        <v>45387</v>
      </c>
      <c r="C1171" s="2" t="str">
        <f>PROPER(TRIM([1]RawShipmentData!C1182))</f>
        <v>Bengaluru</v>
      </c>
      <c r="D1171" s="2" t="str">
        <f>IFERROR(INDEX([1]HubMaster!$B$2:$B$7,MATCH(C1171,[1]HubMaster!$A$2:$A$7,0)),"Unknown")</f>
        <v>South</v>
      </c>
      <c r="E1171" s="2" t="str">
        <f>PROPER(TRIM(SUBSTITUTE([1]RawShipmentData!D1182,"  "," ")))</f>
        <v>Dtdc</v>
      </c>
      <c r="F1171" s="2" t="str">
        <f>PROPER(TRIM([1]RawShipmentData!E1182))</f>
        <v>Road</v>
      </c>
      <c r="G1171" s="2" t="str">
        <f>PROPER(TRIM(SUBSTITUTE([1]RawShipmentData!F1182,"  "," ")))</f>
        <v>Furniture</v>
      </c>
      <c r="H1171" s="2" t="str">
        <f>PROPER(TRIM([1]RawShipmentData!G1182))</f>
        <v>South</v>
      </c>
      <c r="I1171" s="2" t="str">
        <f t="shared" si="90"/>
        <v>No</v>
      </c>
      <c r="J1171" s="2">
        <f>IFERROR(VALUE(TRIM(SUBSTITUTE(UPPER([1]RawShipmentData!I1171),"KG",""))),"")</f>
        <v>1.8</v>
      </c>
      <c r="K1171" s="2">
        <f>VALUE(SUBSTITUTE(SUBSTITUTE(SUBSTITUTE(TRIM([1]RawShipmentData!J1182),"₹",""),"Rs",""),",",""))</f>
        <v>972</v>
      </c>
      <c r="L1171" s="2">
        <f>[1]RawShipmentData!K1182</f>
        <v>6</v>
      </c>
      <c r="M1171" s="3">
        <f>IF(TRIM([1]RawShipmentData!L1182)="","",IF(ISNUMBER(SEARCH("/",TRIM([1]RawShipmentData!L1182))),DATE(VALUE(RIGHT(TRIM([1]RawShipmentData!L1182),4)),VALUE(MID(TRIM([1]RawShipmentData!L1182),FIND("/",TRIM([1]RawShipmentData!L1182))+1,2)),VALUE(LEFT(TRIM([1]RawShipmentData!L1182),FIND("/",TRIM([1]RawShipmentData!L1182))-1))),DATEVALUE(TRIM([1]RawShipmentData!L1182))))</f>
        <v>45392</v>
      </c>
      <c r="N1171" s="2">
        <f t="shared" si="91"/>
        <v>5</v>
      </c>
      <c r="O1171" s="2">
        <f t="shared" si="92"/>
        <v>-1</v>
      </c>
      <c r="P1171" s="2" t="str">
        <f t="shared" si="93"/>
        <v>On Time</v>
      </c>
      <c r="Q1171" s="2" t="str">
        <f>PROPER(SUBSTITUTE(TRIM([1]RawShipmentData!M1182)," ","-"))</f>
        <v>Delivered</v>
      </c>
      <c r="R1171" s="4">
        <f t="shared" si="94"/>
        <v>540</v>
      </c>
      <c r="S1171" s="2">
        <f>[1]RawShipmentData!N1182</f>
        <v>4</v>
      </c>
      <c r="T1171" s="2" t="str">
        <f>IF(OR(UPPER(TRIM([1]RawShipmentData!O1182))="YES",UPPER(TRIM([1]RawShipmentData!O1182))="Y"),"Yes","No")</f>
        <v>Yes</v>
      </c>
    </row>
    <row r="1172" spans="1:20" x14ac:dyDescent="0.25">
      <c r="A1172" s="2" t="str">
        <f>[1]RawShipmentData!A1183</f>
        <v>SHP-100826</v>
      </c>
      <c r="B1172" s="3">
        <f>IF(ISNUMBER(SEARCH("/",TRIM([1]RawShipmentData!B1183))),DATE(VALUE(RIGHT(TRIM([1]RawShipmentData!B1183),4)),VALUE(MID(TRIM([1]RawShipmentData!B1183),FIND("/",TRIM([1]RawShipmentData!B1183))+1,2)),VALUE(LEFT(TRIM([1]RawShipmentData!B1183),FIND("/",TRIM([1]RawShipmentData!B1183))-1))),DATEVALUE(TRIM([1]RawShipmentData!B1183)))</f>
        <v>45332</v>
      </c>
      <c r="C1172" s="2" t="str">
        <f>PROPER(TRIM([1]RawShipmentData!C1183))</f>
        <v>Kolkata</v>
      </c>
      <c r="D1172" s="2" t="str">
        <f>IFERROR(INDEX([1]HubMaster!$B$2:$B$7,MATCH(C1172,[1]HubMaster!$A$2:$A$7,0)),"Unknown")</f>
        <v>East</v>
      </c>
      <c r="E1172" s="2" t="str">
        <f>PROPER(TRIM(SUBSTITUTE([1]RawShipmentData!D1183,"  "," ")))</f>
        <v>Dtdc</v>
      </c>
      <c r="F1172" s="2" t="str">
        <f>PROPER(TRIM([1]RawShipmentData!E1183))</f>
        <v>Air</v>
      </c>
      <c r="G1172" s="2" t="str">
        <f>PROPER(TRIM(SUBSTITUTE([1]RawShipmentData!F1183,"  "," ")))</f>
        <v>Electronics</v>
      </c>
      <c r="H1172" s="2" t="str">
        <f>PROPER(TRIM([1]RawShipmentData!G1183))</f>
        <v>East</v>
      </c>
      <c r="I1172" s="2" t="str">
        <f t="shared" si="90"/>
        <v>No</v>
      </c>
      <c r="J1172" s="2">
        <f>IFERROR(VALUE(TRIM(SUBSTITUTE(UPPER([1]RawShipmentData!I1172),"KG",""))),"")</f>
        <v>1.4</v>
      </c>
      <c r="K1172" s="2">
        <f>VALUE(SUBSTITUTE(SUBSTITUTE(SUBSTITUTE(TRIM([1]RawShipmentData!J1183),"₹",""),"Rs",""),",",""))</f>
        <v>132</v>
      </c>
      <c r="L1172" s="2">
        <f>[1]RawShipmentData!K1183</f>
        <v>2</v>
      </c>
      <c r="M1172" s="3">
        <f>IF(TRIM([1]RawShipmentData!L1183)="","",IF(ISNUMBER(SEARCH("/",TRIM([1]RawShipmentData!L1183))),DATE(VALUE(RIGHT(TRIM([1]RawShipmentData!L1183),4)),VALUE(MID(TRIM([1]RawShipmentData!L1183),FIND("/",TRIM([1]RawShipmentData!L1183))+1,2)),VALUE(LEFT(TRIM([1]RawShipmentData!L1183),FIND("/",TRIM([1]RawShipmentData!L1183))-1))),DATEVALUE(TRIM([1]RawShipmentData!L1183))))</f>
        <v>45343</v>
      </c>
      <c r="N1172" s="2">
        <f t="shared" si="91"/>
        <v>11</v>
      </c>
      <c r="O1172" s="2">
        <f t="shared" si="92"/>
        <v>9</v>
      </c>
      <c r="P1172" s="2" t="str">
        <f t="shared" si="93"/>
        <v>Late</v>
      </c>
      <c r="Q1172" s="2" t="str">
        <f>PROPER(SUBSTITUTE(TRIM([1]RawShipmentData!M1183)," ","-"))</f>
        <v>Delayed</v>
      </c>
      <c r="R1172" s="4">
        <f t="shared" si="94"/>
        <v>94.285714285714292</v>
      </c>
      <c r="S1172" s="2">
        <f>[1]RawShipmentData!N1183</f>
        <v>3</v>
      </c>
      <c r="T1172" s="2" t="str">
        <f>IF(OR(UPPER(TRIM([1]RawShipmentData!O1183))="YES",UPPER(TRIM([1]RawShipmentData!O1183))="Y"),"Yes","No")</f>
        <v>Yes</v>
      </c>
    </row>
    <row r="1173" spans="1:20" x14ac:dyDescent="0.25">
      <c r="A1173" s="2" t="str">
        <f>[1]RawShipmentData!A1184</f>
        <v>SHP-100696</v>
      </c>
      <c r="B1173" s="3">
        <f>IF(ISNUMBER(SEARCH("/",TRIM([1]RawShipmentData!B1184))),DATE(VALUE(RIGHT(TRIM([1]RawShipmentData!B1184),4)),VALUE(MID(TRIM([1]RawShipmentData!B1184),FIND("/",TRIM([1]RawShipmentData!B1184))+1,2)),VALUE(LEFT(TRIM([1]RawShipmentData!B1184),FIND("/",TRIM([1]RawShipmentData!B1184))-1))),DATEVALUE(TRIM([1]RawShipmentData!B1184)))</f>
        <v>45444</v>
      </c>
      <c r="C1173" s="2" t="str">
        <f>PROPER(TRIM([1]RawShipmentData!C1184))</f>
        <v>Hyderabad</v>
      </c>
      <c r="D1173" s="2" t="str">
        <f>IFERROR(INDEX([1]HubMaster!$B$2:$B$7,MATCH(C1173,[1]HubMaster!$A$2:$A$7,0)),"Unknown")</f>
        <v>West</v>
      </c>
      <c r="E1173" s="2" t="str">
        <f>PROPER(TRIM(SUBSTITUTE([1]RawShipmentData!D1184,"  "," ")))</f>
        <v>Delhivery</v>
      </c>
      <c r="F1173" s="2" t="str">
        <f>PROPER(TRIM([1]RawShipmentData!E1184))</f>
        <v>Road</v>
      </c>
      <c r="G1173" s="2" t="str">
        <f>PROPER(TRIM(SUBSTITUTE([1]RawShipmentData!F1184,"  "," ")))</f>
        <v>Apparel</v>
      </c>
      <c r="H1173" s="2" t="str">
        <f>PROPER(TRIM([1]RawShipmentData!G1184))</f>
        <v>North</v>
      </c>
      <c r="I1173" s="2" t="str">
        <f t="shared" si="90"/>
        <v>Yes</v>
      </c>
      <c r="J1173" s="2">
        <f>IFERROR(VALUE(TRIM(SUBSTITUTE(UPPER([1]RawShipmentData!I1173),"KG",""))),"")</f>
        <v>19</v>
      </c>
      <c r="K1173" s="2">
        <f>VALUE(SUBSTITUTE(SUBSTITUTE(SUBSTITUTE(TRIM([1]RawShipmentData!J1184),"₹",""),"Rs",""),",",""))</f>
        <v>210</v>
      </c>
      <c r="L1173" s="2">
        <f>[1]RawShipmentData!K1184</f>
        <v>8</v>
      </c>
      <c r="M1173" s="3">
        <f>IF(TRIM([1]RawShipmentData!L1184)="","",IF(ISNUMBER(SEARCH("/",TRIM([1]RawShipmentData!L1184))),DATE(VALUE(RIGHT(TRIM([1]RawShipmentData!L1184),4)),VALUE(MID(TRIM([1]RawShipmentData!L1184),FIND("/",TRIM([1]RawShipmentData!L1184))+1,2)),VALUE(LEFT(TRIM([1]RawShipmentData!L1184),FIND("/",TRIM([1]RawShipmentData!L1184))-1))),DATEVALUE(TRIM([1]RawShipmentData!L1184))))</f>
        <v>45451</v>
      </c>
      <c r="N1173" s="2">
        <f t="shared" si="91"/>
        <v>7</v>
      </c>
      <c r="O1173" s="2">
        <f t="shared" si="92"/>
        <v>-1</v>
      </c>
      <c r="P1173" s="2" t="str">
        <f t="shared" si="93"/>
        <v>On Time</v>
      </c>
      <c r="Q1173" s="2" t="str">
        <f>PROPER(SUBSTITUTE(TRIM([1]RawShipmentData!M1184)," ","-"))</f>
        <v>Returned</v>
      </c>
      <c r="R1173" s="4">
        <f t="shared" si="94"/>
        <v>11.052631578947368</v>
      </c>
      <c r="S1173" s="2">
        <f>[1]RawShipmentData!N1184</f>
        <v>0</v>
      </c>
      <c r="T1173" s="2" t="str">
        <f>IF(OR(UPPER(TRIM([1]RawShipmentData!O1184))="YES",UPPER(TRIM([1]RawShipmentData!O1184))="Y"),"Yes","No")</f>
        <v>No</v>
      </c>
    </row>
    <row r="1174" spans="1:20" x14ac:dyDescent="0.25">
      <c r="A1174" s="2" t="str">
        <f>[1]RawShipmentData!A1186</f>
        <v>SHP-101227</v>
      </c>
      <c r="B1174" s="3">
        <f>IF(ISNUMBER(SEARCH("/",TRIM([1]RawShipmentData!B1186))),DATE(VALUE(RIGHT(TRIM([1]RawShipmentData!B1186),4)),VALUE(MID(TRIM([1]RawShipmentData!B1186),FIND("/",TRIM([1]RawShipmentData!B1186))+1,2)),VALUE(LEFT(TRIM([1]RawShipmentData!B1186),FIND("/",TRIM([1]RawShipmentData!B1186))-1))),DATEVALUE(TRIM([1]RawShipmentData!B1186)))</f>
        <v>45401</v>
      </c>
      <c r="C1174" s="2" t="str">
        <f>PROPER(TRIM([1]RawShipmentData!C1186))</f>
        <v>Hyderabad</v>
      </c>
      <c r="D1174" s="2" t="str">
        <f>IFERROR(INDEX([1]HubMaster!$B$2:$B$7,MATCH(C1174,[1]HubMaster!$A$2:$A$7,0)),"Unknown")</f>
        <v>West</v>
      </c>
      <c r="E1174" s="2" t="str">
        <f>PROPER(TRIM(SUBSTITUTE([1]RawShipmentData!D1186,"  "," ")))</f>
        <v>Ecom Express</v>
      </c>
      <c r="F1174" s="2" t="str">
        <f>PROPER(TRIM([1]RawShipmentData!E1186))</f>
        <v>Road</v>
      </c>
      <c r="G1174" s="2" t="str">
        <f>PROPER(TRIM(SUBSTITUTE([1]RawShipmentData!F1186,"  "," ")))</f>
        <v>Electronics</v>
      </c>
      <c r="H1174" s="2" t="str">
        <f>PROPER(TRIM([1]RawShipmentData!G1186))</f>
        <v>West</v>
      </c>
      <c r="I1174" s="2" t="str">
        <f t="shared" si="90"/>
        <v>No</v>
      </c>
      <c r="J1174" s="2">
        <f>IFERROR(VALUE(TRIM(SUBSTITUTE(UPPER([1]RawShipmentData!I1174),"KG",""))),"")</f>
        <v>18.8</v>
      </c>
      <c r="K1174" s="2">
        <f>VALUE(SUBSTITUTE(SUBSTITUTE(SUBSTITUTE(TRIM([1]RawShipmentData!J1186),"₹",""),"Rs",""),",",""))</f>
        <v>141</v>
      </c>
      <c r="L1174" s="2">
        <f>[1]RawShipmentData!K1186</f>
        <v>6</v>
      </c>
      <c r="M1174" s="3">
        <f>IF(TRIM([1]RawShipmentData!L1186)="","",IF(ISNUMBER(SEARCH("/",TRIM([1]RawShipmentData!L1186))),DATE(VALUE(RIGHT(TRIM([1]RawShipmentData!L1186),4)),VALUE(MID(TRIM([1]RawShipmentData!L1186),FIND("/",TRIM([1]RawShipmentData!L1186))+1,2)),VALUE(LEFT(TRIM([1]RawShipmentData!L1186),FIND("/",TRIM([1]RawShipmentData!L1186))-1))),DATEVALUE(TRIM([1]RawShipmentData!L1186))))</f>
        <v>45406</v>
      </c>
      <c r="N1174" s="2">
        <f t="shared" si="91"/>
        <v>5</v>
      </c>
      <c r="O1174" s="2">
        <f t="shared" si="92"/>
        <v>-1</v>
      </c>
      <c r="P1174" s="2" t="str">
        <f t="shared" si="93"/>
        <v>On Time</v>
      </c>
      <c r="Q1174" s="2" t="str">
        <f>PROPER(SUBSTITUTE(TRIM([1]RawShipmentData!M1186)," ","-"))</f>
        <v>Delivered</v>
      </c>
      <c r="R1174" s="4">
        <f t="shared" si="94"/>
        <v>7.5</v>
      </c>
      <c r="S1174" s="2">
        <f>[1]RawShipmentData!N1186</f>
        <v>5</v>
      </c>
      <c r="T1174" s="2" t="str">
        <f>IF(OR(UPPER(TRIM([1]RawShipmentData!O1186))="YES",UPPER(TRIM([1]RawShipmentData!O1186))="Y"),"Yes","No")</f>
        <v>No</v>
      </c>
    </row>
    <row r="1175" spans="1:20" x14ac:dyDescent="0.25">
      <c r="A1175" s="2" t="str">
        <f>[1]RawShipmentData!A1187</f>
        <v>SHP-100276</v>
      </c>
      <c r="B1175" s="3">
        <f>IF(ISNUMBER(SEARCH("/",TRIM([1]RawShipmentData!B1187))),DATE(VALUE(RIGHT(TRIM([1]RawShipmentData!B1187),4)),VALUE(MID(TRIM([1]RawShipmentData!B1187),FIND("/",TRIM([1]RawShipmentData!B1187))+1,2)),VALUE(LEFT(TRIM([1]RawShipmentData!B1187),FIND("/",TRIM([1]RawShipmentData!B1187))-1))),DATEVALUE(TRIM([1]RawShipmentData!B1187)))</f>
        <v>45456</v>
      </c>
      <c r="C1175" s="2" t="str">
        <f>PROPER(TRIM([1]RawShipmentData!C1187))</f>
        <v>Mumbai</v>
      </c>
      <c r="D1175" s="2" t="str">
        <f>IFERROR(INDEX([1]HubMaster!$B$2:$B$7,MATCH(C1175,[1]HubMaster!$A$2:$A$7,0)),"Unknown")</f>
        <v>West</v>
      </c>
      <c r="E1175" s="2" t="str">
        <f>PROPER(TRIM(SUBSTITUTE([1]RawShipmentData!D1187,"  "," ")))</f>
        <v>Delhivery</v>
      </c>
      <c r="F1175" s="2" t="str">
        <f>PROPER(TRIM([1]RawShipmentData!E1187))</f>
        <v>Surface</v>
      </c>
      <c r="G1175" s="2" t="str">
        <f>PROPER(TRIM(SUBSTITUTE([1]RawShipmentData!F1187,"  "," ")))</f>
        <v>Electronics</v>
      </c>
      <c r="H1175" s="2" t="str">
        <f>PROPER(TRIM([1]RawShipmentData!G1187))</f>
        <v>West</v>
      </c>
      <c r="I1175" s="2" t="str">
        <f t="shared" si="90"/>
        <v>No</v>
      </c>
      <c r="J1175" s="2">
        <f>IFERROR(VALUE(TRIM(SUBSTITUTE(UPPER([1]RawShipmentData!I1175),"KG",""))),"")</f>
        <v>2</v>
      </c>
      <c r="K1175" s="2">
        <f>VALUE(SUBSTITUTE(SUBSTITUTE(SUBSTITUTE(TRIM([1]RawShipmentData!J1187),"₹",""),"Rs",""),",",""))</f>
        <v>236</v>
      </c>
      <c r="L1175" s="2">
        <f>[1]RawShipmentData!K1187</f>
        <v>4</v>
      </c>
      <c r="M1175" s="3">
        <f>IF(TRIM([1]RawShipmentData!L1187)="","",IF(ISNUMBER(SEARCH("/",TRIM([1]RawShipmentData!L1187))),DATE(VALUE(RIGHT(TRIM([1]RawShipmentData!L1187),4)),VALUE(MID(TRIM([1]RawShipmentData!L1187),FIND("/",TRIM([1]RawShipmentData!L1187))+1,2)),VALUE(LEFT(TRIM([1]RawShipmentData!L1187),FIND("/",TRIM([1]RawShipmentData!L1187))-1))),DATEVALUE(TRIM([1]RawShipmentData!L1187))))</f>
        <v>45460</v>
      </c>
      <c r="N1175" s="2">
        <f t="shared" si="91"/>
        <v>4</v>
      </c>
      <c r="O1175" s="2">
        <f t="shared" si="92"/>
        <v>0</v>
      </c>
      <c r="P1175" s="2" t="str">
        <f t="shared" si="93"/>
        <v>On Time</v>
      </c>
      <c r="Q1175" s="2" t="str">
        <f>PROPER(SUBSTITUTE(TRIM([1]RawShipmentData!M1187)," ","-"))</f>
        <v>Delivered</v>
      </c>
      <c r="R1175" s="4">
        <f t="shared" si="94"/>
        <v>118</v>
      </c>
      <c r="S1175" s="2">
        <f>[1]RawShipmentData!N1187</f>
        <v>5</v>
      </c>
      <c r="T1175" s="2" t="str">
        <f>IF(OR(UPPER(TRIM([1]RawShipmentData!O1187))="YES",UPPER(TRIM([1]RawShipmentData!O1187))="Y"),"Yes","No")</f>
        <v>Yes</v>
      </c>
    </row>
    <row r="1176" spans="1:20" x14ac:dyDescent="0.25">
      <c r="A1176" s="2" t="str">
        <f>[1]RawShipmentData!A1188</f>
        <v>SHP-100772</v>
      </c>
      <c r="B1176" s="3">
        <f>IF(ISNUMBER(SEARCH("/",TRIM([1]RawShipmentData!B1188))),DATE(VALUE(RIGHT(TRIM([1]RawShipmentData!B1188),4)),VALUE(MID(TRIM([1]RawShipmentData!B1188),FIND("/",TRIM([1]RawShipmentData!B1188))+1,2)),VALUE(LEFT(TRIM([1]RawShipmentData!B1188),FIND("/",TRIM([1]RawShipmentData!B1188))-1))),DATEVALUE(TRIM([1]RawShipmentData!B1188)))</f>
        <v>45424</v>
      </c>
      <c r="C1176" s="2" t="str">
        <f>PROPER(TRIM([1]RawShipmentData!C1188))</f>
        <v>Chennai</v>
      </c>
      <c r="D1176" s="2" t="str">
        <f>IFERROR(INDEX([1]HubMaster!$B$2:$B$7,MATCH(C1176,[1]HubMaster!$A$2:$A$7,0)),"Unknown")</f>
        <v>South</v>
      </c>
      <c r="E1176" s="2" t="str">
        <f>PROPER(TRIM(SUBSTITUTE([1]RawShipmentData!D1188,"  "," ")))</f>
        <v>Dtdc</v>
      </c>
      <c r="F1176" s="2" t="str">
        <f>PROPER(TRIM([1]RawShipmentData!E1188))</f>
        <v>Road</v>
      </c>
      <c r="G1176" s="2" t="str">
        <f>PROPER(TRIM(SUBSTITUTE([1]RawShipmentData!F1188,"  "," ")))</f>
        <v>Automotive Parts</v>
      </c>
      <c r="H1176" s="2" t="str">
        <f>PROPER(TRIM([1]RawShipmentData!G1188))</f>
        <v>North</v>
      </c>
      <c r="I1176" s="2" t="str">
        <f t="shared" si="90"/>
        <v>Yes</v>
      </c>
      <c r="J1176" s="2">
        <f>IFERROR(VALUE(TRIM(SUBSTITUTE(UPPER([1]RawShipmentData!I1176),"KG",""))),"")</f>
        <v>3.5</v>
      </c>
      <c r="K1176" s="2">
        <f>VALUE(SUBSTITUTE(SUBSTITUTE(SUBSTITUTE(TRIM([1]RawShipmentData!J1188),"₹",""),"Rs",""),",",""))</f>
        <v>314</v>
      </c>
      <c r="L1176" s="2">
        <f>[1]RawShipmentData!K1188</f>
        <v>8</v>
      </c>
      <c r="M1176" s="3">
        <f>IF(TRIM([1]RawShipmentData!L1188)="","",IF(ISNUMBER(SEARCH("/",TRIM([1]RawShipmentData!L1188))),DATE(VALUE(RIGHT(TRIM([1]RawShipmentData!L1188),4)),VALUE(MID(TRIM([1]RawShipmentData!L1188),FIND("/",TRIM([1]RawShipmentData!L1188))+1,2)),VALUE(LEFT(TRIM([1]RawShipmentData!L1188),FIND("/",TRIM([1]RawShipmentData!L1188))-1))),DATEVALUE(TRIM([1]RawShipmentData!L1188))))</f>
        <v>45432</v>
      </c>
      <c r="N1176" s="2">
        <f t="shared" si="91"/>
        <v>8</v>
      </c>
      <c r="O1176" s="2">
        <f t="shared" si="92"/>
        <v>0</v>
      </c>
      <c r="P1176" s="2" t="str">
        <f t="shared" si="93"/>
        <v>On Time</v>
      </c>
      <c r="Q1176" s="2" t="str">
        <f>PROPER(SUBSTITUTE(TRIM([1]RawShipmentData!M1188)," ","-"))</f>
        <v>Delivered</v>
      </c>
      <c r="R1176" s="4">
        <f t="shared" si="94"/>
        <v>89.714285714285708</v>
      </c>
      <c r="S1176" s="2">
        <f>[1]RawShipmentData!N1188</f>
        <v>5</v>
      </c>
      <c r="T1176" s="2" t="str">
        <f>IF(OR(UPPER(TRIM([1]RawShipmentData!O1188))="YES",UPPER(TRIM([1]RawShipmentData!O1188))="Y"),"Yes","No")</f>
        <v>Yes</v>
      </c>
    </row>
    <row r="1177" spans="1:20" x14ac:dyDescent="0.25">
      <c r="A1177" s="2" t="str">
        <f>[1]RawShipmentData!A1189</f>
        <v>SHP-100682</v>
      </c>
      <c r="B1177" s="3">
        <f>IF(ISNUMBER(SEARCH("/",TRIM([1]RawShipmentData!B1189))),DATE(VALUE(RIGHT(TRIM([1]RawShipmentData!B1189),4)),VALUE(MID(TRIM([1]RawShipmentData!B1189),FIND("/",TRIM([1]RawShipmentData!B1189))+1,2)),VALUE(LEFT(TRIM([1]RawShipmentData!B1189),FIND("/",TRIM([1]RawShipmentData!B1189))-1))),DATEVALUE(TRIM([1]RawShipmentData!B1189)))</f>
        <v>45449</v>
      </c>
      <c r="C1177" s="2" t="str">
        <f>PROPER(TRIM([1]RawShipmentData!C1189))</f>
        <v>Mumbai</v>
      </c>
      <c r="D1177" s="2" t="str">
        <f>IFERROR(INDEX([1]HubMaster!$B$2:$B$7,MATCH(C1177,[1]HubMaster!$A$2:$A$7,0)),"Unknown")</f>
        <v>West</v>
      </c>
      <c r="E1177" s="2" t="str">
        <f>PROPER(TRIM(SUBSTITUTE([1]RawShipmentData!D1189,"  "," ")))</f>
        <v>Ecom Express</v>
      </c>
      <c r="F1177" s="2" t="str">
        <f>PROPER(TRIM([1]RawShipmentData!E1189))</f>
        <v>Surface</v>
      </c>
      <c r="G1177" s="2" t="str">
        <f>PROPER(TRIM(SUBSTITUTE([1]RawShipmentData!F1189,"  "," ")))</f>
        <v>Grocery &amp; Fmcg</v>
      </c>
      <c r="H1177" s="2" t="str">
        <f>PROPER(TRIM([1]RawShipmentData!G1189))</f>
        <v>West</v>
      </c>
      <c r="I1177" s="2" t="str">
        <f t="shared" si="90"/>
        <v>No</v>
      </c>
      <c r="J1177" s="2">
        <f>IFERROR(VALUE(TRIM(SUBSTITUTE(UPPER([1]RawShipmentData!I1177),"KG",""))),"")</f>
        <v>4.9000000000000004</v>
      </c>
      <c r="K1177" s="2">
        <f>VALUE(SUBSTITUTE(SUBSTITUTE(SUBSTITUTE(TRIM([1]RawShipmentData!J1189),"₹",""),"Rs",""),",",""))</f>
        <v>279</v>
      </c>
      <c r="L1177" s="2">
        <f>[1]RawShipmentData!K1189</f>
        <v>4</v>
      </c>
      <c r="M1177" s="3">
        <f>IF(TRIM([1]RawShipmentData!L1189)="","",IF(ISNUMBER(SEARCH("/",TRIM([1]RawShipmentData!L1189))),DATE(VALUE(RIGHT(TRIM([1]RawShipmentData!L1189),4)),VALUE(MID(TRIM([1]RawShipmentData!L1189),FIND("/",TRIM([1]RawShipmentData!L1189))+1,2)),VALUE(LEFT(TRIM([1]RawShipmentData!L1189),FIND("/",TRIM([1]RawShipmentData!L1189))-1))),DATEVALUE(TRIM([1]RawShipmentData!L1189))))</f>
        <v>45452</v>
      </c>
      <c r="N1177" s="2">
        <f t="shared" si="91"/>
        <v>3</v>
      </c>
      <c r="O1177" s="2">
        <f t="shared" si="92"/>
        <v>-1</v>
      </c>
      <c r="P1177" s="2" t="str">
        <f t="shared" si="93"/>
        <v>On Time</v>
      </c>
      <c r="Q1177" s="2" t="str">
        <f>PROPER(SUBSTITUTE(TRIM([1]RawShipmentData!M1189)," ","-"))</f>
        <v>Delivered</v>
      </c>
      <c r="R1177" s="4">
        <f t="shared" si="94"/>
        <v>56.938775510204074</v>
      </c>
      <c r="S1177" s="2">
        <f>[1]RawShipmentData!N1189</f>
        <v>3</v>
      </c>
      <c r="T1177" s="2" t="str">
        <f>IF(OR(UPPER(TRIM([1]RawShipmentData!O1189))="YES",UPPER(TRIM([1]RawShipmentData!O1189))="Y"),"Yes","No")</f>
        <v>No</v>
      </c>
    </row>
    <row r="1178" spans="1:20" x14ac:dyDescent="0.25">
      <c r="A1178" s="2" t="str">
        <f>[1]RawShipmentData!A1190</f>
        <v>SHP-100331</v>
      </c>
      <c r="B1178" s="3">
        <f>IF(ISNUMBER(SEARCH("/",TRIM([1]RawShipmentData!B1190))),DATE(VALUE(RIGHT(TRIM([1]RawShipmentData!B1190),4)),VALUE(MID(TRIM([1]RawShipmentData!B1190),FIND("/",TRIM([1]RawShipmentData!B1190))+1,2)),VALUE(LEFT(TRIM([1]RawShipmentData!B1190),FIND("/",TRIM([1]RawShipmentData!B1190))-1))),DATEVALUE(TRIM([1]RawShipmentData!B1190)))</f>
        <v>45404</v>
      </c>
      <c r="C1178" s="2" t="str">
        <f>PROPER(TRIM([1]RawShipmentData!C1190))</f>
        <v>Mumbai</v>
      </c>
      <c r="D1178" s="2" t="str">
        <f>IFERROR(INDEX([1]HubMaster!$B$2:$B$7,MATCH(C1178,[1]HubMaster!$A$2:$A$7,0)),"Unknown")</f>
        <v>West</v>
      </c>
      <c r="E1178" s="2" t="str">
        <f>PROPER(TRIM(SUBSTITUTE([1]RawShipmentData!D1190,"  "," ")))</f>
        <v>Bluedart</v>
      </c>
      <c r="F1178" s="2" t="str">
        <f>PROPER(TRIM([1]RawShipmentData!E1190))</f>
        <v>Road</v>
      </c>
      <c r="G1178" s="2" t="str">
        <f>PROPER(TRIM(SUBSTITUTE([1]RawShipmentData!F1190,"  "," ")))</f>
        <v>Electronics</v>
      </c>
      <c r="H1178" s="2" t="str">
        <f>PROPER(TRIM([1]RawShipmentData!G1190))</f>
        <v>East</v>
      </c>
      <c r="I1178" s="2" t="str">
        <f t="shared" si="90"/>
        <v>Yes</v>
      </c>
      <c r="J1178" s="2">
        <f>IFERROR(VALUE(TRIM(SUBSTITUTE(UPPER([1]RawShipmentData!I1178),"KG",""))),"")</f>
        <v>13.4</v>
      </c>
      <c r="K1178" s="2">
        <f>VALUE(SUBSTITUTE(SUBSTITUTE(SUBSTITUTE(TRIM([1]RawShipmentData!J1190),"₹",""),"Rs",""),",",""))</f>
        <v>288</v>
      </c>
      <c r="L1178" s="2">
        <f>[1]RawShipmentData!K1190</f>
        <v>8</v>
      </c>
      <c r="M1178" s="3">
        <f>IF(TRIM([1]RawShipmentData!L1190)="","",IF(ISNUMBER(SEARCH("/",TRIM([1]RawShipmentData!L1190))),DATE(VALUE(RIGHT(TRIM([1]RawShipmentData!L1190),4)),VALUE(MID(TRIM([1]RawShipmentData!L1190),FIND("/",TRIM([1]RawShipmentData!L1190))+1,2)),VALUE(LEFT(TRIM([1]RawShipmentData!L1190),FIND("/",TRIM([1]RawShipmentData!L1190))-1))),DATEVALUE(TRIM([1]RawShipmentData!L1190))))</f>
        <v>45420</v>
      </c>
      <c r="N1178" s="2">
        <f t="shared" si="91"/>
        <v>16</v>
      </c>
      <c r="O1178" s="2">
        <f t="shared" si="92"/>
        <v>8</v>
      </c>
      <c r="P1178" s="2" t="str">
        <f t="shared" si="93"/>
        <v>Late</v>
      </c>
      <c r="Q1178" s="2" t="str">
        <f>PROPER(SUBSTITUTE(TRIM([1]RawShipmentData!M1190)," ","-"))</f>
        <v>Delayed</v>
      </c>
      <c r="R1178" s="4">
        <f t="shared" si="94"/>
        <v>21.492537313432834</v>
      </c>
      <c r="S1178" s="2">
        <f>[1]RawShipmentData!N1190</f>
        <v>4</v>
      </c>
      <c r="T1178" s="2" t="str">
        <f>IF(OR(UPPER(TRIM([1]RawShipmentData!O1190))="YES",UPPER(TRIM([1]RawShipmentData!O1190))="Y"),"Yes","No")</f>
        <v>Yes</v>
      </c>
    </row>
    <row r="1179" spans="1:20" x14ac:dyDescent="0.25">
      <c r="A1179" s="2" t="str">
        <f>[1]RawShipmentData!A1191</f>
        <v>SHP-101593</v>
      </c>
      <c r="B1179" s="3">
        <f>IF(ISNUMBER(SEARCH("/",TRIM([1]RawShipmentData!B1191))),DATE(VALUE(RIGHT(TRIM([1]RawShipmentData!B1191),4)),VALUE(MID(TRIM([1]RawShipmentData!B1191),FIND("/",TRIM([1]RawShipmentData!B1191))+1,2)),VALUE(LEFT(TRIM([1]RawShipmentData!B1191),FIND("/",TRIM([1]RawShipmentData!B1191))-1))),DATEVALUE(TRIM([1]RawShipmentData!B1191)))</f>
        <v>45370</v>
      </c>
      <c r="C1179" s="2" t="str">
        <f>PROPER(TRIM([1]RawShipmentData!C1191))</f>
        <v>Bengaluru</v>
      </c>
      <c r="D1179" s="2" t="str">
        <f>IFERROR(INDEX([1]HubMaster!$B$2:$B$7,MATCH(C1179,[1]HubMaster!$A$2:$A$7,0)),"Unknown")</f>
        <v>South</v>
      </c>
      <c r="E1179" s="2" t="str">
        <f>PROPER(TRIM(SUBSTITUTE([1]RawShipmentData!D1191,"  "," ")))</f>
        <v>Xpress Bees</v>
      </c>
      <c r="F1179" s="2" t="str">
        <f>PROPER(TRIM([1]RawShipmentData!E1191))</f>
        <v>Road</v>
      </c>
      <c r="G1179" s="2" t="str">
        <f>PROPER(TRIM(SUBSTITUTE([1]RawShipmentData!F1191,"  "," ")))</f>
        <v>Apparel</v>
      </c>
      <c r="H1179" s="2" t="str">
        <f>PROPER(TRIM([1]RawShipmentData!G1191))</f>
        <v>South</v>
      </c>
      <c r="I1179" s="2" t="str">
        <f t="shared" si="90"/>
        <v>No</v>
      </c>
      <c r="J1179" s="2">
        <f>IFERROR(VALUE(TRIM(SUBSTITUTE(UPPER([1]RawShipmentData!I1179),"KG",""))),"")</f>
        <v>19.600000000000001</v>
      </c>
      <c r="K1179" s="2">
        <f>VALUE(SUBSTITUTE(SUBSTITUTE(SUBSTITUTE(TRIM([1]RawShipmentData!J1191),"₹",""),"Rs",""),",",""))</f>
        <v>111</v>
      </c>
      <c r="L1179" s="2">
        <f>[1]RawShipmentData!K1191</f>
        <v>6</v>
      </c>
      <c r="M1179" s="3">
        <f>IF(TRIM([1]RawShipmentData!L1191)="","",IF(ISNUMBER(SEARCH("/",TRIM([1]RawShipmentData!L1191))),DATE(VALUE(RIGHT(TRIM([1]RawShipmentData!L1191),4)),VALUE(MID(TRIM([1]RawShipmentData!L1191),FIND("/",TRIM([1]RawShipmentData!L1191))+1,2)),VALUE(LEFT(TRIM([1]RawShipmentData!L1191),FIND("/",TRIM([1]RawShipmentData!L1191))-1))),DATEVALUE(TRIM([1]RawShipmentData!L1191))))</f>
        <v>45375</v>
      </c>
      <c r="N1179" s="2">
        <f t="shared" si="91"/>
        <v>5</v>
      </c>
      <c r="O1179" s="2">
        <f t="shared" si="92"/>
        <v>-1</v>
      </c>
      <c r="P1179" s="2" t="str">
        <f t="shared" si="93"/>
        <v>On Time</v>
      </c>
      <c r="Q1179" s="2" t="str">
        <f>PROPER(SUBSTITUTE(TRIM([1]RawShipmentData!M1191)," ","-"))</f>
        <v>Delivered</v>
      </c>
      <c r="R1179" s="4">
        <f t="shared" si="94"/>
        <v>5.6632653061224483</v>
      </c>
      <c r="S1179" s="2">
        <f>[1]RawShipmentData!N1191</f>
        <v>5</v>
      </c>
      <c r="T1179" s="2" t="str">
        <f>IF(OR(UPPER(TRIM([1]RawShipmentData!O1191))="YES",UPPER(TRIM([1]RawShipmentData!O1191))="Y"),"Yes","No")</f>
        <v>Yes</v>
      </c>
    </row>
    <row r="1180" spans="1:20" x14ac:dyDescent="0.25">
      <c r="A1180" s="2" t="str">
        <f>[1]RawShipmentData!A1192</f>
        <v>SHP-100471</v>
      </c>
      <c r="B1180" s="3">
        <f>IF(ISNUMBER(SEARCH("/",TRIM([1]RawShipmentData!B1192))),DATE(VALUE(RIGHT(TRIM([1]RawShipmentData!B1192),4)),VALUE(MID(TRIM([1]RawShipmentData!B1192),FIND("/",TRIM([1]RawShipmentData!B1192))+1,2)),VALUE(LEFT(TRIM([1]RawShipmentData!B1192),FIND("/",TRIM([1]RawShipmentData!B1192))-1))),DATEVALUE(TRIM([1]RawShipmentData!B1192)))</f>
        <v>45304</v>
      </c>
      <c r="C1180" s="2" t="str">
        <f>PROPER(TRIM([1]RawShipmentData!C1192))</f>
        <v>Bengaluru</v>
      </c>
      <c r="D1180" s="2" t="str">
        <f>IFERROR(INDEX([1]HubMaster!$B$2:$B$7,MATCH(C1180,[1]HubMaster!$A$2:$A$7,0)),"Unknown")</f>
        <v>South</v>
      </c>
      <c r="E1180" s="2" t="str">
        <f>PROPER(TRIM(SUBSTITUTE([1]RawShipmentData!D1192,"  "," ")))</f>
        <v>Bluedart</v>
      </c>
      <c r="F1180" s="2" t="str">
        <f>PROPER(TRIM([1]RawShipmentData!E1192))</f>
        <v>Surface</v>
      </c>
      <c r="G1180" s="2" t="str">
        <f>PROPER(TRIM(SUBSTITUTE([1]RawShipmentData!F1192,"  "," ")))</f>
        <v>Automotive Parts</v>
      </c>
      <c r="H1180" s="2" t="str">
        <f>PROPER(TRIM([1]RawShipmentData!G1192))</f>
        <v>West</v>
      </c>
      <c r="I1180" s="2" t="str">
        <f t="shared" si="90"/>
        <v>Yes</v>
      </c>
      <c r="J1180" s="2">
        <f>IFERROR(VALUE(TRIM(SUBSTITUTE(UPPER([1]RawShipmentData!I1180),"KG",""))),"")</f>
        <v>1.2</v>
      </c>
      <c r="K1180" s="2">
        <f>VALUE(SUBSTITUTE(SUBSTITUTE(SUBSTITUTE(TRIM([1]RawShipmentData!J1192),"₹",""),"Rs",""),",",""))</f>
        <v>490</v>
      </c>
      <c r="L1180" s="2">
        <f>[1]RawShipmentData!K1192</f>
        <v>6</v>
      </c>
      <c r="M1180" s="3">
        <f>IF(TRIM([1]RawShipmentData!L1192)="","",IF(ISNUMBER(SEARCH("/",TRIM([1]RawShipmentData!L1192))),DATE(VALUE(RIGHT(TRIM([1]RawShipmentData!L1192),4)),VALUE(MID(TRIM([1]RawShipmentData!L1192),FIND("/",TRIM([1]RawShipmentData!L1192))+1,2)),VALUE(LEFT(TRIM([1]RawShipmentData!L1192),FIND("/",TRIM([1]RawShipmentData!L1192))-1))),DATEVALUE(TRIM([1]RawShipmentData!L1192))))</f>
        <v>45311</v>
      </c>
      <c r="N1180" s="2">
        <f t="shared" si="91"/>
        <v>7</v>
      </c>
      <c r="O1180" s="2">
        <f t="shared" si="92"/>
        <v>1</v>
      </c>
      <c r="P1180" s="2" t="str">
        <f t="shared" si="93"/>
        <v>Late</v>
      </c>
      <c r="Q1180" s="2" t="str">
        <f>PROPER(SUBSTITUTE(TRIM([1]RawShipmentData!M1192)," ","-"))</f>
        <v>Delayed</v>
      </c>
      <c r="R1180" s="4">
        <f t="shared" si="94"/>
        <v>408.33333333333337</v>
      </c>
      <c r="S1180" s="2">
        <f>[1]RawShipmentData!N1192</f>
        <v>2</v>
      </c>
      <c r="T1180" s="2" t="str">
        <f>IF(OR(UPPER(TRIM([1]RawShipmentData!O1192))="YES",UPPER(TRIM([1]RawShipmentData!O1192))="Y"),"Yes","No")</f>
        <v>No</v>
      </c>
    </row>
    <row r="1181" spans="1:20" x14ac:dyDescent="0.25">
      <c r="A1181" s="2" t="str">
        <f>[1]RawShipmentData!A1193</f>
        <v>SHP-100811</v>
      </c>
      <c r="B1181" s="3">
        <f>IF(ISNUMBER(SEARCH("/",TRIM([1]RawShipmentData!B1193))),DATE(VALUE(RIGHT(TRIM([1]RawShipmentData!B1193),4)),VALUE(MID(TRIM([1]RawShipmentData!B1193),FIND("/",TRIM([1]RawShipmentData!B1193))+1,2)),VALUE(LEFT(TRIM([1]RawShipmentData!B1193),FIND("/",TRIM([1]RawShipmentData!B1193))-1))),DATEVALUE(TRIM([1]RawShipmentData!B1193)))</f>
        <v>45468</v>
      </c>
      <c r="C1181" s="2" t="str">
        <f>PROPER(TRIM([1]RawShipmentData!C1193))</f>
        <v>Kolkata</v>
      </c>
      <c r="D1181" s="2" t="str">
        <f>IFERROR(INDEX([1]HubMaster!$B$2:$B$7,MATCH(C1181,[1]HubMaster!$A$2:$A$7,0)),"Unknown")</f>
        <v>East</v>
      </c>
      <c r="E1181" s="2" t="str">
        <f>PROPER(TRIM(SUBSTITUTE([1]RawShipmentData!D1193,"  "," ")))</f>
        <v>Bluedart</v>
      </c>
      <c r="F1181" s="2" t="str">
        <f>PROPER(TRIM([1]RawShipmentData!E1193))</f>
        <v>Air</v>
      </c>
      <c r="G1181" s="2" t="str">
        <f>PROPER(TRIM(SUBSTITUTE([1]RawShipmentData!F1193,"  "," ")))</f>
        <v>Automotive Parts</v>
      </c>
      <c r="H1181" s="2" t="str">
        <f>PROPER(TRIM([1]RawShipmentData!G1193))</f>
        <v>South</v>
      </c>
      <c r="I1181" s="2" t="str">
        <f t="shared" si="90"/>
        <v>Yes</v>
      </c>
      <c r="J1181" s="2">
        <f>IFERROR(VALUE(TRIM(SUBSTITUTE(UPPER([1]RawShipmentData!I1181),"KG",""))),"")</f>
        <v>17.399999999999999</v>
      </c>
      <c r="K1181" s="2">
        <f>VALUE(SUBSTITUTE(SUBSTITUTE(SUBSTITUTE(TRIM([1]RawShipmentData!J1193),"₹",""),"Rs",""),",",""))</f>
        <v>1177</v>
      </c>
      <c r="L1181" s="2">
        <f>[1]RawShipmentData!K1193</f>
        <v>4</v>
      </c>
      <c r="M1181" s="3">
        <f>IF(TRIM([1]RawShipmentData!L1193)="","",IF(ISNUMBER(SEARCH("/",TRIM([1]RawShipmentData!L1193))),DATE(VALUE(RIGHT(TRIM([1]RawShipmentData!L1193),4)),VALUE(MID(TRIM([1]RawShipmentData!L1193),FIND("/",TRIM([1]RawShipmentData!L1193))+1,2)),VALUE(LEFT(TRIM([1]RawShipmentData!L1193),FIND("/",TRIM([1]RawShipmentData!L1193))-1))),DATEVALUE(TRIM([1]RawShipmentData!L1193))))</f>
        <v>45476</v>
      </c>
      <c r="N1181" s="2">
        <f t="shared" si="91"/>
        <v>8</v>
      </c>
      <c r="O1181" s="2">
        <f t="shared" si="92"/>
        <v>4</v>
      </c>
      <c r="P1181" s="2" t="str">
        <f t="shared" si="93"/>
        <v>Late</v>
      </c>
      <c r="Q1181" s="2" t="str">
        <f>PROPER(SUBSTITUTE(TRIM([1]RawShipmentData!M1193)," ","-"))</f>
        <v>Delayed</v>
      </c>
      <c r="R1181" s="4">
        <f t="shared" si="94"/>
        <v>67.643678160919549</v>
      </c>
      <c r="S1181" s="2">
        <f>[1]RawShipmentData!N1193</f>
        <v>4</v>
      </c>
      <c r="T1181" s="2" t="str">
        <f>IF(OR(UPPER(TRIM([1]RawShipmentData!O1193))="YES",UPPER(TRIM([1]RawShipmentData!O1193))="Y"),"Yes","No")</f>
        <v>Yes</v>
      </c>
    </row>
    <row r="1182" spans="1:20" x14ac:dyDescent="0.25">
      <c r="A1182" s="2" t="str">
        <f>[1]RawShipmentData!A1194</f>
        <v>SHP-100209</v>
      </c>
      <c r="B1182" s="3">
        <f>IF(ISNUMBER(SEARCH("/",TRIM([1]RawShipmentData!B1194))),DATE(VALUE(RIGHT(TRIM([1]RawShipmentData!B1194),4)),VALUE(MID(TRIM([1]RawShipmentData!B1194),FIND("/",TRIM([1]RawShipmentData!B1194))+1,2)),VALUE(LEFT(TRIM([1]RawShipmentData!B1194),FIND("/",TRIM([1]RawShipmentData!B1194))-1))),DATEVALUE(TRIM([1]RawShipmentData!B1194)))</f>
        <v>45296</v>
      </c>
      <c r="C1182" s="2" t="str">
        <f>PROPER(TRIM([1]RawShipmentData!C1194))</f>
        <v>Bengaluru</v>
      </c>
      <c r="D1182" s="2" t="str">
        <f>IFERROR(INDEX([1]HubMaster!$B$2:$B$7,MATCH(C1182,[1]HubMaster!$A$2:$A$7,0)),"Unknown")</f>
        <v>South</v>
      </c>
      <c r="E1182" s="2" t="str">
        <f>PROPER(TRIM(SUBSTITUTE([1]RawShipmentData!D1194,"  "," ")))</f>
        <v>Bluedart</v>
      </c>
      <c r="F1182" s="2" t="str">
        <f>PROPER(TRIM([1]RawShipmentData!E1194))</f>
        <v>Road</v>
      </c>
      <c r="G1182" s="2" t="str">
        <f>PROPER(TRIM(SUBSTITUTE([1]RawShipmentData!F1194,"  "," ")))</f>
        <v>Electronics</v>
      </c>
      <c r="H1182" s="2" t="str">
        <f>PROPER(TRIM([1]RawShipmentData!G1194))</f>
        <v>South</v>
      </c>
      <c r="I1182" s="2" t="str">
        <f t="shared" si="90"/>
        <v>No</v>
      </c>
      <c r="J1182" s="2">
        <f>IFERROR(VALUE(TRIM(SUBSTITUTE(UPPER([1]RawShipmentData!I1182),"KG",""))),"")</f>
        <v>69.5</v>
      </c>
      <c r="K1182" s="2">
        <f>VALUE(SUBSTITUTE(SUBSTITUTE(SUBSTITUTE(TRIM([1]RawShipmentData!J1194),"₹",""),"Rs",""),",",""))</f>
        <v>133</v>
      </c>
      <c r="L1182" s="2">
        <f>[1]RawShipmentData!K1194</f>
        <v>6</v>
      </c>
      <c r="M1182" s="3">
        <f>IF(TRIM([1]RawShipmentData!L1194)="","",IF(ISNUMBER(SEARCH("/",TRIM([1]RawShipmentData!L1194))),DATE(VALUE(RIGHT(TRIM([1]RawShipmentData!L1194),4)),VALUE(MID(TRIM([1]RawShipmentData!L1194),FIND("/",TRIM([1]RawShipmentData!L1194))+1,2)),VALUE(LEFT(TRIM([1]RawShipmentData!L1194),FIND("/",TRIM([1]RawShipmentData!L1194))-1))),DATEVALUE(TRIM([1]RawShipmentData!L1194))))</f>
        <v>45301</v>
      </c>
      <c r="N1182" s="2">
        <f t="shared" si="91"/>
        <v>5</v>
      </c>
      <c r="O1182" s="2">
        <f t="shared" si="92"/>
        <v>-1</v>
      </c>
      <c r="P1182" s="2" t="str">
        <f t="shared" si="93"/>
        <v>On Time</v>
      </c>
      <c r="Q1182" s="2" t="str">
        <f>PROPER(SUBSTITUTE(TRIM([1]RawShipmentData!M1194)," ","-"))</f>
        <v>Delivered</v>
      </c>
      <c r="R1182" s="4">
        <f t="shared" si="94"/>
        <v>1.9136690647482015</v>
      </c>
      <c r="S1182" s="2">
        <f>[1]RawShipmentData!N1194</f>
        <v>1</v>
      </c>
      <c r="T1182" s="2" t="str">
        <f>IF(OR(UPPER(TRIM([1]RawShipmentData!O1194))="YES",UPPER(TRIM([1]RawShipmentData!O1194))="Y"),"Yes","No")</f>
        <v>Yes</v>
      </c>
    </row>
    <row r="1183" spans="1:20" x14ac:dyDescent="0.25">
      <c r="A1183" s="2" t="str">
        <f>[1]RawShipmentData!A1195</f>
        <v>SHP-101382</v>
      </c>
      <c r="B1183" s="3">
        <f>IF(ISNUMBER(SEARCH("/",TRIM([1]RawShipmentData!B1195))),DATE(VALUE(RIGHT(TRIM([1]RawShipmentData!B1195),4)),VALUE(MID(TRIM([1]RawShipmentData!B1195),FIND("/",TRIM([1]RawShipmentData!B1195))+1,2)),VALUE(LEFT(TRIM([1]RawShipmentData!B1195),FIND("/",TRIM([1]RawShipmentData!B1195))-1))),DATEVALUE(TRIM([1]RawShipmentData!B1195)))</f>
        <v>45385</v>
      </c>
      <c r="C1183" s="2" t="str">
        <f>PROPER(TRIM([1]RawShipmentData!C1195))</f>
        <v>Chennai</v>
      </c>
      <c r="D1183" s="2" t="str">
        <f>IFERROR(INDEX([1]HubMaster!$B$2:$B$7,MATCH(C1183,[1]HubMaster!$A$2:$A$7,0)),"Unknown")</f>
        <v>South</v>
      </c>
      <c r="E1183" s="2" t="str">
        <f>PROPER(TRIM(SUBSTITUTE([1]RawShipmentData!D1195,"  "," ")))</f>
        <v>Xpressbees</v>
      </c>
      <c r="F1183" s="2" t="str">
        <f>PROPER(TRIM([1]RawShipmentData!E1195))</f>
        <v>Air</v>
      </c>
      <c r="G1183" s="2" t="str">
        <f>PROPER(TRIM(SUBSTITUTE([1]RawShipmentData!F1195,"  "," ")))</f>
        <v>Furniture</v>
      </c>
      <c r="H1183" s="2" t="str">
        <f>PROPER(TRIM([1]RawShipmentData!G1195))</f>
        <v>North</v>
      </c>
      <c r="I1183" s="2" t="str">
        <f t="shared" si="90"/>
        <v>Yes</v>
      </c>
      <c r="J1183" s="2">
        <f>IFERROR(VALUE(TRIM(SUBSTITUTE(UPPER([1]RawShipmentData!I1183),"KG",""))),"")</f>
        <v>2.2999999999999998</v>
      </c>
      <c r="K1183" s="2">
        <f>VALUE(SUBSTITUTE(SUBSTITUTE(SUBSTITUTE(TRIM([1]RawShipmentData!J1195),"₹",""),"Rs",""),",",""))</f>
        <v>2522</v>
      </c>
      <c r="L1183" s="2">
        <f>[1]RawShipmentData!K1195</f>
        <v>4</v>
      </c>
      <c r="M1183" s="3">
        <f>IF(TRIM([1]RawShipmentData!L1195)="","",IF(ISNUMBER(SEARCH("/",TRIM([1]RawShipmentData!L1195))),DATE(VALUE(RIGHT(TRIM([1]RawShipmentData!L1195),4)),VALUE(MID(TRIM([1]RawShipmentData!L1195),FIND("/",TRIM([1]RawShipmentData!L1195))+1,2)),VALUE(LEFT(TRIM([1]RawShipmentData!L1195),FIND("/",TRIM([1]RawShipmentData!L1195))-1))),DATEVALUE(TRIM([1]RawShipmentData!L1195))))</f>
        <v>45393</v>
      </c>
      <c r="N1183" s="2">
        <f t="shared" si="91"/>
        <v>8</v>
      </c>
      <c r="O1183" s="2">
        <f t="shared" si="92"/>
        <v>4</v>
      </c>
      <c r="P1183" s="2" t="str">
        <f t="shared" si="93"/>
        <v>Late</v>
      </c>
      <c r="Q1183" s="2" t="str">
        <f>PROPER(SUBSTITUTE(TRIM([1]RawShipmentData!M1195)," ","-"))</f>
        <v>Damaged</v>
      </c>
      <c r="R1183" s="4">
        <f t="shared" si="94"/>
        <v>1096.521739130435</v>
      </c>
      <c r="S1183" s="2">
        <f>[1]RawShipmentData!N1195</f>
        <v>0</v>
      </c>
      <c r="T1183" s="2" t="str">
        <f>IF(OR(UPPER(TRIM([1]RawShipmentData!O1195))="YES",UPPER(TRIM([1]RawShipmentData!O1195))="Y"),"Yes","No")</f>
        <v>Yes</v>
      </c>
    </row>
    <row r="1184" spans="1:20" x14ac:dyDescent="0.25">
      <c r="A1184" s="2" t="str">
        <f>[1]RawShipmentData!A1196</f>
        <v>SHP-100983</v>
      </c>
      <c r="B1184" s="3">
        <f>IF(ISNUMBER(SEARCH("/",TRIM([1]RawShipmentData!B1196))),DATE(VALUE(RIGHT(TRIM([1]RawShipmentData!B1196),4)),VALUE(MID(TRIM([1]RawShipmentData!B1196),FIND("/",TRIM([1]RawShipmentData!B1196))+1,2)),VALUE(LEFT(TRIM([1]RawShipmentData!B1196),FIND("/",TRIM([1]RawShipmentData!B1196))-1))),DATEVALUE(TRIM([1]RawShipmentData!B1196)))</f>
        <v>45383</v>
      </c>
      <c r="C1184" s="2" t="str">
        <f>PROPER(TRIM([1]RawShipmentData!C1196))</f>
        <v>Hyderabad</v>
      </c>
      <c r="D1184" s="2" t="str">
        <f>IFERROR(INDEX([1]HubMaster!$B$2:$B$7,MATCH(C1184,[1]HubMaster!$A$2:$A$7,0)),"Unknown")</f>
        <v>West</v>
      </c>
      <c r="E1184" s="2" t="str">
        <f>PROPER(TRIM(SUBSTITUTE([1]RawShipmentData!D1196,"  "," ")))</f>
        <v>Dtdc</v>
      </c>
      <c r="F1184" s="2" t="str">
        <f>PROPER(TRIM([1]RawShipmentData!E1196))</f>
        <v>Surface</v>
      </c>
      <c r="G1184" s="2" t="str">
        <f>PROPER(TRIM(SUBSTITUTE([1]RawShipmentData!F1196,"  "," ")))</f>
        <v>Apparel</v>
      </c>
      <c r="H1184" s="2" t="str">
        <f>PROPER(TRIM([1]RawShipmentData!G1196))</f>
        <v>East</v>
      </c>
      <c r="I1184" s="2" t="str">
        <f t="shared" si="90"/>
        <v>Yes</v>
      </c>
      <c r="J1184" s="2">
        <f>IFERROR(VALUE(TRIM(SUBSTITUTE(UPPER([1]RawShipmentData!I1184),"KG",""))),"")</f>
        <v>0.9</v>
      </c>
      <c r="K1184" s="2">
        <f>VALUE(SUBSTITUTE(SUBSTITUTE(SUBSTITUTE(TRIM([1]RawShipmentData!J1196),"₹",""),"Rs",""),",",""))</f>
        <v>203</v>
      </c>
      <c r="L1184" s="2">
        <f>[1]RawShipmentData!K1196</f>
        <v>6</v>
      </c>
      <c r="M1184" s="3">
        <f>IF(TRIM([1]RawShipmentData!L1196)="","",IF(ISNUMBER(SEARCH("/",TRIM([1]RawShipmentData!L1196))),DATE(VALUE(RIGHT(TRIM([1]RawShipmentData!L1196),4)),VALUE(MID(TRIM([1]RawShipmentData!L1196),FIND("/",TRIM([1]RawShipmentData!L1196))+1,2)),VALUE(LEFT(TRIM([1]RawShipmentData!L1196),FIND("/",TRIM([1]RawShipmentData!L1196))-1))),DATEVALUE(TRIM([1]RawShipmentData!L1196))))</f>
        <v>45390</v>
      </c>
      <c r="N1184" s="2">
        <f t="shared" si="91"/>
        <v>7</v>
      </c>
      <c r="O1184" s="2">
        <f t="shared" si="92"/>
        <v>1</v>
      </c>
      <c r="P1184" s="2" t="str">
        <f t="shared" si="93"/>
        <v>Late</v>
      </c>
      <c r="Q1184" s="2" t="str">
        <f>PROPER(SUBSTITUTE(TRIM([1]RawShipmentData!M1196)," ","-"))</f>
        <v>Delayed</v>
      </c>
      <c r="R1184" s="4">
        <f t="shared" si="94"/>
        <v>225.55555555555554</v>
      </c>
      <c r="S1184" s="2">
        <f>[1]RawShipmentData!N1196</f>
        <v>2</v>
      </c>
      <c r="T1184" s="2" t="str">
        <f>IF(OR(UPPER(TRIM([1]RawShipmentData!O1196))="YES",UPPER(TRIM([1]RawShipmentData!O1196))="Y"),"Yes","No")</f>
        <v>No</v>
      </c>
    </row>
    <row r="1185" spans="1:20" x14ac:dyDescent="0.25">
      <c r="A1185" s="2" t="str">
        <f>[1]RawShipmentData!A1197</f>
        <v>SHP-100062</v>
      </c>
      <c r="B1185" s="3">
        <f>IF(ISNUMBER(SEARCH("/",TRIM([1]RawShipmentData!B1197))),DATE(VALUE(RIGHT(TRIM([1]RawShipmentData!B1197),4)),VALUE(MID(TRIM([1]RawShipmentData!B1197),FIND("/",TRIM([1]RawShipmentData!B1197))+1,2)),VALUE(LEFT(TRIM([1]RawShipmentData!B1197),FIND("/",TRIM([1]RawShipmentData!B1197))-1))),DATEVALUE(TRIM([1]RawShipmentData!B1197)))</f>
        <v>45466</v>
      </c>
      <c r="C1185" s="2" t="str">
        <f>PROPER(TRIM([1]RawShipmentData!C1197))</f>
        <v>Hyderabad</v>
      </c>
      <c r="D1185" s="2" t="str">
        <f>IFERROR(INDEX([1]HubMaster!$B$2:$B$7,MATCH(C1185,[1]HubMaster!$A$2:$A$7,0)),"Unknown")</f>
        <v>West</v>
      </c>
      <c r="E1185" s="2" t="str">
        <f>PROPER(TRIM(SUBSTITUTE([1]RawShipmentData!D1197,"  "," ")))</f>
        <v>Bluedart</v>
      </c>
      <c r="F1185" s="2" t="str">
        <f>PROPER(TRIM([1]RawShipmentData!E1197))</f>
        <v>Road</v>
      </c>
      <c r="G1185" s="2" t="str">
        <f>PROPER(TRIM(SUBSTITUTE([1]RawShipmentData!F1197,"  "," ")))</f>
        <v>Automotive Parts</v>
      </c>
      <c r="H1185" s="2" t="str">
        <f>PROPER(TRIM([1]RawShipmentData!G1197))</f>
        <v>South</v>
      </c>
      <c r="I1185" s="2" t="str">
        <f t="shared" si="90"/>
        <v>Yes</v>
      </c>
      <c r="J1185" s="2">
        <f>IFERROR(VALUE(TRIM(SUBSTITUTE(UPPER([1]RawShipmentData!I1185),"KG",""))),"")</f>
        <v>3.3</v>
      </c>
      <c r="K1185" s="2">
        <f>VALUE(SUBSTITUTE(SUBSTITUTE(SUBSTITUTE(TRIM([1]RawShipmentData!J1197),"₹",""),"Rs",""),",",""))</f>
        <v>290</v>
      </c>
      <c r="L1185" s="2">
        <f>[1]RawShipmentData!K1197</f>
        <v>8</v>
      </c>
      <c r="M1185" s="3">
        <f>IF(TRIM([1]RawShipmentData!L1197)="","",IF(ISNUMBER(SEARCH("/",TRIM([1]RawShipmentData!L1197))),DATE(VALUE(RIGHT(TRIM([1]RawShipmentData!L1197),4)),VALUE(MID(TRIM([1]RawShipmentData!L1197),FIND("/",TRIM([1]RawShipmentData!L1197))+1,2)),VALUE(LEFT(TRIM([1]RawShipmentData!L1197),FIND("/",TRIM([1]RawShipmentData!L1197))-1))),DATEVALUE(TRIM([1]RawShipmentData!L1197))))</f>
        <v>45473</v>
      </c>
      <c r="N1185" s="2">
        <f t="shared" si="91"/>
        <v>7</v>
      </c>
      <c r="O1185" s="2">
        <f t="shared" si="92"/>
        <v>-1</v>
      </c>
      <c r="P1185" s="2" t="str">
        <f t="shared" si="93"/>
        <v>On Time</v>
      </c>
      <c r="Q1185" s="2" t="str">
        <f>PROPER(SUBSTITUTE(TRIM([1]RawShipmentData!M1197)," ","-"))</f>
        <v>Delivered</v>
      </c>
      <c r="R1185" s="4">
        <f t="shared" si="94"/>
        <v>87.87878787878789</v>
      </c>
      <c r="S1185" s="2">
        <f>[1]RawShipmentData!N1197</f>
        <v>4</v>
      </c>
      <c r="T1185" s="2" t="str">
        <f>IF(OR(UPPER(TRIM([1]RawShipmentData!O1197))="YES",UPPER(TRIM([1]RawShipmentData!O1197))="Y"),"Yes","No")</f>
        <v>Yes</v>
      </c>
    </row>
    <row r="1186" spans="1:20" x14ac:dyDescent="0.25">
      <c r="A1186" s="2" t="str">
        <f>[1]RawShipmentData!A1198</f>
        <v>SHP-100420</v>
      </c>
      <c r="B1186" s="3">
        <f>IF(ISNUMBER(SEARCH("/",TRIM([1]RawShipmentData!B1198))),DATE(VALUE(RIGHT(TRIM([1]RawShipmentData!B1198),4)),VALUE(MID(TRIM([1]RawShipmentData!B1198),FIND("/",TRIM([1]RawShipmentData!B1198))+1,2)),VALUE(LEFT(TRIM([1]RawShipmentData!B1198),FIND("/",TRIM([1]RawShipmentData!B1198))-1))),DATEVALUE(TRIM([1]RawShipmentData!B1198)))</f>
        <v>45368</v>
      </c>
      <c r="C1186" s="2" t="str">
        <f>PROPER(TRIM([1]RawShipmentData!C1198))</f>
        <v>Delhi</v>
      </c>
      <c r="D1186" s="2" t="str">
        <f>IFERROR(INDEX([1]HubMaster!$B$2:$B$7,MATCH(C1186,[1]HubMaster!$A$2:$A$7,0)),"Unknown")</f>
        <v>North</v>
      </c>
      <c r="E1186" s="2" t="str">
        <f>PROPER(TRIM(SUBSTITUTE([1]RawShipmentData!D1198,"  "," ")))</f>
        <v>Xpressbees</v>
      </c>
      <c r="F1186" s="2" t="str">
        <f>PROPER(TRIM([1]RawShipmentData!E1198))</f>
        <v>Road</v>
      </c>
      <c r="G1186" s="2" t="str">
        <f>PROPER(TRIM(SUBSTITUTE([1]RawShipmentData!F1198,"  "," ")))</f>
        <v>Pharma</v>
      </c>
      <c r="H1186" s="2" t="str">
        <f>PROPER(TRIM([1]RawShipmentData!G1198))</f>
        <v>West</v>
      </c>
      <c r="I1186" s="2" t="str">
        <f t="shared" si="90"/>
        <v>Yes</v>
      </c>
      <c r="J1186" s="2">
        <f>IFERROR(VALUE(TRIM(SUBSTITUTE(UPPER([1]RawShipmentData!I1186),"KG",""))),"")</f>
        <v>6.8</v>
      </c>
      <c r="K1186" s="2">
        <f>VALUE(SUBSTITUTE(SUBSTITUTE(SUBSTITUTE(TRIM([1]RawShipmentData!J1198),"₹",""),"Rs",""),",",""))</f>
        <v>206</v>
      </c>
      <c r="L1186" s="2">
        <f>[1]RawShipmentData!K1198</f>
        <v>8</v>
      </c>
      <c r="M1186" s="3">
        <f>IF(TRIM([1]RawShipmentData!L1198)="","",IF(ISNUMBER(SEARCH("/",TRIM([1]RawShipmentData!L1198))),DATE(VALUE(RIGHT(TRIM([1]RawShipmentData!L1198),4)),VALUE(MID(TRIM([1]RawShipmentData!L1198),FIND("/",TRIM([1]RawShipmentData!L1198))+1,2)),VALUE(LEFT(TRIM([1]RawShipmentData!L1198),FIND("/",TRIM([1]RawShipmentData!L1198))-1))),DATEVALUE(TRIM([1]RawShipmentData!L1198))))</f>
        <v>45375</v>
      </c>
      <c r="N1186" s="2">
        <f t="shared" si="91"/>
        <v>7</v>
      </c>
      <c r="O1186" s="2">
        <f t="shared" si="92"/>
        <v>-1</v>
      </c>
      <c r="P1186" s="2" t="str">
        <f t="shared" si="93"/>
        <v>On Time</v>
      </c>
      <c r="Q1186" s="2" t="str">
        <f>PROPER(SUBSTITUTE(TRIM([1]RawShipmentData!M1198)," ","-"))</f>
        <v>Delivered</v>
      </c>
      <c r="R1186" s="4">
        <f t="shared" si="94"/>
        <v>30.294117647058826</v>
      </c>
      <c r="S1186" s="2">
        <f>[1]RawShipmentData!N1198</f>
        <v>5</v>
      </c>
      <c r="T1186" s="2" t="str">
        <f>IF(OR(UPPER(TRIM([1]RawShipmentData!O1198))="YES",UPPER(TRIM([1]RawShipmentData!O1198))="Y"),"Yes","No")</f>
        <v>No</v>
      </c>
    </row>
    <row r="1187" spans="1:20" x14ac:dyDescent="0.25">
      <c r="A1187" s="2" t="str">
        <f>[1]RawShipmentData!A1199</f>
        <v>SHP-100255</v>
      </c>
      <c r="B1187" s="3">
        <f>IF(ISNUMBER(SEARCH("/",TRIM([1]RawShipmentData!B1199))),DATE(VALUE(RIGHT(TRIM([1]RawShipmentData!B1199),4)),VALUE(MID(TRIM([1]RawShipmentData!B1199),FIND("/",TRIM([1]RawShipmentData!B1199))+1,2)),VALUE(LEFT(TRIM([1]RawShipmentData!B1199),FIND("/",TRIM([1]RawShipmentData!B1199))-1))),DATEVALUE(TRIM([1]RawShipmentData!B1199)))</f>
        <v>45386</v>
      </c>
      <c r="C1187" s="2" t="str">
        <f>PROPER(TRIM([1]RawShipmentData!C1199))</f>
        <v>Mumbai</v>
      </c>
      <c r="D1187" s="2" t="str">
        <f>IFERROR(INDEX([1]HubMaster!$B$2:$B$7,MATCH(C1187,[1]HubMaster!$A$2:$A$7,0)),"Unknown")</f>
        <v>West</v>
      </c>
      <c r="E1187" s="2" t="str">
        <f>PROPER(TRIM(SUBSTITUTE([1]RawShipmentData!D1199,"  "," ")))</f>
        <v>Xpressbees</v>
      </c>
      <c r="F1187" s="2" t="str">
        <f>PROPER(TRIM([1]RawShipmentData!E1199))</f>
        <v>Road</v>
      </c>
      <c r="G1187" s="2" t="str">
        <f>PROPER(TRIM(SUBSTITUTE([1]RawShipmentData!F1199,"  "," ")))</f>
        <v>Furniture</v>
      </c>
      <c r="H1187" s="2" t="str">
        <f>PROPER(TRIM([1]RawShipmentData!G1199))</f>
        <v>South</v>
      </c>
      <c r="I1187" s="2" t="str">
        <f t="shared" si="90"/>
        <v>Yes</v>
      </c>
      <c r="J1187" s="2">
        <f>IFERROR(VALUE(TRIM(SUBSTITUTE(UPPER([1]RawShipmentData!I1187),"KG",""))),"")</f>
        <v>11.5</v>
      </c>
      <c r="K1187" s="2">
        <f>VALUE(SUBSTITUTE(SUBSTITUTE(SUBSTITUTE(TRIM([1]RawShipmentData!J1199),"₹",""),"Rs",""),",",""))</f>
        <v>1171</v>
      </c>
      <c r="L1187" s="2">
        <f>[1]RawShipmentData!K1199</f>
        <v>8</v>
      </c>
      <c r="M1187" s="3">
        <f>IF(TRIM([1]RawShipmentData!L1199)="","",IF(ISNUMBER(SEARCH("/",TRIM([1]RawShipmentData!L1199))),DATE(VALUE(RIGHT(TRIM([1]RawShipmentData!L1199),4)),VALUE(MID(TRIM([1]RawShipmentData!L1199),FIND("/",TRIM([1]RawShipmentData!L1199))+1,2)),VALUE(LEFT(TRIM([1]RawShipmentData!L1199),FIND("/",TRIM([1]RawShipmentData!L1199))-1))),DATEVALUE(TRIM([1]RawShipmentData!L1199))))</f>
        <v>45395</v>
      </c>
      <c r="N1187" s="2">
        <f t="shared" si="91"/>
        <v>9</v>
      </c>
      <c r="O1187" s="2">
        <f t="shared" si="92"/>
        <v>1</v>
      </c>
      <c r="P1187" s="2" t="str">
        <f t="shared" si="93"/>
        <v>Late</v>
      </c>
      <c r="Q1187" s="2" t="str">
        <f>PROPER(SUBSTITUTE(TRIM([1]RawShipmentData!M1199)," ","-"))</f>
        <v>Delayed</v>
      </c>
      <c r="R1187" s="4">
        <f t="shared" si="94"/>
        <v>101.82608695652173</v>
      </c>
      <c r="S1187" s="2">
        <f>[1]RawShipmentData!N1199</f>
        <v>5</v>
      </c>
      <c r="T1187" s="2" t="str">
        <f>IF(OR(UPPER(TRIM([1]RawShipmentData!O1199))="YES",UPPER(TRIM([1]RawShipmentData!O1199))="Y"),"Yes","No")</f>
        <v>Yes</v>
      </c>
    </row>
    <row r="1188" spans="1:20" x14ac:dyDescent="0.25">
      <c r="A1188" s="2" t="str">
        <f>[1]RawShipmentData!A1200</f>
        <v>SHP-100066</v>
      </c>
      <c r="B1188" s="3">
        <f>IF(ISNUMBER(SEARCH("/",TRIM([1]RawShipmentData!B1200))),DATE(VALUE(RIGHT(TRIM([1]RawShipmentData!B1200),4)),VALUE(MID(TRIM([1]RawShipmentData!B1200),FIND("/",TRIM([1]RawShipmentData!B1200))+1,2)),VALUE(LEFT(TRIM([1]RawShipmentData!B1200),FIND("/",TRIM([1]RawShipmentData!B1200))-1))),DATEVALUE(TRIM([1]RawShipmentData!B1200)))</f>
        <v>45466</v>
      </c>
      <c r="C1188" s="2" t="str">
        <f>PROPER(TRIM([1]RawShipmentData!C1200))</f>
        <v>Mumbai</v>
      </c>
      <c r="D1188" s="2" t="str">
        <f>IFERROR(INDEX([1]HubMaster!$B$2:$B$7,MATCH(C1188,[1]HubMaster!$A$2:$A$7,0)),"Unknown")</f>
        <v>West</v>
      </c>
      <c r="E1188" s="2" t="str">
        <f>PROPER(TRIM(SUBSTITUTE([1]RawShipmentData!D1200,"  "," ")))</f>
        <v>Xpress Bees</v>
      </c>
      <c r="F1188" s="2" t="str">
        <f>PROPER(TRIM([1]RawShipmentData!E1200))</f>
        <v>Surface</v>
      </c>
      <c r="G1188" s="2" t="str">
        <f>PROPER(TRIM(SUBSTITUTE([1]RawShipmentData!F1200,"  "," ")))</f>
        <v>Pharma</v>
      </c>
      <c r="H1188" s="2" t="str">
        <f>PROPER(TRIM([1]RawShipmentData!G1200))</f>
        <v>East</v>
      </c>
      <c r="I1188" s="2" t="str">
        <f t="shared" si="90"/>
        <v>Yes</v>
      </c>
      <c r="J1188" s="2">
        <f>IFERROR(VALUE(TRIM(SUBSTITUTE(UPPER([1]RawShipmentData!I1188),"KG",""))),"")</f>
        <v>11.1</v>
      </c>
      <c r="K1188" s="2">
        <f>VALUE(SUBSTITUTE(SUBSTITUTE(SUBSTITUTE(TRIM([1]RawShipmentData!J1200),"₹",""),"Rs",""),",",""))</f>
        <v>294</v>
      </c>
      <c r="L1188" s="2">
        <f>[1]RawShipmentData!K1200</f>
        <v>6</v>
      </c>
      <c r="M1188" s="3">
        <f>IF(TRIM([1]RawShipmentData!L1200)="","",IF(ISNUMBER(SEARCH("/",TRIM([1]RawShipmentData!L1200))),DATE(VALUE(RIGHT(TRIM([1]RawShipmentData!L1200),4)),VALUE(MID(TRIM([1]RawShipmentData!L1200),FIND("/",TRIM([1]RawShipmentData!L1200))+1,2)),VALUE(LEFT(TRIM([1]RawShipmentData!L1200),FIND("/",TRIM([1]RawShipmentData!L1200))-1))),DATEVALUE(TRIM([1]RawShipmentData!L1200))))</f>
        <v>45471</v>
      </c>
      <c r="N1188" s="2">
        <f t="shared" si="91"/>
        <v>5</v>
      </c>
      <c r="O1188" s="2">
        <f t="shared" si="92"/>
        <v>-1</v>
      </c>
      <c r="P1188" s="2" t="str">
        <f t="shared" si="93"/>
        <v>On Time</v>
      </c>
      <c r="Q1188" s="2" t="str">
        <f>PROPER(SUBSTITUTE(TRIM([1]RawShipmentData!M1200)," ","-"))</f>
        <v>Delivered</v>
      </c>
      <c r="R1188" s="4">
        <f t="shared" si="94"/>
        <v>26.486486486486488</v>
      </c>
      <c r="S1188" s="2">
        <f>[1]RawShipmentData!N1200</f>
        <v>5</v>
      </c>
      <c r="T1188" s="2" t="str">
        <f>IF(OR(UPPER(TRIM([1]RawShipmentData!O1200))="YES",UPPER(TRIM([1]RawShipmentData!O1200))="Y"),"Yes","No")</f>
        <v>Yes</v>
      </c>
    </row>
    <row r="1189" spans="1:20" x14ac:dyDescent="0.25">
      <c r="A1189" s="2" t="str">
        <f>[1]RawShipmentData!A1201</f>
        <v>SHP-101041</v>
      </c>
      <c r="B1189" s="3">
        <f>IF(ISNUMBER(SEARCH("/",TRIM([1]RawShipmentData!B1201))),DATE(VALUE(RIGHT(TRIM([1]RawShipmentData!B1201),4)),VALUE(MID(TRIM([1]RawShipmentData!B1201),FIND("/",TRIM([1]RawShipmentData!B1201))+1,2)),VALUE(LEFT(TRIM([1]RawShipmentData!B1201),FIND("/",TRIM([1]RawShipmentData!B1201))-1))),DATEVALUE(TRIM([1]RawShipmentData!B1201)))</f>
        <v>45433</v>
      </c>
      <c r="C1189" s="2" t="str">
        <f>PROPER(TRIM([1]RawShipmentData!C1201))</f>
        <v>Chennai</v>
      </c>
      <c r="D1189" s="2" t="str">
        <f>IFERROR(INDEX([1]HubMaster!$B$2:$B$7,MATCH(C1189,[1]HubMaster!$A$2:$A$7,0)),"Unknown")</f>
        <v>South</v>
      </c>
      <c r="E1189" s="2" t="str">
        <f>PROPER(TRIM(SUBSTITUTE([1]RawShipmentData!D1201,"  "," ")))</f>
        <v>Delhivery</v>
      </c>
      <c r="F1189" s="2" t="str">
        <f>PROPER(TRIM([1]RawShipmentData!E1201))</f>
        <v>Surface</v>
      </c>
      <c r="G1189" s="2" t="str">
        <f>PROPER(TRIM(SUBSTITUTE([1]RawShipmentData!F1201,"  "," ")))</f>
        <v>Electronics</v>
      </c>
      <c r="H1189" s="2" t="str">
        <f>PROPER(TRIM([1]RawShipmentData!G1201))</f>
        <v>West</v>
      </c>
      <c r="I1189" s="2" t="str">
        <f t="shared" si="90"/>
        <v>Yes</v>
      </c>
      <c r="J1189" s="2">
        <f>IFERROR(VALUE(TRIM(SUBSTITUTE(UPPER([1]RawShipmentData!I1189),"KG",""))),"")</f>
        <v>13</v>
      </c>
      <c r="K1189" s="2">
        <f>VALUE(SUBSTITUTE(SUBSTITUTE(SUBSTITUTE(TRIM([1]RawShipmentData!J1201),"₹",""),"Rs",""),",",""))</f>
        <v>238</v>
      </c>
      <c r="L1189" s="2">
        <f>[1]RawShipmentData!K1201</f>
        <v>6</v>
      </c>
      <c r="M1189" s="3">
        <f>IF(TRIM([1]RawShipmentData!L1201)="","",IF(ISNUMBER(SEARCH("/",TRIM([1]RawShipmentData!L1201))),DATE(VALUE(RIGHT(TRIM([1]RawShipmentData!L1201),4)),VALUE(MID(TRIM([1]RawShipmentData!L1201),FIND("/",TRIM([1]RawShipmentData!L1201))+1,2)),VALUE(LEFT(TRIM([1]RawShipmentData!L1201),FIND("/",TRIM([1]RawShipmentData!L1201))-1))),DATEVALUE(TRIM([1]RawShipmentData!L1201))))</f>
        <v>45444</v>
      </c>
      <c r="N1189" s="2">
        <f t="shared" si="91"/>
        <v>11</v>
      </c>
      <c r="O1189" s="2">
        <f t="shared" si="92"/>
        <v>5</v>
      </c>
      <c r="P1189" s="2" t="str">
        <f t="shared" si="93"/>
        <v>Late</v>
      </c>
      <c r="Q1189" s="2" t="str">
        <f>PROPER(SUBSTITUTE(TRIM([1]RawShipmentData!M1201)," ","-"))</f>
        <v>Delayed</v>
      </c>
      <c r="R1189" s="4">
        <f t="shared" si="94"/>
        <v>18.307692307692307</v>
      </c>
      <c r="S1189" s="2">
        <f>[1]RawShipmentData!N1201</f>
        <v>4</v>
      </c>
      <c r="T1189" s="2" t="str">
        <f>IF(OR(UPPER(TRIM([1]RawShipmentData!O1201))="YES",UPPER(TRIM([1]RawShipmentData!O1201))="Y"),"Yes","No")</f>
        <v>Yes</v>
      </c>
    </row>
    <row r="1190" spans="1:20" x14ac:dyDescent="0.25">
      <c r="A1190" s="2" t="str">
        <f>[1]RawShipmentData!A1202</f>
        <v>SHP-101148</v>
      </c>
      <c r="B1190" s="3">
        <f>IF(ISNUMBER(SEARCH("/",TRIM([1]RawShipmentData!B1202))),DATE(VALUE(RIGHT(TRIM([1]RawShipmentData!B1202),4)),VALUE(MID(TRIM([1]RawShipmentData!B1202),FIND("/",TRIM([1]RawShipmentData!B1202))+1,2)),VALUE(LEFT(TRIM([1]RawShipmentData!B1202),FIND("/",TRIM([1]RawShipmentData!B1202))-1))),DATEVALUE(TRIM([1]RawShipmentData!B1202)))</f>
        <v>45396</v>
      </c>
      <c r="C1190" s="2" t="str">
        <f>PROPER(TRIM([1]RawShipmentData!C1202))</f>
        <v>Mumbai</v>
      </c>
      <c r="D1190" s="2" t="str">
        <f>IFERROR(INDEX([1]HubMaster!$B$2:$B$7,MATCH(C1190,[1]HubMaster!$A$2:$A$7,0)),"Unknown")</f>
        <v>West</v>
      </c>
      <c r="E1190" s="2" t="str">
        <f>PROPER(TRIM(SUBSTITUTE([1]RawShipmentData!D1202,"  "," ")))</f>
        <v>Delhivery</v>
      </c>
      <c r="F1190" s="2" t="str">
        <f>PROPER(TRIM([1]RawShipmentData!E1202))</f>
        <v>Road</v>
      </c>
      <c r="G1190" s="2" t="str">
        <f>PROPER(TRIM(SUBSTITUTE([1]RawShipmentData!F1202,"  "," ")))</f>
        <v>Electronics</v>
      </c>
      <c r="H1190" s="2" t="str">
        <f>PROPER(TRIM([1]RawShipmentData!G1202))</f>
        <v>West</v>
      </c>
      <c r="I1190" s="2" t="str">
        <f t="shared" si="90"/>
        <v>No</v>
      </c>
      <c r="J1190" s="2">
        <f>IFERROR(VALUE(TRIM(SUBSTITUTE(UPPER([1]RawShipmentData!I1190),"KG",""))),"")</f>
        <v>9.9</v>
      </c>
      <c r="K1190" s="2">
        <f>VALUE(SUBSTITUTE(SUBSTITUTE(SUBSTITUTE(TRIM([1]RawShipmentData!J1202),"₹",""),"Rs",""),",",""))</f>
        <v>82</v>
      </c>
      <c r="L1190" s="2">
        <f>[1]RawShipmentData!K1202</f>
        <v>6</v>
      </c>
      <c r="M1190" s="3">
        <f>IF(TRIM([1]RawShipmentData!L1202)="","",IF(ISNUMBER(SEARCH("/",TRIM([1]RawShipmentData!L1202))),DATE(VALUE(RIGHT(TRIM([1]RawShipmentData!L1202),4)),VALUE(MID(TRIM([1]RawShipmentData!L1202),FIND("/",TRIM([1]RawShipmentData!L1202))+1,2)),VALUE(LEFT(TRIM([1]RawShipmentData!L1202),FIND("/",TRIM([1]RawShipmentData!L1202))-1))),DATEVALUE(TRIM([1]RawShipmentData!L1202))))</f>
        <v>45401</v>
      </c>
      <c r="N1190" s="2">
        <f t="shared" si="91"/>
        <v>5</v>
      </c>
      <c r="O1190" s="2">
        <f t="shared" si="92"/>
        <v>-1</v>
      </c>
      <c r="P1190" s="2" t="str">
        <f t="shared" si="93"/>
        <v>On Time</v>
      </c>
      <c r="Q1190" s="2" t="str">
        <f>PROPER(SUBSTITUTE(TRIM([1]RawShipmentData!M1202)," ","-"))</f>
        <v>Delivered</v>
      </c>
      <c r="R1190" s="4">
        <f t="shared" si="94"/>
        <v>8.282828282828282</v>
      </c>
      <c r="S1190" s="2">
        <f>[1]RawShipmentData!N1202</f>
        <v>4</v>
      </c>
      <c r="T1190" s="2" t="str">
        <f>IF(OR(UPPER(TRIM([1]RawShipmentData!O1202))="YES",UPPER(TRIM([1]RawShipmentData!O1202))="Y"),"Yes","No")</f>
        <v>No</v>
      </c>
    </row>
    <row r="1191" spans="1:20" x14ac:dyDescent="0.25">
      <c r="A1191" s="2" t="str">
        <f>[1]RawShipmentData!A1203</f>
        <v>SHP-100081</v>
      </c>
      <c r="B1191" s="3">
        <f>IF(ISNUMBER(SEARCH("/",TRIM([1]RawShipmentData!B1203))),DATE(VALUE(RIGHT(TRIM([1]RawShipmentData!B1203),4)),VALUE(MID(TRIM([1]RawShipmentData!B1203),FIND("/",TRIM([1]RawShipmentData!B1203))+1,2)),VALUE(LEFT(TRIM([1]RawShipmentData!B1203),FIND("/",TRIM([1]RawShipmentData!B1203))-1))),DATEVALUE(TRIM([1]RawShipmentData!B1203)))</f>
        <v>45303</v>
      </c>
      <c r="C1191" s="2" t="str">
        <f>PROPER(TRIM([1]RawShipmentData!C1203))</f>
        <v>Hyderabad</v>
      </c>
      <c r="D1191" s="2" t="str">
        <f>IFERROR(INDEX([1]HubMaster!$B$2:$B$7,MATCH(C1191,[1]HubMaster!$A$2:$A$7,0)),"Unknown")</f>
        <v>West</v>
      </c>
      <c r="E1191" s="2" t="str">
        <f>PROPER(TRIM(SUBSTITUTE([1]RawShipmentData!D1203,"  "," ")))</f>
        <v>Dtdc</v>
      </c>
      <c r="F1191" s="2" t="str">
        <f>PROPER(TRIM([1]RawShipmentData!E1203))</f>
        <v>Air</v>
      </c>
      <c r="G1191" s="2" t="str">
        <f>PROPER(TRIM(SUBSTITUTE([1]RawShipmentData!F1203,"  "," ")))</f>
        <v>Pharma</v>
      </c>
      <c r="H1191" s="2" t="str">
        <f>PROPER(TRIM([1]RawShipmentData!G1203))</f>
        <v>South</v>
      </c>
      <c r="I1191" s="2" t="str">
        <f t="shared" si="90"/>
        <v>Yes</v>
      </c>
      <c r="J1191" s="2">
        <f>IFERROR(VALUE(TRIM(SUBSTITUTE(UPPER([1]RawShipmentData!I1191),"KG",""))),"")</f>
        <v>6.8</v>
      </c>
      <c r="K1191" s="2">
        <f>VALUE(SUBSTITUTE(SUBSTITUTE(SUBSTITUTE(TRIM([1]RawShipmentData!J1203),"₹",""),"Rs",""),",",""))</f>
        <v>373</v>
      </c>
      <c r="L1191" s="2">
        <f>[1]RawShipmentData!K1203</f>
        <v>4</v>
      </c>
      <c r="M1191" s="3">
        <f>IF(TRIM([1]RawShipmentData!L1203)="","",IF(ISNUMBER(SEARCH("/",TRIM([1]RawShipmentData!L1203))),DATE(VALUE(RIGHT(TRIM([1]RawShipmentData!L1203),4)),VALUE(MID(TRIM([1]RawShipmentData!L1203),FIND("/",TRIM([1]RawShipmentData!L1203))+1,2)),VALUE(LEFT(TRIM([1]RawShipmentData!L1203),FIND("/",TRIM([1]RawShipmentData!L1203))-1))),DATEVALUE(TRIM([1]RawShipmentData!L1203))))</f>
        <v>45307</v>
      </c>
      <c r="N1191" s="2">
        <f t="shared" si="91"/>
        <v>4</v>
      </c>
      <c r="O1191" s="2">
        <f t="shared" si="92"/>
        <v>0</v>
      </c>
      <c r="P1191" s="2" t="str">
        <f t="shared" si="93"/>
        <v>On Time</v>
      </c>
      <c r="Q1191" s="2" t="str">
        <f>PROPER(SUBSTITUTE(TRIM([1]RawShipmentData!M1203)," ","-"))</f>
        <v>Delivered</v>
      </c>
      <c r="R1191" s="4">
        <f t="shared" si="94"/>
        <v>54.852941176470587</v>
      </c>
      <c r="S1191" s="2">
        <f>[1]RawShipmentData!N1203</f>
        <v>4</v>
      </c>
      <c r="T1191" s="2" t="str">
        <f>IF(OR(UPPER(TRIM([1]RawShipmentData!O1203))="YES",UPPER(TRIM([1]RawShipmentData!O1203))="Y"),"Yes","No")</f>
        <v>No</v>
      </c>
    </row>
    <row r="1192" spans="1:20" x14ac:dyDescent="0.25">
      <c r="A1192" s="2" t="str">
        <f>[1]RawShipmentData!A1204</f>
        <v>SHP-100243</v>
      </c>
      <c r="B1192" s="3">
        <f>IF(ISNUMBER(SEARCH("/",TRIM([1]RawShipmentData!B1204))),DATE(VALUE(RIGHT(TRIM([1]RawShipmentData!B1204),4)),VALUE(MID(TRIM([1]RawShipmentData!B1204),FIND("/",TRIM([1]RawShipmentData!B1204))+1,2)),VALUE(LEFT(TRIM([1]RawShipmentData!B1204),FIND("/",TRIM([1]RawShipmentData!B1204))-1))),DATEVALUE(TRIM([1]RawShipmentData!B1204)))</f>
        <v>45349</v>
      </c>
      <c r="C1192" s="2" t="str">
        <f>PROPER(TRIM([1]RawShipmentData!C1204))</f>
        <v>Bengaluru</v>
      </c>
      <c r="D1192" s="2" t="str">
        <f>IFERROR(INDEX([1]HubMaster!$B$2:$B$7,MATCH(C1192,[1]HubMaster!$A$2:$A$7,0)),"Unknown")</f>
        <v>South</v>
      </c>
      <c r="E1192" s="2" t="str">
        <f>PROPER(TRIM(SUBSTITUTE([1]RawShipmentData!D1204,"  "," ")))</f>
        <v>Xpressbees</v>
      </c>
      <c r="F1192" s="2" t="str">
        <f>PROPER(TRIM([1]RawShipmentData!E1204))</f>
        <v>Air</v>
      </c>
      <c r="G1192" s="2" t="str">
        <f>PROPER(TRIM(SUBSTITUTE([1]RawShipmentData!F1204,"  "," ")))</f>
        <v>Electronics</v>
      </c>
      <c r="H1192" s="2" t="str">
        <f>PROPER(TRIM([1]RawShipmentData!G1204))</f>
        <v>East</v>
      </c>
      <c r="I1192" s="2" t="str">
        <f t="shared" si="90"/>
        <v>Yes</v>
      </c>
      <c r="J1192" s="2">
        <f>IFERROR(VALUE(TRIM(SUBSTITUTE(UPPER([1]RawShipmentData!I1192),"KG",""))),"")</f>
        <v>13.2</v>
      </c>
      <c r="K1192" s="2">
        <f>VALUE(SUBSTITUTE(SUBSTITUTE(SUBSTITUTE(TRIM([1]RawShipmentData!J1204),"₹",""),"Rs",""),",",""))</f>
        <v>797</v>
      </c>
      <c r="L1192" s="2">
        <f>[1]RawShipmentData!K1204</f>
        <v>4</v>
      </c>
      <c r="M1192" s="3">
        <f>IF(TRIM([1]RawShipmentData!L1204)="","",IF(ISNUMBER(SEARCH("/",TRIM([1]RawShipmentData!L1204))),DATE(VALUE(RIGHT(TRIM([1]RawShipmentData!L1204),4)),VALUE(MID(TRIM([1]RawShipmentData!L1204),FIND("/",TRIM([1]RawShipmentData!L1204))+1,2)),VALUE(LEFT(TRIM([1]RawShipmentData!L1204),FIND("/",TRIM([1]RawShipmentData!L1204))-1))),DATEVALUE(TRIM([1]RawShipmentData!L1204))))</f>
        <v>45354</v>
      </c>
      <c r="N1192" s="2">
        <f t="shared" si="91"/>
        <v>5</v>
      </c>
      <c r="O1192" s="2">
        <f t="shared" si="92"/>
        <v>1</v>
      </c>
      <c r="P1192" s="2" t="str">
        <f t="shared" si="93"/>
        <v>Late</v>
      </c>
      <c r="Q1192" s="2" t="str">
        <f>PROPER(SUBSTITUTE(TRIM([1]RawShipmentData!M1204)," ","-"))</f>
        <v>Delayed</v>
      </c>
      <c r="R1192" s="4">
        <f t="shared" si="94"/>
        <v>60.378787878787882</v>
      </c>
      <c r="S1192" s="2">
        <f>[1]RawShipmentData!N1204</f>
        <v>1</v>
      </c>
      <c r="T1192" s="2" t="str">
        <f>IF(OR(UPPER(TRIM([1]RawShipmentData!O1204))="YES",UPPER(TRIM([1]RawShipmentData!O1204))="Y"),"Yes","No")</f>
        <v>Yes</v>
      </c>
    </row>
    <row r="1193" spans="1:20" x14ac:dyDescent="0.25">
      <c r="A1193" s="2" t="str">
        <f>[1]RawShipmentData!A1205</f>
        <v>SHP-100923</v>
      </c>
      <c r="B1193" s="3">
        <f>IF(ISNUMBER(SEARCH("/",TRIM([1]RawShipmentData!B1205))),DATE(VALUE(RIGHT(TRIM([1]RawShipmentData!B1205),4)),VALUE(MID(TRIM([1]RawShipmentData!B1205),FIND("/",TRIM([1]RawShipmentData!B1205))+1,2)),VALUE(LEFT(TRIM([1]RawShipmentData!B1205),FIND("/",TRIM([1]RawShipmentData!B1205))-1))),DATEVALUE(TRIM([1]RawShipmentData!B1205)))</f>
        <v>45348</v>
      </c>
      <c r="C1193" s="2" t="str">
        <f>PROPER(TRIM([1]RawShipmentData!C1205))</f>
        <v>Delhi</v>
      </c>
      <c r="D1193" s="2" t="str">
        <f>IFERROR(INDEX([1]HubMaster!$B$2:$B$7,MATCH(C1193,[1]HubMaster!$A$2:$A$7,0)),"Unknown")</f>
        <v>North</v>
      </c>
      <c r="E1193" s="2" t="str">
        <f>PROPER(TRIM(SUBSTITUTE([1]RawShipmentData!D1205,"  "," ")))</f>
        <v>Xpressbees</v>
      </c>
      <c r="F1193" s="2" t="str">
        <f>PROPER(TRIM([1]RawShipmentData!E1205))</f>
        <v>Road</v>
      </c>
      <c r="G1193" s="2" t="str">
        <f>PROPER(TRIM(SUBSTITUTE([1]RawShipmentData!F1205,"  "," ")))</f>
        <v>Grocery &amp; Fmcg</v>
      </c>
      <c r="H1193" s="2" t="str">
        <f>PROPER(TRIM([1]RawShipmentData!G1205))</f>
        <v>West</v>
      </c>
      <c r="I1193" s="2" t="str">
        <f t="shared" si="90"/>
        <v>Yes</v>
      </c>
      <c r="J1193" s="2">
        <f>IFERROR(VALUE(TRIM(SUBSTITUTE(UPPER([1]RawShipmentData!I1193),"KG",""))),"")</f>
        <v>22.2</v>
      </c>
      <c r="K1193" s="2">
        <f>VALUE(SUBSTITUTE(SUBSTITUTE(SUBSTITUTE(TRIM([1]RawShipmentData!J1205),"₹",""),"Rs",""),",",""))</f>
        <v>407</v>
      </c>
      <c r="L1193" s="2">
        <f>[1]RawShipmentData!K1205</f>
        <v>8</v>
      </c>
      <c r="M1193" s="3">
        <f>IF(TRIM([1]RawShipmentData!L1205)="","",IF(ISNUMBER(SEARCH("/",TRIM([1]RawShipmentData!L1205))),DATE(VALUE(RIGHT(TRIM([1]RawShipmentData!L1205),4)),VALUE(MID(TRIM([1]RawShipmentData!L1205),FIND("/",TRIM([1]RawShipmentData!L1205))+1,2)),VALUE(LEFT(TRIM([1]RawShipmentData!L1205),FIND("/",TRIM([1]RawShipmentData!L1205))-1))),DATEVALUE(TRIM([1]RawShipmentData!L1205))))</f>
        <v>45355</v>
      </c>
      <c r="N1193" s="2">
        <f t="shared" si="91"/>
        <v>7</v>
      </c>
      <c r="O1193" s="2">
        <f t="shared" si="92"/>
        <v>-1</v>
      </c>
      <c r="P1193" s="2" t="str">
        <f t="shared" si="93"/>
        <v>On Time</v>
      </c>
      <c r="Q1193" s="2" t="str">
        <f>PROPER(SUBSTITUTE(TRIM([1]RawShipmentData!M1205)," ","-"))</f>
        <v>Delivered</v>
      </c>
      <c r="R1193" s="4">
        <f t="shared" si="94"/>
        <v>18.333333333333332</v>
      </c>
      <c r="S1193" s="2">
        <f>[1]RawShipmentData!N1205</f>
        <v>4</v>
      </c>
      <c r="T1193" s="2" t="str">
        <f>IF(OR(UPPER(TRIM([1]RawShipmentData!O1205))="YES",UPPER(TRIM([1]RawShipmentData!O1205))="Y"),"Yes","No")</f>
        <v>No</v>
      </c>
    </row>
    <row r="1194" spans="1:20" x14ac:dyDescent="0.25">
      <c r="A1194" s="2" t="str">
        <f>[1]RawShipmentData!A1206</f>
        <v>SHP-100720</v>
      </c>
      <c r="B1194" s="3">
        <f>IF(ISNUMBER(SEARCH("/",TRIM([1]RawShipmentData!B1206))),DATE(VALUE(RIGHT(TRIM([1]RawShipmentData!B1206),4)),VALUE(MID(TRIM([1]RawShipmentData!B1206),FIND("/",TRIM([1]RawShipmentData!B1206))+1,2)),VALUE(LEFT(TRIM([1]RawShipmentData!B1206),FIND("/",TRIM([1]RawShipmentData!B1206))-1))),DATEVALUE(TRIM([1]RawShipmentData!B1206)))</f>
        <v>45408</v>
      </c>
      <c r="C1194" s="2" t="str">
        <f>PROPER(TRIM([1]RawShipmentData!C1206))</f>
        <v>Kolkata</v>
      </c>
      <c r="D1194" s="2" t="str">
        <f>IFERROR(INDEX([1]HubMaster!$B$2:$B$7,MATCH(C1194,[1]HubMaster!$A$2:$A$7,0)),"Unknown")</f>
        <v>East</v>
      </c>
      <c r="E1194" s="2" t="str">
        <f>PROPER(TRIM(SUBSTITUTE([1]RawShipmentData!D1206,"  "," ")))</f>
        <v>Dtdc</v>
      </c>
      <c r="F1194" s="2" t="str">
        <f>PROPER(TRIM([1]RawShipmentData!E1206))</f>
        <v>Road</v>
      </c>
      <c r="G1194" s="2" t="str">
        <f>PROPER(TRIM(SUBSTITUTE([1]RawShipmentData!F1206,"  "," ")))</f>
        <v>Automotive Parts</v>
      </c>
      <c r="H1194" s="2" t="str">
        <f>PROPER(TRIM([1]RawShipmentData!G1206))</f>
        <v>North</v>
      </c>
      <c r="I1194" s="2" t="str">
        <f t="shared" si="90"/>
        <v>Yes</v>
      </c>
      <c r="J1194" s="2">
        <f>IFERROR(VALUE(TRIM(SUBSTITUTE(UPPER([1]RawShipmentData!I1194),"KG",""))),"")</f>
        <v>6.6</v>
      </c>
      <c r="K1194" s="2">
        <f>VALUE(SUBSTITUTE(SUBSTITUTE(SUBSTITUTE(TRIM([1]RawShipmentData!J1206),"₹",""),"Rs",""),",",""))</f>
        <v>270</v>
      </c>
      <c r="L1194" s="2">
        <f>[1]RawShipmentData!K1206</f>
        <v>8</v>
      </c>
      <c r="M1194" s="3">
        <f>IF(TRIM([1]RawShipmentData!L1206)="","",IF(ISNUMBER(SEARCH("/",TRIM([1]RawShipmentData!L1206))),DATE(VALUE(RIGHT(TRIM([1]RawShipmentData!L1206),4)),VALUE(MID(TRIM([1]RawShipmentData!L1206),FIND("/",TRIM([1]RawShipmentData!L1206))+1,2)),VALUE(LEFT(TRIM([1]RawShipmentData!L1206),FIND("/",TRIM([1]RawShipmentData!L1206))-1))),DATEVALUE(TRIM([1]RawShipmentData!L1206))))</f>
        <v>45415</v>
      </c>
      <c r="N1194" s="2">
        <f t="shared" si="91"/>
        <v>7</v>
      </c>
      <c r="O1194" s="2">
        <f t="shared" si="92"/>
        <v>-1</v>
      </c>
      <c r="P1194" s="2" t="str">
        <f t="shared" si="93"/>
        <v>On Time</v>
      </c>
      <c r="Q1194" s="2" t="str">
        <f>PROPER(SUBSTITUTE(TRIM([1]RawShipmentData!M1206)," ","-"))</f>
        <v>Delivered</v>
      </c>
      <c r="R1194" s="4">
        <f t="shared" si="94"/>
        <v>40.909090909090914</v>
      </c>
      <c r="S1194" s="2">
        <f>[1]RawShipmentData!N1206</f>
        <v>4</v>
      </c>
      <c r="T1194" s="2" t="str">
        <f>IF(OR(UPPER(TRIM([1]RawShipmentData!O1206))="YES",UPPER(TRIM([1]RawShipmentData!O1206))="Y"),"Yes","No")</f>
        <v>No</v>
      </c>
    </row>
    <row r="1195" spans="1:20" x14ac:dyDescent="0.25">
      <c r="A1195" s="2" t="str">
        <f>[1]RawShipmentData!A1207</f>
        <v>SHP-100219</v>
      </c>
      <c r="B1195" s="3">
        <f>IF(ISNUMBER(SEARCH("/",TRIM([1]RawShipmentData!B1207))),DATE(VALUE(RIGHT(TRIM([1]RawShipmentData!B1207),4)),VALUE(MID(TRIM([1]RawShipmentData!B1207),FIND("/",TRIM([1]RawShipmentData!B1207))+1,2)),VALUE(LEFT(TRIM([1]RawShipmentData!B1207),FIND("/",TRIM([1]RawShipmentData!B1207))-1))),DATEVALUE(TRIM([1]RawShipmentData!B1207)))</f>
        <v>45428</v>
      </c>
      <c r="C1195" s="2" t="str">
        <f>PROPER(TRIM([1]RawShipmentData!C1207))</f>
        <v>Delhi</v>
      </c>
      <c r="D1195" s="2" t="str">
        <f>IFERROR(INDEX([1]HubMaster!$B$2:$B$7,MATCH(C1195,[1]HubMaster!$A$2:$A$7,0)),"Unknown")</f>
        <v>North</v>
      </c>
      <c r="E1195" s="2" t="str">
        <f>PROPER(TRIM(SUBSTITUTE([1]RawShipmentData!D1207,"  "," ")))</f>
        <v>Bluedart</v>
      </c>
      <c r="F1195" s="2" t="str">
        <f>PROPER(TRIM([1]RawShipmentData!E1207))</f>
        <v>Road</v>
      </c>
      <c r="G1195" s="2" t="str">
        <f>PROPER(TRIM(SUBSTITUTE([1]RawShipmentData!F1207,"  "," ")))</f>
        <v>Pharma</v>
      </c>
      <c r="H1195" s="2" t="str">
        <f>PROPER(TRIM([1]RawShipmentData!G1207))</f>
        <v>North</v>
      </c>
      <c r="I1195" s="2" t="str">
        <f t="shared" si="90"/>
        <v>No</v>
      </c>
      <c r="J1195" s="2">
        <f>IFERROR(VALUE(TRIM(SUBSTITUTE(UPPER([1]RawShipmentData!I1195),"KG",""))),"")</f>
        <v>52.7</v>
      </c>
      <c r="K1195" s="2">
        <f>VALUE(SUBSTITUTE(SUBSTITUTE(SUBSTITUTE(TRIM([1]RawShipmentData!J1207),"₹",""),"Rs",""),",",""))</f>
        <v>80</v>
      </c>
      <c r="L1195" s="2">
        <f>[1]RawShipmentData!K1207</f>
        <v>6</v>
      </c>
      <c r="M1195" s="3">
        <f>IF(TRIM([1]RawShipmentData!L1207)="","",IF(ISNUMBER(SEARCH("/",TRIM([1]RawShipmentData!L1207))),DATE(VALUE(RIGHT(TRIM([1]RawShipmentData!L1207),4)),VALUE(MID(TRIM([1]RawShipmentData!L1207),FIND("/",TRIM([1]RawShipmentData!L1207))+1,2)),VALUE(LEFT(TRIM([1]RawShipmentData!L1207),FIND("/",TRIM([1]RawShipmentData!L1207))-1))),DATEVALUE(TRIM([1]RawShipmentData!L1207))))</f>
        <v>45433</v>
      </c>
      <c r="N1195" s="2">
        <f t="shared" si="91"/>
        <v>5</v>
      </c>
      <c r="O1195" s="2">
        <f t="shared" si="92"/>
        <v>-1</v>
      </c>
      <c r="P1195" s="2" t="str">
        <f t="shared" si="93"/>
        <v>On Time</v>
      </c>
      <c r="Q1195" s="2" t="str">
        <f>PROPER(SUBSTITUTE(TRIM([1]RawShipmentData!M1207)," ","-"))</f>
        <v>Delivered</v>
      </c>
      <c r="R1195" s="4">
        <f t="shared" si="94"/>
        <v>1.5180265654648954</v>
      </c>
      <c r="S1195" s="2">
        <f>[1]RawShipmentData!N1207</f>
        <v>5</v>
      </c>
      <c r="T1195" s="2" t="str">
        <f>IF(OR(UPPER(TRIM([1]RawShipmentData!O1207))="YES",UPPER(TRIM([1]RawShipmentData!O1207))="Y"),"Yes","No")</f>
        <v>Yes</v>
      </c>
    </row>
    <row r="1196" spans="1:20" x14ac:dyDescent="0.25">
      <c r="A1196" s="2" t="str">
        <f>[1]RawShipmentData!A1208</f>
        <v>SHP-100214</v>
      </c>
      <c r="B1196" s="3">
        <f>IF(ISNUMBER(SEARCH("/",TRIM([1]RawShipmentData!B1208))),DATE(VALUE(RIGHT(TRIM([1]RawShipmentData!B1208),4)),VALUE(MID(TRIM([1]RawShipmentData!B1208),FIND("/",TRIM([1]RawShipmentData!B1208))+1,2)),VALUE(LEFT(TRIM([1]RawShipmentData!B1208),FIND("/",TRIM([1]RawShipmentData!B1208))-1))),DATEVALUE(TRIM([1]RawShipmentData!B1208)))</f>
        <v>45367</v>
      </c>
      <c r="C1196" s="2" t="str">
        <f>PROPER(TRIM([1]RawShipmentData!C1208))</f>
        <v>Mumbai</v>
      </c>
      <c r="D1196" s="2" t="str">
        <f>IFERROR(INDEX([1]HubMaster!$B$2:$B$7,MATCH(C1196,[1]HubMaster!$A$2:$A$7,0)),"Unknown")</f>
        <v>West</v>
      </c>
      <c r="E1196" s="2" t="str">
        <f>PROPER(TRIM(SUBSTITUTE([1]RawShipmentData!D1208,"  "," ")))</f>
        <v>Delhivery</v>
      </c>
      <c r="F1196" s="2" t="str">
        <f>PROPER(TRIM([1]RawShipmentData!E1208))</f>
        <v>Air</v>
      </c>
      <c r="G1196" s="2" t="str">
        <f>PROPER(TRIM(SUBSTITUTE([1]RawShipmentData!F1208,"  "," ")))</f>
        <v>Furniture</v>
      </c>
      <c r="H1196" s="2" t="str">
        <f>PROPER(TRIM([1]RawShipmentData!G1208))</f>
        <v>North</v>
      </c>
      <c r="I1196" s="2" t="str">
        <f t="shared" si="90"/>
        <v>Yes</v>
      </c>
      <c r="J1196" s="2">
        <f>IFERROR(VALUE(TRIM(SUBSTITUTE(UPPER([1]RawShipmentData!I1196),"KG",""))),"")</f>
        <v>0.9</v>
      </c>
      <c r="K1196" s="2">
        <f>VALUE(SUBSTITUTE(SUBSTITUTE(SUBSTITUTE(TRIM([1]RawShipmentData!J1208),"₹",""),"Rs",""),",",""))</f>
        <v>1469</v>
      </c>
      <c r="L1196" s="2">
        <f>[1]RawShipmentData!K1208</f>
        <v>4</v>
      </c>
      <c r="M1196" s="3">
        <f>IF(TRIM([1]RawShipmentData!L1208)="","",IF(ISNUMBER(SEARCH("/",TRIM([1]RawShipmentData!L1208))),DATE(VALUE(RIGHT(TRIM([1]RawShipmentData!L1208),4)),VALUE(MID(TRIM([1]RawShipmentData!L1208),FIND("/",TRIM([1]RawShipmentData!L1208))+1,2)),VALUE(LEFT(TRIM([1]RawShipmentData!L1208),FIND("/",TRIM([1]RawShipmentData!L1208))-1))),DATEVALUE(TRIM([1]RawShipmentData!L1208))))</f>
        <v>45371</v>
      </c>
      <c r="N1196" s="2">
        <f t="shared" si="91"/>
        <v>4</v>
      </c>
      <c r="O1196" s="2">
        <f t="shared" si="92"/>
        <v>0</v>
      </c>
      <c r="P1196" s="2" t="str">
        <f t="shared" si="93"/>
        <v>On Time</v>
      </c>
      <c r="Q1196" s="2" t="str">
        <f>PROPER(SUBSTITUTE(TRIM([1]RawShipmentData!M1208)," ","-"))</f>
        <v>Delivered</v>
      </c>
      <c r="R1196" s="4">
        <f t="shared" si="94"/>
        <v>1632.2222222222222</v>
      </c>
      <c r="S1196" s="2">
        <f>[1]RawShipmentData!N1208</f>
        <v>4</v>
      </c>
      <c r="T1196" s="2" t="str">
        <f>IF(OR(UPPER(TRIM([1]RawShipmentData!O1208))="YES",UPPER(TRIM([1]RawShipmentData!O1208))="Y"),"Yes","No")</f>
        <v>Yes</v>
      </c>
    </row>
    <row r="1197" spans="1:20" x14ac:dyDescent="0.25">
      <c r="A1197" s="2" t="str">
        <f>[1]RawShipmentData!A1209</f>
        <v>SHP-100940</v>
      </c>
      <c r="B1197" s="3">
        <f>IF(ISNUMBER(SEARCH("/",TRIM([1]RawShipmentData!B1209))),DATE(VALUE(RIGHT(TRIM([1]RawShipmentData!B1209),4)),VALUE(MID(TRIM([1]RawShipmentData!B1209),FIND("/",TRIM([1]RawShipmentData!B1209))+1,2)),VALUE(LEFT(TRIM([1]RawShipmentData!B1209),FIND("/",TRIM([1]RawShipmentData!B1209))-1))),DATEVALUE(TRIM([1]RawShipmentData!B1209)))</f>
        <v>45312</v>
      </c>
      <c r="C1197" s="2" t="str">
        <f>PROPER(TRIM([1]RawShipmentData!C1209))</f>
        <v>Mumbai</v>
      </c>
      <c r="D1197" s="2" t="str">
        <f>IFERROR(INDEX([1]HubMaster!$B$2:$B$7,MATCH(C1197,[1]HubMaster!$A$2:$A$7,0)),"Unknown")</f>
        <v>West</v>
      </c>
      <c r="E1197" s="2" t="str">
        <f>PROPER(TRIM(SUBSTITUTE([1]RawShipmentData!D1209,"  "," ")))</f>
        <v>Ecom Express</v>
      </c>
      <c r="F1197" s="2" t="str">
        <f>PROPER(TRIM([1]RawShipmentData!E1209))</f>
        <v>Road</v>
      </c>
      <c r="G1197" s="2" t="str">
        <f>PROPER(TRIM(SUBSTITUTE([1]RawShipmentData!F1209,"  "," ")))</f>
        <v>Automotive Parts</v>
      </c>
      <c r="H1197" s="2" t="str">
        <f>PROPER(TRIM([1]RawShipmentData!G1209))</f>
        <v>East</v>
      </c>
      <c r="I1197" s="2" t="str">
        <f t="shared" si="90"/>
        <v>Yes</v>
      </c>
      <c r="J1197" s="2">
        <f>IFERROR(VALUE(TRIM(SUBSTITUTE(UPPER([1]RawShipmentData!I1197),"KG",""))),"")</f>
        <v>11.5</v>
      </c>
      <c r="K1197" s="2">
        <f>VALUE(SUBSTITUTE(SUBSTITUTE(SUBSTITUTE(TRIM([1]RawShipmentData!J1209),"₹",""),"Rs",""),",",""))</f>
        <v>495</v>
      </c>
      <c r="L1197" s="2">
        <f>[1]RawShipmentData!K1209</f>
        <v>8</v>
      </c>
      <c r="M1197" s="3">
        <f>IF(TRIM([1]RawShipmentData!L1209)="","",IF(ISNUMBER(SEARCH("/",TRIM([1]RawShipmentData!L1209))),DATE(VALUE(RIGHT(TRIM([1]RawShipmentData!L1209),4)),VALUE(MID(TRIM([1]RawShipmentData!L1209),FIND("/",TRIM([1]RawShipmentData!L1209))+1,2)),VALUE(LEFT(TRIM([1]RawShipmentData!L1209),FIND("/",TRIM([1]RawShipmentData!L1209))-1))),DATEVALUE(TRIM([1]RawShipmentData!L1209))))</f>
        <v>45320</v>
      </c>
      <c r="N1197" s="2">
        <f t="shared" si="91"/>
        <v>8</v>
      </c>
      <c r="O1197" s="2">
        <f t="shared" si="92"/>
        <v>0</v>
      </c>
      <c r="P1197" s="2" t="str">
        <f t="shared" si="93"/>
        <v>On Time</v>
      </c>
      <c r="Q1197" s="2" t="str">
        <f>PROPER(SUBSTITUTE(TRIM([1]RawShipmentData!M1209)," ","-"))</f>
        <v>Delivered</v>
      </c>
      <c r="R1197" s="4">
        <f t="shared" si="94"/>
        <v>43.043478260869563</v>
      </c>
      <c r="S1197" s="2">
        <f>[1]RawShipmentData!N1209</f>
        <v>5</v>
      </c>
      <c r="T1197" s="2" t="str">
        <f>IF(OR(UPPER(TRIM([1]RawShipmentData!O1209))="YES",UPPER(TRIM([1]RawShipmentData!O1209))="Y"),"Yes","No")</f>
        <v>Yes</v>
      </c>
    </row>
    <row r="1198" spans="1:20" x14ac:dyDescent="0.25">
      <c r="A1198" s="2" t="str">
        <f>[1]RawShipmentData!A1210</f>
        <v>SHP-101413</v>
      </c>
      <c r="B1198" s="3">
        <f>IF(ISNUMBER(SEARCH("/",TRIM([1]RawShipmentData!B1210))),DATE(VALUE(RIGHT(TRIM([1]RawShipmentData!B1210),4)),VALUE(MID(TRIM([1]RawShipmentData!B1210),FIND("/",TRIM([1]RawShipmentData!B1210))+1,2)),VALUE(LEFT(TRIM([1]RawShipmentData!B1210),FIND("/",TRIM([1]RawShipmentData!B1210))-1))),DATEVALUE(TRIM([1]RawShipmentData!B1210)))</f>
        <v>45454</v>
      </c>
      <c r="C1198" s="2" t="str">
        <f>PROPER(TRIM([1]RawShipmentData!C1210))</f>
        <v>Hyderabad</v>
      </c>
      <c r="D1198" s="2" t="str">
        <f>IFERROR(INDEX([1]HubMaster!$B$2:$B$7,MATCH(C1198,[1]HubMaster!$A$2:$A$7,0)),"Unknown")</f>
        <v>West</v>
      </c>
      <c r="E1198" s="2" t="str">
        <f>PROPER(TRIM(SUBSTITUTE([1]RawShipmentData!D1210,"  "," ")))</f>
        <v>Dtdc</v>
      </c>
      <c r="F1198" s="2" t="str">
        <f>PROPER(TRIM([1]RawShipmentData!E1210))</f>
        <v>Air</v>
      </c>
      <c r="G1198" s="2" t="str">
        <f>PROPER(TRIM(SUBSTITUTE([1]RawShipmentData!F1210,"  "," ")))</f>
        <v>Electronics</v>
      </c>
      <c r="H1198" s="2" t="str">
        <f>PROPER(TRIM([1]RawShipmentData!G1210))</f>
        <v>East</v>
      </c>
      <c r="I1198" s="2" t="str">
        <f t="shared" si="90"/>
        <v>Yes</v>
      </c>
      <c r="J1198" s="2">
        <f>IFERROR(VALUE(TRIM(SUBSTITUTE(UPPER([1]RawShipmentData!I1198),"KG",""))),"")</f>
        <v>3.1</v>
      </c>
      <c r="K1198" s="2">
        <f>VALUE(SUBSTITUTE(SUBSTITUTE(SUBSTITUTE(TRIM([1]RawShipmentData!J1210),"₹",""),"Rs",""),",",""))</f>
        <v>809</v>
      </c>
      <c r="L1198" s="2">
        <f>[1]RawShipmentData!K1210</f>
        <v>4</v>
      </c>
      <c r="M1198" s="3">
        <f>IF(TRIM([1]RawShipmentData!L1210)="","",IF(ISNUMBER(SEARCH("/",TRIM([1]RawShipmentData!L1210))),DATE(VALUE(RIGHT(TRIM([1]RawShipmentData!L1210),4)),VALUE(MID(TRIM([1]RawShipmentData!L1210),FIND("/",TRIM([1]RawShipmentData!L1210))+1,2)),VALUE(LEFT(TRIM([1]RawShipmentData!L1210),FIND("/",TRIM([1]RawShipmentData!L1210))-1))),DATEVALUE(TRIM([1]RawShipmentData!L1210))))</f>
        <v>45461</v>
      </c>
      <c r="N1198" s="2">
        <f t="shared" si="91"/>
        <v>7</v>
      </c>
      <c r="O1198" s="2">
        <f t="shared" si="92"/>
        <v>3</v>
      </c>
      <c r="P1198" s="2" t="str">
        <f t="shared" si="93"/>
        <v>Late</v>
      </c>
      <c r="Q1198" s="2" t="str">
        <f>PROPER(SUBSTITUTE(TRIM([1]RawShipmentData!M1210)," ","-"))</f>
        <v>Delayed</v>
      </c>
      <c r="R1198" s="4">
        <f t="shared" si="94"/>
        <v>260.96774193548384</v>
      </c>
      <c r="S1198" s="2">
        <f>[1]RawShipmentData!N1210</f>
        <v>2</v>
      </c>
      <c r="T1198" s="2" t="str">
        <f>IF(OR(UPPER(TRIM([1]RawShipmentData!O1210))="YES",UPPER(TRIM([1]RawShipmentData!O1210))="Y"),"Yes","No")</f>
        <v>No</v>
      </c>
    </row>
    <row r="1199" spans="1:20" x14ac:dyDescent="0.25">
      <c r="A1199" s="2" t="str">
        <f>[1]RawShipmentData!A1211</f>
        <v>SHP-100010</v>
      </c>
      <c r="B1199" s="3">
        <f>IF(ISNUMBER(SEARCH("/",TRIM([1]RawShipmentData!B1211))),DATE(VALUE(RIGHT(TRIM([1]RawShipmentData!B1211),4)),VALUE(MID(TRIM([1]RawShipmentData!B1211),FIND("/",TRIM([1]RawShipmentData!B1211))+1,2)),VALUE(LEFT(TRIM([1]RawShipmentData!B1211),FIND("/",TRIM([1]RawShipmentData!B1211))-1))),DATEVALUE(TRIM([1]RawShipmentData!B1211)))</f>
        <v>45323</v>
      </c>
      <c r="C1199" s="2" t="str">
        <f>PROPER(TRIM([1]RawShipmentData!C1211))</f>
        <v>Hyderabad</v>
      </c>
      <c r="D1199" s="2" t="str">
        <f>IFERROR(INDEX([1]HubMaster!$B$2:$B$7,MATCH(C1199,[1]HubMaster!$A$2:$A$7,0)),"Unknown")</f>
        <v>West</v>
      </c>
      <c r="E1199" s="2" t="str">
        <f>PROPER(TRIM(SUBSTITUTE([1]RawShipmentData!D1211,"  "," ")))</f>
        <v>Dtdc</v>
      </c>
      <c r="F1199" s="2" t="str">
        <f>PROPER(TRIM([1]RawShipmentData!E1211))</f>
        <v>Surface</v>
      </c>
      <c r="G1199" s="2" t="str">
        <f>PROPER(TRIM(SUBSTITUTE([1]RawShipmentData!F1211,"  "," ")))</f>
        <v>Apparel</v>
      </c>
      <c r="H1199" s="2" t="str">
        <f>PROPER(TRIM([1]RawShipmentData!G1211))</f>
        <v>North</v>
      </c>
      <c r="I1199" s="2" t="str">
        <f t="shared" si="90"/>
        <v>Yes</v>
      </c>
      <c r="J1199" s="2">
        <f>IFERROR(VALUE(TRIM(SUBSTITUTE(UPPER([1]RawShipmentData!I1199),"KG",""))),"")</f>
        <v>70.900000000000006</v>
      </c>
      <c r="K1199" s="2">
        <f>VALUE(SUBSTITUTE(SUBSTITUTE(SUBSTITUTE(TRIM([1]RawShipmentData!J1211),"₹",""),"Rs",""),",",""))</f>
        <v>170</v>
      </c>
      <c r="L1199" s="2">
        <f>[1]RawShipmentData!K1211</f>
        <v>6</v>
      </c>
      <c r="M1199" s="3">
        <f>IF(TRIM([1]RawShipmentData!L1211)="","",IF(ISNUMBER(SEARCH("/",TRIM([1]RawShipmentData!L1211))),DATE(VALUE(RIGHT(TRIM([1]RawShipmentData!L1211),4)),VALUE(MID(TRIM([1]RawShipmentData!L1211),FIND("/",TRIM([1]RawShipmentData!L1211))+1,2)),VALUE(LEFT(TRIM([1]RawShipmentData!L1211),FIND("/",TRIM([1]RawShipmentData!L1211))-1))),DATEVALUE(TRIM([1]RawShipmentData!L1211))))</f>
        <v>45329</v>
      </c>
      <c r="N1199" s="2">
        <f t="shared" si="91"/>
        <v>6</v>
      </c>
      <c r="O1199" s="2">
        <f t="shared" si="92"/>
        <v>0</v>
      </c>
      <c r="P1199" s="2" t="str">
        <f t="shared" si="93"/>
        <v>On Time</v>
      </c>
      <c r="Q1199" s="2" t="str">
        <f>PROPER(SUBSTITUTE(TRIM([1]RawShipmentData!M1211)," ","-"))</f>
        <v>Delivered</v>
      </c>
      <c r="R1199" s="4">
        <f t="shared" si="94"/>
        <v>2.397743300423131</v>
      </c>
      <c r="S1199" s="2">
        <f>[1]RawShipmentData!N1211</f>
        <v>5</v>
      </c>
      <c r="T1199" s="2" t="str">
        <f>IF(OR(UPPER(TRIM([1]RawShipmentData!O1211))="YES",UPPER(TRIM([1]RawShipmentData!O1211))="Y"),"Yes","No")</f>
        <v>No</v>
      </c>
    </row>
    <row r="1200" spans="1:20" x14ac:dyDescent="0.25">
      <c r="A1200" s="2" t="str">
        <f>[1]RawShipmentData!A1212</f>
        <v>SHP-100228</v>
      </c>
      <c r="B1200" s="3">
        <f>IF(ISNUMBER(SEARCH("/",TRIM([1]RawShipmentData!B1212))),DATE(VALUE(RIGHT(TRIM([1]RawShipmentData!B1212),4)),VALUE(MID(TRIM([1]RawShipmentData!B1212),FIND("/",TRIM([1]RawShipmentData!B1212))+1,2)),VALUE(LEFT(TRIM([1]RawShipmentData!B1212),FIND("/",TRIM([1]RawShipmentData!B1212))-1))),DATEVALUE(TRIM([1]RawShipmentData!B1212)))</f>
        <v>45328</v>
      </c>
      <c r="C1200" s="2" t="str">
        <f>PROPER(TRIM([1]RawShipmentData!C1212))</f>
        <v>Mumbai</v>
      </c>
      <c r="D1200" s="2" t="str">
        <f>IFERROR(INDEX([1]HubMaster!$B$2:$B$7,MATCH(C1200,[1]HubMaster!$A$2:$A$7,0)),"Unknown")</f>
        <v>West</v>
      </c>
      <c r="E1200" s="2" t="str">
        <f>PROPER(TRIM(SUBSTITUTE([1]RawShipmentData!D1212,"  "," ")))</f>
        <v>Xpressbees</v>
      </c>
      <c r="F1200" s="2" t="str">
        <f>PROPER(TRIM([1]RawShipmentData!E1212))</f>
        <v>Road</v>
      </c>
      <c r="G1200" s="2" t="str">
        <f>PROPER(TRIM(SUBSTITUTE([1]RawShipmentData!F1212,"  "," ")))</f>
        <v>Grocery &amp; Fmcg</v>
      </c>
      <c r="H1200" s="2" t="str">
        <f>PROPER(TRIM([1]RawShipmentData!G1212))</f>
        <v>East</v>
      </c>
      <c r="I1200" s="2" t="str">
        <f t="shared" si="90"/>
        <v>Yes</v>
      </c>
      <c r="J1200" s="2">
        <f>IFERROR(VALUE(TRIM(SUBSTITUTE(UPPER([1]RawShipmentData!I1200),"KG",""))),"")</f>
        <v>3.9</v>
      </c>
      <c r="K1200" s="2">
        <f>VALUE(SUBSTITUTE(SUBSTITUTE(SUBSTITUTE(TRIM([1]RawShipmentData!J1212),"₹",""),"Rs",""),",",""))</f>
        <v>395</v>
      </c>
      <c r="L1200" s="2">
        <f>[1]RawShipmentData!K1212</f>
        <v>8</v>
      </c>
      <c r="M1200" s="3">
        <f>IF(TRIM([1]RawShipmentData!L1212)="","",IF(ISNUMBER(SEARCH("/",TRIM([1]RawShipmentData!L1212))),DATE(VALUE(RIGHT(TRIM([1]RawShipmentData!L1212),4)),VALUE(MID(TRIM([1]RawShipmentData!L1212),FIND("/",TRIM([1]RawShipmentData!L1212))+1,2)),VALUE(LEFT(TRIM([1]RawShipmentData!L1212),FIND("/",TRIM([1]RawShipmentData!L1212))-1))),DATEVALUE(TRIM([1]RawShipmentData!L1212))))</f>
        <v>45344</v>
      </c>
      <c r="N1200" s="2">
        <f t="shared" si="91"/>
        <v>16</v>
      </c>
      <c r="O1200" s="2">
        <f t="shared" si="92"/>
        <v>8</v>
      </c>
      <c r="P1200" s="2" t="str">
        <f t="shared" si="93"/>
        <v>Late</v>
      </c>
      <c r="Q1200" s="2" t="str">
        <f>PROPER(SUBSTITUTE(TRIM([1]RawShipmentData!M1212)," ","-"))</f>
        <v>Delayed</v>
      </c>
      <c r="R1200" s="4">
        <f t="shared" si="94"/>
        <v>101.28205128205128</v>
      </c>
      <c r="S1200" s="2">
        <f>[1]RawShipmentData!N1212</f>
        <v>2</v>
      </c>
      <c r="T1200" s="2" t="str">
        <f>IF(OR(UPPER(TRIM([1]RawShipmentData!O1212))="YES",UPPER(TRIM([1]RawShipmentData!O1212))="Y"),"Yes","No")</f>
        <v>Yes</v>
      </c>
    </row>
    <row r="1201" spans="1:20" x14ac:dyDescent="0.25">
      <c r="A1201" s="2" t="str">
        <f>[1]RawShipmentData!A1213</f>
        <v>SHP-101074</v>
      </c>
      <c r="B1201" s="3">
        <f>IF(ISNUMBER(SEARCH("/",TRIM([1]RawShipmentData!B1213))),DATE(VALUE(RIGHT(TRIM([1]RawShipmentData!B1213),4)),VALUE(MID(TRIM([1]RawShipmentData!B1213),FIND("/",TRIM([1]RawShipmentData!B1213))+1,2)),VALUE(LEFT(TRIM([1]RawShipmentData!B1213),FIND("/",TRIM([1]RawShipmentData!B1213))-1))),DATEVALUE(TRIM([1]RawShipmentData!B1213)))</f>
        <v>45345</v>
      </c>
      <c r="C1201" s="2" t="str">
        <f>PROPER(TRIM([1]RawShipmentData!C1213))</f>
        <v>Chennai</v>
      </c>
      <c r="D1201" s="2" t="str">
        <f>IFERROR(INDEX([1]HubMaster!$B$2:$B$7,MATCH(C1201,[1]HubMaster!$A$2:$A$7,0)),"Unknown")</f>
        <v>South</v>
      </c>
      <c r="E1201" s="2" t="str">
        <f>PROPER(TRIM(SUBSTITUTE([1]RawShipmentData!D1213,"  "," ")))</f>
        <v>Dtdc</v>
      </c>
      <c r="F1201" s="2" t="str">
        <f>PROPER(TRIM([1]RawShipmentData!E1213))</f>
        <v>Road</v>
      </c>
      <c r="G1201" s="2" t="str">
        <f>PROPER(TRIM(SUBSTITUTE([1]RawShipmentData!F1213,"  "," ")))</f>
        <v>Electronics</v>
      </c>
      <c r="H1201" s="2" t="str">
        <f>PROPER(TRIM([1]RawShipmentData!G1213))</f>
        <v>North</v>
      </c>
      <c r="I1201" s="2" t="str">
        <f t="shared" si="90"/>
        <v>Yes</v>
      </c>
      <c r="J1201" s="2">
        <f>IFERROR(VALUE(TRIM(SUBSTITUTE(UPPER([1]RawShipmentData!I1201),"KG",""))),"")</f>
        <v>3.1</v>
      </c>
      <c r="K1201" s="2">
        <f>VALUE(SUBSTITUTE(SUBSTITUTE(SUBSTITUTE(TRIM([1]RawShipmentData!J1213),"₹",""),"Rs",""),",",""))</f>
        <v>359</v>
      </c>
      <c r="L1201" s="2">
        <f>[1]RawShipmentData!K1213</f>
        <v>8</v>
      </c>
      <c r="M1201" s="3">
        <f>IF(TRIM([1]RawShipmentData!L1213)="","",IF(ISNUMBER(SEARCH("/",TRIM([1]RawShipmentData!L1213))),DATE(VALUE(RIGHT(TRIM([1]RawShipmentData!L1213),4)),VALUE(MID(TRIM([1]RawShipmentData!L1213),FIND("/",TRIM([1]RawShipmentData!L1213))+1,2)),VALUE(LEFT(TRIM([1]RawShipmentData!L1213),FIND("/",TRIM([1]RawShipmentData!L1213))-1))),DATEVALUE(TRIM([1]RawShipmentData!L1213))))</f>
        <v>45354</v>
      </c>
      <c r="N1201" s="2">
        <f t="shared" si="91"/>
        <v>9</v>
      </c>
      <c r="O1201" s="2">
        <f t="shared" si="92"/>
        <v>1</v>
      </c>
      <c r="P1201" s="2" t="str">
        <f t="shared" si="93"/>
        <v>Late</v>
      </c>
      <c r="Q1201" s="2" t="str">
        <f>PROPER(SUBSTITUTE(TRIM([1]RawShipmentData!M1213)," ","-"))</f>
        <v>Delayed</v>
      </c>
      <c r="R1201" s="4">
        <f t="shared" si="94"/>
        <v>115.80645161290322</v>
      </c>
      <c r="S1201" s="2">
        <f>[1]RawShipmentData!N1213</f>
        <v>1</v>
      </c>
      <c r="T1201" s="2" t="str">
        <f>IF(OR(UPPER(TRIM([1]RawShipmentData!O1213))="YES",UPPER(TRIM([1]RawShipmentData!O1213))="Y"),"Yes","No")</f>
        <v>No</v>
      </c>
    </row>
    <row r="1202" spans="1:20" x14ac:dyDescent="0.25">
      <c r="A1202" s="2" t="str">
        <f>[1]RawShipmentData!A1214</f>
        <v>SHP-100870</v>
      </c>
      <c r="B1202" s="3">
        <f>IF(ISNUMBER(SEARCH("/",TRIM([1]RawShipmentData!B1214))),DATE(VALUE(RIGHT(TRIM([1]RawShipmentData!B1214),4)),VALUE(MID(TRIM([1]RawShipmentData!B1214),FIND("/",TRIM([1]RawShipmentData!B1214))+1,2)),VALUE(LEFT(TRIM([1]RawShipmentData!B1214),FIND("/",TRIM([1]RawShipmentData!B1214))-1))),DATEVALUE(TRIM([1]RawShipmentData!B1214)))</f>
        <v>45396</v>
      </c>
      <c r="C1202" s="2" t="str">
        <f>PROPER(TRIM([1]RawShipmentData!C1214))</f>
        <v>Kolkata</v>
      </c>
      <c r="D1202" s="2" t="str">
        <f>IFERROR(INDEX([1]HubMaster!$B$2:$B$7,MATCH(C1202,[1]HubMaster!$A$2:$A$7,0)),"Unknown")</f>
        <v>East</v>
      </c>
      <c r="E1202" s="2" t="str">
        <f>PROPER(TRIM(SUBSTITUTE([1]RawShipmentData!D1214,"  "," ")))</f>
        <v>Ecom Express</v>
      </c>
      <c r="F1202" s="2" t="str">
        <f>PROPER(TRIM([1]RawShipmentData!E1214))</f>
        <v>Surface</v>
      </c>
      <c r="G1202" s="2" t="str">
        <f>PROPER(TRIM(SUBSTITUTE([1]RawShipmentData!F1214,"  "," ")))</f>
        <v>Apparel</v>
      </c>
      <c r="H1202" s="2" t="str">
        <f>PROPER(TRIM([1]RawShipmentData!G1214))</f>
        <v>North</v>
      </c>
      <c r="I1202" s="2" t="str">
        <f t="shared" si="90"/>
        <v>Yes</v>
      </c>
      <c r="J1202" s="2" t="str">
        <f>IFERROR(VALUE(TRIM(SUBSTITUTE(UPPER([1]RawShipmentData!I1202),"KG",""))),"")</f>
        <v/>
      </c>
      <c r="K1202" s="2">
        <f>VALUE(SUBSTITUTE(SUBSTITUTE(SUBSTITUTE(TRIM([1]RawShipmentData!J1214),"₹",""),"Rs",""),",",""))</f>
        <v>305</v>
      </c>
      <c r="L1202" s="2">
        <f>[1]RawShipmentData!K1214</f>
        <v>6</v>
      </c>
      <c r="M1202" s="3">
        <f>IF(TRIM([1]RawShipmentData!L1214)="","",IF(ISNUMBER(SEARCH("/",TRIM([1]RawShipmentData!L1214))),DATE(VALUE(RIGHT(TRIM([1]RawShipmentData!L1214),4)),VALUE(MID(TRIM([1]RawShipmentData!L1214),FIND("/",TRIM([1]RawShipmentData!L1214))+1,2)),VALUE(LEFT(TRIM([1]RawShipmentData!L1214),FIND("/",TRIM([1]RawShipmentData!L1214))-1))),DATEVALUE(TRIM([1]RawShipmentData!L1214))))</f>
        <v>45408</v>
      </c>
      <c r="N1202" s="2">
        <f t="shared" si="91"/>
        <v>12</v>
      </c>
      <c r="O1202" s="2">
        <f t="shared" si="92"/>
        <v>6</v>
      </c>
      <c r="P1202" s="2" t="str">
        <f t="shared" si="93"/>
        <v>Late</v>
      </c>
      <c r="Q1202" s="2" t="str">
        <f>PROPER(SUBSTITUTE(TRIM([1]RawShipmentData!M1214)," ","-"))</f>
        <v>Delayed</v>
      </c>
      <c r="R1202" s="4" t="str">
        <f t="shared" si="94"/>
        <v/>
      </c>
      <c r="S1202" s="2">
        <f>[1]RawShipmentData!N1214</f>
        <v>3</v>
      </c>
      <c r="T1202" s="2" t="str">
        <f>IF(OR(UPPER(TRIM([1]RawShipmentData!O1214))="YES",UPPER(TRIM([1]RawShipmentData!O1214))="Y"),"Yes","No")</f>
        <v>No</v>
      </c>
    </row>
    <row r="1203" spans="1:20" x14ac:dyDescent="0.25">
      <c r="A1203" s="2" t="str">
        <f>[1]RawShipmentData!A1215</f>
        <v>SHP-100702</v>
      </c>
      <c r="B1203" s="3">
        <f>IF(ISNUMBER(SEARCH("/",TRIM([1]RawShipmentData!B1215))),DATE(VALUE(RIGHT(TRIM([1]RawShipmentData!B1215),4)),VALUE(MID(TRIM([1]RawShipmentData!B1215),FIND("/",TRIM([1]RawShipmentData!B1215))+1,2)),VALUE(LEFT(TRIM([1]RawShipmentData!B1215),FIND("/",TRIM([1]RawShipmentData!B1215))-1))),DATEVALUE(TRIM([1]RawShipmentData!B1215)))</f>
        <v>45423</v>
      </c>
      <c r="C1203" s="2" t="str">
        <f>PROPER(TRIM([1]RawShipmentData!C1215))</f>
        <v>Mumbai</v>
      </c>
      <c r="D1203" s="2" t="str">
        <f>IFERROR(INDEX([1]HubMaster!$B$2:$B$7,MATCH(C1203,[1]HubMaster!$A$2:$A$7,0)),"Unknown")</f>
        <v>West</v>
      </c>
      <c r="E1203" s="2" t="str">
        <f>PROPER(TRIM(SUBSTITUTE([1]RawShipmentData!D1215,"  "," ")))</f>
        <v>Delhivery</v>
      </c>
      <c r="F1203" s="2" t="str">
        <f>PROPER(TRIM([1]RawShipmentData!E1215))</f>
        <v>Road</v>
      </c>
      <c r="G1203" s="2" t="str">
        <f>PROPER(TRIM(SUBSTITUTE([1]RawShipmentData!F1215,"  "," ")))</f>
        <v>Pharma</v>
      </c>
      <c r="H1203" s="2" t="str">
        <f>PROPER(TRIM([1]RawShipmentData!G1215))</f>
        <v>South</v>
      </c>
      <c r="I1203" s="2" t="str">
        <f t="shared" si="90"/>
        <v>Yes</v>
      </c>
      <c r="J1203" s="2">
        <f>IFERROR(VALUE(TRIM(SUBSTITUTE(UPPER([1]RawShipmentData!I1203),"KG",""))),"")</f>
        <v>4.2</v>
      </c>
      <c r="K1203" s="2">
        <f>VALUE(SUBSTITUTE(SUBSTITUTE(SUBSTITUTE(TRIM([1]RawShipmentData!J1215),"₹",""),"Rs",""),",",""))</f>
        <v>195</v>
      </c>
      <c r="L1203" s="2">
        <f>[1]RawShipmentData!K1215</f>
        <v>8</v>
      </c>
      <c r="M1203" s="3">
        <f>IF(TRIM([1]RawShipmentData!L1215)="","",IF(ISNUMBER(SEARCH("/",TRIM([1]RawShipmentData!L1215))),DATE(VALUE(RIGHT(TRIM([1]RawShipmentData!L1215),4)),VALUE(MID(TRIM([1]RawShipmentData!L1215),FIND("/",TRIM([1]RawShipmentData!L1215))+1,2)),VALUE(LEFT(TRIM([1]RawShipmentData!L1215),FIND("/",TRIM([1]RawShipmentData!L1215))-1))),DATEVALUE(TRIM([1]RawShipmentData!L1215))))</f>
        <v>45432</v>
      </c>
      <c r="N1203" s="2">
        <f t="shared" si="91"/>
        <v>9</v>
      </c>
      <c r="O1203" s="2">
        <f t="shared" si="92"/>
        <v>1</v>
      </c>
      <c r="P1203" s="2" t="str">
        <f t="shared" si="93"/>
        <v>Late</v>
      </c>
      <c r="Q1203" s="2" t="str">
        <f>PROPER(SUBSTITUTE(TRIM([1]RawShipmentData!M1215)," ","-"))</f>
        <v>Delayed</v>
      </c>
      <c r="R1203" s="4">
        <f t="shared" si="94"/>
        <v>46.428571428571423</v>
      </c>
      <c r="S1203" s="2">
        <f>[1]RawShipmentData!N1215</f>
        <v>1</v>
      </c>
      <c r="T1203" s="2" t="str">
        <f>IF(OR(UPPER(TRIM([1]RawShipmentData!O1215))="YES",UPPER(TRIM([1]RawShipmentData!O1215))="Y"),"Yes","No")</f>
        <v>No</v>
      </c>
    </row>
    <row r="1204" spans="1:20" x14ac:dyDescent="0.25">
      <c r="A1204" s="2" t="str">
        <f>[1]RawShipmentData!A1216</f>
        <v>SHP-100367</v>
      </c>
      <c r="B1204" s="3">
        <f>IF(ISNUMBER(SEARCH("/",TRIM([1]RawShipmentData!B1216))),DATE(VALUE(RIGHT(TRIM([1]RawShipmentData!B1216),4)),VALUE(MID(TRIM([1]RawShipmentData!B1216),FIND("/",TRIM([1]RawShipmentData!B1216))+1,2)),VALUE(LEFT(TRIM([1]RawShipmentData!B1216),FIND("/",TRIM([1]RawShipmentData!B1216))-1))),DATEVALUE(TRIM([1]RawShipmentData!B1216)))</f>
        <v>45305</v>
      </c>
      <c r="C1204" s="2" t="str">
        <f>PROPER(TRIM([1]RawShipmentData!C1216))</f>
        <v>Mumbai</v>
      </c>
      <c r="D1204" s="2" t="str">
        <f>IFERROR(INDEX([1]HubMaster!$B$2:$B$7,MATCH(C1204,[1]HubMaster!$A$2:$A$7,0)),"Unknown")</f>
        <v>West</v>
      </c>
      <c r="E1204" s="2" t="str">
        <f>PROPER(TRIM(SUBSTITUTE([1]RawShipmentData!D1216,"  "," ")))</f>
        <v>Ecom Express</v>
      </c>
      <c r="F1204" s="2" t="str">
        <f>PROPER(TRIM([1]RawShipmentData!E1216))</f>
        <v>Road</v>
      </c>
      <c r="G1204" s="2" t="str">
        <f>PROPER(TRIM(SUBSTITUTE([1]RawShipmentData!F1216,"  "," ")))</f>
        <v>Pharma</v>
      </c>
      <c r="H1204" s="2" t="str">
        <f>PROPER(TRIM([1]RawShipmentData!G1216))</f>
        <v>West</v>
      </c>
      <c r="I1204" s="2" t="str">
        <f t="shared" si="90"/>
        <v>No</v>
      </c>
      <c r="J1204" s="2">
        <f>IFERROR(VALUE(TRIM(SUBSTITUTE(UPPER([1]RawShipmentData!I1204),"KG",""))),"")</f>
        <v>13.9</v>
      </c>
      <c r="K1204" s="2">
        <f>VALUE(SUBSTITUTE(SUBSTITUTE(SUBSTITUTE(TRIM([1]RawShipmentData!J1216),"₹",""),"Rs",""),",",""))</f>
        <v>113</v>
      </c>
      <c r="L1204" s="2">
        <f>[1]RawShipmentData!K1216</f>
        <v>6</v>
      </c>
      <c r="M1204" s="3">
        <f>IF(TRIM([1]RawShipmentData!L1216)="","",IF(ISNUMBER(SEARCH("/",TRIM([1]RawShipmentData!L1216))),DATE(VALUE(RIGHT(TRIM([1]RawShipmentData!L1216),4)),VALUE(MID(TRIM([1]RawShipmentData!L1216),FIND("/",TRIM([1]RawShipmentData!L1216))+1,2)),VALUE(LEFT(TRIM([1]RawShipmentData!L1216),FIND("/",TRIM([1]RawShipmentData!L1216))-1))),DATEVALUE(TRIM([1]RawShipmentData!L1216))))</f>
        <v>45312</v>
      </c>
      <c r="N1204" s="2">
        <f t="shared" si="91"/>
        <v>7</v>
      </c>
      <c r="O1204" s="2">
        <f t="shared" si="92"/>
        <v>1</v>
      </c>
      <c r="P1204" s="2" t="str">
        <f t="shared" si="93"/>
        <v>Late</v>
      </c>
      <c r="Q1204" s="2" t="str">
        <f>PROPER(SUBSTITUTE(TRIM([1]RawShipmentData!M1216)," ","-"))</f>
        <v>Delayed</v>
      </c>
      <c r="R1204" s="4">
        <f t="shared" si="94"/>
        <v>8.129496402877697</v>
      </c>
      <c r="S1204" s="2">
        <f>[1]RawShipmentData!N1216</f>
        <v>1</v>
      </c>
      <c r="T1204" s="2" t="str">
        <f>IF(OR(UPPER(TRIM([1]RawShipmentData!O1216))="YES",UPPER(TRIM([1]RawShipmentData!O1216))="Y"),"Yes","No")</f>
        <v>No</v>
      </c>
    </row>
    <row r="1205" spans="1:20" x14ac:dyDescent="0.25">
      <c r="A1205" s="2" t="str">
        <f>[1]RawShipmentData!A1217</f>
        <v>SHP-101279</v>
      </c>
      <c r="B1205" s="3">
        <f>IF(ISNUMBER(SEARCH("/",TRIM([1]RawShipmentData!B1217))),DATE(VALUE(RIGHT(TRIM([1]RawShipmentData!B1217),4)),VALUE(MID(TRIM([1]RawShipmentData!B1217),FIND("/",TRIM([1]RawShipmentData!B1217))+1,2)),VALUE(LEFT(TRIM([1]RawShipmentData!B1217),FIND("/",TRIM([1]RawShipmentData!B1217))-1))),DATEVALUE(TRIM([1]RawShipmentData!B1217)))</f>
        <v>45445</v>
      </c>
      <c r="C1205" s="2" t="str">
        <f>PROPER(TRIM([1]RawShipmentData!C1217))</f>
        <v>Chennai</v>
      </c>
      <c r="D1205" s="2" t="str">
        <f>IFERROR(INDEX([1]HubMaster!$B$2:$B$7,MATCH(C1205,[1]HubMaster!$A$2:$A$7,0)),"Unknown")</f>
        <v>South</v>
      </c>
      <c r="E1205" s="2" t="str">
        <f>PROPER(TRIM(SUBSTITUTE([1]RawShipmentData!D1217,"  "," ")))</f>
        <v>Delhivery</v>
      </c>
      <c r="F1205" s="2" t="str">
        <f>PROPER(TRIM([1]RawShipmentData!E1217))</f>
        <v>Surface</v>
      </c>
      <c r="G1205" s="2" t="str">
        <f>PROPER(TRIM(SUBSTITUTE([1]RawShipmentData!F1217,"  "," ")))</f>
        <v>Automotive Parts</v>
      </c>
      <c r="H1205" s="2" t="str">
        <f>PROPER(TRIM([1]RawShipmentData!G1217))</f>
        <v>East</v>
      </c>
      <c r="I1205" s="2" t="str">
        <f t="shared" si="90"/>
        <v>Yes</v>
      </c>
      <c r="J1205" s="2">
        <f>IFERROR(VALUE(TRIM(SUBSTITUTE(UPPER([1]RawShipmentData!I1205),"KG",""))),"")</f>
        <v>14.1</v>
      </c>
      <c r="K1205" s="2">
        <f>VALUE(SUBSTITUTE(SUBSTITUTE(SUBSTITUTE(TRIM([1]RawShipmentData!J1217),"₹",""),"Rs",""),",",""))</f>
        <v>399</v>
      </c>
      <c r="L1205" s="2">
        <f>[1]RawShipmentData!K1217</f>
        <v>6</v>
      </c>
      <c r="M1205" s="3">
        <f>IF(TRIM([1]RawShipmentData!L1217)="","",IF(ISNUMBER(SEARCH("/",TRIM([1]RawShipmentData!L1217))),DATE(VALUE(RIGHT(TRIM([1]RawShipmentData!L1217),4)),VALUE(MID(TRIM([1]RawShipmentData!L1217),FIND("/",TRIM([1]RawShipmentData!L1217))+1,2)),VALUE(LEFT(TRIM([1]RawShipmentData!L1217),FIND("/",TRIM([1]RawShipmentData!L1217))-1))),DATEVALUE(TRIM([1]RawShipmentData!L1217))))</f>
        <v>45451</v>
      </c>
      <c r="N1205" s="2">
        <f t="shared" si="91"/>
        <v>6</v>
      </c>
      <c r="O1205" s="2">
        <f t="shared" si="92"/>
        <v>0</v>
      </c>
      <c r="P1205" s="2" t="str">
        <f t="shared" si="93"/>
        <v>On Time</v>
      </c>
      <c r="Q1205" s="2" t="str">
        <f>PROPER(SUBSTITUTE(TRIM([1]RawShipmentData!M1217)," ","-"))</f>
        <v>Delivered</v>
      </c>
      <c r="R1205" s="4">
        <f t="shared" si="94"/>
        <v>28.297872340425531</v>
      </c>
      <c r="S1205" s="2">
        <f>[1]RawShipmentData!N1217</f>
        <v>4</v>
      </c>
      <c r="T1205" s="2" t="str">
        <f>IF(OR(UPPER(TRIM([1]RawShipmentData!O1217))="YES",UPPER(TRIM([1]RawShipmentData!O1217))="Y"),"Yes","No")</f>
        <v>No</v>
      </c>
    </row>
    <row r="1206" spans="1:20" x14ac:dyDescent="0.25">
      <c r="A1206" s="2" t="str">
        <f>[1]RawShipmentData!A1218</f>
        <v>SHP-100995</v>
      </c>
      <c r="B1206" s="3">
        <f>IF(ISNUMBER(SEARCH("/",TRIM([1]RawShipmentData!B1218))),DATE(VALUE(RIGHT(TRIM([1]RawShipmentData!B1218),4)),VALUE(MID(TRIM([1]RawShipmentData!B1218),FIND("/",TRIM([1]RawShipmentData!B1218))+1,2)),VALUE(LEFT(TRIM([1]RawShipmentData!B1218),FIND("/",TRIM([1]RawShipmentData!B1218))-1))),DATEVALUE(TRIM([1]RawShipmentData!B1218)))</f>
        <v>45326</v>
      </c>
      <c r="C1206" s="2" t="str">
        <f>PROPER(TRIM([1]RawShipmentData!C1218))</f>
        <v>Bengaluru</v>
      </c>
      <c r="D1206" s="2" t="str">
        <f>IFERROR(INDEX([1]HubMaster!$B$2:$B$7,MATCH(C1206,[1]HubMaster!$A$2:$A$7,0)),"Unknown")</f>
        <v>South</v>
      </c>
      <c r="E1206" s="2" t="str">
        <f>PROPER(TRIM(SUBSTITUTE([1]RawShipmentData!D1218,"  "," ")))</f>
        <v>Dtdc</v>
      </c>
      <c r="F1206" s="2" t="str">
        <f>PROPER(TRIM([1]RawShipmentData!E1218))</f>
        <v>Road</v>
      </c>
      <c r="G1206" s="2" t="str">
        <f>PROPER(TRIM(SUBSTITUTE([1]RawShipmentData!F1218,"  "," ")))</f>
        <v>Electronics</v>
      </c>
      <c r="H1206" s="2" t="str">
        <f>PROPER(TRIM([1]RawShipmentData!G1218))</f>
        <v>West</v>
      </c>
      <c r="I1206" s="2" t="str">
        <f t="shared" si="90"/>
        <v>Yes</v>
      </c>
      <c r="J1206" s="2">
        <f>IFERROR(VALUE(TRIM(SUBSTITUTE(UPPER([1]RawShipmentData!I1206),"KG",""))),"")</f>
        <v>6.2</v>
      </c>
      <c r="K1206" s="2">
        <f>VALUE(SUBSTITUTE(SUBSTITUTE(SUBSTITUTE(TRIM([1]RawShipmentData!J1218),"₹",""),"Rs",""),",",""))</f>
        <v>276</v>
      </c>
      <c r="L1206" s="2">
        <f>[1]RawShipmentData!K1218</f>
        <v>8</v>
      </c>
      <c r="M1206" s="3">
        <f>IF(TRIM([1]RawShipmentData!L1218)="","",IF(ISNUMBER(SEARCH("/",TRIM([1]RawShipmentData!L1218))),DATE(VALUE(RIGHT(TRIM([1]RawShipmentData!L1218),4)),VALUE(MID(TRIM([1]RawShipmentData!L1218),FIND("/",TRIM([1]RawShipmentData!L1218))+1,2)),VALUE(LEFT(TRIM([1]RawShipmentData!L1218),FIND("/",TRIM([1]RawShipmentData!L1218))-1))),DATEVALUE(TRIM([1]RawShipmentData!L1218))))</f>
        <v>45339</v>
      </c>
      <c r="N1206" s="2">
        <f t="shared" si="91"/>
        <v>13</v>
      </c>
      <c r="O1206" s="2">
        <f t="shared" si="92"/>
        <v>5</v>
      </c>
      <c r="P1206" s="2" t="str">
        <f t="shared" si="93"/>
        <v>Late</v>
      </c>
      <c r="Q1206" s="2" t="str">
        <f>PROPER(SUBSTITUTE(TRIM([1]RawShipmentData!M1218)," ","-"))</f>
        <v>Returned</v>
      </c>
      <c r="R1206" s="4">
        <f t="shared" si="94"/>
        <v>44.516129032258064</v>
      </c>
      <c r="S1206" s="2">
        <f>[1]RawShipmentData!N1218</f>
        <v>0</v>
      </c>
      <c r="T1206" s="2" t="str">
        <f>IF(OR(UPPER(TRIM([1]RawShipmentData!O1218))="YES",UPPER(TRIM([1]RawShipmentData!O1218))="Y"),"Yes","No")</f>
        <v>No</v>
      </c>
    </row>
    <row r="1207" spans="1:20" x14ac:dyDescent="0.25">
      <c r="A1207" s="2" t="str">
        <f>[1]RawShipmentData!A1219</f>
        <v>SHP-100005</v>
      </c>
      <c r="B1207" s="3">
        <f>IF(ISNUMBER(SEARCH("/",TRIM([1]RawShipmentData!B1219))),DATE(VALUE(RIGHT(TRIM([1]RawShipmentData!B1219),4)),VALUE(MID(TRIM([1]RawShipmentData!B1219),FIND("/",TRIM([1]RawShipmentData!B1219))+1,2)),VALUE(LEFT(TRIM([1]RawShipmentData!B1219),FIND("/",TRIM([1]RawShipmentData!B1219))-1))),DATEVALUE(TRIM([1]RawShipmentData!B1219)))</f>
        <v>45453</v>
      </c>
      <c r="C1207" s="2" t="str">
        <f>PROPER(TRIM([1]RawShipmentData!C1219))</f>
        <v>Kolkata</v>
      </c>
      <c r="D1207" s="2" t="str">
        <f>IFERROR(INDEX([1]HubMaster!$B$2:$B$7,MATCH(C1207,[1]HubMaster!$A$2:$A$7,0)),"Unknown")</f>
        <v>East</v>
      </c>
      <c r="E1207" s="2" t="str">
        <f>PROPER(TRIM(SUBSTITUTE([1]RawShipmentData!D1219,"  "," ")))</f>
        <v>Dtdc</v>
      </c>
      <c r="F1207" s="2" t="str">
        <f>PROPER(TRIM([1]RawShipmentData!E1219))</f>
        <v>Surface</v>
      </c>
      <c r="G1207" s="2" t="str">
        <f>PROPER(TRIM(SUBSTITUTE([1]RawShipmentData!F1219,"  "," ")))</f>
        <v>Furniture</v>
      </c>
      <c r="H1207" s="2" t="str">
        <f>PROPER(TRIM([1]RawShipmentData!G1219))</f>
        <v>West</v>
      </c>
      <c r="I1207" s="2" t="str">
        <f t="shared" si="90"/>
        <v>Yes</v>
      </c>
      <c r="J1207" s="2">
        <f>IFERROR(VALUE(TRIM(SUBSTITUTE(UPPER([1]RawShipmentData!I1207),"KG",""))),"")</f>
        <v>1</v>
      </c>
      <c r="K1207" s="2">
        <f>VALUE(SUBSTITUTE(SUBSTITUTE(SUBSTITUTE(TRIM([1]RawShipmentData!J1219),"₹",""),"Rs",""),",",""))</f>
        <v>1895</v>
      </c>
      <c r="L1207" s="2">
        <f>[1]RawShipmentData!K1219</f>
        <v>6</v>
      </c>
      <c r="M1207" s="3">
        <f>IF(TRIM([1]RawShipmentData!L1219)="","",IF(ISNUMBER(SEARCH("/",TRIM([1]RawShipmentData!L1219))),DATE(VALUE(RIGHT(TRIM([1]RawShipmentData!L1219),4)),VALUE(MID(TRIM([1]RawShipmentData!L1219),FIND("/",TRIM([1]RawShipmentData!L1219))+1,2)),VALUE(LEFT(TRIM([1]RawShipmentData!L1219),FIND("/",TRIM([1]RawShipmentData!L1219))-1))),DATEVALUE(TRIM([1]RawShipmentData!L1219))))</f>
        <v>45458</v>
      </c>
      <c r="N1207" s="2">
        <f t="shared" si="91"/>
        <v>5</v>
      </c>
      <c r="O1207" s="2">
        <f t="shared" si="92"/>
        <v>-1</v>
      </c>
      <c r="P1207" s="2" t="str">
        <f t="shared" si="93"/>
        <v>On Time</v>
      </c>
      <c r="Q1207" s="2" t="str">
        <f>PROPER(SUBSTITUTE(TRIM([1]RawShipmentData!M1219)," ","-"))</f>
        <v>Damaged</v>
      </c>
      <c r="R1207" s="4">
        <f t="shared" si="94"/>
        <v>1895</v>
      </c>
      <c r="S1207" s="2">
        <f>[1]RawShipmentData!N1219</f>
        <v>0</v>
      </c>
      <c r="T1207" s="2" t="str">
        <f>IF(OR(UPPER(TRIM([1]RawShipmentData!O1219))="YES",UPPER(TRIM([1]RawShipmentData!O1219))="Y"),"Yes","No")</f>
        <v>No</v>
      </c>
    </row>
    <row r="1208" spans="1:20" x14ac:dyDescent="0.25">
      <c r="A1208" s="2" t="str">
        <f>[1]RawShipmentData!A1220</f>
        <v>SHP-100688</v>
      </c>
      <c r="B1208" s="3">
        <f>IF(ISNUMBER(SEARCH("/",TRIM([1]RawShipmentData!B1220))),DATE(VALUE(RIGHT(TRIM([1]RawShipmentData!B1220),4)),VALUE(MID(TRIM([1]RawShipmentData!B1220),FIND("/",TRIM([1]RawShipmentData!B1220))+1,2)),VALUE(LEFT(TRIM([1]RawShipmentData!B1220),FIND("/",TRIM([1]RawShipmentData!B1220))-1))),DATEVALUE(TRIM([1]RawShipmentData!B1220)))</f>
        <v>45299</v>
      </c>
      <c r="C1208" s="2" t="str">
        <f>PROPER(TRIM([1]RawShipmentData!C1220))</f>
        <v>Delhi</v>
      </c>
      <c r="D1208" s="2" t="str">
        <f>IFERROR(INDEX([1]HubMaster!$B$2:$B$7,MATCH(C1208,[1]HubMaster!$A$2:$A$7,0)),"Unknown")</f>
        <v>North</v>
      </c>
      <c r="E1208" s="2" t="str">
        <f>PROPER(TRIM(SUBSTITUTE([1]RawShipmentData!D1220,"  "," ")))</f>
        <v>Bluedart</v>
      </c>
      <c r="F1208" s="2" t="str">
        <f>PROPER(TRIM([1]RawShipmentData!E1220))</f>
        <v>Surface</v>
      </c>
      <c r="G1208" s="2" t="str">
        <f>PROPER(TRIM(SUBSTITUTE([1]RawShipmentData!F1220,"  "," ")))</f>
        <v>Apparel</v>
      </c>
      <c r="H1208" s="2" t="str">
        <f>PROPER(TRIM([1]RawShipmentData!G1220))</f>
        <v>East</v>
      </c>
      <c r="I1208" s="2" t="str">
        <f t="shared" si="90"/>
        <v>Yes</v>
      </c>
      <c r="J1208" s="2">
        <f>IFERROR(VALUE(TRIM(SUBSTITUTE(UPPER([1]RawShipmentData!I1208),"KG",""))),"")</f>
        <v>29.4</v>
      </c>
      <c r="K1208" s="2">
        <f>VALUE(SUBSTITUTE(SUBSTITUTE(SUBSTITUTE(TRIM([1]RawShipmentData!J1220),"₹",""),"Rs",""),",",""))</f>
        <v>293</v>
      </c>
      <c r="L1208" s="2">
        <f>[1]RawShipmentData!K1220</f>
        <v>6</v>
      </c>
      <c r="M1208" s="3">
        <f>IF(TRIM([1]RawShipmentData!L1220)="","",IF(ISNUMBER(SEARCH("/",TRIM([1]RawShipmentData!L1220))),DATE(VALUE(RIGHT(TRIM([1]RawShipmentData!L1220),4)),VALUE(MID(TRIM([1]RawShipmentData!L1220),FIND("/",TRIM([1]RawShipmentData!L1220))+1,2)),VALUE(LEFT(TRIM([1]RawShipmentData!L1220),FIND("/",TRIM([1]RawShipmentData!L1220))-1))),DATEVALUE(TRIM([1]RawShipmentData!L1220))))</f>
        <v>45304</v>
      </c>
      <c r="N1208" s="2">
        <f t="shared" si="91"/>
        <v>5</v>
      </c>
      <c r="O1208" s="2">
        <f t="shared" si="92"/>
        <v>-1</v>
      </c>
      <c r="P1208" s="2" t="str">
        <f t="shared" si="93"/>
        <v>On Time</v>
      </c>
      <c r="Q1208" s="2" t="str">
        <f>PROPER(SUBSTITUTE(TRIM([1]RawShipmentData!M1220)," ","-"))</f>
        <v>Delivered</v>
      </c>
      <c r="R1208" s="4">
        <f t="shared" si="94"/>
        <v>9.9659863945578238</v>
      </c>
      <c r="S1208" s="2">
        <f>[1]RawShipmentData!N1220</f>
        <v>4</v>
      </c>
      <c r="T1208" s="2" t="str">
        <f>IF(OR(UPPER(TRIM([1]RawShipmentData!O1220))="YES",UPPER(TRIM([1]RawShipmentData!O1220))="Y"),"Yes","No")</f>
        <v>No</v>
      </c>
    </row>
    <row r="1209" spans="1:20" x14ac:dyDescent="0.25">
      <c r="A1209" s="2" t="str">
        <f>[1]RawShipmentData!A1221</f>
        <v>SHP-100545</v>
      </c>
      <c r="B1209" s="3">
        <f>IF(ISNUMBER(SEARCH("/",TRIM([1]RawShipmentData!B1221))),DATE(VALUE(RIGHT(TRIM([1]RawShipmentData!B1221),4)),VALUE(MID(TRIM([1]RawShipmentData!B1221),FIND("/",TRIM([1]RawShipmentData!B1221))+1,2)),VALUE(LEFT(TRIM([1]RawShipmentData!B1221),FIND("/",TRIM([1]RawShipmentData!B1221))-1))),DATEVALUE(TRIM([1]RawShipmentData!B1221)))</f>
        <v>45397</v>
      </c>
      <c r="C1209" s="2" t="str">
        <f>PROPER(TRIM([1]RawShipmentData!C1221))</f>
        <v>Delhi</v>
      </c>
      <c r="D1209" s="2" t="str">
        <f>IFERROR(INDEX([1]HubMaster!$B$2:$B$7,MATCH(C1209,[1]HubMaster!$A$2:$A$7,0)),"Unknown")</f>
        <v>North</v>
      </c>
      <c r="E1209" s="2" t="str">
        <f>PROPER(TRIM(SUBSTITUTE([1]RawShipmentData!D1221,"  "," ")))</f>
        <v>Xpressbees</v>
      </c>
      <c r="F1209" s="2" t="str">
        <f>PROPER(TRIM([1]RawShipmentData!E1221))</f>
        <v>Surface</v>
      </c>
      <c r="G1209" s="2" t="str">
        <f>PROPER(TRIM(SUBSTITUTE([1]RawShipmentData!F1221,"  "," ")))</f>
        <v>Apparel</v>
      </c>
      <c r="H1209" s="2" t="str">
        <f>PROPER(TRIM([1]RawShipmentData!G1221))</f>
        <v>East</v>
      </c>
      <c r="I1209" s="2" t="str">
        <f t="shared" si="90"/>
        <v>Yes</v>
      </c>
      <c r="J1209" s="2">
        <f>IFERROR(VALUE(TRIM(SUBSTITUTE(UPPER([1]RawShipmentData!I1209),"KG",""))),"")</f>
        <v>22.8</v>
      </c>
      <c r="K1209" s="2">
        <f>VALUE(SUBSTITUTE(SUBSTITUTE(SUBSTITUTE(TRIM([1]RawShipmentData!J1221),"₹",""),"Rs",""),",",""))</f>
        <v>276</v>
      </c>
      <c r="L1209" s="2">
        <f>[1]RawShipmentData!K1221</f>
        <v>6</v>
      </c>
      <c r="M1209" s="3">
        <f>IF(TRIM([1]RawShipmentData!L1221)="","",IF(ISNUMBER(SEARCH("/",TRIM([1]RawShipmentData!L1221))),DATE(VALUE(RIGHT(TRIM([1]RawShipmentData!L1221),4)),VALUE(MID(TRIM([1]RawShipmentData!L1221),FIND("/",TRIM([1]RawShipmentData!L1221))+1,2)),VALUE(LEFT(TRIM([1]RawShipmentData!L1221),FIND("/",TRIM([1]RawShipmentData!L1221))-1))),DATEVALUE(TRIM([1]RawShipmentData!L1221))))</f>
        <v>45404</v>
      </c>
      <c r="N1209" s="2">
        <f t="shared" si="91"/>
        <v>7</v>
      </c>
      <c r="O1209" s="2">
        <f t="shared" si="92"/>
        <v>1</v>
      </c>
      <c r="P1209" s="2" t="str">
        <f t="shared" si="93"/>
        <v>Late</v>
      </c>
      <c r="Q1209" s="2" t="str">
        <f>PROPER(SUBSTITUTE(TRIM([1]RawShipmentData!M1221)," ","-"))</f>
        <v>Delayed</v>
      </c>
      <c r="R1209" s="4">
        <f t="shared" si="94"/>
        <v>12.105263157894736</v>
      </c>
      <c r="S1209" s="2">
        <f>[1]RawShipmentData!N1221</f>
        <v>3</v>
      </c>
      <c r="T1209" s="2" t="str">
        <f>IF(OR(UPPER(TRIM([1]RawShipmentData!O1221))="YES",UPPER(TRIM([1]RawShipmentData!O1221))="Y"),"Yes","No")</f>
        <v>No</v>
      </c>
    </row>
    <row r="1210" spans="1:20" x14ac:dyDescent="0.25">
      <c r="A1210" s="2" t="str">
        <f>[1]RawShipmentData!A1222</f>
        <v>SHP-101354</v>
      </c>
      <c r="B1210" s="3">
        <f>IF(ISNUMBER(SEARCH("/",TRIM([1]RawShipmentData!B1222))),DATE(VALUE(RIGHT(TRIM([1]RawShipmentData!B1222),4)),VALUE(MID(TRIM([1]RawShipmentData!B1222),FIND("/",TRIM([1]RawShipmentData!B1222))+1,2)),VALUE(LEFT(TRIM([1]RawShipmentData!B1222),FIND("/",TRIM([1]RawShipmentData!B1222))-1))),DATEVALUE(TRIM([1]RawShipmentData!B1222)))</f>
        <v>45364</v>
      </c>
      <c r="C1210" s="2" t="str">
        <f>PROPER(TRIM([1]RawShipmentData!C1222))</f>
        <v>Mumbai</v>
      </c>
      <c r="D1210" s="2" t="str">
        <f>IFERROR(INDEX([1]HubMaster!$B$2:$B$7,MATCH(C1210,[1]HubMaster!$A$2:$A$7,0)),"Unknown")</f>
        <v>West</v>
      </c>
      <c r="E1210" s="2" t="str">
        <f>PROPER(TRIM(SUBSTITUTE([1]RawShipmentData!D1222,"  "," ")))</f>
        <v>Xpress Bees</v>
      </c>
      <c r="F1210" s="2" t="str">
        <f>PROPER(TRIM([1]RawShipmentData!E1222))</f>
        <v>Air</v>
      </c>
      <c r="G1210" s="2" t="str">
        <f>PROPER(TRIM(SUBSTITUTE([1]RawShipmentData!F1222,"  "," ")))</f>
        <v>Automotive Parts</v>
      </c>
      <c r="H1210" s="2" t="str">
        <f>PROPER(TRIM([1]RawShipmentData!G1222))</f>
        <v>North</v>
      </c>
      <c r="I1210" s="2" t="str">
        <f t="shared" si="90"/>
        <v>Yes</v>
      </c>
      <c r="J1210" s="2">
        <f>IFERROR(VALUE(TRIM(SUBSTITUTE(UPPER([1]RawShipmentData!I1210),"KG",""))),"")</f>
        <v>14.1</v>
      </c>
      <c r="K1210" s="2">
        <f>VALUE(SUBSTITUTE(SUBSTITUTE(SUBSTITUTE(TRIM([1]RawShipmentData!J1222),"₹",""),"Rs",""),",",""))</f>
        <v>969</v>
      </c>
      <c r="L1210" s="2">
        <f>[1]RawShipmentData!K1222</f>
        <v>4</v>
      </c>
      <c r="M1210" s="3">
        <f>IF(TRIM([1]RawShipmentData!L1222)="","",IF(ISNUMBER(SEARCH("/",TRIM([1]RawShipmentData!L1222))),DATE(VALUE(RIGHT(TRIM([1]RawShipmentData!L1222),4)),VALUE(MID(TRIM([1]RawShipmentData!L1222),FIND("/",TRIM([1]RawShipmentData!L1222))+1,2)),VALUE(LEFT(TRIM([1]RawShipmentData!L1222),FIND("/",TRIM([1]RawShipmentData!L1222))-1))),DATEVALUE(TRIM([1]RawShipmentData!L1222))))</f>
        <v>45371</v>
      </c>
      <c r="N1210" s="2">
        <f t="shared" si="91"/>
        <v>7</v>
      </c>
      <c r="O1210" s="2">
        <f t="shared" si="92"/>
        <v>3</v>
      </c>
      <c r="P1210" s="2" t="str">
        <f t="shared" si="93"/>
        <v>Late</v>
      </c>
      <c r="Q1210" s="2" t="str">
        <f>PROPER(SUBSTITUTE(TRIM([1]RawShipmentData!M1222)," ","-"))</f>
        <v>Delayed</v>
      </c>
      <c r="R1210" s="4">
        <f t="shared" si="94"/>
        <v>68.723404255319153</v>
      </c>
      <c r="S1210" s="2">
        <f>[1]RawShipmentData!N1222</f>
        <v>2</v>
      </c>
      <c r="T1210" s="2" t="str">
        <f>IF(OR(UPPER(TRIM([1]RawShipmentData!O1222))="YES",UPPER(TRIM([1]RawShipmentData!O1222))="Y"),"Yes","No")</f>
        <v>No</v>
      </c>
    </row>
    <row r="1211" spans="1:20" x14ac:dyDescent="0.25">
      <c r="A1211" s="2" t="str">
        <f>[1]RawShipmentData!A1223</f>
        <v>SHP-100500</v>
      </c>
      <c r="B1211" s="3">
        <f>IF(ISNUMBER(SEARCH("/",TRIM([1]RawShipmentData!B1223))),DATE(VALUE(RIGHT(TRIM([1]RawShipmentData!B1223),4)),VALUE(MID(TRIM([1]RawShipmentData!B1223),FIND("/",TRIM([1]RawShipmentData!B1223))+1,2)),VALUE(LEFT(TRIM([1]RawShipmentData!B1223),FIND("/",TRIM([1]RawShipmentData!B1223))-1))),DATEVALUE(TRIM([1]RawShipmentData!B1223)))</f>
        <v>45329</v>
      </c>
      <c r="C1211" s="2" t="str">
        <f>PROPER(TRIM([1]RawShipmentData!C1223))</f>
        <v>Bengaluru</v>
      </c>
      <c r="D1211" s="2" t="str">
        <f>IFERROR(INDEX([1]HubMaster!$B$2:$B$7,MATCH(C1211,[1]HubMaster!$A$2:$A$7,0)),"Unknown")</f>
        <v>South</v>
      </c>
      <c r="E1211" s="2" t="str">
        <f>PROPER(TRIM(SUBSTITUTE([1]RawShipmentData!D1223,"  "," ")))</f>
        <v>Xpress Bees</v>
      </c>
      <c r="F1211" s="2" t="str">
        <f>PROPER(TRIM([1]RawShipmentData!E1223))</f>
        <v>Road</v>
      </c>
      <c r="G1211" s="2" t="str">
        <f>PROPER(TRIM(SUBSTITUTE([1]RawShipmentData!F1223,"  "," ")))</f>
        <v>Automotive Parts</v>
      </c>
      <c r="H1211" s="2" t="str">
        <f>PROPER(TRIM([1]RawShipmentData!G1223))</f>
        <v>West</v>
      </c>
      <c r="I1211" s="2" t="str">
        <f t="shared" si="90"/>
        <v>Yes</v>
      </c>
      <c r="J1211" s="2">
        <f>IFERROR(VALUE(TRIM(SUBSTITUTE(UPPER([1]RawShipmentData!I1211),"KG",""))),"")</f>
        <v>1.9</v>
      </c>
      <c r="K1211" s="2">
        <f>VALUE(SUBSTITUTE(SUBSTITUTE(SUBSTITUTE(TRIM([1]RawShipmentData!J1223),"₹",""),"Rs",""),",",""))</f>
        <v>638</v>
      </c>
      <c r="L1211" s="2">
        <f>[1]RawShipmentData!K1223</f>
        <v>8</v>
      </c>
      <c r="M1211" s="3">
        <f>IF(TRIM([1]RawShipmentData!L1223)="","",IF(ISNUMBER(SEARCH("/",TRIM([1]RawShipmentData!L1223))),DATE(VALUE(RIGHT(TRIM([1]RawShipmentData!L1223),4)),VALUE(MID(TRIM([1]RawShipmentData!L1223),FIND("/",TRIM([1]RawShipmentData!L1223))+1,2)),VALUE(LEFT(TRIM([1]RawShipmentData!L1223),FIND("/",TRIM([1]RawShipmentData!L1223))-1))),DATEVALUE(TRIM([1]RawShipmentData!L1223))))</f>
        <v>45337</v>
      </c>
      <c r="N1211" s="2">
        <f t="shared" si="91"/>
        <v>8</v>
      </c>
      <c r="O1211" s="2">
        <f t="shared" si="92"/>
        <v>0</v>
      </c>
      <c r="P1211" s="2" t="str">
        <f t="shared" si="93"/>
        <v>On Time</v>
      </c>
      <c r="Q1211" s="2" t="str">
        <f>PROPER(SUBSTITUTE(TRIM([1]RawShipmentData!M1223)," ","-"))</f>
        <v>Delivered</v>
      </c>
      <c r="R1211" s="4">
        <f t="shared" si="94"/>
        <v>335.78947368421052</v>
      </c>
      <c r="S1211" s="2">
        <f>[1]RawShipmentData!N1223</f>
        <v>5</v>
      </c>
      <c r="T1211" s="2" t="str">
        <f>IF(OR(UPPER(TRIM([1]RawShipmentData!O1223))="YES",UPPER(TRIM([1]RawShipmentData!O1223))="Y"),"Yes","No")</f>
        <v>No</v>
      </c>
    </row>
    <row r="1212" spans="1:20" x14ac:dyDescent="0.25">
      <c r="A1212" s="2" t="str">
        <f>[1]RawShipmentData!A1224</f>
        <v>SHP-101305</v>
      </c>
      <c r="B1212" s="3">
        <f>IF(ISNUMBER(SEARCH("/",TRIM([1]RawShipmentData!B1224))),DATE(VALUE(RIGHT(TRIM([1]RawShipmentData!B1224),4)),VALUE(MID(TRIM([1]RawShipmentData!B1224),FIND("/",TRIM([1]RawShipmentData!B1224))+1,2)),VALUE(LEFT(TRIM([1]RawShipmentData!B1224),FIND("/",TRIM([1]RawShipmentData!B1224))-1))),DATEVALUE(TRIM([1]RawShipmentData!B1224)))</f>
        <v>45445</v>
      </c>
      <c r="C1212" s="2" t="str">
        <f>PROPER(TRIM([1]RawShipmentData!C1224))</f>
        <v>Mumbai</v>
      </c>
      <c r="D1212" s="2" t="str">
        <f>IFERROR(INDEX([1]HubMaster!$B$2:$B$7,MATCH(C1212,[1]HubMaster!$A$2:$A$7,0)),"Unknown")</f>
        <v>West</v>
      </c>
      <c r="E1212" s="2" t="str">
        <f>PROPER(TRIM(SUBSTITUTE([1]RawShipmentData!D1224,"  "," ")))</f>
        <v>Xpressbees</v>
      </c>
      <c r="F1212" s="2" t="str">
        <f>PROPER(TRIM([1]RawShipmentData!E1224))</f>
        <v>Road</v>
      </c>
      <c r="G1212" s="2" t="str">
        <f>PROPER(TRIM(SUBSTITUTE([1]RawShipmentData!F1224,"  "," ")))</f>
        <v>Furniture</v>
      </c>
      <c r="H1212" s="2" t="str">
        <f>PROPER(TRIM([1]RawShipmentData!G1224))</f>
        <v>North</v>
      </c>
      <c r="I1212" s="2" t="str">
        <f t="shared" si="90"/>
        <v>Yes</v>
      </c>
      <c r="J1212" s="2">
        <f>IFERROR(VALUE(TRIM(SUBSTITUTE(UPPER([1]RawShipmentData!I1212),"KG",""))),"")</f>
        <v>16.899999999999999</v>
      </c>
      <c r="K1212" s="2">
        <f>VALUE(SUBSTITUTE(SUBSTITUTE(SUBSTITUTE(TRIM([1]RawShipmentData!J1224),"₹",""),"Rs",""),",",""))</f>
        <v>616</v>
      </c>
      <c r="L1212" s="2">
        <f>[1]RawShipmentData!K1224</f>
        <v>8</v>
      </c>
      <c r="M1212" s="3">
        <f>IF(TRIM([1]RawShipmentData!L1224)="","",IF(ISNUMBER(SEARCH("/",TRIM([1]RawShipmentData!L1224))),DATE(VALUE(RIGHT(TRIM([1]RawShipmentData!L1224),4)),VALUE(MID(TRIM([1]RawShipmentData!L1224),FIND("/",TRIM([1]RawShipmentData!L1224))+1,2)),VALUE(LEFT(TRIM([1]RawShipmentData!L1224),FIND("/",TRIM([1]RawShipmentData!L1224))-1))),DATEVALUE(TRIM([1]RawShipmentData!L1224))))</f>
        <v>45453</v>
      </c>
      <c r="N1212" s="2">
        <f t="shared" si="91"/>
        <v>8</v>
      </c>
      <c r="O1212" s="2">
        <f t="shared" si="92"/>
        <v>0</v>
      </c>
      <c r="P1212" s="2" t="str">
        <f t="shared" si="93"/>
        <v>On Time</v>
      </c>
      <c r="Q1212" s="2" t="str">
        <f>PROPER(SUBSTITUTE(TRIM([1]RawShipmentData!M1224)," ","-"))</f>
        <v>Delivered</v>
      </c>
      <c r="R1212" s="4">
        <f t="shared" si="94"/>
        <v>36.449704142011839</v>
      </c>
      <c r="S1212" s="2">
        <f>[1]RawShipmentData!N1224</f>
        <v>5</v>
      </c>
      <c r="T1212" s="2" t="str">
        <f>IF(OR(UPPER(TRIM([1]RawShipmentData!O1224))="YES",UPPER(TRIM([1]RawShipmentData!O1224))="Y"),"Yes","No")</f>
        <v>Yes</v>
      </c>
    </row>
    <row r="1213" spans="1:20" x14ac:dyDescent="0.25">
      <c r="A1213" s="2" t="str">
        <f>[1]RawShipmentData!A1225</f>
        <v>SHP-100648</v>
      </c>
      <c r="B1213" s="3">
        <f>IF(ISNUMBER(SEARCH("/",TRIM([1]RawShipmentData!B1225))),DATE(VALUE(RIGHT(TRIM([1]RawShipmentData!B1225),4)),VALUE(MID(TRIM([1]RawShipmentData!B1225),FIND("/",TRIM([1]RawShipmentData!B1225))+1,2)),VALUE(LEFT(TRIM([1]RawShipmentData!B1225),FIND("/",TRIM([1]RawShipmentData!B1225))-1))),DATEVALUE(TRIM([1]RawShipmentData!B1225)))</f>
        <v>45299</v>
      </c>
      <c r="C1213" s="2" t="str">
        <f>PROPER(TRIM([1]RawShipmentData!C1225))</f>
        <v>Mumbai</v>
      </c>
      <c r="D1213" s="2" t="str">
        <f>IFERROR(INDEX([1]HubMaster!$B$2:$B$7,MATCH(C1213,[1]HubMaster!$A$2:$A$7,0)),"Unknown")</f>
        <v>West</v>
      </c>
      <c r="E1213" s="2" t="str">
        <f>PROPER(TRIM(SUBSTITUTE([1]RawShipmentData!D1225,"  "," ")))</f>
        <v>Ecom Express</v>
      </c>
      <c r="F1213" s="2" t="str">
        <f>PROPER(TRIM([1]RawShipmentData!E1225))</f>
        <v>Air</v>
      </c>
      <c r="G1213" s="2" t="str">
        <f>PROPER(TRIM(SUBSTITUTE([1]RawShipmentData!F1225,"  "," ")))</f>
        <v>Electronics</v>
      </c>
      <c r="H1213" s="2" t="str">
        <f>PROPER(TRIM([1]RawShipmentData!G1225))</f>
        <v>North</v>
      </c>
      <c r="I1213" s="2" t="str">
        <f t="shared" si="90"/>
        <v>Yes</v>
      </c>
      <c r="J1213" s="2">
        <f>IFERROR(VALUE(TRIM(SUBSTITUTE(UPPER([1]RawShipmentData!I1213),"KG",""))),"")</f>
        <v>13.1</v>
      </c>
      <c r="K1213" s="2">
        <f>VALUE(SUBSTITUTE(SUBSTITUTE(SUBSTITUTE(TRIM([1]RawShipmentData!J1225),"₹",""),"Rs",""),",",""))</f>
        <v>305</v>
      </c>
      <c r="L1213" s="2">
        <f>[1]RawShipmentData!K1225</f>
        <v>4</v>
      </c>
      <c r="M1213" s="3">
        <f>IF(TRIM([1]RawShipmentData!L1225)="","",IF(ISNUMBER(SEARCH("/",TRIM([1]RawShipmentData!L1225))),DATE(VALUE(RIGHT(TRIM([1]RawShipmentData!L1225),4)),VALUE(MID(TRIM([1]RawShipmentData!L1225),FIND("/",TRIM([1]RawShipmentData!L1225))+1,2)),VALUE(LEFT(TRIM([1]RawShipmentData!L1225),FIND("/",TRIM([1]RawShipmentData!L1225))-1))),DATEVALUE(TRIM([1]RawShipmentData!L1225))))</f>
        <v>45302</v>
      </c>
      <c r="N1213" s="2">
        <f t="shared" si="91"/>
        <v>3</v>
      </c>
      <c r="O1213" s="2">
        <f t="shared" si="92"/>
        <v>-1</v>
      </c>
      <c r="P1213" s="2" t="str">
        <f t="shared" si="93"/>
        <v>On Time</v>
      </c>
      <c r="Q1213" s="2" t="str">
        <f>PROPER(SUBSTITUTE(TRIM([1]RawShipmentData!M1225)," ","-"))</f>
        <v>Delivered</v>
      </c>
      <c r="R1213" s="4">
        <f t="shared" si="94"/>
        <v>23.282442748091604</v>
      </c>
      <c r="S1213" s="2">
        <f>[1]RawShipmentData!N1225</f>
        <v>5</v>
      </c>
      <c r="T1213" s="2" t="str">
        <f>IF(OR(UPPER(TRIM([1]RawShipmentData!O1225))="YES",UPPER(TRIM([1]RawShipmentData!O1225))="Y"),"Yes","No")</f>
        <v>No</v>
      </c>
    </row>
    <row r="1214" spans="1:20" x14ac:dyDescent="0.25">
      <c r="A1214" s="2" t="str">
        <f>[1]RawShipmentData!A1226</f>
        <v>SHP-100861</v>
      </c>
      <c r="B1214" s="3">
        <f>IF(ISNUMBER(SEARCH("/",TRIM([1]RawShipmentData!B1226))),DATE(VALUE(RIGHT(TRIM([1]RawShipmentData!B1226),4)),VALUE(MID(TRIM([1]RawShipmentData!B1226),FIND("/",TRIM([1]RawShipmentData!B1226))+1,2)),VALUE(LEFT(TRIM([1]RawShipmentData!B1226),FIND("/",TRIM([1]RawShipmentData!B1226))-1))),DATEVALUE(TRIM([1]RawShipmentData!B1226)))</f>
        <v>45361</v>
      </c>
      <c r="C1214" s="2" t="str">
        <f>PROPER(TRIM([1]RawShipmentData!C1226))</f>
        <v>Hyderabad</v>
      </c>
      <c r="D1214" s="2" t="str">
        <f>IFERROR(INDEX([1]HubMaster!$B$2:$B$7,MATCH(C1214,[1]HubMaster!$A$2:$A$7,0)),"Unknown")</f>
        <v>West</v>
      </c>
      <c r="E1214" s="2" t="str">
        <f>PROPER(TRIM(SUBSTITUTE([1]RawShipmentData!D1226,"  "," ")))</f>
        <v>Xpressbees</v>
      </c>
      <c r="F1214" s="2" t="str">
        <f>PROPER(TRIM([1]RawShipmentData!E1226))</f>
        <v>Air</v>
      </c>
      <c r="G1214" s="2" t="str">
        <f>PROPER(TRIM(SUBSTITUTE([1]RawShipmentData!F1226,"  "," ")))</f>
        <v>Electronics</v>
      </c>
      <c r="H1214" s="2" t="str">
        <f>PROPER(TRIM([1]RawShipmentData!G1226))</f>
        <v>South</v>
      </c>
      <c r="I1214" s="2" t="str">
        <f t="shared" si="90"/>
        <v>Yes</v>
      </c>
      <c r="J1214" s="2">
        <f>IFERROR(VALUE(TRIM(SUBSTITUTE(UPPER([1]RawShipmentData!I1214),"KG",""))),"")</f>
        <v>6.8</v>
      </c>
      <c r="K1214" s="2">
        <f>VALUE(SUBSTITUTE(SUBSTITUTE(SUBSTITUTE(TRIM([1]RawShipmentData!J1226),"₹",""),"Rs",""),",",""))</f>
        <v>842</v>
      </c>
      <c r="L1214" s="2">
        <f>[1]RawShipmentData!K1226</f>
        <v>4</v>
      </c>
      <c r="M1214" s="3">
        <f>IF(TRIM([1]RawShipmentData!L1226)="","",IF(ISNUMBER(SEARCH("/",TRIM([1]RawShipmentData!L1226))),DATE(VALUE(RIGHT(TRIM([1]RawShipmentData!L1226),4)),VALUE(MID(TRIM([1]RawShipmentData!L1226),FIND("/",TRIM([1]RawShipmentData!L1226))+1,2)),VALUE(LEFT(TRIM([1]RawShipmentData!L1226),FIND("/",TRIM([1]RawShipmentData!L1226))-1))),DATEVALUE(TRIM([1]RawShipmentData!L1226))))</f>
        <v>45372</v>
      </c>
      <c r="N1214" s="2">
        <f t="shared" si="91"/>
        <v>11</v>
      </c>
      <c r="O1214" s="2">
        <f t="shared" si="92"/>
        <v>7</v>
      </c>
      <c r="P1214" s="2" t="str">
        <f t="shared" si="93"/>
        <v>Late</v>
      </c>
      <c r="Q1214" s="2" t="str">
        <f>PROPER(SUBSTITUTE(TRIM([1]RawShipmentData!M1226)," ","-"))</f>
        <v>Delayed</v>
      </c>
      <c r="R1214" s="4">
        <f t="shared" si="94"/>
        <v>123.82352941176471</v>
      </c>
      <c r="S1214" s="2">
        <f>[1]RawShipmentData!N1226</f>
        <v>3</v>
      </c>
      <c r="T1214" s="2" t="str">
        <f>IF(OR(UPPER(TRIM([1]RawShipmentData!O1226))="YES",UPPER(TRIM([1]RawShipmentData!O1226))="Y"),"Yes","No")</f>
        <v>No</v>
      </c>
    </row>
    <row r="1215" spans="1:20" x14ac:dyDescent="0.25">
      <c r="A1215" s="2" t="str">
        <f>[1]RawShipmentData!A1227</f>
        <v>SHP-100353</v>
      </c>
      <c r="B1215" s="3">
        <f>IF(ISNUMBER(SEARCH("/",TRIM([1]RawShipmentData!B1227))),DATE(VALUE(RIGHT(TRIM([1]RawShipmentData!B1227),4)),VALUE(MID(TRIM([1]RawShipmentData!B1227),FIND("/",TRIM([1]RawShipmentData!B1227))+1,2)),VALUE(LEFT(TRIM([1]RawShipmentData!B1227),FIND("/",TRIM([1]RawShipmentData!B1227))-1))),DATEVALUE(TRIM([1]RawShipmentData!B1227)))</f>
        <v>45325</v>
      </c>
      <c r="C1215" s="2" t="str">
        <f>PROPER(TRIM([1]RawShipmentData!C1227))</f>
        <v>Bengaluru</v>
      </c>
      <c r="D1215" s="2" t="str">
        <f>IFERROR(INDEX([1]HubMaster!$B$2:$B$7,MATCH(C1215,[1]HubMaster!$A$2:$A$7,0)),"Unknown")</f>
        <v>South</v>
      </c>
      <c r="E1215" s="2" t="str">
        <f>PROPER(TRIM(SUBSTITUTE([1]RawShipmentData!D1227,"  "," ")))</f>
        <v>Xpressbees</v>
      </c>
      <c r="F1215" s="2" t="str">
        <f>PROPER(TRIM([1]RawShipmentData!E1227))</f>
        <v>Surface</v>
      </c>
      <c r="G1215" s="2" t="str">
        <f>PROPER(TRIM(SUBSTITUTE([1]RawShipmentData!F1227,"  "," ")))</f>
        <v>Grocery &amp; Fmcg</v>
      </c>
      <c r="H1215" s="2" t="str">
        <f>PROPER(TRIM([1]RawShipmentData!G1227))</f>
        <v>West</v>
      </c>
      <c r="I1215" s="2" t="str">
        <f t="shared" si="90"/>
        <v>Yes</v>
      </c>
      <c r="J1215" s="2">
        <f>IFERROR(VALUE(TRIM(SUBSTITUTE(UPPER([1]RawShipmentData!I1215),"KG",""))),"")</f>
        <v>4.0999999999999996</v>
      </c>
      <c r="K1215" s="2">
        <f>VALUE(SUBSTITUTE(SUBSTITUTE(SUBSTITUTE(TRIM([1]RawShipmentData!J1227),"₹",""),"Rs",""),",",""))</f>
        <v>564</v>
      </c>
      <c r="L1215" s="2">
        <f>[1]RawShipmentData!K1227</f>
        <v>6</v>
      </c>
      <c r="M1215" s="3">
        <f>IF(TRIM([1]RawShipmentData!L1227)="","",IF(ISNUMBER(SEARCH("/",TRIM([1]RawShipmentData!L1227))),DATE(VALUE(RIGHT(TRIM([1]RawShipmentData!L1227),4)),VALUE(MID(TRIM([1]RawShipmentData!L1227),FIND("/",TRIM([1]RawShipmentData!L1227))+1,2)),VALUE(LEFT(TRIM([1]RawShipmentData!L1227),FIND("/",TRIM([1]RawShipmentData!L1227))-1))),DATEVALUE(TRIM([1]RawShipmentData!L1227))))</f>
        <v>45330</v>
      </c>
      <c r="N1215" s="2">
        <f t="shared" si="91"/>
        <v>5</v>
      </c>
      <c r="O1215" s="2">
        <f t="shared" si="92"/>
        <v>-1</v>
      </c>
      <c r="P1215" s="2" t="str">
        <f t="shared" si="93"/>
        <v>On Time</v>
      </c>
      <c r="Q1215" s="2" t="str">
        <f>PROPER(SUBSTITUTE(TRIM([1]RawShipmentData!M1227)," ","-"))</f>
        <v>Delivered</v>
      </c>
      <c r="R1215" s="4">
        <f t="shared" si="94"/>
        <v>137.5609756097561</v>
      </c>
      <c r="S1215" s="2">
        <f>[1]RawShipmentData!N1227</f>
        <v>4</v>
      </c>
      <c r="T1215" s="2" t="str">
        <f>IF(OR(UPPER(TRIM([1]RawShipmentData!O1227))="YES",UPPER(TRIM([1]RawShipmentData!O1227))="Y"),"Yes","No")</f>
        <v>No</v>
      </c>
    </row>
    <row r="1216" spans="1:20" x14ac:dyDescent="0.25">
      <c r="A1216" s="2" t="str">
        <f>[1]RawShipmentData!A1228</f>
        <v>SHP-100182</v>
      </c>
      <c r="B1216" s="3">
        <f>IF(ISNUMBER(SEARCH("/",TRIM([1]RawShipmentData!B1228))),DATE(VALUE(RIGHT(TRIM([1]RawShipmentData!B1228),4)),VALUE(MID(TRIM([1]RawShipmentData!B1228),FIND("/",TRIM([1]RawShipmentData!B1228))+1,2)),VALUE(LEFT(TRIM([1]RawShipmentData!B1228),FIND("/",TRIM([1]RawShipmentData!B1228))-1))),DATEVALUE(TRIM([1]RawShipmentData!B1228)))</f>
        <v>45361</v>
      </c>
      <c r="C1216" s="2" t="str">
        <f>PROPER(TRIM([1]RawShipmentData!C1228))</f>
        <v>Kolkata</v>
      </c>
      <c r="D1216" s="2" t="str">
        <f>IFERROR(INDEX([1]HubMaster!$B$2:$B$7,MATCH(C1216,[1]HubMaster!$A$2:$A$7,0)),"Unknown")</f>
        <v>East</v>
      </c>
      <c r="E1216" s="2" t="str">
        <f>PROPER(TRIM(SUBSTITUTE([1]RawShipmentData!D1228,"  "," ")))</f>
        <v>Dtdc</v>
      </c>
      <c r="F1216" s="2" t="str">
        <f>PROPER(TRIM([1]RawShipmentData!E1228))</f>
        <v>Surface</v>
      </c>
      <c r="G1216" s="2" t="str">
        <f>PROPER(TRIM(SUBSTITUTE([1]RawShipmentData!F1228,"  "," ")))</f>
        <v>Electronics</v>
      </c>
      <c r="H1216" s="2" t="str">
        <f>PROPER(TRIM([1]RawShipmentData!G1228))</f>
        <v>East</v>
      </c>
      <c r="I1216" s="2" t="str">
        <f t="shared" si="90"/>
        <v>No</v>
      </c>
      <c r="J1216" s="2">
        <f>IFERROR(VALUE(TRIM(SUBSTITUTE(UPPER([1]RawShipmentData!I1216),"KG",""))),"")</f>
        <v>4.5999999999999996</v>
      </c>
      <c r="K1216" s="2">
        <f>VALUE(SUBSTITUTE(SUBSTITUTE(SUBSTITUTE(TRIM([1]RawShipmentData!J1228),"₹",""),"Rs",""),",",""))</f>
        <v>306</v>
      </c>
      <c r="L1216" s="2">
        <f>[1]RawShipmentData!K1228</f>
        <v>4</v>
      </c>
      <c r="M1216" s="3">
        <f>IF(TRIM([1]RawShipmentData!L1228)="","",IF(ISNUMBER(SEARCH("/",TRIM([1]RawShipmentData!L1228))),DATE(VALUE(RIGHT(TRIM([1]RawShipmentData!L1228),4)),VALUE(MID(TRIM([1]RawShipmentData!L1228),FIND("/",TRIM([1]RawShipmentData!L1228))+1,2)),VALUE(LEFT(TRIM([1]RawShipmentData!L1228),FIND("/",TRIM([1]RawShipmentData!L1228))-1))),DATEVALUE(TRIM([1]RawShipmentData!L1228))))</f>
        <v>45374</v>
      </c>
      <c r="N1216" s="2">
        <f t="shared" si="91"/>
        <v>13</v>
      </c>
      <c r="O1216" s="2">
        <f t="shared" si="92"/>
        <v>9</v>
      </c>
      <c r="P1216" s="2" t="str">
        <f t="shared" si="93"/>
        <v>Late</v>
      </c>
      <c r="Q1216" s="2" t="str">
        <f>PROPER(SUBSTITUTE(TRIM([1]RawShipmentData!M1228)," ","-"))</f>
        <v>Delayed</v>
      </c>
      <c r="R1216" s="4">
        <f t="shared" si="94"/>
        <v>66.521739130434781</v>
      </c>
      <c r="S1216" s="2">
        <f>[1]RawShipmentData!N1228</f>
        <v>5</v>
      </c>
      <c r="T1216" s="2" t="str">
        <f>IF(OR(UPPER(TRIM([1]RawShipmentData!O1228))="YES",UPPER(TRIM([1]RawShipmentData!O1228))="Y"),"Yes","No")</f>
        <v>Yes</v>
      </c>
    </row>
    <row r="1217" spans="1:20" x14ac:dyDescent="0.25">
      <c r="A1217" s="2" t="str">
        <f>[1]RawShipmentData!A1229</f>
        <v>SHP-100357</v>
      </c>
      <c r="B1217" s="3">
        <f>IF(ISNUMBER(SEARCH("/",TRIM([1]RawShipmentData!B1229))),DATE(VALUE(RIGHT(TRIM([1]RawShipmentData!B1229),4)),VALUE(MID(TRIM([1]RawShipmentData!B1229),FIND("/",TRIM([1]RawShipmentData!B1229))+1,2)),VALUE(LEFT(TRIM([1]RawShipmentData!B1229),FIND("/",TRIM([1]RawShipmentData!B1229))-1))),DATEVALUE(TRIM([1]RawShipmentData!B1229)))</f>
        <v>45391</v>
      </c>
      <c r="C1217" s="2" t="str">
        <f>PROPER(TRIM([1]RawShipmentData!C1229))</f>
        <v>Delhi</v>
      </c>
      <c r="D1217" s="2" t="str">
        <f>IFERROR(INDEX([1]HubMaster!$B$2:$B$7,MATCH(C1217,[1]HubMaster!$A$2:$A$7,0)),"Unknown")</f>
        <v>North</v>
      </c>
      <c r="E1217" s="2" t="str">
        <f>PROPER(TRIM(SUBSTITUTE([1]RawShipmentData!D1229,"  "," ")))</f>
        <v>Bluedart</v>
      </c>
      <c r="F1217" s="2" t="str">
        <f>PROPER(TRIM([1]RawShipmentData!E1229))</f>
        <v>Air</v>
      </c>
      <c r="G1217" s="2" t="str">
        <f>PROPER(TRIM(SUBSTITUTE([1]RawShipmentData!F1229,"  "," ")))</f>
        <v>Electronics</v>
      </c>
      <c r="H1217" s="2" t="str">
        <f>PROPER(TRIM([1]RawShipmentData!G1229))</f>
        <v>East</v>
      </c>
      <c r="I1217" s="2" t="str">
        <f t="shared" si="90"/>
        <v>Yes</v>
      </c>
      <c r="J1217" s="2">
        <f>IFERROR(VALUE(TRIM(SUBSTITUTE(UPPER([1]RawShipmentData!I1217),"KG",""))),"")</f>
        <v>12.5</v>
      </c>
      <c r="K1217" s="2">
        <f>VALUE(SUBSTITUTE(SUBSTITUTE(SUBSTITUTE(TRIM([1]RawShipmentData!J1229),"₹",""),"Rs",""),",",""))</f>
        <v>797</v>
      </c>
      <c r="L1217" s="2">
        <f>[1]RawShipmentData!K1229</f>
        <v>4</v>
      </c>
      <c r="M1217" s="3">
        <f>IF(TRIM([1]RawShipmentData!L1229)="","",IF(ISNUMBER(SEARCH("/",TRIM([1]RawShipmentData!L1229))),DATE(VALUE(RIGHT(TRIM([1]RawShipmentData!L1229),4)),VALUE(MID(TRIM([1]RawShipmentData!L1229),FIND("/",TRIM([1]RawShipmentData!L1229))+1,2)),VALUE(LEFT(TRIM([1]RawShipmentData!L1229),FIND("/",TRIM([1]RawShipmentData!L1229))-1))),DATEVALUE(TRIM([1]RawShipmentData!L1229))))</f>
        <v>45394</v>
      </c>
      <c r="N1217" s="2">
        <f t="shared" si="91"/>
        <v>3</v>
      </c>
      <c r="O1217" s="2">
        <f t="shared" si="92"/>
        <v>-1</v>
      </c>
      <c r="P1217" s="2" t="str">
        <f t="shared" si="93"/>
        <v>On Time</v>
      </c>
      <c r="Q1217" s="2" t="str">
        <f>PROPER(SUBSTITUTE(TRIM([1]RawShipmentData!M1229)," ","-"))</f>
        <v>Delivered</v>
      </c>
      <c r="R1217" s="4">
        <f t="shared" si="94"/>
        <v>63.76</v>
      </c>
      <c r="S1217" s="2">
        <f>[1]RawShipmentData!N1229</f>
        <v>5</v>
      </c>
      <c r="T1217" s="2" t="str">
        <f>IF(OR(UPPER(TRIM([1]RawShipmentData!O1229))="YES",UPPER(TRIM([1]RawShipmentData!O1229))="Y"),"Yes","No")</f>
        <v>Yes</v>
      </c>
    </row>
    <row r="1218" spans="1:20" x14ac:dyDescent="0.25">
      <c r="A1218" s="2" t="str">
        <f>[1]RawShipmentData!A1230</f>
        <v>SHP-101119</v>
      </c>
      <c r="B1218" s="3">
        <f>IF(ISNUMBER(SEARCH("/",TRIM([1]RawShipmentData!B1230))),DATE(VALUE(RIGHT(TRIM([1]RawShipmentData!B1230),4)),VALUE(MID(TRIM([1]RawShipmentData!B1230),FIND("/",TRIM([1]RawShipmentData!B1230))+1,2)),VALUE(LEFT(TRIM([1]RawShipmentData!B1230),FIND("/",TRIM([1]RawShipmentData!B1230))-1))),DATEVALUE(TRIM([1]RawShipmentData!B1230)))</f>
        <v>45420</v>
      </c>
      <c r="C1218" s="2" t="str">
        <f>PROPER(TRIM([1]RawShipmentData!C1230))</f>
        <v>Mumbai</v>
      </c>
      <c r="D1218" s="2" t="str">
        <f>IFERROR(INDEX([1]HubMaster!$B$2:$B$7,MATCH(C1218,[1]HubMaster!$A$2:$A$7,0)),"Unknown")</f>
        <v>West</v>
      </c>
      <c r="E1218" s="2" t="str">
        <f>PROPER(TRIM(SUBSTITUTE([1]RawShipmentData!D1230,"  "," ")))</f>
        <v>Delhivery</v>
      </c>
      <c r="F1218" s="2" t="str">
        <f>PROPER(TRIM([1]RawShipmentData!E1230))</f>
        <v>Surface</v>
      </c>
      <c r="G1218" s="2" t="str">
        <f>PROPER(TRIM(SUBSTITUTE([1]RawShipmentData!F1230,"  "," ")))</f>
        <v>Pharma</v>
      </c>
      <c r="H1218" s="2" t="str">
        <f>PROPER(TRIM([1]RawShipmentData!G1230))</f>
        <v>West</v>
      </c>
      <c r="I1218" s="2" t="str">
        <f t="shared" ref="I1218:I1281" si="95">IF(D1218=H1218,"No","Yes")</f>
        <v>No</v>
      </c>
      <c r="J1218" s="2">
        <f>IFERROR(VALUE(TRIM(SUBSTITUTE(UPPER([1]RawShipmentData!I1218),"KG",""))),"")</f>
        <v>5.8</v>
      </c>
      <c r="K1218" s="2">
        <f>VALUE(SUBSTITUTE(SUBSTITUTE(SUBSTITUTE(TRIM([1]RawShipmentData!J1230),"₹",""),"Rs",""),",",""))</f>
        <v>80</v>
      </c>
      <c r="L1218" s="2">
        <f>[1]RawShipmentData!K1230</f>
        <v>4</v>
      </c>
      <c r="M1218" s="3">
        <f>IF(TRIM([1]RawShipmentData!L1230)="","",IF(ISNUMBER(SEARCH("/",TRIM([1]RawShipmentData!L1230))),DATE(VALUE(RIGHT(TRIM([1]RawShipmentData!L1230),4)),VALUE(MID(TRIM([1]RawShipmentData!L1230),FIND("/",TRIM([1]RawShipmentData!L1230))+1,2)),VALUE(LEFT(TRIM([1]RawShipmentData!L1230),FIND("/",TRIM([1]RawShipmentData!L1230))-1))),DATEVALUE(TRIM([1]RawShipmentData!L1230))))</f>
        <v>45425</v>
      </c>
      <c r="N1218" s="2">
        <f t="shared" ref="N1218:N1281" si="96">IF(M1218="","",M1218-B1218)</f>
        <v>5</v>
      </c>
      <c r="O1218" s="2">
        <f t="shared" ref="O1218:O1281" si="97">IF(N1218="","",N1218-L1218)</f>
        <v>1</v>
      </c>
      <c r="P1218" s="2" t="str">
        <f t="shared" ref="P1218:P1281" si="98">IF(N1218="","N/A",IF(N1218&lt;=L1218,"On Time","Late"))</f>
        <v>Late</v>
      </c>
      <c r="Q1218" s="2" t="str">
        <f>PROPER(SUBSTITUTE(TRIM([1]RawShipmentData!M1230)," ","-"))</f>
        <v>Delayed</v>
      </c>
      <c r="R1218" s="4">
        <f t="shared" si="94"/>
        <v>13.793103448275863</v>
      </c>
      <c r="S1218" s="2">
        <f>[1]RawShipmentData!N1230</f>
        <v>3</v>
      </c>
      <c r="T1218" s="2" t="str">
        <f>IF(OR(UPPER(TRIM([1]RawShipmentData!O1230))="YES",UPPER(TRIM([1]RawShipmentData!O1230))="Y"),"Yes","No")</f>
        <v>No</v>
      </c>
    </row>
    <row r="1219" spans="1:20" x14ac:dyDescent="0.25">
      <c r="A1219" s="2" t="str">
        <f>[1]RawShipmentData!A1231</f>
        <v>SHP-100734</v>
      </c>
      <c r="B1219" s="3">
        <f>IF(ISNUMBER(SEARCH("/",TRIM([1]RawShipmentData!B1231))),DATE(VALUE(RIGHT(TRIM([1]RawShipmentData!B1231),4)),VALUE(MID(TRIM([1]RawShipmentData!B1231),FIND("/",TRIM([1]RawShipmentData!B1231))+1,2)),VALUE(LEFT(TRIM([1]RawShipmentData!B1231),FIND("/",TRIM([1]RawShipmentData!B1231))-1))),DATEVALUE(TRIM([1]RawShipmentData!B1231)))</f>
        <v>45304</v>
      </c>
      <c r="C1219" s="2" t="str">
        <f>PROPER(TRIM([1]RawShipmentData!C1231))</f>
        <v>Delhi</v>
      </c>
      <c r="D1219" s="2" t="str">
        <f>IFERROR(INDEX([1]HubMaster!$B$2:$B$7,MATCH(C1219,[1]HubMaster!$A$2:$A$7,0)),"Unknown")</f>
        <v>North</v>
      </c>
      <c r="E1219" s="2" t="str">
        <f>PROPER(TRIM(SUBSTITUTE([1]RawShipmentData!D1231,"  "," ")))</f>
        <v>Ecom Express</v>
      </c>
      <c r="F1219" s="2" t="str">
        <f>PROPER(TRIM([1]RawShipmentData!E1231))</f>
        <v>Surface</v>
      </c>
      <c r="G1219" s="2" t="str">
        <f>PROPER(TRIM(SUBSTITUTE([1]RawShipmentData!F1231,"  "," ")))</f>
        <v>Grocery &amp; Fmcg</v>
      </c>
      <c r="H1219" s="2" t="str">
        <f>PROPER(TRIM([1]RawShipmentData!G1231))</f>
        <v>South</v>
      </c>
      <c r="I1219" s="2" t="str">
        <f t="shared" si="95"/>
        <v>Yes</v>
      </c>
      <c r="J1219" s="2">
        <f>IFERROR(VALUE(TRIM(SUBSTITUTE(UPPER([1]RawShipmentData!I1219),"KG",""))),"")</f>
        <v>77.400000000000006</v>
      </c>
      <c r="K1219" s="2">
        <f>VALUE(SUBSTITUTE(SUBSTITUTE(SUBSTITUTE(TRIM([1]RawShipmentData!J1231),"₹",""),"Rs",""),",",""))</f>
        <v>381</v>
      </c>
      <c r="L1219" s="2">
        <f>[1]RawShipmentData!K1231</f>
        <v>6</v>
      </c>
      <c r="M1219" s="3">
        <f>IF(TRIM([1]RawShipmentData!L1231)="","",IF(ISNUMBER(SEARCH("/",TRIM([1]RawShipmentData!L1231))),DATE(VALUE(RIGHT(TRIM([1]RawShipmentData!L1231),4)),VALUE(MID(TRIM([1]RawShipmentData!L1231),FIND("/",TRIM([1]RawShipmentData!L1231))+1,2)),VALUE(LEFT(TRIM([1]RawShipmentData!L1231),FIND("/",TRIM([1]RawShipmentData!L1231))-1))),DATEVALUE(TRIM([1]RawShipmentData!L1231))))</f>
        <v>45309</v>
      </c>
      <c r="N1219" s="2">
        <f t="shared" si="96"/>
        <v>5</v>
      </c>
      <c r="O1219" s="2">
        <f t="shared" si="97"/>
        <v>-1</v>
      </c>
      <c r="P1219" s="2" t="str">
        <f t="shared" si="98"/>
        <v>On Time</v>
      </c>
      <c r="Q1219" s="2" t="str">
        <f>PROPER(SUBSTITUTE(TRIM([1]RawShipmentData!M1231)," ","-"))</f>
        <v>Delivered</v>
      </c>
      <c r="R1219" s="4">
        <f t="shared" ref="R1219:R1282" si="99">IFERROR(K1219/J1219,"")</f>
        <v>4.9224806201550386</v>
      </c>
      <c r="S1219" s="2">
        <f>[1]RawShipmentData!N1231</f>
        <v>1</v>
      </c>
      <c r="T1219" s="2" t="str">
        <f>IF(OR(UPPER(TRIM([1]RawShipmentData!O1231))="YES",UPPER(TRIM([1]RawShipmentData!O1231))="Y"),"Yes","No")</f>
        <v>Yes</v>
      </c>
    </row>
    <row r="1220" spans="1:20" x14ac:dyDescent="0.25">
      <c r="A1220" s="2" t="str">
        <f>[1]RawShipmentData!A1232</f>
        <v>SHP-100821</v>
      </c>
      <c r="B1220" s="3">
        <f>IF(ISNUMBER(SEARCH("/",TRIM([1]RawShipmentData!B1232))),DATE(VALUE(RIGHT(TRIM([1]RawShipmentData!B1232),4)),VALUE(MID(TRIM([1]RawShipmentData!B1232),FIND("/",TRIM([1]RawShipmentData!B1232))+1,2)),VALUE(LEFT(TRIM([1]RawShipmentData!B1232),FIND("/",TRIM([1]RawShipmentData!B1232))-1))),DATEVALUE(TRIM([1]RawShipmentData!B1232)))</f>
        <v>45451</v>
      </c>
      <c r="C1220" s="2" t="str">
        <f>PROPER(TRIM([1]RawShipmentData!C1232))</f>
        <v>Chennai</v>
      </c>
      <c r="D1220" s="2" t="str">
        <f>IFERROR(INDEX([1]HubMaster!$B$2:$B$7,MATCH(C1220,[1]HubMaster!$A$2:$A$7,0)),"Unknown")</f>
        <v>South</v>
      </c>
      <c r="E1220" s="2" t="str">
        <f>PROPER(TRIM(SUBSTITUTE([1]RawShipmentData!D1232,"  "," ")))</f>
        <v>Dtdc</v>
      </c>
      <c r="F1220" s="2" t="str">
        <f>PROPER(TRIM([1]RawShipmentData!E1232))</f>
        <v>Road</v>
      </c>
      <c r="G1220" s="2" t="str">
        <f>PROPER(TRIM(SUBSTITUTE([1]RawShipmentData!F1232,"  "," ")))</f>
        <v>Grocery &amp; Fmcg</v>
      </c>
      <c r="H1220" s="2" t="str">
        <f>PROPER(TRIM([1]RawShipmentData!G1232))</f>
        <v>North</v>
      </c>
      <c r="I1220" s="2" t="str">
        <f t="shared" si="95"/>
        <v>Yes</v>
      </c>
      <c r="J1220" s="2">
        <f>IFERROR(VALUE(TRIM(SUBSTITUTE(UPPER([1]RawShipmentData!I1220),"KG",""))),"")</f>
        <v>5.0999999999999996</v>
      </c>
      <c r="K1220" s="2">
        <f>VALUE(SUBSTITUTE(SUBSTITUTE(SUBSTITUTE(TRIM([1]RawShipmentData!J1232),"₹",""),"Rs",""),",",""))</f>
        <v>298</v>
      </c>
      <c r="L1220" s="2">
        <f>[1]RawShipmentData!K1232</f>
        <v>8</v>
      </c>
      <c r="M1220" s="3">
        <f>IF(TRIM([1]RawShipmentData!L1232)="","",IF(ISNUMBER(SEARCH("/",TRIM([1]RawShipmentData!L1232))),DATE(VALUE(RIGHT(TRIM([1]RawShipmentData!L1232),4)),VALUE(MID(TRIM([1]RawShipmentData!L1232),FIND("/",TRIM([1]RawShipmentData!L1232))+1,2)),VALUE(LEFT(TRIM([1]RawShipmentData!L1232),FIND("/",TRIM([1]RawShipmentData!L1232))-1))),DATEVALUE(TRIM([1]RawShipmentData!L1232))))</f>
        <v>45463</v>
      </c>
      <c r="N1220" s="2">
        <f t="shared" si="96"/>
        <v>12</v>
      </c>
      <c r="O1220" s="2">
        <f t="shared" si="97"/>
        <v>4</v>
      </c>
      <c r="P1220" s="2" t="str">
        <f t="shared" si="98"/>
        <v>Late</v>
      </c>
      <c r="Q1220" s="2" t="str">
        <f>PROPER(SUBSTITUTE(TRIM([1]RawShipmentData!M1232)," ","-"))</f>
        <v>Delayed</v>
      </c>
      <c r="R1220" s="4">
        <f t="shared" si="99"/>
        <v>58.431372549019613</v>
      </c>
      <c r="S1220" s="2">
        <f>[1]RawShipmentData!N1232</f>
        <v>2</v>
      </c>
      <c r="T1220" s="2" t="str">
        <f>IF(OR(UPPER(TRIM([1]RawShipmentData!O1232))="YES",UPPER(TRIM([1]RawShipmentData!O1232))="Y"),"Yes","No")</f>
        <v>Yes</v>
      </c>
    </row>
    <row r="1221" spans="1:20" x14ac:dyDescent="0.25">
      <c r="A1221" s="2" t="str">
        <f>[1]RawShipmentData!A1233</f>
        <v>SHP-101537</v>
      </c>
      <c r="B1221" s="3">
        <f>IF(ISNUMBER(SEARCH("/",TRIM([1]RawShipmentData!B1233))),DATE(VALUE(RIGHT(TRIM([1]RawShipmentData!B1233),4)),VALUE(MID(TRIM([1]RawShipmentData!B1233),FIND("/",TRIM([1]RawShipmentData!B1233))+1,2)),VALUE(LEFT(TRIM([1]RawShipmentData!B1233),FIND("/",TRIM([1]RawShipmentData!B1233))-1))),DATEVALUE(TRIM([1]RawShipmentData!B1233)))</f>
        <v>45340</v>
      </c>
      <c r="C1221" s="2" t="str">
        <f>PROPER(TRIM([1]RawShipmentData!C1233))</f>
        <v>Chennai</v>
      </c>
      <c r="D1221" s="2" t="str">
        <f>IFERROR(INDEX([1]HubMaster!$B$2:$B$7,MATCH(C1221,[1]HubMaster!$A$2:$A$7,0)),"Unknown")</f>
        <v>South</v>
      </c>
      <c r="E1221" s="2" t="str">
        <f>PROPER(TRIM(SUBSTITUTE([1]RawShipmentData!D1233,"  "," ")))</f>
        <v>Ecom Express</v>
      </c>
      <c r="F1221" s="2" t="str">
        <f>PROPER(TRIM([1]RawShipmentData!E1233))</f>
        <v>Surface</v>
      </c>
      <c r="G1221" s="2" t="str">
        <f>PROPER(TRIM(SUBSTITUTE([1]RawShipmentData!F1233,"  "," ")))</f>
        <v>Automotive Parts</v>
      </c>
      <c r="H1221" s="2" t="str">
        <f>PROPER(TRIM([1]RawShipmentData!G1233))</f>
        <v>East</v>
      </c>
      <c r="I1221" s="2" t="str">
        <f t="shared" si="95"/>
        <v>Yes</v>
      </c>
      <c r="J1221" s="2">
        <f>IFERROR(VALUE(TRIM(SUBSTITUTE(UPPER([1]RawShipmentData!I1221),"KG",""))),"")</f>
        <v>6.9</v>
      </c>
      <c r="K1221" s="2">
        <f>VALUE(SUBSTITUTE(SUBSTITUTE(SUBSTITUTE(TRIM([1]RawShipmentData!J1233),"₹",""),"Rs",""),",",""))</f>
        <v>426</v>
      </c>
      <c r="L1221" s="2">
        <f>[1]RawShipmentData!K1233</f>
        <v>6</v>
      </c>
      <c r="M1221" s="3">
        <f>IF(TRIM([1]RawShipmentData!L1233)="","",IF(ISNUMBER(SEARCH("/",TRIM([1]RawShipmentData!L1233))),DATE(VALUE(RIGHT(TRIM([1]RawShipmentData!L1233),4)),VALUE(MID(TRIM([1]RawShipmentData!L1233),FIND("/",TRIM([1]RawShipmentData!L1233))+1,2)),VALUE(LEFT(TRIM([1]RawShipmentData!L1233),FIND("/",TRIM([1]RawShipmentData!L1233))-1))),DATEVALUE(TRIM([1]RawShipmentData!L1233))))</f>
        <v>45347</v>
      </c>
      <c r="N1221" s="2">
        <f t="shared" si="96"/>
        <v>7</v>
      </c>
      <c r="O1221" s="2">
        <f t="shared" si="97"/>
        <v>1</v>
      </c>
      <c r="P1221" s="2" t="str">
        <f t="shared" si="98"/>
        <v>Late</v>
      </c>
      <c r="Q1221" s="2" t="str">
        <f>PROPER(SUBSTITUTE(TRIM([1]RawShipmentData!M1233)," ","-"))</f>
        <v>Delayed</v>
      </c>
      <c r="R1221" s="4">
        <f t="shared" si="99"/>
        <v>61.739130434782602</v>
      </c>
      <c r="S1221" s="2">
        <f>[1]RawShipmentData!N1233</f>
        <v>3</v>
      </c>
      <c r="T1221" s="2" t="str">
        <f>IF(OR(UPPER(TRIM([1]RawShipmentData!O1233))="YES",UPPER(TRIM([1]RawShipmentData!O1233))="Y"),"Yes","No")</f>
        <v>No</v>
      </c>
    </row>
    <row r="1222" spans="1:20" x14ac:dyDescent="0.25">
      <c r="A1222" s="2" t="str">
        <f>[1]RawShipmentData!A1234</f>
        <v>SHP-101184</v>
      </c>
      <c r="B1222" s="3">
        <f>IF(ISNUMBER(SEARCH("/",TRIM([1]RawShipmentData!B1234))),DATE(VALUE(RIGHT(TRIM([1]RawShipmentData!B1234),4)),VALUE(MID(TRIM([1]RawShipmentData!B1234),FIND("/",TRIM([1]RawShipmentData!B1234))+1,2)),VALUE(LEFT(TRIM([1]RawShipmentData!B1234),FIND("/",TRIM([1]RawShipmentData!B1234))-1))),DATEVALUE(TRIM([1]RawShipmentData!B1234)))</f>
        <v>45324</v>
      </c>
      <c r="C1222" s="2" t="str">
        <f>PROPER(TRIM([1]RawShipmentData!C1234))</f>
        <v>Hyderabad</v>
      </c>
      <c r="D1222" s="2" t="str">
        <f>IFERROR(INDEX([1]HubMaster!$B$2:$B$7,MATCH(C1222,[1]HubMaster!$A$2:$A$7,0)),"Unknown")</f>
        <v>West</v>
      </c>
      <c r="E1222" s="2" t="str">
        <f>PROPER(TRIM(SUBSTITUTE([1]RawShipmentData!D1234,"  "," ")))</f>
        <v>Blue Dart</v>
      </c>
      <c r="F1222" s="2" t="str">
        <f>PROPER(TRIM([1]RawShipmentData!E1234))</f>
        <v>Air</v>
      </c>
      <c r="G1222" s="2" t="str">
        <f>PROPER(TRIM(SUBSTITUTE([1]RawShipmentData!F1234,"  "," ")))</f>
        <v>Electronics</v>
      </c>
      <c r="H1222" s="2" t="str">
        <f>PROPER(TRIM([1]RawShipmentData!G1234))</f>
        <v>West</v>
      </c>
      <c r="I1222" s="2" t="str">
        <f t="shared" si="95"/>
        <v>No</v>
      </c>
      <c r="J1222" s="2">
        <f>IFERROR(VALUE(TRIM(SUBSTITUTE(UPPER([1]RawShipmentData!I1222),"KG",""))),"")</f>
        <v>17.2</v>
      </c>
      <c r="K1222" s="2">
        <f>VALUE(SUBSTITUTE(SUBSTITUTE(SUBSTITUTE(TRIM([1]RawShipmentData!J1234),"₹",""),"Rs",""),",",""))</f>
        <v>445</v>
      </c>
      <c r="L1222" s="2">
        <f>[1]RawShipmentData!K1234</f>
        <v>2</v>
      </c>
      <c r="M1222" s="3">
        <f>IF(TRIM([1]RawShipmentData!L1234)="","",IF(ISNUMBER(SEARCH("/",TRIM([1]RawShipmentData!L1234))),DATE(VALUE(RIGHT(TRIM([1]RawShipmentData!L1234),4)),VALUE(MID(TRIM([1]RawShipmentData!L1234),FIND("/",TRIM([1]RawShipmentData!L1234))+1,2)),VALUE(LEFT(TRIM([1]RawShipmentData!L1234),FIND("/",TRIM([1]RawShipmentData!L1234))-1))),DATEVALUE(TRIM([1]RawShipmentData!L1234))))</f>
        <v>45326</v>
      </c>
      <c r="N1222" s="2">
        <f t="shared" si="96"/>
        <v>2</v>
      </c>
      <c r="O1222" s="2">
        <f t="shared" si="97"/>
        <v>0</v>
      </c>
      <c r="P1222" s="2" t="str">
        <f t="shared" si="98"/>
        <v>On Time</v>
      </c>
      <c r="Q1222" s="2" t="str">
        <f>PROPER(SUBSTITUTE(TRIM([1]RawShipmentData!M1234)," ","-"))</f>
        <v>Delivered</v>
      </c>
      <c r="R1222" s="4">
        <f t="shared" si="99"/>
        <v>25.872093023255815</v>
      </c>
      <c r="S1222" s="2">
        <f>[1]RawShipmentData!N1234</f>
        <v>4</v>
      </c>
      <c r="T1222" s="2" t="str">
        <f>IF(OR(UPPER(TRIM([1]RawShipmentData!O1234))="YES",UPPER(TRIM([1]RawShipmentData!O1234))="Y"),"Yes","No")</f>
        <v>Yes</v>
      </c>
    </row>
    <row r="1223" spans="1:20" x14ac:dyDescent="0.25">
      <c r="A1223" s="2" t="str">
        <f>[1]RawShipmentData!A1235</f>
        <v>SHP-100550</v>
      </c>
      <c r="B1223" s="3">
        <f>IF(ISNUMBER(SEARCH("/",TRIM([1]RawShipmentData!B1235))),DATE(VALUE(RIGHT(TRIM([1]RawShipmentData!B1235),4)),VALUE(MID(TRIM([1]RawShipmentData!B1235),FIND("/",TRIM([1]RawShipmentData!B1235))+1,2)),VALUE(LEFT(TRIM([1]RawShipmentData!B1235),FIND("/",TRIM([1]RawShipmentData!B1235))-1))),DATEVALUE(TRIM([1]RawShipmentData!B1235)))</f>
        <v>45388</v>
      </c>
      <c r="C1223" s="2" t="str">
        <f>PROPER(TRIM([1]RawShipmentData!C1235))</f>
        <v>Hyderabad</v>
      </c>
      <c r="D1223" s="2" t="str">
        <f>IFERROR(INDEX([1]HubMaster!$B$2:$B$7,MATCH(C1223,[1]HubMaster!$A$2:$A$7,0)),"Unknown")</f>
        <v>West</v>
      </c>
      <c r="E1223" s="2" t="str">
        <f>PROPER(TRIM(SUBSTITUTE([1]RawShipmentData!D1235,"  "," ")))</f>
        <v>Xpressbees</v>
      </c>
      <c r="F1223" s="2" t="str">
        <f>PROPER(TRIM([1]RawShipmentData!E1235))</f>
        <v>Air</v>
      </c>
      <c r="G1223" s="2" t="str">
        <f>PROPER(TRIM(SUBSTITUTE([1]RawShipmentData!F1235,"  "," ")))</f>
        <v>Electronics</v>
      </c>
      <c r="H1223" s="2" t="str">
        <f>PROPER(TRIM([1]RawShipmentData!G1235))</f>
        <v>East</v>
      </c>
      <c r="I1223" s="2" t="str">
        <f t="shared" si="95"/>
        <v>Yes</v>
      </c>
      <c r="J1223" s="2">
        <f>IFERROR(VALUE(TRIM(SUBSTITUTE(UPPER([1]RawShipmentData!I1223),"KG",""))),"")</f>
        <v>32.6</v>
      </c>
      <c r="K1223" s="2">
        <f>VALUE(SUBSTITUTE(SUBSTITUTE(SUBSTITUTE(TRIM([1]RawShipmentData!J1235),"₹",""),"Rs",""),",",""))</f>
        <v>271</v>
      </c>
      <c r="L1223" s="2">
        <f>[1]RawShipmentData!K1235</f>
        <v>4</v>
      </c>
      <c r="M1223" s="3">
        <f>IF(TRIM([1]RawShipmentData!L1235)="","",IF(ISNUMBER(SEARCH("/",TRIM([1]RawShipmentData!L1235))),DATE(VALUE(RIGHT(TRIM([1]RawShipmentData!L1235),4)),VALUE(MID(TRIM([1]RawShipmentData!L1235),FIND("/",TRIM([1]RawShipmentData!L1235))+1,2)),VALUE(LEFT(TRIM([1]RawShipmentData!L1235),FIND("/",TRIM([1]RawShipmentData!L1235))-1))),DATEVALUE(TRIM([1]RawShipmentData!L1235))))</f>
        <v>45393</v>
      </c>
      <c r="N1223" s="2">
        <f t="shared" si="96"/>
        <v>5</v>
      </c>
      <c r="O1223" s="2">
        <f t="shared" si="97"/>
        <v>1</v>
      </c>
      <c r="P1223" s="2" t="str">
        <f t="shared" si="98"/>
        <v>Late</v>
      </c>
      <c r="Q1223" s="2" t="str">
        <f>PROPER(SUBSTITUTE(TRIM([1]RawShipmentData!M1235)," ","-"))</f>
        <v>Delayed</v>
      </c>
      <c r="R1223" s="4">
        <f t="shared" si="99"/>
        <v>8.3128834355828225</v>
      </c>
      <c r="S1223" s="2">
        <f>[1]RawShipmentData!N1235</f>
        <v>1</v>
      </c>
      <c r="T1223" s="2" t="str">
        <f>IF(OR(UPPER(TRIM([1]RawShipmentData!O1235))="YES",UPPER(TRIM([1]RawShipmentData!O1235))="Y"),"Yes","No")</f>
        <v>Yes</v>
      </c>
    </row>
    <row r="1224" spans="1:20" x14ac:dyDescent="0.25">
      <c r="A1224" s="2" t="str">
        <f>[1]RawShipmentData!A1236</f>
        <v>SHP-101035</v>
      </c>
      <c r="B1224" s="3">
        <f>IF(ISNUMBER(SEARCH("/",TRIM([1]RawShipmentData!B1236))),DATE(VALUE(RIGHT(TRIM([1]RawShipmentData!B1236),4)),VALUE(MID(TRIM([1]RawShipmentData!B1236),FIND("/",TRIM([1]RawShipmentData!B1236))+1,2)),VALUE(LEFT(TRIM([1]RawShipmentData!B1236),FIND("/",TRIM([1]RawShipmentData!B1236))-1))),DATEVALUE(TRIM([1]RawShipmentData!B1236)))</f>
        <v>45375</v>
      </c>
      <c r="C1224" s="2" t="str">
        <f>PROPER(TRIM([1]RawShipmentData!C1236))</f>
        <v>Hyderabad</v>
      </c>
      <c r="D1224" s="2" t="str">
        <f>IFERROR(INDEX([1]HubMaster!$B$2:$B$7,MATCH(C1224,[1]HubMaster!$A$2:$A$7,0)),"Unknown")</f>
        <v>West</v>
      </c>
      <c r="E1224" s="2" t="str">
        <f>PROPER(TRIM(SUBSTITUTE([1]RawShipmentData!D1236,"  "," ")))</f>
        <v>Blue Dart</v>
      </c>
      <c r="F1224" s="2" t="str">
        <f>PROPER(TRIM([1]RawShipmentData!E1236))</f>
        <v>Road</v>
      </c>
      <c r="G1224" s="2" t="str">
        <f>PROPER(TRIM(SUBSTITUTE([1]RawShipmentData!F1236,"  "," ")))</f>
        <v>Automotive Parts</v>
      </c>
      <c r="H1224" s="2" t="str">
        <f>PROPER(TRIM([1]RawShipmentData!G1236))</f>
        <v>West</v>
      </c>
      <c r="I1224" s="2" t="str">
        <f t="shared" si="95"/>
        <v>No</v>
      </c>
      <c r="J1224" s="2">
        <f>IFERROR(VALUE(TRIM(SUBSTITUTE(UPPER([1]RawShipmentData!I1224),"KG",""))),"")</f>
        <v>32.6</v>
      </c>
      <c r="K1224" s="2">
        <f>VALUE(SUBSTITUTE(SUBSTITUTE(SUBSTITUTE(TRIM([1]RawShipmentData!J1236),"₹",""),"Rs",""),",",""))</f>
        <v>341</v>
      </c>
      <c r="L1224" s="2">
        <f>[1]RawShipmentData!K1236</f>
        <v>6</v>
      </c>
      <c r="M1224" s="3">
        <f>IF(TRIM([1]RawShipmentData!L1236)="","",IF(ISNUMBER(SEARCH("/",TRIM([1]RawShipmentData!L1236))),DATE(VALUE(RIGHT(TRIM([1]RawShipmentData!L1236),4)),VALUE(MID(TRIM([1]RawShipmentData!L1236),FIND("/",TRIM([1]RawShipmentData!L1236))+1,2)),VALUE(LEFT(TRIM([1]RawShipmentData!L1236),FIND("/",TRIM([1]RawShipmentData!L1236))-1))),DATEVALUE(TRIM([1]RawShipmentData!L1236))))</f>
        <v>45381</v>
      </c>
      <c r="N1224" s="2">
        <f t="shared" si="96"/>
        <v>6</v>
      </c>
      <c r="O1224" s="2">
        <f t="shared" si="97"/>
        <v>0</v>
      </c>
      <c r="P1224" s="2" t="str">
        <f t="shared" si="98"/>
        <v>On Time</v>
      </c>
      <c r="Q1224" s="2" t="str">
        <f>PROPER(SUBSTITUTE(TRIM([1]RawShipmentData!M1236)," ","-"))</f>
        <v>Delivered</v>
      </c>
      <c r="R1224" s="4">
        <f t="shared" si="99"/>
        <v>10.460122699386503</v>
      </c>
      <c r="S1224" s="2">
        <f>[1]RawShipmentData!N1236</f>
        <v>2</v>
      </c>
      <c r="T1224" s="2" t="str">
        <f>IF(OR(UPPER(TRIM([1]RawShipmentData!O1236))="YES",UPPER(TRIM([1]RawShipmentData!O1236))="Y"),"Yes","No")</f>
        <v>Yes</v>
      </c>
    </row>
    <row r="1225" spans="1:20" x14ac:dyDescent="0.25">
      <c r="A1225" s="2" t="str">
        <f>[1]RawShipmentData!A1237</f>
        <v>SHP-100546</v>
      </c>
      <c r="B1225" s="3">
        <f>IF(ISNUMBER(SEARCH("/",TRIM([1]RawShipmentData!B1237))),DATE(VALUE(RIGHT(TRIM([1]RawShipmentData!B1237),4)),VALUE(MID(TRIM([1]RawShipmentData!B1237),FIND("/",TRIM([1]RawShipmentData!B1237))+1,2)),VALUE(LEFT(TRIM([1]RawShipmentData!B1237),FIND("/",TRIM([1]RawShipmentData!B1237))-1))),DATEVALUE(TRIM([1]RawShipmentData!B1237)))</f>
        <v>45308</v>
      </c>
      <c r="C1225" s="2" t="str">
        <f>PROPER(TRIM([1]RawShipmentData!C1237))</f>
        <v>Mumbai</v>
      </c>
      <c r="D1225" s="2" t="str">
        <f>IFERROR(INDEX([1]HubMaster!$B$2:$B$7,MATCH(C1225,[1]HubMaster!$A$2:$A$7,0)),"Unknown")</f>
        <v>West</v>
      </c>
      <c r="E1225" s="2" t="str">
        <f>PROPER(TRIM(SUBSTITUTE([1]RawShipmentData!D1237,"  "," ")))</f>
        <v>Delhivery</v>
      </c>
      <c r="F1225" s="2" t="str">
        <f>PROPER(TRIM([1]RawShipmentData!E1237))</f>
        <v>Road</v>
      </c>
      <c r="G1225" s="2" t="str">
        <f>PROPER(TRIM(SUBSTITUTE([1]RawShipmentData!F1237,"  "," ")))</f>
        <v>Furniture</v>
      </c>
      <c r="H1225" s="2" t="str">
        <f>PROPER(TRIM([1]RawShipmentData!G1237))</f>
        <v>South</v>
      </c>
      <c r="I1225" s="2" t="str">
        <f t="shared" si="95"/>
        <v>Yes</v>
      </c>
      <c r="J1225" s="2">
        <f>IFERROR(VALUE(TRIM(SUBSTITUTE(UPPER([1]RawShipmentData!I1225),"KG",""))),"")</f>
        <v>3.4</v>
      </c>
      <c r="K1225" s="2">
        <f>VALUE(SUBSTITUTE(SUBSTITUTE(SUBSTITUTE(TRIM([1]RawShipmentData!J1237),"₹",""),"Rs",""),",",""))</f>
        <v>749</v>
      </c>
      <c r="L1225" s="2">
        <f>[1]RawShipmentData!K1237</f>
        <v>8</v>
      </c>
      <c r="M1225" s="3">
        <f>IF(TRIM([1]RawShipmentData!L1237)="","",IF(ISNUMBER(SEARCH("/",TRIM([1]RawShipmentData!L1237))),DATE(VALUE(RIGHT(TRIM([1]RawShipmentData!L1237),4)),VALUE(MID(TRIM([1]RawShipmentData!L1237),FIND("/",TRIM([1]RawShipmentData!L1237))+1,2)),VALUE(LEFT(TRIM([1]RawShipmentData!L1237),FIND("/",TRIM([1]RawShipmentData!L1237))-1))),DATEVALUE(TRIM([1]RawShipmentData!L1237))))</f>
        <v>45318</v>
      </c>
      <c r="N1225" s="2">
        <f t="shared" si="96"/>
        <v>10</v>
      </c>
      <c r="O1225" s="2">
        <f t="shared" si="97"/>
        <v>2</v>
      </c>
      <c r="P1225" s="2" t="str">
        <f t="shared" si="98"/>
        <v>Late</v>
      </c>
      <c r="Q1225" s="2" t="str">
        <f>PROPER(SUBSTITUTE(TRIM([1]RawShipmentData!M1237)," ","-"))</f>
        <v>Delayed</v>
      </c>
      <c r="R1225" s="4">
        <f t="shared" si="99"/>
        <v>220.29411764705884</v>
      </c>
      <c r="S1225" s="2">
        <f>[1]RawShipmentData!N1237</f>
        <v>3</v>
      </c>
      <c r="T1225" s="2" t="str">
        <f>IF(OR(UPPER(TRIM([1]RawShipmentData!O1237))="YES",UPPER(TRIM([1]RawShipmentData!O1237))="Y"),"Yes","No")</f>
        <v>No</v>
      </c>
    </row>
    <row r="1226" spans="1:20" x14ac:dyDescent="0.25">
      <c r="A1226" s="2" t="str">
        <f>[1]RawShipmentData!A1238</f>
        <v>SHP-101558</v>
      </c>
      <c r="B1226" s="3">
        <f>IF(ISNUMBER(SEARCH("/",TRIM([1]RawShipmentData!B1238))),DATE(VALUE(RIGHT(TRIM([1]RawShipmentData!B1238),4)),VALUE(MID(TRIM([1]RawShipmentData!B1238),FIND("/",TRIM([1]RawShipmentData!B1238))+1,2)),VALUE(LEFT(TRIM([1]RawShipmentData!B1238),FIND("/",TRIM([1]RawShipmentData!B1238))-1))),DATEVALUE(TRIM([1]RawShipmentData!B1238)))</f>
        <v>45347</v>
      </c>
      <c r="C1226" s="2" t="str">
        <f>PROPER(TRIM([1]RawShipmentData!C1238))</f>
        <v>Chennai</v>
      </c>
      <c r="D1226" s="2" t="str">
        <f>IFERROR(INDEX([1]HubMaster!$B$2:$B$7,MATCH(C1226,[1]HubMaster!$A$2:$A$7,0)),"Unknown")</f>
        <v>South</v>
      </c>
      <c r="E1226" s="2" t="str">
        <f>PROPER(TRIM(SUBSTITUTE([1]RawShipmentData!D1238,"  "," ")))</f>
        <v>Ecom Express</v>
      </c>
      <c r="F1226" s="2" t="str">
        <f>PROPER(TRIM([1]RawShipmentData!E1238))</f>
        <v>Air</v>
      </c>
      <c r="G1226" s="2" t="str">
        <f>PROPER(TRIM(SUBSTITUTE([1]RawShipmentData!F1238,"  "," ")))</f>
        <v>Grocery &amp; Fmcg</v>
      </c>
      <c r="H1226" s="2" t="str">
        <f>PROPER(TRIM([1]RawShipmentData!G1238))</f>
        <v>East</v>
      </c>
      <c r="I1226" s="2" t="str">
        <f t="shared" si="95"/>
        <v>Yes</v>
      </c>
      <c r="J1226" s="2">
        <f>IFERROR(VALUE(TRIM(SUBSTITUTE(UPPER([1]RawShipmentData!I1226),"KG",""))),"")</f>
        <v>14.2</v>
      </c>
      <c r="K1226" s="2">
        <f>VALUE(SUBSTITUTE(SUBSTITUTE(SUBSTITUTE(TRIM([1]RawShipmentData!J1238),"₹",""),"Rs",""),",",""))</f>
        <v>757</v>
      </c>
      <c r="L1226" s="2">
        <f>[1]RawShipmentData!K1238</f>
        <v>4</v>
      </c>
      <c r="M1226" s="3">
        <f>IF(TRIM([1]RawShipmentData!L1238)="","",IF(ISNUMBER(SEARCH("/",TRIM([1]RawShipmentData!L1238))),DATE(VALUE(RIGHT(TRIM([1]RawShipmentData!L1238),4)),VALUE(MID(TRIM([1]RawShipmentData!L1238),FIND("/",TRIM([1]RawShipmentData!L1238))+1,2)),VALUE(LEFT(TRIM([1]RawShipmentData!L1238),FIND("/",TRIM([1]RawShipmentData!L1238))-1))),DATEVALUE(TRIM([1]RawShipmentData!L1238))))</f>
        <v>45358</v>
      </c>
      <c r="N1226" s="2">
        <f t="shared" si="96"/>
        <v>11</v>
      </c>
      <c r="O1226" s="2">
        <f t="shared" si="97"/>
        <v>7</v>
      </c>
      <c r="P1226" s="2" t="str">
        <f t="shared" si="98"/>
        <v>Late</v>
      </c>
      <c r="Q1226" s="2" t="str">
        <f>PROPER(SUBSTITUTE(TRIM([1]RawShipmentData!M1238)," ","-"))</f>
        <v>Delayed</v>
      </c>
      <c r="R1226" s="4">
        <f t="shared" si="99"/>
        <v>53.309859154929583</v>
      </c>
      <c r="S1226" s="2">
        <f>[1]RawShipmentData!N1238</f>
        <v>4</v>
      </c>
      <c r="T1226" s="2" t="str">
        <f>IF(OR(UPPER(TRIM([1]RawShipmentData!O1238))="YES",UPPER(TRIM([1]RawShipmentData!O1238))="Y"),"Yes","No")</f>
        <v>No</v>
      </c>
    </row>
    <row r="1227" spans="1:20" x14ac:dyDescent="0.25">
      <c r="A1227" s="2" t="str">
        <f>[1]RawShipmentData!A1239</f>
        <v>SHP-100627</v>
      </c>
      <c r="B1227" s="3">
        <f>IF(ISNUMBER(SEARCH("/",TRIM([1]RawShipmentData!B1239))),DATE(VALUE(RIGHT(TRIM([1]RawShipmentData!B1239),4)),VALUE(MID(TRIM([1]RawShipmentData!B1239),FIND("/",TRIM([1]RawShipmentData!B1239))+1,2)),VALUE(LEFT(TRIM([1]RawShipmentData!B1239),FIND("/",TRIM([1]RawShipmentData!B1239))-1))),DATEVALUE(TRIM([1]RawShipmentData!B1239)))</f>
        <v>45341</v>
      </c>
      <c r="C1227" s="2" t="str">
        <f>PROPER(TRIM([1]RawShipmentData!C1239))</f>
        <v>Chennai</v>
      </c>
      <c r="D1227" s="2" t="str">
        <f>IFERROR(INDEX([1]HubMaster!$B$2:$B$7,MATCH(C1227,[1]HubMaster!$A$2:$A$7,0)),"Unknown")</f>
        <v>South</v>
      </c>
      <c r="E1227" s="2" t="str">
        <f>PROPER(TRIM(SUBSTITUTE([1]RawShipmentData!D1239,"  "," ")))</f>
        <v>Ecom Express</v>
      </c>
      <c r="F1227" s="2" t="str">
        <f>PROPER(TRIM([1]RawShipmentData!E1239))</f>
        <v>Surface</v>
      </c>
      <c r="G1227" s="2" t="str">
        <f>PROPER(TRIM(SUBSTITUTE([1]RawShipmentData!F1239,"  "," ")))</f>
        <v>Pharma</v>
      </c>
      <c r="H1227" s="2" t="str">
        <f>PROPER(TRIM([1]RawShipmentData!G1239))</f>
        <v>East</v>
      </c>
      <c r="I1227" s="2" t="str">
        <f t="shared" si="95"/>
        <v>Yes</v>
      </c>
      <c r="J1227" s="2">
        <f>IFERROR(VALUE(TRIM(SUBSTITUTE(UPPER([1]RawShipmentData!I1227),"KG",""))),"")</f>
        <v>16.8</v>
      </c>
      <c r="K1227" s="2">
        <f>VALUE(SUBSTITUTE(SUBSTITUTE(SUBSTITUTE(TRIM([1]RawShipmentData!J1239),"₹",""),"Rs",""),",",""))</f>
        <v>201</v>
      </c>
      <c r="L1227" s="2">
        <f>[1]RawShipmentData!K1239</f>
        <v>6</v>
      </c>
      <c r="M1227" s="3">
        <f>IF(TRIM([1]RawShipmentData!L1239)="","",IF(ISNUMBER(SEARCH("/",TRIM([1]RawShipmentData!L1239))),DATE(VALUE(RIGHT(TRIM([1]RawShipmentData!L1239),4)),VALUE(MID(TRIM([1]RawShipmentData!L1239),FIND("/",TRIM([1]RawShipmentData!L1239))+1,2)),VALUE(LEFT(TRIM([1]RawShipmentData!L1239),FIND("/",TRIM([1]RawShipmentData!L1239))-1))),DATEVALUE(TRIM([1]RawShipmentData!L1239))))</f>
        <v>45347</v>
      </c>
      <c r="N1227" s="2">
        <f t="shared" si="96"/>
        <v>6</v>
      </c>
      <c r="O1227" s="2">
        <f t="shared" si="97"/>
        <v>0</v>
      </c>
      <c r="P1227" s="2" t="str">
        <f t="shared" si="98"/>
        <v>On Time</v>
      </c>
      <c r="Q1227" s="2" t="str">
        <f>PROPER(SUBSTITUTE(TRIM([1]RawShipmentData!M1239)," ","-"))</f>
        <v>Delivered</v>
      </c>
      <c r="R1227" s="4">
        <f t="shared" si="99"/>
        <v>11.964285714285714</v>
      </c>
      <c r="S1227" s="2">
        <f>[1]RawShipmentData!N1239</f>
        <v>5</v>
      </c>
      <c r="T1227" s="2" t="str">
        <f>IF(OR(UPPER(TRIM([1]RawShipmentData!O1239))="YES",UPPER(TRIM([1]RawShipmentData!O1239))="Y"),"Yes","No")</f>
        <v>No</v>
      </c>
    </row>
    <row r="1228" spans="1:20" x14ac:dyDescent="0.25">
      <c r="A1228" s="2" t="str">
        <f>[1]RawShipmentData!A1240</f>
        <v>SHP-100483</v>
      </c>
      <c r="B1228" s="3">
        <f>IF(ISNUMBER(SEARCH("/",TRIM([1]RawShipmentData!B1240))),DATE(VALUE(RIGHT(TRIM([1]RawShipmentData!B1240),4)),VALUE(MID(TRIM([1]RawShipmentData!B1240),FIND("/",TRIM([1]RawShipmentData!B1240))+1,2)),VALUE(LEFT(TRIM([1]RawShipmentData!B1240),FIND("/",TRIM([1]RawShipmentData!B1240))-1))),DATEVALUE(TRIM([1]RawShipmentData!B1240)))</f>
        <v>45304</v>
      </c>
      <c r="C1228" s="2" t="str">
        <f>PROPER(TRIM([1]RawShipmentData!C1240))</f>
        <v>Chennai</v>
      </c>
      <c r="D1228" s="2" t="str">
        <f>IFERROR(INDEX([1]HubMaster!$B$2:$B$7,MATCH(C1228,[1]HubMaster!$A$2:$A$7,0)),"Unknown")</f>
        <v>South</v>
      </c>
      <c r="E1228" s="2" t="str">
        <f>PROPER(TRIM(SUBSTITUTE([1]RawShipmentData!D1240,"  "," ")))</f>
        <v>Xpressbees</v>
      </c>
      <c r="F1228" s="2" t="str">
        <f>PROPER(TRIM([1]RawShipmentData!E1240))</f>
        <v>Road</v>
      </c>
      <c r="G1228" s="2" t="str">
        <f>PROPER(TRIM(SUBSTITUTE([1]RawShipmentData!F1240,"  "," ")))</f>
        <v>Electronics</v>
      </c>
      <c r="H1228" s="2" t="str">
        <f>PROPER(TRIM([1]RawShipmentData!G1240))</f>
        <v>North</v>
      </c>
      <c r="I1228" s="2" t="str">
        <f t="shared" si="95"/>
        <v>Yes</v>
      </c>
      <c r="J1228" s="2">
        <f>IFERROR(VALUE(TRIM(SUBSTITUTE(UPPER([1]RawShipmentData!I1228),"KG",""))),"")</f>
        <v>11.2</v>
      </c>
      <c r="K1228" s="2">
        <f>VALUE(SUBSTITUTE(SUBSTITUTE(SUBSTITUTE(TRIM([1]RawShipmentData!J1240),"₹",""),"Rs",""),",",""))</f>
        <v>219</v>
      </c>
      <c r="L1228" s="2">
        <f>[1]RawShipmentData!K1240</f>
        <v>8</v>
      </c>
      <c r="M1228" s="3">
        <f>IF(TRIM([1]RawShipmentData!L1240)="","",IF(ISNUMBER(SEARCH("/",TRIM([1]RawShipmentData!L1240))),DATE(VALUE(RIGHT(TRIM([1]RawShipmentData!L1240),4)),VALUE(MID(TRIM([1]RawShipmentData!L1240),FIND("/",TRIM([1]RawShipmentData!L1240))+1,2)),VALUE(LEFT(TRIM([1]RawShipmentData!L1240),FIND("/",TRIM([1]RawShipmentData!L1240))-1))),DATEVALUE(TRIM([1]RawShipmentData!L1240))))</f>
        <v>45312</v>
      </c>
      <c r="N1228" s="2">
        <f t="shared" si="96"/>
        <v>8</v>
      </c>
      <c r="O1228" s="2">
        <f t="shared" si="97"/>
        <v>0</v>
      </c>
      <c r="P1228" s="2" t="str">
        <f t="shared" si="98"/>
        <v>On Time</v>
      </c>
      <c r="Q1228" s="2" t="str">
        <f>PROPER(SUBSTITUTE(TRIM([1]RawShipmentData!M1240)," ","-"))</f>
        <v>Delivered</v>
      </c>
      <c r="R1228" s="4">
        <f t="shared" si="99"/>
        <v>19.553571428571431</v>
      </c>
      <c r="S1228" s="2">
        <f>[1]RawShipmentData!N1240</f>
        <v>5</v>
      </c>
      <c r="T1228" s="2" t="str">
        <f>IF(OR(UPPER(TRIM([1]RawShipmentData!O1240))="YES",UPPER(TRIM([1]RawShipmentData!O1240))="Y"),"Yes","No")</f>
        <v>No</v>
      </c>
    </row>
    <row r="1229" spans="1:20" x14ac:dyDescent="0.25">
      <c r="A1229" s="2" t="str">
        <f>[1]RawShipmentData!A1241</f>
        <v>SHP-100725</v>
      </c>
      <c r="B1229" s="3">
        <f>IF(ISNUMBER(SEARCH("/",TRIM([1]RawShipmentData!B1241))),DATE(VALUE(RIGHT(TRIM([1]RawShipmentData!B1241),4)),VALUE(MID(TRIM([1]RawShipmentData!B1241),FIND("/",TRIM([1]RawShipmentData!B1241))+1,2)),VALUE(LEFT(TRIM([1]RawShipmentData!B1241),FIND("/",TRIM([1]RawShipmentData!B1241))-1))),DATEVALUE(TRIM([1]RawShipmentData!B1241)))</f>
        <v>45386</v>
      </c>
      <c r="C1229" s="2" t="str">
        <f>PROPER(TRIM([1]RawShipmentData!C1241))</f>
        <v>Delhi</v>
      </c>
      <c r="D1229" s="2" t="str">
        <f>IFERROR(INDEX([1]HubMaster!$B$2:$B$7,MATCH(C1229,[1]HubMaster!$A$2:$A$7,0)),"Unknown")</f>
        <v>North</v>
      </c>
      <c r="E1229" s="2" t="str">
        <f>PROPER(TRIM(SUBSTITUTE([1]RawShipmentData!D1241,"  "," ")))</f>
        <v>Xpressbees</v>
      </c>
      <c r="F1229" s="2" t="str">
        <f>PROPER(TRIM([1]RawShipmentData!E1241))</f>
        <v>Surface</v>
      </c>
      <c r="G1229" s="2" t="str">
        <f>PROPER(TRIM(SUBSTITUTE([1]RawShipmentData!F1241,"  "," ")))</f>
        <v/>
      </c>
      <c r="H1229" s="2" t="str">
        <f>PROPER(TRIM([1]RawShipmentData!G1241))</f>
        <v>East</v>
      </c>
      <c r="I1229" s="2" t="str">
        <f t="shared" si="95"/>
        <v>Yes</v>
      </c>
      <c r="J1229" s="2">
        <f>IFERROR(VALUE(TRIM(SUBSTITUTE(UPPER([1]RawShipmentData!I1229),"KG",""))),"")</f>
        <v>14.7</v>
      </c>
      <c r="K1229" s="2">
        <f>VALUE(SUBSTITUTE(SUBSTITUTE(SUBSTITUTE(TRIM([1]RawShipmentData!J1241),"₹",""),"Rs",""),",",""))</f>
        <v>834</v>
      </c>
      <c r="L1229" s="2">
        <f>[1]RawShipmentData!K1241</f>
        <v>6</v>
      </c>
      <c r="M1229" s="3">
        <f>IF(TRIM([1]RawShipmentData!L1241)="","",IF(ISNUMBER(SEARCH("/",TRIM([1]RawShipmentData!L1241))),DATE(VALUE(RIGHT(TRIM([1]RawShipmentData!L1241),4)),VALUE(MID(TRIM([1]RawShipmentData!L1241),FIND("/",TRIM([1]RawShipmentData!L1241))+1,2)),VALUE(LEFT(TRIM([1]RawShipmentData!L1241),FIND("/",TRIM([1]RawShipmentData!L1241))-1))),DATEVALUE(TRIM([1]RawShipmentData!L1241))))</f>
        <v>45393</v>
      </c>
      <c r="N1229" s="2">
        <f t="shared" si="96"/>
        <v>7</v>
      </c>
      <c r="O1229" s="2">
        <f t="shared" si="97"/>
        <v>1</v>
      </c>
      <c r="P1229" s="2" t="str">
        <f t="shared" si="98"/>
        <v>Late</v>
      </c>
      <c r="Q1229" s="2" t="str">
        <f>PROPER(SUBSTITUTE(TRIM([1]RawShipmentData!M1241)," ","-"))</f>
        <v>Returned</v>
      </c>
      <c r="R1229" s="4">
        <f t="shared" si="99"/>
        <v>56.734693877551024</v>
      </c>
      <c r="S1229" s="2">
        <f>[1]RawShipmentData!N1241</f>
        <v>0</v>
      </c>
      <c r="T1229" s="2" t="str">
        <f>IF(OR(UPPER(TRIM([1]RawShipmentData!O1241))="YES",UPPER(TRIM([1]RawShipmentData!O1241))="Y"),"Yes","No")</f>
        <v>Yes</v>
      </c>
    </row>
    <row r="1230" spans="1:20" x14ac:dyDescent="0.25">
      <c r="A1230" s="2" t="str">
        <f>[1]RawShipmentData!A1242</f>
        <v>SHP-101288</v>
      </c>
      <c r="B1230" s="3">
        <f>IF(ISNUMBER(SEARCH("/",TRIM([1]RawShipmentData!B1242))),DATE(VALUE(RIGHT(TRIM([1]RawShipmentData!B1242),4)),VALUE(MID(TRIM([1]RawShipmentData!B1242),FIND("/",TRIM([1]RawShipmentData!B1242))+1,2)),VALUE(LEFT(TRIM([1]RawShipmentData!B1242),FIND("/",TRIM([1]RawShipmentData!B1242))-1))),DATEVALUE(TRIM([1]RawShipmentData!B1242)))</f>
        <v>45328</v>
      </c>
      <c r="C1230" s="2" t="str">
        <f>PROPER(TRIM([1]RawShipmentData!C1242))</f>
        <v>Chennai</v>
      </c>
      <c r="D1230" s="2" t="str">
        <f>IFERROR(INDEX([1]HubMaster!$B$2:$B$7,MATCH(C1230,[1]HubMaster!$A$2:$A$7,0)),"Unknown")</f>
        <v>South</v>
      </c>
      <c r="E1230" s="2" t="str">
        <f>PROPER(TRIM(SUBSTITUTE([1]RawShipmentData!D1242,"  "," ")))</f>
        <v>Dtdc</v>
      </c>
      <c r="F1230" s="2" t="str">
        <f>PROPER(TRIM([1]RawShipmentData!E1242))</f>
        <v>Road</v>
      </c>
      <c r="G1230" s="2" t="str">
        <f>PROPER(TRIM(SUBSTITUTE([1]RawShipmentData!F1242,"  "," ")))</f>
        <v>Furniture</v>
      </c>
      <c r="H1230" s="2" t="str">
        <f>PROPER(TRIM([1]RawShipmentData!G1242))</f>
        <v>North</v>
      </c>
      <c r="I1230" s="2" t="str">
        <f t="shared" si="95"/>
        <v>Yes</v>
      </c>
      <c r="J1230" s="2">
        <f>IFERROR(VALUE(TRIM(SUBSTITUTE(UPPER([1]RawShipmentData!I1230),"KG",""))),"")</f>
        <v>0.8</v>
      </c>
      <c r="K1230" s="2">
        <f>VALUE(SUBSTITUTE(SUBSTITUTE(SUBSTITUTE(TRIM([1]RawShipmentData!J1242),"₹",""),"Rs",""),",",""))</f>
        <v>454</v>
      </c>
      <c r="L1230" s="2">
        <f>[1]RawShipmentData!K1242</f>
        <v>8</v>
      </c>
      <c r="M1230" s="3">
        <f>IF(TRIM([1]RawShipmentData!L1242)="","",IF(ISNUMBER(SEARCH("/",TRIM([1]RawShipmentData!L1242))),DATE(VALUE(RIGHT(TRIM([1]RawShipmentData!L1242),4)),VALUE(MID(TRIM([1]RawShipmentData!L1242),FIND("/",TRIM([1]RawShipmentData!L1242))+1,2)),VALUE(LEFT(TRIM([1]RawShipmentData!L1242),FIND("/",TRIM([1]RawShipmentData!L1242))-1))),DATEVALUE(TRIM([1]RawShipmentData!L1242))))</f>
        <v>45339</v>
      </c>
      <c r="N1230" s="2">
        <f t="shared" si="96"/>
        <v>11</v>
      </c>
      <c r="O1230" s="2">
        <f t="shared" si="97"/>
        <v>3</v>
      </c>
      <c r="P1230" s="2" t="str">
        <f t="shared" si="98"/>
        <v>Late</v>
      </c>
      <c r="Q1230" s="2" t="str">
        <f>PROPER(SUBSTITUTE(TRIM([1]RawShipmentData!M1242)," ","-"))</f>
        <v>Delayed</v>
      </c>
      <c r="R1230" s="4">
        <f t="shared" si="99"/>
        <v>567.5</v>
      </c>
      <c r="S1230" s="2">
        <f>[1]RawShipmentData!N1242</f>
        <v>2</v>
      </c>
      <c r="T1230" s="2" t="str">
        <f>IF(OR(UPPER(TRIM([1]RawShipmentData!O1242))="YES",UPPER(TRIM([1]RawShipmentData!O1242))="Y"),"Yes","No")</f>
        <v>No</v>
      </c>
    </row>
    <row r="1231" spans="1:20" x14ac:dyDescent="0.25">
      <c r="A1231" s="2" t="str">
        <f>[1]RawShipmentData!A1243</f>
        <v>SHP-100803</v>
      </c>
      <c r="B1231" s="3">
        <f>IF(ISNUMBER(SEARCH("/",TRIM([1]RawShipmentData!B1243))),DATE(VALUE(RIGHT(TRIM([1]RawShipmentData!B1243),4)),VALUE(MID(TRIM([1]RawShipmentData!B1243),FIND("/",TRIM([1]RawShipmentData!B1243))+1,2)),VALUE(LEFT(TRIM([1]RawShipmentData!B1243),FIND("/",TRIM([1]RawShipmentData!B1243))-1))),DATEVALUE(TRIM([1]RawShipmentData!B1243)))</f>
        <v>45369</v>
      </c>
      <c r="C1231" s="2" t="str">
        <f>PROPER(TRIM([1]RawShipmentData!C1243))</f>
        <v>Kolkata</v>
      </c>
      <c r="D1231" s="2" t="str">
        <f>IFERROR(INDEX([1]HubMaster!$B$2:$B$7,MATCH(C1231,[1]HubMaster!$A$2:$A$7,0)),"Unknown")</f>
        <v>East</v>
      </c>
      <c r="E1231" s="2" t="str">
        <f>PROPER(TRIM(SUBSTITUTE([1]RawShipmentData!D1243,"  "," ")))</f>
        <v>Ecom Express</v>
      </c>
      <c r="F1231" s="2" t="str">
        <f>PROPER(TRIM([1]RawShipmentData!E1243))</f>
        <v>Air</v>
      </c>
      <c r="G1231" s="2" t="str">
        <f>PROPER(TRIM(SUBSTITUTE([1]RawShipmentData!F1243,"  "," ")))</f>
        <v>Pharma</v>
      </c>
      <c r="H1231" s="2" t="str">
        <f>PROPER(TRIM([1]RawShipmentData!G1243))</f>
        <v>South</v>
      </c>
      <c r="I1231" s="2" t="str">
        <f t="shared" si="95"/>
        <v>Yes</v>
      </c>
      <c r="J1231" s="2">
        <f>IFERROR(VALUE(TRIM(SUBSTITUTE(UPPER([1]RawShipmentData!I1231),"KG",""))),"")</f>
        <v>11.4</v>
      </c>
      <c r="K1231" s="2">
        <f>VALUE(SUBSTITUTE(SUBSTITUTE(SUBSTITUTE(TRIM([1]RawShipmentData!J1243),"₹",""),"Rs",""),",",""))</f>
        <v>270</v>
      </c>
      <c r="L1231" s="2">
        <f>[1]RawShipmentData!K1243</f>
        <v>4</v>
      </c>
      <c r="M1231" s="3">
        <f>IF(TRIM([1]RawShipmentData!L1243)="","",IF(ISNUMBER(SEARCH("/",TRIM([1]RawShipmentData!L1243))),DATE(VALUE(RIGHT(TRIM([1]RawShipmentData!L1243),4)),VALUE(MID(TRIM([1]RawShipmentData!L1243),FIND("/",TRIM([1]RawShipmentData!L1243))+1,2)),VALUE(LEFT(TRIM([1]RawShipmentData!L1243),FIND("/",TRIM([1]RawShipmentData!L1243))-1))),DATEVALUE(TRIM([1]RawShipmentData!L1243))))</f>
        <v>45379</v>
      </c>
      <c r="N1231" s="2">
        <f t="shared" si="96"/>
        <v>10</v>
      </c>
      <c r="O1231" s="2">
        <f t="shared" si="97"/>
        <v>6</v>
      </c>
      <c r="P1231" s="2" t="str">
        <f t="shared" si="98"/>
        <v>Late</v>
      </c>
      <c r="Q1231" s="2" t="str">
        <f>PROPER(SUBSTITUTE(TRIM([1]RawShipmentData!M1243)," ","-"))</f>
        <v>Delayed</v>
      </c>
      <c r="R1231" s="4">
        <f t="shared" si="99"/>
        <v>23.684210526315788</v>
      </c>
      <c r="S1231" s="2">
        <f>[1]RawShipmentData!N1243</f>
        <v>4</v>
      </c>
      <c r="T1231" s="2" t="str">
        <f>IF(OR(UPPER(TRIM([1]RawShipmentData!O1243))="YES",UPPER(TRIM([1]RawShipmentData!O1243))="Y"),"Yes","No")</f>
        <v>No</v>
      </c>
    </row>
    <row r="1232" spans="1:20" x14ac:dyDescent="0.25">
      <c r="A1232" s="2" t="str">
        <f>[1]RawShipmentData!A1244</f>
        <v>SHP-100415</v>
      </c>
      <c r="B1232" s="3">
        <f>IF(ISNUMBER(SEARCH("/",TRIM([1]RawShipmentData!B1244))),DATE(VALUE(RIGHT(TRIM([1]RawShipmentData!B1244),4)),VALUE(MID(TRIM([1]RawShipmentData!B1244),FIND("/",TRIM([1]RawShipmentData!B1244))+1,2)),VALUE(LEFT(TRIM([1]RawShipmentData!B1244),FIND("/",TRIM([1]RawShipmentData!B1244))-1))),DATEVALUE(TRIM([1]RawShipmentData!B1244)))</f>
        <v>45324</v>
      </c>
      <c r="C1232" s="2" t="str">
        <f>PROPER(TRIM([1]RawShipmentData!C1244))</f>
        <v>Delhi</v>
      </c>
      <c r="D1232" s="2" t="str">
        <f>IFERROR(INDEX([1]HubMaster!$B$2:$B$7,MATCH(C1232,[1]HubMaster!$A$2:$A$7,0)),"Unknown")</f>
        <v>North</v>
      </c>
      <c r="E1232" s="2" t="str">
        <f>PROPER(TRIM(SUBSTITUTE([1]RawShipmentData!D1244,"  "," ")))</f>
        <v>Xpressbees</v>
      </c>
      <c r="F1232" s="2" t="str">
        <f>PROPER(TRIM([1]RawShipmentData!E1244))</f>
        <v>Air</v>
      </c>
      <c r="G1232" s="2" t="str">
        <f>PROPER(TRIM(SUBSTITUTE([1]RawShipmentData!F1244,"  "," ")))</f>
        <v>Electronics</v>
      </c>
      <c r="H1232" s="2" t="str">
        <f>PROPER(TRIM([1]RawShipmentData!G1244))</f>
        <v>North</v>
      </c>
      <c r="I1232" s="2" t="str">
        <f t="shared" si="95"/>
        <v>No</v>
      </c>
      <c r="J1232" s="2">
        <f>IFERROR(VALUE(TRIM(SUBSTITUTE(UPPER([1]RawShipmentData!I1232),"KG",""))),"")</f>
        <v>8.9</v>
      </c>
      <c r="K1232" s="2">
        <f>VALUE(SUBSTITUTE(SUBSTITUTE(SUBSTITUTE(TRIM([1]RawShipmentData!J1244),"₹",""),"Rs",""),",",""))</f>
        <v>271</v>
      </c>
      <c r="L1232" s="2">
        <f>[1]RawShipmentData!K1244</f>
        <v>2</v>
      </c>
      <c r="M1232" s="3">
        <f>IF(TRIM([1]RawShipmentData!L1244)="","",IF(ISNUMBER(SEARCH("/",TRIM([1]RawShipmentData!L1244))),DATE(VALUE(RIGHT(TRIM([1]RawShipmentData!L1244),4)),VALUE(MID(TRIM([1]RawShipmentData!L1244),FIND("/",TRIM([1]RawShipmentData!L1244))+1,2)),VALUE(LEFT(TRIM([1]RawShipmentData!L1244),FIND("/",TRIM([1]RawShipmentData!L1244))-1))),DATEVALUE(TRIM([1]RawShipmentData!L1244))))</f>
        <v>45326</v>
      </c>
      <c r="N1232" s="2">
        <f t="shared" si="96"/>
        <v>2</v>
      </c>
      <c r="O1232" s="2">
        <f t="shared" si="97"/>
        <v>0</v>
      </c>
      <c r="P1232" s="2" t="str">
        <f t="shared" si="98"/>
        <v>On Time</v>
      </c>
      <c r="Q1232" s="2" t="str">
        <f>PROPER(SUBSTITUTE(TRIM([1]RawShipmentData!M1244)," ","-"))</f>
        <v>Delivered</v>
      </c>
      <c r="R1232" s="4">
        <f t="shared" si="99"/>
        <v>30.44943820224719</v>
      </c>
      <c r="S1232" s="2">
        <f>[1]RawShipmentData!N1244</f>
        <v>4</v>
      </c>
      <c r="T1232" s="2" t="str">
        <f>IF(OR(UPPER(TRIM([1]RawShipmentData!O1244))="YES",UPPER(TRIM([1]RawShipmentData!O1244))="Y"),"Yes","No")</f>
        <v>No</v>
      </c>
    </row>
    <row r="1233" spans="1:20" x14ac:dyDescent="0.25">
      <c r="A1233" s="2" t="str">
        <f>[1]RawShipmentData!A1245</f>
        <v>SHP-101146</v>
      </c>
      <c r="B1233" s="3">
        <f>IF(ISNUMBER(SEARCH("/",TRIM([1]RawShipmentData!B1245))),DATE(VALUE(RIGHT(TRIM([1]RawShipmentData!B1245),4)),VALUE(MID(TRIM([1]RawShipmentData!B1245),FIND("/",TRIM([1]RawShipmentData!B1245))+1,2)),VALUE(LEFT(TRIM([1]RawShipmentData!B1245),FIND("/",TRIM([1]RawShipmentData!B1245))-1))),DATEVALUE(TRIM([1]RawShipmentData!B1245)))</f>
        <v>45422</v>
      </c>
      <c r="C1233" s="2" t="str">
        <f>PROPER(TRIM([1]RawShipmentData!C1245))</f>
        <v>Mumbai</v>
      </c>
      <c r="D1233" s="2" t="str">
        <f>IFERROR(INDEX([1]HubMaster!$B$2:$B$7,MATCH(C1233,[1]HubMaster!$A$2:$A$7,0)),"Unknown")</f>
        <v>West</v>
      </c>
      <c r="E1233" s="2" t="str">
        <f>PROPER(TRIM(SUBSTITUTE([1]RawShipmentData!D1245,"  "," ")))</f>
        <v>Xpressbees</v>
      </c>
      <c r="F1233" s="2" t="str">
        <f>PROPER(TRIM([1]RawShipmentData!E1245))</f>
        <v>Road</v>
      </c>
      <c r="G1233" s="2" t="str">
        <f>PROPER(TRIM(SUBSTITUTE([1]RawShipmentData!F1245,"  "," ")))</f>
        <v>Pharma</v>
      </c>
      <c r="H1233" s="2" t="str">
        <f>PROPER(TRIM([1]RawShipmentData!G1245))</f>
        <v>West</v>
      </c>
      <c r="I1233" s="2" t="str">
        <f t="shared" si="95"/>
        <v>No</v>
      </c>
      <c r="J1233" s="2">
        <f>IFERROR(VALUE(TRIM(SUBSTITUTE(UPPER([1]RawShipmentData!I1233),"KG",""))),"")</f>
        <v>10.5</v>
      </c>
      <c r="K1233" s="2">
        <f>VALUE(SUBSTITUTE(SUBSTITUTE(SUBSTITUTE(TRIM([1]RawShipmentData!J1245),"₹",""),"Rs",""),",",""))</f>
        <v>80</v>
      </c>
      <c r="L1233" s="2">
        <f>[1]RawShipmentData!K1245</f>
        <v>6</v>
      </c>
      <c r="M1233" s="3">
        <f>IF(TRIM([1]RawShipmentData!L1245)="","",IF(ISNUMBER(SEARCH("/",TRIM([1]RawShipmentData!L1245))),DATE(VALUE(RIGHT(TRIM([1]RawShipmentData!L1245),4)),VALUE(MID(TRIM([1]RawShipmentData!L1245),FIND("/",TRIM([1]RawShipmentData!L1245))+1,2)),VALUE(LEFT(TRIM([1]RawShipmentData!L1245),FIND("/",TRIM([1]RawShipmentData!L1245))-1))),DATEVALUE(TRIM([1]RawShipmentData!L1245))))</f>
        <v>45427</v>
      </c>
      <c r="N1233" s="2">
        <f t="shared" si="96"/>
        <v>5</v>
      </c>
      <c r="O1233" s="2">
        <f t="shared" si="97"/>
        <v>-1</v>
      </c>
      <c r="P1233" s="2" t="str">
        <f t="shared" si="98"/>
        <v>On Time</v>
      </c>
      <c r="Q1233" s="2" t="str">
        <f>PROPER(SUBSTITUTE(TRIM([1]RawShipmentData!M1245)," ","-"))</f>
        <v>Damaged</v>
      </c>
      <c r="R1233" s="4">
        <f t="shared" si="99"/>
        <v>7.6190476190476186</v>
      </c>
      <c r="S1233" s="2">
        <f>[1]RawShipmentData!N1245</f>
        <v>0</v>
      </c>
      <c r="T1233" s="2" t="str">
        <f>IF(OR(UPPER(TRIM([1]RawShipmentData!O1245))="YES",UPPER(TRIM([1]RawShipmentData!O1245))="Y"),"Yes","No")</f>
        <v>No</v>
      </c>
    </row>
    <row r="1234" spans="1:20" x14ac:dyDescent="0.25">
      <c r="A1234" s="2" t="str">
        <f>[1]RawShipmentData!A1246</f>
        <v>SHP-101527</v>
      </c>
      <c r="B1234" s="3">
        <f>IF(ISNUMBER(SEARCH("/",TRIM([1]RawShipmentData!B1246))),DATE(VALUE(RIGHT(TRIM([1]RawShipmentData!B1246),4)),VALUE(MID(TRIM([1]RawShipmentData!B1246),FIND("/",TRIM([1]RawShipmentData!B1246))+1,2)),VALUE(LEFT(TRIM([1]RawShipmentData!B1246),FIND("/",TRIM([1]RawShipmentData!B1246))-1))),DATEVALUE(TRIM([1]RawShipmentData!B1246)))</f>
        <v>45308</v>
      </c>
      <c r="C1234" s="2" t="str">
        <f>PROPER(TRIM([1]RawShipmentData!C1246))</f>
        <v>Hyderabad</v>
      </c>
      <c r="D1234" s="2" t="str">
        <f>IFERROR(INDEX([1]HubMaster!$B$2:$B$7,MATCH(C1234,[1]HubMaster!$A$2:$A$7,0)),"Unknown")</f>
        <v>West</v>
      </c>
      <c r="E1234" s="2" t="str">
        <f>PROPER(TRIM(SUBSTITUTE([1]RawShipmentData!D1246,"  "," ")))</f>
        <v>Bluedart</v>
      </c>
      <c r="F1234" s="2" t="str">
        <f>PROPER(TRIM([1]RawShipmentData!E1246))</f>
        <v>Road</v>
      </c>
      <c r="G1234" s="2" t="str">
        <f>PROPER(TRIM(SUBSTITUTE([1]RawShipmentData!F1246,"  "," ")))</f>
        <v>Grocery &amp; Fmcg</v>
      </c>
      <c r="H1234" s="2" t="str">
        <f>PROPER(TRIM([1]RawShipmentData!G1246))</f>
        <v>East</v>
      </c>
      <c r="I1234" s="2" t="str">
        <f t="shared" si="95"/>
        <v>Yes</v>
      </c>
      <c r="J1234" s="2">
        <f>IFERROR(VALUE(TRIM(SUBSTITUTE(UPPER([1]RawShipmentData!I1234),"KG",""))),"")</f>
        <v>9.6</v>
      </c>
      <c r="K1234" s="2">
        <f>VALUE(SUBSTITUTE(SUBSTITUTE(SUBSTITUTE(TRIM([1]RawShipmentData!J1246),"₹",""),"Rs",""),",",""))</f>
        <v>409</v>
      </c>
      <c r="L1234" s="2">
        <f>[1]RawShipmentData!K1246</f>
        <v>8</v>
      </c>
      <c r="M1234" s="3">
        <f>IF(TRIM([1]RawShipmentData!L1246)="","",IF(ISNUMBER(SEARCH("/",TRIM([1]RawShipmentData!L1246))),DATE(VALUE(RIGHT(TRIM([1]RawShipmentData!L1246),4)),VALUE(MID(TRIM([1]RawShipmentData!L1246),FIND("/",TRIM([1]RawShipmentData!L1246))+1,2)),VALUE(LEFT(TRIM([1]RawShipmentData!L1246),FIND("/",TRIM([1]RawShipmentData!L1246))-1))),DATEVALUE(TRIM([1]RawShipmentData!L1246))))</f>
        <v>45315</v>
      </c>
      <c r="N1234" s="2">
        <f t="shared" si="96"/>
        <v>7</v>
      </c>
      <c r="O1234" s="2">
        <f t="shared" si="97"/>
        <v>-1</v>
      </c>
      <c r="P1234" s="2" t="str">
        <f t="shared" si="98"/>
        <v>On Time</v>
      </c>
      <c r="Q1234" s="2" t="str">
        <f>PROPER(SUBSTITUTE(TRIM([1]RawShipmentData!M1246)," ","-"))</f>
        <v>Damaged</v>
      </c>
      <c r="R1234" s="4">
        <f t="shared" si="99"/>
        <v>42.604166666666671</v>
      </c>
      <c r="S1234" s="2">
        <f>[1]RawShipmentData!N1246</f>
        <v>0</v>
      </c>
      <c r="T1234" s="2" t="str">
        <f>IF(OR(UPPER(TRIM([1]RawShipmentData!O1246))="YES",UPPER(TRIM([1]RawShipmentData!O1246))="Y"),"Yes","No")</f>
        <v>No</v>
      </c>
    </row>
    <row r="1235" spans="1:20" x14ac:dyDescent="0.25">
      <c r="A1235" s="2" t="str">
        <f>[1]RawShipmentData!A1247</f>
        <v>SHP-100513</v>
      </c>
      <c r="B1235" s="3">
        <f>IF(ISNUMBER(SEARCH("/",TRIM([1]RawShipmentData!B1247))),DATE(VALUE(RIGHT(TRIM([1]RawShipmentData!B1247),4)),VALUE(MID(TRIM([1]RawShipmentData!B1247),FIND("/",TRIM([1]RawShipmentData!B1247))+1,2)),VALUE(LEFT(TRIM([1]RawShipmentData!B1247),FIND("/",TRIM([1]RawShipmentData!B1247))-1))),DATEVALUE(TRIM([1]RawShipmentData!B1247)))</f>
        <v>45456</v>
      </c>
      <c r="C1235" s="2" t="str">
        <f>PROPER(TRIM([1]RawShipmentData!C1247))</f>
        <v>Chennai</v>
      </c>
      <c r="D1235" s="2" t="str">
        <f>IFERROR(INDEX([1]HubMaster!$B$2:$B$7,MATCH(C1235,[1]HubMaster!$A$2:$A$7,0)),"Unknown")</f>
        <v>South</v>
      </c>
      <c r="E1235" s="2" t="str">
        <f>PROPER(TRIM(SUBSTITUTE([1]RawShipmentData!D1247,"  "," ")))</f>
        <v>Delhivery</v>
      </c>
      <c r="F1235" s="2" t="str">
        <f>PROPER(TRIM([1]RawShipmentData!E1247))</f>
        <v>Air</v>
      </c>
      <c r="G1235" s="2" t="str">
        <f>PROPER(TRIM(SUBSTITUTE([1]RawShipmentData!F1247,"  "," ")))</f>
        <v>Pharma</v>
      </c>
      <c r="H1235" s="2" t="str">
        <f>PROPER(TRIM([1]RawShipmentData!G1247))</f>
        <v>North</v>
      </c>
      <c r="I1235" s="2" t="str">
        <f t="shared" si="95"/>
        <v>Yes</v>
      </c>
      <c r="J1235" s="2">
        <f>IFERROR(VALUE(TRIM(SUBSTITUTE(UPPER([1]RawShipmentData!I1235),"KG",""))),"")</f>
        <v>2.6</v>
      </c>
      <c r="K1235" s="2">
        <f>VALUE(SUBSTITUTE(SUBSTITUTE(SUBSTITUTE(TRIM([1]RawShipmentData!J1247),"₹",""),"Rs",""),",",""))</f>
        <v>280</v>
      </c>
      <c r="L1235" s="2">
        <f>[1]RawShipmentData!K1247</f>
        <v>4</v>
      </c>
      <c r="M1235" s="3">
        <f>IF(TRIM([1]RawShipmentData!L1247)="","",IF(ISNUMBER(SEARCH("/",TRIM([1]RawShipmentData!L1247))),DATE(VALUE(RIGHT(TRIM([1]RawShipmentData!L1247),4)),VALUE(MID(TRIM([1]RawShipmentData!L1247),FIND("/",TRIM([1]RawShipmentData!L1247))+1,2)),VALUE(LEFT(TRIM([1]RawShipmentData!L1247),FIND("/",TRIM([1]RawShipmentData!L1247))-1))),DATEVALUE(TRIM([1]RawShipmentData!L1247))))</f>
        <v>45460</v>
      </c>
      <c r="N1235" s="2">
        <f t="shared" si="96"/>
        <v>4</v>
      </c>
      <c r="O1235" s="2">
        <f t="shared" si="97"/>
        <v>0</v>
      </c>
      <c r="P1235" s="2" t="str">
        <f t="shared" si="98"/>
        <v>On Time</v>
      </c>
      <c r="Q1235" s="2" t="str">
        <f>PROPER(SUBSTITUTE(TRIM([1]RawShipmentData!M1247)," ","-"))</f>
        <v>Delivered</v>
      </c>
      <c r="R1235" s="4">
        <f t="shared" si="99"/>
        <v>107.69230769230769</v>
      </c>
      <c r="S1235" s="2">
        <f>[1]RawShipmentData!N1247</f>
        <v>5</v>
      </c>
      <c r="T1235" s="2" t="str">
        <f>IF(OR(UPPER(TRIM([1]RawShipmentData!O1247))="YES",UPPER(TRIM([1]RawShipmentData!O1247))="Y"),"Yes","No")</f>
        <v>No</v>
      </c>
    </row>
    <row r="1236" spans="1:20" x14ac:dyDescent="0.25">
      <c r="A1236" s="2" t="str">
        <f>[1]RawShipmentData!A1248</f>
        <v>SHP-101589</v>
      </c>
      <c r="B1236" s="3">
        <f>IF(ISNUMBER(SEARCH("/",TRIM([1]RawShipmentData!B1248))),DATE(VALUE(RIGHT(TRIM([1]RawShipmentData!B1248),4)),VALUE(MID(TRIM([1]RawShipmentData!B1248),FIND("/",TRIM([1]RawShipmentData!B1248))+1,2)),VALUE(LEFT(TRIM([1]RawShipmentData!B1248),FIND("/",TRIM([1]RawShipmentData!B1248))-1))),DATEVALUE(TRIM([1]RawShipmentData!B1248)))</f>
        <v>45403</v>
      </c>
      <c r="C1236" s="2" t="str">
        <f>PROPER(TRIM([1]RawShipmentData!C1248))</f>
        <v>Kolkata</v>
      </c>
      <c r="D1236" s="2" t="str">
        <f>IFERROR(INDEX([1]HubMaster!$B$2:$B$7,MATCH(C1236,[1]HubMaster!$A$2:$A$7,0)),"Unknown")</f>
        <v>East</v>
      </c>
      <c r="E1236" s="2" t="str">
        <f>PROPER(TRIM(SUBSTITUTE([1]RawShipmentData!D1248,"  "," ")))</f>
        <v>Bluedart</v>
      </c>
      <c r="F1236" s="2" t="str">
        <f>PROPER(TRIM([1]RawShipmentData!E1248))</f>
        <v>Surface</v>
      </c>
      <c r="G1236" s="2" t="str">
        <f>PROPER(TRIM(SUBSTITUTE([1]RawShipmentData!F1248,"  "," ")))</f>
        <v>Pharma</v>
      </c>
      <c r="H1236" s="2" t="str">
        <f>PROPER(TRIM([1]RawShipmentData!G1248))</f>
        <v>East</v>
      </c>
      <c r="I1236" s="2" t="str">
        <f t="shared" si="95"/>
        <v>No</v>
      </c>
      <c r="J1236" s="2">
        <f>IFERROR(VALUE(TRIM(SUBSTITUTE(UPPER([1]RawShipmentData!I1236),"KG",""))),"")</f>
        <v>23.2</v>
      </c>
      <c r="K1236" s="2">
        <f>VALUE(SUBSTITUTE(SUBSTITUTE(SUBSTITUTE(TRIM([1]RawShipmentData!J1248),"₹",""),"Rs",""),",",""))</f>
        <v>144</v>
      </c>
      <c r="L1236" s="2">
        <f>[1]RawShipmentData!K1248</f>
        <v>4</v>
      </c>
      <c r="M1236" s="3">
        <f>IF(TRIM([1]RawShipmentData!L1248)="","",IF(ISNUMBER(SEARCH("/",TRIM([1]RawShipmentData!L1248))),DATE(VALUE(RIGHT(TRIM([1]RawShipmentData!L1248),4)),VALUE(MID(TRIM([1]RawShipmentData!L1248),FIND("/",TRIM([1]RawShipmentData!L1248))+1,2)),VALUE(LEFT(TRIM([1]RawShipmentData!L1248),FIND("/",TRIM([1]RawShipmentData!L1248))-1))),DATEVALUE(TRIM([1]RawShipmentData!L1248))))</f>
        <v>45408</v>
      </c>
      <c r="N1236" s="2">
        <f t="shared" si="96"/>
        <v>5</v>
      </c>
      <c r="O1236" s="2">
        <f t="shared" si="97"/>
        <v>1</v>
      </c>
      <c r="P1236" s="2" t="str">
        <f t="shared" si="98"/>
        <v>Late</v>
      </c>
      <c r="Q1236" s="2" t="str">
        <f>PROPER(SUBSTITUTE(TRIM([1]RawShipmentData!M1248)," ","-"))</f>
        <v>Delayed</v>
      </c>
      <c r="R1236" s="4">
        <f t="shared" si="99"/>
        <v>6.2068965517241379</v>
      </c>
      <c r="S1236" s="2">
        <f>[1]RawShipmentData!N1248</f>
        <v>4</v>
      </c>
      <c r="T1236" s="2" t="str">
        <f>IF(OR(UPPER(TRIM([1]RawShipmentData!O1248))="YES",UPPER(TRIM([1]RawShipmentData!O1248))="Y"),"Yes","No")</f>
        <v>Yes</v>
      </c>
    </row>
    <row r="1237" spans="1:20" x14ac:dyDescent="0.25">
      <c r="A1237" s="2" t="str">
        <f>[1]RawShipmentData!A1249</f>
        <v>SHP-100475</v>
      </c>
      <c r="B1237" s="3">
        <f>IF(ISNUMBER(SEARCH("/",TRIM([1]RawShipmentData!B1249))),DATE(VALUE(RIGHT(TRIM([1]RawShipmentData!B1249),4)),VALUE(MID(TRIM([1]RawShipmentData!B1249),FIND("/",TRIM([1]RawShipmentData!B1249))+1,2)),VALUE(LEFT(TRIM([1]RawShipmentData!B1249),FIND("/",TRIM([1]RawShipmentData!B1249))-1))),DATEVALUE(TRIM([1]RawShipmentData!B1249)))</f>
        <v>45369</v>
      </c>
      <c r="C1237" s="2" t="str">
        <f>PROPER(TRIM([1]RawShipmentData!C1249))</f>
        <v>Chennai</v>
      </c>
      <c r="D1237" s="2" t="str">
        <f>IFERROR(INDEX([1]HubMaster!$B$2:$B$7,MATCH(C1237,[1]HubMaster!$A$2:$A$7,0)),"Unknown")</f>
        <v>South</v>
      </c>
      <c r="E1237" s="2" t="str">
        <f>PROPER(TRIM(SUBSTITUTE([1]RawShipmentData!D1249,"  "," ")))</f>
        <v>Xpressbees</v>
      </c>
      <c r="F1237" s="2" t="str">
        <f>PROPER(TRIM([1]RawShipmentData!E1249))</f>
        <v>Road</v>
      </c>
      <c r="G1237" s="2" t="str">
        <f>PROPER(TRIM(SUBSTITUTE([1]RawShipmentData!F1249,"  "," ")))</f>
        <v>Automotive Parts</v>
      </c>
      <c r="H1237" s="2" t="str">
        <f>PROPER(TRIM([1]RawShipmentData!G1249))</f>
        <v>North</v>
      </c>
      <c r="I1237" s="2" t="str">
        <f t="shared" si="95"/>
        <v>Yes</v>
      </c>
      <c r="J1237" s="2">
        <f>IFERROR(VALUE(TRIM(SUBSTITUTE(UPPER([1]RawShipmentData!I1237),"KG",""))),"")</f>
        <v>44</v>
      </c>
      <c r="K1237" s="2">
        <f>VALUE(SUBSTITUTE(SUBSTITUTE(SUBSTITUTE(TRIM([1]RawShipmentData!J1249),"₹",""),"Rs",""),",",""))</f>
        <v>529</v>
      </c>
      <c r="L1237" s="2">
        <f>[1]RawShipmentData!K1249</f>
        <v>8</v>
      </c>
      <c r="M1237" s="3">
        <f>IF(TRIM([1]RawShipmentData!L1249)="","",IF(ISNUMBER(SEARCH("/",TRIM([1]RawShipmentData!L1249))),DATE(VALUE(RIGHT(TRIM([1]RawShipmentData!L1249),4)),VALUE(MID(TRIM([1]RawShipmentData!L1249),FIND("/",TRIM([1]RawShipmentData!L1249))+1,2)),VALUE(LEFT(TRIM([1]RawShipmentData!L1249),FIND("/",TRIM([1]RawShipmentData!L1249))-1))),DATEVALUE(TRIM([1]RawShipmentData!L1249))))</f>
        <v>45378</v>
      </c>
      <c r="N1237" s="2">
        <f t="shared" si="96"/>
        <v>9</v>
      </c>
      <c r="O1237" s="2">
        <f t="shared" si="97"/>
        <v>1</v>
      </c>
      <c r="P1237" s="2" t="str">
        <f t="shared" si="98"/>
        <v>Late</v>
      </c>
      <c r="Q1237" s="2" t="str">
        <f>PROPER(SUBSTITUTE(TRIM([1]RawShipmentData!M1249)," ","-"))</f>
        <v>Delayed</v>
      </c>
      <c r="R1237" s="4">
        <f t="shared" si="99"/>
        <v>12.022727272727273</v>
      </c>
      <c r="S1237" s="2">
        <f>[1]RawShipmentData!N1249</f>
        <v>3</v>
      </c>
      <c r="T1237" s="2" t="str">
        <f>IF(OR(UPPER(TRIM([1]RawShipmentData!O1249))="YES",UPPER(TRIM([1]RawShipmentData!O1249))="Y"),"Yes","No")</f>
        <v>No</v>
      </c>
    </row>
    <row r="1238" spans="1:20" x14ac:dyDescent="0.25">
      <c r="A1238" s="2" t="str">
        <f>[1]RawShipmentData!A1250</f>
        <v>SHP-100302</v>
      </c>
      <c r="B1238" s="3">
        <f>IF(ISNUMBER(SEARCH("/",TRIM([1]RawShipmentData!B1250))),DATE(VALUE(RIGHT(TRIM([1]RawShipmentData!B1250),4)),VALUE(MID(TRIM([1]RawShipmentData!B1250),FIND("/",TRIM([1]RawShipmentData!B1250))+1,2)),VALUE(LEFT(TRIM([1]RawShipmentData!B1250),FIND("/",TRIM([1]RawShipmentData!B1250))-1))),DATEVALUE(TRIM([1]RawShipmentData!B1250)))</f>
        <v>45394</v>
      </c>
      <c r="C1238" s="2" t="str">
        <f>PROPER(TRIM([1]RawShipmentData!C1250))</f>
        <v>Bengaluru</v>
      </c>
      <c r="D1238" s="2" t="str">
        <f>IFERROR(INDEX([1]HubMaster!$B$2:$B$7,MATCH(C1238,[1]HubMaster!$A$2:$A$7,0)),"Unknown")</f>
        <v>South</v>
      </c>
      <c r="E1238" s="2" t="str">
        <f>PROPER(TRIM(SUBSTITUTE([1]RawShipmentData!D1250,"  "," ")))</f>
        <v>Ecom Express</v>
      </c>
      <c r="F1238" s="2" t="str">
        <f>PROPER(TRIM([1]RawShipmentData!E1250))</f>
        <v>Surface</v>
      </c>
      <c r="G1238" s="2" t="str">
        <f>PROPER(TRIM(SUBSTITUTE([1]RawShipmentData!F1250,"  "," ")))</f>
        <v>Furniture</v>
      </c>
      <c r="H1238" s="2" t="str">
        <f>PROPER(TRIM([1]RawShipmentData!G1250))</f>
        <v>North</v>
      </c>
      <c r="I1238" s="2" t="str">
        <f t="shared" si="95"/>
        <v>Yes</v>
      </c>
      <c r="J1238" s="2">
        <f>IFERROR(VALUE(TRIM(SUBSTITUTE(UPPER([1]RawShipmentData!I1238),"KG",""))),"")</f>
        <v>13.7</v>
      </c>
      <c r="K1238" s="2">
        <f>VALUE(SUBSTITUTE(SUBSTITUTE(SUBSTITUTE(TRIM([1]RawShipmentData!J1250),"₹",""),"Rs",""),",",""))</f>
        <v>1126</v>
      </c>
      <c r="L1238" s="2">
        <f>[1]RawShipmentData!K1250</f>
        <v>6</v>
      </c>
      <c r="M1238" s="3">
        <f>IF(TRIM([1]RawShipmentData!L1250)="","",IF(ISNUMBER(SEARCH("/",TRIM([1]RawShipmentData!L1250))),DATE(VALUE(RIGHT(TRIM([1]RawShipmentData!L1250),4)),VALUE(MID(TRIM([1]RawShipmentData!L1250),FIND("/",TRIM([1]RawShipmentData!L1250))+1,2)),VALUE(LEFT(TRIM([1]RawShipmentData!L1250),FIND("/",TRIM([1]RawShipmentData!L1250))-1))),DATEVALUE(TRIM([1]RawShipmentData!L1250))))</f>
        <v>45406</v>
      </c>
      <c r="N1238" s="2">
        <f t="shared" si="96"/>
        <v>12</v>
      </c>
      <c r="O1238" s="2">
        <f t="shared" si="97"/>
        <v>6</v>
      </c>
      <c r="P1238" s="2" t="str">
        <f t="shared" si="98"/>
        <v>Late</v>
      </c>
      <c r="Q1238" s="2" t="str">
        <f>PROPER(SUBSTITUTE(TRIM([1]RawShipmentData!M1250)," ","-"))</f>
        <v>Delayed</v>
      </c>
      <c r="R1238" s="4">
        <f t="shared" si="99"/>
        <v>82.189781021897815</v>
      </c>
      <c r="S1238" s="2">
        <f>[1]RawShipmentData!N1250</f>
        <v>2</v>
      </c>
      <c r="T1238" s="2" t="str">
        <f>IF(OR(UPPER(TRIM([1]RawShipmentData!O1250))="YES",UPPER(TRIM([1]RawShipmentData!O1250))="Y"),"Yes","No")</f>
        <v>Yes</v>
      </c>
    </row>
    <row r="1239" spans="1:20" x14ac:dyDescent="0.25">
      <c r="A1239" s="2" t="str">
        <f>[1]RawShipmentData!A1251</f>
        <v>SHP-101128</v>
      </c>
      <c r="B1239" s="3">
        <f>IF(ISNUMBER(SEARCH("/",TRIM([1]RawShipmentData!B1251))),DATE(VALUE(RIGHT(TRIM([1]RawShipmentData!B1251),4)),VALUE(MID(TRIM([1]RawShipmentData!B1251),FIND("/",TRIM([1]RawShipmentData!B1251))+1,2)),VALUE(LEFT(TRIM([1]RawShipmentData!B1251),FIND("/",TRIM([1]RawShipmentData!B1251))-1))),DATEVALUE(TRIM([1]RawShipmentData!B1251)))</f>
        <v>45358</v>
      </c>
      <c r="C1239" s="2" t="str">
        <f>PROPER(TRIM([1]RawShipmentData!C1251))</f>
        <v>Mumbai</v>
      </c>
      <c r="D1239" s="2" t="str">
        <f>IFERROR(INDEX([1]HubMaster!$B$2:$B$7,MATCH(C1239,[1]HubMaster!$A$2:$A$7,0)),"Unknown")</f>
        <v>West</v>
      </c>
      <c r="E1239" s="2" t="str">
        <f>PROPER(TRIM(SUBSTITUTE([1]RawShipmentData!D1251,"  "," ")))</f>
        <v>Bluedart</v>
      </c>
      <c r="F1239" s="2" t="str">
        <f>PROPER(TRIM([1]RawShipmentData!E1251))</f>
        <v>Surface</v>
      </c>
      <c r="G1239" s="2" t="str">
        <f>PROPER(TRIM(SUBSTITUTE([1]RawShipmentData!F1251,"  "," ")))</f>
        <v>Apparel</v>
      </c>
      <c r="H1239" s="2" t="str">
        <f>PROPER(TRIM([1]RawShipmentData!G1251))</f>
        <v>West</v>
      </c>
      <c r="I1239" s="2" t="str">
        <f t="shared" si="95"/>
        <v>No</v>
      </c>
      <c r="J1239" s="2">
        <f>IFERROR(VALUE(TRIM(SUBSTITUTE(UPPER([1]RawShipmentData!I1239),"KG",""))),"")</f>
        <v>0.8</v>
      </c>
      <c r="K1239" s="2">
        <f>VALUE(SUBSTITUTE(SUBSTITUTE(SUBSTITUTE(TRIM([1]RawShipmentData!J1251),"₹",""),"Rs",""),",",""))</f>
        <v>152</v>
      </c>
      <c r="L1239" s="2">
        <f>[1]RawShipmentData!K1251</f>
        <v>4</v>
      </c>
      <c r="M1239" s="3">
        <f>IF(TRIM([1]RawShipmentData!L1251)="","",IF(ISNUMBER(SEARCH("/",TRIM([1]RawShipmentData!L1251))),DATE(VALUE(RIGHT(TRIM([1]RawShipmentData!L1251),4)),VALUE(MID(TRIM([1]RawShipmentData!L1251),FIND("/",TRIM([1]RawShipmentData!L1251))+1,2)),VALUE(LEFT(TRIM([1]RawShipmentData!L1251),FIND("/",TRIM([1]RawShipmentData!L1251))-1))),DATEVALUE(TRIM([1]RawShipmentData!L1251))))</f>
        <v>45363</v>
      </c>
      <c r="N1239" s="2">
        <f t="shared" si="96"/>
        <v>5</v>
      </c>
      <c r="O1239" s="2">
        <f t="shared" si="97"/>
        <v>1</v>
      </c>
      <c r="P1239" s="2" t="str">
        <f t="shared" si="98"/>
        <v>Late</v>
      </c>
      <c r="Q1239" s="2" t="str">
        <f>PROPER(SUBSTITUTE(TRIM([1]RawShipmentData!M1251)," ","-"))</f>
        <v>Delayed</v>
      </c>
      <c r="R1239" s="4">
        <f t="shared" si="99"/>
        <v>190</v>
      </c>
      <c r="S1239" s="2">
        <f>[1]RawShipmentData!N1251</f>
        <v>1</v>
      </c>
      <c r="T1239" s="2" t="str">
        <f>IF(OR(UPPER(TRIM([1]RawShipmentData!O1251))="YES",UPPER(TRIM([1]RawShipmentData!O1251))="Y"),"Yes","No")</f>
        <v>No</v>
      </c>
    </row>
    <row r="1240" spans="1:20" x14ac:dyDescent="0.25">
      <c r="A1240" s="2" t="str">
        <f>[1]RawShipmentData!A1252</f>
        <v>SHP-101017</v>
      </c>
      <c r="B1240" s="3">
        <f>IF(ISNUMBER(SEARCH("/",TRIM([1]RawShipmentData!B1252))),DATE(VALUE(RIGHT(TRIM([1]RawShipmentData!B1252),4)),VALUE(MID(TRIM([1]RawShipmentData!B1252),FIND("/",TRIM([1]RawShipmentData!B1252))+1,2)),VALUE(LEFT(TRIM([1]RawShipmentData!B1252),FIND("/",TRIM([1]RawShipmentData!B1252))-1))),DATEVALUE(TRIM([1]RawShipmentData!B1252)))</f>
        <v>45308</v>
      </c>
      <c r="C1240" s="2" t="str">
        <f>PROPER(TRIM([1]RawShipmentData!C1252))</f>
        <v>Chennai</v>
      </c>
      <c r="D1240" s="2" t="str">
        <f>IFERROR(INDEX([1]HubMaster!$B$2:$B$7,MATCH(C1240,[1]HubMaster!$A$2:$A$7,0)),"Unknown")</f>
        <v>South</v>
      </c>
      <c r="E1240" s="2" t="str">
        <f>PROPER(TRIM(SUBSTITUTE([1]RawShipmentData!D1252,"  "," ")))</f>
        <v/>
      </c>
      <c r="F1240" s="2" t="str">
        <f>PROPER(TRIM([1]RawShipmentData!E1252))</f>
        <v>Air</v>
      </c>
      <c r="G1240" s="2" t="str">
        <f>PROPER(TRIM(SUBSTITUTE([1]RawShipmentData!F1252,"  "," ")))</f>
        <v>Electronics</v>
      </c>
      <c r="H1240" s="2" t="str">
        <f>PROPER(TRIM([1]RawShipmentData!G1252))</f>
        <v>North</v>
      </c>
      <c r="I1240" s="2" t="str">
        <f t="shared" si="95"/>
        <v>Yes</v>
      </c>
      <c r="J1240" s="2">
        <f>IFERROR(VALUE(TRIM(SUBSTITUTE(UPPER([1]RawShipmentData!I1240),"KG",""))),"")</f>
        <v>1.8</v>
      </c>
      <c r="K1240" s="2">
        <f>VALUE(SUBSTITUTE(SUBSTITUTE(SUBSTITUTE(TRIM([1]RawShipmentData!J1252),"₹",""),"Rs",""),",",""))</f>
        <v>496</v>
      </c>
      <c r="L1240" s="2">
        <f>[1]RawShipmentData!K1252</f>
        <v>4</v>
      </c>
      <c r="M1240" s="3">
        <f>IF(TRIM([1]RawShipmentData!L1252)="","",IF(ISNUMBER(SEARCH("/",TRIM([1]RawShipmentData!L1252))),DATE(VALUE(RIGHT(TRIM([1]RawShipmentData!L1252),4)),VALUE(MID(TRIM([1]RawShipmentData!L1252),FIND("/",TRIM([1]RawShipmentData!L1252))+1,2)),VALUE(LEFT(TRIM([1]RawShipmentData!L1252),FIND("/",TRIM([1]RawShipmentData!L1252))-1))),DATEVALUE(TRIM([1]RawShipmentData!L1252))))</f>
        <v>45312</v>
      </c>
      <c r="N1240" s="2">
        <f t="shared" si="96"/>
        <v>4</v>
      </c>
      <c r="O1240" s="2">
        <f t="shared" si="97"/>
        <v>0</v>
      </c>
      <c r="P1240" s="2" t="str">
        <f t="shared" si="98"/>
        <v>On Time</v>
      </c>
      <c r="Q1240" s="2" t="str">
        <f>PROPER(SUBSTITUTE(TRIM([1]RawShipmentData!M1252)," ","-"))</f>
        <v>Returned</v>
      </c>
      <c r="R1240" s="4">
        <f t="shared" si="99"/>
        <v>275.55555555555554</v>
      </c>
      <c r="S1240" s="2">
        <f>[1]RawShipmentData!N1252</f>
        <v>0</v>
      </c>
      <c r="T1240" s="2" t="str">
        <f>IF(OR(UPPER(TRIM([1]RawShipmentData!O1252))="YES",UPPER(TRIM([1]RawShipmentData!O1252))="Y"),"Yes","No")</f>
        <v>Yes</v>
      </c>
    </row>
    <row r="1241" spans="1:20" x14ac:dyDescent="0.25">
      <c r="A1241" s="2" t="str">
        <f>[1]RawShipmentData!A1253</f>
        <v>SHP-100380</v>
      </c>
      <c r="B1241" s="3">
        <f>IF(ISNUMBER(SEARCH("/",TRIM([1]RawShipmentData!B1253))),DATE(VALUE(RIGHT(TRIM([1]RawShipmentData!B1253),4)),VALUE(MID(TRIM([1]RawShipmentData!B1253),FIND("/",TRIM([1]RawShipmentData!B1253))+1,2)),VALUE(LEFT(TRIM([1]RawShipmentData!B1253),FIND("/",TRIM([1]RawShipmentData!B1253))-1))),DATEVALUE(TRIM([1]RawShipmentData!B1253)))</f>
        <v>45329</v>
      </c>
      <c r="C1241" s="2" t="str">
        <f>PROPER(TRIM([1]RawShipmentData!C1253))</f>
        <v>Delhi</v>
      </c>
      <c r="D1241" s="2" t="str">
        <f>IFERROR(INDEX([1]HubMaster!$B$2:$B$7,MATCH(C1241,[1]HubMaster!$A$2:$A$7,0)),"Unknown")</f>
        <v>North</v>
      </c>
      <c r="E1241" s="2" t="str">
        <f>PROPER(TRIM(SUBSTITUTE([1]RawShipmentData!D1253,"  "," ")))</f>
        <v>Dtdc</v>
      </c>
      <c r="F1241" s="2" t="str">
        <f>PROPER(TRIM([1]RawShipmentData!E1253))</f>
        <v>Air</v>
      </c>
      <c r="G1241" s="2" t="str">
        <f>PROPER(TRIM(SUBSTITUTE([1]RawShipmentData!F1253,"  "," ")))</f>
        <v>Furniture</v>
      </c>
      <c r="H1241" s="2" t="str">
        <f>PROPER(TRIM([1]RawShipmentData!G1253))</f>
        <v>East</v>
      </c>
      <c r="I1241" s="2" t="str">
        <f t="shared" si="95"/>
        <v>Yes</v>
      </c>
      <c r="J1241" s="2">
        <f>IFERROR(VALUE(TRIM(SUBSTITUTE(UPPER([1]RawShipmentData!I1241),"KG",""))),"")</f>
        <v>30</v>
      </c>
      <c r="K1241" s="2">
        <f>VALUE(SUBSTITUTE(SUBSTITUTE(SUBSTITUTE(TRIM([1]RawShipmentData!J1253),"₹",""),"Rs",""),",",""))</f>
        <v>1250</v>
      </c>
      <c r="L1241" s="2">
        <f>[1]RawShipmentData!K1253</f>
        <v>4</v>
      </c>
      <c r="M1241" s="3">
        <f>IF(TRIM([1]RawShipmentData!L1253)="","",IF(ISNUMBER(SEARCH("/",TRIM([1]RawShipmentData!L1253))),DATE(VALUE(RIGHT(TRIM([1]RawShipmentData!L1253),4)),VALUE(MID(TRIM([1]RawShipmentData!L1253),FIND("/",TRIM([1]RawShipmentData!L1253))+1,2)),VALUE(LEFT(TRIM([1]RawShipmentData!L1253),FIND("/",TRIM([1]RawShipmentData!L1253))-1))),DATEVALUE(TRIM([1]RawShipmentData!L1253))))</f>
        <v>45334</v>
      </c>
      <c r="N1241" s="2">
        <f t="shared" si="96"/>
        <v>5</v>
      </c>
      <c r="O1241" s="2">
        <f t="shared" si="97"/>
        <v>1</v>
      </c>
      <c r="P1241" s="2" t="str">
        <f t="shared" si="98"/>
        <v>Late</v>
      </c>
      <c r="Q1241" s="2" t="str">
        <f>PROPER(SUBSTITUTE(TRIM([1]RawShipmentData!M1253)," ","-"))</f>
        <v>Delayed</v>
      </c>
      <c r="R1241" s="4">
        <f t="shared" si="99"/>
        <v>41.666666666666664</v>
      </c>
      <c r="S1241" s="2">
        <f>[1]RawShipmentData!N1253</f>
        <v>2</v>
      </c>
      <c r="T1241" s="2" t="str">
        <f>IF(OR(UPPER(TRIM([1]RawShipmentData!O1253))="YES",UPPER(TRIM([1]RawShipmentData!O1253))="Y"),"Yes","No")</f>
        <v>Yes</v>
      </c>
    </row>
    <row r="1242" spans="1:20" x14ac:dyDescent="0.25">
      <c r="A1242" s="2" t="str">
        <f>[1]RawShipmentData!A1254</f>
        <v>SHP-100911</v>
      </c>
      <c r="B1242" s="3">
        <f>IF(ISNUMBER(SEARCH("/",TRIM([1]RawShipmentData!B1254))),DATE(VALUE(RIGHT(TRIM([1]RawShipmentData!B1254),4)),VALUE(MID(TRIM([1]RawShipmentData!B1254),FIND("/",TRIM([1]RawShipmentData!B1254))+1,2)),VALUE(LEFT(TRIM([1]RawShipmentData!B1254),FIND("/",TRIM([1]RawShipmentData!B1254))-1))),DATEVALUE(TRIM([1]RawShipmentData!B1254)))</f>
        <v>45333</v>
      </c>
      <c r="C1242" s="2" t="str">
        <f>PROPER(TRIM([1]RawShipmentData!C1254))</f>
        <v>Mumbai</v>
      </c>
      <c r="D1242" s="2" t="str">
        <f>IFERROR(INDEX([1]HubMaster!$B$2:$B$7,MATCH(C1242,[1]HubMaster!$A$2:$A$7,0)),"Unknown")</f>
        <v>West</v>
      </c>
      <c r="E1242" s="2" t="str">
        <f>PROPER(TRIM(SUBSTITUTE([1]RawShipmentData!D1254,"  "," ")))</f>
        <v>Dtdc</v>
      </c>
      <c r="F1242" s="2" t="str">
        <f>PROPER(TRIM([1]RawShipmentData!E1254))</f>
        <v>Surface</v>
      </c>
      <c r="G1242" s="2" t="str">
        <f>PROPER(TRIM(SUBSTITUTE([1]RawShipmentData!F1254,"  "," ")))</f>
        <v>Grocery &amp; Fmcg</v>
      </c>
      <c r="H1242" s="2" t="str">
        <f>PROPER(TRIM([1]RawShipmentData!G1254))</f>
        <v>East</v>
      </c>
      <c r="I1242" s="2" t="str">
        <f t="shared" si="95"/>
        <v>Yes</v>
      </c>
      <c r="J1242" s="2">
        <f>IFERROR(VALUE(TRIM(SUBSTITUTE(UPPER([1]RawShipmentData!I1242),"KG",""))),"")</f>
        <v>23.3</v>
      </c>
      <c r="K1242" s="2">
        <f>VALUE(SUBSTITUTE(SUBSTITUTE(SUBSTITUTE(TRIM([1]RawShipmentData!J1254),"₹",""),"Rs",""),",",""))</f>
        <v>398</v>
      </c>
      <c r="L1242" s="2">
        <f>[1]RawShipmentData!K1254</f>
        <v>6</v>
      </c>
      <c r="M1242" s="3">
        <f>IF(TRIM([1]RawShipmentData!L1254)="","",IF(ISNUMBER(SEARCH("/",TRIM([1]RawShipmentData!L1254))),DATE(VALUE(RIGHT(TRIM([1]RawShipmentData!L1254),4)),VALUE(MID(TRIM([1]RawShipmentData!L1254),FIND("/",TRIM([1]RawShipmentData!L1254))+1,2)),VALUE(LEFT(TRIM([1]RawShipmentData!L1254),FIND("/",TRIM([1]RawShipmentData!L1254))-1))),DATEVALUE(TRIM([1]RawShipmentData!L1254))))</f>
        <v>45348</v>
      </c>
      <c r="N1242" s="2">
        <f t="shared" si="96"/>
        <v>15</v>
      </c>
      <c r="O1242" s="2">
        <f t="shared" si="97"/>
        <v>9</v>
      </c>
      <c r="P1242" s="2" t="str">
        <f t="shared" si="98"/>
        <v>Late</v>
      </c>
      <c r="Q1242" s="2" t="str">
        <f>PROPER(SUBSTITUTE(TRIM([1]RawShipmentData!M1254)," ","-"))</f>
        <v>Delayed</v>
      </c>
      <c r="R1242" s="4">
        <f t="shared" si="99"/>
        <v>17.081545064377682</v>
      </c>
      <c r="S1242" s="2">
        <f>[1]RawShipmentData!N1254</f>
        <v>2</v>
      </c>
      <c r="T1242" s="2" t="str">
        <f>IF(OR(UPPER(TRIM([1]RawShipmentData!O1254))="YES",UPPER(TRIM([1]RawShipmentData!O1254))="Y"),"Yes","No")</f>
        <v>No</v>
      </c>
    </row>
    <row r="1243" spans="1:20" x14ac:dyDescent="0.25">
      <c r="A1243" s="2" t="str">
        <f>[1]RawShipmentData!A1255</f>
        <v>SHP-100245</v>
      </c>
      <c r="B1243" s="3">
        <f>IF(ISNUMBER(SEARCH("/",TRIM([1]RawShipmentData!B1255))),DATE(VALUE(RIGHT(TRIM([1]RawShipmentData!B1255),4)),VALUE(MID(TRIM([1]RawShipmentData!B1255),FIND("/",TRIM([1]RawShipmentData!B1255))+1,2)),VALUE(LEFT(TRIM([1]RawShipmentData!B1255),FIND("/",TRIM([1]RawShipmentData!B1255))-1))),DATEVALUE(TRIM([1]RawShipmentData!B1255)))</f>
        <v>45347</v>
      </c>
      <c r="C1243" s="2" t="str">
        <f>PROPER(TRIM([1]RawShipmentData!C1255))</f>
        <v>Mumbai</v>
      </c>
      <c r="D1243" s="2" t="str">
        <f>IFERROR(INDEX([1]HubMaster!$B$2:$B$7,MATCH(C1243,[1]HubMaster!$A$2:$A$7,0)),"Unknown")</f>
        <v>West</v>
      </c>
      <c r="E1243" s="2" t="str">
        <f>PROPER(TRIM(SUBSTITUTE([1]RawShipmentData!D1255,"  "," ")))</f>
        <v>Ecom Express</v>
      </c>
      <c r="F1243" s="2" t="str">
        <f>PROPER(TRIM([1]RawShipmentData!E1255))</f>
        <v>Road</v>
      </c>
      <c r="G1243" s="2" t="str">
        <f>PROPER(TRIM(SUBSTITUTE([1]RawShipmentData!F1255,"  "," ")))</f>
        <v>Electronics</v>
      </c>
      <c r="H1243" s="2" t="str">
        <f>PROPER(TRIM([1]RawShipmentData!G1255))</f>
        <v>North</v>
      </c>
      <c r="I1243" s="2" t="str">
        <f t="shared" si="95"/>
        <v>Yes</v>
      </c>
      <c r="J1243" s="2">
        <f>IFERROR(VALUE(TRIM(SUBSTITUTE(UPPER([1]RawShipmentData!I1243),"KG",""))),"")</f>
        <v>2.2999999999999998</v>
      </c>
      <c r="K1243" s="2">
        <f>VALUE(SUBSTITUTE(SUBSTITUTE(SUBSTITUTE(TRIM([1]RawShipmentData!J1255),"₹",""),"Rs",""),",",""))</f>
        <v>296</v>
      </c>
      <c r="L1243" s="2">
        <f>[1]RawShipmentData!K1255</f>
        <v>8</v>
      </c>
      <c r="M1243" s="3">
        <f>IF(TRIM([1]RawShipmentData!L1255)="","",IF(ISNUMBER(SEARCH("/",TRIM([1]RawShipmentData!L1255))),DATE(VALUE(RIGHT(TRIM([1]RawShipmentData!L1255),4)),VALUE(MID(TRIM([1]RawShipmentData!L1255),FIND("/",TRIM([1]RawShipmentData!L1255))+1,2)),VALUE(LEFT(TRIM([1]RawShipmentData!L1255),FIND("/",TRIM([1]RawShipmentData!L1255))-1))),DATEVALUE(TRIM([1]RawShipmentData!L1255))))</f>
        <v>45355</v>
      </c>
      <c r="N1243" s="2">
        <f t="shared" si="96"/>
        <v>8</v>
      </c>
      <c r="O1243" s="2">
        <f t="shared" si="97"/>
        <v>0</v>
      </c>
      <c r="P1243" s="2" t="str">
        <f t="shared" si="98"/>
        <v>On Time</v>
      </c>
      <c r="Q1243" s="2" t="str">
        <f>PROPER(SUBSTITUTE(TRIM([1]RawShipmentData!M1255)," ","-"))</f>
        <v>Delivered</v>
      </c>
      <c r="R1243" s="4">
        <f t="shared" si="99"/>
        <v>128.69565217391306</v>
      </c>
      <c r="S1243" s="2">
        <f>[1]RawShipmentData!N1255</f>
        <v>4</v>
      </c>
      <c r="T1243" s="2" t="str">
        <f>IF(OR(UPPER(TRIM([1]RawShipmentData!O1255))="YES",UPPER(TRIM([1]RawShipmentData!O1255))="Y"),"Yes","No")</f>
        <v>No</v>
      </c>
    </row>
    <row r="1244" spans="1:20" x14ac:dyDescent="0.25">
      <c r="A1244" s="2" t="str">
        <f>[1]RawShipmentData!A1256</f>
        <v>SHP-100034</v>
      </c>
      <c r="B1244" s="3">
        <f>IF(ISNUMBER(SEARCH("/",TRIM([1]RawShipmentData!B1256))),DATE(VALUE(RIGHT(TRIM([1]RawShipmentData!B1256),4)),VALUE(MID(TRIM([1]RawShipmentData!B1256),FIND("/",TRIM([1]RawShipmentData!B1256))+1,2)),VALUE(LEFT(TRIM([1]RawShipmentData!B1256),FIND("/",TRIM([1]RawShipmentData!B1256))-1))),DATEVALUE(TRIM([1]RawShipmentData!B1256)))</f>
        <v>45393</v>
      </c>
      <c r="C1244" s="2" t="str">
        <f>PROPER(TRIM([1]RawShipmentData!C1256))</f>
        <v>Kolkata</v>
      </c>
      <c r="D1244" s="2" t="str">
        <f>IFERROR(INDEX([1]HubMaster!$B$2:$B$7,MATCH(C1244,[1]HubMaster!$A$2:$A$7,0)),"Unknown")</f>
        <v>East</v>
      </c>
      <c r="E1244" s="2" t="str">
        <f>PROPER(TRIM(SUBSTITUTE([1]RawShipmentData!D1256,"  "," ")))</f>
        <v>Ecom Express</v>
      </c>
      <c r="F1244" s="2" t="str">
        <f>PROPER(TRIM([1]RawShipmentData!E1256))</f>
        <v>Road</v>
      </c>
      <c r="G1244" s="2" t="str">
        <f>PROPER(TRIM(SUBSTITUTE([1]RawShipmentData!F1256,"  "," ")))</f>
        <v>Pharma</v>
      </c>
      <c r="H1244" s="2" t="str">
        <f>PROPER(TRIM([1]RawShipmentData!G1256))</f>
        <v>West</v>
      </c>
      <c r="I1244" s="2" t="str">
        <f t="shared" si="95"/>
        <v>Yes</v>
      </c>
      <c r="J1244" s="2">
        <f>IFERROR(VALUE(TRIM(SUBSTITUTE(UPPER([1]RawShipmentData!I1244),"KG",""))),"")</f>
        <v>5.0999999999999996</v>
      </c>
      <c r="K1244" s="2">
        <f>VALUE(SUBSTITUTE(SUBSTITUTE(SUBSTITUTE(TRIM([1]RawShipmentData!J1256),"₹",""),"Rs",""),",",""))</f>
        <v>200</v>
      </c>
      <c r="L1244" s="2">
        <f>[1]RawShipmentData!K1256</f>
        <v>8</v>
      </c>
      <c r="M1244" s="3">
        <f>IF(TRIM([1]RawShipmentData!L1256)="","",IF(ISNUMBER(SEARCH("/",TRIM([1]RawShipmentData!L1256))),DATE(VALUE(RIGHT(TRIM([1]RawShipmentData!L1256),4)),VALUE(MID(TRIM([1]RawShipmentData!L1256),FIND("/",TRIM([1]RawShipmentData!L1256))+1,2)),VALUE(LEFT(TRIM([1]RawShipmentData!L1256),FIND("/",TRIM([1]RawShipmentData!L1256))-1))),DATEVALUE(TRIM([1]RawShipmentData!L1256))))</f>
        <v>45402</v>
      </c>
      <c r="N1244" s="2">
        <f t="shared" si="96"/>
        <v>9</v>
      </c>
      <c r="O1244" s="2">
        <f t="shared" si="97"/>
        <v>1</v>
      </c>
      <c r="P1244" s="2" t="str">
        <f t="shared" si="98"/>
        <v>Late</v>
      </c>
      <c r="Q1244" s="2" t="str">
        <f>PROPER(SUBSTITUTE(TRIM([1]RawShipmentData!M1256)," ","-"))</f>
        <v>Delayed</v>
      </c>
      <c r="R1244" s="4">
        <f t="shared" si="99"/>
        <v>39.215686274509807</v>
      </c>
      <c r="S1244" s="2">
        <f>[1]RawShipmentData!N1256</f>
        <v>3</v>
      </c>
      <c r="T1244" s="2" t="str">
        <f>IF(OR(UPPER(TRIM([1]RawShipmentData!O1256))="YES",UPPER(TRIM([1]RawShipmentData!O1256))="Y"),"Yes","No")</f>
        <v>No</v>
      </c>
    </row>
    <row r="1245" spans="1:20" x14ac:dyDescent="0.25">
      <c r="A1245" s="2" t="str">
        <f>[1]RawShipmentData!A1257</f>
        <v>SHP-100900</v>
      </c>
      <c r="B1245" s="3">
        <f>IF(ISNUMBER(SEARCH("/",TRIM([1]RawShipmentData!B1257))),DATE(VALUE(RIGHT(TRIM([1]RawShipmentData!B1257),4)),VALUE(MID(TRIM([1]RawShipmentData!B1257),FIND("/",TRIM([1]RawShipmentData!B1257))+1,2)),VALUE(LEFT(TRIM([1]RawShipmentData!B1257),FIND("/",TRIM([1]RawShipmentData!B1257))-1))),DATEVALUE(TRIM([1]RawShipmentData!B1257)))</f>
        <v>45448</v>
      </c>
      <c r="C1245" s="2" t="str">
        <f>PROPER(TRIM([1]RawShipmentData!C1257))</f>
        <v>Mumbai</v>
      </c>
      <c r="D1245" s="2" t="str">
        <f>IFERROR(INDEX([1]HubMaster!$B$2:$B$7,MATCH(C1245,[1]HubMaster!$A$2:$A$7,0)),"Unknown")</f>
        <v>West</v>
      </c>
      <c r="E1245" s="2" t="str">
        <f>PROPER(TRIM(SUBSTITUTE([1]RawShipmentData!D1257,"  "," ")))</f>
        <v>Delhivery</v>
      </c>
      <c r="F1245" s="2" t="str">
        <f>PROPER(TRIM([1]RawShipmentData!E1257))</f>
        <v>Surface</v>
      </c>
      <c r="G1245" s="2" t="str">
        <f>PROPER(TRIM(SUBSTITUTE([1]RawShipmentData!F1257,"  "," ")))</f>
        <v>Automotive Parts</v>
      </c>
      <c r="H1245" s="2" t="str">
        <f>PROPER(TRIM([1]RawShipmentData!G1257))</f>
        <v>West</v>
      </c>
      <c r="I1245" s="2" t="str">
        <f t="shared" si="95"/>
        <v>No</v>
      </c>
      <c r="J1245" s="2">
        <f>IFERROR(VALUE(TRIM(SUBSTITUTE(UPPER([1]RawShipmentData!I1245),"KG",""))),"")</f>
        <v>2.2999999999999998</v>
      </c>
      <c r="K1245" s="2">
        <f>VALUE(SUBSTITUTE(SUBSTITUTE(SUBSTITUTE(TRIM([1]RawShipmentData!J1257),"₹",""),"Rs",""),",",""))</f>
        <v>853</v>
      </c>
      <c r="L1245" s="2">
        <f>[1]RawShipmentData!K1257</f>
        <v>4</v>
      </c>
      <c r="M1245" s="3">
        <f>IF(TRIM([1]RawShipmentData!L1257)="","",IF(ISNUMBER(SEARCH("/",TRIM([1]RawShipmentData!L1257))),DATE(VALUE(RIGHT(TRIM([1]RawShipmentData!L1257),4)),VALUE(MID(TRIM([1]RawShipmentData!L1257),FIND("/",TRIM([1]RawShipmentData!L1257))+1,2)),VALUE(LEFT(TRIM([1]RawShipmentData!L1257),FIND("/",TRIM([1]RawShipmentData!L1257))-1))),DATEVALUE(TRIM([1]RawShipmentData!L1257))))</f>
        <v>45451</v>
      </c>
      <c r="N1245" s="2">
        <f t="shared" si="96"/>
        <v>3</v>
      </c>
      <c r="O1245" s="2">
        <f t="shared" si="97"/>
        <v>-1</v>
      </c>
      <c r="P1245" s="2" t="str">
        <f t="shared" si="98"/>
        <v>On Time</v>
      </c>
      <c r="Q1245" s="2" t="str">
        <f>PROPER(SUBSTITUTE(TRIM([1]RawShipmentData!M1257)," ","-"))</f>
        <v>Delivered</v>
      </c>
      <c r="R1245" s="4">
        <f t="shared" si="99"/>
        <v>370.86956521739131</v>
      </c>
      <c r="S1245" s="2">
        <f>[1]RawShipmentData!N1257</f>
        <v>3</v>
      </c>
      <c r="T1245" s="2" t="str">
        <f>IF(OR(UPPER(TRIM([1]RawShipmentData!O1257))="YES",UPPER(TRIM([1]RawShipmentData!O1257))="Y"),"Yes","No")</f>
        <v>Yes</v>
      </c>
    </row>
    <row r="1246" spans="1:20" x14ac:dyDescent="0.25">
      <c r="A1246" s="2" t="str">
        <f>[1]RawShipmentData!A1258</f>
        <v>SHP-100479</v>
      </c>
      <c r="B1246" s="3">
        <f>IF(ISNUMBER(SEARCH("/",TRIM([1]RawShipmentData!B1258))),DATE(VALUE(RIGHT(TRIM([1]RawShipmentData!B1258),4)),VALUE(MID(TRIM([1]RawShipmentData!B1258),FIND("/",TRIM([1]RawShipmentData!B1258))+1,2)),VALUE(LEFT(TRIM([1]RawShipmentData!B1258),FIND("/",TRIM([1]RawShipmentData!B1258))-1))),DATEVALUE(TRIM([1]RawShipmentData!B1258)))</f>
        <v>45467</v>
      </c>
      <c r="C1246" s="2" t="str">
        <f>PROPER(TRIM([1]RawShipmentData!C1258))</f>
        <v>Mumbai</v>
      </c>
      <c r="D1246" s="2" t="str">
        <f>IFERROR(INDEX([1]HubMaster!$B$2:$B$7,MATCH(C1246,[1]HubMaster!$A$2:$A$7,0)),"Unknown")</f>
        <v>West</v>
      </c>
      <c r="E1246" s="2" t="str">
        <f>PROPER(TRIM(SUBSTITUTE([1]RawShipmentData!D1258,"  "," ")))</f>
        <v>Blue Dart</v>
      </c>
      <c r="F1246" s="2" t="str">
        <f>PROPER(TRIM([1]RawShipmentData!E1258))</f>
        <v>Air</v>
      </c>
      <c r="G1246" s="2" t="str">
        <f>PROPER(TRIM(SUBSTITUTE([1]RawShipmentData!F1258,"  "," ")))</f>
        <v>Pharma</v>
      </c>
      <c r="H1246" s="2" t="str">
        <f>PROPER(TRIM([1]RawShipmentData!G1258))</f>
        <v>North</v>
      </c>
      <c r="I1246" s="2" t="str">
        <f t="shared" si="95"/>
        <v>Yes</v>
      </c>
      <c r="J1246" s="2">
        <f>IFERROR(VALUE(TRIM(SUBSTITUTE(UPPER([1]RawShipmentData!I1246),"KG",""))),"")</f>
        <v>19.7</v>
      </c>
      <c r="K1246" s="2">
        <f>VALUE(SUBSTITUTE(SUBSTITUTE(SUBSTITUTE(TRIM([1]RawShipmentData!J1258),"₹",""),"Rs",""),",",""))</f>
        <v>253</v>
      </c>
      <c r="L1246" s="2">
        <f>[1]RawShipmentData!K1258</f>
        <v>4</v>
      </c>
      <c r="M1246" s="3">
        <f>IF(TRIM([1]RawShipmentData!L1258)="","",IF(ISNUMBER(SEARCH("/",TRIM([1]RawShipmentData!L1258))),DATE(VALUE(RIGHT(TRIM([1]RawShipmentData!L1258),4)),VALUE(MID(TRIM([1]RawShipmentData!L1258),FIND("/",TRIM([1]RawShipmentData!L1258))+1,2)),VALUE(LEFT(TRIM([1]RawShipmentData!L1258),FIND("/",TRIM([1]RawShipmentData!L1258))-1))),DATEVALUE(TRIM([1]RawShipmentData!L1258))))</f>
        <v>45470</v>
      </c>
      <c r="N1246" s="2">
        <f t="shared" si="96"/>
        <v>3</v>
      </c>
      <c r="O1246" s="2">
        <f t="shared" si="97"/>
        <v>-1</v>
      </c>
      <c r="P1246" s="2" t="str">
        <f t="shared" si="98"/>
        <v>On Time</v>
      </c>
      <c r="Q1246" s="2" t="str">
        <f>PROPER(SUBSTITUTE(TRIM([1]RawShipmentData!M1258)," ","-"))</f>
        <v>Delivered</v>
      </c>
      <c r="R1246" s="4">
        <f t="shared" si="99"/>
        <v>12.842639593908629</v>
      </c>
      <c r="S1246" s="2">
        <f>[1]RawShipmentData!N1258</f>
        <v>5</v>
      </c>
      <c r="T1246" s="2" t="str">
        <f>IF(OR(UPPER(TRIM([1]RawShipmentData!O1258))="YES",UPPER(TRIM([1]RawShipmentData!O1258))="Y"),"Yes","No")</f>
        <v>Yes</v>
      </c>
    </row>
    <row r="1247" spans="1:20" x14ac:dyDescent="0.25">
      <c r="A1247" s="2" t="str">
        <f>[1]RawShipmentData!A1259</f>
        <v>SHP-101343</v>
      </c>
      <c r="B1247" s="3">
        <f>IF(ISNUMBER(SEARCH("/",TRIM([1]RawShipmentData!B1259))),DATE(VALUE(RIGHT(TRIM([1]RawShipmentData!B1259),4)),VALUE(MID(TRIM([1]RawShipmentData!B1259),FIND("/",TRIM([1]RawShipmentData!B1259))+1,2)),VALUE(LEFT(TRIM([1]RawShipmentData!B1259),FIND("/",TRIM([1]RawShipmentData!B1259))-1))),DATEVALUE(TRIM([1]RawShipmentData!B1259)))</f>
        <v>45314</v>
      </c>
      <c r="C1247" s="2" t="str">
        <f>PROPER(TRIM([1]RawShipmentData!C1259))</f>
        <v>Kolkata</v>
      </c>
      <c r="D1247" s="2" t="str">
        <f>IFERROR(INDEX([1]HubMaster!$B$2:$B$7,MATCH(C1247,[1]HubMaster!$A$2:$A$7,0)),"Unknown")</f>
        <v>East</v>
      </c>
      <c r="E1247" s="2" t="str">
        <f>PROPER(TRIM(SUBSTITUTE([1]RawShipmentData!D1259,"  "," ")))</f>
        <v>Dtdc</v>
      </c>
      <c r="F1247" s="2" t="str">
        <f>PROPER(TRIM([1]RawShipmentData!E1259))</f>
        <v>Air</v>
      </c>
      <c r="G1247" s="2" t="str">
        <f>PROPER(TRIM(SUBSTITUTE([1]RawShipmentData!F1259,"  "," ")))</f>
        <v>Pharma</v>
      </c>
      <c r="H1247" s="2" t="str">
        <f>PROPER(TRIM([1]RawShipmentData!G1259))</f>
        <v>West</v>
      </c>
      <c r="I1247" s="2" t="str">
        <f t="shared" si="95"/>
        <v>Yes</v>
      </c>
      <c r="J1247" s="2">
        <f>IFERROR(VALUE(TRIM(SUBSTITUTE(UPPER([1]RawShipmentData!I1247),"KG",""))),"")</f>
        <v>2.2999999999999998</v>
      </c>
      <c r="K1247" s="2">
        <f>VALUE(SUBSTITUTE(SUBSTITUTE(SUBSTITUTE(TRIM([1]RawShipmentData!J1259),"₹",""),"Rs",""),",",""))</f>
        <v>335</v>
      </c>
      <c r="L1247" s="2">
        <f>[1]RawShipmentData!K1259</f>
        <v>4</v>
      </c>
      <c r="M1247" s="3">
        <f>IF(TRIM([1]RawShipmentData!L1259)="","",IF(ISNUMBER(SEARCH("/",TRIM([1]RawShipmentData!L1259))),DATE(VALUE(RIGHT(TRIM([1]RawShipmentData!L1259),4)),VALUE(MID(TRIM([1]RawShipmentData!L1259),FIND("/",TRIM([1]RawShipmentData!L1259))+1,2)),VALUE(LEFT(TRIM([1]RawShipmentData!L1259),FIND("/",TRIM([1]RawShipmentData!L1259))-1))),DATEVALUE(TRIM([1]RawShipmentData!L1259))))</f>
        <v>45317</v>
      </c>
      <c r="N1247" s="2">
        <f t="shared" si="96"/>
        <v>3</v>
      </c>
      <c r="O1247" s="2">
        <f t="shared" si="97"/>
        <v>-1</v>
      </c>
      <c r="P1247" s="2" t="str">
        <f t="shared" si="98"/>
        <v>On Time</v>
      </c>
      <c r="Q1247" s="2" t="str">
        <f>PROPER(SUBSTITUTE(TRIM([1]RawShipmentData!M1259)," ","-"))</f>
        <v>Delivered</v>
      </c>
      <c r="R1247" s="4">
        <f t="shared" si="99"/>
        <v>145.6521739130435</v>
      </c>
      <c r="S1247" s="2">
        <f>[1]RawShipmentData!N1259</f>
        <v>5</v>
      </c>
      <c r="T1247" s="2" t="str">
        <f>IF(OR(UPPER(TRIM([1]RawShipmentData!O1259))="YES",UPPER(TRIM([1]RawShipmentData!O1259))="Y"),"Yes","No")</f>
        <v>No</v>
      </c>
    </row>
    <row r="1248" spans="1:20" x14ac:dyDescent="0.25">
      <c r="A1248" s="2" t="str">
        <f>[1]RawShipmentData!A1260</f>
        <v>SHP-100588</v>
      </c>
      <c r="B1248" s="3">
        <f>IF(ISNUMBER(SEARCH("/",TRIM([1]RawShipmentData!B1260))),DATE(VALUE(RIGHT(TRIM([1]RawShipmentData!B1260),4)),VALUE(MID(TRIM([1]RawShipmentData!B1260),FIND("/",TRIM([1]RawShipmentData!B1260))+1,2)),VALUE(LEFT(TRIM([1]RawShipmentData!B1260),FIND("/",TRIM([1]RawShipmentData!B1260))-1))),DATEVALUE(TRIM([1]RawShipmentData!B1260)))</f>
        <v>45424</v>
      </c>
      <c r="C1248" s="2" t="str">
        <f>PROPER(TRIM([1]RawShipmentData!C1260))</f>
        <v>Hyderabad</v>
      </c>
      <c r="D1248" s="2" t="str">
        <f>IFERROR(INDEX([1]HubMaster!$B$2:$B$7,MATCH(C1248,[1]HubMaster!$A$2:$A$7,0)),"Unknown")</f>
        <v>West</v>
      </c>
      <c r="E1248" s="2" t="str">
        <f>PROPER(TRIM(SUBSTITUTE([1]RawShipmentData!D1260,"  "," ")))</f>
        <v>Bluedart</v>
      </c>
      <c r="F1248" s="2" t="str">
        <f>PROPER(TRIM([1]RawShipmentData!E1260))</f>
        <v>Road</v>
      </c>
      <c r="G1248" s="2" t="str">
        <f>PROPER(TRIM(SUBSTITUTE([1]RawShipmentData!F1260,"  "," ")))</f>
        <v>Grocery &amp; Fmcg</v>
      </c>
      <c r="H1248" s="2" t="str">
        <f>PROPER(TRIM([1]RawShipmentData!G1260))</f>
        <v>South</v>
      </c>
      <c r="I1248" s="2" t="str">
        <f t="shared" si="95"/>
        <v>Yes</v>
      </c>
      <c r="J1248" s="2">
        <f>IFERROR(VALUE(TRIM(SUBSTITUTE(UPPER([1]RawShipmentData!I1248),"KG",""))),"")</f>
        <v>3.9</v>
      </c>
      <c r="K1248" s="2">
        <f>VALUE(SUBSTITUTE(SUBSTITUTE(SUBSTITUTE(TRIM([1]RawShipmentData!J1260),"₹",""),"Rs",""),",",""))</f>
        <v>325</v>
      </c>
      <c r="L1248" s="2">
        <f>[1]RawShipmentData!K1260</f>
        <v>8</v>
      </c>
      <c r="M1248" s="3">
        <f>IF(TRIM([1]RawShipmentData!L1260)="","",IF(ISNUMBER(SEARCH("/",TRIM([1]RawShipmentData!L1260))),DATE(VALUE(RIGHT(TRIM([1]RawShipmentData!L1260),4)),VALUE(MID(TRIM([1]RawShipmentData!L1260),FIND("/",TRIM([1]RawShipmentData!L1260))+1,2)),VALUE(LEFT(TRIM([1]RawShipmentData!L1260),FIND("/",TRIM([1]RawShipmentData!L1260))-1))),DATEVALUE(TRIM([1]RawShipmentData!L1260))))</f>
        <v>45433</v>
      </c>
      <c r="N1248" s="2">
        <f t="shared" si="96"/>
        <v>9</v>
      </c>
      <c r="O1248" s="2">
        <f t="shared" si="97"/>
        <v>1</v>
      </c>
      <c r="P1248" s="2" t="str">
        <f t="shared" si="98"/>
        <v>Late</v>
      </c>
      <c r="Q1248" s="2" t="str">
        <f>PROPER(SUBSTITUTE(TRIM([1]RawShipmentData!M1260)," ","-"))</f>
        <v>Delayed</v>
      </c>
      <c r="R1248" s="4">
        <f t="shared" si="99"/>
        <v>83.333333333333329</v>
      </c>
      <c r="S1248" s="2">
        <f>[1]RawShipmentData!N1260</f>
        <v>4</v>
      </c>
      <c r="T1248" s="2" t="str">
        <f>IF(OR(UPPER(TRIM([1]RawShipmentData!O1260))="YES",UPPER(TRIM([1]RawShipmentData!O1260))="Y"),"Yes","No")</f>
        <v>Yes</v>
      </c>
    </row>
    <row r="1249" spans="1:20" x14ac:dyDescent="0.25">
      <c r="A1249" s="2" t="str">
        <f>[1]RawShipmentData!A1261</f>
        <v>SHP-100780</v>
      </c>
      <c r="B1249" s="3">
        <f>IF(ISNUMBER(SEARCH("/",TRIM([1]RawShipmentData!B1261))),DATE(VALUE(RIGHT(TRIM([1]RawShipmentData!B1261),4)),VALUE(MID(TRIM([1]RawShipmentData!B1261),FIND("/",TRIM([1]RawShipmentData!B1261))+1,2)),VALUE(LEFT(TRIM([1]RawShipmentData!B1261),FIND("/",TRIM([1]RawShipmentData!B1261))-1))),DATEVALUE(TRIM([1]RawShipmentData!B1261)))</f>
        <v>45387</v>
      </c>
      <c r="C1249" s="2" t="str">
        <f>PROPER(TRIM([1]RawShipmentData!C1261))</f>
        <v>Kolkata</v>
      </c>
      <c r="D1249" s="2" t="str">
        <f>IFERROR(INDEX([1]HubMaster!$B$2:$B$7,MATCH(C1249,[1]HubMaster!$A$2:$A$7,0)),"Unknown")</f>
        <v>East</v>
      </c>
      <c r="E1249" s="2" t="str">
        <f>PROPER(TRIM(SUBSTITUTE([1]RawShipmentData!D1261,"  "," ")))</f>
        <v>Bluedart</v>
      </c>
      <c r="F1249" s="2" t="str">
        <f>PROPER(TRIM([1]RawShipmentData!E1261))</f>
        <v>Surface</v>
      </c>
      <c r="G1249" s="2" t="str">
        <f>PROPER(TRIM(SUBSTITUTE([1]RawShipmentData!F1261,"  "," ")))</f>
        <v>Pharma</v>
      </c>
      <c r="H1249" s="2" t="str">
        <f>PROPER(TRIM([1]RawShipmentData!G1261))</f>
        <v>West</v>
      </c>
      <c r="I1249" s="2" t="str">
        <f t="shared" si="95"/>
        <v>Yes</v>
      </c>
      <c r="J1249" s="2">
        <f>IFERROR(VALUE(TRIM(SUBSTITUTE(UPPER([1]RawShipmentData!I1249),"KG",""))),"")</f>
        <v>27.3</v>
      </c>
      <c r="K1249" s="2">
        <f>VALUE(SUBSTITUTE(SUBSTITUTE(SUBSTITUTE(TRIM([1]RawShipmentData!J1261),"₹",""),"Rs",""),",",""))</f>
        <v>250</v>
      </c>
      <c r="L1249" s="2">
        <f>[1]RawShipmentData!K1261</f>
        <v>6</v>
      </c>
      <c r="M1249" s="3">
        <f>IF(TRIM([1]RawShipmentData!L1261)="","",IF(ISNUMBER(SEARCH("/",TRIM([1]RawShipmentData!L1261))),DATE(VALUE(RIGHT(TRIM([1]RawShipmentData!L1261),4)),VALUE(MID(TRIM([1]RawShipmentData!L1261),FIND("/",TRIM([1]RawShipmentData!L1261))+1,2)),VALUE(LEFT(TRIM([1]RawShipmentData!L1261),FIND("/",TRIM([1]RawShipmentData!L1261))-1))),DATEVALUE(TRIM([1]RawShipmentData!L1261))))</f>
        <v>45393</v>
      </c>
      <c r="N1249" s="2">
        <f t="shared" si="96"/>
        <v>6</v>
      </c>
      <c r="O1249" s="2">
        <f t="shared" si="97"/>
        <v>0</v>
      </c>
      <c r="P1249" s="2" t="str">
        <f t="shared" si="98"/>
        <v>On Time</v>
      </c>
      <c r="Q1249" s="2" t="str">
        <f>PROPER(SUBSTITUTE(TRIM([1]RawShipmentData!M1261)," ","-"))</f>
        <v>Delivered</v>
      </c>
      <c r="R1249" s="4">
        <f t="shared" si="99"/>
        <v>9.1575091575091569</v>
      </c>
      <c r="S1249" s="2">
        <f>[1]RawShipmentData!N1261</f>
        <v>3</v>
      </c>
      <c r="T1249" s="2" t="str">
        <f>IF(OR(UPPER(TRIM([1]RawShipmentData!O1261))="YES",UPPER(TRIM([1]RawShipmentData!O1261))="Y"),"Yes","No")</f>
        <v>Yes</v>
      </c>
    </row>
    <row r="1250" spans="1:20" x14ac:dyDescent="0.25">
      <c r="A1250" s="2" t="str">
        <f>[1]RawShipmentData!A1262</f>
        <v>SHP-100002</v>
      </c>
      <c r="B1250" s="3">
        <f>IF(ISNUMBER(SEARCH("/",TRIM([1]RawShipmentData!B1262))),DATE(VALUE(RIGHT(TRIM([1]RawShipmentData!B1262),4)),VALUE(MID(TRIM([1]RawShipmentData!B1262),FIND("/",TRIM([1]RawShipmentData!B1262))+1,2)),VALUE(LEFT(TRIM([1]RawShipmentData!B1262),FIND("/",TRIM([1]RawShipmentData!B1262))-1))),DATEVALUE(TRIM([1]RawShipmentData!B1262)))</f>
        <v>45337</v>
      </c>
      <c r="C1250" s="2" t="str">
        <f>PROPER(TRIM([1]RawShipmentData!C1262))</f>
        <v>Mumbai</v>
      </c>
      <c r="D1250" s="2" t="str">
        <f>IFERROR(INDEX([1]HubMaster!$B$2:$B$7,MATCH(C1250,[1]HubMaster!$A$2:$A$7,0)),"Unknown")</f>
        <v>West</v>
      </c>
      <c r="E1250" s="2" t="str">
        <f>PROPER(TRIM(SUBSTITUTE([1]RawShipmentData!D1262,"  "," ")))</f>
        <v>Delhivery</v>
      </c>
      <c r="F1250" s="2" t="str">
        <f>PROPER(TRIM([1]RawShipmentData!E1262))</f>
        <v>Surface</v>
      </c>
      <c r="G1250" s="2" t="str">
        <f>PROPER(TRIM(SUBSTITUTE([1]RawShipmentData!F1262,"  "," ")))</f>
        <v>Grocery &amp; Fmcg</v>
      </c>
      <c r="H1250" s="2" t="str">
        <f>PROPER(TRIM([1]RawShipmentData!G1262))</f>
        <v>North</v>
      </c>
      <c r="I1250" s="2" t="str">
        <f t="shared" si="95"/>
        <v>Yes</v>
      </c>
      <c r="J1250" s="2">
        <f>IFERROR(VALUE(TRIM(SUBSTITUTE(UPPER([1]RawShipmentData!I1250),"KG",""))),"")</f>
        <v>42.1</v>
      </c>
      <c r="K1250" s="2">
        <f>VALUE(SUBSTITUTE(SUBSTITUTE(SUBSTITUTE(TRIM([1]RawShipmentData!J1262),"₹",""),"Rs",""),",",""))</f>
        <v>531</v>
      </c>
      <c r="L1250" s="2">
        <f>[1]RawShipmentData!K1262</f>
        <v>6</v>
      </c>
      <c r="M1250" s="3">
        <f>IF(TRIM([1]RawShipmentData!L1262)="","",IF(ISNUMBER(SEARCH("/",TRIM([1]RawShipmentData!L1262))),DATE(VALUE(RIGHT(TRIM([1]RawShipmentData!L1262),4)),VALUE(MID(TRIM([1]RawShipmentData!L1262),FIND("/",TRIM([1]RawShipmentData!L1262))+1,2)),VALUE(LEFT(TRIM([1]RawShipmentData!L1262),FIND("/",TRIM([1]RawShipmentData!L1262))-1))),DATEVALUE(TRIM([1]RawShipmentData!L1262))))</f>
        <v>45344</v>
      </c>
      <c r="N1250" s="2">
        <f t="shared" si="96"/>
        <v>7</v>
      </c>
      <c r="O1250" s="2">
        <f t="shared" si="97"/>
        <v>1</v>
      </c>
      <c r="P1250" s="2" t="str">
        <f t="shared" si="98"/>
        <v>Late</v>
      </c>
      <c r="Q1250" s="2" t="str">
        <f>PROPER(SUBSTITUTE(TRIM([1]RawShipmentData!M1262)," ","-"))</f>
        <v>Delayed</v>
      </c>
      <c r="R1250" s="4">
        <f t="shared" si="99"/>
        <v>12.612826603325415</v>
      </c>
      <c r="S1250" s="2">
        <f>[1]RawShipmentData!N1262</f>
        <v>3</v>
      </c>
      <c r="T1250" s="2" t="str">
        <f>IF(OR(UPPER(TRIM([1]RawShipmentData!O1262))="YES",UPPER(TRIM([1]RawShipmentData!O1262))="Y"),"Yes","No")</f>
        <v>No</v>
      </c>
    </row>
    <row r="1251" spans="1:20" x14ac:dyDescent="0.25">
      <c r="A1251" s="2" t="str">
        <f>[1]RawShipmentData!A1263</f>
        <v>SHP-100412</v>
      </c>
      <c r="B1251" s="3">
        <f>IF(ISNUMBER(SEARCH("/",TRIM([1]RawShipmentData!B1263))),DATE(VALUE(RIGHT(TRIM([1]RawShipmentData!B1263),4)),VALUE(MID(TRIM([1]RawShipmentData!B1263),FIND("/",TRIM([1]RawShipmentData!B1263))+1,2)),VALUE(LEFT(TRIM([1]RawShipmentData!B1263),FIND("/",TRIM([1]RawShipmentData!B1263))-1))),DATEVALUE(TRIM([1]RawShipmentData!B1263)))</f>
        <v>45399</v>
      </c>
      <c r="C1251" s="2" t="str">
        <f>PROPER(TRIM([1]RawShipmentData!C1263))</f>
        <v>Mumbai</v>
      </c>
      <c r="D1251" s="2" t="str">
        <f>IFERROR(INDEX([1]HubMaster!$B$2:$B$7,MATCH(C1251,[1]HubMaster!$A$2:$A$7,0)),"Unknown")</f>
        <v>West</v>
      </c>
      <c r="E1251" s="2" t="str">
        <f>PROPER(TRIM(SUBSTITUTE([1]RawShipmentData!D1263,"  "," ")))</f>
        <v>Ecom Express</v>
      </c>
      <c r="F1251" s="2" t="str">
        <f>PROPER(TRIM([1]RawShipmentData!E1263))</f>
        <v>Road</v>
      </c>
      <c r="G1251" s="2" t="str">
        <f>PROPER(TRIM(SUBSTITUTE([1]RawShipmentData!F1263,"  "," ")))</f>
        <v>Grocery &amp; Fmcg</v>
      </c>
      <c r="H1251" s="2" t="str">
        <f>PROPER(TRIM([1]RawShipmentData!G1263))</f>
        <v>East</v>
      </c>
      <c r="I1251" s="2" t="str">
        <f t="shared" si="95"/>
        <v>Yes</v>
      </c>
      <c r="J1251" s="2">
        <f>IFERROR(VALUE(TRIM(SUBSTITUTE(UPPER([1]RawShipmentData!I1251),"KG",""))),"")</f>
        <v>7.7</v>
      </c>
      <c r="K1251" s="2">
        <f>VALUE(SUBSTITUTE(SUBSTITUTE(SUBSTITUTE(TRIM([1]RawShipmentData!J1263),"₹",""),"Rs",""),",",""))</f>
        <v>386</v>
      </c>
      <c r="L1251" s="2">
        <f>[1]RawShipmentData!K1263</f>
        <v>8</v>
      </c>
      <c r="M1251" s="3">
        <f>IF(TRIM([1]RawShipmentData!L1263)="","",IF(ISNUMBER(SEARCH("/",TRIM([1]RawShipmentData!L1263))),DATE(VALUE(RIGHT(TRIM([1]RawShipmentData!L1263),4)),VALUE(MID(TRIM([1]RawShipmentData!L1263),FIND("/",TRIM([1]RawShipmentData!L1263))+1,2)),VALUE(LEFT(TRIM([1]RawShipmentData!L1263),FIND("/",TRIM([1]RawShipmentData!L1263))-1))),DATEVALUE(TRIM([1]RawShipmentData!L1263))))</f>
        <v>45407</v>
      </c>
      <c r="N1251" s="2">
        <f t="shared" si="96"/>
        <v>8</v>
      </c>
      <c r="O1251" s="2">
        <f t="shared" si="97"/>
        <v>0</v>
      </c>
      <c r="P1251" s="2" t="str">
        <f t="shared" si="98"/>
        <v>On Time</v>
      </c>
      <c r="Q1251" s="2" t="str">
        <f>PROPER(SUBSTITUTE(TRIM([1]RawShipmentData!M1263)," ","-"))</f>
        <v>Delivered</v>
      </c>
      <c r="R1251" s="4">
        <f t="shared" si="99"/>
        <v>50.129870129870127</v>
      </c>
      <c r="S1251" s="2">
        <f>[1]RawShipmentData!N1263</f>
        <v>5</v>
      </c>
      <c r="T1251" s="2" t="str">
        <f>IF(OR(UPPER(TRIM([1]RawShipmentData!O1263))="YES",UPPER(TRIM([1]RawShipmentData!O1263))="Y"),"Yes","No")</f>
        <v>No</v>
      </c>
    </row>
    <row r="1252" spans="1:20" x14ac:dyDescent="0.25">
      <c r="A1252" s="2" t="str">
        <f>[1]RawShipmentData!A1264</f>
        <v>SHP-100916</v>
      </c>
      <c r="B1252" s="3">
        <f>IF(ISNUMBER(SEARCH("/",TRIM([1]RawShipmentData!B1264))),DATE(VALUE(RIGHT(TRIM([1]RawShipmentData!B1264),4)),VALUE(MID(TRIM([1]RawShipmentData!B1264),FIND("/",TRIM([1]RawShipmentData!B1264))+1,2)),VALUE(LEFT(TRIM([1]RawShipmentData!B1264),FIND("/",TRIM([1]RawShipmentData!B1264))-1))),DATEVALUE(TRIM([1]RawShipmentData!B1264)))</f>
        <v>45419</v>
      </c>
      <c r="C1252" s="2" t="str">
        <f>PROPER(TRIM([1]RawShipmentData!C1264))</f>
        <v>Kolkata</v>
      </c>
      <c r="D1252" s="2" t="str">
        <f>IFERROR(INDEX([1]HubMaster!$B$2:$B$7,MATCH(C1252,[1]HubMaster!$A$2:$A$7,0)),"Unknown")</f>
        <v>East</v>
      </c>
      <c r="E1252" s="2" t="str">
        <f>PROPER(TRIM(SUBSTITUTE([1]RawShipmentData!D1264,"  "," ")))</f>
        <v>Delhivery</v>
      </c>
      <c r="F1252" s="2" t="str">
        <f>PROPER(TRIM([1]RawShipmentData!E1264))</f>
        <v>Road</v>
      </c>
      <c r="G1252" s="2" t="str">
        <f>PROPER(TRIM(SUBSTITUTE([1]RawShipmentData!F1264,"  "," ")))</f>
        <v>Electronics</v>
      </c>
      <c r="H1252" s="2" t="str">
        <f>PROPER(TRIM([1]RawShipmentData!G1264))</f>
        <v>West</v>
      </c>
      <c r="I1252" s="2" t="str">
        <f t="shared" si="95"/>
        <v>Yes</v>
      </c>
      <c r="J1252" s="2">
        <f>IFERROR(VALUE(TRIM(SUBSTITUTE(UPPER([1]RawShipmentData!I1252),"KG",""))),"")</f>
        <v>7</v>
      </c>
      <c r="K1252" s="2">
        <f>VALUE(SUBSTITUTE(SUBSTITUTE(SUBSTITUTE(TRIM([1]RawShipmentData!J1264),"₹",""),"Rs",""),",",""))</f>
        <v>248</v>
      </c>
      <c r="L1252" s="2">
        <f>[1]RawShipmentData!K1264</f>
        <v>8</v>
      </c>
      <c r="M1252" s="3">
        <f>IF(TRIM([1]RawShipmentData!L1264)="","",IF(ISNUMBER(SEARCH("/",TRIM([1]RawShipmentData!L1264))),DATE(VALUE(RIGHT(TRIM([1]RawShipmentData!L1264),4)),VALUE(MID(TRIM([1]RawShipmentData!L1264),FIND("/",TRIM([1]RawShipmentData!L1264))+1,2)),VALUE(LEFT(TRIM([1]RawShipmentData!L1264),FIND("/",TRIM([1]RawShipmentData!L1264))-1))),DATEVALUE(TRIM([1]RawShipmentData!L1264))))</f>
        <v>45426</v>
      </c>
      <c r="N1252" s="2">
        <f t="shared" si="96"/>
        <v>7</v>
      </c>
      <c r="O1252" s="2">
        <f t="shared" si="97"/>
        <v>-1</v>
      </c>
      <c r="P1252" s="2" t="str">
        <f t="shared" si="98"/>
        <v>On Time</v>
      </c>
      <c r="Q1252" s="2" t="str">
        <f>PROPER(SUBSTITUTE(TRIM([1]RawShipmentData!M1264)," ","-"))</f>
        <v>Delivered</v>
      </c>
      <c r="R1252" s="4">
        <f t="shared" si="99"/>
        <v>35.428571428571431</v>
      </c>
      <c r="S1252" s="2">
        <f>[1]RawShipmentData!N1264</f>
        <v>5</v>
      </c>
      <c r="T1252" s="2" t="str">
        <f>IF(OR(UPPER(TRIM([1]RawShipmentData!O1264))="YES",UPPER(TRIM([1]RawShipmentData!O1264))="Y"),"Yes","No")</f>
        <v>No</v>
      </c>
    </row>
    <row r="1253" spans="1:20" x14ac:dyDescent="0.25">
      <c r="A1253" s="2" t="str">
        <f>[1]RawShipmentData!A1265</f>
        <v>SHP-100155</v>
      </c>
      <c r="B1253" s="3">
        <f>IF(ISNUMBER(SEARCH("/",TRIM([1]RawShipmentData!B1265))),DATE(VALUE(RIGHT(TRIM([1]RawShipmentData!B1265),4)),VALUE(MID(TRIM([1]RawShipmentData!B1265),FIND("/",TRIM([1]RawShipmentData!B1265))+1,2)),VALUE(LEFT(TRIM([1]RawShipmentData!B1265),FIND("/",TRIM([1]RawShipmentData!B1265))-1))),DATEVALUE(TRIM([1]RawShipmentData!B1265)))</f>
        <v>45471</v>
      </c>
      <c r="C1253" s="2" t="str">
        <f>PROPER(TRIM([1]RawShipmentData!C1265))</f>
        <v>Bengaluru</v>
      </c>
      <c r="D1253" s="2" t="str">
        <f>IFERROR(INDEX([1]HubMaster!$B$2:$B$7,MATCH(C1253,[1]HubMaster!$A$2:$A$7,0)),"Unknown")</f>
        <v>South</v>
      </c>
      <c r="E1253" s="2" t="str">
        <f>PROPER(TRIM(SUBSTITUTE([1]RawShipmentData!D1265,"  "," ")))</f>
        <v>Ecom Express</v>
      </c>
      <c r="F1253" s="2" t="str">
        <f>PROPER(TRIM([1]RawShipmentData!E1265))</f>
        <v>Air</v>
      </c>
      <c r="G1253" s="2" t="str">
        <f>PROPER(TRIM(SUBSTITUTE([1]RawShipmentData!F1265,"  "," ")))</f>
        <v>Pharma</v>
      </c>
      <c r="H1253" s="2" t="str">
        <f>PROPER(TRIM([1]RawShipmentData!G1265))</f>
        <v>West</v>
      </c>
      <c r="I1253" s="2" t="str">
        <f t="shared" si="95"/>
        <v>Yes</v>
      </c>
      <c r="J1253" s="2">
        <f>IFERROR(VALUE(TRIM(SUBSTITUTE(UPPER([1]RawShipmentData!I1253),"KG",""))),"")</f>
        <v>23.9</v>
      </c>
      <c r="K1253" s="2">
        <f>VALUE(SUBSTITUTE(SUBSTITUTE(SUBSTITUTE(TRIM([1]RawShipmentData!J1265),"₹",""),"Rs",""),",",""))</f>
        <v>338</v>
      </c>
      <c r="L1253" s="2">
        <f>[1]RawShipmentData!K1265</f>
        <v>4</v>
      </c>
      <c r="M1253" s="3" t="str">
        <f>IF(TRIM([1]RawShipmentData!L1265)="","",IF(ISNUMBER(SEARCH("/",TRIM([1]RawShipmentData!L1265))),DATE(VALUE(RIGHT(TRIM([1]RawShipmentData!L1265),4)),VALUE(MID(TRIM([1]RawShipmentData!L1265),FIND("/",TRIM([1]RawShipmentData!L1265))+1,2)),VALUE(LEFT(TRIM([1]RawShipmentData!L1265),FIND("/",TRIM([1]RawShipmentData!L1265))-1))),DATEVALUE(TRIM([1]RawShipmentData!L1265))))</f>
        <v/>
      </c>
      <c r="N1253" s="2" t="str">
        <f t="shared" si="96"/>
        <v/>
      </c>
      <c r="O1253" s="2" t="str">
        <f t="shared" si="97"/>
        <v/>
      </c>
      <c r="P1253" s="2" t="str">
        <f t="shared" si="98"/>
        <v>N/A</v>
      </c>
      <c r="Q1253" s="2" t="str">
        <f>PROPER(SUBSTITUTE(TRIM([1]RawShipmentData!M1265)," ","-"))</f>
        <v>In-Transit</v>
      </c>
      <c r="R1253" s="4">
        <f t="shared" si="99"/>
        <v>14.142259414225942</v>
      </c>
      <c r="S1253" s="2">
        <f>[1]RawShipmentData!N1265</f>
        <v>0</v>
      </c>
      <c r="T1253" s="2" t="str">
        <f>IF(OR(UPPER(TRIM([1]RawShipmentData!O1265))="YES",UPPER(TRIM([1]RawShipmentData!O1265))="Y"),"Yes","No")</f>
        <v>No</v>
      </c>
    </row>
    <row r="1254" spans="1:20" x14ac:dyDescent="0.25">
      <c r="A1254" s="2" t="str">
        <f>[1]RawShipmentData!A1266</f>
        <v>SHP-100576</v>
      </c>
      <c r="B1254" s="3">
        <f>IF(ISNUMBER(SEARCH("/",TRIM([1]RawShipmentData!B1266))),DATE(VALUE(RIGHT(TRIM([1]RawShipmentData!B1266),4)),VALUE(MID(TRIM([1]RawShipmentData!B1266),FIND("/",TRIM([1]RawShipmentData!B1266))+1,2)),VALUE(LEFT(TRIM([1]RawShipmentData!B1266),FIND("/",TRIM([1]RawShipmentData!B1266))-1))),DATEVALUE(TRIM([1]RawShipmentData!B1266)))</f>
        <v>45319</v>
      </c>
      <c r="C1254" s="2" t="str">
        <f>PROPER(TRIM([1]RawShipmentData!C1266))</f>
        <v>Mumbai</v>
      </c>
      <c r="D1254" s="2" t="str">
        <f>IFERROR(INDEX([1]HubMaster!$B$2:$B$7,MATCH(C1254,[1]HubMaster!$A$2:$A$7,0)),"Unknown")</f>
        <v>West</v>
      </c>
      <c r="E1254" s="2" t="str">
        <f>PROPER(TRIM(SUBSTITUTE([1]RawShipmentData!D1266,"  "," ")))</f>
        <v>Delhivery</v>
      </c>
      <c r="F1254" s="2" t="str">
        <f>PROPER(TRIM([1]RawShipmentData!E1266))</f>
        <v>Air</v>
      </c>
      <c r="G1254" s="2" t="str">
        <f>PROPER(TRIM(SUBSTITUTE([1]RawShipmentData!F1266,"  "," ")))</f>
        <v>Apparel</v>
      </c>
      <c r="H1254" s="2" t="str">
        <f>PROPER(TRIM([1]RawShipmentData!G1266))</f>
        <v>East</v>
      </c>
      <c r="I1254" s="2" t="str">
        <f t="shared" si="95"/>
        <v>Yes</v>
      </c>
      <c r="J1254" s="2">
        <f>IFERROR(VALUE(TRIM(SUBSTITUTE(UPPER([1]RawShipmentData!I1254),"KG",""))),"")</f>
        <v>9.1999999999999993</v>
      </c>
      <c r="K1254" s="2">
        <f>VALUE(SUBSTITUTE(SUBSTITUTE(SUBSTITUTE(TRIM([1]RawShipmentData!J1266),"₹",""),"Rs",""),",",""))</f>
        <v>420</v>
      </c>
      <c r="L1254" s="2">
        <f>[1]RawShipmentData!K1266</f>
        <v>4</v>
      </c>
      <c r="M1254" s="3">
        <f>IF(TRIM([1]RawShipmentData!L1266)="","",IF(ISNUMBER(SEARCH("/",TRIM([1]RawShipmentData!L1266))),DATE(VALUE(RIGHT(TRIM([1]RawShipmentData!L1266),4)),VALUE(MID(TRIM([1]RawShipmentData!L1266),FIND("/",TRIM([1]RawShipmentData!L1266))+1,2)),VALUE(LEFT(TRIM([1]RawShipmentData!L1266),FIND("/",TRIM([1]RawShipmentData!L1266))-1))),DATEVALUE(TRIM([1]RawShipmentData!L1266))))</f>
        <v>45323</v>
      </c>
      <c r="N1254" s="2">
        <f t="shared" si="96"/>
        <v>4</v>
      </c>
      <c r="O1254" s="2">
        <f t="shared" si="97"/>
        <v>0</v>
      </c>
      <c r="P1254" s="2" t="str">
        <f t="shared" si="98"/>
        <v>On Time</v>
      </c>
      <c r="Q1254" s="2" t="str">
        <f>PROPER(SUBSTITUTE(TRIM([1]RawShipmentData!M1266)," ","-"))</f>
        <v>Delivered</v>
      </c>
      <c r="R1254" s="4">
        <f t="shared" si="99"/>
        <v>45.652173913043484</v>
      </c>
      <c r="S1254" s="2">
        <f>[1]RawShipmentData!N1266</f>
        <v>2</v>
      </c>
      <c r="T1254" s="2" t="str">
        <f>IF(OR(UPPER(TRIM([1]RawShipmentData!O1266))="YES",UPPER(TRIM([1]RawShipmentData!O1266))="Y"),"Yes","No")</f>
        <v>No</v>
      </c>
    </row>
    <row r="1255" spans="1:20" x14ac:dyDescent="0.25">
      <c r="A1255" s="2" t="str">
        <f>[1]RawShipmentData!A1267</f>
        <v>SHP-100487</v>
      </c>
      <c r="B1255" s="3">
        <f>IF(ISNUMBER(SEARCH("/",TRIM([1]RawShipmentData!B1267))),DATE(VALUE(RIGHT(TRIM([1]RawShipmentData!B1267),4)),VALUE(MID(TRIM([1]RawShipmentData!B1267),FIND("/",TRIM([1]RawShipmentData!B1267))+1,2)),VALUE(LEFT(TRIM([1]RawShipmentData!B1267),FIND("/",TRIM([1]RawShipmentData!B1267))-1))),DATEVALUE(TRIM([1]RawShipmentData!B1267)))</f>
        <v>45317</v>
      </c>
      <c r="C1255" s="2" t="str">
        <f>PROPER(TRIM([1]RawShipmentData!C1267))</f>
        <v>Kolkata</v>
      </c>
      <c r="D1255" s="2" t="str">
        <f>IFERROR(INDEX([1]HubMaster!$B$2:$B$7,MATCH(C1255,[1]HubMaster!$A$2:$A$7,0)),"Unknown")</f>
        <v>East</v>
      </c>
      <c r="E1255" s="2" t="str">
        <f>PROPER(TRIM(SUBSTITUTE([1]RawShipmentData!D1267,"  "," ")))</f>
        <v>Xpressbees</v>
      </c>
      <c r="F1255" s="2" t="str">
        <f>PROPER(TRIM([1]RawShipmentData!E1267))</f>
        <v>Road</v>
      </c>
      <c r="G1255" s="2" t="str">
        <f>PROPER(TRIM(SUBSTITUTE([1]RawShipmentData!F1267,"  "," ")))</f>
        <v>Pharma</v>
      </c>
      <c r="H1255" s="2" t="str">
        <f>PROPER(TRIM([1]RawShipmentData!G1267))</f>
        <v>North</v>
      </c>
      <c r="I1255" s="2" t="str">
        <f t="shared" si="95"/>
        <v>Yes</v>
      </c>
      <c r="J1255" s="2">
        <f>IFERROR(VALUE(TRIM(SUBSTITUTE(UPPER([1]RawShipmentData!I1255),"KG",""))),"")</f>
        <v>11.9</v>
      </c>
      <c r="K1255" s="2">
        <f>VALUE(SUBSTITUTE(SUBSTITUTE(SUBSTITUTE(TRIM([1]RawShipmentData!J1267),"₹",""),"Rs",""),",",""))</f>
        <v>196</v>
      </c>
      <c r="L1255" s="2">
        <f>[1]RawShipmentData!K1267</f>
        <v>8</v>
      </c>
      <c r="M1255" s="3">
        <f>IF(TRIM([1]RawShipmentData!L1267)="","",IF(ISNUMBER(SEARCH("/",TRIM([1]RawShipmentData!L1267))),DATE(VALUE(RIGHT(TRIM([1]RawShipmentData!L1267),4)),VALUE(MID(TRIM([1]RawShipmentData!L1267),FIND("/",TRIM([1]RawShipmentData!L1267))+1,2)),VALUE(LEFT(TRIM([1]RawShipmentData!L1267),FIND("/",TRIM([1]RawShipmentData!L1267))-1))),DATEVALUE(TRIM([1]RawShipmentData!L1267))))</f>
        <v>45324</v>
      </c>
      <c r="N1255" s="2">
        <f t="shared" si="96"/>
        <v>7</v>
      </c>
      <c r="O1255" s="2">
        <f t="shared" si="97"/>
        <v>-1</v>
      </c>
      <c r="P1255" s="2" t="str">
        <f t="shared" si="98"/>
        <v>On Time</v>
      </c>
      <c r="Q1255" s="2" t="str">
        <f>PROPER(SUBSTITUTE(TRIM([1]RawShipmentData!M1267)," ","-"))</f>
        <v>Delivered</v>
      </c>
      <c r="R1255" s="4">
        <f t="shared" si="99"/>
        <v>16.470588235294116</v>
      </c>
      <c r="S1255" s="2">
        <f>[1]RawShipmentData!N1267</f>
        <v>4</v>
      </c>
      <c r="T1255" s="2" t="str">
        <f>IF(OR(UPPER(TRIM([1]RawShipmentData!O1267))="YES",UPPER(TRIM([1]RawShipmentData!O1267))="Y"),"Yes","No")</f>
        <v>No</v>
      </c>
    </row>
    <row r="1256" spans="1:20" x14ac:dyDescent="0.25">
      <c r="A1256" s="2" t="str">
        <f>[1]RawShipmentData!A1268</f>
        <v>SHP-101473</v>
      </c>
      <c r="B1256" s="3">
        <f>IF(ISNUMBER(SEARCH("/",TRIM([1]RawShipmentData!B1268))),DATE(VALUE(RIGHT(TRIM([1]RawShipmentData!B1268),4)),VALUE(MID(TRIM([1]RawShipmentData!B1268),FIND("/",TRIM([1]RawShipmentData!B1268))+1,2)),VALUE(LEFT(TRIM([1]RawShipmentData!B1268),FIND("/",TRIM([1]RawShipmentData!B1268))-1))),DATEVALUE(TRIM([1]RawShipmentData!B1268)))</f>
        <v>45368</v>
      </c>
      <c r="C1256" s="2" t="str">
        <f>PROPER(TRIM([1]RawShipmentData!C1268))</f>
        <v>Hyderabad</v>
      </c>
      <c r="D1256" s="2" t="str">
        <f>IFERROR(INDEX([1]HubMaster!$B$2:$B$7,MATCH(C1256,[1]HubMaster!$A$2:$A$7,0)),"Unknown")</f>
        <v>West</v>
      </c>
      <c r="E1256" s="2" t="str">
        <f>PROPER(TRIM(SUBSTITUTE([1]RawShipmentData!D1268,"  "," ")))</f>
        <v>Delhivery</v>
      </c>
      <c r="F1256" s="2" t="str">
        <f>PROPER(TRIM([1]RawShipmentData!E1268))</f>
        <v>Surface</v>
      </c>
      <c r="G1256" s="2" t="str">
        <f>PROPER(TRIM(SUBSTITUTE([1]RawShipmentData!F1268,"  "," ")))</f>
        <v>Furniture</v>
      </c>
      <c r="H1256" s="2" t="str">
        <f>PROPER(TRIM([1]RawShipmentData!G1268))</f>
        <v>East</v>
      </c>
      <c r="I1256" s="2" t="str">
        <f t="shared" si="95"/>
        <v>Yes</v>
      </c>
      <c r="J1256" s="2">
        <f>IFERROR(VALUE(TRIM(SUBSTITUTE(UPPER([1]RawShipmentData!I1256),"KG",""))),"")</f>
        <v>2.5</v>
      </c>
      <c r="K1256" s="2">
        <f>VALUE(SUBSTITUTE(SUBSTITUTE(SUBSTITUTE(TRIM([1]RawShipmentData!J1268),"₹",""),"Rs",""),",",""))</f>
        <v>1643</v>
      </c>
      <c r="L1256" s="2">
        <f>[1]RawShipmentData!K1268</f>
        <v>6</v>
      </c>
      <c r="M1256" s="3">
        <f>IF(TRIM([1]RawShipmentData!L1268)="","",IF(ISNUMBER(SEARCH("/",TRIM([1]RawShipmentData!L1268))),DATE(VALUE(RIGHT(TRIM([1]RawShipmentData!L1268),4)),VALUE(MID(TRIM([1]RawShipmentData!L1268),FIND("/",TRIM([1]RawShipmentData!L1268))+1,2)),VALUE(LEFT(TRIM([1]RawShipmentData!L1268),FIND("/",TRIM([1]RawShipmentData!L1268))-1))),DATEVALUE(TRIM([1]RawShipmentData!L1268))))</f>
        <v>45374</v>
      </c>
      <c r="N1256" s="2">
        <f t="shared" si="96"/>
        <v>6</v>
      </c>
      <c r="O1256" s="2">
        <f t="shared" si="97"/>
        <v>0</v>
      </c>
      <c r="P1256" s="2" t="str">
        <f t="shared" si="98"/>
        <v>On Time</v>
      </c>
      <c r="Q1256" s="2" t="str">
        <f>PROPER(SUBSTITUTE(TRIM([1]RawShipmentData!M1268)," ","-"))</f>
        <v>Delivered</v>
      </c>
      <c r="R1256" s="4">
        <f t="shared" si="99"/>
        <v>657.2</v>
      </c>
      <c r="S1256" s="2">
        <f>[1]RawShipmentData!N1268</f>
        <v>4</v>
      </c>
      <c r="T1256" s="2" t="str">
        <f>IF(OR(UPPER(TRIM([1]RawShipmentData!O1268))="YES",UPPER(TRIM([1]RawShipmentData!O1268))="Y"),"Yes","No")</f>
        <v>No</v>
      </c>
    </row>
    <row r="1257" spans="1:20" x14ac:dyDescent="0.25">
      <c r="A1257" s="2" t="str">
        <f>[1]RawShipmentData!A1269</f>
        <v>SHP-100254</v>
      </c>
      <c r="B1257" s="3">
        <f>IF(ISNUMBER(SEARCH("/",TRIM([1]RawShipmentData!B1269))),DATE(VALUE(RIGHT(TRIM([1]RawShipmentData!B1269),4)),VALUE(MID(TRIM([1]RawShipmentData!B1269),FIND("/",TRIM([1]RawShipmentData!B1269))+1,2)),VALUE(LEFT(TRIM([1]RawShipmentData!B1269),FIND("/",TRIM([1]RawShipmentData!B1269))-1))),DATEVALUE(TRIM([1]RawShipmentData!B1269)))</f>
        <v>45330</v>
      </c>
      <c r="C1257" s="2" t="str">
        <f>PROPER(TRIM([1]RawShipmentData!C1269))</f>
        <v>Kolkata</v>
      </c>
      <c r="D1257" s="2" t="str">
        <f>IFERROR(INDEX([1]HubMaster!$B$2:$B$7,MATCH(C1257,[1]HubMaster!$A$2:$A$7,0)),"Unknown")</f>
        <v>East</v>
      </c>
      <c r="E1257" s="2" t="str">
        <f>PROPER(TRIM(SUBSTITUTE([1]RawShipmentData!D1269,"  "," ")))</f>
        <v>Dtdc</v>
      </c>
      <c r="F1257" s="2" t="str">
        <f>PROPER(TRIM([1]RawShipmentData!E1269))</f>
        <v>Air</v>
      </c>
      <c r="G1257" s="2" t="str">
        <f>PROPER(TRIM(SUBSTITUTE([1]RawShipmentData!F1269,"  "," ")))</f>
        <v>Apparel</v>
      </c>
      <c r="H1257" s="2" t="str">
        <f>PROPER(TRIM([1]RawShipmentData!G1269))</f>
        <v>West</v>
      </c>
      <c r="I1257" s="2" t="str">
        <f t="shared" si="95"/>
        <v>Yes</v>
      </c>
      <c r="J1257" s="2">
        <f>IFERROR(VALUE(TRIM(SUBSTITUTE(UPPER([1]RawShipmentData!I1257),"KG",""))),"")</f>
        <v>37.299999999999997</v>
      </c>
      <c r="K1257" s="2">
        <f>VALUE(SUBSTITUTE(SUBSTITUTE(SUBSTITUTE(TRIM([1]RawShipmentData!J1269),"₹",""),"Rs",""),",",""))</f>
        <v>382</v>
      </c>
      <c r="L1257" s="2">
        <f>[1]RawShipmentData!K1269</f>
        <v>4</v>
      </c>
      <c r="M1257" s="3">
        <f>IF(TRIM([1]RawShipmentData!L1269)="","",IF(ISNUMBER(SEARCH("/",TRIM([1]RawShipmentData!L1269))),DATE(VALUE(RIGHT(TRIM([1]RawShipmentData!L1269),4)),VALUE(MID(TRIM([1]RawShipmentData!L1269),FIND("/",TRIM([1]RawShipmentData!L1269))+1,2)),VALUE(LEFT(TRIM([1]RawShipmentData!L1269),FIND("/",TRIM([1]RawShipmentData!L1269))-1))),DATEVALUE(TRIM([1]RawShipmentData!L1269))))</f>
        <v>45342</v>
      </c>
      <c r="N1257" s="2">
        <f t="shared" si="96"/>
        <v>12</v>
      </c>
      <c r="O1257" s="2">
        <f t="shared" si="97"/>
        <v>8</v>
      </c>
      <c r="P1257" s="2" t="str">
        <f t="shared" si="98"/>
        <v>Late</v>
      </c>
      <c r="Q1257" s="2" t="str">
        <f>PROPER(SUBSTITUTE(TRIM([1]RawShipmentData!M1269)," ","-"))</f>
        <v>Delayed</v>
      </c>
      <c r="R1257" s="4">
        <f t="shared" si="99"/>
        <v>10.241286863270778</v>
      </c>
      <c r="S1257" s="2">
        <f>[1]RawShipmentData!N1269</f>
        <v>2</v>
      </c>
      <c r="T1257" s="2" t="str">
        <f>IF(OR(UPPER(TRIM([1]RawShipmentData!O1269))="YES",UPPER(TRIM([1]RawShipmentData!O1269))="Y"),"Yes","No")</f>
        <v>Yes</v>
      </c>
    </row>
    <row r="1258" spans="1:20" x14ac:dyDescent="0.25">
      <c r="A1258" s="2" t="str">
        <f>[1]RawShipmentData!A1270</f>
        <v>SHP-100343</v>
      </c>
      <c r="B1258" s="3">
        <f>IF(ISNUMBER(SEARCH("/",TRIM([1]RawShipmentData!B1270))),DATE(VALUE(RIGHT(TRIM([1]RawShipmentData!B1270),4)),VALUE(MID(TRIM([1]RawShipmentData!B1270),FIND("/",TRIM([1]RawShipmentData!B1270))+1,2)),VALUE(LEFT(TRIM([1]RawShipmentData!B1270),FIND("/",TRIM([1]RawShipmentData!B1270))-1))),DATEVALUE(TRIM([1]RawShipmentData!B1270)))</f>
        <v>45353</v>
      </c>
      <c r="C1258" s="2" t="str">
        <f>PROPER(TRIM([1]RawShipmentData!C1270))</f>
        <v>Delhi</v>
      </c>
      <c r="D1258" s="2" t="str">
        <f>IFERROR(INDEX([1]HubMaster!$B$2:$B$7,MATCH(C1258,[1]HubMaster!$A$2:$A$7,0)),"Unknown")</f>
        <v>North</v>
      </c>
      <c r="E1258" s="2" t="str">
        <f>PROPER(TRIM(SUBSTITUTE([1]RawShipmentData!D1270,"  "," ")))</f>
        <v>Dtdc</v>
      </c>
      <c r="F1258" s="2" t="str">
        <f>PROPER(TRIM([1]RawShipmentData!E1270))</f>
        <v>Road</v>
      </c>
      <c r="G1258" s="2" t="str">
        <f>PROPER(TRIM(SUBSTITUTE([1]RawShipmentData!F1270,"  "," ")))</f>
        <v>Automotive Parts</v>
      </c>
      <c r="H1258" s="2" t="str">
        <f>PROPER(TRIM([1]RawShipmentData!G1270))</f>
        <v>South</v>
      </c>
      <c r="I1258" s="2" t="str">
        <f t="shared" si="95"/>
        <v>Yes</v>
      </c>
      <c r="J1258" s="2">
        <f>IFERROR(VALUE(TRIM(SUBSTITUTE(UPPER([1]RawShipmentData!I1258),"KG",""))),"")</f>
        <v>1.2</v>
      </c>
      <c r="K1258" s="2">
        <f>VALUE(SUBSTITUTE(SUBSTITUTE(SUBSTITUTE(TRIM([1]RawShipmentData!J1270),"₹",""),"Rs",""),",",""))</f>
        <v>440</v>
      </c>
      <c r="L1258" s="2">
        <f>[1]RawShipmentData!K1270</f>
        <v>8</v>
      </c>
      <c r="M1258" s="3">
        <f>IF(TRIM([1]RawShipmentData!L1270)="","",IF(ISNUMBER(SEARCH("/",TRIM([1]RawShipmentData!L1270))),DATE(VALUE(RIGHT(TRIM([1]RawShipmentData!L1270),4)),VALUE(MID(TRIM([1]RawShipmentData!L1270),FIND("/",TRIM([1]RawShipmentData!L1270))+1,2)),VALUE(LEFT(TRIM([1]RawShipmentData!L1270),FIND("/",TRIM([1]RawShipmentData!L1270))-1))),DATEVALUE(TRIM([1]RawShipmentData!L1270))))</f>
        <v>45362</v>
      </c>
      <c r="N1258" s="2">
        <f t="shared" si="96"/>
        <v>9</v>
      </c>
      <c r="O1258" s="2">
        <f t="shared" si="97"/>
        <v>1</v>
      </c>
      <c r="P1258" s="2" t="str">
        <f t="shared" si="98"/>
        <v>Late</v>
      </c>
      <c r="Q1258" s="2" t="str">
        <f>PROPER(SUBSTITUTE(TRIM([1]RawShipmentData!M1270)," ","-"))</f>
        <v>Delayed</v>
      </c>
      <c r="R1258" s="4">
        <f t="shared" si="99"/>
        <v>366.66666666666669</v>
      </c>
      <c r="S1258" s="2">
        <f>[1]RawShipmentData!N1270</f>
        <v>3</v>
      </c>
      <c r="T1258" s="2" t="str">
        <f>IF(OR(UPPER(TRIM([1]RawShipmentData!O1270))="YES",UPPER(TRIM([1]RawShipmentData!O1270))="Y"),"Yes","No")</f>
        <v>Yes</v>
      </c>
    </row>
    <row r="1259" spans="1:20" x14ac:dyDescent="0.25">
      <c r="A1259" s="2" t="str">
        <f>[1]RawShipmentData!A1271</f>
        <v>SHP-100291</v>
      </c>
      <c r="B1259" s="3">
        <f>IF(ISNUMBER(SEARCH("/",TRIM([1]RawShipmentData!B1271))),DATE(VALUE(RIGHT(TRIM([1]RawShipmentData!B1271),4)),VALUE(MID(TRIM([1]RawShipmentData!B1271),FIND("/",TRIM([1]RawShipmentData!B1271))+1,2)),VALUE(LEFT(TRIM([1]RawShipmentData!B1271),FIND("/",TRIM([1]RawShipmentData!B1271))-1))),DATEVALUE(TRIM([1]RawShipmentData!B1271)))</f>
        <v>45317</v>
      </c>
      <c r="C1259" s="2" t="str">
        <f>PROPER(TRIM([1]RawShipmentData!C1271))</f>
        <v>Kolkata</v>
      </c>
      <c r="D1259" s="2" t="str">
        <f>IFERROR(INDEX([1]HubMaster!$B$2:$B$7,MATCH(C1259,[1]HubMaster!$A$2:$A$7,0)),"Unknown")</f>
        <v>East</v>
      </c>
      <c r="E1259" s="2" t="str">
        <f>PROPER(TRIM(SUBSTITUTE([1]RawShipmentData!D1271,"  "," ")))</f>
        <v>Dtdc</v>
      </c>
      <c r="F1259" s="2" t="str">
        <f>PROPER(TRIM([1]RawShipmentData!E1271))</f>
        <v>Air</v>
      </c>
      <c r="G1259" s="2" t="str">
        <f>PROPER(TRIM(SUBSTITUTE([1]RawShipmentData!F1271,"  "," ")))</f>
        <v>Furniture</v>
      </c>
      <c r="H1259" s="2" t="str">
        <f>PROPER(TRIM([1]RawShipmentData!G1271))</f>
        <v>West</v>
      </c>
      <c r="I1259" s="2" t="str">
        <f t="shared" si="95"/>
        <v>Yes</v>
      </c>
      <c r="J1259" s="2">
        <f>IFERROR(VALUE(TRIM(SUBSTITUTE(UPPER([1]RawShipmentData!I1259),"KG",""))),"")</f>
        <v>3.6</v>
      </c>
      <c r="K1259" s="2">
        <f>VALUE(SUBSTITUTE(SUBSTITUTE(SUBSTITUTE(TRIM([1]RawShipmentData!J1271),"₹",""),"Rs",""),",",""))</f>
        <v>2387</v>
      </c>
      <c r="L1259" s="2">
        <f>[1]RawShipmentData!K1271</f>
        <v>4</v>
      </c>
      <c r="M1259" s="3">
        <f>IF(TRIM([1]RawShipmentData!L1271)="","",IF(ISNUMBER(SEARCH("/",TRIM([1]RawShipmentData!L1271))),DATE(VALUE(RIGHT(TRIM([1]RawShipmentData!L1271),4)),VALUE(MID(TRIM([1]RawShipmentData!L1271),FIND("/",TRIM([1]RawShipmentData!L1271))+1,2)),VALUE(LEFT(TRIM([1]RawShipmentData!L1271),FIND("/",TRIM([1]RawShipmentData!L1271))-1))),DATEVALUE(TRIM([1]RawShipmentData!L1271))))</f>
        <v>45320</v>
      </c>
      <c r="N1259" s="2">
        <f t="shared" si="96"/>
        <v>3</v>
      </c>
      <c r="O1259" s="2">
        <f t="shared" si="97"/>
        <v>-1</v>
      </c>
      <c r="P1259" s="2" t="str">
        <f t="shared" si="98"/>
        <v>On Time</v>
      </c>
      <c r="Q1259" s="2" t="str">
        <f>PROPER(SUBSTITUTE(TRIM([1]RawShipmentData!M1271)," ","-"))</f>
        <v>Delivered</v>
      </c>
      <c r="R1259" s="4">
        <f t="shared" si="99"/>
        <v>663.05555555555554</v>
      </c>
      <c r="S1259" s="2">
        <f>[1]RawShipmentData!N1271</f>
        <v>4</v>
      </c>
      <c r="T1259" s="2" t="str">
        <f>IF(OR(UPPER(TRIM([1]RawShipmentData!O1271))="YES",UPPER(TRIM([1]RawShipmentData!O1271))="Y"),"Yes","No")</f>
        <v>No</v>
      </c>
    </row>
    <row r="1260" spans="1:20" x14ac:dyDescent="0.25">
      <c r="A1260" s="2" t="str">
        <f>[1]RawShipmentData!A1272</f>
        <v>SHP-101598</v>
      </c>
      <c r="B1260" s="3">
        <f>IF(ISNUMBER(SEARCH("/",TRIM([1]RawShipmentData!B1272))),DATE(VALUE(RIGHT(TRIM([1]RawShipmentData!B1272),4)),VALUE(MID(TRIM([1]RawShipmentData!B1272),FIND("/",TRIM([1]RawShipmentData!B1272))+1,2)),VALUE(LEFT(TRIM([1]RawShipmentData!B1272),FIND("/",TRIM([1]RawShipmentData!B1272))-1))),DATEVALUE(TRIM([1]RawShipmentData!B1272)))</f>
        <v>45375</v>
      </c>
      <c r="C1260" s="2" t="str">
        <f>PROPER(TRIM([1]RawShipmentData!C1272))</f>
        <v>Chennai</v>
      </c>
      <c r="D1260" s="2" t="str">
        <f>IFERROR(INDEX([1]HubMaster!$B$2:$B$7,MATCH(C1260,[1]HubMaster!$A$2:$A$7,0)),"Unknown")</f>
        <v>South</v>
      </c>
      <c r="E1260" s="2" t="str">
        <f>PROPER(TRIM(SUBSTITUTE([1]RawShipmentData!D1272,"  "," ")))</f>
        <v>Delhivery</v>
      </c>
      <c r="F1260" s="2" t="str">
        <f>PROPER(TRIM([1]RawShipmentData!E1272))</f>
        <v>Air</v>
      </c>
      <c r="G1260" s="2" t="str">
        <f>PROPER(TRIM(SUBSTITUTE([1]RawShipmentData!F1272,"  "," ")))</f>
        <v>Electronics</v>
      </c>
      <c r="H1260" s="2" t="str">
        <f>PROPER(TRIM([1]RawShipmentData!G1272))</f>
        <v>South</v>
      </c>
      <c r="I1260" s="2" t="str">
        <f t="shared" si="95"/>
        <v>No</v>
      </c>
      <c r="J1260" s="2">
        <f>IFERROR(VALUE(TRIM(SUBSTITUTE(UPPER([1]RawShipmentData!I1260),"KG",""))),"")</f>
        <v>14</v>
      </c>
      <c r="K1260" s="2">
        <f>VALUE(SUBSTITUTE(SUBSTITUTE(SUBSTITUTE(TRIM([1]RawShipmentData!J1272),"₹",""),"Rs",""),",",""))</f>
        <v>619</v>
      </c>
      <c r="L1260" s="2">
        <f>[1]RawShipmentData!K1272</f>
        <v>2</v>
      </c>
      <c r="M1260" s="3">
        <f>IF(TRIM([1]RawShipmentData!L1272)="","",IF(ISNUMBER(SEARCH("/",TRIM([1]RawShipmentData!L1272))),DATE(VALUE(RIGHT(TRIM([1]RawShipmentData!L1272),4)),VALUE(MID(TRIM([1]RawShipmentData!L1272),FIND("/",TRIM([1]RawShipmentData!L1272))+1,2)),VALUE(LEFT(TRIM([1]RawShipmentData!L1272),FIND("/",TRIM([1]RawShipmentData!L1272))-1))),DATEVALUE(TRIM([1]RawShipmentData!L1272))))</f>
        <v>45381</v>
      </c>
      <c r="N1260" s="2">
        <f t="shared" si="96"/>
        <v>6</v>
      </c>
      <c r="O1260" s="2">
        <f t="shared" si="97"/>
        <v>4</v>
      </c>
      <c r="P1260" s="2" t="str">
        <f t="shared" si="98"/>
        <v>Late</v>
      </c>
      <c r="Q1260" s="2" t="str">
        <f>PROPER(SUBSTITUTE(TRIM([1]RawShipmentData!M1272)," ","-"))</f>
        <v>Delayed</v>
      </c>
      <c r="R1260" s="4">
        <f t="shared" si="99"/>
        <v>44.214285714285715</v>
      </c>
      <c r="S1260" s="2">
        <f>[1]RawShipmentData!N1272</f>
        <v>3</v>
      </c>
      <c r="T1260" s="2" t="str">
        <f>IF(OR(UPPER(TRIM([1]RawShipmentData!O1272))="YES",UPPER(TRIM([1]RawShipmentData!O1272))="Y"),"Yes","No")</f>
        <v>Yes</v>
      </c>
    </row>
    <row r="1261" spans="1:20" x14ac:dyDescent="0.25">
      <c r="A1261" s="2" t="str">
        <f>[1]RawShipmentData!A1273</f>
        <v>SHP-100342</v>
      </c>
      <c r="B1261" s="3">
        <f>IF(ISNUMBER(SEARCH("/",TRIM([1]RawShipmentData!B1273))),DATE(VALUE(RIGHT(TRIM([1]RawShipmentData!B1273),4)),VALUE(MID(TRIM([1]RawShipmentData!B1273),FIND("/",TRIM([1]RawShipmentData!B1273))+1,2)),VALUE(LEFT(TRIM([1]RawShipmentData!B1273),FIND("/",TRIM([1]RawShipmentData!B1273))-1))),DATEVALUE(TRIM([1]RawShipmentData!B1273)))</f>
        <v>45397</v>
      </c>
      <c r="C1261" s="2" t="str">
        <f>PROPER(TRIM([1]RawShipmentData!C1273))</f>
        <v>Kolkata</v>
      </c>
      <c r="D1261" s="2" t="str">
        <f>IFERROR(INDEX([1]HubMaster!$B$2:$B$7,MATCH(C1261,[1]HubMaster!$A$2:$A$7,0)),"Unknown")</f>
        <v>East</v>
      </c>
      <c r="E1261" s="2" t="str">
        <f>PROPER(TRIM(SUBSTITUTE([1]RawShipmentData!D1273,"  "," ")))</f>
        <v>Bluedart</v>
      </c>
      <c r="F1261" s="2" t="str">
        <f>PROPER(TRIM([1]RawShipmentData!E1273))</f>
        <v>Road</v>
      </c>
      <c r="G1261" s="2" t="str">
        <f>PROPER(TRIM(SUBSTITUTE([1]RawShipmentData!F1273,"  "," ")))</f>
        <v>Furniture</v>
      </c>
      <c r="H1261" s="2" t="str">
        <f>PROPER(TRIM([1]RawShipmentData!G1273))</f>
        <v>North</v>
      </c>
      <c r="I1261" s="2" t="str">
        <f t="shared" si="95"/>
        <v>Yes</v>
      </c>
      <c r="J1261" s="2">
        <f>IFERROR(VALUE(TRIM(SUBSTITUTE(UPPER([1]RawShipmentData!I1261),"KG",""))),"")</f>
        <v>3.7</v>
      </c>
      <c r="K1261" s="2">
        <f>VALUE(SUBSTITUTE(SUBSTITUTE(SUBSTITUTE(TRIM([1]RawShipmentData!J1273),"₹",""),"Rs",""),",",""))</f>
        <v>393</v>
      </c>
      <c r="L1261" s="2">
        <f>[1]RawShipmentData!K1273</f>
        <v>8</v>
      </c>
      <c r="M1261" s="3">
        <f>IF(TRIM([1]RawShipmentData!L1273)="","",IF(ISNUMBER(SEARCH("/",TRIM([1]RawShipmentData!L1273))),DATE(VALUE(RIGHT(TRIM([1]RawShipmentData!L1273),4)),VALUE(MID(TRIM([1]RawShipmentData!L1273),FIND("/",TRIM([1]RawShipmentData!L1273))+1,2)),VALUE(LEFT(TRIM([1]RawShipmentData!L1273),FIND("/",TRIM([1]RawShipmentData!L1273))-1))),DATEVALUE(TRIM([1]RawShipmentData!L1273))))</f>
        <v>45408</v>
      </c>
      <c r="N1261" s="2">
        <f t="shared" si="96"/>
        <v>11</v>
      </c>
      <c r="O1261" s="2">
        <f t="shared" si="97"/>
        <v>3</v>
      </c>
      <c r="P1261" s="2" t="str">
        <f t="shared" si="98"/>
        <v>Late</v>
      </c>
      <c r="Q1261" s="2" t="str">
        <f>PROPER(SUBSTITUTE(TRIM([1]RawShipmentData!M1273)," ","-"))</f>
        <v>Delayed</v>
      </c>
      <c r="R1261" s="4">
        <f t="shared" si="99"/>
        <v>106.21621621621621</v>
      </c>
      <c r="S1261" s="2">
        <f>[1]RawShipmentData!N1273</f>
        <v>1</v>
      </c>
      <c r="T1261" s="2" t="str">
        <f>IF(OR(UPPER(TRIM([1]RawShipmentData!O1273))="YES",UPPER(TRIM([1]RawShipmentData!O1273))="Y"),"Yes","No")</f>
        <v>No</v>
      </c>
    </row>
    <row r="1262" spans="1:20" x14ac:dyDescent="0.25">
      <c r="A1262" s="2" t="str">
        <f>[1]RawShipmentData!A1274</f>
        <v>SHP-100766</v>
      </c>
      <c r="B1262" s="3">
        <f>IF(ISNUMBER(SEARCH("/",TRIM([1]RawShipmentData!B1274))),DATE(VALUE(RIGHT(TRIM([1]RawShipmentData!B1274),4)),VALUE(MID(TRIM([1]RawShipmentData!B1274),FIND("/",TRIM([1]RawShipmentData!B1274))+1,2)),VALUE(LEFT(TRIM([1]RawShipmentData!B1274),FIND("/",TRIM([1]RawShipmentData!B1274))-1))),DATEVALUE(TRIM([1]RawShipmentData!B1274)))</f>
        <v>45456</v>
      </c>
      <c r="C1262" s="2" t="str">
        <f>PROPER(TRIM([1]RawShipmentData!C1274))</f>
        <v>Delhi</v>
      </c>
      <c r="D1262" s="2" t="str">
        <f>IFERROR(INDEX([1]HubMaster!$B$2:$B$7,MATCH(C1262,[1]HubMaster!$A$2:$A$7,0)),"Unknown")</f>
        <v>North</v>
      </c>
      <c r="E1262" s="2" t="str">
        <f>PROPER(TRIM(SUBSTITUTE([1]RawShipmentData!D1274,"  "," ")))</f>
        <v>Blue Dart</v>
      </c>
      <c r="F1262" s="2" t="str">
        <f>PROPER(TRIM([1]RawShipmentData!E1274))</f>
        <v>Air</v>
      </c>
      <c r="G1262" s="2" t="str">
        <f>PROPER(TRIM(SUBSTITUTE([1]RawShipmentData!F1274,"  "," ")))</f>
        <v>Grocery &amp; Fmcg</v>
      </c>
      <c r="H1262" s="2" t="str">
        <f>PROPER(TRIM([1]RawShipmentData!G1274))</f>
        <v>North</v>
      </c>
      <c r="I1262" s="2" t="str">
        <f t="shared" si="95"/>
        <v>No</v>
      </c>
      <c r="J1262" s="2">
        <f>IFERROR(VALUE(TRIM(SUBSTITUTE(UPPER([1]RawShipmentData!I1262),"KG",""))),"")</f>
        <v>17.8</v>
      </c>
      <c r="K1262" s="2">
        <f>VALUE(SUBSTITUTE(SUBSTITUTE(SUBSTITUTE(TRIM([1]RawShipmentData!J1274),"₹",""),"Rs",""),",",""))</f>
        <v>842</v>
      </c>
      <c r="L1262" s="2">
        <f>[1]RawShipmentData!K1274</f>
        <v>2</v>
      </c>
      <c r="M1262" s="3">
        <f>IF(TRIM([1]RawShipmentData!L1274)="","",IF(ISNUMBER(SEARCH("/",TRIM([1]RawShipmentData!L1274))),DATE(VALUE(RIGHT(TRIM([1]RawShipmentData!L1274),4)),VALUE(MID(TRIM([1]RawShipmentData!L1274),FIND("/",TRIM([1]RawShipmentData!L1274))+1,2)),VALUE(LEFT(TRIM([1]RawShipmentData!L1274),FIND("/",TRIM([1]RawShipmentData!L1274))-1))),DATEVALUE(TRIM([1]RawShipmentData!L1274))))</f>
        <v>45457</v>
      </c>
      <c r="N1262" s="2">
        <f t="shared" si="96"/>
        <v>1</v>
      </c>
      <c r="O1262" s="2">
        <f t="shared" si="97"/>
        <v>-1</v>
      </c>
      <c r="P1262" s="2" t="str">
        <f t="shared" si="98"/>
        <v>On Time</v>
      </c>
      <c r="Q1262" s="2" t="str">
        <f>PROPER(SUBSTITUTE(TRIM([1]RawShipmentData!M1274)," ","-"))</f>
        <v>Delivered</v>
      </c>
      <c r="R1262" s="4">
        <f t="shared" si="99"/>
        <v>47.303370786516851</v>
      </c>
      <c r="S1262" s="2">
        <f>[1]RawShipmentData!N1274</f>
        <v>3</v>
      </c>
      <c r="T1262" s="2" t="str">
        <f>IF(OR(UPPER(TRIM([1]RawShipmentData!O1274))="YES",UPPER(TRIM([1]RawShipmentData!O1274))="Y"),"Yes","No")</f>
        <v>No</v>
      </c>
    </row>
    <row r="1263" spans="1:20" x14ac:dyDescent="0.25">
      <c r="A1263" s="2" t="str">
        <f>[1]RawShipmentData!A1275</f>
        <v>SHP-100684</v>
      </c>
      <c r="B1263" s="3">
        <f>IF(ISNUMBER(SEARCH("/",TRIM([1]RawShipmentData!B1275))),DATE(VALUE(RIGHT(TRIM([1]RawShipmentData!B1275),4)),VALUE(MID(TRIM([1]RawShipmentData!B1275),FIND("/",TRIM([1]RawShipmentData!B1275))+1,2)),VALUE(LEFT(TRIM([1]RawShipmentData!B1275),FIND("/",TRIM([1]RawShipmentData!B1275))-1))),DATEVALUE(TRIM([1]RawShipmentData!B1275)))</f>
        <v>45455</v>
      </c>
      <c r="C1263" s="2" t="str">
        <f>PROPER(TRIM([1]RawShipmentData!C1275))</f>
        <v>Kolkata</v>
      </c>
      <c r="D1263" s="2" t="str">
        <f>IFERROR(INDEX([1]HubMaster!$B$2:$B$7,MATCH(C1263,[1]HubMaster!$A$2:$A$7,0)),"Unknown")</f>
        <v>East</v>
      </c>
      <c r="E1263" s="2" t="str">
        <f>PROPER(TRIM(SUBSTITUTE([1]RawShipmentData!D1275,"  "," ")))</f>
        <v>Ecom Express</v>
      </c>
      <c r="F1263" s="2" t="str">
        <f>PROPER(TRIM([1]RawShipmentData!E1275))</f>
        <v>Road</v>
      </c>
      <c r="G1263" s="2" t="str">
        <f>PROPER(TRIM(SUBSTITUTE([1]RawShipmentData!F1275,"  "," ")))</f>
        <v>Grocery &amp; Fmcg</v>
      </c>
      <c r="H1263" s="2" t="str">
        <f>PROPER(TRIM([1]RawShipmentData!G1275))</f>
        <v>East</v>
      </c>
      <c r="I1263" s="2" t="str">
        <f t="shared" si="95"/>
        <v>No</v>
      </c>
      <c r="J1263" s="2">
        <f>IFERROR(VALUE(TRIM(SUBSTITUTE(UPPER([1]RawShipmentData!I1263),"KG",""))),"")</f>
        <v>12.9</v>
      </c>
      <c r="K1263" s="2">
        <f>VALUE(SUBSTITUTE(SUBSTITUTE(SUBSTITUTE(TRIM([1]RawShipmentData!J1275),"₹",""),"Rs",""),",",""))</f>
        <v>125</v>
      </c>
      <c r="L1263" s="2">
        <f>[1]RawShipmentData!K1275</f>
        <v>6</v>
      </c>
      <c r="M1263" s="3">
        <f>IF(TRIM([1]RawShipmentData!L1275)="","",IF(ISNUMBER(SEARCH("/",TRIM([1]RawShipmentData!L1275))),DATE(VALUE(RIGHT(TRIM([1]RawShipmentData!L1275),4)),VALUE(MID(TRIM([1]RawShipmentData!L1275),FIND("/",TRIM([1]RawShipmentData!L1275))+1,2)),VALUE(LEFT(TRIM([1]RawShipmentData!L1275),FIND("/",TRIM([1]RawShipmentData!L1275))-1))),DATEVALUE(TRIM([1]RawShipmentData!L1275))))</f>
        <v>45461</v>
      </c>
      <c r="N1263" s="2">
        <f t="shared" si="96"/>
        <v>6</v>
      </c>
      <c r="O1263" s="2">
        <f t="shared" si="97"/>
        <v>0</v>
      </c>
      <c r="P1263" s="2" t="str">
        <f t="shared" si="98"/>
        <v>On Time</v>
      </c>
      <c r="Q1263" s="2" t="str">
        <f>PROPER(SUBSTITUTE(TRIM([1]RawShipmentData!M1275)," ","-"))</f>
        <v>Delivered</v>
      </c>
      <c r="R1263" s="4">
        <f t="shared" si="99"/>
        <v>9.6899224806201545</v>
      </c>
      <c r="S1263" s="2">
        <f>[1]RawShipmentData!N1275</f>
        <v>5</v>
      </c>
      <c r="T1263" s="2" t="str">
        <f>IF(OR(UPPER(TRIM([1]RawShipmentData!O1275))="YES",UPPER(TRIM([1]RawShipmentData!O1275))="Y"),"Yes","No")</f>
        <v>Yes</v>
      </c>
    </row>
    <row r="1264" spans="1:20" x14ac:dyDescent="0.25">
      <c r="A1264" s="2" t="str">
        <f>[1]RawShipmentData!A1276</f>
        <v>SHP-101517</v>
      </c>
      <c r="B1264" s="3">
        <f>IF(ISNUMBER(SEARCH("/",TRIM([1]RawShipmentData!B1276))),DATE(VALUE(RIGHT(TRIM([1]RawShipmentData!B1276),4)),VALUE(MID(TRIM([1]RawShipmentData!B1276),FIND("/",TRIM([1]RawShipmentData!B1276))+1,2)),VALUE(LEFT(TRIM([1]RawShipmentData!B1276),FIND("/",TRIM([1]RawShipmentData!B1276))-1))),DATEVALUE(TRIM([1]RawShipmentData!B1276)))</f>
        <v>45449</v>
      </c>
      <c r="C1264" s="2" t="str">
        <f>PROPER(TRIM([1]RawShipmentData!C1276))</f>
        <v>Bengaluru</v>
      </c>
      <c r="D1264" s="2" t="str">
        <f>IFERROR(INDEX([1]HubMaster!$B$2:$B$7,MATCH(C1264,[1]HubMaster!$A$2:$A$7,0)),"Unknown")</f>
        <v>South</v>
      </c>
      <c r="E1264" s="2" t="str">
        <f>PROPER(TRIM(SUBSTITUTE([1]RawShipmentData!D1276,"  "," ")))</f>
        <v>Xpressbees</v>
      </c>
      <c r="F1264" s="2" t="str">
        <f>PROPER(TRIM([1]RawShipmentData!E1276))</f>
        <v>Air</v>
      </c>
      <c r="G1264" s="2" t="str">
        <f>PROPER(TRIM(SUBSTITUTE([1]RawShipmentData!F1276,"  "," ")))</f>
        <v>Apparel</v>
      </c>
      <c r="H1264" s="2" t="str">
        <f>PROPER(TRIM([1]RawShipmentData!G1276))</f>
        <v>East</v>
      </c>
      <c r="I1264" s="2" t="str">
        <f t="shared" si="95"/>
        <v>Yes</v>
      </c>
      <c r="J1264" s="2">
        <f>IFERROR(VALUE(TRIM(SUBSTITUTE(UPPER([1]RawShipmentData!I1264),"KG",""))),"")</f>
        <v>4.4000000000000004</v>
      </c>
      <c r="K1264" s="2">
        <f>VALUE(SUBSTITUTE(SUBSTITUTE(SUBSTITUTE(TRIM([1]RawShipmentData!J1276),"₹",""),"Rs",""),",",""))</f>
        <v>394</v>
      </c>
      <c r="L1264" s="2">
        <f>[1]RawShipmentData!K1276</f>
        <v>4</v>
      </c>
      <c r="M1264" s="3">
        <f>IF(TRIM([1]RawShipmentData!L1276)="","",IF(ISNUMBER(SEARCH("/",TRIM([1]RawShipmentData!L1276))),DATE(VALUE(RIGHT(TRIM([1]RawShipmentData!L1276),4)),VALUE(MID(TRIM([1]RawShipmentData!L1276),FIND("/",TRIM([1]RawShipmentData!L1276))+1,2)),VALUE(LEFT(TRIM([1]RawShipmentData!L1276),FIND("/",TRIM([1]RawShipmentData!L1276))-1))),DATEVALUE(TRIM([1]RawShipmentData!L1276))))</f>
        <v>45454</v>
      </c>
      <c r="N1264" s="2">
        <f t="shared" si="96"/>
        <v>5</v>
      </c>
      <c r="O1264" s="2">
        <f t="shared" si="97"/>
        <v>1</v>
      </c>
      <c r="P1264" s="2" t="str">
        <f t="shared" si="98"/>
        <v>Late</v>
      </c>
      <c r="Q1264" s="2" t="str">
        <f>PROPER(SUBSTITUTE(TRIM([1]RawShipmentData!M1276)," ","-"))</f>
        <v>Delayed</v>
      </c>
      <c r="R1264" s="4">
        <f t="shared" si="99"/>
        <v>89.545454545454533</v>
      </c>
      <c r="S1264" s="2">
        <f>[1]RawShipmentData!N1276</f>
        <v>2</v>
      </c>
      <c r="T1264" s="2" t="str">
        <f>IF(OR(UPPER(TRIM([1]RawShipmentData!O1276))="YES",UPPER(TRIM([1]RawShipmentData!O1276))="Y"),"Yes","No")</f>
        <v>Yes</v>
      </c>
    </row>
    <row r="1265" spans="1:20" x14ac:dyDescent="0.25">
      <c r="A1265" s="2" t="str">
        <f>[1]RawShipmentData!A1277</f>
        <v>SHP-100920</v>
      </c>
      <c r="B1265" s="3">
        <f>IF(ISNUMBER(SEARCH("/",TRIM([1]RawShipmentData!B1277))),DATE(VALUE(RIGHT(TRIM([1]RawShipmentData!B1277),4)),VALUE(MID(TRIM([1]RawShipmentData!B1277),FIND("/",TRIM([1]RawShipmentData!B1277))+1,2)),VALUE(LEFT(TRIM([1]RawShipmentData!B1277),FIND("/",TRIM([1]RawShipmentData!B1277))-1))),DATEVALUE(TRIM([1]RawShipmentData!B1277)))</f>
        <v>45449</v>
      </c>
      <c r="C1265" s="2" t="str">
        <f>PROPER(TRIM([1]RawShipmentData!C1277))</f>
        <v>Kolkata</v>
      </c>
      <c r="D1265" s="2" t="str">
        <f>IFERROR(INDEX([1]HubMaster!$B$2:$B$7,MATCH(C1265,[1]HubMaster!$A$2:$A$7,0)),"Unknown")</f>
        <v>East</v>
      </c>
      <c r="E1265" s="2" t="str">
        <f>PROPER(TRIM(SUBSTITUTE([1]RawShipmentData!D1277,"  "," ")))</f>
        <v>Ecom Express</v>
      </c>
      <c r="F1265" s="2" t="str">
        <f>PROPER(TRIM([1]RawShipmentData!E1277))</f>
        <v>Road</v>
      </c>
      <c r="G1265" s="2" t="str">
        <f>PROPER(TRIM(SUBSTITUTE([1]RawShipmentData!F1277,"  "," ")))</f>
        <v>Pharma</v>
      </c>
      <c r="H1265" s="2" t="str">
        <f>PROPER(TRIM([1]RawShipmentData!G1277))</f>
        <v>West</v>
      </c>
      <c r="I1265" s="2" t="str">
        <f t="shared" si="95"/>
        <v>Yes</v>
      </c>
      <c r="J1265" s="2">
        <f>IFERROR(VALUE(TRIM(SUBSTITUTE(UPPER([1]RawShipmentData!I1265),"KG",""))),"")</f>
        <v>3.8</v>
      </c>
      <c r="K1265" s="2">
        <f>VALUE(SUBSTITUTE(SUBSTITUTE(SUBSTITUTE(TRIM([1]RawShipmentData!J1277),"₹",""),"Rs",""),",",""))</f>
        <v>148</v>
      </c>
      <c r="L1265" s="2">
        <f>[1]RawShipmentData!K1277</f>
        <v>8</v>
      </c>
      <c r="M1265" s="3">
        <f>IF(TRIM([1]RawShipmentData!L1277)="","",IF(ISNUMBER(SEARCH("/",TRIM([1]RawShipmentData!L1277))),DATE(VALUE(RIGHT(TRIM([1]RawShipmentData!L1277),4)),VALUE(MID(TRIM([1]RawShipmentData!L1277),FIND("/",TRIM([1]RawShipmentData!L1277))+1,2)),VALUE(LEFT(TRIM([1]RawShipmentData!L1277),FIND("/",TRIM([1]RawShipmentData!L1277))-1))),DATEVALUE(TRIM([1]RawShipmentData!L1277))))</f>
        <v>45462</v>
      </c>
      <c r="N1265" s="2">
        <f t="shared" si="96"/>
        <v>13</v>
      </c>
      <c r="O1265" s="2">
        <f t="shared" si="97"/>
        <v>5</v>
      </c>
      <c r="P1265" s="2" t="str">
        <f t="shared" si="98"/>
        <v>Late</v>
      </c>
      <c r="Q1265" s="2" t="str">
        <f>PROPER(SUBSTITUTE(TRIM([1]RawShipmentData!M1277)," ","-"))</f>
        <v>Delayed</v>
      </c>
      <c r="R1265" s="4">
        <f t="shared" si="99"/>
        <v>38.94736842105263</v>
      </c>
      <c r="S1265" s="2">
        <f>[1]RawShipmentData!N1277</f>
        <v>2</v>
      </c>
      <c r="T1265" s="2" t="str">
        <f>IF(OR(UPPER(TRIM([1]RawShipmentData!O1277))="YES",UPPER(TRIM([1]RawShipmentData!O1277))="Y"),"Yes","No")</f>
        <v>No</v>
      </c>
    </row>
    <row r="1266" spans="1:20" x14ac:dyDescent="0.25">
      <c r="A1266" s="2" t="str">
        <f>[1]RawShipmentData!A1278</f>
        <v>SHP-100281</v>
      </c>
      <c r="B1266" s="3">
        <f>IF(ISNUMBER(SEARCH("/",TRIM([1]RawShipmentData!B1278))),DATE(VALUE(RIGHT(TRIM([1]RawShipmentData!B1278),4)),VALUE(MID(TRIM([1]RawShipmentData!B1278),FIND("/",TRIM([1]RawShipmentData!B1278))+1,2)),VALUE(LEFT(TRIM([1]RawShipmentData!B1278),FIND("/",TRIM([1]RawShipmentData!B1278))-1))),DATEVALUE(TRIM([1]RawShipmentData!B1278)))</f>
        <v>45467</v>
      </c>
      <c r="C1266" s="2" t="str">
        <f>PROPER(TRIM([1]RawShipmentData!C1278))</f>
        <v>Kolkata</v>
      </c>
      <c r="D1266" s="2" t="str">
        <f>IFERROR(INDEX([1]HubMaster!$B$2:$B$7,MATCH(C1266,[1]HubMaster!$A$2:$A$7,0)),"Unknown")</f>
        <v>East</v>
      </c>
      <c r="E1266" s="2" t="str">
        <f>PROPER(TRIM(SUBSTITUTE([1]RawShipmentData!D1278,"  "," ")))</f>
        <v>Dtdc</v>
      </c>
      <c r="F1266" s="2" t="str">
        <f>PROPER(TRIM([1]RawShipmentData!E1278))</f>
        <v>Air</v>
      </c>
      <c r="G1266" s="2" t="str">
        <f>PROPER(TRIM(SUBSTITUTE([1]RawShipmentData!F1278,"  "," ")))</f>
        <v>Automotive Parts</v>
      </c>
      <c r="H1266" s="2" t="str">
        <f>PROPER(TRIM([1]RawShipmentData!G1278))</f>
        <v>North</v>
      </c>
      <c r="I1266" s="2" t="str">
        <f t="shared" si="95"/>
        <v>Yes</v>
      </c>
      <c r="J1266" s="2">
        <f>IFERROR(VALUE(TRIM(SUBSTITUTE(UPPER([1]RawShipmentData!I1266),"KG",""))),"")</f>
        <v>5.2</v>
      </c>
      <c r="K1266" s="2">
        <f>VALUE(SUBSTITUTE(SUBSTITUTE(SUBSTITUTE(TRIM([1]RawShipmentData!J1278),"₹",""),"Rs",""),",",""))</f>
        <v>1069</v>
      </c>
      <c r="L1266" s="2">
        <f>[1]RawShipmentData!K1278</f>
        <v>4</v>
      </c>
      <c r="M1266" s="3">
        <f>IF(TRIM([1]RawShipmentData!L1278)="","",IF(ISNUMBER(SEARCH("/",TRIM([1]RawShipmentData!L1278))),DATE(VALUE(RIGHT(TRIM([1]RawShipmentData!L1278),4)),VALUE(MID(TRIM([1]RawShipmentData!L1278),FIND("/",TRIM([1]RawShipmentData!L1278))+1,2)),VALUE(LEFT(TRIM([1]RawShipmentData!L1278),FIND("/",TRIM([1]RawShipmentData!L1278))-1))),DATEVALUE(TRIM([1]RawShipmentData!L1278))))</f>
        <v>45472</v>
      </c>
      <c r="N1266" s="2">
        <f t="shared" si="96"/>
        <v>5</v>
      </c>
      <c r="O1266" s="2">
        <f t="shared" si="97"/>
        <v>1</v>
      </c>
      <c r="P1266" s="2" t="str">
        <f t="shared" si="98"/>
        <v>Late</v>
      </c>
      <c r="Q1266" s="2" t="str">
        <f>PROPER(SUBSTITUTE(TRIM([1]RawShipmentData!M1278)," ","-"))</f>
        <v>Delayed</v>
      </c>
      <c r="R1266" s="4">
        <f t="shared" si="99"/>
        <v>205.57692307692307</v>
      </c>
      <c r="S1266" s="2">
        <f>[1]RawShipmentData!N1278</f>
        <v>5</v>
      </c>
      <c r="T1266" s="2" t="str">
        <f>IF(OR(UPPER(TRIM([1]RawShipmentData!O1278))="YES",UPPER(TRIM([1]RawShipmentData!O1278))="Y"),"Yes","No")</f>
        <v>No</v>
      </c>
    </row>
    <row r="1267" spans="1:20" x14ac:dyDescent="0.25">
      <c r="A1267" s="2" t="str">
        <f>[1]RawShipmentData!A1279</f>
        <v>SHP-101574</v>
      </c>
      <c r="B1267" s="3">
        <f>IF(ISNUMBER(SEARCH("/",TRIM([1]RawShipmentData!B1279))),DATE(VALUE(RIGHT(TRIM([1]RawShipmentData!B1279),4)),VALUE(MID(TRIM([1]RawShipmentData!B1279),FIND("/",TRIM([1]RawShipmentData!B1279))+1,2)),VALUE(LEFT(TRIM([1]RawShipmentData!B1279),FIND("/",TRIM([1]RawShipmentData!B1279))-1))),DATEVALUE(TRIM([1]RawShipmentData!B1279)))</f>
        <v>45417</v>
      </c>
      <c r="C1267" s="2" t="str">
        <f>PROPER(TRIM([1]RawShipmentData!C1279))</f>
        <v>Chennai</v>
      </c>
      <c r="D1267" s="2" t="str">
        <f>IFERROR(INDEX([1]HubMaster!$B$2:$B$7,MATCH(C1267,[1]HubMaster!$A$2:$A$7,0)),"Unknown")</f>
        <v>South</v>
      </c>
      <c r="E1267" s="2" t="str">
        <f>PROPER(TRIM(SUBSTITUTE([1]RawShipmentData!D1279,"  "," ")))</f>
        <v>Ecom Express</v>
      </c>
      <c r="F1267" s="2" t="str">
        <f>PROPER(TRIM([1]RawShipmentData!E1279))</f>
        <v>Road</v>
      </c>
      <c r="G1267" s="2" t="str">
        <f>PROPER(TRIM(SUBSTITUTE([1]RawShipmentData!F1279,"  "," ")))</f>
        <v>Pharma</v>
      </c>
      <c r="H1267" s="2" t="str">
        <f>PROPER(TRIM([1]RawShipmentData!G1279))</f>
        <v>East</v>
      </c>
      <c r="I1267" s="2" t="str">
        <f t="shared" si="95"/>
        <v>Yes</v>
      </c>
      <c r="J1267" s="2">
        <f>IFERROR(VALUE(TRIM(SUBSTITUTE(UPPER([1]RawShipmentData!I1267),"KG",""))),"")</f>
        <v>2.1</v>
      </c>
      <c r="K1267" s="2">
        <f>VALUE(SUBSTITUTE(SUBSTITUTE(SUBSTITUTE(TRIM([1]RawShipmentData!J1279),"₹",""),"Rs",""),",",""))</f>
        <v>247</v>
      </c>
      <c r="L1267" s="2">
        <f>[1]RawShipmentData!K1279</f>
        <v>8</v>
      </c>
      <c r="M1267" s="3">
        <f>IF(TRIM([1]RawShipmentData!L1279)="","",IF(ISNUMBER(SEARCH("/",TRIM([1]RawShipmentData!L1279))),DATE(VALUE(RIGHT(TRIM([1]RawShipmentData!L1279),4)),VALUE(MID(TRIM([1]RawShipmentData!L1279),FIND("/",TRIM([1]RawShipmentData!L1279))+1,2)),VALUE(LEFT(TRIM([1]RawShipmentData!L1279),FIND("/",TRIM([1]RawShipmentData!L1279))-1))),DATEVALUE(TRIM([1]RawShipmentData!L1279))))</f>
        <v>45425</v>
      </c>
      <c r="N1267" s="2">
        <f t="shared" si="96"/>
        <v>8</v>
      </c>
      <c r="O1267" s="2">
        <f t="shared" si="97"/>
        <v>0</v>
      </c>
      <c r="P1267" s="2" t="str">
        <f t="shared" si="98"/>
        <v>On Time</v>
      </c>
      <c r="Q1267" s="2" t="str">
        <f>PROPER(SUBSTITUTE(TRIM([1]RawShipmentData!M1279)," ","-"))</f>
        <v>Delivered</v>
      </c>
      <c r="R1267" s="4">
        <f t="shared" si="99"/>
        <v>117.61904761904762</v>
      </c>
      <c r="S1267" s="2">
        <f>[1]RawShipmentData!N1279</f>
        <v>5</v>
      </c>
      <c r="T1267" s="2" t="str">
        <f>IF(OR(UPPER(TRIM([1]RawShipmentData!O1279))="YES",UPPER(TRIM([1]RawShipmentData!O1279))="Y"),"Yes","No")</f>
        <v>Yes</v>
      </c>
    </row>
    <row r="1268" spans="1:20" x14ac:dyDescent="0.25">
      <c r="A1268" s="2" t="str">
        <f>[1]RawShipmentData!A1280</f>
        <v>SHP-101044</v>
      </c>
      <c r="B1268" s="3">
        <f>IF(ISNUMBER(SEARCH("/",TRIM([1]RawShipmentData!B1280))),DATE(VALUE(RIGHT(TRIM([1]RawShipmentData!B1280),4)),VALUE(MID(TRIM([1]RawShipmentData!B1280),FIND("/",TRIM([1]RawShipmentData!B1280))+1,2)),VALUE(LEFT(TRIM([1]RawShipmentData!B1280),FIND("/",TRIM([1]RawShipmentData!B1280))-1))),DATEVALUE(TRIM([1]RawShipmentData!B1280)))</f>
        <v>45387</v>
      </c>
      <c r="C1268" s="2" t="str">
        <f>PROPER(TRIM([1]RawShipmentData!C1280))</f>
        <v>Mumbai</v>
      </c>
      <c r="D1268" s="2" t="str">
        <f>IFERROR(INDEX([1]HubMaster!$B$2:$B$7,MATCH(C1268,[1]HubMaster!$A$2:$A$7,0)),"Unknown")</f>
        <v>West</v>
      </c>
      <c r="E1268" s="2" t="str">
        <f>PROPER(TRIM(SUBSTITUTE([1]RawShipmentData!D1280,"  "," ")))</f>
        <v>Dtdc</v>
      </c>
      <c r="F1268" s="2" t="str">
        <f>PROPER(TRIM([1]RawShipmentData!E1280))</f>
        <v>Road</v>
      </c>
      <c r="G1268" s="2" t="str">
        <f>PROPER(TRIM(SUBSTITUTE([1]RawShipmentData!F1280,"  "," ")))</f>
        <v>Grocery &amp; Fmcg</v>
      </c>
      <c r="H1268" s="2" t="str">
        <f>PROPER(TRIM([1]RawShipmentData!G1280))</f>
        <v>West</v>
      </c>
      <c r="I1268" s="2" t="str">
        <f t="shared" si="95"/>
        <v>No</v>
      </c>
      <c r="J1268" s="2">
        <f>IFERROR(VALUE(TRIM(SUBSTITUTE(UPPER([1]RawShipmentData!I1268),"KG",""))),"")</f>
        <v>69</v>
      </c>
      <c r="K1268" s="2">
        <f>VALUE(SUBSTITUTE(SUBSTITUTE(SUBSTITUTE(TRIM([1]RawShipmentData!J1280),"₹",""),"Rs",""),",",""))</f>
        <v>141</v>
      </c>
      <c r="L1268" s="2">
        <f>[1]RawShipmentData!K1280</f>
        <v>6</v>
      </c>
      <c r="M1268" s="3">
        <f>IF(TRIM([1]RawShipmentData!L1280)="","",IF(ISNUMBER(SEARCH("/",TRIM([1]RawShipmentData!L1280))),DATE(VALUE(RIGHT(TRIM([1]RawShipmentData!L1280),4)),VALUE(MID(TRIM([1]RawShipmentData!L1280),FIND("/",TRIM([1]RawShipmentData!L1280))+1,2)),VALUE(LEFT(TRIM([1]RawShipmentData!L1280),FIND("/",TRIM([1]RawShipmentData!L1280))-1))),DATEVALUE(TRIM([1]RawShipmentData!L1280))))</f>
        <v>45394</v>
      </c>
      <c r="N1268" s="2">
        <f t="shared" si="96"/>
        <v>7</v>
      </c>
      <c r="O1268" s="2">
        <f t="shared" si="97"/>
        <v>1</v>
      </c>
      <c r="P1268" s="2" t="str">
        <f t="shared" si="98"/>
        <v>Late</v>
      </c>
      <c r="Q1268" s="2" t="str">
        <f>PROPER(SUBSTITUTE(TRIM([1]RawShipmentData!M1280)," ","-"))</f>
        <v>Delayed</v>
      </c>
      <c r="R1268" s="4">
        <f t="shared" si="99"/>
        <v>2.0434782608695654</v>
      </c>
      <c r="S1268" s="2">
        <f>[1]RawShipmentData!N1280</f>
        <v>3</v>
      </c>
      <c r="T1268" s="2" t="str">
        <f>IF(OR(UPPER(TRIM([1]RawShipmentData!O1280))="YES",UPPER(TRIM([1]RawShipmentData!O1280))="Y"),"Yes","No")</f>
        <v>No</v>
      </c>
    </row>
    <row r="1269" spans="1:20" x14ac:dyDescent="0.25">
      <c r="A1269" s="2" t="str">
        <f>[1]RawShipmentData!A1281</f>
        <v>SHP-101178</v>
      </c>
      <c r="B1269" s="3">
        <f>IF(ISNUMBER(SEARCH("/",TRIM([1]RawShipmentData!B1281))),DATE(VALUE(RIGHT(TRIM([1]RawShipmentData!B1281),4)),VALUE(MID(TRIM([1]RawShipmentData!B1281),FIND("/",TRIM([1]RawShipmentData!B1281))+1,2)),VALUE(LEFT(TRIM([1]RawShipmentData!B1281),FIND("/",TRIM([1]RawShipmentData!B1281))-1))),DATEVALUE(TRIM([1]RawShipmentData!B1281)))</f>
        <v>45304</v>
      </c>
      <c r="C1269" s="2" t="str">
        <f>PROPER(TRIM([1]RawShipmentData!C1281))</f>
        <v>Delhi</v>
      </c>
      <c r="D1269" s="2" t="str">
        <f>IFERROR(INDEX([1]HubMaster!$B$2:$B$7,MATCH(C1269,[1]HubMaster!$A$2:$A$7,0)),"Unknown")</f>
        <v>North</v>
      </c>
      <c r="E1269" s="2" t="str">
        <f>PROPER(TRIM(SUBSTITUTE([1]RawShipmentData!D1281,"  "," ")))</f>
        <v>Ecom Express</v>
      </c>
      <c r="F1269" s="2" t="str">
        <f>PROPER(TRIM([1]RawShipmentData!E1281))</f>
        <v>Surface</v>
      </c>
      <c r="G1269" s="2" t="str">
        <f>PROPER(TRIM(SUBSTITUTE([1]RawShipmentData!F1281,"  "," ")))</f>
        <v>Furniture</v>
      </c>
      <c r="H1269" s="2" t="str">
        <f>PROPER(TRIM([1]RawShipmentData!G1281))</f>
        <v>South</v>
      </c>
      <c r="I1269" s="2" t="str">
        <f t="shared" si="95"/>
        <v>Yes</v>
      </c>
      <c r="J1269" s="2">
        <f>IFERROR(VALUE(TRIM(SUBSTITUTE(UPPER([1]RawShipmentData!I1269),"KG",""))),"")</f>
        <v>5.8</v>
      </c>
      <c r="K1269" s="2">
        <f>VALUE(SUBSTITUTE(SUBSTITUTE(SUBSTITUTE(TRIM([1]RawShipmentData!J1281),"₹",""),"Rs",""),",",""))</f>
        <v>1376</v>
      </c>
      <c r="L1269" s="2">
        <f>[1]RawShipmentData!K1281</f>
        <v>6</v>
      </c>
      <c r="M1269" s="3">
        <f>IF(TRIM([1]RawShipmentData!L1281)="","",IF(ISNUMBER(SEARCH("/",TRIM([1]RawShipmentData!L1281))),DATE(VALUE(RIGHT(TRIM([1]RawShipmentData!L1281),4)),VALUE(MID(TRIM([1]RawShipmentData!L1281),FIND("/",TRIM([1]RawShipmentData!L1281))+1,2)),VALUE(LEFT(TRIM([1]RawShipmentData!L1281),FIND("/",TRIM([1]RawShipmentData!L1281))-1))),DATEVALUE(TRIM([1]RawShipmentData!L1281))))</f>
        <v>45309</v>
      </c>
      <c r="N1269" s="2">
        <f t="shared" si="96"/>
        <v>5</v>
      </c>
      <c r="O1269" s="2">
        <f t="shared" si="97"/>
        <v>-1</v>
      </c>
      <c r="P1269" s="2" t="str">
        <f t="shared" si="98"/>
        <v>On Time</v>
      </c>
      <c r="Q1269" s="2" t="str">
        <f>PROPER(SUBSTITUTE(TRIM([1]RawShipmentData!M1281)," ","-"))</f>
        <v>Delivered</v>
      </c>
      <c r="R1269" s="4">
        <f t="shared" si="99"/>
        <v>237.24137931034483</v>
      </c>
      <c r="S1269" s="2">
        <f>[1]RawShipmentData!N1281</f>
        <v>4</v>
      </c>
      <c r="T1269" s="2" t="str">
        <f>IF(OR(UPPER(TRIM([1]RawShipmentData!O1281))="YES",UPPER(TRIM([1]RawShipmentData!O1281))="Y"),"Yes","No")</f>
        <v>Yes</v>
      </c>
    </row>
    <row r="1270" spans="1:20" x14ac:dyDescent="0.25">
      <c r="A1270" s="2" t="str">
        <f>[1]RawShipmentData!A1282</f>
        <v>SHP-101545</v>
      </c>
      <c r="B1270" s="3">
        <f>IF(ISNUMBER(SEARCH("/",TRIM([1]RawShipmentData!B1282))),DATE(VALUE(RIGHT(TRIM([1]RawShipmentData!B1282),4)),VALUE(MID(TRIM([1]RawShipmentData!B1282),FIND("/",TRIM([1]RawShipmentData!B1282))+1,2)),VALUE(LEFT(TRIM([1]RawShipmentData!B1282),FIND("/",TRIM([1]RawShipmentData!B1282))-1))),DATEVALUE(TRIM([1]RawShipmentData!B1282)))</f>
        <v>45354</v>
      </c>
      <c r="C1270" s="2" t="str">
        <f>PROPER(TRIM([1]RawShipmentData!C1282))</f>
        <v>Bengaluru</v>
      </c>
      <c r="D1270" s="2" t="str">
        <f>IFERROR(INDEX([1]HubMaster!$B$2:$B$7,MATCH(C1270,[1]HubMaster!$A$2:$A$7,0)),"Unknown")</f>
        <v>South</v>
      </c>
      <c r="E1270" s="2" t="str">
        <f>PROPER(TRIM(SUBSTITUTE([1]RawShipmentData!D1282,"  "," ")))</f>
        <v>Dtdc</v>
      </c>
      <c r="F1270" s="2" t="str">
        <f>PROPER(TRIM([1]RawShipmentData!E1282))</f>
        <v>Air</v>
      </c>
      <c r="G1270" s="2" t="str">
        <f>PROPER(TRIM(SUBSTITUTE([1]RawShipmentData!F1282,"  "," ")))</f>
        <v>Automotive Parts</v>
      </c>
      <c r="H1270" s="2" t="str">
        <f>PROPER(TRIM([1]RawShipmentData!G1282))</f>
        <v>South</v>
      </c>
      <c r="I1270" s="2" t="str">
        <f t="shared" si="95"/>
        <v>No</v>
      </c>
      <c r="J1270" s="2">
        <f>IFERROR(VALUE(TRIM(SUBSTITUTE(UPPER([1]RawShipmentData!I1270),"KG",""))),"")</f>
        <v>21.8</v>
      </c>
      <c r="K1270" s="2">
        <f>VALUE(SUBSTITUTE(SUBSTITUTE(SUBSTITUTE(TRIM([1]RawShipmentData!J1282),"₹",""),"Rs",""),",",""))</f>
        <v>774</v>
      </c>
      <c r="L1270" s="2">
        <f>[1]RawShipmentData!K1282</f>
        <v>2</v>
      </c>
      <c r="M1270" s="3">
        <f>IF(TRIM([1]RawShipmentData!L1282)="","",IF(ISNUMBER(SEARCH("/",TRIM([1]RawShipmentData!L1282))),DATE(VALUE(RIGHT(TRIM([1]RawShipmentData!L1282),4)),VALUE(MID(TRIM([1]RawShipmentData!L1282),FIND("/",TRIM([1]RawShipmentData!L1282))+1,2)),VALUE(LEFT(TRIM([1]RawShipmentData!L1282),FIND("/",TRIM([1]RawShipmentData!L1282))-1))),DATEVALUE(TRIM([1]RawShipmentData!L1282))))</f>
        <v>45364</v>
      </c>
      <c r="N1270" s="2">
        <f t="shared" si="96"/>
        <v>10</v>
      </c>
      <c r="O1270" s="2">
        <f t="shared" si="97"/>
        <v>8</v>
      </c>
      <c r="P1270" s="2" t="str">
        <f t="shared" si="98"/>
        <v>Late</v>
      </c>
      <c r="Q1270" s="2" t="str">
        <f>PROPER(SUBSTITUTE(TRIM([1]RawShipmentData!M1282)," ","-"))</f>
        <v>Delayed</v>
      </c>
      <c r="R1270" s="4">
        <f t="shared" si="99"/>
        <v>35.5045871559633</v>
      </c>
      <c r="S1270" s="2">
        <f>[1]RawShipmentData!N1282</f>
        <v>3</v>
      </c>
      <c r="T1270" s="2" t="str">
        <f>IF(OR(UPPER(TRIM([1]RawShipmentData!O1282))="YES",UPPER(TRIM([1]RawShipmentData!O1282))="Y"),"Yes","No")</f>
        <v>No</v>
      </c>
    </row>
    <row r="1271" spans="1:20" x14ac:dyDescent="0.25">
      <c r="A1271" s="2" t="str">
        <f>[1]RawShipmentData!A1283</f>
        <v>SHP-101250</v>
      </c>
      <c r="B1271" s="3">
        <f>IF(ISNUMBER(SEARCH("/",TRIM([1]RawShipmentData!B1283))),DATE(VALUE(RIGHT(TRIM([1]RawShipmentData!B1283),4)),VALUE(MID(TRIM([1]RawShipmentData!B1283),FIND("/",TRIM([1]RawShipmentData!B1283))+1,2)),VALUE(LEFT(TRIM([1]RawShipmentData!B1283),FIND("/",TRIM([1]RawShipmentData!B1283))-1))),DATEVALUE(TRIM([1]RawShipmentData!B1283)))</f>
        <v>45323</v>
      </c>
      <c r="C1271" s="2" t="str">
        <f>PROPER(TRIM([1]RawShipmentData!C1283))</f>
        <v>Delhi</v>
      </c>
      <c r="D1271" s="2" t="str">
        <f>IFERROR(INDEX([1]HubMaster!$B$2:$B$7,MATCH(C1271,[1]HubMaster!$A$2:$A$7,0)),"Unknown")</f>
        <v>North</v>
      </c>
      <c r="E1271" s="2" t="str">
        <f>PROPER(TRIM(SUBSTITUTE([1]RawShipmentData!D1283,"  "," ")))</f>
        <v>Dtdc</v>
      </c>
      <c r="F1271" s="2" t="str">
        <f>PROPER(TRIM([1]RawShipmentData!E1283))</f>
        <v>Road</v>
      </c>
      <c r="G1271" s="2" t="str">
        <f>PROPER(TRIM(SUBSTITUTE([1]RawShipmentData!F1283,"  "," ")))</f>
        <v>Pharma</v>
      </c>
      <c r="H1271" s="2" t="str">
        <f>PROPER(TRIM([1]RawShipmentData!G1283))</f>
        <v>West</v>
      </c>
      <c r="I1271" s="2" t="str">
        <f t="shared" si="95"/>
        <v>Yes</v>
      </c>
      <c r="J1271" s="2">
        <f>IFERROR(VALUE(TRIM(SUBSTITUTE(UPPER([1]RawShipmentData!I1271),"KG",""))),"")</f>
        <v>48.6</v>
      </c>
      <c r="K1271" s="2">
        <f>VALUE(SUBSTITUTE(SUBSTITUTE(SUBSTITUTE(TRIM([1]RawShipmentData!J1283),"₹",""),"Rs",""),",",""))</f>
        <v>238</v>
      </c>
      <c r="L1271" s="2">
        <f>[1]RawShipmentData!K1283</f>
        <v>8</v>
      </c>
      <c r="M1271" s="3">
        <f>IF(TRIM([1]RawShipmentData!L1283)="","",IF(ISNUMBER(SEARCH("/",TRIM([1]RawShipmentData!L1283))),DATE(VALUE(RIGHT(TRIM([1]RawShipmentData!L1283),4)),VALUE(MID(TRIM([1]RawShipmentData!L1283),FIND("/",TRIM([1]RawShipmentData!L1283))+1,2)),VALUE(LEFT(TRIM([1]RawShipmentData!L1283),FIND("/",TRIM([1]RawShipmentData!L1283))-1))),DATEVALUE(TRIM([1]RawShipmentData!L1283))))</f>
        <v>45330</v>
      </c>
      <c r="N1271" s="2">
        <f t="shared" si="96"/>
        <v>7</v>
      </c>
      <c r="O1271" s="2">
        <f t="shared" si="97"/>
        <v>-1</v>
      </c>
      <c r="P1271" s="2" t="str">
        <f t="shared" si="98"/>
        <v>On Time</v>
      </c>
      <c r="Q1271" s="2" t="str">
        <f>PROPER(SUBSTITUTE(TRIM([1]RawShipmentData!M1283)," ","-"))</f>
        <v>Delivered</v>
      </c>
      <c r="R1271" s="4">
        <f t="shared" si="99"/>
        <v>4.8971193415637861</v>
      </c>
      <c r="S1271" s="2">
        <f>[1]RawShipmentData!N1283</f>
        <v>5</v>
      </c>
      <c r="T1271" s="2" t="str">
        <f>IF(OR(UPPER(TRIM([1]RawShipmentData!O1283))="YES",UPPER(TRIM([1]RawShipmentData!O1283))="Y"),"Yes","No")</f>
        <v>No</v>
      </c>
    </row>
    <row r="1272" spans="1:20" x14ac:dyDescent="0.25">
      <c r="A1272" s="2" t="str">
        <f>[1]RawShipmentData!A1284</f>
        <v>SHP-101162</v>
      </c>
      <c r="B1272" s="3">
        <f>IF(ISNUMBER(SEARCH("/",TRIM([1]RawShipmentData!B1284))),DATE(VALUE(RIGHT(TRIM([1]RawShipmentData!B1284),4)),VALUE(MID(TRIM([1]RawShipmentData!B1284),FIND("/",TRIM([1]RawShipmentData!B1284))+1,2)),VALUE(LEFT(TRIM([1]RawShipmentData!B1284),FIND("/",TRIM([1]RawShipmentData!B1284))-1))),DATEVALUE(TRIM([1]RawShipmentData!B1284)))</f>
        <v>45331</v>
      </c>
      <c r="C1272" s="2" t="str">
        <f>PROPER(TRIM([1]RawShipmentData!C1284))</f>
        <v>Delhi</v>
      </c>
      <c r="D1272" s="2" t="str">
        <f>IFERROR(INDEX([1]HubMaster!$B$2:$B$7,MATCH(C1272,[1]HubMaster!$A$2:$A$7,0)),"Unknown")</f>
        <v>North</v>
      </c>
      <c r="E1272" s="2" t="str">
        <f>PROPER(TRIM(SUBSTITUTE([1]RawShipmentData!D1284,"  "," ")))</f>
        <v>Bluedart</v>
      </c>
      <c r="F1272" s="2" t="str">
        <f>PROPER(TRIM([1]RawShipmentData!E1284))</f>
        <v>Air</v>
      </c>
      <c r="G1272" s="2" t="str">
        <f>PROPER(TRIM(SUBSTITUTE([1]RawShipmentData!F1284,"  "," ")))</f>
        <v>Apparel</v>
      </c>
      <c r="H1272" s="2" t="str">
        <f>PROPER(TRIM([1]RawShipmentData!G1284))</f>
        <v>East</v>
      </c>
      <c r="I1272" s="2" t="str">
        <f t="shared" si="95"/>
        <v>Yes</v>
      </c>
      <c r="J1272" s="2">
        <f>IFERROR(VALUE(TRIM(SUBSTITUTE(UPPER([1]RawShipmentData!I1272),"KG",""))),"")</f>
        <v>13.7</v>
      </c>
      <c r="K1272" s="2">
        <f>VALUE(SUBSTITUTE(SUBSTITUTE(SUBSTITUTE(TRIM([1]RawShipmentData!J1284),"₹",""),"Rs",""),",",""))</f>
        <v>508</v>
      </c>
      <c r="L1272" s="2">
        <f>[1]RawShipmentData!K1284</f>
        <v>4</v>
      </c>
      <c r="M1272" s="3">
        <f>IF(TRIM([1]RawShipmentData!L1284)="","",IF(ISNUMBER(SEARCH("/",TRIM([1]RawShipmentData!L1284))),DATE(VALUE(RIGHT(TRIM([1]RawShipmentData!L1284),4)),VALUE(MID(TRIM([1]RawShipmentData!L1284),FIND("/",TRIM([1]RawShipmentData!L1284))+1,2)),VALUE(LEFT(TRIM([1]RawShipmentData!L1284),FIND("/",TRIM([1]RawShipmentData!L1284))-1))),DATEVALUE(TRIM([1]RawShipmentData!L1284))))</f>
        <v>45335</v>
      </c>
      <c r="N1272" s="2">
        <f t="shared" si="96"/>
        <v>4</v>
      </c>
      <c r="O1272" s="2">
        <f t="shared" si="97"/>
        <v>0</v>
      </c>
      <c r="P1272" s="2" t="str">
        <f t="shared" si="98"/>
        <v>On Time</v>
      </c>
      <c r="Q1272" s="2" t="str">
        <f>PROPER(SUBSTITUTE(TRIM([1]RawShipmentData!M1284)," ","-"))</f>
        <v>Delivered</v>
      </c>
      <c r="R1272" s="4">
        <f t="shared" si="99"/>
        <v>37.080291970802925</v>
      </c>
      <c r="S1272" s="2">
        <f>[1]RawShipmentData!N1284</f>
        <v>3</v>
      </c>
      <c r="T1272" s="2" t="str">
        <f>IF(OR(UPPER(TRIM([1]RawShipmentData!O1284))="YES",UPPER(TRIM([1]RawShipmentData!O1284))="Y"),"Yes","No")</f>
        <v>Yes</v>
      </c>
    </row>
    <row r="1273" spans="1:20" x14ac:dyDescent="0.25">
      <c r="A1273" s="2" t="str">
        <f>[1]RawShipmentData!A1285</f>
        <v>SHP-100095</v>
      </c>
      <c r="B1273" s="3">
        <f>IF(ISNUMBER(SEARCH("/",TRIM([1]RawShipmentData!B1285))),DATE(VALUE(RIGHT(TRIM([1]RawShipmentData!B1285),4)),VALUE(MID(TRIM([1]RawShipmentData!B1285),FIND("/",TRIM([1]RawShipmentData!B1285))+1,2)),VALUE(LEFT(TRIM([1]RawShipmentData!B1285),FIND("/",TRIM([1]RawShipmentData!B1285))-1))),DATEVALUE(TRIM([1]RawShipmentData!B1285)))</f>
        <v>45353</v>
      </c>
      <c r="C1273" s="2" t="str">
        <f>PROPER(TRIM([1]RawShipmentData!C1285))</f>
        <v>Mumbai</v>
      </c>
      <c r="D1273" s="2" t="str">
        <f>IFERROR(INDEX([1]HubMaster!$B$2:$B$7,MATCH(C1273,[1]HubMaster!$A$2:$A$7,0)),"Unknown")</f>
        <v>West</v>
      </c>
      <c r="E1273" s="2" t="str">
        <f>PROPER(TRIM(SUBSTITUTE([1]RawShipmentData!D1285,"  "," ")))</f>
        <v>Dtdc</v>
      </c>
      <c r="F1273" s="2" t="str">
        <f>PROPER(TRIM([1]RawShipmentData!E1285))</f>
        <v>Road</v>
      </c>
      <c r="G1273" s="2" t="str">
        <f>PROPER(TRIM(SUBSTITUTE([1]RawShipmentData!F1285,"  "," ")))</f>
        <v>Furniture</v>
      </c>
      <c r="H1273" s="2" t="str">
        <f>PROPER(TRIM([1]RawShipmentData!G1285))</f>
        <v>West</v>
      </c>
      <c r="I1273" s="2" t="str">
        <f t="shared" si="95"/>
        <v>No</v>
      </c>
      <c r="J1273" s="2">
        <f>IFERROR(VALUE(TRIM(SUBSTITUTE(UPPER([1]RawShipmentData!I1273),"KG",""))),"")</f>
        <v>16.899999999999999</v>
      </c>
      <c r="K1273" s="2">
        <f>VALUE(SUBSTITUTE(SUBSTITUTE(SUBSTITUTE(TRIM([1]RawShipmentData!J1285),"₹",""),"Rs",""),",",""))</f>
        <v>529</v>
      </c>
      <c r="L1273" s="2">
        <f>[1]RawShipmentData!K1285</f>
        <v>6</v>
      </c>
      <c r="M1273" s="3">
        <f>IF(TRIM([1]RawShipmentData!L1285)="","",IF(ISNUMBER(SEARCH("/",TRIM([1]RawShipmentData!L1285))),DATE(VALUE(RIGHT(TRIM([1]RawShipmentData!L1285),4)),VALUE(MID(TRIM([1]RawShipmentData!L1285),FIND("/",TRIM([1]RawShipmentData!L1285))+1,2)),VALUE(LEFT(TRIM([1]RawShipmentData!L1285),FIND("/",TRIM([1]RawShipmentData!L1285))-1))),DATEVALUE(TRIM([1]RawShipmentData!L1285))))</f>
        <v>45358</v>
      </c>
      <c r="N1273" s="2">
        <f t="shared" si="96"/>
        <v>5</v>
      </c>
      <c r="O1273" s="2">
        <f t="shared" si="97"/>
        <v>-1</v>
      </c>
      <c r="P1273" s="2" t="str">
        <f t="shared" si="98"/>
        <v>On Time</v>
      </c>
      <c r="Q1273" s="2" t="str">
        <f>PROPER(SUBSTITUTE(TRIM([1]RawShipmentData!M1285)," ","-"))</f>
        <v>Delivered</v>
      </c>
      <c r="R1273" s="4">
        <f t="shared" si="99"/>
        <v>31.301775147928996</v>
      </c>
      <c r="S1273" s="2">
        <f>[1]RawShipmentData!N1285</f>
        <v>5</v>
      </c>
      <c r="T1273" s="2" t="str">
        <f>IF(OR(UPPER(TRIM([1]RawShipmentData!O1285))="YES",UPPER(TRIM([1]RawShipmentData!O1285))="Y"),"Yes","No")</f>
        <v>Yes</v>
      </c>
    </row>
    <row r="1274" spans="1:20" x14ac:dyDescent="0.25">
      <c r="A1274" s="2" t="str">
        <f>[1]RawShipmentData!A1286</f>
        <v>SHP-100582</v>
      </c>
      <c r="B1274" s="3">
        <f>IF(ISNUMBER(SEARCH("/",TRIM([1]RawShipmentData!B1286))),DATE(VALUE(RIGHT(TRIM([1]RawShipmentData!B1286),4)),VALUE(MID(TRIM([1]RawShipmentData!B1286),FIND("/",TRIM([1]RawShipmentData!B1286))+1,2)),VALUE(LEFT(TRIM([1]RawShipmentData!B1286),FIND("/",TRIM([1]RawShipmentData!B1286))-1))),DATEVALUE(TRIM([1]RawShipmentData!B1286)))</f>
        <v>45311</v>
      </c>
      <c r="C1274" s="2" t="str">
        <f>PROPER(TRIM([1]RawShipmentData!C1286))</f>
        <v>Delhi</v>
      </c>
      <c r="D1274" s="2" t="str">
        <f>IFERROR(INDEX([1]HubMaster!$B$2:$B$7,MATCH(C1274,[1]HubMaster!$A$2:$A$7,0)),"Unknown")</f>
        <v>North</v>
      </c>
      <c r="E1274" s="2" t="str">
        <f>PROPER(TRIM(SUBSTITUTE([1]RawShipmentData!D1286,"  "," ")))</f>
        <v>Dtdc</v>
      </c>
      <c r="F1274" s="2" t="str">
        <f>PROPER(TRIM([1]RawShipmentData!E1286))</f>
        <v>Air</v>
      </c>
      <c r="G1274" s="2" t="str">
        <f>PROPER(TRIM(SUBSTITUTE([1]RawShipmentData!F1286,"  "," ")))</f>
        <v>Grocery &amp; Fmcg</v>
      </c>
      <c r="H1274" s="2" t="str">
        <f>PROPER(TRIM([1]RawShipmentData!G1286))</f>
        <v>West</v>
      </c>
      <c r="I1274" s="2" t="str">
        <f t="shared" si="95"/>
        <v>Yes</v>
      </c>
      <c r="J1274" s="2">
        <f>IFERROR(VALUE(TRIM(SUBSTITUTE(UPPER([1]RawShipmentData!I1274),"KG",""))),"")</f>
        <v>18.5</v>
      </c>
      <c r="K1274" s="2">
        <f>VALUE(SUBSTITUTE(SUBSTITUTE(SUBSTITUTE(TRIM([1]RawShipmentData!J1286),"₹",""),"Rs",""),",",""))</f>
        <v>811</v>
      </c>
      <c r="L1274" s="2">
        <f>[1]RawShipmentData!K1286</f>
        <v>4</v>
      </c>
      <c r="M1274" s="3">
        <f>IF(TRIM([1]RawShipmentData!L1286)="","",IF(ISNUMBER(SEARCH("/",TRIM([1]RawShipmentData!L1286))),DATE(VALUE(RIGHT(TRIM([1]RawShipmentData!L1286),4)),VALUE(MID(TRIM([1]RawShipmentData!L1286),FIND("/",TRIM([1]RawShipmentData!L1286))+1,2)),VALUE(LEFT(TRIM([1]RawShipmentData!L1286),FIND("/",TRIM([1]RawShipmentData!L1286))-1))),DATEVALUE(TRIM([1]RawShipmentData!L1286))))</f>
        <v>45314</v>
      </c>
      <c r="N1274" s="2">
        <f t="shared" si="96"/>
        <v>3</v>
      </c>
      <c r="O1274" s="2">
        <f t="shared" si="97"/>
        <v>-1</v>
      </c>
      <c r="P1274" s="2" t="str">
        <f t="shared" si="98"/>
        <v>On Time</v>
      </c>
      <c r="Q1274" s="2" t="str">
        <f>PROPER(SUBSTITUTE(TRIM([1]RawShipmentData!M1286)," ","-"))</f>
        <v>Delivered</v>
      </c>
      <c r="R1274" s="4">
        <f t="shared" si="99"/>
        <v>43.837837837837839</v>
      </c>
      <c r="S1274" s="2">
        <f>[1]RawShipmentData!N1286</f>
        <v>3</v>
      </c>
      <c r="T1274" s="2" t="str">
        <f>IF(OR(UPPER(TRIM([1]RawShipmentData!O1286))="YES",UPPER(TRIM([1]RawShipmentData!O1286))="Y"),"Yes","No")</f>
        <v>No</v>
      </c>
    </row>
    <row r="1275" spans="1:20" x14ac:dyDescent="0.25">
      <c r="A1275" s="2" t="str">
        <f>[1]RawShipmentData!A1287</f>
        <v>SHP-101314</v>
      </c>
      <c r="B1275" s="3">
        <f>IF(ISNUMBER(SEARCH("/",TRIM([1]RawShipmentData!B1287))),DATE(VALUE(RIGHT(TRIM([1]RawShipmentData!B1287),4)),VALUE(MID(TRIM([1]RawShipmentData!B1287),FIND("/",TRIM([1]RawShipmentData!B1287))+1,2)),VALUE(LEFT(TRIM([1]RawShipmentData!B1287),FIND("/",TRIM([1]RawShipmentData!B1287))-1))),DATEVALUE(TRIM([1]RawShipmentData!B1287)))</f>
        <v>45344</v>
      </c>
      <c r="C1275" s="2" t="str">
        <f>PROPER(TRIM([1]RawShipmentData!C1287))</f>
        <v>Delhi</v>
      </c>
      <c r="D1275" s="2" t="str">
        <f>IFERROR(INDEX([1]HubMaster!$B$2:$B$7,MATCH(C1275,[1]HubMaster!$A$2:$A$7,0)),"Unknown")</f>
        <v>North</v>
      </c>
      <c r="E1275" s="2" t="str">
        <f>PROPER(TRIM(SUBSTITUTE([1]RawShipmentData!D1287,"  "," ")))</f>
        <v>Delhivery</v>
      </c>
      <c r="F1275" s="2" t="str">
        <f>PROPER(TRIM([1]RawShipmentData!E1287))</f>
        <v>Road</v>
      </c>
      <c r="G1275" s="2" t="str">
        <f>PROPER(TRIM(SUBSTITUTE([1]RawShipmentData!F1287,"  "," ")))</f>
        <v>Automotive Parts</v>
      </c>
      <c r="H1275" s="2" t="str">
        <f>PROPER(TRIM([1]RawShipmentData!G1287))</f>
        <v>North</v>
      </c>
      <c r="I1275" s="2" t="str">
        <f t="shared" si="95"/>
        <v>No</v>
      </c>
      <c r="J1275" s="2">
        <f>IFERROR(VALUE(TRIM(SUBSTITUTE(UPPER([1]RawShipmentData!I1275),"KG",""))),"")</f>
        <v>9.3000000000000007</v>
      </c>
      <c r="K1275" s="2">
        <f>VALUE(SUBSTITUTE(SUBSTITUTE(SUBSTITUTE(TRIM([1]RawShipmentData!J1287),"₹",""),"Rs",""),",",""))</f>
        <v>170</v>
      </c>
      <c r="L1275" s="2">
        <f>[1]RawShipmentData!K1287</f>
        <v>6</v>
      </c>
      <c r="M1275" s="3">
        <f>IF(TRIM([1]RawShipmentData!L1287)="","",IF(ISNUMBER(SEARCH("/",TRIM([1]RawShipmentData!L1287))),DATE(VALUE(RIGHT(TRIM([1]RawShipmentData!L1287),4)),VALUE(MID(TRIM([1]RawShipmentData!L1287),FIND("/",TRIM([1]RawShipmentData!L1287))+1,2)),VALUE(LEFT(TRIM([1]RawShipmentData!L1287),FIND("/",TRIM([1]RawShipmentData!L1287))-1))),DATEVALUE(TRIM([1]RawShipmentData!L1287))))</f>
        <v>45350</v>
      </c>
      <c r="N1275" s="2">
        <f t="shared" si="96"/>
        <v>6</v>
      </c>
      <c r="O1275" s="2">
        <f t="shared" si="97"/>
        <v>0</v>
      </c>
      <c r="P1275" s="2" t="str">
        <f t="shared" si="98"/>
        <v>On Time</v>
      </c>
      <c r="Q1275" s="2" t="str">
        <f>PROPER(SUBSTITUTE(TRIM([1]RawShipmentData!M1287)," ","-"))</f>
        <v>Damaged</v>
      </c>
      <c r="R1275" s="4">
        <f t="shared" si="99"/>
        <v>18.279569892473116</v>
      </c>
      <c r="S1275" s="2">
        <f>[1]RawShipmentData!N1287</f>
        <v>0</v>
      </c>
      <c r="T1275" s="2" t="str">
        <f>IF(OR(UPPER(TRIM([1]RawShipmentData!O1287))="YES",UPPER(TRIM([1]RawShipmentData!O1287))="Y"),"Yes","No")</f>
        <v>No</v>
      </c>
    </row>
    <row r="1276" spans="1:20" x14ac:dyDescent="0.25">
      <c r="A1276" s="2" t="str">
        <f>[1]RawShipmentData!A1288</f>
        <v>SHP-100120</v>
      </c>
      <c r="B1276" s="3">
        <f>IF(ISNUMBER(SEARCH("/",TRIM([1]RawShipmentData!B1288))),DATE(VALUE(RIGHT(TRIM([1]RawShipmentData!B1288),4)),VALUE(MID(TRIM([1]RawShipmentData!B1288),FIND("/",TRIM([1]RawShipmentData!B1288))+1,2)),VALUE(LEFT(TRIM([1]RawShipmentData!B1288),FIND("/",TRIM([1]RawShipmentData!B1288))-1))),DATEVALUE(TRIM([1]RawShipmentData!B1288)))</f>
        <v>45357</v>
      </c>
      <c r="C1276" s="2" t="str">
        <f>PROPER(TRIM([1]RawShipmentData!C1288))</f>
        <v>Hyderabad</v>
      </c>
      <c r="D1276" s="2" t="str">
        <f>IFERROR(INDEX([1]HubMaster!$B$2:$B$7,MATCH(C1276,[1]HubMaster!$A$2:$A$7,0)),"Unknown")</f>
        <v>West</v>
      </c>
      <c r="E1276" s="2" t="str">
        <f>PROPER(TRIM(SUBSTITUTE([1]RawShipmentData!D1288,"  "," ")))</f>
        <v>Ecom Express</v>
      </c>
      <c r="F1276" s="2" t="str">
        <f>PROPER(TRIM([1]RawShipmentData!E1288))</f>
        <v>Air</v>
      </c>
      <c r="G1276" s="2" t="str">
        <f>PROPER(TRIM(SUBSTITUTE([1]RawShipmentData!F1288,"  "," ")))</f>
        <v>Electronics</v>
      </c>
      <c r="H1276" s="2" t="str">
        <f>PROPER(TRIM([1]RawShipmentData!G1288))</f>
        <v>North</v>
      </c>
      <c r="I1276" s="2" t="str">
        <f t="shared" si="95"/>
        <v>Yes</v>
      </c>
      <c r="J1276" s="2">
        <f>IFERROR(VALUE(TRIM(SUBSTITUTE(UPPER([1]RawShipmentData!I1276),"KG",""))),"")</f>
        <v>4.4000000000000004</v>
      </c>
      <c r="K1276" s="2">
        <f>VALUE(SUBSTITUTE(SUBSTITUTE(SUBSTITUTE(TRIM([1]RawShipmentData!J1288),"₹",""),"Rs",""),",",""))</f>
        <v>332</v>
      </c>
      <c r="L1276" s="2">
        <f>[1]RawShipmentData!K1288</f>
        <v>4</v>
      </c>
      <c r="M1276" s="3">
        <f>IF(TRIM([1]RawShipmentData!L1288)="","",IF(ISNUMBER(SEARCH("/",TRIM([1]RawShipmentData!L1288))),DATE(VALUE(RIGHT(TRIM([1]RawShipmentData!L1288),4)),VALUE(MID(TRIM([1]RawShipmentData!L1288),FIND("/",TRIM([1]RawShipmentData!L1288))+1,2)),VALUE(LEFT(TRIM([1]RawShipmentData!L1288),FIND("/",TRIM([1]RawShipmentData!L1288))-1))),DATEVALUE(TRIM([1]RawShipmentData!L1288))))</f>
        <v>45362</v>
      </c>
      <c r="N1276" s="2">
        <f t="shared" si="96"/>
        <v>5</v>
      </c>
      <c r="O1276" s="2">
        <f t="shared" si="97"/>
        <v>1</v>
      </c>
      <c r="P1276" s="2" t="str">
        <f t="shared" si="98"/>
        <v>Late</v>
      </c>
      <c r="Q1276" s="2" t="str">
        <f>PROPER(SUBSTITUTE(TRIM([1]RawShipmentData!M1288)," ","-"))</f>
        <v>Delayed</v>
      </c>
      <c r="R1276" s="4">
        <f t="shared" si="99"/>
        <v>75.454545454545453</v>
      </c>
      <c r="S1276" s="2">
        <f>[1]RawShipmentData!N1288</f>
        <v>2</v>
      </c>
      <c r="T1276" s="2" t="str">
        <f>IF(OR(UPPER(TRIM([1]RawShipmentData!O1288))="YES",UPPER(TRIM([1]RawShipmentData!O1288))="Y"),"Yes","No")</f>
        <v>No</v>
      </c>
    </row>
    <row r="1277" spans="1:20" x14ac:dyDescent="0.25">
      <c r="A1277" s="2" t="str">
        <f>[1]RawShipmentData!A1289</f>
        <v>SHP-101078</v>
      </c>
      <c r="B1277" s="3">
        <f>IF(ISNUMBER(SEARCH("/",TRIM([1]RawShipmentData!B1289))),DATE(VALUE(RIGHT(TRIM([1]RawShipmentData!B1289),4)),VALUE(MID(TRIM([1]RawShipmentData!B1289),FIND("/",TRIM([1]RawShipmentData!B1289))+1,2)),VALUE(LEFT(TRIM([1]RawShipmentData!B1289),FIND("/",TRIM([1]RawShipmentData!B1289))-1))),DATEVALUE(TRIM([1]RawShipmentData!B1289)))</f>
        <v>45413</v>
      </c>
      <c r="C1277" s="2" t="str">
        <f>PROPER(TRIM([1]RawShipmentData!C1289))</f>
        <v>Bengaluru</v>
      </c>
      <c r="D1277" s="2" t="str">
        <f>IFERROR(INDEX([1]HubMaster!$B$2:$B$7,MATCH(C1277,[1]HubMaster!$A$2:$A$7,0)),"Unknown")</f>
        <v>South</v>
      </c>
      <c r="E1277" s="2" t="str">
        <f>PROPER(TRIM(SUBSTITUTE([1]RawShipmentData!D1289,"  "," ")))</f>
        <v>Ecom Express</v>
      </c>
      <c r="F1277" s="2" t="str">
        <f>PROPER(TRIM([1]RawShipmentData!E1289))</f>
        <v>Air</v>
      </c>
      <c r="G1277" s="2" t="str">
        <f>PROPER(TRIM(SUBSTITUTE([1]RawShipmentData!F1289,"  "," ")))</f>
        <v>Furniture</v>
      </c>
      <c r="H1277" s="2" t="str">
        <f>PROPER(TRIM([1]RawShipmentData!G1289))</f>
        <v>East</v>
      </c>
      <c r="I1277" s="2" t="str">
        <f t="shared" si="95"/>
        <v>Yes</v>
      </c>
      <c r="J1277" s="2">
        <f>IFERROR(VALUE(TRIM(SUBSTITUTE(UPPER([1]RawShipmentData!I1277),"KG",""))),"")</f>
        <v>1.7</v>
      </c>
      <c r="K1277" s="2">
        <f>VALUE(SUBSTITUTE(SUBSTITUTE(SUBSTITUTE(TRIM([1]RawShipmentData!J1289),"₹",""),"Rs",""),",",""))</f>
        <v>1258</v>
      </c>
      <c r="L1277" s="2">
        <f>[1]RawShipmentData!K1289</f>
        <v>4</v>
      </c>
      <c r="M1277" s="3">
        <f>IF(TRIM([1]RawShipmentData!L1289)="","",IF(ISNUMBER(SEARCH("/",TRIM([1]RawShipmentData!L1289))),DATE(VALUE(RIGHT(TRIM([1]RawShipmentData!L1289),4)),VALUE(MID(TRIM([1]RawShipmentData!L1289),FIND("/",TRIM([1]RawShipmentData!L1289))+1,2)),VALUE(LEFT(TRIM([1]RawShipmentData!L1289),FIND("/",TRIM([1]RawShipmentData!L1289))-1))),DATEVALUE(TRIM([1]RawShipmentData!L1289))))</f>
        <v>45417</v>
      </c>
      <c r="N1277" s="2">
        <f t="shared" si="96"/>
        <v>4</v>
      </c>
      <c r="O1277" s="2">
        <f t="shared" si="97"/>
        <v>0</v>
      </c>
      <c r="P1277" s="2" t="str">
        <f t="shared" si="98"/>
        <v>On Time</v>
      </c>
      <c r="Q1277" s="2" t="str">
        <f>PROPER(SUBSTITUTE(TRIM([1]RawShipmentData!M1289)," ","-"))</f>
        <v>Delivered</v>
      </c>
      <c r="R1277" s="4">
        <f t="shared" si="99"/>
        <v>740</v>
      </c>
      <c r="S1277" s="2">
        <f>[1]RawShipmentData!N1289</f>
        <v>4</v>
      </c>
      <c r="T1277" s="2" t="str">
        <f>IF(OR(UPPER(TRIM([1]RawShipmentData!O1289))="YES",UPPER(TRIM([1]RawShipmentData!O1289))="Y"),"Yes","No")</f>
        <v>No</v>
      </c>
    </row>
    <row r="1278" spans="1:20" x14ac:dyDescent="0.25">
      <c r="A1278" s="2" t="str">
        <f>[1]RawShipmentData!A1290</f>
        <v>SHP-101311</v>
      </c>
      <c r="B1278" s="3">
        <f>IF(ISNUMBER(SEARCH("/",TRIM([1]RawShipmentData!B1290))),DATE(VALUE(RIGHT(TRIM([1]RawShipmentData!B1290),4)),VALUE(MID(TRIM([1]RawShipmentData!B1290),FIND("/",TRIM([1]RawShipmentData!B1290))+1,2)),VALUE(LEFT(TRIM([1]RawShipmentData!B1290),FIND("/",TRIM([1]RawShipmentData!B1290))-1))),DATEVALUE(TRIM([1]RawShipmentData!B1290)))</f>
        <v>45383</v>
      </c>
      <c r="C1278" s="2" t="str">
        <f>PROPER(TRIM([1]RawShipmentData!C1290))</f>
        <v>Chennai</v>
      </c>
      <c r="D1278" s="2" t="str">
        <f>IFERROR(INDEX([1]HubMaster!$B$2:$B$7,MATCH(C1278,[1]HubMaster!$A$2:$A$7,0)),"Unknown")</f>
        <v>South</v>
      </c>
      <c r="E1278" s="2" t="str">
        <f>PROPER(TRIM(SUBSTITUTE([1]RawShipmentData!D1290,"  "," ")))</f>
        <v>Xpressbees</v>
      </c>
      <c r="F1278" s="2" t="str">
        <f>PROPER(TRIM([1]RawShipmentData!E1290))</f>
        <v>Surface</v>
      </c>
      <c r="G1278" s="2" t="str">
        <f>PROPER(TRIM(SUBSTITUTE([1]RawShipmentData!F1290,"  "," ")))</f>
        <v>Pharma</v>
      </c>
      <c r="H1278" s="2" t="str">
        <f>PROPER(TRIM([1]RawShipmentData!G1290))</f>
        <v>East</v>
      </c>
      <c r="I1278" s="2" t="str">
        <f t="shared" si="95"/>
        <v>Yes</v>
      </c>
      <c r="J1278" s="2">
        <f>IFERROR(VALUE(TRIM(SUBSTITUTE(UPPER([1]RawShipmentData!I1278),"KG",""))),"")</f>
        <v>20.8</v>
      </c>
      <c r="K1278" s="2">
        <f>VALUE(SUBSTITUTE(SUBSTITUTE(SUBSTITUTE(TRIM([1]RawShipmentData!J1290),"₹",""),"Rs",""),",",""))</f>
        <v>216</v>
      </c>
      <c r="L1278" s="2">
        <f>[1]RawShipmentData!K1290</f>
        <v>6</v>
      </c>
      <c r="M1278" s="3">
        <f>IF(TRIM([1]RawShipmentData!L1290)="","",IF(ISNUMBER(SEARCH("/",TRIM([1]RawShipmentData!L1290))),DATE(VALUE(RIGHT(TRIM([1]RawShipmentData!L1290),4)),VALUE(MID(TRIM([1]RawShipmentData!L1290),FIND("/",TRIM([1]RawShipmentData!L1290))+1,2)),VALUE(LEFT(TRIM([1]RawShipmentData!L1290),FIND("/",TRIM([1]RawShipmentData!L1290))-1))),DATEVALUE(TRIM([1]RawShipmentData!L1290))))</f>
        <v>45398</v>
      </c>
      <c r="N1278" s="2">
        <f t="shared" si="96"/>
        <v>15</v>
      </c>
      <c r="O1278" s="2">
        <f t="shared" si="97"/>
        <v>9</v>
      </c>
      <c r="P1278" s="2" t="str">
        <f t="shared" si="98"/>
        <v>Late</v>
      </c>
      <c r="Q1278" s="2" t="str">
        <f>PROPER(SUBSTITUTE(TRIM([1]RawShipmentData!M1290)," ","-"))</f>
        <v>Delayed</v>
      </c>
      <c r="R1278" s="4">
        <f t="shared" si="99"/>
        <v>10.384615384615385</v>
      </c>
      <c r="S1278" s="2">
        <f>[1]RawShipmentData!N1290</f>
        <v>3</v>
      </c>
      <c r="T1278" s="2" t="str">
        <f>IF(OR(UPPER(TRIM([1]RawShipmentData!O1290))="YES",UPPER(TRIM([1]RawShipmentData!O1290))="Y"),"Yes","No")</f>
        <v>No</v>
      </c>
    </row>
    <row r="1279" spans="1:20" x14ac:dyDescent="0.25">
      <c r="A1279" s="2" t="str">
        <f>[1]RawShipmentData!A1291</f>
        <v>SHP-101387</v>
      </c>
      <c r="B1279" s="3">
        <f>IF(ISNUMBER(SEARCH("/",TRIM([1]RawShipmentData!B1291))),DATE(VALUE(RIGHT(TRIM([1]RawShipmentData!B1291),4)),VALUE(MID(TRIM([1]RawShipmentData!B1291),FIND("/",TRIM([1]RawShipmentData!B1291))+1,2)),VALUE(LEFT(TRIM([1]RawShipmentData!B1291),FIND("/",TRIM([1]RawShipmentData!B1291))-1))),DATEVALUE(TRIM([1]RawShipmentData!B1291)))</f>
        <v>45447</v>
      </c>
      <c r="C1279" s="2" t="str">
        <f>PROPER(TRIM([1]RawShipmentData!C1291))</f>
        <v>Hyderabad</v>
      </c>
      <c r="D1279" s="2" t="str">
        <f>IFERROR(INDEX([1]HubMaster!$B$2:$B$7,MATCH(C1279,[1]HubMaster!$A$2:$A$7,0)),"Unknown")</f>
        <v>West</v>
      </c>
      <c r="E1279" s="2" t="str">
        <f>PROPER(TRIM(SUBSTITUTE([1]RawShipmentData!D1291,"  "," ")))</f>
        <v>Dtdc</v>
      </c>
      <c r="F1279" s="2" t="str">
        <f>PROPER(TRIM([1]RawShipmentData!E1291))</f>
        <v>Road</v>
      </c>
      <c r="G1279" s="2" t="str">
        <f>PROPER(TRIM(SUBSTITUTE([1]RawShipmentData!F1291,"  "," ")))</f>
        <v>Pharma</v>
      </c>
      <c r="H1279" s="2" t="str">
        <f>PROPER(TRIM([1]RawShipmentData!G1291))</f>
        <v>East</v>
      </c>
      <c r="I1279" s="2" t="str">
        <f t="shared" si="95"/>
        <v>Yes</v>
      </c>
      <c r="J1279" s="2">
        <f>IFERROR(VALUE(TRIM(SUBSTITUTE(UPPER([1]RawShipmentData!I1279),"KG",""))),"")</f>
        <v>3</v>
      </c>
      <c r="K1279" s="2">
        <f>VALUE(SUBSTITUTE(SUBSTITUTE(SUBSTITUTE(TRIM([1]RawShipmentData!J1291),"₹",""),"Rs",""),",",""))</f>
        <v>265</v>
      </c>
      <c r="L1279" s="2">
        <f>[1]RawShipmentData!K1291</f>
        <v>8</v>
      </c>
      <c r="M1279" s="3">
        <f>IF(TRIM([1]RawShipmentData!L1291)="","",IF(ISNUMBER(SEARCH("/",TRIM([1]RawShipmentData!L1291))),DATE(VALUE(RIGHT(TRIM([1]RawShipmentData!L1291),4)),VALUE(MID(TRIM([1]RawShipmentData!L1291),FIND("/",TRIM([1]RawShipmentData!L1291))+1,2)),VALUE(LEFT(TRIM([1]RawShipmentData!L1291),FIND("/",TRIM([1]RawShipmentData!L1291))-1))),DATEVALUE(TRIM([1]RawShipmentData!L1291))))</f>
        <v>45461</v>
      </c>
      <c r="N1279" s="2">
        <f t="shared" si="96"/>
        <v>14</v>
      </c>
      <c r="O1279" s="2">
        <f t="shared" si="97"/>
        <v>6</v>
      </c>
      <c r="P1279" s="2" t="str">
        <f t="shared" si="98"/>
        <v>Late</v>
      </c>
      <c r="Q1279" s="2" t="str">
        <f>PROPER(SUBSTITUTE(TRIM([1]RawShipmentData!M1291)," ","-"))</f>
        <v>Delayed</v>
      </c>
      <c r="R1279" s="4">
        <f t="shared" si="99"/>
        <v>88.333333333333329</v>
      </c>
      <c r="S1279" s="2">
        <f>[1]RawShipmentData!N1291</f>
        <v>3</v>
      </c>
      <c r="T1279" s="2" t="str">
        <f>IF(OR(UPPER(TRIM([1]RawShipmentData!O1291))="YES",UPPER(TRIM([1]RawShipmentData!O1291))="Y"),"Yes","No")</f>
        <v>No</v>
      </c>
    </row>
    <row r="1280" spans="1:20" x14ac:dyDescent="0.25">
      <c r="A1280" s="2" t="str">
        <f>[1]RawShipmentData!A1292</f>
        <v>SHP-100161</v>
      </c>
      <c r="B1280" s="3">
        <f>IF(ISNUMBER(SEARCH("/",TRIM([1]RawShipmentData!B1292))),DATE(VALUE(RIGHT(TRIM([1]RawShipmentData!B1292),4)),VALUE(MID(TRIM([1]RawShipmentData!B1292),FIND("/",TRIM([1]RawShipmentData!B1292))+1,2)),VALUE(LEFT(TRIM([1]RawShipmentData!B1292),FIND("/",TRIM([1]RawShipmentData!B1292))-1))),DATEVALUE(TRIM([1]RawShipmentData!B1292)))</f>
        <v>45398</v>
      </c>
      <c r="C1280" s="2" t="str">
        <f>PROPER(TRIM([1]RawShipmentData!C1292))</f>
        <v>Mumbai</v>
      </c>
      <c r="D1280" s="2" t="str">
        <f>IFERROR(INDEX([1]HubMaster!$B$2:$B$7,MATCH(C1280,[1]HubMaster!$A$2:$A$7,0)),"Unknown")</f>
        <v>West</v>
      </c>
      <c r="E1280" s="2" t="str">
        <f>PROPER(TRIM(SUBSTITUTE([1]RawShipmentData!D1292,"  "," ")))</f>
        <v>Dtdc</v>
      </c>
      <c r="F1280" s="2" t="str">
        <f>PROPER(TRIM([1]RawShipmentData!E1292))</f>
        <v>Surface</v>
      </c>
      <c r="G1280" s="2" t="str">
        <f>PROPER(TRIM(SUBSTITUTE([1]RawShipmentData!F1292,"  "," ")))</f>
        <v>Automotive Parts</v>
      </c>
      <c r="H1280" s="2" t="str">
        <f>PROPER(TRIM([1]RawShipmentData!G1292))</f>
        <v>North</v>
      </c>
      <c r="I1280" s="2" t="str">
        <f t="shared" si="95"/>
        <v>Yes</v>
      </c>
      <c r="J1280" s="2">
        <f>IFERROR(VALUE(TRIM(SUBSTITUTE(UPPER([1]RawShipmentData!I1280),"KG",""))),"")</f>
        <v>5.9</v>
      </c>
      <c r="K1280" s="2">
        <f>VALUE(SUBSTITUTE(SUBSTITUTE(SUBSTITUTE(TRIM([1]RawShipmentData!J1292),"₹",""),"Rs",""),",",""))</f>
        <v>341</v>
      </c>
      <c r="L1280" s="2">
        <f>[1]RawShipmentData!K1292</f>
        <v>6</v>
      </c>
      <c r="M1280" s="3">
        <f>IF(TRIM([1]RawShipmentData!L1292)="","",IF(ISNUMBER(SEARCH("/",TRIM([1]RawShipmentData!L1292))),DATE(VALUE(RIGHT(TRIM([1]RawShipmentData!L1292),4)),VALUE(MID(TRIM([1]RawShipmentData!L1292),FIND("/",TRIM([1]RawShipmentData!L1292))+1,2)),VALUE(LEFT(TRIM([1]RawShipmentData!L1292),FIND("/",TRIM([1]RawShipmentData!L1292))-1))),DATEVALUE(TRIM([1]RawShipmentData!L1292))))</f>
        <v>45405</v>
      </c>
      <c r="N1280" s="2">
        <f t="shared" si="96"/>
        <v>7</v>
      </c>
      <c r="O1280" s="2">
        <f t="shared" si="97"/>
        <v>1</v>
      </c>
      <c r="P1280" s="2" t="str">
        <f t="shared" si="98"/>
        <v>Late</v>
      </c>
      <c r="Q1280" s="2" t="str">
        <f>PROPER(SUBSTITUTE(TRIM([1]RawShipmentData!M1292)," ","-"))</f>
        <v>Delayed</v>
      </c>
      <c r="R1280" s="4">
        <f t="shared" si="99"/>
        <v>57.796610169491522</v>
      </c>
      <c r="S1280" s="2">
        <f>[1]RawShipmentData!N1292</f>
        <v>3</v>
      </c>
      <c r="T1280" s="2" t="str">
        <f>IF(OR(UPPER(TRIM([1]RawShipmentData!O1292))="YES",UPPER(TRIM([1]RawShipmentData!O1292))="Y"),"Yes","No")</f>
        <v>Yes</v>
      </c>
    </row>
    <row r="1281" spans="1:20" x14ac:dyDescent="0.25">
      <c r="A1281" s="2" t="str">
        <f>[1]RawShipmentData!A1293</f>
        <v>SHP-100397</v>
      </c>
      <c r="B1281" s="3">
        <f>IF(ISNUMBER(SEARCH("/",TRIM([1]RawShipmentData!B1293))),DATE(VALUE(RIGHT(TRIM([1]RawShipmentData!B1293),4)),VALUE(MID(TRIM([1]RawShipmentData!B1293),FIND("/",TRIM([1]RawShipmentData!B1293))+1,2)),VALUE(LEFT(TRIM([1]RawShipmentData!B1293),FIND("/",TRIM([1]RawShipmentData!B1293))-1))),DATEVALUE(TRIM([1]RawShipmentData!B1293)))</f>
        <v>45383</v>
      </c>
      <c r="C1281" s="2" t="str">
        <f>PROPER(TRIM([1]RawShipmentData!C1293))</f>
        <v>Chennai</v>
      </c>
      <c r="D1281" s="2" t="str">
        <f>IFERROR(INDEX([1]HubMaster!$B$2:$B$7,MATCH(C1281,[1]HubMaster!$A$2:$A$7,0)),"Unknown")</f>
        <v>South</v>
      </c>
      <c r="E1281" s="2" t="str">
        <f>PROPER(TRIM(SUBSTITUTE([1]RawShipmentData!D1293,"  "," ")))</f>
        <v>Dtdc</v>
      </c>
      <c r="F1281" s="2" t="str">
        <f>PROPER(TRIM([1]RawShipmentData!E1293))</f>
        <v>Air</v>
      </c>
      <c r="G1281" s="2" t="str">
        <f>PROPER(TRIM(SUBSTITUTE([1]RawShipmentData!F1293,"  "," ")))</f>
        <v>Apparel</v>
      </c>
      <c r="H1281" s="2" t="str">
        <f>PROPER(TRIM([1]RawShipmentData!G1293))</f>
        <v>West</v>
      </c>
      <c r="I1281" s="2" t="str">
        <f t="shared" si="95"/>
        <v>Yes</v>
      </c>
      <c r="J1281" s="2">
        <f>IFERROR(VALUE(TRIM(SUBSTITUTE(UPPER([1]RawShipmentData!I1281),"KG",""))),"")</f>
        <v>55.5</v>
      </c>
      <c r="K1281" s="2">
        <f>VALUE(SUBSTITUTE(SUBSTITUTE(SUBSTITUTE(TRIM([1]RawShipmentData!J1293),"₹",""),"Rs",""),",",""))</f>
        <v>267</v>
      </c>
      <c r="L1281" s="2">
        <f>[1]RawShipmentData!K1293</f>
        <v>4</v>
      </c>
      <c r="M1281" s="3">
        <f>IF(TRIM([1]RawShipmentData!L1293)="","",IF(ISNUMBER(SEARCH("/",TRIM([1]RawShipmentData!L1293))),DATE(VALUE(RIGHT(TRIM([1]RawShipmentData!L1293),4)),VALUE(MID(TRIM([1]RawShipmentData!L1293),FIND("/",TRIM([1]RawShipmentData!L1293))+1,2)),VALUE(LEFT(TRIM([1]RawShipmentData!L1293),FIND("/",TRIM([1]RawShipmentData!L1293))-1))),DATEVALUE(TRIM([1]RawShipmentData!L1293))))</f>
        <v>45393</v>
      </c>
      <c r="N1281" s="2">
        <f t="shared" si="96"/>
        <v>10</v>
      </c>
      <c r="O1281" s="2">
        <f t="shared" si="97"/>
        <v>6</v>
      </c>
      <c r="P1281" s="2" t="str">
        <f t="shared" si="98"/>
        <v>Late</v>
      </c>
      <c r="Q1281" s="2" t="str">
        <f>PROPER(SUBSTITUTE(TRIM([1]RawShipmentData!M1293)," ","-"))</f>
        <v>Returned</v>
      </c>
      <c r="R1281" s="4">
        <f t="shared" si="99"/>
        <v>4.8108108108108105</v>
      </c>
      <c r="S1281" s="2">
        <f>[1]RawShipmentData!N1293</f>
        <v>0</v>
      </c>
      <c r="T1281" s="2" t="str">
        <f>IF(OR(UPPER(TRIM([1]RawShipmentData!O1293))="YES",UPPER(TRIM([1]RawShipmentData!O1293))="Y"),"Yes","No")</f>
        <v>No</v>
      </c>
    </row>
    <row r="1282" spans="1:20" x14ac:dyDescent="0.25">
      <c r="A1282" s="2" t="str">
        <f>[1]RawShipmentData!A1294</f>
        <v>SHP-100316</v>
      </c>
      <c r="B1282" s="3">
        <f>IF(ISNUMBER(SEARCH("/",TRIM([1]RawShipmentData!B1294))),DATE(VALUE(RIGHT(TRIM([1]RawShipmentData!B1294),4)),VALUE(MID(TRIM([1]RawShipmentData!B1294),FIND("/",TRIM([1]RawShipmentData!B1294))+1,2)),VALUE(LEFT(TRIM([1]RawShipmentData!B1294),FIND("/",TRIM([1]RawShipmentData!B1294))-1))),DATEVALUE(TRIM([1]RawShipmentData!B1294)))</f>
        <v>45403</v>
      </c>
      <c r="C1282" s="2" t="str">
        <f>PROPER(TRIM([1]RawShipmentData!C1294))</f>
        <v>Delhi</v>
      </c>
      <c r="D1282" s="2" t="str">
        <f>IFERROR(INDEX([1]HubMaster!$B$2:$B$7,MATCH(C1282,[1]HubMaster!$A$2:$A$7,0)),"Unknown")</f>
        <v>North</v>
      </c>
      <c r="E1282" s="2" t="str">
        <f>PROPER(TRIM(SUBSTITUTE([1]RawShipmentData!D1294,"  "," ")))</f>
        <v>Dtdc</v>
      </c>
      <c r="F1282" s="2" t="str">
        <f>PROPER(TRIM([1]RawShipmentData!E1294))</f>
        <v>Road</v>
      </c>
      <c r="G1282" s="2" t="str">
        <f>PROPER(TRIM(SUBSTITUTE([1]RawShipmentData!F1294,"  "," ")))</f>
        <v>Grocery &amp; Fmcg</v>
      </c>
      <c r="H1282" s="2" t="str">
        <f>PROPER(TRIM([1]RawShipmentData!G1294))</f>
        <v>South</v>
      </c>
      <c r="I1282" s="2" t="str">
        <f t="shared" ref="I1282:I1345" si="100">IF(D1282=H1282,"No","Yes")</f>
        <v>Yes</v>
      </c>
      <c r="J1282" s="2">
        <f>IFERROR(VALUE(TRIM(SUBSTITUTE(UPPER([1]RawShipmentData!I1282),"KG",""))),"")</f>
        <v>16.600000000000001</v>
      </c>
      <c r="K1282" s="2">
        <f>VALUE(SUBSTITUTE(SUBSTITUTE(SUBSTITUTE(TRIM([1]RawShipmentData!J1294),"₹",""),"Rs",""),",",""))</f>
        <v>330</v>
      </c>
      <c r="L1282" s="2">
        <f>[1]RawShipmentData!K1294</f>
        <v>8</v>
      </c>
      <c r="M1282" s="3">
        <f>IF(TRIM([1]RawShipmentData!L1294)="","",IF(ISNUMBER(SEARCH("/",TRIM([1]RawShipmentData!L1294))),DATE(VALUE(RIGHT(TRIM([1]RawShipmentData!L1294),4)),VALUE(MID(TRIM([1]RawShipmentData!L1294),FIND("/",TRIM([1]RawShipmentData!L1294))+1,2)),VALUE(LEFT(TRIM([1]RawShipmentData!L1294),FIND("/",TRIM([1]RawShipmentData!L1294))-1))),DATEVALUE(TRIM([1]RawShipmentData!L1294))))</f>
        <v>45410</v>
      </c>
      <c r="N1282" s="2">
        <f t="shared" ref="N1282:N1345" si="101">IF(M1282="","",M1282-B1282)</f>
        <v>7</v>
      </c>
      <c r="O1282" s="2">
        <f t="shared" ref="O1282:O1345" si="102">IF(N1282="","",N1282-L1282)</f>
        <v>-1</v>
      </c>
      <c r="P1282" s="2" t="str">
        <f t="shared" ref="P1282:P1345" si="103">IF(N1282="","N/A",IF(N1282&lt;=L1282,"On Time","Late"))</f>
        <v>On Time</v>
      </c>
      <c r="Q1282" s="2" t="str">
        <f>PROPER(SUBSTITUTE(TRIM([1]RawShipmentData!M1294)," ","-"))</f>
        <v>Delivered</v>
      </c>
      <c r="R1282" s="4">
        <f t="shared" si="99"/>
        <v>19.879518072289155</v>
      </c>
      <c r="S1282" s="2">
        <f>[1]RawShipmentData!N1294</f>
        <v>4</v>
      </c>
      <c r="T1282" s="2" t="str">
        <f>IF(OR(UPPER(TRIM([1]RawShipmentData!O1294))="YES",UPPER(TRIM([1]RawShipmentData!O1294))="Y"),"Yes","No")</f>
        <v>No</v>
      </c>
    </row>
    <row r="1283" spans="1:20" x14ac:dyDescent="0.25">
      <c r="A1283" s="2" t="str">
        <f>[1]RawShipmentData!A1295</f>
        <v>SHP-101107</v>
      </c>
      <c r="B1283" s="3">
        <f>IF(ISNUMBER(SEARCH("/",TRIM([1]RawShipmentData!B1295))),DATE(VALUE(RIGHT(TRIM([1]RawShipmentData!B1295),4)),VALUE(MID(TRIM([1]RawShipmentData!B1295),FIND("/",TRIM([1]RawShipmentData!B1295))+1,2)),VALUE(LEFT(TRIM([1]RawShipmentData!B1295),FIND("/",TRIM([1]RawShipmentData!B1295))-1))),DATEVALUE(TRIM([1]RawShipmentData!B1295)))</f>
        <v>45293</v>
      </c>
      <c r="C1283" s="2" t="str">
        <f>PROPER(TRIM([1]RawShipmentData!C1295))</f>
        <v>Hyderabad</v>
      </c>
      <c r="D1283" s="2" t="str">
        <f>IFERROR(INDEX([1]HubMaster!$B$2:$B$7,MATCH(C1283,[1]HubMaster!$A$2:$A$7,0)),"Unknown")</f>
        <v>West</v>
      </c>
      <c r="E1283" s="2" t="str">
        <f>PROPER(TRIM(SUBSTITUTE([1]RawShipmentData!D1295,"  "," ")))</f>
        <v>Blue Dart</v>
      </c>
      <c r="F1283" s="2" t="str">
        <f>PROPER(TRIM([1]RawShipmentData!E1295))</f>
        <v>Surface</v>
      </c>
      <c r="G1283" s="2" t="str">
        <f>PROPER(TRIM(SUBSTITUTE([1]RawShipmentData!F1295,"  "," ")))</f>
        <v>Furniture</v>
      </c>
      <c r="H1283" s="2" t="str">
        <f>PROPER(TRIM([1]RawShipmentData!G1295))</f>
        <v>North</v>
      </c>
      <c r="I1283" s="2" t="str">
        <f t="shared" si="100"/>
        <v>Yes</v>
      </c>
      <c r="J1283" s="2">
        <f>IFERROR(VALUE(TRIM(SUBSTITUTE(UPPER([1]RawShipmentData!I1283),"KG",""))),"")</f>
        <v>2.7</v>
      </c>
      <c r="K1283" s="2">
        <f>VALUE(SUBSTITUTE(SUBSTITUTE(SUBSTITUTE(TRIM([1]RawShipmentData!J1295),"₹",""),"Rs",""),",",""))</f>
        <v>1315</v>
      </c>
      <c r="L1283" s="2">
        <f>[1]RawShipmentData!K1295</f>
        <v>6</v>
      </c>
      <c r="M1283" s="3">
        <f>IF(TRIM([1]RawShipmentData!L1295)="","",IF(ISNUMBER(SEARCH("/",TRIM([1]RawShipmentData!L1295))),DATE(VALUE(RIGHT(TRIM([1]RawShipmentData!L1295),4)),VALUE(MID(TRIM([1]RawShipmentData!L1295),FIND("/",TRIM([1]RawShipmentData!L1295))+1,2)),VALUE(LEFT(TRIM([1]RawShipmentData!L1295),FIND("/",TRIM([1]RawShipmentData!L1295))-1))),DATEVALUE(TRIM([1]RawShipmentData!L1295))))</f>
        <v>45299</v>
      </c>
      <c r="N1283" s="2">
        <f t="shared" si="101"/>
        <v>6</v>
      </c>
      <c r="O1283" s="2">
        <f t="shared" si="102"/>
        <v>0</v>
      </c>
      <c r="P1283" s="2" t="str">
        <f t="shared" si="103"/>
        <v>On Time</v>
      </c>
      <c r="Q1283" s="2" t="str">
        <f>PROPER(SUBSTITUTE(TRIM([1]RawShipmentData!M1295)," ","-"))</f>
        <v>Delivered</v>
      </c>
      <c r="R1283" s="4">
        <f t="shared" ref="R1283:R1346" si="104">IFERROR(K1283/J1283,"")</f>
        <v>487.03703703703701</v>
      </c>
      <c r="S1283" s="2">
        <f>[1]RawShipmentData!N1295</f>
        <v>4</v>
      </c>
      <c r="T1283" s="2" t="str">
        <f>IF(OR(UPPER(TRIM([1]RawShipmentData!O1295))="YES",UPPER(TRIM([1]RawShipmentData!O1295))="Y"),"Yes","No")</f>
        <v>Yes</v>
      </c>
    </row>
    <row r="1284" spans="1:20" x14ac:dyDescent="0.25">
      <c r="A1284" s="2" t="str">
        <f>[1]RawShipmentData!A1296</f>
        <v>SHP-100336</v>
      </c>
      <c r="B1284" s="3">
        <f>IF(ISNUMBER(SEARCH("/",TRIM([1]RawShipmentData!B1296))),DATE(VALUE(RIGHT(TRIM([1]RawShipmentData!B1296),4)),VALUE(MID(TRIM([1]RawShipmentData!B1296),FIND("/",TRIM([1]RawShipmentData!B1296))+1,2)),VALUE(LEFT(TRIM([1]RawShipmentData!B1296),FIND("/",TRIM([1]RawShipmentData!B1296))-1))),DATEVALUE(TRIM([1]RawShipmentData!B1296)))</f>
        <v>45446</v>
      </c>
      <c r="C1284" s="2" t="str">
        <f>PROPER(TRIM([1]RawShipmentData!C1296))</f>
        <v>Bengaluru</v>
      </c>
      <c r="D1284" s="2" t="str">
        <f>IFERROR(INDEX([1]HubMaster!$B$2:$B$7,MATCH(C1284,[1]HubMaster!$A$2:$A$7,0)),"Unknown")</f>
        <v>South</v>
      </c>
      <c r="E1284" s="2" t="str">
        <f>PROPER(TRIM(SUBSTITUTE([1]RawShipmentData!D1296,"  "," ")))</f>
        <v>Delhivery</v>
      </c>
      <c r="F1284" s="2" t="str">
        <f>PROPER(TRIM([1]RawShipmentData!E1296))</f>
        <v>Air</v>
      </c>
      <c r="G1284" s="2" t="str">
        <f>PROPER(TRIM(SUBSTITUTE([1]RawShipmentData!F1296,"  "," ")))</f>
        <v>Furniture</v>
      </c>
      <c r="H1284" s="2" t="str">
        <f>PROPER(TRIM([1]RawShipmentData!G1296))</f>
        <v>South</v>
      </c>
      <c r="I1284" s="2" t="str">
        <f t="shared" si="100"/>
        <v>No</v>
      </c>
      <c r="J1284" s="2">
        <f>IFERROR(VALUE(TRIM(SUBSTITUTE(UPPER([1]RawShipmentData!I1284),"KG",""))),"")</f>
        <v>7.9</v>
      </c>
      <c r="K1284" s="2">
        <f>VALUE(SUBSTITUTE(SUBSTITUTE(SUBSTITUTE(TRIM([1]RawShipmentData!J1296),"₹",""),"Rs",""),",",""))</f>
        <v>3572</v>
      </c>
      <c r="L1284" s="2">
        <f>[1]RawShipmentData!K1296</f>
        <v>2</v>
      </c>
      <c r="M1284" s="3">
        <f>IF(TRIM([1]RawShipmentData!L1296)="","",IF(ISNUMBER(SEARCH("/",TRIM([1]RawShipmentData!L1296))),DATE(VALUE(RIGHT(TRIM([1]RawShipmentData!L1296),4)),VALUE(MID(TRIM([1]RawShipmentData!L1296),FIND("/",TRIM([1]RawShipmentData!L1296))+1,2)),VALUE(LEFT(TRIM([1]RawShipmentData!L1296),FIND("/",TRIM([1]RawShipmentData!L1296))-1))),DATEVALUE(TRIM([1]RawShipmentData!L1296))))</f>
        <v>45449</v>
      </c>
      <c r="N1284" s="2">
        <f t="shared" si="101"/>
        <v>3</v>
      </c>
      <c r="O1284" s="2">
        <f t="shared" si="102"/>
        <v>1</v>
      </c>
      <c r="P1284" s="2" t="str">
        <f t="shared" si="103"/>
        <v>Late</v>
      </c>
      <c r="Q1284" s="2" t="str">
        <f>PROPER(SUBSTITUTE(TRIM([1]RawShipmentData!M1296)," ","-"))</f>
        <v>Delayed</v>
      </c>
      <c r="R1284" s="4">
        <f t="shared" si="104"/>
        <v>452.15189873417722</v>
      </c>
      <c r="S1284" s="2">
        <f>[1]RawShipmentData!N1296</f>
        <v>2</v>
      </c>
      <c r="T1284" s="2" t="str">
        <f>IF(OR(UPPER(TRIM([1]RawShipmentData!O1296))="YES",UPPER(TRIM([1]RawShipmentData!O1296))="Y"),"Yes","No")</f>
        <v>Yes</v>
      </c>
    </row>
    <row r="1285" spans="1:20" x14ac:dyDescent="0.25">
      <c r="A1285" s="2" t="str">
        <f>[1]RawShipmentData!A1297</f>
        <v>SHP-101439</v>
      </c>
      <c r="B1285" s="3">
        <f>IF(ISNUMBER(SEARCH("/",TRIM([1]RawShipmentData!B1297))),DATE(VALUE(RIGHT(TRIM([1]RawShipmentData!B1297),4)),VALUE(MID(TRIM([1]RawShipmentData!B1297),FIND("/",TRIM([1]RawShipmentData!B1297))+1,2)),VALUE(LEFT(TRIM([1]RawShipmentData!B1297),FIND("/",TRIM([1]RawShipmentData!B1297))-1))),DATEVALUE(TRIM([1]RawShipmentData!B1297)))</f>
        <v>45416</v>
      </c>
      <c r="C1285" s="2" t="str">
        <f>PROPER(TRIM([1]RawShipmentData!C1297))</f>
        <v>Mumbai</v>
      </c>
      <c r="D1285" s="2" t="str">
        <f>IFERROR(INDEX([1]HubMaster!$B$2:$B$7,MATCH(C1285,[1]HubMaster!$A$2:$A$7,0)),"Unknown")</f>
        <v>West</v>
      </c>
      <c r="E1285" s="2" t="str">
        <f>PROPER(TRIM(SUBSTITUTE([1]RawShipmentData!D1297,"  "," ")))</f>
        <v>Dtdc</v>
      </c>
      <c r="F1285" s="2" t="str">
        <f>PROPER(TRIM([1]RawShipmentData!E1297))</f>
        <v>Air</v>
      </c>
      <c r="G1285" s="2" t="str">
        <f>PROPER(TRIM(SUBSTITUTE([1]RawShipmentData!F1297,"  "," ")))</f>
        <v>Electronics</v>
      </c>
      <c r="H1285" s="2" t="str">
        <f>PROPER(TRIM([1]RawShipmentData!G1297))</f>
        <v>East</v>
      </c>
      <c r="I1285" s="2" t="str">
        <f t="shared" si="100"/>
        <v>Yes</v>
      </c>
      <c r="J1285" s="2">
        <f>IFERROR(VALUE(TRIM(SUBSTITUTE(UPPER([1]RawShipmentData!I1285),"KG",""))),"")</f>
        <v>36.5</v>
      </c>
      <c r="K1285" s="2">
        <f>VALUE(SUBSTITUTE(SUBSTITUTE(SUBSTITUTE(TRIM([1]RawShipmentData!J1297),"₹",""),"Rs",""),",",""))</f>
        <v>796</v>
      </c>
      <c r="L1285" s="2">
        <f>[1]RawShipmentData!K1297</f>
        <v>4</v>
      </c>
      <c r="M1285" s="3">
        <f>IF(TRIM([1]RawShipmentData!L1297)="","",IF(ISNUMBER(SEARCH("/",TRIM([1]RawShipmentData!L1297))),DATE(VALUE(RIGHT(TRIM([1]RawShipmentData!L1297),4)),VALUE(MID(TRIM([1]RawShipmentData!L1297),FIND("/",TRIM([1]RawShipmentData!L1297))+1,2)),VALUE(LEFT(TRIM([1]RawShipmentData!L1297),FIND("/",TRIM([1]RawShipmentData!L1297))-1))),DATEVALUE(TRIM([1]RawShipmentData!L1297))))</f>
        <v>45419</v>
      </c>
      <c r="N1285" s="2">
        <f t="shared" si="101"/>
        <v>3</v>
      </c>
      <c r="O1285" s="2">
        <f t="shared" si="102"/>
        <v>-1</v>
      </c>
      <c r="P1285" s="2" t="str">
        <f t="shared" si="103"/>
        <v>On Time</v>
      </c>
      <c r="Q1285" s="2" t="str">
        <f>PROPER(SUBSTITUTE(TRIM([1]RawShipmentData!M1297)," ","-"))</f>
        <v>Damaged</v>
      </c>
      <c r="R1285" s="4">
        <f t="shared" si="104"/>
        <v>21.80821917808219</v>
      </c>
      <c r="S1285" s="2">
        <f>[1]RawShipmentData!N1297</f>
        <v>0</v>
      </c>
      <c r="T1285" s="2" t="str">
        <f>IF(OR(UPPER(TRIM([1]RawShipmentData!O1297))="YES",UPPER(TRIM([1]RawShipmentData!O1297))="Y"),"Yes","No")</f>
        <v>No</v>
      </c>
    </row>
    <row r="1286" spans="1:20" x14ac:dyDescent="0.25">
      <c r="A1286" s="2" t="str">
        <f>[1]RawShipmentData!A1298</f>
        <v>SHP-101167</v>
      </c>
      <c r="B1286" s="3">
        <f>IF(ISNUMBER(SEARCH("/",TRIM([1]RawShipmentData!B1298))),DATE(VALUE(RIGHT(TRIM([1]RawShipmentData!B1298),4)),VALUE(MID(TRIM([1]RawShipmentData!B1298),FIND("/",TRIM([1]RawShipmentData!B1298))+1,2)),VALUE(LEFT(TRIM([1]RawShipmentData!B1298),FIND("/",TRIM([1]RawShipmentData!B1298))-1))),DATEVALUE(TRIM([1]RawShipmentData!B1298)))</f>
        <v>45309</v>
      </c>
      <c r="C1286" s="2" t="str">
        <f>PROPER(TRIM([1]RawShipmentData!C1298))</f>
        <v>Hyderabad</v>
      </c>
      <c r="D1286" s="2" t="str">
        <f>IFERROR(INDEX([1]HubMaster!$B$2:$B$7,MATCH(C1286,[1]HubMaster!$A$2:$A$7,0)),"Unknown")</f>
        <v>West</v>
      </c>
      <c r="E1286" s="2" t="str">
        <f>PROPER(TRIM(SUBSTITUTE([1]RawShipmentData!D1298,"  "," ")))</f>
        <v>Bluedart</v>
      </c>
      <c r="F1286" s="2" t="str">
        <f>PROPER(TRIM([1]RawShipmentData!E1298))</f>
        <v>Road</v>
      </c>
      <c r="G1286" s="2" t="str">
        <f>PROPER(TRIM(SUBSTITUTE([1]RawShipmentData!F1298,"  "," ")))</f>
        <v>Furniture</v>
      </c>
      <c r="H1286" s="2" t="str">
        <f>PROPER(TRIM([1]RawShipmentData!G1298))</f>
        <v>South</v>
      </c>
      <c r="I1286" s="2" t="str">
        <f t="shared" si="100"/>
        <v>Yes</v>
      </c>
      <c r="J1286" s="2">
        <f>IFERROR(VALUE(TRIM(SUBSTITUTE(UPPER([1]RawShipmentData!I1286),"KG",""))),"")</f>
        <v>15.3</v>
      </c>
      <c r="K1286" s="2">
        <f>VALUE(SUBSTITUTE(SUBSTITUTE(SUBSTITUTE(TRIM([1]RawShipmentData!J1298),"₹",""),"Rs",""),",",""))</f>
        <v>784</v>
      </c>
      <c r="L1286" s="2">
        <f>[1]RawShipmentData!K1298</f>
        <v>8</v>
      </c>
      <c r="M1286" s="3">
        <f>IF(TRIM([1]RawShipmentData!L1298)="","",IF(ISNUMBER(SEARCH("/",TRIM([1]RawShipmentData!L1298))),DATE(VALUE(RIGHT(TRIM([1]RawShipmentData!L1298),4)),VALUE(MID(TRIM([1]RawShipmentData!L1298),FIND("/",TRIM([1]RawShipmentData!L1298))+1,2)),VALUE(LEFT(TRIM([1]RawShipmentData!L1298),FIND("/",TRIM([1]RawShipmentData!L1298))-1))),DATEVALUE(TRIM([1]RawShipmentData!L1298))))</f>
        <v>45318</v>
      </c>
      <c r="N1286" s="2">
        <f t="shared" si="101"/>
        <v>9</v>
      </c>
      <c r="O1286" s="2">
        <f t="shared" si="102"/>
        <v>1</v>
      </c>
      <c r="P1286" s="2" t="str">
        <f t="shared" si="103"/>
        <v>Late</v>
      </c>
      <c r="Q1286" s="2" t="str">
        <f>PROPER(SUBSTITUTE(TRIM([1]RawShipmentData!M1298)," ","-"))</f>
        <v>Delayed</v>
      </c>
      <c r="R1286" s="4">
        <f t="shared" si="104"/>
        <v>51.241830065359473</v>
      </c>
      <c r="S1286" s="2">
        <f>[1]RawShipmentData!N1298</f>
        <v>2</v>
      </c>
      <c r="T1286" s="2" t="str">
        <f>IF(OR(UPPER(TRIM([1]RawShipmentData!O1298))="YES",UPPER(TRIM([1]RawShipmentData!O1298))="Y"),"Yes","No")</f>
        <v>Yes</v>
      </c>
    </row>
    <row r="1287" spans="1:20" x14ac:dyDescent="0.25">
      <c r="A1287" s="2" t="str">
        <f>[1]RawShipmentData!A1299</f>
        <v>SHP-101195</v>
      </c>
      <c r="B1287" s="3">
        <f>IF(ISNUMBER(SEARCH("/",TRIM([1]RawShipmentData!B1299))),DATE(VALUE(RIGHT(TRIM([1]RawShipmentData!B1299),4)),VALUE(MID(TRIM([1]RawShipmentData!B1299),FIND("/",TRIM([1]RawShipmentData!B1299))+1,2)),VALUE(LEFT(TRIM([1]RawShipmentData!B1299),FIND("/",TRIM([1]RawShipmentData!B1299))-1))),DATEVALUE(TRIM([1]RawShipmentData!B1299)))</f>
        <v>45432</v>
      </c>
      <c r="C1287" s="2" t="str">
        <f>PROPER(TRIM([1]RawShipmentData!C1299))</f>
        <v>Kolkata</v>
      </c>
      <c r="D1287" s="2" t="str">
        <f>IFERROR(INDEX([1]HubMaster!$B$2:$B$7,MATCH(C1287,[1]HubMaster!$A$2:$A$7,0)),"Unknown")</f>
        <v>East</v>
      </c>
      <c r="E1287" s="2" t="str">
        <f>PROPER(TRIM(SUBSTITUTE([1]RawShipmentData!D1299,"  "," ")))</f>
        <v>Xpressbees</v>
      </c>
      <c r="F1287" s="2" t="str">
        <f>PROPER(TRIM([1]RawShipmentData!E1299))</f>
        <v>Road</v>
      </c>
      <c r="G1287" s="2" t="str">
        <f>PROPER(TRIM(SUBSTITUTE([1]RawShipmentData!F1299,"  "," ")))</f>
        <v>Furniture</v>
      </c>
      <c r="H1287" s="2" t="str">
        <f>PROPER(TRIM([1]RawShipmentData!G1299))</f>
        <v>South</v>
      </c>
      <c r="I1287" s="2" t="str">
        <f t="shared" si="100"/>
        <v>Yes</v>
      </c>
      <c r="J1287" s="2">
        <f>IFERROR(VALUE(TRIM(SUBSTITUTE(UPPER([1]RawShipmentData!I1287),"KG",""))),"")</f>
        <v>11.8</v>
      </c>
      <c r="K1287" s="2">
        <f>VALUE(SUBSTITUTE(SUBSTITUTE(SUBSTITUTE(TRIM([1]RawShipmentData!J1299),"₹",""),"Rs",""),",",""))</f>
        <v>1007</v>
      </c>
      <c r="L1287" s="2">
        <f>[1]RawShipmentData!K1299</f>
        <v>8</v>
      </c>
      <c r="M1287" s="3">
        <f>IF(TRIM([1]RawShipmentData!L1299)="","",IF(ISNUMBER(SEARCH("/",TRIM([1]RawShipmentData!L1299))),DATE(VALUE(RIGHT(TRIM([1]RawShipmentData!L1299),4)),VALUE(MID(TRIM([1]RawShipmentData!L1299),FIND("/",TRIM([1]RawShipmentData!L1299))+1,2)),VALUE(LEFT(TRIM([1]RawShipmentData!L1299),FIND("/",TRIM([1]RawShipmentData!L1299))-1))),DATEVALUE(TRIM([1]RawShipmentData!L1299))))</f>
        <v>45440</v>
      </c>
      <c r="N1287" s="2">
        <f t="shared" si="101"/>
        <v>8</v>
      </c>
      <c r="O1287" s="2">
        <f t="shared" si="102"/>
        <v>0</v>
      </c>
      <c r="P1287" s="2" t="str">
        <f t="shared" si="103"/>
        <v>On Time</v>
      </c>
      <c r="Q1287" s="2" t="str">
        <f>PROPER(SUBSTITUTE(TRIM([1]RawShipmentData!M1299)," ","-"))</f>
        <v>Delivered</v>
      </c>
      <c r="R1287" s="4">
        <f t="shared" si="104"/>
        <v>85.338983050847446</v>
      </c>
      <c r="S1287" s="2">
        <f>[1]RawShipmentData!N1299</f>
        <v>4</v>
      </c>
      <c r="T1287" s="2" t="str">
        <f>IF(OR(UPPER(TRIM([1]RawShipmentData!O1299))="YES",UPPER(TRIM([1]RawShipmentData!O1299))="Y"),"Yes","No")</f>
        <v>Yes</v>
      </c>
    </row>
    <row r="1288" spans="1:20" x14ac:dyDescent="0.25">
      <c r="A1288" s="2" t="str">
        <f>[1]RawShipmentData!A1300</f>
        <v>SHP-100508</v>
      </c>
      <c r="B1288" s="3">
        <f>IF(ISNUMBER(SEARCH("/",TRIM([1]RawShipmentData!B1300))),DATE(VALUE(RIGHT(TRIM([1]RawShipmentData!B1300),4)),VALUE(MID(TRIM([1]RawShipmentData!B1300),FIND("/",TRIM([1]RawShipmentData!B1300))+1,2)),VALUE(LEFT(TRIM([1]RawShipmentData!B1300),FIND("/",TRIM([1]RawShipmentData!B1300))-1))),DATEVALUE(TRIM([1]RawShipmentData!B1300)))</f>
        <v>45365</v>
      </c>
      <c r="C1288" s="2" t="str">
        <f>PROPER(TRIM([1]RawShipmentData!C1300))</f>
        <v>Delhi</v>
      </c>
      <c r="D1288" s="2" t="str">
        <f>IFERROR(INDEX([1]HubMaster!$B$2:$B$7,MATCH(C1288,[1]HubMaster!$A$2:$A$7,0)),"Unknown")</f>
        <v>North</v>
      </c>
      <c r="E1288" s="2" t="str">
        <f>PROPER(TRIM(SUBSTITUTE([1]RawShipmentData!D1300,"  "," ")))</f>
        <v>Xpressbees</v>
      </c>
      <c r="F1288" s="2" t="str">
        <f>PROPER(TRIM([1]RawShipmentData!E1300))</f>
        <v>Surface</v>
      </c>
      <c r="G1288" s="2" t="str">
        <f>PROPER(TRIM(SUBSTITUTE([1]RawShipmentData!F1300,"  "," ")))</f>
        <v>Electronics</v>
      </c>
      <c r="H1288" s="2" t="str">
        <f>PROPER(TRIM([1]RawShipmentData!G1300))</f>
        <v>North</v>
      </c>
      <c r="I1288" s="2" t="str">
        <f t="shared" si="100"/>
        <v>No</v>
      </c>
      <c r="J1288" s="2">
        <f>IFERROR(VALUE(TRIM(SUBSTITUTE(UPPER([1]RawShipmentData!I1288),"KG",""))),"")</f>
        <v>3.4</v>
      </c>
      <c r="K1288" s="2">
        <f>VALUE(SUBSTITUTE(SUBSTITUTE(SUBSTITUTE(TRIM([1]RawShipmentData!J1300),"₹",""),"Rs",""),",",""))</f>
        <v>96</v>
      </c>
      <c r="L1288" s="2">
        <f>[1]RawShipmentData!K1300</f>
        <v>4</v>
      </c>
      <c r="M1288" s="3">
        <f>IF(TRIM([1]RawShipmentData!L1300)="","",IF(ISNUMBER(SEARCH("/",TRIM([1]RawShipmentData!L1300))),DATE(VALUE(RIGHT(TRIM([1]RawShipmentData!L1300),4)),VALUE(MID(TRIM([1]RawShipmentData!L1300),FIND("/",TRIM([1]RawShipmentData!L1300))+1,2)),VALUE(LEFT(TRIM([1]RawShipmentData!L1300),FIND("/",TRIM([1]RawShipmentData!L1300))-1))),DATEVALUE(TRIM([1]RawShipmentData!L1300))))</f>
        <v>45371</v>
      </c>
      <c r="N1288" s="2">
        <f t="shared" si="101"/>
        <v>6</v>
      </c>
      <c r="O1288" s="2">
        <f t="shared" si="102"/>
        <v>2</v>
      </c>
      <c r="P1288" s="2" t="str">
        <f t="shared" si="103"/>
        <v>Late</v>
      </c>
      <c r="Q1288" s="2" t="str">
        <f>PROPER(SUBSTITUTE(TRIM([1]RawShipmentData!M1300)," ","-"))</f>
        <v>Delayed</v>
      </c>
      <c r="R1288" s="4">
        <f t="shared" si="104"/>
        <v>28.235294117647058</v>
      </c>
      <c r="S1288" s="2">
        <f>[1]RawShipmentData!N1300</f>
        <v>4</v>
      </c>
      <c r="T1288" s="2" t="str">
        <f>IF(OR(UPPER(TRIM([1]RawShipmentData!O1300))="YES",UPPER(TRIM([1]RawShipmentData!O1300))="Y"),"Yes","No")</f>
        <v>No</v>
      </c>
    </row>
    <row r="1289" spans="1:20" x14ac:dyDescent="0.25">
      <c r="A1289" s="2" t="str">
        <f>[1]RawShipmentData!A1301</f>
        <v>SHP-100348</v>
      </c>
      <c r="B1289" s="3">
        <f>IF(ISNUMBER(SEARCH("/",TRIM([1]RawShipmentData!B1301))),DATE(VALUE(RIGHT(TRIM([1]RawShipmentData!B1301),4)),VALUE(MID(TRIM([1]RawShipmentData!B1301),FIND("/",TRIM([1]RawShipmentData!B1301))+1,2)),VALUE(LEFT(TRIM([1]RawShipmentData!B1301),FIND("/",TRIM([1]RawShipmentData!B1301))-1))),DATEVALUE(TRIM([1]RawShipmentData!B1301)))</f>
        <v>45379</v>
      </c>
      <c r="C1289" s="2" t="str">
        <f>PROPER(TRIM([1]RawShipmentData!C1301))</f>
        <v>Bengaluru</v>
      </c>
      <c r="D1289" s="2" t="str">
        <f>IFERROR(INDEX([1]HubMaster!$B$2:$B$7,MATCH(C1289,[1]HubMaster!$A$2:$A$7,0)),"Unknown")</f>
        <v>South</v>
      </c>
      <c r="E1289" s="2" t="str">
        <f>PROPER(TRIM(SUBSTITUTE([1]RawShipmentData!D1301,"  "," ")))</f>
        <v>Delhivery</v>
      </c>
      <c r="F1289" s="2" t="str">
        <f>PROPER(TRIM([1]RawShipmentData!E1301))</f>
        <v>Surface</v>
      </c>
      <c r="G1289" s="2" t="str">
        <f>PROPER(TRIM(SUBSTITUTE([1]RawShipmentData!F1301,"  "," ")))</f>
        <v>Grocery &amp; Fmcg</v>
      </c>
      <c r="H1289" s="2" t="str">
        <f>PROPER(TRIM([1]RawShipmentData!G1301))</f>
        <v>West</v>
      </c>
      <c r="I1289" s="2" t="str">
        <f t="shared" si="100"/>
        <v>Yes</v>
      </c>
      <c r="J1289" s="2">
        <f>IFERROR(VALUE(TRIM(SUBSTITUTE(UPPER([1]RawShipmentData!I1289),"KG",""))),"")</f>
        <v>23.8</v>
      </c>
      <c r="K1289" s="2">
        <f>VALUE(SUBSTITUTE(SUBSTITUTE(SUBSTITUTE(TRIM([1]RawShipmentData!J1301),"₹",""),"Rs",""),",",""))</f>
        <v>419</v>
      </c>
      <c r="L1289" s="2">
        <f>[1]RawShipmentData!K1301</f>
        <v>6</v>
      </c>
      <c r="M1289" s="3">
        <f>IF(TRIM([1]RawShipmentData!L1301)="","",IF(ISNUMBER(SEARCH("/",TRIM([1]RawShipmentData!L1301))),DATE(VALUE(RIGHT(TRIM([1]RawShipmentData!L1301),4)),VALUE(MID(TRIM([1]RawShipmentData!L1301),FIND("/",TRIM([1]RawShipmentData!L1301))+1,2)),VALUE(LEFT(TRIM([1]RawShipmentData!L1301),FIND("/",TRIM([1]RawShipmentData!L1301))-1))),DATEVALUE(TRIM([1]RawShipmentData!L1301))))</f>
        <v>45386</v>
      </c>
      <c r="N1289" s="2">
        <f t="shared" si="101"/>
        <v>7</v>
      </c>
      <c r="O1289" s="2">
        <f t="shared" si="102"/>
        <v>1</v>
      </c>
      <c r="P1289" s="2" t="str">
        <f t="shared" si="103"/>
        <v>Late</v>
      </c>
      <c r="Q1289" s="2" t="str">
        <f>PROPER(SUBSTITUTE(TRIM([1]RawShipmentData!M1301)," ","-"))</f>
        <v>Delayed</v>
      </c>
      <c r="R1289" s="4">
        <f t="shared" si="104"/>
        <v>17.605042016806721</v>
      </c>
      <c r="S1289" s="2">
        <f>[1]RawShipmentData!N1301</f>
        <v>3</v>
      </c>
      <c r="T1289" s="2" t="str">
        <f>IF(OR(UPPER(TRIM([1]RawShipmentData!O1301))="YES",UPPER(TRIM([1]RawShipmentData!O1301))="Y"),"Yes","No")</f>
        <v>Yes</v>
      </c>
    </row>
    <row r="1290" spans="1:20" x14ac:dyDescent="0.25">
      <c r="A1290" s="2" t="str">
        <f>[1]RawShipmentData!A1302</f>
        <v>SHP-100955</v>
      </c>
      <c r="B1290" s="3">
        <f>IF(ISNUMBER(SEARCH("/",TRIM([1]RawShipmentData!B1302))),DATE(VALUE(RIGHT(TRIM([1]RawShipmentData!B1302),4)),VALUE(MID(TRIM([1]RawShipmentData!B1302),FIND("/",TRIM([1]RawShipmentData!B1302))+1,2)),VALUE(LEFT(TRIM([1]RawShipmentData!B1302),FIND("/",TRIM([1]RawShipmentData!B1302))-1))),DATEVALUE(TRIM([1]RawShipmentData!B1302)))</f>
        <v>45408</v>
      </c>
      <c r="C1290" s="2" t="str">
        <f>PROPER(TRIM([1]RawShipmentData!C1302))</f>
        <v>Delhi</v>
      </c>
      <c r="D1290" s="2" t="str">
        <f>IFERROR(INDEX([1]HubMaster!$B$2:$B$7,MATCH(C1290,[1]HubMaster!$A$2:$A$7,0)),"Unknown")</f>
        <v>North</v>
      </c>
      <c r="E1290" s="2" t="str">
        <f>PROPER(TRIM(SUBSTITUTE([1]RawShipmentData!D1302,"  "," ")))</f>
        <v>Dtdc</v>
      </c>
      <c r="F1290" s="2" t="str">
        <f>PROPER(TRIM([1]RawShipmentData!E1302))</f>
        <v>Road</v>
      </c>
      <c r="G1290" s="2" t="str">
        <f>PROPER(TRIM(SUBSTITUTE([1]RawShipmentData!F1302,"  "," ")))</f>
        <v>Apparel</v>
      </c>
      <c r="H1290" s="2" t="str">
        <f>PROPER(TRIM([1]RawShipmentData!G1302))</f>
        <v>North</v>
      </c>
      <c r="I1290" s="2" t="str">
        <f t="shared" si="100"/>
        <v>No</v>
      </c>
      <c r="J1290" s="2">
        <f>IFERROR(VALUE(TRIM(SUBSTITUTE(UPPER([1]RawShipmentData!I1290),"KG",""))),"")</f>
        <v>1.9</v>
      </c>
      <c r="K1290" s="2">
        <f>VALUE(SUBSTITUTE(SUBSTITUTE(SUBSTITUTE(TRIM([1]RawShipmentData!J1302),"₹",""),"Rs",""),",",""))</f>
        <v>128</v>
      </c>
      <c r="L1290" s="2">
        <f>[1]RawShipmentData!K1302</f>
        <v>6</v>
      </c>
      <c r="M1290" s="3">
        <f>IF(TRIM([1]RawShipmentData!L1302)="","",IF(ISNUMBER(SEARCH("/",TRIM([1]RawShipmentData!L1302))),DATE(VALUE(RIGHT(TRIM([1]RawShipmentData!L1302),4)),VALUE(MID(TRIM([1]RawShipmentData!L1302),FIND("/",TRIM([1]RawShipmentData!L1302))+1,2)),VALUE(LEFT(TRIM([1]RawShipmentData!L1302),FIND("/",TRIM([1]RawShipmentData!L1302))-1))),DATEVALUE(TRIM([1]RawShipmentData!L1302))))</f>
        <v>45416</v>
      </c>
      <c r="N1290" s="2">
        <f t="shared" si="101"/>
        <v>8</v>
      </c>
      <c r="O1290" s="2">
        <f t="shared" si="102"/>
        <v>2</v>
      </c>
      <c r="P1290" s="2" t="str">
        <f t="shared" si="103"/>
        <v>Late</v>
      </c>
      <c r="Q1290" s="2" t="str">
        <f>PROPER(SUBSTITUTE(TRIM([1]RawShipmentData!M1302)," ","-"))</f>
        <v>Delayed</v>
      </c>
      <c r="R1290" s="4">
        <f t="shared" si="104"/>
        <v>67.368421052631575</v>
      </c>
      <c r="S1290" s="2">
        <f>[1]RawShipmentData!N1302</f>
        <v>1</v>
      </c>
      <c r="T1290" s="2" t="str">
        <f>IF(OR(UPPER(TRIM([1]RawShipmentData!O1302))="YES",UPPER(TRIM([1]RawShipmentData!O1302))="Y"),"Yes","No")</f>
        <v>Yes</v>
      </c>
    </row>
    <row r="1291" spans="1:20" x14ac:dyDescent="0.25">
      <c r="A1291" s="2" t="str">
        <f>[1]RawShipmentData!A1303</f>
        <v>SHP-101238</v>
      </c>
      <c r="B1291" s="3">
        <f>IF(ISNUMBER(SEARCH("/",TRIM([1]RawShipmentData!B1303))),DATE(VALUE(RIGHT(TRIM([1]RawShipmentData!B1303),4)),VALUE(MID(TRIM([1]RawShipmentData!B1303),FIND("/",TRIM([1]RawShipmentData!B1303))+1,2)),VALUE(LEFT(TRIM([1]RawShipmentData!B1303),FIND("/",TRIM([1]RawShipmentData!B1303))-1))),DATEVALUE(TRIM([1]RawShipmentData!B1303)))</f>
        <v>45375</v>
      </c>
      <c r="C1291" s="2" t="str">
        <f>PROPER(TRIM([1]RawShipmentData!C1303))</f>
        <v>Chennai</v>
      </c>
      <c r="D1291" s="2" t="str">
        <f>IFERROR(INDEX([1]HubMaster!$B$2:$B$7,MATCH(C1291,[1]HubMaster!$A$2:$A$7,0)),"Unknown")</f>
        <v>South</v>
      </c>
      <c r="E1291" s="2" t="str">
        <f>PROPER(TRIM(SUBSTITUTE([1]RawShipmentData!D1303,"  "," ")))</f>
        <v>Dtdc</v>
      </c>
      <c r="F1291" s="2" t="str">
        <f>PROPER(TRIM([1]RawShipmentData!E1303))</f>
        <v>Road</v>
      </c>
      <c r="G1291" s="2" t="str">
        <f>PROPER(TRIM(SUBSTITUTE([1]RawShipmentData!F1303,"  "," ")))</f>
        <v>Apparel</v>
      </c>
      <c r="H1291" s="2" t="str">
        <f>PROPER(TRIM([1]RawShipmentData!G1303))</f>
        <v>South</v>
      </c>
      <c r="I1291" s="2" t="str">
        <f t="shared" si="100"/>
        <v>No</v>
      </c>
      <c r="J1291" s="2">
        <f>IFERROR(VALUE(TRIM(SUBSTITUTE(UPPER([1]RawShipmentData!I1291),"KG",""))),"")</f>
        <v>4.5999999999999996</v>
      </c>
      <c r="K1291" s="2">
        <f>VALUE(SUBSTITUTE(SUBSTITUTE(SUBSTITUTE(TRIM([1]RawShipmentData!J1303),"₹",""),"Rs",""),",",""))</f>
        <v>80</v>
      </c>
      <c r="L1291" s="2">
        <f>[1]RawShipmentData!K1303</f>
        <v>6</v>
      </c>
      <c r="M1291" s="3">
        <f>IF(TRIM([1]RawShipmentData!L1303)="","",IF(ISNUMBER(SEARCH("/",TRIM([1]RawShipmentData!L1303))),DATE(VALUE(RIGHT(TRIM([1]RawShipmentData!L1303),4)),VALUE(MID(TRIM([1]RawShipmentData!L1303),FIND("/",TRIM([1]RawShipmentData!L1303))+1,2)),VALUE(LEFT(TRIM([1]RawShipmentData!L1303),FIND("/",TRIM([1]RawShipmentData!L1303))-1))),DATEVALUE(TRIM([1]RawShipmentData!L1303))))</f>
        <v>45382</v>
      </c>
      <c r="N1291" s="2">
        <f t="shared" si="101"/>
        <v>7</v>
      </c>
      <c r="O1291" s="2">
        <f t="shared" si="102"/>
        <v>1</v>
      </c>
      <c r="P1291" s="2" t="str">
        <f t="shared" si="103"/>
        <v>Late</v>
      </c>
      <c r="Q1291" s="2" t="str">
        <f>PROPER(SUBSTITUTE(TRIM([1]RawShipmentData!M1303)," ","-"))</f>
        <v>Delayed</v>
      </c>
      <c r="R1291" s="4">
        <f t="shared" si="104"/>
        <v>17.39130434782609</v>
      </c>
      <c r="S1291" s="2">
        <f>[1]RawShipmentData!N1303</f>
        <v>5</v>
      </c>
      <c r="T1291" s="2" t="str">
        <f>IF(OR(UPPER(TRIM([1]RawShipmentData!O1303))="YES",UPPER(TRIM([1]RawShipmentData!O1303))="Y"),"Yes","No")</f>
        <v>No</v>
      </c>
    </row>
    <row r="1292" spans="1:20" x14ac:dyDescent="0.25">
      <c r="A1292" s="2" t="str">
        <f>[1]RawShipmentData!A1304</f>
        <v>SHP-100392</v>
      </c>
      <c r="B1292" s="3">
        <f>IF(ISNUMBER(SEARCH("/",TRIM([1]RawShipmentData!B1304))),DATE(VALUE(RIGHT(TRIM([1]RawShipmentData!B1304),4)),VALUE(MID(TRIM([1]RawShipmentData!B1304),FIND("/",TRIM([1]RawShipmentData!B1304))+1,2)),VALUE(LEFT(TRIM([1]RawShipmentData!B1304),FIND("/",TRIM([1]RawShipmentData!B1304))-1))),DATEVALUE(TRIM([1]RawShipmentData!B1304)))</f>
        <v>45399</v>
      </c>
      <c r="C1292" s="2" t="str">
        <f>PROPER(TRIM([1]RawShipmentData!C1304))</f>
        <v>Hyderabad</v>
      </c>
      <c r="D1292" s="2" t="str">
        <f>IFERROR(INDEX([1]HubMaster!$B$2:$B$7,MATCH(C1292,[1]HubMaster!$A$2:$A$7,0)),"Unknown")</f>
        <v>West</v>
      </c>
      <c r="E1292" s="2" t="str">
        <f>PROPER(TRIM(SUBSTITUTE([1]RawShipmentData!D1304,"  "," ")))</f>
        <v>Ecom Express</v>
      </c>
      <c r="F1292" s="2" t="str">
        <f>PROPER(TRIM([1]RawShipmentData!E1304))</f>
        <v>Air</v>
      </c>
      <c r="G1292" s="2" t="str">
        <f>PROPER(TRIM(SUBSTITUTE([1]RawShipmentData!F1304,"  "," ")))</f>
        <v>Grocery &amp; Fmcg</v>
      </c>
      <c r="H1292" s="2" t="str">
        <f>PROPER(TRIM([1]RawShipmentData!G1304))</f>
        <v>North</v>
      </c>
      <c r="I1292" s="2" t="str">
        <f t="shared" si="100"/>
        <v>Yes</v>
      </c>
      <c r="J1292" s="2">
        <f>IFERROR(VALUE(TRIM(SUBSTITUTE(UPPER([1]RawShipmentData!I1292),"KG",""))),"")</f>
        <v>7.3</v>
      </c>
      <c r="K1292" s="2">
        <f>VALUE(SUBSTITUTE(SUBSTITUTE(SUBSTITUTE(TRIM([1]RawShipmentData!J1304),"₹",""),"Rs",""),",",""))</f>
        <v>868</v>
      </c>
      <c r="L1292" s="2">
        <f>[1]RawShipmentData!K1304</f>
        <v>4</v>
      </c>
      <c r="M1292" s="3">
        <f>IF(TRIM([1]RawShipmentData!L1304)="","",IF(ISNUMBER(SEARCH("/",TRIM([1]RawShipmentData!L1304))),DATE(VALUE(RIGHT(TRIM([1]RawShipmentData!L1304),4)),VALUE(MID(TRIM([1]RawShipmentData!L1304),FIND("/",TRIM([1]RawShipmentData!L1304))+1,2)),VALUE(LEFT(TRIM([1]RawShipmentData!L1304),FIND("/",TRIM([1]RawShipmentData!L1304))-1))),DATEVALUE(TRIM([1]RawShipmentData!L1304))))</f>
        <v>45402</v>
      </c>
      <c r="N1292" s="2">
        <f t="shared" si="101"/>
        <v>3</v>
      </c>
      <c r="O1292" s="2">
        <f t="shared" si="102"/>
        <v>-1</v>
      </c>
      <c r="P1292" s="2" t="str">
        <f t="shared" si="103"/>
        <v>On Time</v>
      </c>
      <c r="Q1292" s="2" t="str">
        <f>PROPER(SUBSTITUTE(TRIM([1]RawShipmentData!M1304)," ","-"))</f>
        <v>Delivered</v>
      </c>
      <c r="R1292" s="4">
        <f t="shared" si="104"/>
        <v>118.9041095890411</v>
      </c>
      <c r="S1292" s="2">
        <f>[1]RawShipmentData!N1304</f>
        <v>2</v>
      </c>
      <c r="T1292" s="2" t="str">
        <f>IF(OR(UPPER(TRIM([1]RawShipmentData!O1304))="YES",UPPER(TRIM([1]RawShipmentData!O1304))="Y"),"Yes","No")</f>
        <v>No</v>
      </c>
    </row>
    <row r="1293" spans="1:20" x14ac:dyDescent="0.25">
      <c r="A1293" s="2" t="str">
        <f>[1]RawShipmentData!A1305</f>
        <v>SHP-100855</v>
      </c>
      <c r="B1293" s="3">
        <f>IF(ISNUMBER(SEARCH("/",TRIM([1]RawShipmentData!B1305))),DATE(VALUE(RIGHT(TRIM([1]RawShipmentData!B1305),4)),VALUE(MID(TRIM([1]RawShipmentData!B1305),FIND("/",TRIM([1]RawShipmentData!B1305))+1,2)),VALUE(LEFT(TRIM([1]RawShipmentData!B1305),FIND("/",TRIM([1]RawShipmentData!B1305))-1))),DATEVALUE(TRIM([1]RawShipmentData!B1305)))</f>
        <v>45318</v>
      </c>
      <c r="C1293" s="2" t="str">
        <f>PROPER(TRIM([1]RawShipmentData!C1305))</f>
        <v>Kolkata</v>
      </c>
      <c r="D1293" s="2" t="str">
        <f>IFERROR(INDEX([1]HubMaster!$B$2:$B$7,MATCH(C1293,[1]HubMaster!$A$2:$A$7,0)),"Unknown")</f>
        <v>East</v>
      </c>
      <c r="E1293" s="2" t="str">
        <f>PROPER(TRIM(SUBSTITUTE([1]RawShipmentData!D1305,"  "," ")))</f>
        <v>Xpressbees</v>
      </c>
      <c r="F1293" s="2" t="str">
        <f>PROPER(TRIM([1]RawShipmentData!E1305))</f>
        <v>Air</v>
      </c>
      <c r="G1293" s="2" t="str">
        <f>PROPER(TRIM(SUBSTITUTE([1]RawShipmentData!F1305,"  "," ")))</f>
        <v>Apparel</v>
      </c>
      <c r="H1293" s="2" t="str">
        <f>PROPER(TRIM([1]RawShipmentData!G1305))</f>
        <v>East</v>
      </c>
      <c r="I1293" s="2" t="str">
        <f t="shared" si="100"/>
        <v>No</v>
      </c>
      <c r="J1293" s="2">
        <f>IFERROR(VALUE(TRIM(SUBSTITUTE(UPPER([1]RawShipmentData!I1293),"KG",""))),"")</f>
        <v>2.2999999999999998</v>
      </c>
      <c r="K1293" s="2">
        <f>VALUE(SUBSTITUTE(SUBSTITUTE(SUBSTITUTE(TRIM([1]RawShipmentData!J1305),"₹",""),"Rs",""),",",""))</f>
        <v>332</v>
      </c>
      <c r="L1293" s="2">
        <f>[1]RawShipmentData!K1305</f>
        <v>2</v>
      </c>
      <c r="M1293" s="3">
        <f>IF(TRIM([1]RawShipmentData!L1305)="","",IF(ISNUMBER(SEARCH("/",TRIM([1]RawShipmentData!L1305))),DATE(VALUE(RIGHT(TRIM([1]RawShipmentData!L1305),4)),VALUE(MID(TRIM([1]RawShipmentData!L1305),FIND("/",TRIM([1]RawShipmentData!L1305))+1,2)),VALUE(LEFT(TRIM([1]RawShipmentData!L1305),FIND("/",TRIM([1]RawShipmentData!L1305))-1))),DATEVALUE(TRIM([1]RawShipmentData!L1305))))</f>
        <v>45319</v>
      </c>
      <c r="N1293" s="2">
        <f t="shared" si="101"/>
        <v>1</v>
      </c>
      <c r="O1293" s="2">
        <f t="shared" si="102"/>
        <v>-1</v>
      </c>
      <c r="P1293" s="2" t="str">
        <f t="shared" si="103"/>
        <v>On Time</v>
      </c>
      <c r="Q1293" s="2" t="str">
        <f>PROPER(SUBSTITUTE(TRIM([1]RawShipmentData!M1305)," ","-"))</f>
        <v>Delivered</v>
      </c>
      <c r="R1293" s="4">
        <f t="shared" si="104"/>
        <v>144.34782608695653</v>
      </c>
      <c r="S1293" s="2">
        <f>[1]RawShipmentData!N1305</f>
        <v>3</v>
      </c>
      <c r="T1293" s="2" t="str">
        <f>IF(OR(UPPER(TRIM([1]RawShipmentData!O1305))="YES",UPPER(TRIM([1]RawShipmentData!O1305))="Y"),"Yes","No")</f>
        <v>No</v>
      </c>
    </row>
    <row r="1294" spans="1:20" x14ac:dyDescent="0.25">
      <c r="A1294" s="2" t="str">
        <f>[1]RawShipmentData!A1306</f>
        <v>SHP-101461</v>
      </c>
      <c r="B1294" s="3">
        <f>IF(ISNUMBER(SEARCH("/",TRIM([1]RawShipmentData!B1306))),DATE(VALUE(RIGHT(TRIM([1]RawShipmentData!B1306),4)),VALUE(MID(TRIM([1]RawShipmentData!B1306),FIND("/",TRIM([1]RawShipmentData!B1306))+1,2)),VALUE(LEFT(TRIM([1]RawShipmentData!B1306),FIND("/",TRIM([1]RawShipmentData!B1306))-1))),DATEVALUE(TRIM([1]RawShipmentData!B1306)))</f>
        <v>45292</v>
      </c>
      <c r="C1294" s="2" t="str">
        <f>PROPER(TRIM([1]RawShipmentData!C1306))</f>
        <v>Hyderabad</v>
      </c>
      <c r="D1294" s="2" t="str">
        <f>IFERROR(INDEX([1]HubMaster!$B$2:$B$7,MATCH(C1294,[1]HubMaster!$A$2:$A$7,0)),"Unknown")</f>
        <v>West</v>
      </c>
      <c r="E1294" s="2" t="str">
        <f>PROPER(TRIM(SUBSTITUTE([1]RawShipmentData!D1306,"  "," ")))</f>
        <v>Dtdc</v>
      </c>
      <c r="F1294" s="2" t="str">
        <f>PROPER(TRIM([1]RawShipmentData!E1306))</f>
        <v>Surface</v>
      </c>
      <c r="G1294" s="2" t="str">
        <f>PROPER(TRIM(SUBSTITUTE([1]RawShipmentData!F1306,"  "," ")))</f>
        <v>Pharma</v>
      </c>
      <c r="H1294" s="2" t="str">
        <f>PROPER(TRIM([1]RawShipmentData!G1306))</f>
        <v>North</v>
      </c>
      <c r="I1294" s="2" t="str">
        <f t="shared" si="100"/>
        <v>Yes</v>
      </c>
      <c r="J1294" s="2">
        <f>IFERROR(VALUE(TRIM(SUBSTITUTE(UPPER([1]RawShipmentData!I1294),"KG",""))),"")</f>
        <v>13.8</v>
      </c>
      <c r="K1294" s="2">
        <f>VALUE(SUBSTITUTE(SUBSTITUTE(SUBSTITUTE(TRIM([1]RawShipmentData!J1306),"₹",""),"Rs",""),",",""))</f>
        <v>188</v>
      </c>
      <c r="L1294" s="2">
        <f>[1]RawShipmentData!K1306</f>
        <v>6</v>
      </c>
      <c r="M1294" s="3">
        <f>IF(TRIM([1]RawShipmentData!L1306)="","",IF(ISNUMBER(SEARCH("/",TRIM([1]RawShipmentData!L1306))),DATE(VALUE(RIGHT(TRIM([1]RawShipmentData!L1306),4)),VALUE(MID(TRIM([1]RawShipmentData!L1306),FIND("/",TRIM([1]RawShipmentData!L1306))+1,2)),VALUE(LEFT(TRIM([1]RawShipmentData!L1306),FIND("/",TRIM([1]RawShipmentData!L1306))-1))),DATEVALUE(TRIM([1]RawShipmentData!L1306))))</f>
        <v>45304</v>
      </c>
      <c r="N1294" s="2">
        <f t="shared" si="101"/>
        <v>12</v>
      </c>
      <c r="O1294" s="2">
        <f t="shared" si="102"/>
        <v>6</v>
      </c>
      <c r="P1294" s="2" t="str">
        <f t="shared" si="103"/>
        <v>Late</v>
      </c>
      <c r="Q1294" s="2" t="str">
        <f>PROPER(SUBSTITUTE(TRIM([1]RawShipmentData!M1306)," ","-"))</f>
        <v>Delayed</v>
      </c>
      <c r="R1294" s="4">
        <f t="shared" si="104"/>
        <v>13.623188405797102</v>
      </c>
      <c r="S1294" s="2">
        <f>[1]RawShipmentData!N1306</f>
        <v>3</v>
      </c>
      <c r="T1294" s="2" t="str">
        <f>IF(OR(UPPER(TRIM([1]RawShipmentData!O1306))="YES",UPPER(TRIM([1]RawShipmentData!O1306))="Y"),"Yes","No")</f>
        <v>Yes</v>
      </c>
    </row>
    <row r="1295" spans="1:20" x14ac:dyDescent="0.25">
      <c r="A1295" s="2" t="str">
        <f>[1]RawShipmentData!A1307</f>
        <v>SHP-101270</v>
      </c>
      <c r="B1295" s="3">
        <f>IF(ISNUMBER(SEARCH("/",TRIM([1]RawShipmentData!B1307))),DATE(VALUE(RIGHT(TRIM([1]RawShipmentData!B1307),4)),VALUE(MID(TRIM([1]RawShipmentData!B1307),FIND("/",TRIM([1]RawShipmentData!B1307))+1,2)),VALUE(LEFT(TRIM([1]RawShipmentData!B1307),FIND("/",TRIM([1]RawShipmentData!B1307))-1))),DATEVALUE(TRIM([1]RawShipmentData!B1307)))</f>
        <v>45404</v>
      </c>
      <c r="C1295" s="2" t="str">
        <f>PROPER(TRIM([1]RawShipmentData!C1307))</f>
        <v>Chennai</v>
      </c>
      <c r="D1295" s="2" t="str">
        <f>IFERROR(INDEX([1]HubMaster!$B$2:$B$7,MATCH(C1295,[1]HubMaster!$A$2:$A$7,0)),"Unknown")</f>
        <v>South</v>
      </c>
      <c r="E1295" s="2" t="str">
        <f>PROPER(TRIM(SUBSTITUTE([1]RawShipmentData!D1307,"  "," ")))</f>
        <v>Xpressbees</v>
      </c>
      <c r="F1295" s="2" t="str">
        <f>PROPER(TRIM([1]RawShipmentData!E1307))</f>
        <v>Air</v>
      </c>
      <c r="G1295" s="2" t="str">
        <f>PROPER(TRIM(SUBSTITUTE([1]RawShipmentData!F1307,"  "," ")))</f>
        <v>Pharma</v>
      </c>
      <c r="H1295" s="2" t="str">
        <f>PROPER(TRIM([1]RawShipmentData!G1307))</f>
        <v>North</v>
      </c>
      <c r="I1295" s="2" t="str">
        <f t="shared" si="100"/>
        <v>Yes</v>
      </c>
      <c r="J1295" s="2">
        <f>IFERROR(VALUE(TRIM(SUBSTITUTE(UPPER([1]RawShipmentData!I1295),"KG",""))),"")</f>
        <v>54.3</v>
      </c>
      <c r="K1295" s="2">
        <f>VALUE(SUBSTITUTE(SUBSTITUTE(SUBSTITUTE(TRIM([1]RawShipmentData!J1307),"₹",""),"Rs",""),",",""))</f>
        <v>313</v>
      </c>
      <c r="L1295" s="2">
        <f>[1]RawShipmentData!K1307</f>
        <v>4</v>
      </c>
      <c r="M1295" s="3">
        <f>IF(TRIM([1]RawShipmentData!L1307)="","",IF(ISNUMBER(SEARCH("/",TRIM([1]RawShipmentData!L1307))),DATE(VALUE(RIGHT(TRIM([1]RawShipmentData!L1307),4)),VALUE(MID(TRIM([1]RawShipmentData!L1307),FIND("/",TRIM([1]RawShipmentData!L1307))+1,2)),VALUE(LEFT(TRIM([1]RawShipmentData!L1307),FIND("/",TRIM([1]RawShipmentData!L1307))-1))),DATEVALUE(TRIM([1]RawShipmentData!L1307))))</f>
        <v>45414</v>
      </c>
      <c r="N1295" s="2">
        <f t="shared" si="101"/>
        <v>10</v>
      </c>
      <c r="O1295" s="2">
        <f t="shared" si="102"/>
        <v>6</v>
      </c>
      <c r="P1295" s="2" t="str">
        <f t="shared" si="103"/>
        <v>Late</v>
      </c>
      <c r="Q1295" s="2" t="str">
        <f>PROPER(SUBSTITUTE(TRIM([1]RawShipmentData!M1307)," ","-"))</f>
        <v>Delayed</v>
      </c>
      <c r="R1295" s="4">
        <f t="shared" si="104"/>
        <v>5.764272559852671</v>
      </c>
      <c r="S1295" s="2">
        <f>[1]RawShipmentData!N1307</f>
        <v>2</v>
      </c>
      <c r="T1295" s="2" t="str">
        <f>IF(OR(UPPER(TRIM([1]RawShipmentData!O1307))="YES",UPPER(TRIM([1]RawShipmentData!O1307))="Y"),"Yes","No")</f>
        <v>No</v>
      </c>
    </row>
    <row r="1296" spans="1:20" x14ac:dyDescent="0.25">
      <c r="A1296" s="2" t="str">
        <f>[1]RawShipmentData!A1308</f>
        <v>SHP-100733</v>
      </c>
      <c r="B1296" s="3">
        <f>IF(ISNUMBER(SEARCH("/",TRIM([1]RawShipmentData!B1308))),DATE(VALUE(RIGHT(TRIM([1]RawShipmentData!B1308),4)),VALUE(MID(TRIM([1]RawShipmentData!B1308),FIND("/",TRIM([1]RawShipmentData!B1308))+1,2)),VALUE(LEFT(TRIM([1]RawShipmentData!B1308),FIND("/",TRIM([1]RawShipmentData!B1308))-1))),DATEVALUE(TRIM([1]RawShipmentData!B1308)))</f>
        <v>45306</v>
      </c>
      <c r="C1296" s="2" t="str">
        <f>PROPER(TRIM([1]RawShipmentData!C1308))</f>
        <v>Chennai</v>
      </c>
      <c r="D1296" s="2" t="str">
        <f>IFERROR(INDEX([1]HubMaster!$B$2:$B$7,MATCH(C1296,[1]HubMaster!$A$2:$A$7,0)),"Unknown")</f>
        <v>South</v>
      </c>
      <c r="E1296" s="2" t="str">
        <f>PROPER(TRIM(SUBSTITUTE([1]RawShipmentData!D1308,"  "," ")))</f>
        <v>Xpressbees</v>
      </c>
      <c r="F1296" s="2" t="str">
        <f>PROPER(TRIM([1]RawShipmentData!E1308))</f>
        <v>Air</v>
      </c>
      <c r="G1296" s="2" t="str">
        <f>PROPER(TRIM(SUBSTITUTE([1]RawShipmentData!F1308,"  "," ")))</f>
        <v>Furniture</v>
      </c>
      <c r="H1296" s="2" t="str">
        <f>PROPER(TRIM([1]RawShipmentData!G1308))</f>
        <v>East</v>
      </c>
      <c r="I1296" s="2" t="str">
        <f t="shared" si="100"/>
        <v>Yes</v>
      </c>
      <c r="J1296" s="2">
        <f>IFERROR(VALUE(TRIM(SUBSTITUTE(UPPER([1]RawShipmentData!I1296),"KG",""))),"")</f>
        <v>79.900000000000006</v>
      </c>
      <c r="K1296" s="2">
        <f>VALUE(SUBSTITUTE(SUBSTITUTE(SUBSTITUTE(TRIM([1]RawShipmentData!J1308),"₹",""),"Rs",""),",",""))</f>
        <v>1269</v>
      </c>
      <c r="L1296" s="2">
        <f>[1]RawShipmentData!K1308</f>
        <v>4</v>
      </c>
      <c r="M1296" s="3">
        <f>IF(TRIM([1]RawShipmentData!L1308)="","",IF(ISNUMBER(SEARCH("/",TRIM([1]RawShipmentData!L1308))),DATE(VALUE(RIGHT(TRIM([1]RawShipmentData!L1308),4)),VALUE(MID(TRIM([1]RawShipmentData!L1308),FIND("/",TRIM([1]RawShipmentData!L1308))+1,2)),VALUE(LEFT(TRIM([1]RawShipmentData!L1308),FIND("/",TRIM([1]RawShipmentData!L1308))-1))),DATEVALUE(TRIM([1]RawShipmentData!L1308))))</f>
        <v>45319</v>
      </c>
      <c r="N1296" s="2">
        <f t="shared" si="101"/>
        <v>13</v>
      </c>
      <c r="O1296" s="2">
        <f t="shared" si="102"/>
        <v>9</v>
      </c>
      <c r="P1296" s="2" t="str">
        <f t="shared" si="103"/>
        <v>Late</v>
      </c>
      <c r="Q1296" s="2" t="str">
        <f>PROPER(SUBSTITUTE(TRIM([1]RawShipmentData!M1308)," ","-"))</f>
        <v>Delayed</v>
      </c>
      <c r="R1296" s="4">
        <f t="shared" si="104"/>
        <v>15.882352941176469</v>
      </c>
      <c r="S1296" s="2">
        <f>[1]RawShipmentData!N1308</f>
        <v>4</v>
      </c>
      <c r="T1296" s="2" t="str">
        <f>IF(OR(UPPER(TRIM([1]RawShipmentData!O1308))="YES",UPPER(TRIM([1]RawShipmentData!O1308))="Y"),"Yes","No")</f>
        <v>Yes</v>
      </c>
    </row>
    <row r="1297" spans="1:20" x14ac:dyDescent="0.25">
      <c r="A1297" s="2" t="str">
        <f>[1]RawShipmentData!A1309</f>
        <v>SHP-100839</v>
      </c>
      <c r="B1297" s="3">
        <f>IF(ISNUMBER(SEARCH("/",TRIM([1]RawShipmentData!B1309))),DATE(VALUE(RIGHT(TRIM([1]RawShipmentData!B1309),4)),VALUE(MID(TRIM([1]RawShipmentData!B1309),FIND("/",TRIM([1]RawShipmentData!B1309))+1,2)),VALUE(LEFT(TRIM([1]RawShipmentData!B1309),FIND("/",TRIM([1]RawShipmentData!B1309))-1))),DATEVALUE(TRIM([1]RawShipmentData!B1309)))</f>
        <v>45451</v>
      </c>
      <c r="C1297" s="2" t="str">
        <f>PROPER(TRIM([1]RawShipmentData!C1309))</f>
        <v>Chennai</v>
      </c>
      <c r="D1297" s="2" t="str">
        <f>IFERROR(INDEX([1]HubMaster!$B$2:$B$7,MATCH(C1297,[1]HubMaster!$A$2:$A$7,0)),"Unknown")</f>
        <v>South</v>
      </c>
      <c r="E1297" s="2" t="str">
        <f>PROPER(TRIM(SUBSTITUTE([1]RawShipmentData!D1309,"  "," ")))</f>
        <v>Bluedart</v>
      </c>
      <c r="F1297" s="2" t="str">
        <f>PROPER(TRIM([1]RawShipmentData!E1309))</f>
        <v>Road</v>
      </c>
      <c r="G1297" s="2" t="str">
        <f>PROPER(TRIM(SUBSTITUTE([1]RawShipmentData!F1309,"  "," ")))</f>
        <v>Electronics</v>
      </c>
      <c r="H1297" s="2" t="str">
        <f>PROPER(TRIM([1]RawShipmentData!G1309))</f>
        <v>North</v>
      </c>
      <c r="I1297" s="2" t="str">
        <f t="shared" si="100"/>
        <v>Yes</v>
      </c>
      <c r="J1297" s="2">
        <f>IFERROR(VALUE(TRIM(SUBSTITUTE(UPPER([1]RawShipmentData!I1297),"KG",""))),"")</f>
        <v>14.1</v>
      </c>
      <c r="K1297" s="2">
        <f>VALUE(SUBSTITUTE(SUBSTITUTE(SUBSTITUTE(TRIM([1]RawShipmentData!J1309),"₹",""),"Rs",""),",",""))</f>
        <v>304</v>
      </c>
      <c r="L1297" s="2">
        <f>[1]RawShipmentData!K1309</f>
        <v>8</v>
      </c>
      <c r="M1297" s="3">
        <f>IF(TRIM([1]RawShipmentData!L1309)="","",IF(ISNUMBER(SEARCH("/",TRIM([1]RawShipmentData!L1309))),DATE(VALUE(RIGHT(TRIM([1]RawShipmentData!L1309),4)),VALUE(MID(TRIM([1]RawShipmentData!L1309),FIND("/",TRIM([1]RawShipmentData!L1309))+1,2)),VALUE(LEFT(TRIM([1]RawShipmentData!L1309),FIND("/",TRIM([1]RawShipmentData!L1309))-1))),DATEVALUE(TRIM([1]RawShipmentData!L1309))))</f>
        <v>45463</v>
      </c>
      <c r="N1297" s="2">
        <f t="shared" si="101"/>
        <v>12</v>
      </c>
      <c r="O1297" s="2">
        <f t="shared" si="102"/>
        <v>4</v>
      </c>
      <c r="P1297" s="2" t="str">
        <f t="shared" si="103"/>
        <v>Late</v>
      </c>
      <c r="Q1297" s="2" t="str">
        <f>PROPER(SUBSTITUTE(TRIM([1]RawShipmentData!M1309)," ","-"))</f>
        <v>Delayed</v>
      </c>
      <c r="R1297" s="4">
        <f t="shared" si="104"/>
        <v>21.560283687943262</v>
      </c>
      <c r="S1297" s="2">
        <f>[1]RawShipmentData!N1309</f>
        <v>2</v>
      </c>
      <c r="T1297" s="2" t="str">
        <f>IF(OR(UPPER(TRIM([1]RawShipmentData!O1309))="YES",UPPER(TRIM([1]RawShipmentData!O1309))="Y"),"Yes","No")</f>
        <v>No</v>
      </c>
    </row>
    <row r="1298" spans="1:20" x14ac:dyDescent="0.25">
      <c r="A1298" s="2" t="str">
        <f>[1]RawShipmentData!A1310</f>
        <v>SHP-100577</v>
      </c>
      <c r="B1298" s="3">
        <f>IF(ISNUMBER(SEARCH("/",TRIM([1]RawShipmentData!B1310))),DATE(VALUE(RIGHT(TRIM([1]RawShipmentData!B1310),4)),VALUE(MID(TRIM([1]RawShipmentData!B1310),FIND("/",TRIM([1]RawShipmentData!B1310))+1,2)),VALUE(LEFT(TRIM([1]RawShipmentData!B1310),FIND("/",TRIM([1]RawShipmentData!B1310))-1))),DATEVALUE(TRIM([1]RawShipmentData!B1310)))</f>
        <v>45428</v>
      </c>
      <c r="C1298" s="2" t="str">
        <f>PROPER(TRIM([1]RawShipmentData!C1310))</f>
        <v>Delhi</v>
      </c>
      <c r="D1298" s="2" t="str">
        <f>IFERROR(INDEX([1]HubMaster!$B$2:$B$7,MATCH(C1298,[1]HubMaster!$A$2:$A$7,0)),"Unknown")</f>
        <v>North</v>
      </c>
      <c r="E1298" s="2" t="str">
        <f>PROPER(TRIM(SUBSTITUTE([1]RawShipmentData!D1310,"  "," ")))</f>
        <v>Dtdc</v>
      </c>
      <c r="F1298" s="2" t="str">
        <f>PROPER(TRIM([1]RawShipmentData!E1310))</f>
        <v>Road</v>
      </c>
      <c r="G1298" s="2" t="str">
        <f>PROPER(TRIM(SUBSTITUTE([1]RawShipmentData!F1310,"  "," ")))</f>
        <v>Apparel</v>
      </c>
      <c r="H1298" s="2" t="str">
        <f>PROPER(TRIM([1]RawShipmentData!G1310))</f>
        <v>West</v>
      </c>
      <c r="I1298" s="2" t="str">
        <f t="shared" si="100"/>
        <v>Yes</v>
      </c>
      <c r="J1298" s="2">
        <f>IFERROR(VALUE(TRIM(SUBSTITUTE(UPPER([1]RawShipmentData!I1298),"KG",""))),"")</f>
        <v>42.3</v>
      </c>
      <c r="K1298" s="2">
        <f>VALUE(SUBSTITUTE(SUBSTITUTE(SUBSTITUTE(TRIM([1]RawShipmentData!J1310),"₹",""),"Rs",""),",",""))</f>
        <v>224</v>
      </c>
      <c r="L1298" s="2">
        <f>[1]RawShipmentData!K1310</f>
        <v>8</v>
      </c>
      <c r="M1298" s="3">
        <f>IF(TRIM([1]RawShipmentData!L1310)="","",IF(ISNUMBER(SEARCH("/",TRIM([1]RawShipmentData!L1310))),DATE(VALUE(RIGHT(TRIM([1]RawShipmentData!L1310),4)),VALUE(MID(TRIM([1]RawShipmentData!L1310),FIND("/",TRIM([1]RawShipmentData!L1310))+1,2)),VALUE(LEFT(TRIM([1]RawShipmentData!L1310),FIND("/",TRIM([1]RawShipmentData!L1310))-1))),DATEVALUE(TRIM([1]RawShipmentData!L1310))))</f>
        <v>45437</v>
      </c>
      <c r="N1298" s="2">
        <f t="shared" si="101"/>
        <v>9</v>
      </c>
      <c r="O1298" s="2">
        <f t="shared" si="102"/>
        <v>1</v>
      </c>
      <c r="P1298" s="2" t="str">
        <f t="shared" si="103"/>
        <v>Late</v>
      </c>
      <c r="Q1298" s="2" t="str">
        <f>PROPER(SUBSTITUTE(TRIM([1]RawShipmentData!M1310)," ","-"))</f>
        <v>Delayed</v>
      </c>
      <c r="R1298" s="4">
        <f t="shared" si="104"/>
        <v>5.295508274231679</v>
      </c>
      <c r="S1298" s="2">
        <f>[1]RawShipmentData!N1310</f>
        <v>5</v>
      </c>
      <c r="T1298" s="2" t="str">
        <f>IF(OR(UPPER(TRIM([1]RawShipmentData!O1310))="YES",UPPER(TRIM([1]RawShipmentData!O1310))="Y"),"Yes","No")</f>
        <v>No</v>
      </c>
    </row>
    <row r="1299" spans="1:20" x14ac:dyDescent="0.25">
      <c r="A1299" s="2" t="str">
        <f>[1]RawShipmentData!A1311</f>
        <v>SHP-100184</v>
      </c>
      <c r="B1299" s="3">
        <f>IF(ISNUMBER(SEARCH("/",TRIM([1]RawShipmentData!B1311))),DATE(VALUE(RIGHT(TRIM([1]RawShipmentData!B1311),4)),VALUE(MID(TRIM([1]RawShipmentData!B1311),FIND("/",TRIM([1]RawShipmentData!B1311))+1,2)),VALUE(LEFT(TRIM([1]RawShipmentData!B1311),FIND("/",TRIM([1]RawShipmentData!B1311))-1))),DATEVALUE(TRIM([1]RawShipmentData!B1311)))</f>
        <v>45402</v>
      </c>
      <c r="C1299" s="2" t="str">
        <f>PROPER(TRIM([1]RawShipmentData!C1311))</f>
        <v>Bengaluru</v>
      </c>
      <c r="D1299" s="2" t="str">
        <f>IFERROR(INDEX([1]HubMaster!$B$2:$B$7,MATCH(C1299,[1]HubMaster!$A$2:$A$7,0)),"Unknown")</f>
        <v>South</v>
      </c>
      <c r="E1299" s="2" t="str">
        <f>PROPER(TRIM(SUBSTITUTE([1]RawShipmentData!D1311,"  "," ")))</f>
        <v>Dtdc</v>
      </c>
      <c r="F1299" s="2" t="str">
        <f>PROPER(TRIM([1]RawShipmentData!E1311))</f>
        <v>Surface</v>
      </c>
      <c r="G1299" s="2" t="str">
        <f>PROPER(TRIM(SUBSTITUTE([1]RawShipmentData!F1311,"  "," ")))</f>
        <v>Automotive Parts</v>
      </c>
      <c r="H1299" s="2" t="str">
        <f>PROPER(TRIM([1]RawShipmentData!G1311))</f>
        <v>North</v>
      </c>
      <c r="I1299" s="2" t="str">
        <f t="shared" si="100"/>
        <v>Yes</v>
      </c>
      <c r="J1299" s="2">
        <f>IFERROR(VALUE(TRIM(SUBSTITUTE(UPPER([1]RawShipmentData!I1299),"KG",""))),"")</f>
        <v>62.7</v>
      </c>
      <c r="K1299" s="2">
        <f>VALUE(SUBSTITUTE(SUBSTITUTE(SUBSTITUTE(TRIM([1]RawShipmentData!J1311),"₹",""),"Rs",""),",",""))</f>
        <v>669</v>
      </c>
      <c r="L1299" s="2">
        <f>[1]RawShipmentData!K1311</f>
        <v>6</v>
      </c>
      <c r="M1299" s="3">
        <f>IF(TRIM([1]RawShipmentData!L1311)="","",IF(ISNUMBER(SEARCH("/",TRIM([1]RawShipmentData!L1311))),DATE(VALUE(RIGHT(TRIM([1]RawShipmentData!L1311),4)),VALUE(MID(TRIM([1]RawShipmentData!L1311),FIND("/",TRIM([1]RawShipmentData!L1311))+1,2)),VALUE(LEFT(TRIM([1]RawShipmentData!L1311),FIND("/",TRIM([1]RawShipmentData!L1311))-1))),DATEVALUE(TRIM([1]RawShipmentData!L1311))))</f>
        <v>45411</v>
      </c>
      <c r="N1299" s="2">
        <f t="shared" si="101"/>
        <v>9</v>
      </c>
      <c r="O1299" s="2">
        <f t="shared" si="102"/>
        <v>3</v>
      </c>
      <c r="P1299" s="2" t="str">
        <f t="shared" si="103"/>
        <v>Late</v>
      </c>
      <c r="Q1299" s="2" t="str">
        <f>PROPER(SUBSTITUTE(TRIM([1]RawShipmentData!M1311)," ","-"))</f>
        <v>Delayed</v>
      </c>
      <c r="R1299" s="4">
        <f t="shared" si="104"/>
        <v>10.669856459330143</v>
      </c>
      <c r="S1299" s="2">
        <f>[1]RawShipmentData!N1311</f>
        <v>5</v>
      </c>
      <c r="T1299" s="2" t="str">
        <f>IF(OR(UPPER(TRIM([1]RawShipmentData!O1311))="YES",UPPER(TRIM([1]RawShipmentData!O1311))="Y"),"Yes","No")</f>
        <v>Yes</v>
      </c>
    </row>
    <row r="1300" spans="1:20" x14ac:dyDescent="0.25">
      <c r="A1300" s="2" t="str">
        <f>[1]RawShipmentData!A1312</f>
        <v>SHP-100815</v>
      </c>
      <c r="B1300" s="3">
        <f>IF(ISNUMBER(SEARCH("/",TRIM([1]RawShipmentData!B1312))),DATE(VALUE(RIGHT(TRIM([1]RawShipmentData!B1312),4)),VALUE(MID(TRIM([1]RawShipmentData!B1312),FIND("/",TRIM([1]RawShipmentData!B1312))+1,2)),VALUE(LEFT(TRIM([1]RawShipmentData!B1312),FIND("/",TRIM([1]RawShipmentData!B1312))-1))),DATEVALUE(TRIM([1]RawShipmentData!B1312)))</f>
        <v>45306</v>
      </c>
      <c r="C1300" s="2" t="str">
        <f>PROPER(TRIM([1]RawShipmentData!C1312))</f>
        <v>Mumbai</v>
      </c>
      <c r="D1300" s="2" t="str">
        <f>IFERROR(INDEX([1]HubMaster!$B$2:$B$7,MATCH(C1300,[1]HubMaster!$A$2:$A$7,0)),"Unknown")</f>
        <v>West</v>
      </c>
      <c r="E1300" s="2" t="str">
        <f>PROPER(TRIM(SUBSTITUTE([1]RawShipmentData!D1312,"  "," ")))</f>
        <v>Xpressbees</v>
      </c>
      <c r="F1300" s="2" t="str">
        <f>PROPER(TRIM([1]RawShipmentData!E1312))</f>
        <v>Air</v>
      </c>
      <c r="G1300" s="2" t="str">
        <f>PROPER(TRIM(SUBSTITUTE([1]RawShipmentData!F1312,"  "," ")))</f>
        <v>Grocery &amp; Fmcg</v>
      </c>
      <c r="H1300" s="2" t="str">
        <f>PROPER(TRIM([1]RawShipmentData!G1312))</f>
        <v>East</v>
      </c>
      <c r="I1300" s="2" t="str">
        <f t="shared" si="100"/>
        <v>Yes</v>
      </c>
      <c r="J1300" s="2">
        <f>IFERROR(VALUE(TRIM(SUBSTITUTE(UPPER([1]RawShipmentData!I1300),"KG",""))),"")</f>
        <v>4.7</v>
      </c>
      <c r="K1300" s="2">
        <f>VALUE(SUBSTITUTE(SUBSTITUTE(SUBSTITUTE(TRIM([1]RawShipmentData!J1312),"₹",""),"Rs",""),",",""))</f>
        <v>718</v>
      </c>
      <c r="L1300" s="2">
        <f>[1]RawShipmentData!K1312</f>
        <v>4</v>
      </c>
      <c r="M1300" s="3">
        <f>IF(TRIM([1]RawShipmentData!L1312)="","",IF(ISNUMBER(SEARCH("/",TRIM([1]RawShipmentData!L1312))),DATE(VALUE(RIGHT(TRIM([1]RawShipmentData!L1312),4)),VALUE(MID(TRIM([1]RawShipmentData!L1312),FIND("/",TRIM([1]RawShipmentData!L1312))+1,2)),VALUE(LEFT(TRIM([1]RawShipmentData!L1312),FIND("/",TRIM([1]RawShipmentData!L1312))-1))),DATEVALUE(TRIM([1]RawShipmentData!L1312))))</f>
        <v>45310</v>
      </c>
      <c r="N1300" s="2">
        <f t="shared" si="101"/>
        <v>4</v>
      </c>
      <c r="O1300" s="2">
        <f t="shared" si="102"/>
        <v>0</v>
      </c>
      <c r="P1300" s="2" t="str">
        <f t="shared" si="103"/>
        <v>On Time</v>
      </c>
      <c r="Q1300" s="2" t="str">
        <f>PROPER(SUBSTITUTE(TRIM([1]RawShipmentData!M1312)," ","-"))</f>
        <v>Delivered</v>
      </c>
      <c r="R1300" s="4">
        <f t="shared" si="104"/>
        <v>152.7659574468085</v>
      </c>
      <c r="S1300" s="2">
        <f>[1]RawShipmentData!N1312</f>
        <v>3</v>
      </c>
      <c r="T1300" s="2" t="str">
        <f>IF(OR(UPPER(TRIM([1]RawShipmentData!O1312))="YES",UPPER(TRIM([1]RawShipmentData!O1312))="Y"),"Yes","No")</f>
        <v>Yes</v>
      </c>
    </row>
    <row r="1301" spans="1:20" x14ac:dyDescent="0.25">
      <c r="A1301" s="2" t="str">
        <f>[1]RawShipmentData!A1313</f>
        <v>SHP-101097</v>
      </c>
      <c r="B1301" s="3">
        <f>IF(ISNUMBER(SEARCH("/",TRIM([1]RawShipmentData!B1313))),DATE(VALUE(RIGHT(TRIM([1]RawShipmentData!B1313),4)),VALUE(MID(TRIM([1]RawShipmentData!B1313),FIND("/",TRIM([1]RawShipmentData!B1313))+1,2)),VALUE(LEFT(TRIM([1]RawShipmentData!B1313),FIND("/",TRIM([1]RawShipmentData!B1313))-1))),DATEVALUE(TRIM([1]RawShipmentData!B1313)))</f>
        <v>45299</v>
      </c>
      <c r="C1301" s="2" t="str">
        <f>PROPER(TRIM([1]RawShipmentData!C1313))</f>
        <v>Chennai</v>
      </c>
      <c r="D1301" s="2" t="str">
        <f>IFERROR(INDEX([1]HubMaster!$B$2:$B$7,MATCH(C1301,[1]HubMaster!$A$2:$A$7,0)),"Unknown")</f>
        <v>South</v>
      </c>
      <c r="E1301" s="2" t="str">
        <f>PROPER(TRIM(SUBSTITUTE([1]RawShipmentData!D1313,"  "," ")))</f>
        <v>Dtdc</v>
      </c>
      <c r="F1301" s="2" t="str">
        <f>PROPER(TRIM([1]RawShipmentData!E1313))</f>
        <v>Surface</v>
      </c>
      <c r="G1301" s="2" t="str">
        <f>PROPER(TRIM(SUBSTITUTE([1]RawShipmentData!F1313,"  "," ")))</f>
        <v>Furniture</v>
      </c>
      <c r="H1301" s="2" t="str">
        <f>PROPER(TRIM([1]RawShipmentData!G1313))</f>
        <v>South</v>
      </c>
      <c r="I1301" s="2" t="str">
        <f t="shared" si="100"/>
        <v>No</v>
      </c>
      <c r="J1301" s="2">
        <f>IFERROR(VALUE(TRIM(SUBSTITUTE(UPPER([1]RawShipmentData!I1301),"KG",""))),"")</f>
        <v>9.9</v>
      </c>
      <c r="K1301" s="2">
        <f>VALUE(SUBSTITUTE(SUBSTITUTE(SUBSTITUTE(TRIM([1]RawShipmentData!J1313),"₹",""),"Rs",""),",",""))</f>
        <v>867</v>
      </c>
      <c r="L1301" s="2">
        <f>[1]RawShipmentData!K1313</f>
        <v>4</v>
      </c>
      <c r="M1301" s="3">
        <f>IF(TRIM([1]RawShipmentData!L1313)="","",IF(ISNUMBER(SEARCH("/",TRIM([1]RawShipmentData!L1313))),DATE(VALUE(RIGHT(TRIM([1]RawShipmentData!L1313),4)),VALUE(MID(TRIM([1]RawShipmentData!L1313),FIND("/",TRIM([1]RawShipmentData!L1313))+1,2)),VALUE(LEFT(TRIM([1]RawShipmentData!L1313),FIND("/",TRIM([1]RawShipmentData!L1313))-1))),DATEVALUE(TRIM([1]RawShipmentData!L1313))))</f>
        <v>45307</v>
      </c>
      <c r="N1301" s="2">
        <f t="shared" si="101"/>
        <v>8</v>
      </c>
      <c r="O1301" s="2">
        <f t="shared" si="102"/>
        <v>4</v>
      </c>
      <c r="P1301" s="2" t="str">
        <f t="shared" si="103"/>
        <v>Late</v>
      </c>
      <c r="Q1301" s="2" t="str">
        <f>PROPER(SUBSTITUTE(TRIM([1]RawShipmentData!M1313)," ","-"))</f>
        <v>Delayed</v>
      </c>
      <c r="R1301" s="4">
        <f t="shared" si="104"/>
        <v>87.575757575757578</v>
      </c>
      <c r="S1301" s="2">
        <f>[1]RawShipmentData!N1313</f>
        <v>2</v>
      </c>
      <c r="T1301" s="2" t="str">
        <f>IF(OR(UPPER(TRIM([1]RawShipmentData!O1313))="YES",UPPER(TRIM([1]RawShipmentData!O1313))="Y"),"Yes","No")</f>
        <v>Yes</v>
      </c>
    </row>
    <row r="1302" spans="1:20" x14ac:dyDescent="0.25">
      <c r="A1302" s="2" t="str">
        <f>[1]RawShipmentData!A1314</f>
        <v>SHP-100100</v>
      </c>
      <c r="B1302" s="3">
        <f>IF(ISNUMBER(SEARCH("/",TRIM([1]RawShipmentData!B1314))),DATE(VALUE(RIGHT(TRIM([1]RawShipmentData!B1314),4)),VALUE(MID(TRIM([1]RawShipmentData!B1314),FIND("/",TRIM([1]RawShipmentData!B1314))+1,2)),VALUE(LEFT(TRIM([1]RawShipmentData!B1314),FIND("/",TRIM([1]RawShipmentData!B1314))-1))),DATEVALUE(TRIM([1]RawShipmentData!B1314)))</f>
        <v>45359</v>
      </c>
      <c r="C1302" s="2" t="str">
        <f>PROPER(TRIM([1]RawShipmentData!C1314))</f>
        <v>Kolkata</v>
      </c>
      <c r="D1302" s="2" t="str">
        <f>IFERROR(INDEX([1]HubMaster!$B$2:$B$7,MATCH(C1302,[1]HubMaster!$A$2:$A$7,0)),"Unknown")</f>
        <v>East</v>
      </c>
      <c r="E1302" s="2" t="str">
        <f>PROPER(TRIM(SUBSTITUTE([1]RawShipmentData!D1314,"  "," ")))</f>
        <v>Delhivery</v>
      </c>
      <c r="F1302" s="2" t="str">
        <f>PROPER(TRIM([1]RawShipmentData!E1314))</f>
        <v>Surface</v>
      </c>
      <c r="G1302" s="2" t="str">
        <f>PROPER(TRIM(SUBSTITUTE([1]RawShipmentData!F1314,"  "," ")))</f>
        <v>Pharma</v>
      </c>
      <c r="H1302" s="2" t="str">
        <f>PROPER(TRIM([1]RawShipmentData!G1314))</f>
        <v>South</v>
      </c>
      <c r="I1302" s="2" t="str">
        <f t="shared" si="100"/>
        <v>Yes</v>
      </c>
      <c r="J1302" s="2">
        <f>IFERROR(VALUE(TRIM(SUBSTITUTE(UPPER([1]RawShipmentData!I1302),"KG",""))),"")</f>
        <v>7.9</v>
      </c>
      <c r="K1302" s="2">
        <f>VALUE(SUBSTITUTE(SUBSTITUTE(SUBSTITUTE(TRIM([1]RawShipmentData!J1314),"₹",""),"Rs",""),",",""))</f>
        <v>248</v>
      </c>
      <c r="L1302" s="2">
        <f>[1]RawShipmentData!K1314</f>
        <v>6</v>
      </c>
      <c r="M1302" s="3">
        <f>IF(TRIM([1]RawShipmentData!L1314)="","",IF(ISNUMBER(SEARCH("/",TRIM([1]RawShipmentData!L1314))),DATE(VALUE(RIGHT(TRIM([1]RawShipmentData!L1314),4)),VALUE(MID(TRIM([1]RawShipmentData!L1314),FIND("/",TRIM([1]RawShipmentData!L1314))+1,2)),VALUE(LEFT(TRIM([1]RawShipmentData!L1314),FIND("/",TRIM([1]RawShipmentData!L1314))-1))),DATEVALUE(TRIM([1]RawShipmentData!L1314))))</f>
        <v>45366</v>
      </c>
      <c r="N1302" s="2">
        <f t="shared" si="101"/>
        <v>7</v>
      </c>
      <c r="O1302" s="2">
        <f t="shared" si="102"/>
        <v>1</v>
      </c>
      <c r="P1302" s="2" t="str">
        <f t="shared" si="103"/>
        <v>Late</v>
      </c>
      <c r="Q1302" s="2" t="str">
        <f>PROPER(SUBSTITUTE(TRIM([1]RawShipmentData!M1314)," ","-"))</f>
        <v>Delayed</v>
      </c>
      <c r="R1302" s="4">
        <f t="shared" si="104"/>
        <v>31.39240506329114</v>
      </c>
      <c r="S1302" s="2">
        <f>[1]RawShipmentData!N1314</f>
        <v>2</v>
      </c>
      <c r="T1302" s="2" t="str">
        <f>IF(OR(UPPER(TRIM([1]RawShipmentData!O1314))="YES",UPPER(TRIM([1]RawShipmentData!O1314))="Y"),"Yes","No")</f>
        <v>No</v>
      </c>
    </row>
    <row r="1303" spans="1:20" x14ac:dyDescent="0.25">
      <c r="A1303" s="2" t="str">
        <f>[1]RawShipmentData!A1315</f>
        <v>SHP-100624</v>
      </c>
      <c r="B1303" s="3">
        <f>IF(ISNUMBER(SEARCH("/",TRIM([1]RawShipmentData!B1315))),DATE(VALUE(RIGHT(TRIM([1]RawShipmentData!B1315),4)),VALUE(MID(TRIM([1]RawShipmentData!B1315),FIND("/",TRIM([1]RawShipmentData!B1315))+1,2)),VALUE(LEFT(TRIM([1]RawShipmentData!B1315),FIND("/",TRIM([1]RawShipmentData!B1315))-1))),DATEVALUE(TRIM([1]RawShipmentData!B1315)))</f>
        <v>45403</v>
      </c>
      <c r="C1303" s="2" t="str">
        <f>PROPER(TRIM([1]RawShipmentData!C1315))</f>
        <v>Chennai</v>
      </c>
      <c r="D1303" s="2" t="str">
        <f>IFERROR(INDEX([1]HubMaster!$B$2:$B$7,MATCH(C1303,[1]HubMaster!$A$2:$A$7,0)),"Unknown")</f>
        <v>South</v>
      </c>
      <c r="E1303" s="2" t="str">
        <f>PROPER(TRIM(SUBSTITUTE([1]RawShipmentData!D1315,"  "," ")))</f>
        <v>Delhivery</v>
      </c>
      <c r="F1303" s="2" t="str">
        <f>PROPER(TRIM([1]RawShipmentData!E1315))</f>
        <v>Road</v>
      </c>
      <c r="G1303" s="2" t="str">
        <f>PROPER(TRIM(SUBSTITUTE([1]RawShipmentData!F1315,"  "," ")))</f>
        <v>Automotive Parts</v>
      </c>
      <c r="H1303" s="2" t="str">
        <f>PROPER(TRIM([1]RawShipmentData!G1315))</f>
        <v>East</v>
      </c>
      <c r="I1303" s="2" t="str">
        <f t="shared" si="100"/>
        <v>Yes</v>
      </c>
      <c r="J1303" s="2">
        <f>IFERROR(VALUE(TRIM(SUBSTITUTE(UPPER([1]RawShipmentData!I1303),"KG",""))),"")</f>
        <v>2.6</v>
      </c>
      <c r="K1303" s="2">
        <f>VALUE(SUBSTITUTE(SUBSTITUTE(SUBSTITUTE(TRIM([1]RawShipmentData!J1315),"₹",""),"Rs",""),",",""))</f>
        <v>682</v>
      </c>
      <c r="L1303" s="2">
        <f>[1]RawShipmentData!K1315</f>
        <v>8</v>
      </c>
      <c r="M1303" s="3">
        <f>IF(TRIM([1]RawShipmentData!L1315)="","",IF(ISNUMBER(SEARCH("/",TRIM([1]RawShipmentData!L1315))),DATE(VALUE(RIGHT(TRIM([1]RawShipmentData!L1315),4)),VALUE(MID(TRIM([1]RawShipmentData!L1315),FIND("/",TRIM([1]RawShipmentData!L1315))+1,2)),VALUE(LEFT(TRIM([1]RawShipmentData!L1315),FIND("/",TRIM([1]RawShipmentData!L1315))-1))),DATEVALUE(TRIM([1]RawShipmentData!L1315))))</f>
        <v>45418</v>
      </c>
      <c r="N1303" s="2">
        <f t="shared" si="101"/>
        <v>15</v>
      </c>
      <c r="O1303" s="2">
        <f t="shared" si="102"/>
        <v>7</v>
      </c>
      <c r="P1303" s="2" t="str">
        <f t="shared" si="103"/>
        <v>Late</v>
      </c>
      <c r="Q1303" s="2" t="str">
        <f>PROPER(SUBSTITUTE(TRIM([1]RawShipmentData!M1315)," ","-"))</f>
        <v>Delayed</v>
      </c>
      <c r="R1303" s="4">
        <f t="shared" si="104"/>
        <v>262.30769230769232</v>
      </c>
      <c r="S1303" s="2">
        <f>[1]RawShipmentData!N1315</f>
        <v>3</v>
      </c>
      <c r="T1303" s="2" t="str">
        <f>IF(OR(UPPER(TRIM([1]RawShipmentData!O1315))="YES",UPPER(TRIM([1]RawShipmentData!O1315))="Y"),"Yes","No")</f>
        <v>Yes</v>
      </c>
    </row>
    <row r="1304" spans="1:20" x14ac:dyDescent="0.25">
      <c r="A1304" s="2" t="str">
        <f>[1]RawShipmentData!A1317</f>
        <v>SHP-100932</v>
      </c>
      <c r="B1304" s="3">
        <f>IF(ISNUMBER(SEARCH("/",TRIM([1]RawShipmentData!B1317))),DATE(VALUE(RIGHT(TRIM([1]RawShipmentData!B1317),4)),VALUE(MID(TRIM([1]RawShipmentData!B1317),FIND("/",TRIM([1]RawShipmentData!B1317))+1,2)),VALUE(LEFT(TRIM([1]RawShipmentData!B1317),FIND("/",TRIM([1]RawShipmentData!B1317))-1))),DATEVALUE(TRIM([1]RawShipmentData!B1317)))</f>
        <v>45454</v>
      </c>
      <c r="C1304" s="2" t="str">
        <f>PROPER(TRIM([1]RawShipmentData!C1317))</f>
        <v>Chennai</v>
      </c>
      <c r="D1304" s="2" t="str">
        <f>IFERROR(INDEX([1]HubMaster!$B$2:$B$7,MATCH(C1304,[1]HubMaster!$A$2:$A$7,0)),"Unknown")</f>
        <v>South</v>
      </c>
      <c r="E1304" s="2" t="str">
        <f>PROPER(TRIM(SUBSTITUTE([1]RawShipmentData!D1317,"  "," ")))</f>
        <v>Bluedart</v>
      </c>
      <c r="F1304" s="2" t="str">
        <f>PROPER(TRIM([1]RawShipmentData!E1317))</f>
        <v>Road</v>
      </c>
      <c r="G1304" s="2" t="str">
        <f>PROPER(TRIM(SUBSTITUTE([1]RawShipmentData!F1317,"  "," ")))</f>
        <v>Grocery &amp; Fmcg</v>
      </c>
      <c r="H1304" s="2" t="str">
        <f>PROPER(TRIM([1]RawShipmentData!G1317))</f>
        <v>West</v>
      </c>
      <c r="I1304" s="2" t="str">
        <f t="shared" si="100"/>
        <v>Yes</v>
      </c>
      <c r="J1304" s="2">
        <f>IFERROR(VALUE(TRIM(SUBSTITUTE(UPPER([1]RawShipmentData!I1304),"KG",""))),"")</f>
        <v>15.2</v>
      </c>
      <c r="K1304" s="2">
        <f>VALUE(SUBSTITUTE(SUBSTITUTE(SUBSTITUTE(TRIM([1]RawShipmentData!J1317),"₹",""),"Rs",""),",",""))</f>
        <v>376</v>
      </c>
      <c r="L1304" s="2">
        <f>[1]RawShipmentData!K1317</f>
        <v>8</v>
      </c>
      <c r="M1304" s="3">
        <f>IF(TRIM([1]RawShipmentData!L1317)="","",IF(ISNUMBER(SEARCH("/",TRIM([1]RawShipmentData!L1317))),DATE(VALUE(RIGHT(TRIM([1]RawShipmentData!L1317),4)),VALUE(MID(TRIM([1]RawShipmentData!L1317),FIND("/",TRIM([1]RawShipmentData!L1317))+1,2)),VALUE(LEFT(TRIM([1]RawShipmentData!L1317),FIND("/",TRIM([1]RawShipmentData!L1317))-1))),DATEVALUE(TRIM([1]RawShipmentData!L1317))))</f>
        <v>45463</v>
      </c>
      <c r="N1304" s="2">
        <f t="shared" si="101"/>
        <v>9</v>
      </c>
      <c r="O1304" s="2">
        <f t="shared" si="102"/>
        <v>1</v>
      </c>
      <c r="P1304" s="2" t="str">
        <f t="shared" si="103"/>
        <v>Late</v>
      </c>
      <c r="Q1304" s="2" t="str">
        <f>PROPER(SUBSTITUTE(TRIM([1]RawShipmentData!M1317)," ","-"))</f>
        <v>Delayed</v>
      </c>
      <c r="R1304" s="4">
        <f t="shared" si="104"/>
        <v>24.736842105263158</v>
      </c>
      <c r="S1304" s="2">
        <f>[1]RawShipmentData!N1317</f>
        <v>3</v>
      </c>
      <c r="T1304" s="2" t="str">
        <f>IF(OR(UPPER(TRIM([1]RawShipmentData!O1317))="YES",UPPER(TRIM([1]RawShipmentData!O1317))="Y"),"Yes","No")</f>
        <v>Yes</v>
      </c>
    </row>
    <row r="1305" spans="1:20" x14ac:dyDescent="0.25">
      <c r="A1305" s="2" t="str">
        <f>[1]RawShipmentData!A1318</f>
        <v>SHP-100061</v>
      </c>
      <c r="B1305" s="3">
        <f>IF(ISNUMBER(SEARCH("/",TRIM([1]RawShipmentData!B1318))),DATE(VALUE(RIGHT(TRIM([1]RawShipmentData!B1318),4)),VALUE(MID(TRIM([1]RawShipmentData!B1318),FIND("/",TRIM([1]RawShipmentData!B1318))+1,2)),VALUE(LEFT(TRIM([1]RawShipmentData!B1318),FIND("/",TRIM([1]RawShipmentData!B1318))-1))),DATEVALUE(TRIM([1]RawShipmentData!B1318)))</f>
        <v>45318</v>
      </c>
      <c r="C1305" s="2" t="str">
        <f>PROPER(TRIM([1]RawShipmentData!C1318))</f>
        <v>Chennai</v>
      </c>
      <c r="D1305" s="2" t="str">
        <f>IFERROR(INDEX([1]HubMaster!$B$2:$B$7,MATCH(C1305,[1]HubMaster!$A$2:$A$7,0)),"Unknown")</f>
        <v>South</v>
      </c>
      <c r="E1305" s="2" t="str">
        <f>PROPER(TRIM(SUBSTITUTE([1]RawShipmentData!D1318,"  "," ")))</f>
        <v>Xpressbees</v>
      </c>
      <c r="F1305" s="2" t="str">
        <f>PROPER(TRIM([1]RawShipmentData!E1318))</f>
        <v>Surface</v>
      </c>
      <c r="G1305" s="2" t="str">
        <f>PROPER(TRIM(SUBSTITUTE([1]RawShipmentData!F1318,"  "," ")))</f>
        <v>Electronics</v>
      </c>
      <c r="H1305" s="2" t="str">
        <f>PROPER(TRIM([1]RawShipmentData!G1318))</f>
        <v>North</v>
      </c>
      <c r="I1305" s="2" t="str">
        <f t="shared" si="100"/>
        <v>Yes</v>
      </c>
      <c r="J1305" s="2">
        <f>IFERROR(VALUE(TRIM(SUBSTITUTE(UPPER([1]RawShipmentData!I1305),"KG",""))),"")</f>
        <v>7.6</v>
      </c>
      <c r="K1305" s="2">
        <f>VALUE(SUBSTITUTE(SUBSTITUTE(SUBSTITUTE(TRIM([1]RawShipmentData!J1318),"₹",""),"Rs",""),",",""))</f>
        <v>278</v>
      </c>
      <c r="L1305" s="2">
        <f>[1]RawShipmentData!K1318</f>
        <v>6</v>
      </c>
      <c r="M1305" s="3">
        <f>IF(TRIM([1]RawShipmentData!L1318)="","",IF(ISNUMBER(SEARCH("/",TRIM([1]RawShipmentData!L1318))),DATE(VALUE(RIGHT(TRIM([1]RawShipmentData!L1318),4)),VALUE(MID(TRIM([1]RawShipmentData!L1318),FIND("/",TRIM([1]RawShipmentData!L1318))+1,2)),VALUE(LEFT(TRIM([1]RawShipmentData!L1318),FIND("/",TRIM([1]RawShipmentData!L1318))-1))),DATEVALUE(TRIM([1]RawShipmentData!L1318))))</f>
        <v>45326</v>
      </c>
      <c r="N1305" s="2">
        <f t="shared" si="101"/>
        <v>8</v>
      </c>
      <c r="O1305" s="2">
        <f t="shared" si="102"/>
        <v>2</v>
      </c>
      <c r="P1305" s="2" t="str">
        <f t="shared" si="103"/>
        <v>Late</v>
      </c>
      <c r="Q1305" s="2" t="str">
        <f>PROPER(SUBSTITUTE(TRIM([1]RawShipmentData!M1318)," ","-"))</f>
        <v>Delayed</v>
      </c>
      <c r="R1305" s="4">
        <f t="shared" si="104"/>
        <v>36.578947368421055</v>
      </c>
      <c r="S1305" s="2">
        <f>[1]RawShipmentData!N1318</f>
        <v>2</v>
      </c>
      <c r="T1305" s="2" t="str">
        <f>IF(OR(UPPER(TRIM([1]RawShipmentData!O1318))="YES",UPPER(TRIM([1]RawShipmentData!O1318))="Y"),"Yes","No")</f>
        <v>Yes</v>
      </c>
    </row>
    <row r="1306" spans="1:20" x14ac:dyDescent="0.25">
      <c r="A1306" s="2" t="str">
        <f>[1]RawShipmentData!A1319</f>
        <v>SHP-100201</v>
      </c>
      <c r="B1306" s="3">
        <f>IF(ISNUMBER(SEARCH("/",TRIM([1]RawShipmentData!B1319))),DATE(VALUE(RIGHT(TRIM([1]RawShipmentData!B1319),4)),VALUE(MID(TRIM([1]RawShipmentData!B1319),FIND("/",TRIM([1]RawShipmentData!B1319))+1,2)),VALUE(LEFT(TRIM([1]RawShipmentData!B1319),FIND("/",TRIM([1]RawShipmentData!B1319))-1))),DATEVALUE(TRIM([1]RawShipmentData!B1319)))</f>
        <v>45314</v>
      </c>
      <c r="C1306" s="2" t="str">
        <f>PROPER(TRIM([1]RawShipmentData!C1319))</f>
        <v>Bengaluru</v>
      </c>
      <c r="D1306" s="2" t="str">
        <f>IFERROR(INDEX([1]HubMaster!$B$2:$B$7,MATCH(C1306,[1]HubMaster!$A$2:$A$7,0)),"Unknown")</f>
        <v>South</v>
      </c>
      <c r="E1306" s="2" t="str">
        <f>PROPER(TRIM(SUBSTITUTE([1]RawShipmentData!D1319,"  "," ")))</f>
        <v>Dtdc</v>
      </c>
      <c r="F1306" s="2" t="str">
        <f>PROPER(TRIM([1]RawShipmentData!E1319))</f>
        <v>Air</v>
      </c>
      <c r="G1306" s="2" t="str">
        <f>PROPER(TRIM(SUBSTITUTE([1]RawShipmentData!F1319,"  "," ")))</f>
        <v>Furniture</v>
      </c>
      <c r="H1306" s="2" t="str">
        <f>PROPER(TRIM([1]RawShipmentData!G1319))</f>
        <v>East</v>
      </c>
      <c r="I1306" s="2" t="str">
        <f t="shared" si="100"/>
        <v>Yes</v>
      </c>
      <c r="J1306" s="2">
        <f>IFERROR(VALUE(TRIM(SUBSTITUTE(UPPER([1]RawShipmentData!I1306),"KG",""))),"")</f>
        <v>2.6</v>
      </c>
      <c r="K1306" s="2">
        <f>VALUE(SUBSTITUTE(SUBSTITUTE(SUBSTITUTE(TRIM([1]RawShipmentData!J1319),"₹",""),"Rs",""),",",""))</f>
        <v>1534</v>
      </c>
      <c r="L1306" s="2">
        <f>[1]RawShipmentData!K1319</f>
        <v>4</v>
      </c>
      <c r="M1306" s="3">
        <f>IF(TRIM([1]RawShipmentData!L1319)="","",IF(ISNUMBER(SEARCH("/",TRIM([1]RawShipmentData!L1319))),DATE(VALUE(RIGHT(TRIM([1]RawShipmentData!L1319),4)),VALUE(MID(TRIM([1]RawShipmentData!L1319),FIND("/",TRIM([1]RawShipmentData!L1319))+1,2)),VALUE(LEFT(TRIM([1]RawShipmentData!L1319),FIND("/",TRIM([1]RawShipmentData!L1319))-1))),DATEVALUE(TRIM([1]RawShipmentData!L1319))))</f>
        <v>45319</v>
      </c>
      <c r="N1306" s="2">
        <f t="shared" si="101"/>
        <v>5</v>
      </c>
      <c r="O1306" s="2">
        <f t="shared" si="102"/>
        <v>1</v>
      </c>
      <c r="P1306" s="2" t="str">
        <f t="shared" si="103"/>
        <v>Late</v>
      </c>
      <c r="Q1306" s="2" t="str">
        <f>PROPER(SUBSTITUTE(TRIM([1]RawShipmentData!M1319)," ","-"))</f>
        <v>Delayed</v>
      </c>
      <c r="R1306" s="4">
        <f t="shared" si="104"/>
        <v>590</v>
      </c>
      <c r="S1306" s="2">
        <f>[1]RawShipmentData!N1319</f>
        <v>2</v>
      </c>
      <c r="T1306" s="2" t="str">
        <f>IF(OR(UPPER(TRIM([1]RawShipmentData!O1319))="YES",UPPER(TRIM([1]RawShipmentData!O1319))="Y"),"Yes","No")</f>
        <v>No</v>
      </c>
    </row>
    <row r="1307" spans="1:20" x14ac:dyDescent="0.25">
      <c r="A1307" s="2" t="str">
        <f>[1]RawShipmentData!A1320</f>
        <v>SHP-100338</v>
      </c>
      <c r="B1307" s="3">
        <f>IF(ISNUMBER(SEARCH("/",TRIM([1]RawShipmentData!B1320))),DATE(VALUE(RIGHT(TRIM([1]RawShipmentData!B1320),4)),VALUE(MID(TRIM([1]RawShipmentData!B1320),FIND("/",TRIM([1]RawShipmentData!B1320))+1,2)),VALUE(LEFT(TRIM([1]RawShipmentData!B1320),FIND("/",TRIM([1]RawShipmentData!B1320))-1))),DATEVALUE(TRIM([1]RawShipmentData!B1320)))</f>
        <v>45428</v>
      </c>
      <c r="C1307" s="2" t="str">
        <f>PROPER(TRIM([1]RawShipmentData!C1320))</f>
        <v>Hyderabad</v>
      </c>
      <c r="D1307" s="2" t="str">
        <f>IFERROR(INDEX([1]HubMaster!$B$2:$B$7,MATCH(C1307,[1]HubMaster!$A$2:$A$7,0)),"Unknown")</f>
        <v>West</v>
      </c>
      <c r="E1307" s="2" t="str">
        <f>PROPER(TRIM(SUBSTITUTE([1]RawShipmentData!D1320,"  "," ")))</f>
        <v>Bluedart</v>
      </c>
      <c r="F1307" s="2" t="str">
        <f>PROPER(TRIM([1]RawShipmentData!E1320))</f>
        <v>Surface</v>
      </c>
      <c r="G1307" s="2" t="str">
        <f>PROPER(TRIM(SUBSTITUTE([1]RawShipmentData!F1320,"  "," ")))</f>
        <v>Electronics</v>
      </c>
      <c r="H1307" s="2" t="str">
        <f>PROPER(TRIM([1]RawShipmentData!G1320))</f>
        <v>West</v>
      </c>
      <c r="I1307" s="2" t="str">
        <f t="shared" si="100"/>
        <v>No</v>
      </c>
      <c r="J1307" s="2">
        <f>IFERROR(VALUE(TRIM(SUBSTITUTE(UPPER([1]RawShipmentData!I1307),"KG",""))),"")</f>
        <v>2.9</v>
      </c>
      <c r="K1307" s="2">
        <f>VALUE(SUBSTITUTE(SUBSTITUTE(SUBSTITUTE(TRIM([1]RawShipmentData!J1320),"₹",""),"Rs",""),",",""))</f>
        <v>80</v>
      </c>
      <c r="L1307" s="2">
        <f>[1]RawShipmentData!K1320</f>
        <v>4</v>
      </c>
      <c r="M1307" s="3">
        <f>IF(TRIM([1]RawShipmentData!L1320)="","",IF(ISNUMBER(SEARCH("/",TRIM([1]RawShipmentData!L1320))),DATE(VALUE(RIGHT(TRIM([1]RawShipmentData!L1320),4)),VALUE(MID(TRIM([1]RawShipmentData!L1320),FIND("/",TRIM([1]RawShipmentData!L1320))+1,2)),VALUE(LEFT(TRIM([1]RawShipmentData!L1320),FIND("/",TRIM([1]RawShipmentData!L1320))-1))),DATEVALUE(TRIM([1]RawShipmentData!L1320))))</f>
        <v>45433</v>
      </c>
      <c r="N1307" s="2">
        <f t="shared" si="101"/>
        <v>5</v>
      </c>
      <c r="O1307" s="2">
        <f t="shared" si="102"/>
        <v>1</v>
      </c>
      <c r="P1307" s="2" t="str">
        <f t="shared" si="103"/>
        <v>Late</v>
      </c>
      <c r="Q1307" s="2" t="str">
        <f>PROPER(SUBSTITUTE(TRIM([1]RawShipmentData!M1320)," ","-"))</f>
        <v>Delayed</v>
      </c>
      <c r="R1307" s="4">
        <f t="shared" si="104"/>
        <v>27.586206896551726</v>
      </c>
      <c r="S1307" s="2">
        <f>[1]RawShipmentData!N1320</f>
        <v>1</v>
      </c>
      <c r="T1307" s="2" t="str">
        <f>IF(OR(UPPER(TRIM([1]RawShipmentData!O1320))="YES",UPPER(TRIM([1]RawShipmentData!O1320))="Y"),"Yes","No")</f>
        <v>Yes</v>
      </c>
    </row>
    <row r="1308" spans="1:20" x14ac:dyDescent="0.25">
      <c r="A1308" s="2" t="str">
        <f>[1]RawShipmentData!A1321</f>
        <v>SHP-100433</v>
      </c>
      <c r="B1308" s="3">
        <f>IF(ISNUMBER(SEARCH("/",TRIM([1]RawShipmentData!B1321))),DATE(VALUE(RIGHT(TRIM([1]RawShipmentData!B1321),4)),VALUE(MID(TRIM([1]RawShipmentData!B1321),FIND("/",TRIM([1]RawShipmentData!B1321))+1,2)),VALUE(LEFT(TRIM([1]RawShipmentData!B1321),FIND("/",TRIM([1]RawShipmentData!B1321))-1))),DATEVALUE(TRIM([1]RawShipmentData!B1321)))</f>
        <v>45349</v>
      </c>
      <c r="C1308" s="2" t="str">
        <f>PROPER(TRIM([1]RawShipmentData!C1321))</f>
        <v>Kolkata</v>
      </c>
      <c r="D1308" s="2" t="str">
        <f>IFERROR(INDEX([1]HubMaster!$B$2:$B$7,MATCH(C1308,[1]HubMaster!$A$2:$A$7,0)),"Unknown")</f>
        <v>East</v>
      </c>
      <c r="E1308" s="2" t="str">
        <f>PROPER(TRIM(SUBSTITUTE([1]RawShipmentData!D1321,"  "," ")))</f>
        <v>Delhivery</v>
      </c>
      <c r="F1308" s="2" t="str">
        <f>PROPER(TRIM([1]RawShipmentData!E1321))</f>
        <v>Road</v>
      </c>
      <c r="G1308" s="2" t="str">
        <f>PROPER(TRIM(SUBSTITUTE([1]RawShipmentData!F1321,"  "," ")))</f>
        <v>Apparel</v>
      </c>
      <c r="H1308" s="2" t="str">
        <f>PROPER(TRIM([1]RawShipmentData!G1321))</f>
        <v>East</v>
      </c>
      <c r="I1308" s="2" t="str">
        <f t="shared" si="100"/>
        <v>No</v>
      </c>
      <c r="J1308" s="2">
        <f>IFERROR(VALUE(TRIM(SUBSTITUTE(UPPER([1]RawShipmentData!I1308),"KG",""))),"")</f>
        <v>24.2</v>
      </c>
      <c r="K1308" s="2">
        <f>VALUE(SUBSTITUTE(SUBSTITUTE(SUBSTITUTE(TRIM([1]RawShipmentData!J1321),"₹",""),"Rs",""),",",""))</f>
        <v>80</v>
      </c>
      <c r="L1308" s="2">
        <f>[1]RawShipmentData!K1321</f>
        <v>6</v>
      </c>
      <c r="M1308" s="3">
        <f>IF(TRIM([1]RawShipmentData!L1321)="","",IF(ISNUMBER(SEARCH("/",TRIM([1]RawShipmentData!L1321))),DATE(VALUE(RIGHT(TRIM([1]RawShipmentData!L1321),4)),VALUE(MID(TRIM([1]RawShipmentData!L1321),FIND("/",TRIM([1]RawShipmentData!L1321))+1,2)),VALUE(LEFT(TRIM([1]RawShipmentData!L1321),FIND("/",TRIM([1]RawShipmentData!L1321))-1))),DATEVALUE(TRIM([1]RawShipmentData!L1321))))</f>
        <v>45355</v>
      </c>
      <c r="N1308" s="2">
        <f t="shared" si="101"/>
        <v>6</v>
      </c>
      <c r="O1308" s="2">
        <f t="shared" si="102"/>
        <v>0</v>
      </c>
      <c r="P1308" s="2" t="str">
        <f t="shared" si="103"/>
        <v>On Time</v>
      </c>
      <c r="Q1308" s="2" t="str">
        <f>PROPER(SUBSTITUTE(TRIM([1]RawShipmentData!M1321)," ","-"))</f>
        <v>Delivered</v>
      </c>
      <c r="R1308" s="4">
        <f t="shared" si="104"/>
        <v>3.3057851239669422</v>
      </c>
      <c r="S1308" s="2">
        <f>[1]RawShipmentData!N1321</f>
        <v>3</v>
      </c>
      <c r="T1308" s="2" t="str">
        <f>IF(OR(UPPER(TRIM([1]RawShipmentData!O1321))="YES",UPPER(TRIM([1]RawShipmentData!O1321))="Y"),"Yes","No")</f>
        <v>No</v>
      </c>
    </row>
    <row r="1309" spans="1:20" x14ac:dyDescent="0.25">
      <c r="A1309" s="2" t="str">
        <f>[1]RawShipmentData!A1322</f>
        <v>SHP-100534</v>
      </c>
      <c r="B1309" s="3">
        <f>IF(ISNUMBER(SEARCH("/",TRIM([1]RawShipmentData!B1322))),DATE(VALUE(RIGHT(TRIM([1]RawShipmentData!B1322),4)),VALUE(MID(TRIM([1]RawShipmentData!B1322),FIND("/",TRIM([1]RawShipmentData!B1322))+1,2)),VALUE(LEFT(TRIM([1]RawShipmentData!B1322),FIND("/",TRIM([1]RawShipmentData!B1322))-1))),DATEVALUE(TRIM([1]RawShipmentData!B1322)))</f>
        <v>45352</v>
      </c>
      <c r="C1309" s="2" t="str">
        <f>PROPER(TRIM([1]RawShipmentData!C1322))</f>
        <v>Delhi</v>
      </c>
      <c r="D1309" s="2" t="str">
        <f>IFERROR(INDEX([1]HubMaster!$B$2:$B$7,MATCH(C1309,[1]HubMaster!$A$2:$A$7,0)),"Unknown")</f>
        <v>North</v>
      </c>
      <c r="E1309" s="2" t="str">
        <f>PROPER(TRIM(SUBSTITUTE([1]RawShipmentData!D1322,"  "," ")))</f>
        <v>Ecom Express</v>
      </c>
      <c r="F1309" s="2" t="str">
        <f>PROPER(TRIM([1]RawShipmentData!E1322))</f>
        <v>Road</v>
      </c>
      <c r="G1309" s="2" t="str">
        <f>PROPER(TRIM(SUBSTITUTE([1]RawShipmentData!F1322,"  "," ")))</f>
        <v>Grocery &amp; Fmcg</v>
      </c>
      <c r="H1309" s="2" t="str">
        <f>PROPER(TRIM([1]RawShipmentData!G1322))</f>
        <v>North</v>
      </c>
      <c r="I1309" s="2" t="str">
        <f t="shared" si="100"/>
        <v>No</v>
      </c>
      <c r="J1309" s="2">
        <f>IFERROR(VALUE(TRIM(SUBSTITUTE(UPPER([1]RawShipmentData!I1309),"KG",""))),"")</f>
        <v>7.6</v>
      </c>
      <c r="K1309" s="2">
        <f>VALUE(SUBSTITUTE(SUBSTITUTE(SUBSTITUTE(TRIM([1]RawShipmentData!J1322),"₹",""),"Rs",""),",",""))</f>
        <v>235</v>
      </c>
      <c r="L1309" s="2">
        <f>[1]RawShipmentData!K1322</f>
        <v>6</v>
      </c>
      <c r="M1309" s="3">
        <f>IF(TRIM([1]RawShipmentData!L1322)="","",IF(ISNUMBER(SEARCH("/",TRIM([1]RawShipmentData!L1322))),DATE(VALUE(RIGHT(TRIM([1]RawShipmentData!L1322),4)),VALUE(MID(TRIM([1]RawShipmentData!L1322),FIND("/",TRIM([1]RawShipmentData!L1322))+1,2)),VALUE(LEFT(TRIM([1]RawShipmentData!L1322),FIND("/",TRIM([1]RawShipmentData!L1322))-1))),DATEVALUE(TRIM([1]RawShipmentData!L1322))))</f>
        <v>45357</v>
      </c>
      <c r="N1309" s="2">
        <f t="shared" si="101"/>
        <v>5</v>
      </c>
      <c r="O1309" s="2">
        <f t="shared" si="102"/>
        <v>-1</v>
      </c>
      <c r="P1309" s="2" t="str">
        <f t="shared" si="103"/>
        <v>On Time</v>
      </c>
      <c r="Q1309" s="2" t="str">
        <f>PROPER(SUBSTITUTE(TRIM([1]RawShipmentData!M1322)," ","-"))</f>
        <v>Delivered</v>
      </c>
      <c r="R1309" s="4">
        <f t="shared" si="104"/>
        <v>30.921052631578949</v>
      </c>
      <c r="S1309" s="2">
        <f>[1]RawShipmentData!N1322</f>
        <v>5</v>
      </c>
      <c r="T1309" s="2" t="str">
        <f>IF(OR(UPPER(TRIM([1]RawShipmentData!O1322))="YES",UPPER(TRIM([1]RawShipmentData!O1322))="Y"),"Yes","No")</f>
        <v>No</v>
      </c>
    </row>
    <row r="1310" spans="1:20" x14ac:dyDescent="0.25">
      <c r="A1310" s="2" t="str">
        <f>[1]RawShipmentData!A1323</f>
        <v>SHP-101512</v>
      </c>
      <c r="B1310" s="3">
        <f>IF(ISNUMBER(SEARCH("/",TRIM([1]RawShipmentData!B1323))),DATE(VALUE(RIGHT(TRIM([1]RawShipmentData!B1323),4)),VALUE(MID(TRIM([1]RawShipmentData!B1323),FIND("/",TRIM([1]RawShipmentData!B1323))+1,2)),VALUE(LEFT(TRIM([1]RawShipmentData!B1323),FIND("/",TRIM([1]RawShipmentData!B1323))-1))),DATEVALUE(TRIM([1]RawShipmentData!B1323)))</f>
        <v>45471</v>
      </c>
      <c r="C1310" s="2" t="str">
        <f>PROPER(TRIM([1]RawShipmentData!C1323))</f>
        <v>Bengaluru</v>
      </c>
      <c r="D1310" s="2" t="str">
        <f>IFERROR(INDEX([1]HubMaster!$B$2:$B$7,MATCH(C1310,[1]HubMaster!$A$2:$A$7,0)),"Unknown")</f>
        <v>South</v>
      </c>
      <c r="E1310" s="2" t="str">
        <f>PROPER(TRIM(SUBSTITUTE([1]RawShipmentData!D1323,"  "," ")))</f>
        <v>Ecom Express</v>
      </c>
      <c r="F1310" s="2" t="str">
        <f>PROPER(TRIM([1]RawShipmentData!E1323))</f>
        <v>Surface</v>
      </c>
      <c r="G1310" s="2" t="str">
        <f>PROPER(TRIM(SUBSTITUTE([1]RawShipmentData!F1323,"  "," ")))</f>
        <v>Automotive Parts</v>
      </c>
      <c r="H1310" s="2" t="str">
        <f>PROPER(TRIM([1]RawShipmentData!G1323))</f>
        <v>East</v>
      </c>
      <c r="I1310" s="2" t="str">
        <f t="shared" si="100"/>
        <v>Yes</v>
      </c>
      <c r="J1310" s="2">
        <f>IFERROR(VALUE(TRIM(SUBSTITUTE(UPPER([1]RawShipmentData!I1310),"KG",""))),"")</f>
        <v>5.3</v>
      </c>
      <c r="K1310" s="2">
        <f>VALUE(SUBSTITUTE(SUBSTITUTE(SUBSTITUTE(TRIM([1]RawShipmentData!J1323),"₹",""),"Rs",""),",",""))</f>
        <v>605</v>
      </c>
      <c r="L1310" s="2">
        <f>[1]RawShipmentData!K1323</f>
        <v>6</v>
      </c>
      <c r="M1310" s="3" t="str">
        <f>IF(TRIM([1]RawShipmentData!L1323)="","",IF(ISNUMBER(SEARCH("/",TRIM([1]RawShipmentData!L1323))),DATE(VALUE(RIGHT(TRIM([1]RawShipmentData!L1323),4)),VALUE(MID(TRIM([1]RawShipmentData!L1323),FIND("/",TRIM([1]RawShipmentData!L1323))+1,2)),VALUE(LEFT(TRIM([1]RawShipmentData!L1323),FIND("/",TRIM([1]RawShipmentData!L1323))-1))),DATEVALUE(TRIM([1]RawShipmentData!L1323))))</f>
        <v/>
      </c>
      <c r="N1310" s="2" t="str">
        <f t="shared" si="101"/>
        <v/>
      </c>
      <c r="O1310" s="2" t="str">
        <f t="shared" si="102"/>
        <v/>
      </c>
      <c r="P1310" s="2" t="str">
        <f t="shared" si="103"/>
        <v>N/A</v>
      </c>
      <c r="Q1310" s="2" t="str">
        <f>PROPER(SUBSTITUTE(TRIM([1]RawShipmentData!M1323)," ","-"))</f>
        <v>In-Transit</v>
      </c>
      <c r="R1310" s="4">
        <f t="shared" si="104"/>
        <v>114.15094339622642</v>
      </c>
      <c r="S1310" s="2">
        <f>[1]RawShipmentData!N1323</f>
        <v>0</v>
      </c>
      <c r="T1310" s="2" t="str">
        <f>IF(OR(UPPER(TRIM([1]RawShipmentData!O1323))="YES",UPPER(TRIM([1]RawShipmentData!O1323))="Y"),"Yes","No")</f>
        <v>No</v>
      </c>
    </row>
    <row r="1311" spans="1:20" x14ac:dyDescent="0.25">
      <c r="A1311" s="2" t="str">
        <f>[1]RawShipmentData!A1324</f>
        <v>SHP-100832</v>
      </c>
      <c r="B1311" s="3">
        <f>IF(ISNUMBER(SEARCH("/",TRIM([1]RawShipmentData!B1324))),DATE(VALUE(RIGHT(TRIM([1]RawShipmentData!B1324),4)),VALUE(MID(TRIM([1]RawShipmentData!B1324),FIND("/",TRIM([1]RawShipmentData!B1324))+1,2)),VALUE(LEFT(TRIM([1]RawShipmentData!B1324),FIND("/",TRIM([1]RawShipmentData!B1324))-1))),DATEVALUE(TRIM([1]RawShipmentData!B1324)))</f>
        <v>45415</v>
      </c>
      <c r="C1311" s="2" t="str">
        <f>PROPER(TRIM([1]RawShipmentData!C1324))</f>
        <v>Kolkata</v>
      </c>
      <c r="D1311" s="2" t="str">
        <f>IFERROR(INDEX([1]HubMaster!$B$2:$B$7,MATCH(C1311,[1]HubMaster!$A$2:$A$7,0)),"Unknown")</f>
        <v>East</v>
      </c>
      <c r="E1311" s="2" t="str">
        <f>PROPER(TRIM(SUBSTITUTE([1]RawShipmentData!D1324,"  "," ")))</f>
        <v>Ecom Express</v>
      </c>
      <c r="F1311" s="2" t="str">
        <f>PROPER(TRIM([1]RawShipmentData!E1324))</f>
        <v>Air</v>
      </c>
      <c r="G1311" s="2" t="str">
        <f>PROPER(TRIM(SUBSTITUTE([1]RawShipmentData!F1324,"  "," ")))</f>
        <v>Furniture</v>
      </c>
      <c r="H1311" s="2" t="str">
        <f>PROPER(TRIM([1]RawShipmentData!G1324))</f>
        <v>West</v>
      </c>
      <c r="I1311" s="2" t="str">
        <f t="shared" si="100"/>
        <v>Yes</v>
      </c>
      <c r="J1311" s="2">
        <f>IFERROR(VALUE(TRIM(SUBSTITUTE(UPPER([1]RawShipmentData!I1311),"KG",""))),"")</f>
        <v>22.6</v>
      </c>
      <c r="K1311" s="2">
        <f>VALUE(SUBSTITUTE(SUBSTITUTE(SUBSTITUTE(TRIM([1]RawShipmentData!J1324),"₹",""),"Rs",""),",",""))</f>
        <v>2518</v>
      </c>
      <c r="L1311" s="2">
        <f>[1]RawShipmentData!K1324</f>
        <v>4</v>
      </c>
      <c r="M1311" s="3">
        <f>IF(TRIM([1]RawShipmentData!L1324)="","",IF(ISNUMBER(SEARCH("/",TRIM([1]RawShipmentData!L1324))),DATE(VALUE(RIGHT(TRIM([1]RawShipmentData!L1324),4)),VALUE(MID(TRIM([1]RawShipmentData!L1324),FIND("/",TRIM([1]RawShipmentData!L1324))+1,2)),VALUE(LEFT(TRIM([1]RawShipmentData!L1324),FIND("/",TRIM([1]RawShipmentData!L1324))-1))),DATEVALUE(TRIM([1]RawShipmentData!L1324))))</f>
        <v>45427</v>
      </c>
      <c r="N1311" s="2">
        <f t="shared" si="101"/>
        <v>12</v>
      </c>
      <c r="O1311" s="2">
        <f t="shared" si="102"/>
        <v>8</v>
      </c>
      <c r="P1311" s="2" t="str">
        <f t="shared" si="103"/>
        <v>Late</v>
      </c>
      <c r="Q1311" s="2" t="str">
        <f>PROPER(SUBSTITUTE(TRIM([1]RawShipmentData!M1324)," ","-"))</f>
        <v>Delayed</v>
      </c>
      <c r="R1311" s="4">
        <f t="shared" si="104"/>
        <v>111.41592920353982</v>
      </c>
      <c r="S1311" s="2">
        <f>[1]RawShipmentData!N1324</f>
        <v>2</v>
      </c>
      <c r="T1311" s="2" t="str">
        <f>IF(OR(UPPER(TRIM([1]RawShipmentData!O1324))="YES",UPPER(TRIM([1]RawShipmentData!O1324))="Y"),"Yes","No")</f>
        <v>No</v>
      </c>
    </row>
    <row r="1312" spans="1:20" x14ac:dyDescent="0.25">
      <c r="A1312" s="2" t="str">
        <f>[1]RawShipmentData!A1325</f>
        <v>SHP-100841</v>
      </c>
      <c r="B1312" s="3">
        <f>IF(ISNUMBER(SEARCH("/",TRIM([1]RawShipmentData!B1325))),DATE(VALUE(RIGHT(TRIM([1]RawShipmentData!B1325),4)),VALUE(MID(TRIM([1]RawShipmentData!B1325),FIND("/",TRIM([1]RawShipmentData!B1325))+1,2)),VALUE(LEFT(TRIM([1]RawShipmentData!B1325),FIND("/",TRIM([1]RawShipmentData!B1325))-1))),DATEVALUE(TRIM([1]RawShipmentData!B1325)))</f>
        <v>45327</v>
      </c>
      <c r="C1312" s="2" t="str">
        <f>PROPER(TRIM([1]RawShipmentData!C1325))</f>
        <v>Kolkata</v>
      </c>
      <c r="D1312" s="2" t="str">
        <f>IFERROR(INDEX([1]HubMaster!$B$2:$B$7,MATCH(C1312,[1]HubMaster!$A$2:$A$7,0)),"Unknown")</f>
        <v>East</v>
      </c>
      <c r="E1312" s="2" t="str">
        <f>PROPER(TRIM(SUBSTITUTE([1]RawShipmentData!D1325,"  "," ")))</f>
        <v>Xpressbees</v>
      </c>
      <c r="F1312" s="2" t="str">
        <f>PROPER(TRIM([1]RawShipmentData!E1325))</f>
        <v>Air</v>
      </c>
      <c r="G1312" s="2" t="str">
        <f>PROPER(TRIM(SUBSTITUTE([1]RawShipmentData!F1325,"  "," ")))</f>
        <v>Pharma</v>
      </c>
      <c r="H1312" s="2" t="str">
        <f>PROPER(TRIM([1]RawShipmentData!G1325))</f>
        <v>South</v>
      </c>
      <c r="I1312" s="2" t="str">
        <f t="shared" si="100"/>
        <v>Yes</v>
      </c>
      <c r="J1312" s="2">
        <f>IFERROR(VALUE(TRIM(SUBSTITUTE(UPPER([1]RawShipmentData!I1312),"KG",""))),"")</f>
        <v>12.1</v>
      </c>
      <c r="K1312" s="2">
        <f>VALUE(SUBSTITUTE(SUBSTITUTE(SUBSTITUTE(TRIM([1]RawShipmentData!J1325),"₹",""),"Rs",""),",",""))</f>
        <v>221</v>
      </c>
      <c r="L1312" s="2">
        <f>[1]RawShipmentData!K1325</f>
        <v>4</v>
      </c>
      <c r="M1312" s="3">
        <f>IF(TRIM([1]RawShipmentData!L1325)="","",IF(ISNUMBER(SEARCH("/",TRIM([1]RawShipmentData!L1325))),DATE(VALUE(RIGHT(TRIM([1]RawShipmentData!L1325),4)),VALUE(MID(TRIM([1]RawShipmentData!L1325),FIND("/",TRIM([1]RawShipmentData!L1325))+1,2)),VALUE(LEFT(TRIM([1]RawShipmentData!L1325),FIND("/",TRIM([1]RawShipmentData!L1325))-1))),DATEVALUE(TRIM([1]RawShipmentData!L1325))))</f>
        <v>45330</v>
      </c>
      <c r="N1312" s="2">
        <f t="shared" si="101"/>
        <v>3</v>
      </c>
      <c r="O1312" s="2">
        <f t="shared" si="102"/>
        <v>-1</v>
      </c>
      <c r="P1312" s="2" t="str">
        <f t="shared" si="103"/>
        <v>On Time</v>
      </c>
      <c r="Q1312" s="2" t="str">
        <f>PROPER(SUBSTITUTE(TRIM([1]RawShipmentData!M1325)," ","-"))</f>
        <v>Delivered</v>
      </c>
      <c r="R1312" s="4">
        <f t="shared" si="104"/>
        <v>18.264462809917354</v>
      </c>
      <c r="S1312" s="2">
        <f>[1]RawShipmentData!N1325</f>
        <v>5</v>
      </c>
      <c r="T1312" s="2" t="str">
        <f>IF(OR(UPPER(TRIM([1]RawShipmentData!O1325))="YES",UPPER(TRIM([1]RawShipmentData!O1325))="Y"),"Yes","No")</f>
        <v>Yes</v>
      </c>
    </row>
    <row r="1313" spans="1:20" x14ac:dyDescent="0.25">
      <c r="A1313" s="2" t="str">
        <f>[1]RawShipmentData!A1326</f>
        <v>SHP-101447</v>
      </c>
      <c r="B1313" s="3">
        <f>IF(ISNUMBER(SEARCH("/",TRIM([1]RawShipmentData!B1326))),DATE(VALUE(RIGHT(TRIM([1]RawShipmentData!B1326),4)),VALUE(MID(TRIM([1]RawShipmentData!B1326),FIND("/",TRIM([1]RawShipmentData!B1326))+1,2)),VALUE(LEFT(TRIM([1]RawShipmentData!B1326),FIND("/",TRIM([1]RawShipmentData!B1326))-1))),DATEVALUE(TRIM([1]RawShipmentData!B1326)))</f>
        <v>45469</v>
      </c>
      <c r="C1313" s="2" t="str">
        <f>PROPER(TRIM([1]RawShipmentData!C1326))</f>
        <v>Hyderabad</v>
      </c>
      <c r="D1313" s="2" t="str">
        <f>IFERROR(INDEX([1]HubMaster!$B$2:$B$7,MATCH(C1313,[1]HubMaster!$A$2:$A$7,0)),"Unknown")</f>
        <v>West</v>
      </c>
      <c r="E1313" s="2" t="str">
        <f>PROPER(TRIM(SUBSTITUTE([1]RawShipmentData!D1326,"  "," ")))</f>
        <v>Bluedart</v>
      </c>
      <c r="F1313" s="2" t="str">
        <f>PROPER(TRIM([1]RawShipmentData!E1326))</f>
        <v>Air</v>
      </c>
      <c r="G1313" s="2" t="str">
        <f>PROPER(TRIM(SUBSTITUTE([1]RawShipmentData!F1326,"  "," ")))</f>
        <v>Apparel</v>
      </c>
      <c r="H1313" s="2" t="str">
        <f>PROPER(TRIM([1]RawShipmentData!G1326))</f>
        <v>East</v>
      </c>
      <c r="I1313" s="2" t="str">
        <f t="shared" si="100"/>
        <v>Yes</v>
      </c>
      <c r="J1313" s="2">
        <f>IFERROR(VALUE(TRIM(SUBSTITUTE(UPPER([1]RawShipmentData!I1313),"KG",""))),"")</f>
        <v>40.299999999999997</v>
      </c>
      <c r="K1313" s="2">
        <f>VALUE(SUBSTITUTE(SUBSTITUTE(SUBSTITUTE(TRIM([1]RawShipmentData!J1326),"₹",""),"Rs",""),",",""))</f>
        <v>291</v>
      </c>
      <c r="L1313" s="2">
        <f>[1]RawShipmentData!K1326</f>
        <v>4</v>
      </c>
      <c r="M1313" s="3">
        <f>IF(TRIM([1]RawShipmentData!L1326)="","",IF(ISNUMBER(SEARCH("/",TRIM([1]RawShipmentData!L1326))),DATE(VALUE(RIGHT(TRIM([1]RawShipmentData!L1326),4)),VALUE(MID(TRIM([1]RawShipmentData!L1326),FIND("/",TRIM([1]RawShipmentData!L1326))+1,2)),VALUE(LEFT(TRIM([1]RawShipmentData!L1326),FIND("/",TRIM([1]RawShipmentData!L1326))-1))),DATEVALUE(TRIM([1]RawShipmentData!L1326))))</f>
        <v>45476</v>
      </c>
      <c r="N1313" s="2">
        <f t="shared" si="101"/>
        <v>7</v>
      </c>
      <c r="O1313" s="2">
        <f t="shared" si="102"/>
        <v>3</v>
      </c>
      <c r="P1313" s="2" t="str">
        <f t="shared" si="103"/>
        <v>Late</v>
      </c>
      <c r="Q1313" s="2" t="str">
        <f>PROPER(SUBSTITUTE(TRIM([1]RawShipmentData!M1326)," ","-"))</f>
        <v>Delayed</v>
      </c>
      <c r="R1313" s="4">
        <f t="shared" si="104"/>
        <v>7.2208436724565761</v>
      </c>
      <c r="S1313" s="2">
        <f>[1]RawShipmentData!N1326</f>
        <v>2</v>
      </c>
      <c r="T1313" s="2" t="str">
        <f>IF(OR(UPPER(TRIM([1]RawShipmentData!O1326))="YES",UPPER(TRIM([1]RawShipmentData!O1326))="Y"),"Yes","No")</f>
        <v>No</v>
      </c>
    </row>
    <row r="1314" spans="1:20" x14ac:dyDescent="0.25">
      <c r="A1314" s="2" t="str">
        <f>[1]RawShipmentData!A1327</f>
        <v>SHP-100465</v>
      </c>
      <c r="B1314" s="3">
        <f>IF(ISNUMBER(SEARCH("/",TRIM([1]RawShipmentData!B1327))),DATE(VALUE(RIGHT(TRIM([1]RawShipmentData!B1327),4)),VALUE(MID(TRIM([1]RawShipmentData!B1327),FIND("/",TRIM([1]RawShipmentData!B1327))+1,2)),VALUE(LEFT(TRIM([1]RawShipmentData!B1327),FIND("/",TRIM([1]RawShipmentData!B1327))-1))),DATEVALUE(TRIM([1]RawShipmentData!B1327)))</f>
        <v>45368</v>
      </c>
      <c r="C1314" s="2" t="str">
        <f>PROPER(TRIM([1]RawShipmentData!C1327))</f>
        <v>Delhi</v>
      </c>
      <c r="D1314" s="2" t="str">
        <f>IFERROR(INDEX([1]HubMaster!$B$2:$B$7,MATCH(C1314,[1]HubMaster!$A$2:$A$7,0)),"Unknown")</f>
        <v>North</v>
      </c>
      <c r="E1314" s="2" t="str">
        <f>PROPER(TRIM(SUBSTITUTE([1]RawShipmentData!D1327,"  "," ")))</f>
        <v>Ecom Express</v>
      </c>
      <c r="F1314" s="2" t="str">
        <f>PROPER(TRIM([1]RawShipmentData!E1327))</f>
        <v>Road</v>
      </c>
      <c r="G1314" s="2" t="str">
        <f>PROPER(TRIM(SUBSTITUTE([1]RawShipmentData!F1327,"  "," ")))</f>
        <v>Automotive Parts</v>
      </c>
      <c r="H1314" s="2" t="str">
        <f>PROPER(TRIM([1]RawShipmentData!G1327))</f>
        <v>West</v>
      </c>
      <c r="I1314" s="2" t="str">
        <f t="shared" si="100"/>
        <v>Yes</v>
      </c>
      <c r="J1314" s="2">
        <f>IFERROR(VALUE(TRIM(SUBSTITUTE(UPPER([1]RawShipmentData!I1314),"KG",""))),"")</f>
        <v>3.3</v>
      </c>
      <c r="K1314" s="2">
        <f>VALUE(SUBSTITUTE(SUBSTITUTE(SUBSTITUTE(TRIM([1]RawShipmentData!J1327),"₹",""),"Rs",""),",",""))</f>
        <v>647</v>
      </c>
      <c r="L1314" s="2">
        <f>[1]RawShipmentData!K1327</f>
        <v>8</v>
      </c>
      <c r="M1314" s="3">
        <f>IF(TRIM([1]RawShipmentData!L1327)="","",IF(ISNUMBER(SEARCH("/",TRIM([1]RawShipmentData!L1327))),DATE(VALUE(RIGHT(TRIM([1]RawShipmentData!L1327),4)),VALUE(MID(TRIM([1]RawShipmentData!L1327),FIND("/",TRIM([1]RawShipmentData!L1327))+1,2)),VALUE(LEFT(TRIM([1]RawShipmentData!L1327),FIND("/",TRIM([1]RawShipmentData!L1327))-1))),DATEVALUE(TRIM([1]RawShipmentData!L1327))))</f>
        <v>45378</v>
      </c>
      <c r="N1314" s="2">
        <f t="shared" si="101"/>
        <v>10</v>
      </c>
      <c r="O1314" s="2">
        <f t="shared" si="102"/>
        <v>2</v>
      </c>
      <c r="P1314" s="2" t="str">
        <f t="shared" si="103"/>
        <v>Late</v>
      </c>
      <c r="Q1314" s="2" t="str">
        <f>PROPER(SUBSTITUTE(TRIM([1]RawShipmentData!M1327)," ","-"))</f>
        <v>Delayed</v>
      </c>
      <c r="R1314" s="4">
        <f t="shared" si="104"/>
        <v>196.06060606060606</v>
      </c>
      <c r="S1314" s="2">
        <f>[1]RawShipmentData!N1327</f>
        <v>2</v>
      </c>
      <c r="T1314" s="2" t="str">
        <f>IF(OR(UPPER(TRIM([1]RawShipmentData!O1327))="YES",UPPER(TRIM([1]RawShipmentData!O1327))="Y"),"Yes","No")</f>
        <v>No</v>
      </c>
    </row>
    <row r="1315" spans="1:20" x14ac:dyDescent="0.25">
      <c r="A1315" s="2" t="str">
        <f>[1]RawShipmentData!A1328</f>
        <v>SHP-100879</v>
      </c>
      <c r="B1315" s="3">
        <f>IF(ISNUMBER(SEARCH("/",TRIM([1]RawShipmentData!B1328))),DATE(VALUE(RIGHT(TRIM([1]RawShipmentData!B1328),4)),VALUE(MID(TRIM([1]RawShipmentData!B1328),FIND("/",TRIM([1]RawShipmentData!B1328))+1,2)),VALUE(LEFT(TRIM([1]RawShipmentData!B1328),FIND("/",TRIM([1]RawShipmentData!B1328))-1))),DATEVALUE(TRIM([1]RawShipmentData!B1328)))</f>
        <v>45414</v>
      </c>
      <c r="C1315" s="2" t="str">
        <f>PROPER(TRIM([1]RawShipmentData!C1328))</f>
        <v>Chennai</v>
      </c>
      <c r="D1315" s="2" t="str">
        <f>IFERROR(INDEX([1]HubMaster!$B$2:$B$7,MATCH(C1315,[1]HubMaster!$A$2:$A$7,0)),"Unknown")</f>
        <v>South</v>
      </c>
      <c r="E1315" s="2" t="str">
        <f>PROPER(TRIM(SUBSTITUTE([1]RawShipmentData!D1328,"  "," ")))</f>
        <v>Xpressbees</v>
      </c>
      <c r="F1315" s="2" t="str">
        <f>PROPER(TRIM([1]RawShipmentData!E1328))</f>
        <v>Air</v>
      </c>
      <c r="G1315" s="2" t="str">
        <f>PROPER(TRIM(SUBSTITUTE([1]RawShipmentData!F1328,"  "," ")))</f>
        <v>Furniture</v>
      </c>
      <c r="H1315" s="2" t="str">
        <f>PROPER(TRIM([1]RawShipmentData!G1328))</f>
        <v>North</v>
      </c>
      <c r="I1315" s="2" t="str">
        <f t="shared" si="100"/>
        <v>Yes</v>
      </c>
      <c r="J1315" s="2">
        <f>IFERROR(VALUE(TRIM(SUBSTITUTE(UPPER([1]RawShipmentData!I1315),"KG",""))),"")</f>
        <v>37</v>
      </c>
      <c r="K1315" s="2">
        <f>VALUE(SUBSTITUTE(SUBSTITUTE(SUBSTITUTE(TRIM([1]RawShipmentData!J1328),"₹",""),"Rs",""),",",""))</f>
        <v>3255</v>
      </c>
      <c r="L1315" s="2">
        <f>[1]RawShipmentData!K1328</f>
        <v>4</v>
      </c>
      <c r="M1315" s="3">
        <f>IF(TRIM([1]RawShipmentData!L1328)="","",IF(ISNUMBER(SEARCH("/",TRIM([1]RawShipmentData!L1328))),DATE(VALUE(RIGHT(TRIM([1]RawShipmentData!L1328),4)),VALUE(MID(TRIM([1]RawShipmentData!L1328),FIND("/",TRIM([1]RawShipmentData!L1328))+1,2)),VALUE(LEFT(TRIM([1]RawShipmentData!L1328),FIND("/",TRIM([1]RawShipmentData!L1328))-1))),DATEVALUE(TRIM([1]RawShipmentData!L1328))))</f>
        <v>45418</v>
      </c>
      <c r="N1315" s="2">
        <f t="shared" si="101"/>
        <v>4</v>
      </c>
      <c r="O1315" s="2">
        <f t="shared" si="102"/>
        <v>0</v>
      </c>
      <c r="P1315" s="2" t="str">
        <f t="shared" si="103"/>
        <v>On Time</v>
      </c>
      <c r="Q1315" s="2" t="str">
        <f>PROPER(SUBSTITUTE(TRIM([1]RawShipmentData!M1328)," ","-"))</f>
        <v>Damaged</v>
      </c>
      <c r="R1315" s="4">
        <f t="shared" si="104"/>
        <v>87.972972972972968</v>
      </c>
      <c r="S1315" s="2">
        <f>[1]RawShipmentData!N1328</f>
        <v>0</v>
      </c>
      <c r="T1315" s="2" t="str">
        <f>IF(OR(UPPER(TRIM([1]RawShipmentData!O1328))="YES",UPPER(TRIM([1]RawShipmentData!O1328))="Y"),"Yes","No")</f>
        <v>No</v>
      </c>
    </row>
    <row r="1316" spans="1:20" x14ac:dyDescent="0.25">
      <c r="A1316" s="2" t="str">
        <f>[1]RawShipmentData!A1329</f>
        <v>SHP-101233</v>
      </c>
      <c r="B1316" s="3">
        <f>IF(ISNUMBER(SEARCH("/",TRIM([1]RawShipmentData!B1329))),DATE(VALUE(RIGHT(TRIM([1]RawShipmentData!B1329),4)),VALUE(MID(TRIM([1]RawShipmentData!B1329),FIND("/",TRIM([1]RawShipmentData!B1329))+1,2)),VALUE(LEFT(TRIM([1]RawShipmentData!B1329),FIND("/",TRIM([1]RawShipmentData!B1329))-1))),DATEVALUE(TRIM([1]RawShipmentData!B1329)))</f>
        <v>45421</v>
      </c>
      <c r="C1316" s="2" t="str">
        <f>PROPER(TRIM([1]RawShipmentData!C1329))</f>
        <v>Bengaluru</v>
      </c>
      <c r="D1316" s="2" t="str">
        <f>IFERROR(INDEX([1]HubMaster!$B$2:$B$7,MATCH(C1316,[1]HubMaster!$A$2:$A$7,0)),"Unknown")</f>
        <v>South</v>
      </c>
      <c r="E1316" s="2" t="str">
        <f>PROPER(TRIM(SUBSTITUTE([1]RawShipmentData!D1329,"  "," ")))</f>
        <v>Dtdc</v>
      </c>
      <c r="F1316" s="2" t="str">
        <f>PROPER(TRIM([1]RawShipmentData!E1329))</f>
        <v>Air</v>
      </c>
      <c r="G1316" s="2" t="str">
        <f>PROPER(TRIM(SUBSTITUTE([1]RawShipmentData!F1329,"  "," ")))</f>
        <v>Furniture</v>
      </c>
      <c r="H1316" s="2" t="str">
        <f>PROPER(TRIM([1]RawShipmentData!G1329))</f>
        <v>East</v>
      </c>
      <c r="I1316" s="2" t="str">
        <f t="shared" si="100"/>
        <v>Yes</v>
      </c>
      <c r="J1316" s="2">
        <f>IFERROR(VALUE(TRIM(SUBSTITUTE(UPPER([1]RawShipmentData!I1316),"KG",""))),"")</f>
        <v>3.7</v>
      </c>
      <c r="K1316" s="2">
        <f>VALUE(SUBSTITUTE(SUBSTITUTE(SUBSTITUTE(TRIM([1]RawShipmentData!J1329),"₹",""),"Rs",""),",",""))</f>
        <v>2558</v>
      </c>
      <c r="L1316" s="2">
        <f>[1]RawShipmentData!K1329</f>
        <v>4</v>
      </c>
      <c r="M1316" s="3">
        <f>IF(TRIM([1]RawShipmentData!L1329)="","",IF(ISNUMBER(SEARCH("/",TRIM([1]RawShipmentData!L1329))),DATE(VALUE(RIGHT(TRIM([1]RawShipmentData!L1329),4)),VALUE(MID(TRIM([1]RawShipmentData!L1329),FIND("/",TRIM([1]RawShipmentData!L1329))+1,2)),VALUE(LEFT(TRIM([1]RawShipmentData!L1329),FIND("/",TRIM([1]RawShipmentData!L1329))-1))),DATEVALUE(TRIM([1]RawShipmentData!L1329))))</f>
        <v>45429</v>
      </c>
      <c r="N1316" s="2">
        <f t="shared" si="101"/>
        <v>8</v>
      </c>
      <c r="O1316" s="2">
        <f t="shared" si="102"/>
        <v>4</v>
      </c>
      <c r="P1316" s="2" t="str">
        <f t="shared" si="103"/>
        <v>Late</v>
      </c>
      <c r="Q1316" s="2" t="str">
        <f>PROPER(SUBSTITUTE(TRIM([1]RawShipmentData!M1329)," ","-"))</f>
        <v>Delayed</v>
      </c>
      <c r="R1316" s="4">
        <f t="shared" si="104"/>
        <v>691.35135135135135</v>
      </c>
      <c r="S1316" s="2">
        <f>[1]RawShipmentData!N1329</f>
        <v>3</v>
      </c>
      <c r="T1316" s="2" t="str">
        <f>IF(OR(UPPER(TRIM([1]RawShipmentData!O1329))="YES",UPPER(TRIM([1]RawShipmentData!O1329))="Y"),"Yes","No")</f>
        <v>Yes</v>
      </c>
    </row>
    <row r="1317" spans="1:20" x14ac:dyDescent="0.25">
      <c r="A1317" s="2" t="str">
        <f>[1]RawShipmentData!A1330</f>
        <v>SHP-100785</v>
      </c>
      <c r="B1317" s="3">
        <f>IF(ISNUMBER(SEARCH("/",TRIM([1]RawShipmentData!B1330))),DATE(VALUE(RIGHT(TRIM([1]RawShipmentData!B1330),4)),VALUE(MID(TRIM([1]RawShipmentData!B1330),FIND("/",TRIM([1]RawShipmentData!B1330))+1,2)),VALUE(LEFT(TRIM([1]RawShipmentData!B1330),FIND("/",TRIM([1]RawShipmentData!B1330))-1))),DATEVALUE(TRIM([1]RawShipmentData!B1330)))</f>
        <v>45316</v>
      </c>
      <c r="C1317" s="2" t="str">
        <f>PROPER(TRIM([1]RawShipmentData!C1330))</f>
        <v>Bengaluru</v>
      </c>
      <c r="D1317" s="2" t="str">
        <f>IFERROR(INDEX([1]HubMaster!$B$2:$B$7,MATCH(C1317,[1]HubMaster!$A$2:$A$7,0)),"Unknown")</f>
        <v>South</v>
      </c>
      <c r="E1317" s="2" t="str">
        <f>PROPER(TRIM(SUBSTITUTE([1]RawShipmentData!D1330,"  "," ")))</f>
        <v>Bluedart</v>
      </c>
      <c r="F1317" s="2" t="str">
        <f>PROPER(TRIM([1]RawShipmentData!E1330))</f>
        <v>Road</v>
      </c>
      <c r="G1317" s="2" t="str">
        <f>PROPER(TRIM(SUBSTITUTE([1]RawShipmentData!F1330,"  "," ")))</f>
        <v>Apparel</v>
      </c>
      <c r="H1317" s="2" t="str">
        <f>PROPER(TRIM([1]RawShipmentData!G1330))</f>
        <v>West</v>
      </c>
      <c r="I1317" s="2" t="str">
        <f t="shared" si="100"/>
        <v>Yes</v>
      </c>
      <c r="J1317" s="2">
        <f>IFERROR(VALUE(TRIM(SUBSTITUTE(UPPER([1]RawShipmentData!I1317),"KG",""))),"")</f>
        <v>14.5</v>
      </c>
      <c r="K1317" s="2">
        <f>VALUE(SUBSTITUTE(SUBSTITUTE(SUBSTITUTE(TRIM([1]RawShipmentData!J1330),"₹",""),"Rs",""),",",""))</f>
        <v>174</v>
      </c>
      <c r="L1317" s="2">
        <f>[1]RawShipmentData!K1330</f>
        <v>8</v>
      </c>
      <c r="M1317" s="3">
        <f>IF(TRIM([1]RawShipmentData!L1330)="","",IF(ISNUMBER(SEARCH("/",TRIM([1]RawShipmentData!L1330))),DATE(VALUE(RIGHT(TRIM([1]RawShipmentData!L1330),4)),VALUE(MID(TRIM([1]RawShipmentData!L1330),FIND("/",TRIM([1]RawShipmentData!L1330))+1,2)),VALUE(LEFT(TRIM([1]RawShipmentData!L1330),FIND("/",TRIM([1]RawShipmentData!L1330))-1))),DATEVALUE(TRIM([1]RawShipmentData!L1330))))</f>
        <v>45325</v>
      </c>
      <c r="N1317" s="2">
        <f t="shared" si="101"/>
        <v>9</v>
      </c>
      <c r="O1317" s="2">
        <f t="shared" si="102"/>
        <v>1</v>
      </c>
      <c r="P1317" s="2" t="str">
        <f t="shared" si="103"/>
        <v>Late</v>
      </c>
      <c r="Q1317" s="2" t="str">
        <f>PROPER(SUBSTITUTE(TRIM([1]RawShipmentData!M1330)," ","-"))</f>
        <v>Delayed</v>
      </c>
      <c r="R1317" s="4">
        <f t="shared" si="104"/>
        <v>12</v>
      </c>
      <c r="S1317" s="2">
        <f>[1]RawShipmentData!N1330</f>
        <v>2</v>
      </c>
      <c r="T1317" s="2" t="str">
        <f>IF(OR(UPPER(TRIM([1]RawShipmentData!O1330))="YES",UPPER(TRIM([1]RawShipmentData!O1330))="Y"),"Yes","No")</f>
        <v>Yes</v>
      </c>
    </row>
    <row r="1318" spans="1:20" x14ac:dyDescent="0.25">
      <c r="A1318" s="2" t="str">
        <f>[1]RawShipmentData!A1331</f>
        <v>SHP-100514</v>
      </c>
      <c r="B1318" s="3">
        <f>IF(ISNUMBER(SEARCH("/",TRIM([1]RawShipmentData!B1331))),DATE(VALUE(RIGHT(TRIM([1]RawShipmentData!B1331),4)),VALUE(MID(TRIM([1]RawShipmentData!B1331),FIND("/",TRIM([1]RawShipmentData!B1331))+1,2)),VALUE(LEFT(TRIM([1]RawShipmentData!B1331),FIND("/",TRIM([1]RawShipmentData!B1331))-1))),DATEVALUE(TRIM([1]RawShipmentData!B1331)))</f>
        <v>45362</v>
      </c>
      <c r="C1318" s="2" t="str">
        <f>PROPER(TRIM([1]RawShipmentData!C1331))</f>
        <v>Chennai</v>
      </c>
      <c r="D1318" s="2" t="str">
        <f>IFERROR(INDEX([1]HubMaster!$B$2:$B$7,MATCH(C1318,[1]HubMaster!$A$2:$A$7,0)),"Unknown")</f>
        <v>South</v>
      </c>
      <c r="E1318" s="2" t="str">
        <f>PROPER(TRIM(SUBSTITUTE([1]RawShipmentData!D1331,"  "," ")))</f>
        <v>Bluedart</v>
      </c>
      <c r="F1318" s="2" t="str">
        <f>PROPER(TRIM([1]RawShipmentData!E1331))</f>
        <v>Road</v>
      </c>
      <c r="G1318" s="2" t="str">
        <f>PROPER(TRIM(SUBSTITUTE([1]RawShipmentData!F1331,"  "," ")))</f>
        <v>Furniture</v>
      </c>
      <c r="H1318" s="2" t="str">
        <f>PROPER(TRIM([1]RawShipmentData!G1331))</f>
        <v>West</v>
      </c>
      <c r="I1318" s="2" t="str">
        <f t="shared" si="100"/>
        <v>Yes</v>
      </c>
      <c r="J1318" s="2">
        <f>IFERROR(VALUE(TRIM(SUBSTITUTE(UPPER([1]RawShipmentData!I1318),"KG",""))),"")</f>
        <v>5.2</v>
      </c>
      <c r="K1318" s="2">
        <f>VALUE(SUBSTITUTE(SUBSTITUTE(SUBSTITUTE(TRIM([1]RawShipmentData!J1331),"₹",""),"Rs",""),",",""))</f>
        <v>784</v>
      </c>
      <c r="L1318" s="2">
        <f>[1]RawShipmentData!K1331</f>
        <v>8</v>
      </c>
      <c r="M1318" s="3">
        <f>IF(TRIM([1]RawShipmentData!L1331)="","",IF(ISNUMBER(SEARCH("/",TRIM([1]RawShipmentData!L1331))),DATE(VALUE(RIGHT(TRIM([1]RawShipmentData!L1331),4)),VALUE(MID(TRIM([1]RawShipmentData!L1331),FIND("/",TRIM([1]RawShipmentData!L1331))+1,2)),VALUE(LEFT(TRIM([1]RawShipmentData!L1331),FIND("/",TRIM([1]RawShipmentData!L1331))-1))),DATEVALUE(TRIM([1]RawShipmentData!L1331))))</f>
        <v>45374</v>
      </c>
      <c r="N1318" s="2">
        <f t="shared" si="101"/>
        <v>12</v>
      </c>
      <c r="O1318" s="2">
        <f t="shared" si="102"/>
        <v>4</v>
      </c>
      <c r="P1318" s="2" t="str">
        <f t="shared" si="103"/>
        <v>Late</v>
      </c>
      <c r="Q1318" s="2" t="str">
        <f>PROPER(SUBSTITUTE(TRIM([1]RawShipmentData!M1331)," ","-"))</f>
        <v>Delayed</v>
      </c>
      <c r="R1318" s="4">
        <f t="shared" si="104"/>
        <v>150.76923076923077</v>
      </c>
      <c r="S1318" s="2">
        <f>[1]RawShipmentData!N1331</f>
        <v>3</v>
      </c>
      <c r="T1318" s="2" t="str">
        <f>IF(OR(UPPER(TRIM([1]RawShipmentData!O1331))="YES",UPPER(TRIM([1]RawShipmentData!O1331))="Y"),"Yes","No")</f>
        <v>No</v>
      </c>
    </row>
    <row r="1319" spans="1:20" x14ac:dyDescent="0.25">
      <c r="A1319" s="2" t="str">
        <f>[1]RawShipmentData!A1332</f>
        <v>SHP-101109</v>
      </c>
      <c r="B1319" s="3">
        <f>IF(ISNUMBER(SEARCH("/",TRIM([1]RawShipmentData!B1332))),DATE(VALUE(RIGHT(TRIM([1]RawShipmentData!B1332),4)),VALUE(MID(TRIM([1]RawShipmentData!B1332),FIND("/",TRIM([1]RawShipmentData!B1332))+1,2)),VALUE(LEFT(TRIM([1]RawShipmentData!B1332),FIND("/",TRIM([1]RawShipmentData!B1332))-1))),DATEVALUE(TRIM([1]RawShipmentData!B1332)))</f>
        <v>45318</v>
      </c>
      <c r="C1319" s="2" t="str">
        <f>PROPER(TRIM([1]RawShipmentData!C1332))</f>
        <v>Chennai</v>
      </c>
      <c r="D1319" s="2" t="str">
        <f>IFERROR(INDEX([1]HubMaster!$B$2:$B$7,MATCH(C1319,[1]HubMaster!$A$2:$A$7,0)),"Unknown")</f>
        <v>South</v>
      </c>
      <c r="E1319" s="2" t="str">
        <f>PROPER(TRIM(SUBSTITUTE([1]RawShipmentData!D1332,"  "," ")))</f>
        <v>Delhivery</v>
      </c>
      <c r="F1319" s="2" t="str">
        <f>PROPER(TRIM([1]RawShipmentData!E1332))</f>
        <v>Air</v>
      </c>
      <c r="G1319" s="2" t="str">
        <f>PROPER(TRIM(SUBSTITUTE([1]RawShipmentData!F1332,"  "," ")))</f>
        <v>Automotive Parts</v>
      </c>
      <c r="H1319" s="2" t="str">
        <f>PROPER(TRIM([1]RawShipmentData!G1332))</f>
        <v>South</v>
      </c>
      <c r="I1319" s="2" t="str">
        <f t="shared" si="100"/>
        <v>No</v>
      </c>
      <c r="J1319" s="2">
        <f>IFERROR(VALUE(TRIM(SUBSTITUTE(UPPER([1]RawShipmentData!I1319),"KG",""))),"")</f>
        <v>29.7</v>
      </c>
      <c r="K1319" s="2">
        <f>VALUE(SUBSTITUTE(SUBSTITUTE(SUBSTITUTE(TRIM([1]RawShipmentData!J1332),"₹",""),"Rs",""),",",""))</f>
        <v>349</v>
      </c>
      <c r="L1319" s="2">
        <f>[1]RawShipmentData!K1332</f>
        <v>2</v>
      </c>
      <c r="M1319" s="3">
        <f>IF(TRIM([1]RawShipmentData!L1332)="","",IF(ISNUMBER(SEARCH("/",TRIM([1]RawShipmentData!L1332))),DATE(VALUE(RIGHT(TRIM([1]RawShipmentData!L1332),4)),VALUE(MID(TRIM([1]RawShipmentData!L1332),FIND("/",TRIM([1]RawShipmentData!L1332))+1,2)),VALUE(LEFT(TRIM([1]RawShipmentData!L1332),FIND("/",TRIM([1]RawShipmentData!L1332))-1))),DATEVALUE(TRIM([1]RawShipmentData!L1332))))</f>
        <v>45319</v>
      </c>
      <c r="N1319" s="2">
        <f t="shared" si="101"/>
        <v>1</v>
      </c>
      <c r="O1319" s="2">
        <f t="shared" si="102"/>
        <v>-1</v>
      </c>
      <c r="P1319" s="2" t="str">
        <f t="shared" si="103"/>
        <v>On Time</v>
      </c>
      <c r="Q1319" s="2" t="str">
        <f>PROPER(SUBSTITUTE(TRIM([1]RawShipmentData!M1332)," ","-"))</f>
        <v>Delivered</v>
      </c>
      <c r="R1319" s="4">
        <f t="shared" si="104"/>
        <v>11.750841750841751</v>
      </c>
      <c r="S1319" s="2">
        <f>[1]RawShipmentData!N1332</f>
        <v>5</v>
      </c>
      <c r="T1319" s="2" t="str">
        <f>IF(OR(UPPER(TRIM([1]RawShipmentData!O1332))="YES",UPPER(TRIM([1]RawShipmentData!O1332))="Y"),"Yes","No")</f>
        <v>No</v>
      </c>
    </row>
    <row r="1320" spans="1:20" x14ac:dyDescent="0.25">
      <c r="A1320" s="2" t="str">
        <f>[1]RawShipmentData!A1333</f>
        <v>SHP-100082</v>
      </c>
      <c r="B1320" s="3">
        <f>IF(ISNUMBER(SEARCH("/",TRIM([1]RawShipmentData!B1333))),DATE(VALUE(RIGHT(TRIM([1]RawShipmentData!B1333),4)),VALUE(MID(TRIM([1]RawShipmentData!B1333),FIND("/",TRIM([1]RawShipmentData!B1333))+1,2)),VALUE(LEFT(TRIM([1]RawShipmentData!B1333),FIND("/",TRIM([1]RawShipmentData!B1333))-1))),DATEVALUE(TRIM([1]RawShipmentData!B1333)))</f>
        <v>45450</v>
      </c>
      <c r="C1320" s="2" t="str">
        <f>PROPER(TRIM([1]RawShipmentData!C1333))</f>
        <v>Hyderabad</v>
      </c>
      <c r="D1320" s="2" t="str">
        <f>IFERROR(INDEX([1]HubMaster!$B$2:$B$7,MATCH(C1320,[1]HubMaster!$A$2:$A$7,0)),"Unknown")</f>
        <v>West</v>
      </c>
      <c r="E1320" s="2" t="str">
        <f>PROPER(TRIM(SUBSTITUTE([1]RawShipmentData!D1333,"  "," ")))</f>
        <v>Dtdc</v>
      </c>
      <c r="F1320" s="2" t="str">
        <f>PROPER(TRIM([1]RawShipmentData!E1333))</f>
        <v>Surface</v>
      </c>
      <c r="G1320" s="2" t="str">
        <f>PROPER(TRIM(SUBSTITUTE([1]RawShipmentData!F1333,"  "," ")))</f>
        <v>Apparel</v>
      </c>
      <c r="H1320" s="2" t="str">
        <f>PROPER(TRIM([1]RawShipmentData!G1333))</f>
        <v>West</v>
      </c>
      <c r="I1320" s="2" t="str">
        <f t="shared" si="100"/>
        <v>No</v>
      </c>
      <c r="J1320" s="2">
        <f>IFERROR(VALUE(TRIM(SUBSTITUTE(UPPER([1]RawShipmentData!I1320),"KG",""))),"")</f>
        <v>1.1000000000000001</v>
      </c>
      <c r="K1320" s="2">
        <f>VALUE(SUBSTITUTE(SUBSTITUTE(SUBSTITUTE(TRIM([1]RawShipmentData!J1333),"₹",""),"Rs",""),",",""))</f>
        <v>80</v>
      </c>
      <c r="L1320" s="2">
        <f>[1]RawShipmentData!K1333</f>
        <v>4</v>
      </c>
      <c r="M1320" s="3">
        <f>IF(TRIM([1]RawShipmentData!L1333)="","",IF(ISNUMBER(SEARCH("/",TRIM([1]RawShipmentData!L1333))),DATE(VALUE(RIGHT(TRIM([1]RawShipmentData!L1333),4)),VALUE(MID(TRIM([1]RawShipmentData!L1333),FIND("/",TRIM([1]RawShipmentData!L1333))+1,2)),VALUE(LEFT(TRIM([1]RawShipmentData!L1333),FIND("/",TRIM([1]RawShipmentData!L1333))-1))),DATEVALUE(TRIM([1]RawShipmentData!L1333))))</f>
        <v>45455</v>
      </c>
      <c r="N1320" s="2">
        <f t="shared" si="101"/>
        <v>5</v>
      </c>
      <c r="O1320" s="2">
        <f t="shared" si="102"/>
        <v>1</v>
      </c>
      <c r="P1320" s="2" t="str">
        <f t="shared" si="103"/>
        <v>Late</v>
      </c>
      <c r="Q1320" s="2" t="str">
        <f>PROPER(SUBSTITUTE(TRIM([1]RawShipmentData!M1333)," ","-"))</f>
        <v>Delayed</v>
      </c>
      <c r="R1320" s="4">
        <f t="shared" si="104"/>
        <v>72.72727272727272</v>
      </c>
      <c r="S1320" s="2">
        <f>[1]RawShipmentData!N1333</f>
        <v>1</v>
      </c>
      <c r="T1320" s="2" t="str">
        <f>IF(OR(UPPER(TRIM([1]RawShipmentData!O1333))="YES",UPPER(TRIM([1]RawShipmentData!O1333))="Y"),"Yes","No")</f>
        <v>No</v>
      </c>
    </row>
    <row r="1321" spans="1:20" x14ac:dyDescent="0.25">
      <c r="A1321" s="2" t="str">
        <f>[1]RawShipmentData!A1334</f>
        <v>SHP-100154</v>
      </c>
      <c r="B1321" s="3">
        <f>IF(ISNUMBER(SEARCH("/",TRIM([1]RawShipmentData!B1334))),DATE(VALUE(RIGHT(TRIM([1]RawShipmentData!B1334),4)),VALUE(MID(TRIM([1]RawShipmentData!B1334),FIND("/",TRIM([1]RawShipmentData!B1334))+1,2)),VALUE(LEFT(TRIM([1]RawShipmentData!B1334),FIND("/",TRIM([1]RawShipmentData!B1334))-1))),DATEVALUE(TRIM([1]RawShipmentData!B1334)))</f>
        <v>45318</v>
      </c>
      <c r="C1321" s="2" t="str">
        <f>PROPER(TRIM([1]RawShipmentData!C1334))</f>
        <v>Kolkata</v>
      </c>
      <c r="D1321" s="2" t="str">
        <f>IFERROR(INDEX([1]HubMaster!$B$2:$B$7,MATCH(C1321,[1]HubMaster!$A$2:$A$7,0)),"Unknown")</f>
        <v>East</v>
      </c>
      <c r="E1321" s="2" t="str">
        <f>PROPER(TRIM(SUBSTITUTE([1]RawShipmentData!D1334,"  "," ")))</f>
        <v>Bluedart</v>
      </c>
      <c r="F1321" s="2" t="str">
        <f>PROPER(TRIM([1]RawShipmentData!E1334))</f>
        <v>Surface</v>
      </c>
      <c r="G1321" s="2" t="str">
        <f>PROPER(TRIM(SUBSTITUTE([1]RawShipmentData!F1334,"  "," ")))</f>
        <v>Pharma</v>
      </c>
      <c r="H1321" s="2" t="str">
        <f>PROPER(TRIM([1]RawShipmentData!G1334))</f>
        <v>West</v>
      </c>
      <c r="I1321" s="2" t="str">
        <f t="shared" si="100"/>
        <v>Yes</v>
      </c>
      <c r="J1321" s="2">
        <f>IFERROR(VALUE(TRIM(SUBSTITUTE(UPPER([1]RawShipmentData!I1321),"KG",""))),"")</f>
        <v>3.7</v>
      </c>
      <c r="K1321" s="2">
        <f>VALUE(SUBSTITUTE(SUBSTITUTE(SUBSTITUTE(TRIM([1]RawShipmentData!J1334),"₹",""),"Rs",""),",",""))</f>
        <v>186</v>
      </c>
      <c r="L1321" s="2">
        <f>[1]RawShipmentData!K1334</f>
        <v>6</v>
      </c>
      <c r="M1321" s="3">
        <f>IF(TRIM([1]RawShipmentData!L1334)="","",IF(ISNUMBER(SEARCH("/",TRIM([1]RawShipmentData!L1334))),DATE(VALUE(RIGHT(TRIM([1]RawShipmentData!L1334),4)),VALUE(MID(TRIM([1]RawShipmentData!L1334),FIND("/",TRIM([1]RawShipmentData!L1334))+1,2)),VALUE(LEFT(TRIM([1]RawShipmentData!L1334),FIND("/",TRIM([1]RawShipmentData!L1334))-1))),DATEVALUE(TRIM([1]RawShipmentData!L1334))))</f>
        <v>45324</v>
      </c>
      <c r="N1321" s="2">
        <f t="shared" si="101"/>
        <v>6</v>
      </c>
      <c r="O1321" s="2">
        <f t="shared" si="102"/>
        <v>0</v>
      </c>
      <c r="P1321" s="2" t="str">
        <f t="shared" si="103"/>
        <v>On Time</v>
      </c>
      <c r="Q1321" s="2" t="str">
        <f>PROPER(SUBSTITUTE(TRIM([1]RawShipmentData!M1334)," ","-"))</f>
        <v>Delivered</v>
      </c>
      <c r="R1321" s="4">
        <f t="shared" si="104"/>
        <v>50.270270270270267</v>
      </c>
      <c r="S1321" s="2">
        <f>[1]RawShipmentData!N1334</f>
        <v>4</v>
      </c>
      <c r="T1321" s="2" t="str">
        <f>IF(OR(UPPER(TRIM([1]RawShipmentData!O1334))="YES",UPPER(TRIM([1]RawShipmentData!O1334))="Y"),"Yes","No")</f>
        <v>No</v>
      </c>
    </row>
    <row r="1322" spans="1:20" x14ac:dyDescent="0.25">
      <c r="A1322" s="2" t="str">
        <f>[1]RawShipmentData!A1335</f>
        <v>SHP-100238</v>
      </c>
      <c r="B1322" s="3">
        <f>IF(ISNUMBER(SEARCH("/",TRIM([1]RawShipmentData!B1335))),DATE(VALUE(RIGHT(TRIM([1]RawShipmentData!B1335),4)),VALUE(MID(TRIM([1]RawShipmentData!B1335),FIND("/",TRIM([1]RawShipmentData!B1335))+1,2)),VALUE(LEFT(TRIM([1]RawShipmentData!B1335),FIND("/",TRIM([1]RawShipmentData!B1335))-1))),DATEVALUE(TRIM([1]RawShipmentData!B1335)))</f>
        <v>45400</v>
      </c>
      <c r="C1322" s="2" t="str">
        <f>PROPER(TRIM([1]RawShipmentData!C1335))</f>
        <v>Hyderabad</v>
      </c>
      <c r="D1322" s="2" t="str">
        <f>IFERROR(INDEX([1]HubMaster!$B$2:$B$7,MATCH(C1322,[1]HubMaster!$A$2:$A$7,0)),"Unknown")</f>
        <v>West</v>
      </c>
      <c r="E1322" s="2" t="str">
        <f>PROPER(TRIM(SUBSTITUTE([1]RawShipmentData!D1335,"  "," ")))</f>
        <v>Delhivery</v>
      </c>
      <c r="F1322" s="2" t="str">
        <f>PROPER(TRIM([1]RawShipmentData!E1335))</f>
        <v>Air</v>
      </c>
      <c r="G1322" s="2" t="str">
        <f>PROPER(TRIM(SUBSTITUTE([1]RawShipmentData!F1335,"  "," ")))</f>
        <v>Automotive Parts</v>
      </c>
      <c r="H1322" s="2" t="str">
        <f>PROPER(TRIM([1]RawShipmentData!G1335))</f>
        <v>West</v>
      </c>
      <c r="I1322" s="2" t="str">
        <f t="shared" si="100"/>
        <v>No</v>
      </c>
      <c r="J1322" s="2">
        <f>IFERROR(VALUE(TRIM(SUBSTITUTE(UPPER([1]RawShipmentData!I1322),"KG",""))),"")</f>
        <v>14.8</v>
      </c>
      <c r="K1322" s="2">
        <f>VALUE(SUBSTITUTE(SUBSTITUTE(SUBSTITUTE(TRIM([1]RawShipmentData!J1335),"₹",""),"Rs",""),",",""))</f>
        <v>1491</v>
      </c>
      <c r="L1322" s="2">
        <f>[1]RawShipmentData!K1335</f>
        <v>2</v>
      </c>
      <c r="M1322" s="3">
        <f>IF(TRIM([1]RawShipmentData!L1335)="","",IF(ISNUMBER(SEARCH("/",TRIM([1]RawShipmentData!L1335))),DATE(VALUE(RIGHT(TRIM([1]RawShipmentData!L1335),4)),VALUE(MID(TRIM([1]RawShipmentData!L1335),FIND("/",TRIM([1]RawShipmentData!L1335))+1,2)),VALUE(LEFT(TRIM([1]RawShipmentData!L1335),FIND("/",TRIM([1]RawShipmentData!L1335))-1))),DATEVALUE(TRIM([1]RawShipmentData!L1335))))</f>
        <v>45401</v>
      </c>
      <c r="N1322" s="2">
        <f t="shared" si="101"/>
        <v>1</v>
      </c>
      <c r="O1322" s="2">
        <f t="shared" si="102"/>
        <v>-1</v>
      </c>
      <c r="P1322" s="2" t="str">
        <f t="shared" si="103"/>
        <v>On Time</v>
      </c>
      <c r="Q1322" s="2" t="str">
        <f>PROPER(SUBSTITUTE(TRIM([1]RawShipmentData!M1335)," ","-"))</f>
        <v>Returned</v>
      </c>
      <c r="R1322" s="4">
        <f t="shared" si="104"/>
        <v>100.74324324324324</v>
      </c>
      <c r="S1322" s="2">
        <f>[1]RawShipmentData!N1335</f>
        <v>0</v>
      </c>
      <c r="T1322" s="2" t="str">
        <f>IF(OR(UPPER(TRIM([1]RawShipmentData!O1335))="YES",UPPER(TRIM([1]RawShipmentData!O1335))="Y"),"Yes","No")</f>
        <v>No</v>
      </c>
    </row>
    <row r="1323" spans="1:20" x14ac:dyDescent="0.25">
      <c r="A1323" s="2" t="str">
        <f>[1]RawShipmentData!A1336</f>
        <v>SHP-100349</v>
      </c>
      <c r="B1323" s="3">
        <f>IF(ISNUMBER(SEARCH("/",TRIM([1]RawShipmentData!B1336))),DATE(VALUE(RIGHT(TRIM([1]RawShipmentData!B1336),4)),VALUE(MID(TRIM([1]RawShipmentData!B1336),FIND("/",TRIM([1]RawShipmentData!B1336))+1,2)),VALUE(LEFT(TRIM([1]RawShipmentData!B1336),FIND("/",TRIM([1]RawShipmentData!B1336))-1))),DATEVALUE(TRIM([1]RawShipmentData!B1336)))</f>
        <v>45456</v>
      </c>
      <c r="C1323" s="2" t="str">
        <f>PROPER(TRIM([1]RawShipmentData!C1336))</f>
        <v>Hyderabad</v>
      </c>
      <c r="D1323" s="2" t="str">
        <f>IFERROR(INDEX([1]HubMaster!$B$2:$B$7,MATCH(C1323,[1]HubMaster!$A$2:$A$7,0)),"Unknown")</f>
        <v>West</v>
      </c>
      <c r="E1323" s="2" t="str">
        <f>PROPER(TRIM(SUBSTITUTE([1]RawShipmentData!D1336,"  "," ")))</f>
        <v>Xpress Bees</v>
      </c>
      <c r="F1323" s="2" t="str">
        <f>PROPER(TRIM([1]RawShipmentData!E1336))</f>
        <v>Air</v>
      </c>
      <c r="G1323" s="2" t="str">
        <f>PROPER(TRIM(SUBSTITUTE([1]RawShipmentData!F1336,"  "," ")))</f>
        <v>Furniture</v>
      </c>
      <c r="H1323" s="2" t="str">
        <f>PROPER(TRIM([1]RawShipmentData!G1336))</f>
        <v>South</v>
      </c>
      <c r="I1323" s="2" t="str">
        <f t="shared" si="100"/>
        <v>Yes</v>
      </c>
      <c r="J1323" s="2">
        <f>IFERROR(VALUE(TRIM(SUBSTITUTE(UPPER([1]RawShipmentData!I1323),"KG",""))),"")</f>
        <v>19.8</v>
      </c>
      <c r="K1323" s="2">
        <f>VALUE(SUBSTITUTE(SUBSTITUTE(SUBSTITUTE(TRIM([1]RawShipmentData!J1336),"₹",""),"Rs",""),",",""))</f>
        <v>3287</v>
      </c>
      <c r="L1323" s="2">
        <f>[1]RawShipmentData!K1336</f>
        <v>4</v>
      </c>
      <c r="M1323" s="3">
        <f>IF(TRIM([1]RawShipmentData!L1336)="","",IF(ISNUMBER(SEARCH("/",TRIM([1]RawShipmentData!L1336))),DATE(VALUE(RIGHT(TRIM([1]RawShipmentData!L1336),4)),VALUE(MID(TRIM([1]RawShipmentData!L1336),FIND("/",TRIM([1]RawShipmentData!L1336))+1,2)),VALUE(LEFT(TRIM([1]RawShipmentData!L1336),FIND("/",TRIM([1]RawShipmentData!L1336))-1))),DATEVALUE(TRIM([1]RawShipmentData!L1336))))</f>
        <v>45465</v>
      </c>
      <c r="N1323" s="2">
        <f t="shared" si="101"/>
        <v>9</v>
      </c>
      <c r="O1323" s="2">
        <f t="shared" si="102"/>
        <v>5</v>
      </c>
      <c r="P1323" s="2" t="str">
        <f t="shared" si="103"/>
        <v>Late</v>
      </c>
      <c r="Q1323" s="2" t="str">
        <f>PROPER(SUBSTITUTE(TRIM([1]RawShipmentData!M1336)," ","-"))</f>
        <v>Delayed</v>
      </c>
      <c r="R1323" s="4">
        <f t="shared" si="104"/>
        <v>166.01010101010101</v>
      </c>
      <c r="S1323" s="2">
        <f>[1]RawShipmentData!N1336</f>
        <v>2</v>
      </c>
      <c r="T1323" s="2" t="str">
        <f>IF(OR(UPPER(TRIM([1]RawShipmentData!O1336))="YES",UPPER(TRIM([1]RawShipmentData!O1336))="Y"),"Yes","No")</f>
        <v>Yes</v>
      </c>
    </row>
    <row r="1324" spans="1:20" x14ac:dyDescent="0.25">
      <c r="A1324" s="2" t="str">
        <f>[1]RawShipmentData!A1337</f>
        <v>SHP-100783</v>
      </c>
      <c r="B1324" s="3">
        <f>IF(ISNUMBER(SEARCH("/",TRIM([1]RawShipmentData!B1337))),DATE(VALUE(RIGHT(TRIM([1]RawShipmentData!B1337),4)),VALUE(MID(TRIM([1]RawShipmentData!B1337),FIND("/",TRIM([1]RawShipmentData!B1337))+1,2)),VALUE(LEFT(TRIM([1]RawShipmentData!B1337),FIND("/",TRIM([1]RawShipmentData!B1337))-1))),DATEVALUE(TRIM([1]RawShipmentData!B1337)))</f>
        <v>45332</v>
      </c>
      <c r="C1324" s="2" t="str">
        <f>PROPER(TRIM([1]RawShipmentData!C1337))</f>
        <v>Chennai</v>
      </c>
      <c r="D1324" s="2" t="str">
        <f>IFERROR(INDEX([1]HubMaster!$B$2:$B$7,MATCH(C1324,[1]HubMaster!$A$2:$A$7,0)),"Unknown")</f>
        <v>South</v>
      </c>
      <c r="E1324" s="2" t="str">
        <f>PROPER(TRIM(SUBSTITUTE([1]RawShipmentData!D1337,"  "," ")))</f>
        <v>Dtdc</v>
      </c>
      <c r="F1324" s="2" t="str">
        <f>PROPER(TRIM([1]RawShipmentData!E1337))</f>
        <v>Road</v>
      </c>
      <c r="G1324" s="2" t="str">
        <f>PROPER(TRIM(SUBSTITUTE([1]RawShipmentData!F1337,"  "," ")))</f>
        <v>Apparel</v>
      </c>
      <c r="H1324" s="2" t="str">
        <f>PROPER(TRIM([1]RawShipmentData!G1337))</f>
        <v>East</v>
      </c>
      <c r="I1324" s="2" t="str">
        <f t="shared" si="100"/>
        <v>Yes</v>
      </c>
      <c r="J1324" s="2">
        <f>IFERROR(VALUE(TRIM(SUBSTITUTE(UPPER([1]RawShipmentData!I1324),"KG",""))),"")</f>
        <v>52.5</v>
      </c>
      <c r="K1324" s="2">
        <f>VALUE(SUBSTITUTE(SUBSTITUTE(SUBSTITUTE(TRIM([1]RawShipmentData!J1337),"₹",""),"Rs",""),",",""))</f>
        <v>202</v>
      </c>
      <c r="L1324" s="2">
        <f>[1]RawShipmentData!K1337</f>
        <v>8</v>
      </c>
      <c r="M1324" s="3">
        <f>IF(TRIM([1]RawShipmentData!L1337)="","",IF(ISNUMBER(SEARCH("/",TRIM([1]RawShipmentData!L1337))),DATE(VALUE(RIGHT(TRIM([1]RawShipmentData!L1337),4)),VALUE(MID(TRIM([1]RawShipmentData!L1337),FIND("/",TRIM([1]RawShipmentData!L1337))+1,2)),VALUE(LEFT(TRIM([1]RawShipmentData!L1337),FIND("/",TRIM([1]RawShipmentData!L1337))-1))),DATEVALUE(TRIM([1]RawShipmentData!L1337))))</f>
        <v>45340</v>
      </c>
      <c r="N1324" s="2">
        <f t="shared" si="101"/>
        <v>8</v>
      </c>
      <c r="O1324" s="2">
        <f t="shared" si="102"/>
        <v>0</v>
      </c>
      <c r="P1324" s="2" t="str">
        <f t="shared" si="103"/>
        <v>On Time</v>
      </c>
      <c r="Q1324" s="2" t="str">
        <f>PROPER(SUBSTITUTE(TRIM([1]RawShipmentData!M1337)," ","-"))</f>
        <v>Delivered</v>
      </c>
      <c r="R1324" s="4">
        <f t="shared" si="104"/>
        <v>3.8476190476190477</v>
      </c>
      <c r="S1324" s="2">
        <f>[1]RawShipmentData!N1337</f>
        <v>2</v>
      </c>
      <c r="T1324" s="2" t="str">
        <f>IF(OR(UPPER(TRIM([1]RawShipmentData!O1337))="YES",UPPER(TRIM([1]RawShipmentData!O1337))="Y"),"Yes","No")</f>
        <v>Yes</v>
      </c>
    </row>
    <row r="1325" spans="1:20" x14ac:dyDescent="0.25">
      <c r="A1325" s="2" t="str">
        <f>[1]RawShipmentData!A1338</f>
        <v>SHP-100333</v>
      </c>
      <c r="B1325" s="3">
        <f>IF(ISNUMBER(SEARCH("/",TRIM([1]RawShipmentData!B1338))),DATE(VALUE(RIGHT(TRIM([1]RawShipmentData!B1338),4)),VALUE(MID(TRIM([1]RawShipmentData!B1338),FIND("/",TRIM([1]RawShipmentData!B1338))+1,2)),VALUE(LEFT(TRIM([1]RawShipmentData!B1338),FIND("/",TRIM([1]RawShipmentData!B1338))-1))),DATEVALUE(TRIM([1]RawShipmentData!B1338)))</f>
        <v>45335</v>
      </c>
      <c r="C1325" s="2" t="str">
        <f>PROPER(TRIM([1]RawShipmentData!C1338))</f>
        <v>Bengaluru</v>
      </c>
      <c r="D1325" s="2" t="str">
        <f>IFERROR(INDEX([1]HubMaster!$B$2:$B$7,MATCH(C1325,[1]HubMaster!$A$2:$A$7,0)),"Unknown")</f>
        <v>South</v>
      </c>
      <c r="E1325" s="2" t="str">
        <f>PROPER(TRIM(SUBSTITUTE([1]RawShipmentData!D1338,"  "," ")))</f>
        <v>Xpressbees</v>
      </c>
      <c r="F1325" s="2" t="str">
        <f>PROPER(TRIM([1]RawShipmentData!E1338))</f>
        <v>Surface</v>
      </c>
      <c r="G1325" s="2" t="str">
        <f>PROPER(TRIM(SUBSTITUTE([1]RawShipmentData!F1338,"  "," ")))</f>
        <v>Electronics</v>
      </c>
      <c r="H1325" s="2" t="str">
        <f>PROPER(TRIM([1]RawShipmentData!G1338))</f>
        <v>South</v>
      </c>
      <c r="I1325" s="2" t="str">
        <f t="shared" si="100"/>
        <v>No</v>
      </c>
      <c r="J1325" s="2">
        <f>IFERROR(VALUE(TRIM(SUBSTITUTE(UPPER([1]RawShipmentData!I1325),"KG",""))),"")</f>
        <v>1.5</v>
      </c>
      <c r="K1325" s="2">
        <f>VALUE(SUBSTITUTE(SUBSTITUTE(SUBSTITUTE(TRIM([1]RawShipmentData!J1338),"₹",""),"Rs",""),",",""))</f>
        <v>190</v>
      </c>
      <c r="L1325" s="2">
        <f>[1]RawShipmentData!K1338</f>
        <v>4</v>
      </c>
      <c r="M1325" s="3">
        <f>IF(TRIM([1]RawShipmentData!L1338)="","",IF(ISNUMBER(SEARCH("/",TRIM([1]RawShipmentData!L1338))),DATE(VALUE(RIGHT(TRIM([1]RawShipmentData!L1338),4)),VALUE(MID(TRIM([1]RawShipmentData!L1338),FIND("/",TRIM([1]RawShipmentData!L1338))+1,2)),VALUE(LEFT(TRIM([1]RawShipmentData!L1338),FIND("/",TRIM([1]RawShipmentData!L1338))-1))),DATEVALUE(TRIM([1]RawShipmentData!L1338))))</f>
        <v>45341</v>
      </c>
      <c r="N1325" s="2">
        <f t="shared" si="101"/>
        <v>6</v>
      </c>
      <c r="O1325" s="2">
        <f t="shared" si="102"/>
        <v>2</v>
      </c>
      <c r="P1325" s="2" t="str">
        <f t="shared" si="103"/>
        <v>Late</v>
      </c>
      <c r="Q1325" s="2" t="str">
        <f>PROPER(SUBSTITUTE(TRIM([1]RawShipmentData!M1338)," ","-"))</f>
        <v>Delayed</v>
      </c>
      <c r="R1325" s="4">
        <f t="shared" si="104"/>
        <v>126.66666666666667</v>
      </c>
      <c r="S1325" s="2">
        <f>[1]RawShipmentData!N1338</f>
        <v>2</v>
      </c>
      <c r="T1325" s="2" t="str">
        <f>IF(OR(UPPER(TRIM([1]RawShipmentData!O1338))="YES",UPPER(TRIM([1]RawShipmentData!O1338))="Y"),"Yes","No")</f>
        <v>No</v>
      </c>
    </row>
    <row r="1326" spans="1:20" x14ac:dyDescent="0.25">
      <c r="A1326" s="2" t="str">
        <f>[1]RawShipmentData!A1339</f>
        <v>SHP-101361</v>
      </c>
      <c r="B1326" s="3">
        <f>IF(ISNUMBER(SEARCH("/",TRIM([1]RawShipmentData!B1339))),DATE(VALUE(RIGHT(TRIM([1]RawShipmentData!B1339),4)),VALUE(MID(TRIM([1]RawShipmentData!B1339),FIND("/",TRIM([1]RawShipmentData!B1339))+1,2)),VALUE(LEFT(TRIM([1]RawShipmentData!B1339),FIND("/",TRIM([1]RawShipmentData!B1339))-1))),DATEVALUE(TRIM([1]RawShipmentData!B1339)))</f>
        <v>45423</v>
      </c>
      <c r="C1326" s="2" t="str">
        <f>PROPER(TRIM([1]RawShipmentData!C1339))</f>
        <v>Hyderabad</v>
      </c>
      <c r="D1326" s="2" t="str">
        <f>IFERROR(INDEX([1]HubMaster!$B$2:$B$7,MATCH(C1326,[1]HubMaster!$A$2:$A$7,0)),"Unknown")</f>
        <v>West</v>
      </c>
      <c r="E1326" s="2" t="str">
        <f>PROPER(TRIM(SUBSTITUTE([1]RawShipmentData!D1339,"  "," ")))</f>
        <v>Bluedart</v>
      </c>
      <c r="F1326" s="2" t="str">
        <f>PROPER(TRIM([1]RawShipmentData!E1339))</f>
        <v>Road</v>
      </c>
      <c r="G1326" s="2" t="str">
        <f>PROPER(TRIM(SUBSTITUTE([1]RawShipmentData!F1339,"  "," ")))</f>
        <v>Electronics</v>
      </c>
      <c r="H1326" s="2" t="str">
        <f>PROPER(TRIM([1]RawShipmentData!G1339))</f>
        <v>East</v>
      </c>
      <c r="I1326" s="2" t="str">
        <f t="shared" si="100"/>
        <v>Yes</v>
      </c>
      <c r="J1326" s="2">
        <f>IFERROR(VALUE(TRIM(SUBSTITUTE(UPPER([1]RawShipmentData!I1326),"KG",""))),"")</f>
        <v>2.7</v>
      </c>
      <c r="K1326" s="2">
        <f>VALUE(SUBSTITUTE(SUBSTITUTE(SUBSTITUTE(TRIM([1]RawShipmentData!J1339),"₹",""),"Rs",""),",",""))</f>
        <v>270</v>
      </c>
      <c r="L1326" s="2">
        <f>[1]RawShipmentData!K1339</f>
        <v>8</v>
      </c>
      <c r="M1326" s="3">
        <f>IF(TRIM([1]RawShipmentData!L1339)="","",IF(ISNUMBER(SEARCH("/",TRIM([1]RawShipmentData!L1339))),DATE(VALUE(RIGHT(TRIM([1]RawShipmentData!L1339),4)),VALUE(MID(TRIM([1]RawShipmentData!L1339),FIND("/",TRIM([1]RawShipmentData!L1339))+1,2)),VALUE(LEFT(TRIM([1]RawShipmentData!L1339),FIND("/",TRIM([1]RawShipmentData!L1339))-1))),DATEVALUE(TRIM([1]RawShipmentData!L1339))))</f>
        <v>45431</v>
      </c>
      <c r="N1326" s="2">
        <f t="shared" si="101"/>
        <v>8</v>
      </c>
      <c r="O1326" s="2">
        <f t="shared" si="102"/>
        <v>0</v>
      </c>
      <c r="P1326" s="2" t="str">
        <f t="shared" si="103"/>
        <v>On Time</v>
      </c>
      <c r="Q1326" s="2" t="str">
        <f>PROPER(SUBSTITUTE(TRIM([1]RawShipmentData!M1339)," ","-"))</f>
        <v>Returned</v>
      </c>
      <c r="R1326" s="4">
        <f t="shared" si="104"/>
        <v>100</v>
      </c>
      <c r="S1326" s="2">
        <f>[1]RawShipmentData!N1339</f>
        <v>0</v>
      </c>
      <c r="T1326" s="2" t="str">
        <f>IF(OR(UPPER(TRIM([1]RawShipmentData!O1339))="YES",UPPER(TRIM([1]RawShipmentData!O1339))="Y"),"Yes","No")</f>
        <v>Yes</v>
      </c>
    </row>
    <row r="1327" spans="1:20" x14ac:dyDescent="0.25">
      <c r="A1327" s="2" t="str">
        <f>[1]RawShipmentData!A1340</f>
        <v>SHP-101222</v>
      </c>
      <c r="B1327" s="3">
        <f>IF(ISNUMBER(SEARCH("/",TRIM([1]RawShipmentData!B1340))),DATE(VALUE(RIGHT(TRIM([1]RawShipmentData!B1340),4)),VALUE(MID(TRIM([1]RawShipmentData!B1340),FIND("/",TRIM([1]RawShipmentData!B1340))+1,2)),VALUE(LEFT(TRIM([1]RawShipmentData!B1340),FIND("/",TRIM([1]RawShipmentData!B1340))-1))),DATEVALUE(TRIM([1]RawShipmentData!B1340)))</f>
        <v>45363</v>
      </c>
      <c r="C1327" s="2" t="str">
        <f>PROPER(TRIM([1]RawShipmentData!C1340))</f>
        <v>Hyderabad</v>
      </c>
      <c r="D1327" s="2" t="str">
        <f>IFERROR(INDEX([1]HubMaster!$B$2:$B$7,MATCH(C1327,[1]HubMaster!$A$2:$A$7,0)),"Unknown")</f>
        <v>West</v>
      </c>
      <c r="E1327" s="2" t="str">
        <f>PROPER(TRIM(SUBSTITUTE([1]RawShipmentData!D1340,"  "," ")))</f>
        <v>Xpressbees</v>
      </c>
      <c r="F1327" s="2" t="str">
        <f>PROPER(TRIM([1]RawShipmentData!E1340))</f>
        <v>Road</v>
      </c>
      <c r="G1327" s="2" t="str">
        <f>PROPER(TRIM(SUBSTITUTE([1]RawShipmentData!F1340,"  "," ")))</f>
        <v>Furniture</v>
      </c>
      <c r="H1327" s="2" t="str">
        <f>PROPER(TRIM([1]RawShipmentData!G1340))</f>
        <v>East</v>
      </c>
      <c r="I1327" s="2" t="str">
        <f t="shared" si="100"/>
        <v>Yes</v>
      </c>
      <c r="J1327" s="2">
        <f>IFERROR(VALUE(TRIM(SUBSTITUTE(UPPER([1]RawShipmentData!I1327),"KG",""))),"")</f>
        <v>31.4</v>
      </c>
      <c r="K1327" s="2">
        <f>VALUE(SUBSTITUTE(SUBSTITUTE(SUBSTITUTE(TRIM([1]RawShipmentData!J1340),"₹",""),"Rs",""),",",""))</f>
        <v>1235</v>
      </c>
      <c r="L1327" s="2">
        <f>[1]RawShipmentData!K1340</f>
        <v>8</v>
      </c>
      <c r="M1327" s="3">
        <f>IF(TRIM([1]RawShipmentData!L1340)="","",IF(ISNUMBER(SEARCH("/",TRIM([1]RawShipmentData!L1340))),DATE(VALUE(RIGHT(TRIM([1]RawShipmentData!L1340),4)),VALUE(MID(TRIM([1]RawShipmentData!L1340),FIND("/",TRIM([1]RawShipmentData!L1340))+1,2)),VALUE(LEFT(TRIM([1]RawShipmentData!L1340),FIND("/",TRIM([1]RawShipmentData!L1340))-1))),DATEVALUE(TRIM([1]RawShipmentData!L1340))))</f>
        <v>45370</v>
      </c>
      <c r="N1327" s="2">
        <f t="shared" si="101"/>
        <v>7</v>
      </c>
      <c r="O1327" s="2">
        <f t="shared" si="102"/>
        <v>-1</v>
      </c>
      <c r="P1327" s="2" t="str">
        <f t="shared" si="103"/>
        <v>On Time</v>
      </c>
      <c r="Q1327" s="2" t="str">
        <f>PROPER(SUBSTITUTE(TRIM([1]RawShipmentData!M1340)," ","-"))</f>
        <v>Delivered</v>
      </c>
      <c r="R1327" s="4">
        <f t="shared" si="104"/>
        <v>39.331210191082803</v>
      </c>
      <c r="S1327" s="2">
        <f>[1]RawShipmentData!N1340</f>
        <v>4</v>
      </c>
      <c r="T1327" s="2" t="str">
        <f>IF(OR(UPPER(TRIM([1]RawShipmentData!O1340))="YES",UPPER(TRIM([1]RawShipmentData!O1340))="Y"),"Yes","No")</f>
        <v>No</v>
      </c>
    </row>
    <row r="1328" spans="1:20" x14ac:dyDescent="0.25">
      <c r="A1328" s="2" t="str">
        <f>[1]RawShipmentData!A1341</f>
        <v>SHP-101323</v>
      </c>
      <c r="B1328" s="3">
        <f>IF(ISNUMBER(SEARCH("/",TRIM([1]RawShipmentData!B1341))),DATE(VALUE(RIGHT(TRIM([1]RawShipmentData!B1341),4)),VALUE(MID(TRIM([1]RawShipmentData!B1341),FIND("/",TRIM([1]RawShipmentData!B1341))+1,2)),VALUE(LEFT(TRIM([1]RawShipmentData!B1341),FIND("/",TRIM([1]RawShipmentData!B1341))-1))),DATEVALUE(TRIM([1]RawShipmentData!B1341)))</f>
        <v>45308</v>
      </c>
      <c r="C1328" s="2" t="str">
        <f>PROPER(TRIM([1]RawShipmentData!C1341))</f>
        <v>Bengaluru</v>
      </c>
      <c r="D1328" s="2" t="str">
        <f>IFERROR(INDEX([1]HubMaster!$B$2:$B$7,MATCH(C1328,[1]HubMaster!$A$2:$A$7,0)),"Unknown")</f>
        <v>South</v>
      </c>
      <c r="E1328" s="2" t="str">
        <f>PROPER(TRIM(SUBSTITUTE([1]RawShipmentData!D1341,"  "," ")))</f>
        <v>Dtdc</v>
      </c>
      <c r="F1328" s="2" t="str">
        <f>PROPER(TRIM([1]RawShipmentData!E1341))</f>
        <v>Road</v>
      </c>
      <c r="G1328" s="2" t="str">
        <f>PROPER(TRIM(SUBSTITUTE([1]RawShipmentData!F1341,"  "," ")))</f>
        <v>Grocery &amp; Fmcg</v>
      </c>
      <c r="H1328" s="2" t="str">
        <f>PROPER(TRIM([1]RawShipmentData!G1341))</f>
        <v>East</v>
      </c>
      <c r="I1328" s="2" t="str">
        <f t="shared" si="100"/>
        <v>Yes</v>
      </c>
      <c r="J1328" s="2">
        <f>IFERROR(VALUE(TRIM(SUBSTITUTE(UPPER([1]RawShipmentData!I1328),"KG",""))),"")</f>
        <v>68.3</v>
      </c>
      <c r="K1328" s="2">
        <f>VALUE(SUBSTITUTE(SUBSTITUTE(SUBSTITUTE(TRIM([1]RawShipmentData!J1341),"₹",""),"Rs",""),",",""))</f>
        <v>244</v>
      </c>
      <c r="L1328" s="2">
        <f>[1]RawShipmentData!K1341</f>
        <v>8</v>
      </c>
      <c r="M1328" s="3">
        <f>IF(TRIM([1]RawShipmentData!L1341)="","",IF(ISNUMBER(SEARCH("/",TRIM([1]RawShipmentData!L1341))),DATE(VALUE(RIGHT(TRIM([1]RawShipmentData!L1341),4)),VALUE(MID(TRIM([1]RawShipmentData!L1341),FIND("/",TRIM([1]RawShipmentData!L1341))+1,2)),VALUE(LEFT(TRIM([1]RawShipmentData!L1341),FIND("/",TRIM([1]RawShipmentData!L1341))-1))),DATEVALUE(TRIM([1]RawShipmentData!L1341))))</f>
        <v>45316</v>
      </c>
      <c r="N1328" s="2">
        <f t="shared" si="101"/>
        <v>8</v>
      </c>
      <c r="O1328" s="2">
        <f t="shared" si="102"/>
        <v>0</v>
      </c>
      <c r="P1328" s="2" t="str">
        <f t="shared" si="103"/>
        <v>On Time</v>
      </c>
      <c r="Q1328" s="2" t="str">
        <f>PROPER(SUBSTITUTE(TRIM([1]RawShipmentData!M1341)," ","-"))</f>
        <v>Delivered</v>
      </c>
      <c r="R1328" s="4">
        <f t="shared" si="104"/>
        <v>3.5724743777452419</v>
      </c>
      <c r="S1328" s="2">
        <f>[1]RawShipmentData!N1341</f>
        <v>4</v>
      </c>
      <c r="T1328" s="2" t="str">
        <f>IF(OR(UPPER(TRIM([1]RawShipmentData!O1341))="YES",UPPER(TRIM([1]RawShipmentData!O1341))="Y"),"Yes","No")</f>
        <v>Yes</v>
      </c>
    </row>
    <row r="1329" spans="1:20" x14ac:dyDescent="0.25">
      <c r="A1329" s="2" t="str">
        <f>[1]RawShipmentData!A1342</f>
        <v>SHP-100289</v>
      </c>
      <c r="B1329" s="3">
        <f>IF(ISNUMBER(SEARCH("/",TRIM([1]RawShipmentData!B1342))),DATE(VALUE(RIGHT(TRIM([1]RawShipmentData!B1342),4)),VALUE(MID(TRIM([1]RawShipmentData!B1342),FIND("/",TRIM([1]RawShipmentData!B1342))+1,2)),VALUE(LEFT(TRIM([1]RawShipmentData!B1342),FIND("/",TRIM([1]RawShipmentData!B1342))-1))),DATEVALUE(TRIM([1]RawShipmentData!B1342)))</f>
        <v>45405</v>
      </c>
      <c r="C1329" s="2" t="str">
        <f>PROPER(TRIM([1]RawShipmentData!C1342))</f>
        <v>Mumbai</v>
      </c>
      <c r="D1329" s="2" t="str">
        <f>IFERROR(INDEX([1]HubMaster!$B$2:$B$7,MATCH(C1329,[1]HubMaster!$A$2:$A$7,0)),"Unknown")</f>
        <v>West</v>
      </c>
      <c r="E1329" s="2" t="str">
        <f>PROPER(TRIM(SUBSTITUTE([1]RawShipmentData!D1342,"  "," ")))</f>
        <v>Dtdc</v>
      </c>
      <c r="F1329" s="2" t="str">
        <f>PROPER(TRIM([1]RawShipmentData!E1342))</f>
        <v>Road</v>
      </c>
      <c r="G1329" s="2" t="str">
        <f>PROPER(TRIM(SUBSTITUTE([1]RawShipmentData!F1342,"  "," ")))</f>
        <v>Apparel</v>
      </c>
      <c r="H1329" s="2" t="str">
        <f>PROPER(TRIM([1]RawShipmentData!G1342))</f>
        <v>West</v>
      </c>
      <c r="I1329" s="2" t="str">
        <f t="shared" si="100"/>
        <v>No</v>
      </c>
      <c r="J1329" s="2">
        <f>IFERROR(VALUE(TRIM(SUBSTITUTE(UPPER([1]RawShipmentData!I1329),"KG",""))),"")</f>
        <v>53.1</v>
      </c>
      <c r="K1329" s="2">
        <f>VALUE(SUBSTITUTE(SUBSTITUTE(SUBSTITUTE(TRIM([1]RawShipmentData!J1342),"₹",""),"Rs",""),",",""))</f>
        <v>80</v>
      </c>
      <c r="L1329" s="2">
        <f>[1]RawShipmentData!K1342</f>
        <v>6</v>
      </c>
      <c r="M1329" s="3">
        <f>IF(TRIM([1]RawShipmentData!L1342)="","",IF(ISNUMBER(SEARCH("/",TRIM([1]RawShipmentData!L1342))),DATE(VALUE(RIGHT(TRIM([1]RawShipmentData!L1342),4)),VALUE(MID(TRIM([1]RawShipmentData!L1342),FIND("/",TRIM([1]RawShipmentData!L1342))+1,2)),VALUE(LEFT(TRIM([1]RawShipmentData!L1342),FIND("/",TRIM([1]RawShipmentData!L1342))-1))),DATEVALUE(TRIM([1]RawShipmentData!L1342))))</f>
        <v>45410</v>
      </c>
      <c r="N1329" s="2">
        <f t="shared" si="101"/>
        <v>5</v>
      </c>
      <c r="O1329" s="2">
        <f t="shared" si="102"/>
        <v>-1</v>
      </c>
      <c r="P1329" s="2" t="str">
        <f t="shared" si="103"/>
        <v>On Time</v>
      </c>
      <c r="Q1329" s="2" t="str">
        <f>PROPER(SUBSTITUTE(TRIM([1]RawShipmentData!M1342)," ","-"))</f>
        <v>Damaged</v>
      </c>
      <c r="R1329" s="4">
        <f t="shared" si="104"/>
        <v>1.5065913370998116</v>
      </c>
      <c r="S1329" s="2">
        <f>[1]RawShipmentData!N1342</f>
        <v>0</v>
      </c>
      <c r="T1329" s="2" t="str">
        <f>IF(OR(UPPER(TRIM([1]RawShipmentData!O1342))="YES",UPPER(TRIM([1]RawShipmentData!O1342))="Y"),"Yes","No")</f>
        <v>No</v>
      </c>
    </row>
    <row r="1330" spans="1:20" x14ac:dyDescent="0.25">
      <c r="A1330" s="2" t="str">
        <f>[1]RawShipmentData!A1343</f>
        <v>SHP-101180</v>
      </c>
      <c r="B1330" s="3">
        <f>IF(ISNUMBER(SEARCH("/",TRIM([1]RawShipmentData!B1343))),DATE(VALUE(RIGHT(TRIM([1]RawShipmentData!B1343),4)),VALUE(MID(TRIM([1]RawShipmentData!B1343),FIND("/",TRIM([1]RawShipmentData!B1343))+1,2)),VALUE(LEFT(TRIM([1]RawShipmentData!B1343),FIND("/",TRIM([1]RawShipmentData!B1343))-1))),DATEVALUE(TRIM([1]RawShipmentData!B1343)))</f>
        <v>45334</v>
      </c>
      <c r="C1330" s="2" t="str">
        <f>PROPER(TRIM([1]RawShipmentData!C1343))</f>
        <v>Kolkata</v>
      </c>
      <c r="D1330" s="2" t="str">
        <f>IFERROR(INDEX([1]HubMaster!$B$2:$B$7,MATCH(C1330,[1]HubMaster!$A$2:$A$7,0)),"Unknown")</f>
        <v>East</v>
      </c>
      <c r="E1330" s="2" t="str">
        <f>PROPER(TRIM(SUBSTITUTE([1]RawShipmentData!D1343,"  "," ")))</f>
        <v>Ecom Express</v>
      </c>
      <c r="F1330" s="2" t="str">
        <f>PROPER(TRIM([1]RawShipmentData!E1343))</f>
        <v>Road</v>
      </c>
      <c r="G1330" s="2" t="str">
        <f>PROPER(TRIM(SUBSTITUTE([1]RawShipmentData!F1343,"  "," ")))</f>
        <v>Electronics</v>
      </c>
      <c r="H1330" s="2" t="str">
        <f>PROPER(TRIM([1]RawShipmentData!G1343))</f>
        <v>East</v>
      </c>
      <c r="I1330" s="2" t="str">
        <f t="shared" si="100"/>
        <v>No</v>
      </c>
      <c r="J1330" s="2">
        <f>IFERROR(VALUE(TRIM(SUBSTITUTE(UPPER([1]RawShipmentData!I1330),"KG",""))),"")</f>
        <v>0.9</v>
      </c>
      <c r="K1330" s="2">
        <f>VALUE(SUBSTITUTE(SUBSTITUTE(SUBSTITUTE(TRIM([1]RawShipmentData!J1343),"₹",""),"Rs",""),",",""))</f>
        <v>143</v>
      </c>
      <c r="L1330" s="2">
        <f>[1]RawShipmentData!K1343</f>
        <v>6</v>
      </c>
      <c r="M1330" s="3">
        <f>IF(TRIM([1]RawShipmentData!L1343)="","",IF(ISNUMBER(SEARCH("/",TRIM([1]RawShipmentData!L1343))),DATE(VALUE(RIGHT(TRIM([1]RawShipmentData!L1343),4)),VALUE(MID(TRIM([1]RawShipmentData!L1343),FIND("/",TRIM([1]RawShipmentData!L1343))+1,2)),VALUE(LEFT(TRIM([1]RawShipmentData!L1343),FIND("/",TRIM([1]RawShipmentData!L1343))-1))),DATEVALUE(TRIM([1]RawShipmentData!L1343))))</f>
        <v>45339</v>
      </c>
      <c r="N1330" s="2">
        <f t="shared" si="101"/>
        <v>5</v>
      </c>
      <c r="O1330" s="2">
        <f t="shared" si="102"/>
        <v>-1</v>
      </c>
      <c r="P1330" s="2" t="str">
        <f t="shared" si="103"/>
        <v>On Time</v>
      </c>
      <c r="Q1330" s="2" t="str">
        <f>PROPER(SUBSTITUTE(TRIM([1]RawShipmentData!M1343)," ","-"))</f>
        <v>Delivered</v>
      </c>
      <c r="R1330" s="4">
        <f t="shared" si="104"/>
        <v>158.88888888888889</v>
      </c>
      <c r="S1330" s="2">
        <f>[1]RawShipmentData!N1343</f>
        <v>4</v>
      </c>
      <c r="T1330" s="2" t="str">
        <f>IF(OR(UPPER(TRIM([1]RawShipmentData!O1343))="YES",UPPER(TRIM([1]RawShipmentData!O1343))="Y"),"Yes","No")</f>
        <v>No</v>
      </c>
    </row>
    <row r="1331" spans="1:20" x14ac:dyDescent="0.25">
      <c r="A1331" s="2" t="str">
        <f>[1]RawShipmentData!A1344</f>
        <v>SHP-101580</v>
      </c>
      <c r="B1331" s="3">
        <f>IF(ISNUMBER(SEARCH("/",TRIM([1]RawShipmentData!B1344))),DATE(VALUE(RIGHT(TRIM([1]RawShipmentData!B1344),4)),VALUE(MID(TRIM([1]RawShipmentData!B1344),FIND("/",TRIM([1]RawShipmentData!B1344))+1,2)),VALUE(LEFT(TRIM([1]RawShipmentData!B1344),FIND("/",TRIM([1]RawShipmentData!B1344))-1))),DATEVALUE(TRIM([1]RawShipmentData!B1344)))</f>
        <v>45384</v>
      </c>
      <c r="C1331" s="2" t="str">
        <f>PROPER(TRIM([1]RawShipmentData!C1344))</f>
        <v>Delhi</v>
      </c>
      <c r="D1331" s="2" t="str">
        <f>IFERROR(INDEX([1]HubMaster!$B$2:$B$7,MATCH(C1331,[1]HubMaster!$A$2:$A$7,0)),"Unknown")</f>
        <v>North</v>
      </c>
      <c r="E1331" s="2" t="str">
        <f>PROPER(TRIM(SUBSTITUTE([1]RawShipmentData!D1344,"  "," ")))</f>
        <v>Delhivery</v>
      </c>
      <c r="F1331" s="2" t="str">
        <f>PROPER(TRIM([1]RawShipmentData!E1344))</f>
        <v>Air</v>
      </c>
      <c r="G1331" s="2" t="str">
        <f>PROPER(TRIM(SUBSTITUTE([1]RawShipmentData!F1344,"  "," ")))</f>
        <v>Electronics</v>
      </c>
      <c r="H1331" s="2" t="str">
        <f>PROPER(TRIM([1]RawShipmentData!G1344))</f>
        <v>East</v>
      </c>
      <c r="I1331" s="2" t="str">
        <f t="shared" si="100"/>
        <v>Yes</v>
      </c>
      <c r="J1331" s="2">
        <f>IFERROR(VALUE(TRIM(SUBSTITUTE(UPPER([1]RawShipmentData!I1331),"KG",""))),"")</f>
        <v>46</v>
      </c>
      <c r="K1331" s="2">
        <f>VALUE(SUBSTITUTE(SUBSTITUTE(SUBSTITUTE(TRIM([1]RawShipmentData!J1344),"₹",""),"Rs",""),",",""))</f>
        <v>264</v>
      </c>
      <c r="L1331" s="2">
        <f>[1]RawShipmentData!K1344</f>
        <v>4</v>
      </c>
      <c r="M1331" s="3">
        <f>IF(TRIM([1]RawShipmentData!L1344)="","",IF(ISNUMBER(SEARCH("/",TRIM([1]RawShipmentData!L1344))),DATE(VALUE(RIGHT(TRIM([1]RawShipmentData!L1344),4)),VALUE(MID(TRIM([1]RawShipmentData!L1344),FIND("/",TRIM([1]RawShipmentData!L1344))+1,2)),VALUE(LEFT(TRIM([1]RawShipmentData!L1344),FIND("/",TRIM([1]RawShipmentData!L1344))-1))),DATEVALUE(TRIM([1]RawShipmentData!L1344))))</f>
        <v>45387</v>
      </c>
      <c r="N1331" s="2">
        <f t="shared" si="101"/>
        <v>3</v>
      </c>
      <c r="O1331" s="2">
        <f t="shared" si="102"/>
        <v>-1</v>
      </c>
      <c r="P1331" s="2" t="str">
        <f t="shared" si="103"/>
        <v>On Time</v>
      </c>
      <c r="Q1331" s="2" t="str">
        <f>PROPER(SUBSTITUTE(TRIM([1]RawShipmentData!M1344)," ","-"))</f>
        <v>Delivered</v>
      </c>
      <c r="R1331" s="4">
        <f t="shared" si="104"/>
        <v>5.7391304347826084</v>
      </c>
      <c r="S1331" s="2">
        <f>[1]RawShipmentData!N1344</f>
        <v>5</v>
      </c>
      <c r="T1331" s="2" t="str">
        <f>IF(OR(UPPER(TRIM([1]RawShipmentData!O1344))="YES",UPPER(TRIM([1]RawShipmentData!O1344))="Y"),"Yes","No")</f>
        <v>No</v>
      </c>
    </row>
    <row r="1332" spans="1:20" x14ac:dyDescent="0.25">
      <c r="A1332" s="2" t="str">
        <f>[1]RawShipmentData!A1345</f>
        <v>SHP-100013</v>
      </c>
      <c r="B1332" s="3">
        <f>IF(ISNUMBER(SEARCH("/",TRIM([1]RawShipmentData!B1345))),DATE(VALUE(RIGHT(TRIM([1]RawShipmentData!B1345),4)),VALUE(MID(TRIM([1]RawShipmentData!B1345),FIND("/",TRIM([1]RawShipmentData!B1345))+1,2)),VALUE(LEFT(TRIM([1]RawShipmentData!B1345),FIND("/",TRIM([1]RawShipmentData!B1345))-1))),DATEVALUE(TRIM([1]RawShipmentData!B1345)))</f>
        <v>45406</v>
      </c>
      <c r="C1332" s="2" t="str">
        <f>PROPER(TRIM([1]RawShipmentData!C1345))</f>
        <v>Mumbai</v>
      </c>
      <c r="D1332" s="2" t="str">
        <f>IFERROR(INDEX([1]HubMaster!$B$2:$B$7,MATCH(C1332,[1]HubMaster!$A$2:$A$7,0)),"Unknown")</f>
        <v>West</v>
      </c>
      <c r="E1332" s="2" t="str">
        <f>PROPER(TRIM(SUBSTITUTE([1]RawShipmentData!D1345,"  "," ")))</f>
        <v>Ecom Express</v>
      </c>
      <c r="F1332" s="2" t="str">
        <f>PROPER(TRIM([1]RawShipmentData!E1345))</f>
        <v>Air</v>
      </c>
      <c r="G1332" s="2" t="str">
        <f>PROPER(TRIM(SUBSTITUTE([1]RawShipmentData!F1345,"  "," ")))</f>
        <v>Apparel</v>
      </c>
      <c r="H1332" s="2" t="str">
        <f>PROPER(TRIM([1]RawShipmentData!G1345))</f>
        <v>East</v>
      </c>
      <c r="I1332" s="2" t="str">
        <f t="shared" si="100"/>
        <v>Yes</v>
      </c>
      <c r="J1332" s="2">
        <f>IFERROR(VALUE(TRIM(SUBSTITUTE(UPPER([1]RawShipmentData!I1332),"KG",""))),"")</f>
        <v>8.3000000000000007</v>
      </c>
      <c r="K1332" s="2">
        <f>VALUE(SUBSTITUTE(SUBSTITUTE(SUBSTITUTE(TRIM([1]RawShipmentData!J1345),"₹",""),"Rs",""),",",""))</f>
        <v>469</v>
      </c>
      <c r="L1332" s="2">
        <f>[1]RawShipmentData!K1345</f>
        <v>4</v>
      </c>
      <c r="M1332" s="3">
        <f>IF(TRIM([1]RawShipmentData!L1345)="","",IF(ISNUMBER(SEARCH("/",TRIM([1]RawShipmentData!L1345))),DATE(VALUE(RIGHT(TRIM([1]RawShipmentData!L1345),4)),VALUE(MID(TRIM([1]RawShipmentData!L1345),FIND("/",TRIM([1]RawShipmentData!L1345))+1,2)),VALUE(LEFT(TRIM([1]RawShipmentData!L1345),FIND("/",TRIM([1]RawShipmentData!L1345))-1))),DATEVALUE(TRIM([1]RawShipmentData!L1345))))</f>
        <v>45412</v>
      </c>
      <c r="N1332" s="2">
        <f t="shared" si="101"/>
        <v>6</v>
      </c>
      <c r="O1332" s="2">
        <f t="shared" si="102"/>
        <v>2</v>
      </c>
      <c r="P1332" s="2" t="str">
        <f t="shared" si="103"/>
        <v>Late</v>
      </c>
      <c r="Q1332" s="2" t="str">
        <f>PROPER(SUBSTITUTE(TRIM([1]RawShipmentData!M1345)," ","-"))</f>
        <v>Delayed</v>
      </c>
      <c r="R1332" s="4">
        <f t="shared" si="104"/>
        <v>56.506024096385538</v>
      </c>
      <c r="S1332" s="2">
        <f>[1]RawShipmentData!N1345</f>
        <v>4</v>
      </c>
      <c r="T1332" s="2" t="str">
        <f>IF(OR(UPPER(TRIM([1]RawShipmentData!O1345))="YES",UPPER(TRIM([1]RawShipmentData!O1345))="Y"),"Yes","No")</f>
        <v>Yes</v>
      </c>
    </row>
    <row r="1333" spans="1:20" x14ac:dyDescent="0.25">
      <c r="A1333" s="2" t="str">
        <f>[1]RawShipmentData!A1346</f>
        <v>SHP-100103</v>
      </c>
      <c r="B1333" s="3">
        <f>IF(ISNUMBER(SEARCH("/",TRIM([1]RawShipmentData!B1346))),DATE(VALUE(RIGHT(TRIM([1]RawShipmentData!B1346),4)),VALUE(MID(TRIM([1]RawShipmentData!B1346),FIND("/",TRIM([1]RawShipmentData!B1346))+1,2)),VALUE(LEFT(TRIM([1]RawShipmentData!B1346),FIND("/",TRIM([1]RawShipmentData!B1346))-1))),DATEVALUE(TRIM([1]RawShipmentData!B1346)))</f>
        <v>45449</v>
      </c>
      <c r="C1333" s="2" t="str">
        <f>PROPER(TRIM([1]RawShipmentData!C1346))</f>
        <v>Delhi</v>
      </c>
      <c r="D1333" s="2" t="str">
        <f>IFERROR(INDEX([1]HubMaster!$B$2:$B$7,MATCH(C1333,[1]HubMaster!$A$2:$A$7,0)),"Unknown")</f>
        <v>North</v>
      </c>
      <c r="E1333" s="2" t="str">
        <f>PROPER(TRIM(SUBSTITUTE([1]RawShipmentData!D1346,"  "," ")))</f>
        <v>Dtdc</v>
      </c>
      <c r="F1333" s="2" t="str">
        <f>PROPER(TRIM([1]RawShipmentData!E1346))</f>
        <v>Air</v>
      </c>
      <c r="G1333" s="2" t="str">
        <f>PROPER(TRIM(SUBSTITUTE([1]RawShipmentData!F1346,"  "," ")))</f>
        <v>Apparel</v>
      </c>
      <c r="H1333" s="2" t="str">
        <f>PROPER(TRIM([1]RawShipmentData!G1346))</f>
        <v>East</v>
      </c>
      <c r="I1333" s="2" t="str">
        <f t="shared" si="100"/>
        <v>Yes</v>
      </c>
      <c r="J1333" s="2">
        <f>IFERROR(VALUE(TRIM(SUBSTITUTE(UPPER([1]RawShipmentData!I1333),"KG",""))),"")</f>
        <v>1.9</v>
      </c>
      <c r="K1333" s="2">
        <f>VALUE(SUBSTITUTE(SUBSTITUTE(SUBSTITUTE(TRIM([1]RawShipmentData!J1346),"₹",""),"Rs",""),",",""))</f>
        <v>319</v>
      </c>
      <c r="L1333" s="2">
        <f>[1]RawShipmentData!K1346</f>
        <v>4</v>
      </c>
      <c r="M1333" s="3">
        <f>IF(TRIM([1]RawShipmentData!L1346)="","",IF(ISNUMBER(SEARCH("/",TRIM([1]RawShipmentData!L1346))),DATE(VALUE(RIGHT(TRIM([1]RawShipmentData!L1346),4)),VALUE(MID(TRIM([1]RawShipmentData!L1346),FIND("/",TRIM([1]RawShipmentData!L1346))+1,2)),VALUE(LEFT(TRIM([1]RawShipmentData!L1346),FIND("/",TRIM([1]RawShipmentData!L1346))-1))),DATEVALUE(TRIM([1]RawShipmentData!L1346))))</f>
        <v>45452</v>
      </c>
      <c r="N1333" s="2">
        <f t="shared" si="101"/>
        <v>3</v>
      </c>
      <c r="O1333" s="2">
        <f t="shared" si="102"/>
        <v>-1</v>
      </c>
      <c r="P1333" s="2" t="str">
        <f t="shared" si="103"/>
        <v>On Time</v>
      </c>
      <c r="Q1333" s="2" t="str">
        <f>PROPER(SUBSTITUTE(TRIM([1]RawShipmentData!M1346)," ","-"))</f>
        <v>Delivered</v>
      </c>
      <c r="R1333" s="4">
        <f t="shared" si="104"/>
        <v>167.89473684210526</v>
      </c>
      <c r="S1333" s="2">
        <f>[1]RawShipmentData!N1346</f>
        <v>4</v>
      </c>
      <c r="T1333" s="2" t="str">
        <f>IF(OR(UPPER(TRIM([1]RawShipmentData!O1346))="YES",UPPER(TRIM([1]RawShipmentData!O1346))="Y"),"Yes","No")</f>
        <v>No</v>
      </c>
    </row>
    <row r="1334" spans="1:20" x14ac:dyDescent="0.25">
      <c r="A1334" s="2" t="str">
        <f>[1]RawShipmentData!A1347</f>
        <v>SHP-100660</v>
      </c>
      <c r="B1334" s="3">
        <f>IF(ISNUMBER(SEARCH("/",TRIM([1]RawShipmentData!B1347))),DATE(VALUE(RIGHT(TRIM([1]RawShipmentData!B1347),4)),VALUE(MID(TRIM([1]RawShipmentData!B1347),FIND("/",TRIM([1]RawShipmentData!B1347))+1,2)),VALUE(LEFT(TRIM([1]RawShipmentData!B1347),FIND("/",TRIM([1]RawShipmentData!B1347))-1))),DATEVALUE(TRIM([1]RawShipmentData!B1347)))</f>
        <v>45397</v>
      </c>
      <c r="C1334" s="2" t="str">
        <f>PROPER(TRIM([1]RawShipmentData!C1347))</f>
        <v>Kolkata</v>
      </c>
      <c r="D1334" s="2" t="str">
        <f>IFERROR(INDEX([1]HubMaster!$B$2:$B$7,MATCH(C1334,[1]HubMaster!$A$2:$A$7,0)),"Unknown")</f>
        <v>East</v>
      </c>
      <c r="E1334" s="2" t="str">
        <f>PROPER(TRIM(SUBSTITUTE([1]RawShipmentData!D1347,"  "," ")))</f>
        <v>Dtdc</v>
      </c>
      <c r="F1334" s="2" t="str">
        <f>PROPER(TRIM([1]RawShipmentData!E1347))</f>
        <v>Road</v>
      </c>
      <c r="G1334" s="2" t="str">
        <f>PROPER(TRIM(SUBSTITUTE([1]RawShipmentData!F1347,"  "," ")))</f>
        <v>Automotive Parts</v>
      </c>
      <c r="H1334" s="2" t="str">
        <f>PROPER(TRIM([1]RawShipmentData!G1347))</f>
        <v>East</v>
      </c>
      <c r="I1334" s="2" t="str">
        <f t="shared" si="100"/>
        <v>No</v>
      </c>
      <c r="J1334" s="2">
        <f>IFERROR(VALUE(TRIM(SUBSTITUTE(UPPER([1]RawShipmentData!I1334),"KG",""))),"")</f>
        <v>2.6</v>
      </c>
      <c r="K1334" s="2">
        <f>VALUE(SUBSTITUTE(SUBSTITUTE(SUBSTITUTE(TRIM([1]RawShipmentData!J1347),"₹",""),"Rs",""),",",""))</f>
        <v>502</v>
      </c>
      <c r="L1334" s="2">
        <f>[1]RawShipmentData!K1347</f>
        <v>6</v>
      </c>
      <c r="M1334" s="3">
        <f>IF(TRIM([1]RawShipmentData!L1347)="","",IF(ISNUMBER(SEARCH("/",TRIM([1]RawShipmentData!L1347))),DATE(VALUE(RIGHT(TRIM([1]RawShipmentData!L1347),4)),VALUE(MID(TRIM([1]RawShipmentData!L1347),FIND("/",TRIM([1]RawShipmentData!L1347))+1,2)),VALUE(LEFT(TRIM([1]RawShipmentData!L1347),FIND("/",TRIM([1]RawShipmentData!L1347))-1))),DATEVALUE(TRIM([1]RawShipmentData!L1347))))</f>
        <v>45404</v>
      </c>
      <c r="N1334" s="2">
        <f t="shared" si="101"/>
        <v>7</v>
      </c>
      <c r="O1334" s="2">
        <f t="shared" si="102"/>
        <v>1</v>
      </c>
      <c r="P1334" s="2" t="str">
        <f t="shared" si="103"/>
        <v>Late</v>
      </c>
      <c r="Q1334" s="2" t="str">
        <f>PROPER(SUBSTITUTE(TRIM([1]RawShipmentData!M1347)," ","-"))</f>
        <v>Delayed</v>
      </c>
      <c r="R1334" s="4">
        <f t="shared" si="104"/>
        <v>193.07692307692307</v>
      </c>
      <c r="S1334" s="2">
        <f>[1]RawShipmentData!N1347</f>
        <v>3</v>
      </c>
      <c r="T1334" s="2" t="str">
        <f>IF(OR(UPPER(TRIM([1]RawShipmentData!O1347))="YES",UPPER(TRIM([1]RawShipmentData!O1347))="Y"),"Yes","No")</f>
        <v>Yes</v>
      </c>
    </row>
    <row r="1335" spans="1:20" x14ac:dyDescent="0.25">
      <c r="A1335" s="2" t="str">
        <f>[1]RawShipmentData!A1348</f>
        <v>SHP-101181</v>
      </c>
      <c r="B1335" s="3">
        <f>IF(ISNUMBER(SEARCH("/",TRIM([1]RawShipmentData!B1348))),DATE(VALUE(RIGHT(TRIM([1]RawShipmentData!B1348),4)),VALUE(MID(TRIM([1]RawShipmentData!B1348),FIND("/",TRIM([1]RawShipmentData!B1348))+1,2)),VALUE(LEFT(TRIM([1]RawShipmentData!B1348),FIND("/",TRIM([1]RawShipmentData!B1348))-1))),DATEVALUE(TRIM([1]RawShipmentData!B1348)))</f>
        <v>45419</v>
      </c>
      <c r="C1335" s="2" t="str">
        <f>PROPER(TRIM([1]RawShipmentData!C1348))</f>
        <v>Kolkata</v>
      </c>
      <c r="D1335" s="2" t="str">
        <f>IFERROR(INDEX([1]HubMaster!$B$2:$B$7,MATCH(C1335,[1]HubMaster!$A$2:$A$7,0)),"Unknown")</f>
        <v>East</v>
      </c>
      <c r="E1335" s="2" t="str">
        <f>PROPER(TRIM(SUBSTITUTE([1]RawShipmentData!D1348,"  "," ")))</f>
        <v>Dtdc</v>
      </c>
      <c r="F1335" s="2" t="str">
        <f>PROPER(TRIM([1]RawShipmentData!E1348))</f>
        <v>Road</v>
      </c>
      <c r="G1335" s="2" t="str">
        <f>PROPER(TRIM(SUBSTITUTE([1]RawShipmentData!F1348,"  "," ")))</f>
        <v>Furniture</v>
      </c>
      <c r="H1335" s="2" t="str">
        <f>PROPER(TRIM([1]RawShipmentData!G1348))</f>
        <v>South</v>
      </c>
      <c r="I1335" s="2" t="str">
        <f t="shared" si="100"/>
        <v>Yes</v>
      </c>
      <c r="J1335" s="2">
        <f>IFERROR(VALUE(TRIM(SUBSTITUTE(UPPER([1]RawShipmentData!I1335),"KG",""))),"")</f>
        <v>33.299999999999997</v>
      </c>
      <c r="K1335" s="2">
        <f>VALUE(SUBSTITUTE(SUBSTITUTE(SUBSTITUTE(TRIM([1]RawShipmentData!J1348),"₹",""),"Rs",""),",",""))</f>
        <v>522</v>
      </c>
      <c r="L1335" s="2">
        <f>[1]RawShipmentData!K1348</f>
        <v>8</v>
      </c>
      <c r="M1335" s="3">
        <f>IF(TRIM([1]RawShipmentData!L1348)="","",IF(ISNUMBER(SEARCH("/",TRIM([1]RawShipmentData!L1348))),DATE(VALUE(RIGHT(TRIM([1]RawShipmentData!L1348),4)),VALUE(MID(TRIM([1]RawShipmentData!L1348),FIND("/",TRIM([1]RawShipmentData!L1348))+1,2)),VALUE(LEFT(TRIM([1]RawShipmentData!L1348),FIND("/",TRIM([1]RawShipmentData!L1348))-1))),DATEVALUE(TRIM([1]RawShipmentData!L1348))))</f>
        <v>45428</v>
      </c>
      <c r="N1335" s="2">
        <f t="shared" si="101"/>
        <v>9</v>
      </c>
      <c r="O1335" s="2">
        <f t="shared" si="102"/>
        <v>1</v>
      </c>
      <c r="P1335" s="2" t="str">
        <f t="shared" si="103"/>
        <v>Late</v>
      </c>
      <c r="Q1335" s="2" t="str">
        <f>PROPER(SUBSTITUTE(TRIM([1]RawShipmentData!M1348)," ","-"))</f>
        <v>Delayed</v>
      </c>
      <c r="R1335" s="4">
        <f t="shared" si="104"/>
        <v>15.675675675675677</v>
      </c>
      <c r="S1335" s="2">
        <f>[1]RawShipmentData!N1348</f>
        <v>2</v>
      </c>
      <c r="T1335" s="2" t="str">
        <f>IF(OR(UPPER(TRIM([1]RawShipmentData!O1348))="YES",UPPER(TRIM([1]RawShipmentData!O1348))="Y"),"Yes","No")</f>
        <v>Yes</v>
      </c>
    </row>
    <row r="1336" spans="1:20" x14ac:dyDescent="0.25">
      <c r="A1336" s="2" t="str">
        <f>[1]RawShipmentData!A1349</f>
        <v>SHP-100495</v>
      </c>
      <c r="B1336" s="3">
        <f>IF(ISNUMBER(SEARCH("/",TRIM([1]RawShipmentData!B1349))),DATE(VALUE(RIGHT(TRIM([1]RawShipmentData!B1349),4)),VALUE(MID(TRIM([1]RawShipmentData!B1349),FIND("/",TRIM([1]RawShipmentData!B1349))+1,2)),VALUE(LEFT(TRIM([1]RawShipmentData!B1349),FIND("/",TRIM([1]RawShipmentData!B1349))-1))),DATEVALUE(TRIM([1]RawShipmentData!B1349)))</f>
        <v>45446</v>
      </c>
      <c r="C1336" s="2" t="str">
        <f>PROPER(TRIM([1]RawShipmentData!C1349))</f>
        <v>Mumbai</v>
      </c>
      <c r="D1336" s="2" t="str">
        <f>IFERROR(INDEX([1]HubMaster!$B$2:$B$7,MATCH(C1336,[1]HubMaster!$A$2:$A$7,0)),"Unknown")</f>
        <v>West</v>
      </c>
      <c r="E1336" s="2" t="str">
        <f>PROPER(TRIM(SUBSTITUTE([1]RawShipmentData!D1349,"  "," ")))</f>
        <v>Dtdc</v>
      </c>
      <c r="F1336" s="2" t="str">
        <f>PROPER(TRIM([1]RawShipmentData!E1349))</f>
        <v>Surface</v>
      </c>
      <c r="G1336" s="2" t="str">
        <f>PROPER(TRIM(SUBSTITUTE([1]RawShipmentData!F1349,"  "," ")))</f>
        <v>Furniture</v>
      </c>
      <c r="H1336" s="2" t="str">
        <f>PROPER(TRIM([1]RawShipmentData!G1349))</f>
        <v>East</v>
      </c>
      <c r="I1336" s="2" t="str">
        <f t="shared" si="100"/>
        <v>Yes</v>
      </c>
      <c r="J1336" s="2">
        <f>IFERROR(VALUE(TRIM(SUBSTITUTE(UPPER([1]RawShipmentData!I1336),"KG",""))),"")</f>
        <v>68.900000000000006</v>
      </c>
      <c r="K1336" s="2">
        <f>VALUE(SUBSTITUTE(SUBSTITUTE(SUBSTITUTE(TRIM([1]RawShipmentData!J1349),"₹",""),"Rs",""),",",""))</f>
        <v>1700</v>
      </c>
      <c r="L1336" s="2">
        <f>[1]RawShipmentData!K1349</f>
        <v>6</v>
      </c>
      <c r="M1336" s="3">
        <f>IF(TRIM([1]RawShipmentData!L1349)="","",IF(ISNUMBER(SEARCH("/",TRIM([1]RawShipmentData!L1349))),DATE(VALUE(RIGHT(TRIM([1]RawShipmentData!L1349),4)),VALUE(MID(TRIM([1]RawShipmentData!L1349),FIND("/",TRIM([1]RawShipmentData!L1349))+1,2)),VALUE(LEFT(TRIM([1]RawShipmentData!L1349),FIND("/",TRIM([1]RawShipmentData!L1349))-1))),DATEVALUE(TRIM([1]RawShipmentData!L1349))))</f>
        <v>45453</v>
      </c>
      <c r="N1336" s="2">
        <f t="shared" si="101"/>
        <v>7</v>
      </c>
      <c r="O1336" s="2">
        <f t="shared" si="102"/>
        <v>1</v>
      </c>
      <c r="P1336" s="2" t="str">
        <f t="shared" si="103"/>
        <v>Late</v>
      </c>
      <c r="Q1336" s="2" t="str">
        <f>PROPER(SUBSTITUTE(TRIM([1]RawShipmentData!M1349)," ","-"))</f>
        <v>Delayed</v>
      </c>
      <c r="R1336" s="4">
        <f t="shared" si="104"/>
        <v>24.673439767779389</v>
      </c>
      <c r="S1336" s="2">
        <f>[1]RawShipmentData!N1349</f>
        <v>1</v>
      </c>
      <c r="T1336" s="2" t="str">
        <f>IF(OR(UPPER(TRIM([1]RawShipmentData!O1349))="YES",UPPER(TRIM([1]RawShipmentData!O1349))="Y"),"Yes","No")</f>
        <v>No</v>
      </c>
    </row>
    <row r="1337" spans="1:20" x14ac:dyDescent="0.25">
      <c r="A1337" s="2" t="str">
        <f>[1]RawShipmentData!A1350</f>
        <v>SHP-101110</v>
      </c>
      <c r="B1337" s="3">
        <f>IF(ISNUMBER(SEARCH("/",TRIM([1]RawShipmentData!B1350))),DATE(VALUE(RIGHT(TRIM([1]RawShipmentData!B1350),4)),VALUE(MID(TRIM([1]RawShipmentData!B1350),FIND("/",TRIM([1]RawShipmentData!B1350))+1,2)),VALUE(LEFT(TRIM([1]RawShipmentData!B1350),FIND("/",TRIM([1]RawShipmentData!B1350))-1))),DATEVALUE(TRIM([1]RawShipmentData!B1350)))</f>
        <v>45323</v>
      </c>
      <c r="C1337" s="2" t="str">
        <f>PROPER(TRIM([1]RawShipmentData!C1350))</f>
        <v>Delhi</v>
      </c>
      <c r="D1337" s="2" t="str">
        <f>IFERROR(INDEX([1]HubMaster!$B$2:$B$7,MATCH(C1337,[1]HubMaster!$A$2:$A$7,0)),"Unknown")</f>
        <v>North</v>
      </c>
      <c r="E1337" s="2" t="str">
        <f>PROPER(TRIM(SUBSTITUTE([1]RawShipmentData!D1350,"  "," ")))</f>
        <v>Delhivery</v>
      </c>
      <c r="F1337" s="2" t="str">
        <f>PROPER(TRIM([1]RawShipmentData!E1350))</f>
        <v>Road</v>
      </c>
      <c r="G1337" s="2" t="str">
        <f>PROPER(TRIM(SUBSTITUTE([1]RawShipmentData!F1350,"  "," ")))</f>
        <v>Electronics</v>
      </c>
      <c r="H1337" s="2" t="str">
        <f>PROPER(TRIM([1]RawShipmentData!G1350))</f>
        <v>West</v>
      </c>
      <c r="I1337" s="2" t="str">
        <f t="shared" si="100"/>
        <v>Yes</v>
      </c>
      <c r="J1337" s="2">
        <f>IFERROR(VALUE(TRIM(SUBSTITUTE(UPPER([1]RawShipmentData!I1337),"KG",""))),"")</f>
        <v>1.3</v>
      </c>
      <c r="K1337" s="2">
        <f>VALUE(SUBSTITUTE(SUBSTITUTE(SUBSTITUTE(TRIM([1]RawShipmentData!J1350),"₹",""),"Rs",""),",",""))</f>
        <v>387</v>
      </c>
      <c r="L1337" s="2">
        <f>[1]RawShipmentData!K1350</f>
        <v>8</v>
      </c>
      <c r="M1337" s="3">
        <f>IF(TRIM([1]RawShipmentData!L1350)="","",IF(ISNUMBER(SEARCH("/",TRIM([1]RawShipmentData!L1350))),DATE(VALUE(RIGHT(TRIM([1]RawShipmentData!L1350),4)),VALUE(MID(TRIM([1]RawShipmentData!L1350),FIND("/",TRIM([1]RawShipmentData!L1350))+1,2)),VALUE(LEFT(TRIM([1]RawShipmentData!L1350),FIND("/",TRIM([1]RawShipmentData!L1350))-1))),DATEVALUE(TRIM([1]RawShipmentData!L1350))))</f>
        <v>45331</v>
      </c>
      <c r="N1337" s="2">
        <f t="shared" si="101"/>
        <v>8</v>
      </c>
      <c r="O1337" s="2">
        <f t="shared" si="102"/>
        <v>0</v>
      </c>
      <c r="P1337" s="2" t="str">
        <f t="shared" si="103"/>
        <v>On Time</v>
      </c>
      <c r="Q1337" s="2" t="str">
        <f>PROPER(SUBSTITUTE(TRIM([1]RawShipmentData!M1350)," ","-"))</f>
        <v>Delivered</v>
      </c>
      <c r="R1337" s="4">
        <f t="shared" si="104"/>
        <v>297.69230769230768</v>
      </c>
      <c r="S1337" s="2">
        <f>[1]RawShipmentData!N1350</f>
        <v>5</v>
      </c>
      <c r="T1337" s="2" t="str">
        <f>IF(OR(UPPER(TRIM([1]RawShipmentData!O1350))="YES",UPPER(TRIM([1]RawShipmentData!O1350))="Y"),"Yes","No")</f>
        <v>Yes</v>
      </c>
    </row>
    <row r="1338" spans="1:20" x14ac:dyDescent="0.25">
      <c r="A1338" s="2" t="str">
        <f>[1]RawShipmentData!A1351</f>
        <v>SHP-101452</v>
      </c>
      <c r="B1338" s="3">
        <f>IF(ISNUMBER(SEARCH("/",TRIM([1]RawShipmentData!B1351))),DATE(VALUE(RIGHT(TRIM([1]RawShipmentData!B1351),4)),VALUE(MID(TRIM([1]RawShipmentData!B1351),FIND("/",TRIM([1]RawShipmentData!B1351))+1,2)),VALUE(LEFT(TRIM([1]RawShipmentData!B1351),FIND("/",TRIM([1]RawShipmentData!B1351))-1))),DATEVALUE(TRIM([1]RawShipmentData!B1351)))</f>
        <v>45470</v>
      </c>
      <c r="C1338" s="2" t="str">
        <f>PROPER(TRIM([1]RawShipmentData!C1351))</f>
        <v>Kolkata</v>
      </c>
      <c r="D1338" s="2" t="str">
        <f>IFERROR(INDEX([1]HubMaster!$B$2:$B$7,MATCH(C1338,[1]HubMaster!$A$2:$A$7,0)),"Unknown")</f>
        <v>East</v>
      </c>
      <c r="E1338" s="2" t="str">
        <f>PROPER(TRIM(SUBSTITUTE([1]RawShipmentData!D1351,"  "," ")))</f>
        <v>Ecom Express</v>
      </c>
      <c r="F1338" s="2" t="str">
        <f>PROPER(TRIM([1]RawShipmentData!E1351))</f>
        <v>Air</v>
      </c>
      <c r="G1338" s="2" t="str">
        <f>PROPER(TRIM(SUBSTITUTE([1]RawShipmentData!F1351,"  "," ")))</f>
        <v>Grocery &amp; Fmcg</v>
      </c>
      <c r="H1338" s="2" t="str">
        <f>PROPER(TRIM([1]RawShipmentData!G1351))</f>
        <v>West</v>
      </c>
      <c r="I1338" s="2" t="str">
        <f t="shared" si="100"/>
        <v>Yes</v>
      </c>
      <c r="J1338" s="2">
        <f>IFERROR(VALUE(TRIM(SUBSTITUTE(UPPER([1]RawShipmentData!I1338),"KG",""))),"")</f>
        <v>9.3000000000000007</v>
      </c>
      <c r="K1338" s="2">
        <f>VALUE(SUBSTITUTE(SUBSTITUTE(SUBSTITUTE(TRIM([1]RawShipmentData!J1351),"₹",""),"Rs",""),",",""))</f>
        <v>592</v>
      </c>
      <c r="L1338" s="2">
        <f>[1]RawShipmentData!K1351</f>
        <v>4</v>
      </c>
      <c r="M1338" s="3">
        <f>IF(TRIM([1]RawShipmentData!L1351)="","",IF(ISNUMBER(SEARCH("/",TRIM([1]RawShipmentData!L1351))),DATE(VALUE(RIGHT(TRIM([1]RawShipmentData!L1351),4)),VALUE(MID(TRIM([1]RawShipmentData!L1351),FIND("/",TRIM([1]RawShipmentData!L1351))+1,2)),VALUE(LEFT(TRIM([1]RawShipmentData!L1351),FIND("/",TRIM([1]RawShipmentData!L1351))-1))),DATEVALUE(TRIM([1]RawShipmentData!L1351))))</f>
        <v>45476</v>
      </c>
      <c r="N1338" s="2">
        <f t="shared" si="101"/>
        <v>6</v>
      </c>
      <c r="O1338" s="2">
        <f t="shared" si="102"/>
        <v>2</v>
      </c>
      <c r="P1338" s="2" t="str">
        <f t="shared" si="103"/>
        <v>Late</v>
      </c>
      <c r="Q1338" s="2" t="str">
        <f>PROPER(SUBSTITUTE(TRIM([1]RawShipmentData!M1351)," ","-"))</f>
        <v>Delayed</v>
      </c>
      <c r="R1338" s="4">
        <f t="shared" si="104"/>
        <v>63.655913978494617</v>
      </c>
      <c r="S1338" s="2">
        <f>[1]RawShipmentData!N1351</f>
        <v>3</v>
      </c>
      <c r="T1338" s="2" t="str">
        <f>IF(OR(UPPER(TRIM([1]RawShipmentData!O1351))="YES",UPPER(TRIM([1]RawShipmentData!O1351))="Y"),"Yes","No")</f>
        <v>No</v>
      </c>
    </row>
    <row r="1339" spans="1:20" x14ac:dyDescent="0.25">
      <c r="A1339" s="2" t="str">
        <f>[1]RawShipmentData!A1352</f>
        <v>SHP-101153</v>
      </c>
      <c r="B1339" s="3">
        <f>IF(ISNUMBER(SEARCH("/",TRIM([1]RawShipmentData!B1352))),DATE(VALUE(RIGHT(TRIM([1]RawShipmentData!B1352),4)),VALUE(MID(TRIM([1]RawShipmentData!B1352),FIND("/",TRIM([1]RawShipmentData!B1352))+1,2)),VALUE(LEFT(TRIM([1]RawShipmentData!B1352),FIND("/",TRIM([1]RawShipmentData!B1352))-1))),DATEVALUE(TRIM([1]RawShipmentData!B1352)))</f>
        <v>45349</v>
      </c>
      <c r="C1339" s="2" t="str">
        <f>PROPER(TRIM([1]RawShipmentData!C1352))</f>
        <v>Hyderabad</v>
      </c>
      <c r="D1339" s="2" t="str">
        <f>IFERROR(INDEX([1]HubMaster!$B$2:$B$7,MATCH(C1339,[1]HubMaster!$A$2:$A$7,0)),"Unknown")</f>
        <v>West</v>
      </c>
      <c r="E1339" s="2" t="str">
        <f>PROPER(TRIM(SUBSTITUTE([1]RawShipmentData!D1352,"  "," ")))</f>
        <v>Dtdc</v>
      </c>
      <c r="F1339" s="2" t="str">
        <f>PROPER(TRIM([1]RawShipmentData!E1352))</f>
        <v>Air</v>
      </c>
      <c r="G1339" s="2" t="str">
        <f>PROPER(TRIM(SUBSTITUTE([1]RawShipmentData!F1352,"  "," ")))</f>
        <v>Electronics</v>
      </c>
      <c r="H1339" s="2" t="str">
        <f>PROPER(TRIM([1]RawShipmentData!G1352))</f>
        <v>South</v>
      </c>
      <c r="I1339" s="2" t="str">
        <f t="shared" si="100"/>
        <v>Yes</v>
      </c>
      <c r="J1339" s="2">
        <f>IFERROR(VALUE(TRIM(SUBSTITUTE(UPPER([1]RawShipmentData!I1339),"KG",""))),"")</f>
        <v>4.5999999999999996</v>
      </c>
      <c r="K1339" s="2">
        <f>VALUE(SUBSTITUTE(SUBSTITUTE(SUBSTITUTE(TRIM([1]RawShipmentData!J1352),"₹",""),"Rs",""),",",""))</f>
        <v>447</v>
      </c>
      <c r="L1339" s="2">
        <f>[1]RawShipmentData!K1352</f>
        <v>4</v>
      </c>
      <c r="M1339" s="3">
        <f>IF(TRIM([1]RawShipmentData!L1352)="","",IF(ISNUMBER(SEARCH("/",TRIM([1]RawShipmentData!L1352))),DATE(VALUE(RIGHT(TRIM([1]RawShipmentData!L1352),4)),VALUE(MID(TRIM([1]RawShipmentData!L1352),FIND("/",TRIM([1]RawShipmentData!L1352))+1,2)),VALUE(LEFT(TRIM([1]RawShipmentData!L1352),FIND("/",TRIM([1]RawShipmentData!L1352))-1))),DATEVALUE(TRIM([1]RawShipmentData!L1352))))</f>
        <v>45352</v>
      </c>
      <c r="N1339" s="2">
        <f t="shared" si="101"/>
        <v>3</v>
      </c>
      <c r="O1339" s="2">
        <f t="shared" si="102"/>
        <v>-1</v>
      </c>
      <c r="P1339" s="2" t="str">
        <f t="shared" si="103"/>
        <v>On Time</v>
      </c>
      <c r="Q1339" s="2" t="str">
        <f>PROPER(SUBSTITUTE(TRIM([1]RawShipmentData!M1352)," ","-"))</f>
        <v>Delivered</v>
      </c>
      <c r="R1339" s="4">
        <f t="shared" si="104"/>
        <v>97.173913043478265</v>
      </c>
      <c r="S1339" s="2">
        <f>[1]RawShipmentData!N1352</f>
        <v>5</v>
      </c>
      <c r="T1339" s="2" t="str">
        <f>IF(OR(UPPER(TRIM([1]RawShipmentData!O1352))="YES",UPPER(TRIM([1]RawShipmentData!O1352))="Y"),"Yes","No")</f>
        <v>Yes</v>
      </c>
    </row>
    <row r="1340" spans="1:20" x14ac:dyDescent="0.25">
      <c r="A1340" s="2" t="str">
        <f>[1]RawShipmentData!A1353</f>
        <v>SHP-100937</v>
      </c>
      <c r="B1340" s="3">
        <f>IF(ISNUMBER(SEARCH("/",TRIM([1]RawShipmentData!B1353))),DATE(VALUE(RIGHT(TRIM([1]RawShipmentData!B1353),4)),VALUE(MID(TRIM([1]RawShipmentData!B1353),FIND("/",TRIM([1]RawShipmentData!B1353))+1,2)),VALUE(LEFT(TRIM([1]RawShipmentData!B1353),FIND("/",TRIM([1]RawShipmentData!B1353))-1))),DATEVALUE(TRIM([1]RawShipmentData!B1353)))</f>
        <v>45445</v>
      </c>
      <c r="C1340" s="2" t="str">
        <f>PROPER(TRIM([1]RawShipmentData!C1353))</f>
        <v>Delhi</v>
      </c>
      <c r="D1340" s="2" t="str">
        <f>IFERROR(INDEX([1]HubMaster!$B$2:$B$7,MATCH(C1340,[1]HubMaster!$A$2:$A$7,0)),"Unknown")</f>
        <v>North</v>
      </c>
      <c r="E1340" s="2" t="str">
        <f>PROPER(TRIM(SUBSTITUTE([1]RawShipmentData!D1353,"  "," ")))</f>
        <v/>
      </c>
      <c r="F1340" s="2" t="str">
        <f>PROPER(TRIM([1]RawShipmentData!E1353))</f>
        <v>Air</v>
      </c>
      <c r="G1340" s="2" t="str">
        <f>PROPER(TRIM(SUBSTITUTE([1]RawShipmentData!F1353,"  "," ")))</f>
        <v>Furniture</v>
      </c>
      <c r="H1340" s="2" t="str">
        <f>PROPER(TRIM([1]RawShipmentData!G1353))</f>
        <v>East</v>
      </c>
      <c r="I1340" s="2" t="str">
        <f t="shared" si="100"/>
        <v>Yes</v>
      </c>
      <c r="J1340" s="2">
        <f>IFERROR(VALUE(TRIM(SUBSTITUTE(UPPER([1]RawShipmentData!I1340),"KG",""))),"")</f>
        <v>76.2</v>
      </c>
      <c r="K1340" s="2">
        <f>VALUE(SUBSTITUTE(SUBSTITUTE(SUBSTITUTE(TRIM([1]RawShipmentData!J1353),"₹",""),"Rs",""),",",""))</f>
        <v>1449</v>
      </c>
      <c r="L1340" s="2">
        <f>[1]RawShipmentData!K1353</f>
        <v>4</v>
      </c>
      <c r="M1340" s="3">
        <f>IF(TRIM([1]RawShipmentData!L1353)="","",IF(ISNUMBER(SEARCH("/",TRIM([1]RawShipmentData!L1353))),DATE(VALUE(RIGHT(TRIM([1]RawShipmentData!L1353),4)),VALUE(MID(TRIM([1]RawShipmentData!L1353),FIND("/",TRIM([1]RawShipmentData!L1353))+1,2)),VALUE(LEFT(TRIM([1]RawShipmentData!L1353),FIND("/",TRIM([1]RawShipmentData!L1353))-1))),DATEVALUE(TRIM([1]RawShipmentData!L1353))))</f>
        <v>45455</v>
      </c>
      <c r="N1340" s="2">
        <f t="shared" si="101"/>
        <v>10</v>
      </c>
      <c r="O1340" s="2">
        <f t="shared" si="102"/>
        <v>6</v>
      </c>
      <c r="P1340" s="2" t="str">
        <f t="shared" si="103"/>
        <v>Late</v>
      </c>
      <c r="Q1340" s="2" t="str">
        <f>PROPER(SUBSTITUTE(TRIM([1]RawShipmentData!M1353)," ","-"))</f>
        <v>Delayed</v>
      </c>
      <c r="R1340" s="4">
        <f t="shared" si="104"/>
        <v>19.015748031496063</v>
      </c>
      <c r="S1340" s="2">
        <f>[1]RawShipmentData!N1353</f>
        <v>3</v>
      </c>
      <c r="T1340" s="2" t="str">
        <f>IF(OR(UPPER(TRIM([1]RawShipmentData!O1353))="YES",UPPER(TRIM([1]RawShipmentData!O1353))="Y"),"Yes","No")</f>
        <v>Yes</v>
      </c>
    </row>
    <row r="1341" spans="1:20" x14ac:dyDescent="0.25">
      <c r="A1341" s="2" t="str">
        <f>[1]RawShipmentData!A1354</f>
        <v>SHP-100562</v>
      </c>
      <c r="B1341" s="3">
        <f>IF(ISNUMBER(SEARCH("/",TRIM([1]RawShipmentData!B1354))),DATE(VALUE(RIGHT(TRIM([1]RawShipmentData!B1354),4)),VALUE(MID(TRIM([1]RawShipmentData!B1354),FIND("/",TRIM([1]RawShipmentData!B1354))+1,2)),VALUE(LEFT(TRIM([1]RawShipmentData!B1354),FIND("/",TRIM([1]RawShipmentData!B1354))-1))),DATEVALUE(TRIM([1]RawShipmentData!B1354)))</f>
        <v>45359</v>
      </c>
      <c r="C1341" s="2" t="str">
        <f>PROPER(TRIM([1]RawShipmentData!C1354))</f>
        <v>Mumbai</v>
      </c>
      <c r="D1341" s="2" t="str">
        <f>IFERROR(INDEX([1]HubMaster!$B$2:$B$7,MATCH(C1341,[1]HubMaster!$A$2:$A$7,0)),"Unknown")</f>
        <v>West</v>
      </c>
      <c r="E1341" s="2" t="str">
        <f>PROPER(TRIM(SUBSTITUTE([1]RawShipmentData!D1354,"  "," ")))</f>
        <v>Dtdc</v>
      </c>
      <c r="F1341" s="2" t="str">
        <f>PROPER(TRIM([1]RawShipmentData!E1354))</f>
        <v>Surface</v>
      </c>
      <c r="G1341" s="2" t="str">
        <f>PROPER(TRIM(SUBSTITUTE([1]RawShipmentData!F1354,"  "," ")))</f>
        <v>Pharma</v>
      </c>
      <c r="H1341" s="2" t="str">
        <f>PROPER(TRIM([1]RawShipmentData!G1354))</f>
        <v>West</v>
      </c>
      <c r="I1341" s="2" t="str">
        <f t="shared" si="100"/>
        <v>No</v>
      </c>
      <c r="J1341" s="2">
        <f>IFERROR(VALUE(TRIM(SUBSTITUTE(UPPER([1]RawShipmentData!I1341),"KG",""))),"")</f>
        <v>4.5999999999999996</v>
      </c>
      <c r="K1341" s="2">
        <f>VALUE(SUBSTITUTE(SUBSTITUTE(SUBSTITUTE(TRIM([1]RawShipmentData!J1354),"₹",""),"Rs",""),",",""))</f>
        <v>80</v>
      </c>
      <c r="L1341" s="2">
        <f>[1]RawShipmentData!K1354</f>
        <v>4</v>
      </c>
      <c r="M1341" s="3">
        <f>IF(TRIM([1]RawShipmentData!L1354)="","",IF(ISNUMBER(SEARCH("/",TRIM([1]RawShipmentData!L1354))),DATE(VALUE(RIGHT(TRIM([1]RawShipmentData!L1354),4)),VALUE(MID(TRIM([1]RawShipmentData!L1354),FIND("/",TRIM([1]RawShipmentData!L1354))+1,2)),VALUE(LEFT(TRIM([1]RawShipmentData!L1354),FIND("/",TRIM([1]RawShipmentData!L1354))-1))),DATEVALUE(TRIM([1]RawShipmentData!L1354))))</f>
        <v>45365</v>
      </c>
      <c r="N1341" s="2">
        <f t="shared" si="101"/>
        <v>6</v>
      </c>
      <c r="O1341" s="2">
        <f t="shared" si="102"/>
        <v>2</v>
      </c>
      <c r="P1341" s="2" t="str">
        <f t="shared" si="103"/>
        <v>Late</v>
      </c>
      <c r="Q1341" s="2" t="str">
        <f>PROPER(SUBSTITUTE(TRIM([1]RawShipmentData!M1354)," ","-"))</f>
        <v>Delayed</v>
      </c>
      <c r="R1341" s="4">
        <f t="shared" si="104"/>
        <v>17.39130434782609</v>
      </c>
      <c r="S1341" s="2">
        <f>[1]RawShipmentData!N1354</f>
        <v>2</v>
      </c>
      <c r="T1341" s="2" t="str">
        <f>IF(OR(UPPER(TRIM([1]RawShipmentData!O1354))="YES",UPPER(TRIM([1]RawShipmentData!O1354))="Y"),"Yes","No")</f>
        <v>Yes</v>
      </c>
    </row>
    <row r="1342" spans="1:20" x14ac:dyDescent="0.25">
      <c r="A1342" s="2" t="str">
        <f>[1]RawShipmentData!A1355</f>
        <v>SHP-100067</v>
      </c>
      <c r="B1342" s="3">
        <f>IF(ISNUMBER(SEARCH("/",TRIM([1]RawShipmentData!B1355))),DATE(VALUE(RIGHT(TRIM([1]RawShipmentData!B1355),4)),VALUE(MID(TRIM([1]RawShipmentData!B1355),FIND("/",TRIM([1]RawShipmentData!B1355))+1,2)),VALUE(LEFT(TRIM([1]RawShipmentData!B1355),FIND("/",TRIM([1]RawShipmentData!B1355))-1))),DATEVALUE(TRIM([1]RawShipmentData!B1355)))</f>
        <v>45297</v>
      </c>
      <c r="C1342" s="2" t="str">
        <f>PROPER(TRIM([1]RawShipmentData!C1355))</f>
        <v>Bengaluru</v>
      </c>
      <c r="D1342" s="2" t="str">
        <f>IFERROR(INDEX([1]HubMaster!$B$2:$B$7,MATCH(C1342,[1]HubMaster!$A$2:$A$7,0)),"Unknown")</f>
        <v>South</v>
      </c>
      <c r="E1342" s="2" t="str">
        <f>PROPER(TRIM(SUBSTITUTE([1]RawShipmentData!D1355,"  "," ")))</f>
        <v>Xpressbees</v>
      </c>
      <c r="F1342" s="2" t="str">
        <f>PROPER(TRIM([1]RawShipmentData!E1355))</f>
        <v>Air</v>
      </c>
      <c r="G1342" s="2" t="str">
        <f>PROPER(TRIM(SUBSTITUTE([1]RawShipmentData!F1355,"  "," ")))</f>
        <v>Furniture</v>
      </c>
      <c r="H1342" s="2" t="str">
        <f>PROPER(TRIM([1]RawShipmentData!G1355))</f>
        <v>North</v>
      </c>
      <c r="I1342" s="2" t="str">
        <f t="shared" si="100"/>
        <v>Yes</v>
      </c>
      <c r="J1342" s="2">
        <f>IFERROR(VALUE(TRIM(SUBSTITUTE(UPPER([1]RawShipmentData!I1342),"KG",""))),"")</f>
        <v>3.5</v>
      </c>
      <c r="K1342" s="2">
        <f>VALUE(SUBSTITUTE(SUBSTITUTE(SUBSTITUTE(TRIM([1]RawShipmentData!J1355),"₹",""),"Rs",""),",",""))</f>
        <v>1188</v>
      </c>
      <c r="L1342" s="2">
        <f>[1]RawShipmentData!K1355</f>
        <v>4</v>
      </c>
      <c r="M1342" s="3">
        <f>IF(TRIM([1]RawShipmentData!L1355)="","",IF(ISNUMBER(SEARCH("/",TRIM([1]RawShipmentData!L1355))),DATE(VALUE(RIGHT(TRIM([1]RawShipmentData!L1355),4)),VALUE(MID(TRIM([1]RawShipmentData!L1355),FIND("/",TRIM([1]RawShipmentData!L1355))+1,2)),VALUE(LEFT(TRIM([1]RawShipmentData!L1355),FIND("/",TRIM([1]RawShipmentData!L1355))-1))),DATEVALUE(TRIM([1]RawShipmentData!L1355))))</f>
        <v>45308</v>
      </c>
      <c r="N1342" s="2">
        <f t="shared" si="101"/>
        <v>11</v>
      </c>
      <c r="O1342" s="2">
        <f t="shared" si="102"/>
        <v>7</v>
      </c>
      <c r="P1342" s="2" t="str">
        <f t="shared" si="103"/>
        <v>Late</v>
      </c>
      <c r="Q1342" s="2" t="str">
        <f>PROPER(SUBSTITUTE(TRIM([1]RawShipmentData!M1355)," ","-"))</f>
        <v>Delayed</v>
      </c>
      <c r="R1342" s="4">
        <f t="shared" si="104"/>
        <v>339.42857142857144</v>
      </c>
      <c r="S1342" s="2">
        <f>[1]RawShipmentData!N1355</f>
        <v>2</v>
      </c>
      <c r="T1342" s="2" t="str">
        <f>IF(OR(UPPER(TRIM([1]RawShipmentData!O1355))="YES",UPPER(TRIM([1]RawShipmentData!O1355))="Y"),"Yes","No")</f>
        <v>No</v>
      </c>
    </row>
    <row r="1343" spans="1:20" x14ac:dyDescent="0.25">
      <c r="A1343" s="2" t="str">
        <f>[1]RawShipmentData!A1356</f>
        <v>SHP-100630</v>
      </c>
      <c r="B1343" s="3">
        <f>IF(ISNUMBER(SEARCH("/",TRIM([1]RawShipmentData!B1356))),DATE(VALUE(RIGHT(TRIM([1]RawShipmentData!B1356),4)),VALUE(MID(TRIM([1]RawShipmentData!B1356),FIND("/",TRIM([1]RawShipmentData!B1356))+1,2)),VALUE(LEFT(TRIM([1]RawShipmentData!B1356),FIND("/",TRIM([1]RawShipmentData!B1356))-1))),DATEVALUE(TRIM([1]RawShipmentData!B1356)))</f>
        <v>45317</v>
      </c>
      <c r="C1343" s="2" t="str">
        <f>PROPER(TRIM([1]RawShipmentData!C1356))</f>
        <v>Chennai</v>
      </c>
      <c r="D1343" s="2" t="str">
        <f>IFERROR(INDEX([1]HubMaster!$B$2:$B$7,MATCH(C1343,[1]HubMaster!$A$2:$A$7,0)),"Unknown")</f>
        <v>South</v>
      </c>
      <c r="E1343" s="2" t="str">
        <f>PROPER(TRIM(SUBSTITUTE([1]RawShipmentData!D1356,"  "," ")))</f>
        <v>Ecom Express</v>
      </c>
      <c r="F1343" s="2" t="str">
        <f>PROPER(TRIM([1]RawShipmentData!E1356))</f>
        <v>Surface</v>
      </c>
      <c r="G1343" s="2" t="str">
        <f>PROPER(TRIM(SUBSTITUTE([1]RawShipmentData!F1356,"  "," ")))</f>
        <v>Apparel</v>
      </c>
      <c r="H1343" s="2" t="str">
        <f>PROPER(TRIM([1]RawShipmentData!G1356))</f>
        <v>East</v>
      </c>
      <c r="I1343" s="2" t="str">
        <f t="shared" si="100"/>
        <v>Yes</v>
      </c>
      <c r="J1343" s="2">
        <f>IFERROR(VALUE(TRIM(SUBSTITUTE(UPPER([1]RawShipmentData!I1343),"KG",""))),"")</f>
        <v>6.9</v>
      </c>
      <c r="K1343" s="2">
        <f>VALUE(SUBSTITUTE(SUBSTITUTE(SUBSTITUTE(TRIM([1]RawShipmentData!J1356),"₹",""),"Rs",""),",",""))</f>
        <v>238</v>
      </c>
      <c r="L1343" s="2">
        <f>[1]RawShipmentData!K1356</f>
        <v>6</v>
      </c>
      <c r="M1343" s="3">
        <f>IF(TRIM([1]RawShipmentData!L1356)="","",IF(ISNUMBER(SEARCH("/",TRIM([1]RawShipmentData!L1356))),DATE(VALUE(RIGHT(TRIM([1]RawShipmentData!L1356),4)),VALUE(MID(TRIM([1]RawShipmentData!L1356),FIND("/",TRIM([1]RawShipmentData!L1356))+1,2)),VALUE(LEFT(TRIM([1]RawShipmentData!L1356),FIND("/",TRIM([1]RawShipmentData!L1356))-1))),DATEVALUE(TRIM([1]RawShipmentData!L1356))))</f>
        <v>45322</v>
      </c>
      <c r="N1343" s="2">
        <f t="shared" si="101"/>
        <v>5</v>
      </c>
      <c r="O1343" s="2">
        <f t="shared" si="102"/>
        <v>-1</v>
      </c>
      <c r="P1343" s="2" t="str">
        <f t="shared" si="103"/>
        <v>On Time</v>
      </c>
      <c r="Q1343" s="2" t="str">
        <f>PROPER(SUBSTITUTE(TRIM([1]RawShipmentData!M1356)," ","-"))</f>
        <v>Delivered</v>
      </c>
      <c r="R1343" s="4">
        <f t="shared" si="104"/>
        <v>34.492753623188406</v>
      </c>
      <c r="S1343" s="2">
        <f>[1]RawShipmentData!N1356</f>
        <v>5</v>
      </c>
      <c r="T1343" s="2" t="str">
        <f>IF(OR(UPPER(TRIM([1]RawShipmentData!O1356))="YES",UPPER(TRIM([1]RawShipmentData!O1356))="Y"),"Yes","No")</f>
        <v>No</v>
      </c>
    </row>
    <row r="1344" spans="1:20" x14ac:dyDescent="0.25">
      <c r="A1344" s="2" t="str">
        <f>[1]RawShipmentData!A1357</f>
        <v>SHP-100527</v>
      </c>
      <c r="B1344" s="3">
        <f>IF(ISNUMBER(SEARCH("/",TRIM([1]RawShipmentData!B1357))),DATE(VALUE(RIGHT(TRIM([1]RawShipmentData!B1357),4)),VALUE(MID(TRIM([1]RawShipmentData!B1357),FIND("/",TRIM([1]RawShipmentData!B1357))+1,2)),VALUE(LEFT(TRIM([1]RawShipmentData!B1357),FIND("/",TRIM([1]RawShipmentData!B1357))-1))),DATEVALUE(TRIM([1]RawShipmentData!B1357)))</f>
        <v>45295</v>
      </c>
      <c r="C1344" s="2" t="str">
        <f>PROPER(TRIM([1]RawShipmentData!C1357))</f>
        <v>Bengaluru</v>
      </c>
      <c r="D1344" s="2" t="str">
        <f>IFERROR(INDEX([1]HubMaster!$B$2:$B$7,MATCH(C1344,[1]HubMaster!$A$2:$A$7,0)),"Unknown")</f>
        <v>South</v>
      </c>
      <c r="E1344" s="2" t="str">
        <f>PROPER(TRIM(SUBSTITUTE([1]RawShipmentData!D1357,"  "," ")))</f>
        <v>Dtdc</v>
      </c>
      <c r="F1344" s="2" t="str">
        <f>PROPER(TRIM([1]RawShipmentData!E1357))</f>
        <v>Surface</v>
      </c>
      <c r="G1344" s="2" t="str">
        <f>PROPER(TRIM(SUBSTITUTE([1]RawShipmentData!F1357,"  "," ")))</f>
        <v>Apparel</v>
      </c>
      <c r="H1344" s="2" t="str">
        <f>PROPER(TRIM([1]RawShipmentData!G1357))</f>
        <v>West</v>
      </c>
      <c r="I1344" s="2" t="str">
        <f t="shared" si="100"/>
        <v>Yes</v>
      </c>
      <c r="J1344" s="2">
        <f>IFERROR(VALUE(TRIM(SUBSTITUTE(UPPER([1]RawShipmentData!I1344),"KG",""))),"")</f>
        <v>1.7</v>
      </c>
      <c r="K1344" s="2">
        <f>VALUE(SUBSTITUTE(SUBSTITUTE(SUBSTITUTE(TRIM([1]RawShipmentData!J1357),"₹",""),"Rs",""),",",""))</f>
        <v>260</v>
      </c>
      <c r="L1344" s="2">
        <f>[1]RawShipmentData!K1357</f>
        <v>6</v>
      </c>
      <c r="M1344" s="3">
        <f>IF(TRIM([1]RawShipmentData!L1357)="","",IF(ISNUMBER(SEARCH("/",TRIM([1]RawShipmentData!L1357))),DATE(VALUE(RIGHT(TRIM([1]RawShipmentData!L1357),4)),VALUE(MID(TRIM([1]RawShipmentData!L1357),FIND("/",TRIM([1]RawShipmentData!L1357))+1,2)),VALUE(LEFT(TRIM([1]RawShipmentData!L1357),FIND("/",TRIM([1]RawShipmentData!L1357))-1))),DATEVALUE(TRIM([1]RawShipmentData!L1357))))</f>
        <v>45300</v>
      </c>
      <c r="N1344" s="2">
        <f t="shared" si="101"/>
        <v>5</v>
      </c>
      <c r="O1344" s="2">
        <f t="shared" si="102"/>
        <v>-1</v>
      </c>
      <c r="P1344" s="2" t="str">
        <f t="shared" si="103"/>
        <v>On Time</v>
      </c>
      <c r="Q1344" s="2" t="str">
        <f>PROPER(SUBSTITUTE(TRIM([1]RawShipmentData!M1357)," ","-"))</f>
        <v>Delivered</v>
      </c>
      <c r="R1344" s="4">
        <f t="shared" si="104"/>
        <v>152.94117647058823</v>
      </c>
      <c r="S1344" s="2">
        <f>[1]RawShipmentData!N1357</f>
        <v>5</v>
      </c>
      <c r="T1344" s="2" t="str">
        <f>IF(OR(UPPER(TRIM([1]RawShipmentData!O1357))="YES",UPPER(TRIM([1]RawShipmentData!O1357))="Y"),"Yes","No")</f>
        <v>No</v>
      </c>
    </row>
    <row r="1345" spans="1:20" x14ac:dyDescent="0.25">
      <c r="A1345" s="2" t="str">
        <f>[1]RawShipmentData!A1358</f>
        <v>SHP-100892</v>
      </c>
      <c r="B1345" s="3">
        <f>IF(ISNUMBER(SEARCH("/",TRIM([1]RawShipmentData!B1358))),DATE(VALUE(RIGHT(TRIM([1]RawShipmentData!B1358),4)),VALUE(MID(TRIM([1]RawShipmentData!B1358),FIND("/",TRIM([1]RawShipmentData!B1358))+1,2)),VALUE(LEFT(TRIM([1]RawShipmentData!B1358),FIND("/",TRIM([1]RawShipmentData!B1358))-1))),DATEVALUE(TRIM([1]RawShipmentData!B1358)))</f>
        <v>45386</v>
      </c>
      <c r="C1345" s="2" t="str">
        <f>PROPER(TRIM([1]RawShipmentData!C1358))</f>
        <v>Chennai</v>
      </c>
      <c r="D1345" s="2" t="str">
        <f>IFERROR(INDEX([1]HubMaster!$B$2:$B$7,MATCH(C1345,[1]HubMaster!$A$2:$A$7,0)),"Unknown")</f>
        <v>South</v>
      </c>
      <c r="E1345" s="2" t="str">
        <f>PROPER(TRIM(SUBSTITUTE([1]RawShipmentData!D1358,"  "," ")))</f>
        <v>Bluedart</v>
      </c>
      <c r="F1345" s="2" t="str">
        <f>PROPER(TRIM([1]RawShipmentData!E1358))</f>
        <v>Air</v>
      </c>
      <c r="G1345" s="2" t="str">
        <f>PROPER(TRIM(SUBSTITUTE([1]RawShipmentData!F1358,"  "," ")))</f>
        <v>Apparel</v>
      </c>
      <c r="H1345" s="2" t="str">
        <f>PROPER(TRIM([1]RawShipmentData!G1358))</f>
        <v>East</v>
      </c>
      <c r="I1345" s="2" t="str">
        <f t="shared" si="100"/>
        <v>Yes</v>
      </c>
      <c r="J1345" s="2">
        <f>IFERROR(VALUE(TRIM(SUBSTITUTE(UPPER([1]RawShipmentData!I1345),"KG",""))),"")</f>
        <v>6.4</v>
      </c>
      <c r="K1345" s="2">
        <f>VALUE(SUBSTITUTE(SUBSTITUTE(SUBSTITUTE(TRIM([1]RawShipmentData!J1358),"₹",""),"Rs",""),",",""))</f>
        <v>328</v>
      </c>
      <c r="L1345" s="2">
        <f>[1]RawShipmentData!K1358</f>
        <v>4</v>
      </c>
      <c r="M1345" s="3">
        <f>IF(TRIM([1]RawShipmentData!L1358)="","",IF(ISNUMBER(SEARCH("/",TRIM([1]RawShipmentData!L1358))),DATE(VALUE(RIGHT(TRIM([1]RawShipmentData!L1358),4)),VALUE(MID(TRIM([1]RawShipmentData!L1358),FIND("/",TRIM([1]RawShipmentData!L1358))+1,2)),VALUE(LEFT(TRIM([1]RawShipmentData!L1358),FIND("/",TRIM([1]RawShipmentData!L1358))-1))),DATEVALUE(TRIM([1]RawShipmentData!L1358))))</f>
        <v>45391</v>
      </c>
      <c r="N1345" s="2">
        <f t="shared" si="101"/>
        <v>5</v>
      </c>
      <c r="O1345" s="2">
        <f t="shared" si="102"/>
        <v>1</v>
      </c>
      <c r="P1345" s="2" t="str">
        <f t="shared" si="103"/>
        <v>Late</v>
      </c>
      <c r="Q1345" s="2" t="str">
        <f>PROPER(SUBSTITUTE(TRIM([1]RawShipmentData!M1358)," ","-"))</f>
        <v>Delayed</v>
      </c>
      <c r="R1345" s="4">
        <f t="shared" si="104"/>
        <v>51.25</v>
      </c>
      <c r="S1345" s="2">
        <f>[1]RawShipmentData!N1358</f>
        <v>3</v>
      </c>
      <c r="T1345" s="2" t="str">
        <f>IF(OR(UPPER(TRIM([1]RawShipmentData!O1358))="YES",UPPER(TRIM([1]RawShipmentData!O1358))="Y"),"Yes","No")</f>
        <v>No</v>
      </c>
    </row>
    <row r="1346" spans="1:20" x14ac:dyDescent="0.25">
      <c r="A1346" s="2" t="str">
        <f>[1]RawShipmentData!A1359</f>
        <v>SHP-100741</v>
      </c>
      <c r="B1346" s="3">
        <f>IF(ISNUMBER(SEARCH("/",TRIM([1]RawShipmentData!B1359))),DATE(VALUE(RIGHT(TRIM([1]RawShipmentData!B1359),4)),VALUE(MID(TRIM([1]RawShipmentData!B1359),FIND("/",TRIM([1]RawShipmentData!B1359))+1,2)),VALUE(LEFT(TRIM([1]RawShipmentData!B1359),FIND("/",TRIM([1]RawShipmentData!B1359))-1))),DATEVALUE(TRIM([1]RawShipmentData!B1359)))</f>
        <v>45347</v>
      </c>
      <c r="C1346" s="2" t="str">
        <f>PROPER(TRIM([1]RawShipmentData!C1359))</f>
        <v>Chennai</v>
      </c>
      <c r="D1346" s="2" t="str">
        <f>IFERROR(INDEX([1]HubMaster!$B$2:$B$7,MATCH(C1346,[1]HubMaster!$A$2:$A$7,0)),"Unknown")</f>
        <v>South</v>
      </c>
      <c r="E1346" s="2" t="str">
        <f>PROPER(TRIM(SUBSTITUTE([1]RawShipmentData!D1359,"  "," ")))</f>
        <v>Delhivery</v>
      </c>
      <c r="F1346" s="2" t="str">
        <f>PROPER(TRIM([1]RawShipmentData!E1359))</f>
        <v>Surface</v>
      </c>
      <c r="G1346" s="2" t="str">
        <f>PROPER(TRIM(SUBSTITUTE([1]RawShipmentData!F1359,"  "," ")))</f>
        <v>Apparel</v>
      </c>
      <c r="H1346" s="2" t="str">
        <f>PROPER(TRIM([1]RawShipmentData!G1359))</f>
        <v>East</v>
      </c>
      <c r="I1346" s="2" t="str">
        <f t="shared" ref="I1346:I1409" si="105">IF(D1346=H1346,"No","Yes")</f>
        <v>Yes</v>
      </c>
      <c r="J1346" s="2">
        <f>IFERROR(VALUE(TRIM(SUBSTITUTE(UPPER([1]RawShipmentData!I1346),"KG",""))),"")</f>
        <v>4</v>
      </c>
      <c r="K1346" s="2">
        <f>VALUE(SUBSTITUTE(SUBSTITUTE(SUBSTITUTE(TRIM([1]RawShipmentData!J1359),"₹",""),"Rs",""),",",""))</f>
        <v>282</v>
      </c>
      <c r="L1346" s="2">
        <f>[1]RawShipmentData!K1359</f>
        <v>6</v>
      </c>
      <c r="M1346" s="3">
        <f>IF(TRIM([1]RawShipmentData!L1359)="","",IF(ISNUMBER(SEARCH("/",TRIM([1]RawShipmentData!L1359))),DATE(VALUE(RIGHT(TRIM([1]RawShipmentData!L1359),4)),VALUE(MID(TRIM([1]RawShipmentData!L1359),FIND("/",TRIM([1]RawShipmentData!L1359))+1,2)),VALUE(LEFT(TRIM([1]RawShipmentData!L1359),FIND("/",TRIM([1]RawShipmentData!L1359))-1))),DATEVALUE(TRIM([1]RawShipmentData!L1359))))</f>
        <v>45361</v>
      </c>
      <c r="N1346" s="2">
        <f t="shared" ref="N1346:N1409" si="106">IF(M1346="","",M1346-B1346)</f>
        <v>14</v>
      </c>
      <c r="O1346" s="2">
        <f t="shared" ref="O1346:O1409" si="107">IF(N1346="","",N1346-L1346)</f>
        <v>8</v>
      </c>
      <c r="P1346" s="2" t="str">
        <f t="shared" ref="P1346:P1409" si="108">IF(N1346="","N/A",IF(N1346&lt;=L1346,"On Time","Late"))</f>
        <v>Late</v>
      </c>
      <c r="Q1346" s="2" t="str">
        <f>PROPER(SUBSTITUTE(TRIM([1]RawShipmentData!M1359)," ","-"))</f>
        <v>Delayed</v>
      </c>
      <c r="R1346" s="4">
        <f t="shared" si="104"/>
        <v>70.5</v>
      </c>
      <c r="S1346" s="2">
        <f>[1]RawShipmentData!N1359</f>
        <v>1</v>
      </c>
      <c r="T1346" s="2" t="str">
        <f>IF(OR(UPPER(TRIM([1]RawShipmentData!O1359))="YES",UPPER(TRIM([1]RawShipmentData!O1359))="Y"),"Yes","No")</f>
        <v>No</v>
      </c>
    </row>
    <row r="1347" spans="1:20" x14ac:dyDescent="0.25">
      <c r="A1347" s="2" t="str">
        <f>[1]RawShipmentData!A1360</f>
        <v>SHP-101076</v>
      </c>
      <c r="B1347" s="3">
        <f>IF(ISNUMBER(SEARCH("/",TRIM([1]RawShipmentData!B1360))),DATE(VALUE(RIGHT(TRIM([1]RawShipmentData!B1360),4)),VALUE(MID(TRIM([1]RawShipmentData!B1360),FIND("/",TRIM([1]RawShipmentData!B1360))+1,2)),VALUE(LEFT(TRIM([1]RawShipmentData!B1360),FIND("/",TRIM([1]RawShipmentData!B1360))-1))),DATEVALUE(TRIM([1]RawShipmentData!B1360)))</f>
        <v>45363</v>
      </c>
      <c r="C1347" s="2" t="str">
        <f>PROPER(TRIM([1]RawShipmentData!C1360))</f>
        <v>Bengaluru</v>
      </c>
      <c r="D1347" s="2" t="str">
        <f>IFERROR(INDEX([1]HubMaster!$B$2:$B$7,MATCH(C1347,[1]HubMaster!$A$2:$A$7,0)),"Unknown")</f>
        <v>South</v>
      </c>
      <c r="E1347" s="2" t="str">
        <f>PROPER(TRIM(SUBSTITUTE([1]RawShipmentData!D1360,"  "," ")))</f>
        <v>Delhivery</v>
      </c>
      <c r="F1347" s="2" t="str">
        <f>PROPER(TRIM([1]RawShipmentData!E1360))</f>
        <v>Road</v>
      </c>
      <c r="G1347" s="2" t="str">
        <f>PROPER(TRIM(SUBSTITUTE([1]RawShipmentData!F1360,"  "," ")))</f>
        <v>Apparel</v>
      </c>
      <c r="H1347" s="2" t="str">
        <f>PROPER(TRIM([1]RawShipmentData!G1360))</f>
        <v>West</v>
      </c>
      <c r="I1347" s="2" t="str">
        <f t="shared" si="105"/>
        <v>Yes</v>
      </c>
      <c r="J1347" s="2">
        <f>IFERROR(VALUE(TRIM(SUBSTITUTE(UPPER([1]RawShipmentData!I1347),"KG",""))),"")</f>
        <v>37.1</v>
      </c>
      <c r="K1347" s="2">
        <f>VALUE(SUBSTITUTE(SUBSTITUTE(SUBSTITUTE(TRIM([1]RawShipmentData!J1360),"₹",""),"Rs",""),",",""))</f>
        <v>238</v>
      </c>
      <c r="L1347" s="2">
        <f>[1]RawShipmentData!K1360</f>
        <v>8</v>
      </c>
      <c r="M1347" s="3">
        <f>IF(TRIM([1]RawShipmentData!L1360)="","",IF(ISNUMBER(SEARCH("/",TRIM([1]RawShipmentData!L1360))),DATE(VALUE(RIGHT(TRIM([1]RawShipmentData!L1360),4)),VALUE(MID(TRIM([1]RawShipmentData!L1360),FIND("/",TRIM([1]RawShipmentData!L1360))+1,2)),VALUE(LEFT(TRIM([1]RawShipmentData!L1360),FIND("/",TRIM([1]RawShipmentData!L1360))-1))),DATEVALUE(TRIM([1]RawShipmentData!L1360))))</f>
        <v>45370</v>
      </c>
      <c r="N1347" s="2">
        <f t="shared" si="106"/>
        <v>7</v>
      </c>
      <c r="O1347" s="2">
        <f t="shared" si="107"/>
        <v>-1</v>
      </c>
      <c r="P1347" s="2" t="str">
        <f t="shared" si="108"/>
        <v>On Time</v>
      </c>
      <c r="Q1347" s="2" t="str">
        <f>PROPER(SUBSTITUTE(TRIM([1]RawShipmentData!M1360)," ","-"))</f>
        <v>Delivered</v>
      </c>
      <c r="R1347" s="4">
        <f t="shared" ref="R1347:R1410" si="109">IFERROR(K1347/J1347,"")</f>
        <v>6.415094339622641</v>
      </c>
      <c r="S1347" s="2">
        <f>[1]RawShipmentData!N1360</f>
        <v>5</v>
      </c>
      <c r="T1347" s="2" t="str">
        <f>IF(OR(UPPER(TRIM([1]RawShipmentData!O1360))="YES",UPPER(TRIM([1]RawShipmentData!O1360))="Y"),"Yes","No")</f>
        <v>No</v>
      </c>
    </row>
    <row r="1348" spans="1:20" x14ac:dyDescent="0.25">
      <c r="A1348" s="2" t="str">
        <f>[1]RawShipmentData!A1361</f>
        <v>SHP-100118</v>
      </c>
      <c r="B1348" s="3">
        <f>IF(ISNUMBER(SEARCH("/",TRIM([1]RawShipmentData!B1361))),DATE(VALUE(RIGHT(TRIM([1]RawShipmentData!B1361),4)),VALUE(MID(TRIM([1]RawShipmentData!B1361),FIND("/",TRIM([1]RawShipmentData!B1361))+1,2)),VALUE(LEFT(TRIM([1]RawShipmentData!B1361),FIND("/",TRIM([1]RawShipmentData!B1361))-1))),DATEVALUE(TRIM([1]RawShipmentData!B1361)))</f>
        <v>45367</v>
      </c>
      <c r="C1348" s="2" t="str">
        <f>PROPER(TRIM([1]RawShipmentData!C1361))</f>
        <v>Bengaluru</v>
      </c>
      <c r="D1348" s="2" t="str">
        <f>IFERROR(INDEX([1]HubMaster!$B$2:$B$7,MATCH(C1348,[1]HubMaster!$A$2:$A$7,0)),"Unknown")</f>
        <v>South</v>
      </c>
      <c r="E1348" s="2" t="str">
        <f>PROPER(TRIM(SUBSTITUTE([1]RawShipmentData!D1361,"  "," ")))</f>
        <v>Ecom Express</v>
      </c>
      <c r="F1348" s="2" t="str">
        <f>PROPER(TRIM([1]RawShipmentData!E1361))</f>
        <v>Road</v>
      </c>
      <c r="G1348" s="2" t="str">
        <f>PROPER(TRIM(SUBSTITUTE([1]RawShipmentData!F1361,"  "," ")))</f>
        <v>Apparel</v>
      </c>
      <c r="H1348" s="2" t="str">
        <f>PROPER(TRIM([1]RawShipmentData!G1361))</f>
        <v>South</v>
      </c>
      <c r="I1348" s="2" t="str">
        <f t="shared" si="105"/>
        <v>No</v>
      </c>
      <c r="J1348" s="2">
        <f>IFERROR(VALUE(TRIM(SUBSTITUTE(UPPER([1]RawShipmentData!I1348),"KG",""))),"")</f>
        <v>23.2</v>
      </c>
      <c r="K1348" s="2">
        <f>VALUE(SUBSTITUTE(SUBSTITUTE(SUBSTITUTE(TRIM([1]RawShipmentData!J1361),"₹",""),"Rs",""),",",""))</f>
        <v>95</v>
      </c>
      <c r="L1348" s="2">
        <f>[1]RawShipmentData!K1361</f>
        <v>6</v>
      </c>
      <c r="M1348" s="3">
        <f>IF(TRIM([1]RawShipmentData!L1361)="","",IF(ISNUMBER(SEARCH("/",TRIM([1]RawShipmentData!L1361))),DATE(VALUE(RIGHT(TRIM([1]RawShipmentData!L1361),4)),VALUE(MID(TRIM([1]RawShipmentData!L1361),FIND("/",TRIM([1]RawShipmentData!L1361))+1,2)),VALUE(LEFT(TRIM([1]RawShipmentData!L1361),FIND("/",TRIM([1]RawShipmentData!L1361))-1))),DATEVALUE(TRIM([1]RawShipmentData!L1361))))</f>
        <v>45373</v>
      </c>
      <c r="N1348" s="2">
        <f t="shared" si="106"/>
        <v>6</v>
      </c>
      <c r="O1348" s="2">
        <f t="shared" si="107"/>
        <v>0</v>
      </c>
      <c r="P1348" s="2" t="str">
        <f t="shared" si="108"/>
        <v>On Time</v>
      </c>
      <c r="Q1348" s="2" t="str">
        <f>PROPER(SUBSTITUTE(TRIM([1]RawShipmentData!M1361)," ","-"))</f>
        <v>Delivered</v>
      </c>
      <c r="R1348" s="4">
        <f t="shared" si="109"/>
        <v>4.0948275862068968</v>
      </c>
      <c r="S1348" s="2">
        <f>[1]RawShipmentData!N1361</f>
        <v>4</v>
      </c>
      <c r="T1348" s="2" t="str">
        <f>IF(OR(UPPER(TRIM([1]RawShipmentData!O1361))="YES",UPPER(TRIM([1]RawShipmentData!O1361))="Y"),"Yes","No")</f>
        <v>No</v>
      </c>
    </row>
    <row r="1349" spans="1:20" x14ac:dyDescent="0.25">
      <c r="A1349" s="2" t="str">
        <f>[1]RawShipmentData!A1362</f>
        <v>SHP-100019</v>
      </c>
      <c r="B1349" s="3">
        <f>IF(ISNUMBER(SEARCH("/",TRIM([1]RawShipmentData!B1362))),DATE(VALUE(RIGHT(TRIM([1]RawShipmentData!B1362),4)),VALUE(MID(TRIM([1]RawShipmentData!B1362),FIND("/",TRIM([1]RawShipmentData!B1362))+1,2)),VALUE(LEFT(TRIM([1]RawShipmentData!B1362),FIND("/",TRIM([1]RawShipmentData!B1362))-1))),DATEVALUE(TRIM([1]RawShipmentData!B1362)))</f>
        <v>45364</v>
      </c>
      <c r="C1349" s="2" t="str">
        <f>PROPER(TRIM([1]RawShipmentData!C1362))</f>
        <v>Mumbai</v>
      </c>
      <c r="D1349" s="2" t="str">
        <f>IFERROR(INDEX([1]HubMaster!$B$2:$B$7,MATCH(C1349,[1]HubMaster!$A$2:$A$7,0)),"Unknown")</f>
        <v>West</v>
      </c>
      <c r="E1349" s="2" t="str">
        <f>PROPER(TRIM(SUBSTITUTE([1]RawShipmentData!D1362,"  "," ")))</f>
        <v>Ecom Express</v>
      </c>
      <c r="F1349" s="2" t="str">
        <f>PROPER(TRIM([1]RawShipmentData!E1362))</f>
        <v>Road</v>
      </c>
      <c r="G1349" s="2" t="str">
        <f>PROPER(TRIM(SUBSTITUTE([1]RawShipmentData!F1362,"  "," ")))</f>
        <v>Grocery &amp; Fmcg</v>
      </c>
      <c r="H1349" s="2" t="str">
        <f>PROPER(TRIM([1]RawShipmentData!G1362))</f>
        <v>East</v>
      </c>
      <c r="I1349" s="2" t="str">
        <f t="shared" si="105"/>
        <v>Yes</v>
      </c>
      <c r="J1349" s="2">
        <f>IFERROR(VALUE(TRIM(SUBSTITUTE(UPPER([1]RawShipmentData!I1349),"KG",""))),"")</f>
        <v>67.900000000000006</v>
      </c>
      <c r="K1349" s="2">
        <f>VALUE(SUBSTITUTE(SUBSTITUTE(SUBSTITUTE(TRIM([1]RawShipmentData!J1362),"₹",""),"Rs",""),",",""))</f>
        <v>183</v>
      </c>
      <c r="L1349" s="2">
        <f>[1]RawShipmentData!K1362</f>
        <v>8</v>
      </c>
      <c r="M1349" s="3">
        <f>IF(TRIM([1]RawShipmentData!L1362)="","",IF(ISNUMBER(SEARCH("/",TRIM([1]RawShipmentData!L1362))),DATE(VALUE(RIGHT(TRIM([1]RawShipmentData!L1362),4)),VALUE(MID(TRIM([1]RawShipmentData!L1362),FIND("/",TRIM([1]RawShipmentData!L1362))+1,2)),VALUE(LEFT(TRIM([1]RawShipmentData!L1362),FIND("/",TRIM([1]RawShipmentData!L1362))-1))),DATEVALUE(TRIM([1]RawShipmentData!L1362))))</f>
        <v>45371</v>
      </c>
      <c r="N1349" s="2">
        <f t="shared" si="106"/>
        <v>7</v>
      </c>
      <c r="O1349" s="2">
        <f t="shared" si="107"/>
        <v>-1</v>
      </c>
      <c r="P1349" s="2" t="str">
        <f t="shared" si="108"/>
        <v>On Time</v>
      </c>
      <c r="Q1349" s="2" t="str">
        <f>PROPER(SUBSTITUTE(TRIM([1]RawShipmentData!M1362)," ","-"))</f>
        <v>Delivered</v>
      </c>
      <c r="R1349" s="4">
        <f t="shared" si="109"/>
        <v>2.6951399116347567</v>
      </c>
      <c r="S1349" s="2">
        <f>[1]RawShipmentData!N1362</f>
        <v>4</v>
      </c>
      <c r="T1349" s="2" t="str">
        <f>IF(OR(UPPER(TRIM([1]RawShipmentData!O1362))="YES",UPPER(TRIM([1]RawShipmentData!O1362))="Y"),"Yes","No")</f>
        <v>No</v>
      </c>
    </row>
    <row r="1350" spans="1:20" x14ac:dyDescent="0.25">
      <c r="A1350" s="2" t="str">
        <f>[1]RawShipmentData!A1363</f>
        <v>SHP-101535</v>
      </c>
      <c r="B1350" s="3">
        <f>IF(ISNUMBER(SEARCH("/",TRIM([1]RawShipmentData!B1363))),DATE(VALUE(RIGHT(TRIM([1]RawShipmentData!B1363),4)),VALUE(MID(TRIM([1]RawShipmentData!B1363),FIND("/",TRIM([1]RawShipmentData!B1363))+1,2)),VALUE(LEFT(TRIM([1]RawShipmentData!B1363),FIND("/",TRIM([1]RawShipmentData!B1363))-1))),DATEVALUE(TRIM([1]RawShipmentData!B1363)))</f>
        <v>45423</v>
      </c>
      <c r="C1350" s="2" t="str">
        <f>PROPER(TRIM([1]RawShipmentData!C1363))</f>
        <v>Delhi</v>
      </c>
      <c r="D1350" s="2" t="str">
        <f>IFERROR(INDEX([1]HubMaster!$B$2:$B$7,MATCH(C1350,[1]HubMaster!$A$2:$A$7,0)),"Unknown")</f>
        <v>North</v>
      </c>
      <c r="E1350" s="2" t="str">
        <f>PROPER(TRIM(SUBSTITUTE([1]RawShipmentData!D1363,"  "," ")))</f>
        <v>Xpressbees</v>
      </c>
      <c r="F1350" s="2" t="str">
        <f>PROPER(TRIM([1]RawShipmentData!E1363))</f>
        <v>Air</v>
      </c>
      <c r="G1350" s="2" t="str">
        <f>PROPER(TRIM(SUBSTITUTE([1]RawShipmentData!F1363,"  "," ")))</f>
        <v>Pharma</v>
      </c>
      <c r="H1350" s="2" t="str">
        <f>PROPER(TRIM([1]RawShipmentData!G1363))</f>
        <v>South</v>
      </c>
      <c r="I1350" s="2" t="str">
        <f t="shared" si="105"/>
        <v>Yes</v>
      </c>
      <c r="J1350" s="2">
        <f>IFERROR(VALUE(TRIM(SUBSTITUTE(UPPER([1]RawShipmentData!I1350),"KG",""))),"")</f>
        <v>13</v>
      </c>
      <c r="K1350" s="2">
        <f>VALUE(SUBSTITUTE(SUBSTITUTE(SUBSTITUTE(TRIM([1]RawShipmentData!J1363),"₹",""),"Rs",""),",",""))</f>
        <v>324</v>
      </c>
      <c r="L1350" s="2">
        <f>[1]RawShipmentData!K1363</f>
        <v>4</v>
      </c>
      <c r="M1350" s="3">
        <f>IF(TRIM([1]RawShipmentData!L1363)="","",IF(ISNUMBER(SEARCH("/",TRIM([1]RawShipmentData!L1363))),DATE(VALUE(RIGHT(TRIM([1]RawShipmentData!L1363),4)),VALUE(MID(TRIM([1]RawShipmentData!L1363),FIND("/",TRIM([1]RawShipmentData!L1363))+1,2)),VALUE(LEFT(TRIM([1]RawShipmentData!L1363),FIND("/",TRIM([1]RawShipmentData!L1363))-1))),DATEVALUE(TRIM([1]RawShipmentData!L1363))))</f>
        <v>45433</v>
      </c>
      <c r="N1350" s="2">
        <f t="shared" si="106"/>
        <v>10</v>
      </c>
      <c r="O1350" s="2">
        <f t="shared" si="107"/>
        <v>6</v>
      </c>
      <c r="P1350" s="2" t="str">
        <f t="shared" si="108"/>
        <v>Late</v>
      </c>
      <c r="Q1350" s="2" t="str">
        <f>PROPER(SUBSTITUTE(TRIM([1]RawShipmentData!M1363)," ","-"))</f>
        <v>Delayed</v>
      </c>
      <c r="R1350" s="4">
        <f t="shared" si="109"/>
        <v>24.923076923076923</v>
      </c>
      <c r="S1350" s="2">
        <f>[1]RawShipmentData!N1363</f>
        <v>1</v>
      </c>
      <c r="T1350" s="2" t="str">
        <f>IF(OR(UPPER(TRIM([1]RawShipmentData!O1363))="YES",UPPER(TRIM([1]RawShipmentData!O1363))="Y"),"Yes","No")</f>
        <v>No</v>
      </c>
    </row>
    <row r="1351" spans="1:20" x14ac:dyDescent="0.25">
      <c r="A1351" s="2" t="str">
        <f>[1]RawShipmentData!A1364</f>
        <v>SHP-100360</v>
      </c>
      <c r="B1351" s="3">
        <f>IF(ISNUMBER(SEARCH("/",TRIM([1]RawShipmentData!B1364))),DATE(VALUE(RIGHT(TRIM([1]RawShipmentData!B1364),4)),VALUE(MID(TRIM([1]RawShipmentData!B1364),FIND("/",TRIM([1]RawShipmentData!B1364))+1,2)),VALUE(LEFT(TRIM([1]RawShipmentData!B1364),FIND("/",TRIM([1]RawShipmentData!B1364))-1))),DATEVALUE(TRIM([1]RawShipmentData!B1364)))</f>
        <v>45415</v>
      </c>
      <c r="C1351" s="2" t="str">
        <f>PROPER(TRIM([1]RawShipmentData!C1364))</f>
        <v>Kolkata</v>
      </c>
      <c r="D1351" s="2" t="str">
        <f>IFERROR(INDEX([1]HubMaster!$B$2:$B$7,MATCH(C1351,[1]HubMaster!$A$2:$A$7,0)),"Unknown")</f>
        <v>East</v>
      </c>
      <c r="E1351" s="2" t="str">
        <f>PROPER(TRIM(SUBSTITUTE([1]RawShipmentData!D1364,"  "," ")))</f>
        <v>Xpress Bees</v>
      </c>
      <c r="F1351" s="2" t="str">
        <f>PROPER(TRIM([1]RawShipmentData!E1364))</f>
        <v>Surface</v>
      </c>
      <c r="G1351" s="2" t="str">
        <f>PROPER(TRIM(SUBSTITUTE([1]RawShipmentData!F1364,"  "," ")))</f>
        <v>Pharma</v>
      </c>
      <c r="H1351" s="2" t="str">
        <f>PROPER(TRIM([1]RawShipmentData!G1364))</f>
        <v>South</v>
      </c>
      <c r="I1351" s="2" t="str">
        <f t="shared" si="105"/>
        <v>Yes</v>
      </c>
      <c r="J1351" s="2">
        <f>IFERROR(VALUE(TRIM(SUBSTITUTE(UPPER([1]RawShipmentData!I1351),"KG",""))),"")</f>
        <v>10.1</v>
      </c>
      <c r="K1351" s="2">
        <f>VALUE(SUBSTITUTE(SUBSTITUTE(SUBSTITUTE(TRIM([1]RawShipmentData!J1364),"₹",""),"Rs",""),",",""))</f>
        <v>275</v>
      </c>
      <c r="L1351" s="2">
        <f>[1]RawShipmentData!K1364</f>
        <v>6</v>
      </c>
      <c r="M1351" s="3">
        <f>IF(TRIM([1]RawShipmentData!L1364)="","",IF(ISNUMBER(SEARCH("/",TRIM([1]RawShipmentData!L1364))),DATE(VALUE(RIGHT(TRIM([1]RawShipmentData!L1364),4)),VALUE(MID(TRIM([1]RawShipmentData!L1364),FIND("/",TRIM([1]RawShipmentData!L1364))+1,2)),VALUE(LEFT(TRIM([1]RawShipmentData!L1364),FIND("/",TRIM([1]RawShipmentData!L1364))-1))),DATEVALUE(TRIM([1]RawShipmentData!L1364))))</f>
        <v>45420</v>
      </c>
      <c r="N1351" s="2">
        <f t="shared" si="106"/>
        <v>5</v>
      </c>
      <c r="O1351" s="2">
        <f t="shared" si="107"/>
        <v>-1</v>
      </c>
      <c r="P1351" s="2" t="str">
        <f t="shared" si="108"/>
        <v>On Time</v>
      </c>
      <c r="Q1351" s="2" t="str">
        <f>PROPER(SUBSTITUTE(TRIM([1]RawShipmentData!M1364)," ","-"))</f>
        <v>Delivered</v>
      </c>
      <c r="R1351" s="4">
        <f t="shared" si="109"/>
        <v>27.227722772277229</v>
      </c>
      <c r="S1351" s="2">
        <f>[1]RawShipmentData!N1364</f>
        <v>4</v>
      </c>
      <c r="T1351" s="2" t="str">
        <f>IF(OR(UPPER(TRIM([1]RawShipmentData!O1364))="YES",UPPER(TRIM([1]RawShipmentData!O1364))="Y"),"Yes","No")</f>
        <v>No</v>
      </c>
    </row>
    <row r="1352" spans="1:20" x14ac:dyDescent="0.25">
      <c r="A1352" s="2" t="str">
        <f>[1]RawShipmentData!A1365</f>
        <v>SHP-101490</v>
      </c>
      <c r="B1352" s="3">
        <f>IF(ISNUMBER(SEARCH("/",TRIM([1]RawShipmentData!B1365))),DATE(VALUE(RIGHT(TRIM([1]RawShipmentData!B1365),4)),VALUE(MID(TRIM([1]RawShipmentData!B1365),FIND("/",TRIM([1]RawShipmentData!B1365))+1,2)),VALUE(LEFT(TRIM([1]RawShipmentData!B1365),FIND("/",TRIM([1]RawShipmentData!B1365))-1))),DATEVALUE(TRIM([1]RawShipmentData!B1365)))</f>
        <v>45375</v>
      </c>
      <c r="C1352" s="2" t="str">
        <f>PROPER(TRIM([1]RawShipmentData!C1365))</f>
        <v>Chennai</v>
      </c>
      <c r="D1352" s="2" t="str">
        <f>IFERROR(INDEX([1]HubMaster!$B$2:$B$7,MATCH(C1352,[1]HubMaster!$A$2:$A$7,0)),"Unknown")</f>
        <v>South</v>
      </c>
      <c r="E1352" s="2" t="str">
        <f>PROPER(TRIM(SUBSTITUTE([1]RawShipmentData!D1365,"  "," ")))</f>
        <v>Dtdc</v>
      </c>
      <c r="F1352" s="2" t="str">
        <f>PROPER(TRIM([1]RawShipmentData!E1365))</f>
        <v>Air</v>
      </c>
      <c r="G1352" s="2" t="str">
        <f>PROPER(TRIM(SUBSTITUTE([1]RawShipmentData!F1365,"  "," ")))</f>
        <v>Furniture</v>
      </c>
      <c r="H1352" s="2" t="str">
        <f>PROPER(TRIM([1]RawShipmentData!G1365))</f>
        <v>South</v>
      </c>
      <c r="I1352" s="2" t="str">
        <f t="shared" si="105"/>
        <v>No</v>
      </c>
      <c r="J1352" s="2">
        <f>IFERROR(VALUE(TRIM(SUBSTITUTE(UPPER([1]RawShipmentData!I1352),"KG",""))),"")</f>
        <v>7</v>
      </c>
      <c r="K1352" s="2">
        <f>VALUE(SUBSTITUTE(SUBSTITUTE(SUBSTITUTE(TRIM([1]RawShipmentData!J1365),"₹",""),"Rs",""),",",""))</f>
        <v>2286</v>
      </c>
      <c r="L1352" s="2">
        <f>[1]RawShipmentData!K1365</f>
        <v>2</v>
      </c>
      <c r="M1352" s="3">
        <f>IF(TRIM([1]RawShipmentData!L1365)="","",IF(ISNUMBER(SEARCH("/",TRIM([1]RawShipmentData!L1365))),DATE(VALUE(RIGHT(TRIM([1]RawShipmentData!L1365),4)),VALUE(MID(TRIM([1]RawShipmentData!L1365),FIND("/",TRIM([1]RawShipmentData!L1365))+1,2)),VALUE(LEFT(TRIM([1]RawShipmentData!L1365),FIND("/",TRIM([1]RawShipmentData!L1365))-1))),DATEVALUE(TRIM([1]RawShipmentData!L1365))))</f>
        <v>45377</v>
      </c>
      <c r="N1352" s="2">
        <f t="shared" si="106"/>
        <v>2</v>
      </c>
      <c r="O1352" s="2">
        <f t="shared" si="107"/>
        <v>0</v>
      </c>
      <c r="P1352" s="2" t="str">
        <f t="shared" si="108"/>
        <v>On Time</v>
      </c>
      <c r="Q1352" s="2" t="str">
        <f>PROPER(SUBSTITUTE(TRIM([1]RawShipmentData!M1365)," ","-"))</f>
        <v>Damaged</v>
      </c>
      <c r="R1352" s="4">
        <f t="shared" si="109"/>
        <v>326.57142857142856</v>
      </c>
      <c r="S1352" s="2">
        <f>[1]RawShipmentData!N1365</f>
        <v>0</v>
      </c>
      <c r="T1352" s="2" t="str">
        <f>IF(OR(UPPER(TRIM([1]RawShipmentData!O1365))="YES",UPPER(TRIM([1]RawShipmentData!O1365))="Y"),"Yes","No")</f>
        <v>No</v>
      </c>
    </row>
    <row r="1353" spans="1:20" x14ac:dyDescent="0.25">
      <c r="A1353" s="2" t="str">
        <f>[1]RawShipmentData!A1366</f>
        <v>SHP-100077</v>
      </c>
      <c r="B1353" s="3">
        <f>IF(ISNUMBER(SEARCH("/",TRIM([1]RawShipmentData!B1366))),DATE(VALUE(RIGHT(TRIM([1]RawShipmentData!B1366),4)),VALUE(MID(TRIM([1]RawShipmentData!B1366),FIND("/",TRIM([1]RawShipmentData!B1366))+1,2)),VALUE(LEFT(TRIM([1]RawShipmentData!B1366),FIND("/",TRIM([1]RawShipmentData!B1366))-1))),DATEVALUE(TRIM([1]RawShipmentData!B1366)))</f>
        <v>45444</v>
      </c>
      <c r="C1353" s="2" t="str">
        <f>PROPER(TRIM([1]RawShipmentData!C1366))</f>
        <v>Bengaluru</v>
      </c>
      <c r="D1353" s="2" t="str">
        <f>IFERROR(INDEX([1]HubMaster!$B$2:$B$7,MATCH(C1353,[1]HubMaster!$A$2:$A$7,0)),"Unknown")</f>
        <v>South</v>
      </c>
      <c r="E1353" s="2" t="str">
        <f>PROPER(TRIM(SUBSTITUTE([1]RawShipmentData!D1366,"  "," ")))</f>
        <v>Xpressbees</v>
      </c>
      <c r="F1353" s="2" t="str">
        <f>PROPER(TRIM([1]RawShipmentData!E1366))</f>
        <v>Air</v>
      </c>
      <c r="G1353" s="2" t="str">
        <f>PROPER(TRIM(SUBSTITUTE([1]RawShipmentData!F1366,"  "," ")))</f>
        <v>Pharma</v>
      </c>
      <c r="H1353" s="2" t="str">
        <f>PROPER(TRIM([1]RawShipmentData!G1366))</f>
        <v>North</v>
      </c>
      <c r="I1353" s="2" t="str">
        <f t="shared" si="105"/>
        <v>Yes</v>
      </c>
      <c r="J1353" s="2">
        <f>IFERROR(VALUE(TRIM(SUBSTITUTE(UPPER([1]RawShipmentData!I1353),"KG",""))),"")</f>
        <v>28.8</v>
      </c>
      <c r="K1353" s="2">
        <f>VALUE(SUBSTITUTE(SUBSTITUTE(SUBSTITUTE(TRIM([1]RawShipmentData!J1366),"₹",""),"Rs",""),",",""))</f>
        <v>230</v>
      </c>
      <c r="L1353" s="2">
        <f>[1]RawShipmentData!K1366</f>
        <v>4</v>
      </c>
      <c r="M1353" s="3">
        <f>IF(TRIM([1]RawShipmentData!L1366)="","",IF(ISNUMBER(SEARCH("/",TRIM([1]RawShipmentData!L1366))),DATE(VALUE(RIGHT(TRIM([1]RawShipmentData!L1366),4)),VALUE(MID(TRIM([1]RawShipmentData!L1366),FIND("/",TRIM([1]RawShipmentData!L1366))+1,2)),VALUE(LEFT(TRIM([1]RawShipmentData!L1366),FIND("/",TRIM([1]RawShipmentData!L1366))-1))),DATEVALUE(TRIM([1]RawShipmentData!L1366))))</f>
        <v>45448</v>
      </c>
      <c r="N1353" s="2">
        <f t="shared" si="106"/>
        <v>4</v>
      </c>
      <c r="O1353" s="2">
        <f t="shared" si="107"/>
        <v>0</v>
      </c>
      <c r="P1353" s="2" t="str">
        <f t="shared" si="108"/>
        <v>On Time</v>
      </c>
      <c r="Q1353" s="2" t="str">
        <f>PROPER(SUBSTITUTE(TRIM([1]RawShipmentData!M1366)," ","-"))</f>
        <v>Delivered</v>
      </c>
      <c r="R1353" s="4">
        <f t="shared" si="109"/>
        <v>7.9861111111111107</v>
      </c>
      <c r="S1353" s="2">
        <f>[1]RawShipmentData!N1366</f>
        <v>5</v>
      </c>
      <c r="T1353" s="2" t="str">
        <f>IF(OR(UPPER(TRIM([1]RawShipmentData!O1366))="YES",UPPER(TRIM([1]RawShipmentData!O1366))="Y"),"Yes","No")</f>
        <v>Yes</v>
      </c>
    </row>
    <row r="1354" spans="1:20" x14ac:dyDescent="0.25">
      <c r="A1354" s="2" t="str">
        <f>[1]RawShipmentData!A1367</f>
        <v>SHP-100096</v>
      </c>
      <c r="B1354" s="3">
        <f>IF(ISNUMBER(SEARCH("/",TRIM([1]RawShipmentData!B1367))),DATE(VALUE(RIGHT(TRIM([1]RawShipmentData!B1367),4)),VALUE(MID(TRIM([1]RawShipmentData!B1367),FIND("/",TRIM([1]RawShipmentData!B1367))+1,2)),VALUE(LEFT(TRIM([1]RawShipmentData!B1367),FIND("/",TRIM([1]RawShipmentData!B1367))-1))),DATEVALUE(TRIM([1]RawShipmentData!B1367)))</f>
        <v>45423</v>
      </c>
      <c r="C1354" s="2" t="str">
        <f>PROPER(TRIM([1]RawShipmentData!C1367))</f>
        <v>Bengaluru</v>
      </c>
      <c r="D1354" s="2" t="str">
        <f>IFERROR(INDEX([1]HubMaster!$B$2:$B$7,MATCH(C1354,[1]HubMaster!$A$2:$A$7,0)),"Unknown")</f>
        <v>South</v>
      </c>
      <c r="E1354" s="2" t="str">
        <f>PROPER(TRIM(SUBSTITUTE([1]RawShipmentData!D1367,"  "," ")))</f>
        <v>Bluedart</v>
      </c>
      <c r="F1354" s="2" t="str">
        <f>PROPER(TRIM([1]RawShipmentData!E1367))</f>
        <v>Road</v>
      </c>
      <c r="G1354" s="2" t="str">
        <f>PROPER(TRIM(SUBSTITUTE([1]RawShipmentData!F1367,"  "," ")))</f>
        <v>Automotive Parts</v>
      </c>
      <c r="H1354" s="2" t="str">
        <f>PROPER(TRIM([1]RawShipmentData!G1367))</f>
        <v>East</v>
      </c>
      <c r="I1354" s="2" t="str">
        <f t="shared" si="105"/>
        <v>Yes</v>
      </c>
      <c r="J1354" s="2">
        <f>IFERROR(VALUE(TRIM(SUBSTITUTE(UPPER([1]RawShipmentData!I1354),"KG",""))),"")</f>
        <v>3.9</v>
      </c>
      <c r="K1354" s="2">
        <f>VALUE(SUBSTITUTE(SUBSTITUTE(SUBSTITUTE(TRIM([1]RawShipmentData!J1367),"₹",""),"Rs",""),",",""))</f>
        <v>258</v>
      </c>
      <c r="L1354" s="2">
        <f>[1]RawShipmentData!K1367</f>
        <v>8</v>
      </c>
      <c r="M1354" s="3">
        <f>IF(TRIM([1]RawShipmentData!L1367)="","",IF(ISNUMBER(SEARCH("/",TRIM([1]RawShipmentData!L1367))),DATE(VALUE(RIGHT(TRIM([1]RawShipmentData!L1367),4)),VALUE(MID(TRIM([1]RawShipmentData!L1367),FIND("/",TRIM([1]RawShipmentData!L1367))+1,2)),VALUE(LEFT(TRIM([1]RawShipmentData!L1367),FIND("/",TRIM([1]RawShipmentData!L1367))-1))),DATEVALUE(TRIM([1]RawShipmentData!L1367))))</f>
        <v>45432</v>
      </c>
      <c r="N1354" s="2">
        <f t="shared" si="106"/>
        <v>9</v>
      </c>
      <c r="O1354" s="2">
        <f t="shared" si="107"/>
        <v>1</v>
      </c>
      <c r="P1354" s="2" t="str">
        <f t="shared" si="108"/>
        <v>Late</v>
      </c>
      <c r="Q1354" s="2" t="str">
        <f>PROPER(SUBSTITUTE(TRIM([1]RawShipmentData!M1367)," ","-"))</f>
        <v>Delayed</v>
      </c>
      <c r="R1354" s="4">
        <f t="shared" si="109"/>
        <v>66.15384615384616</v>
      </c>
      <c r="S1354" s="2">
        <f>[1]RawShipmentData!N1367</f>
        <v>4</v>
      </c>
      <c r="T1354" s="2" t="str">
        <f>IF(OR(UPPER(TRIM([1]RawShipmentData!O1367))="YES",UPPER(TRIM([1]RawShipmentData!O1367))="Y"),"Yes","No")</f>
        <v>No</v>
      </c>
    </row>
    <row r="1355" spans="1:20" x14ac:dyDescent="0.25">
      <c r="A1355" s="2" t="str">
        <f>[1]RawShipmentData!A1368</f>
        <v>SHP-100117</v>
      </c>
      <c r="B1355" s="3">
        <f>IF(ISNUMBER(SEARCH("/",TRIM([1]RawShipmentData!B1368))),DATE(VALUE(RIGHT(TRIM([1]RawShipmentData!B1368),4)),VALUE(MID(TRIM([1]RawShipmentData!B1368),FIND("/",TRIM([1]RawShipmentData!B1368))+1,2)),VALUE(LEFT(TRIM([1]RawShipmentData!B1368),FIND("/",TRIM([1]RawShipmentData!B1368))-1))),DATEVALUE(TRIM([1]RawShipmentData!B1368)))</f>
        <v>45323</v>
      </c>
      <c r="C1355" s="2" t="str">
        <f>PROPER(TRIM([1]RawShipmentData!C1368))</f>
        <v>Chennai</v>
      </c>
      <c r="D1355" s="2" t="str">
        <f>IFERROR(INDEX([1]HubMaster!$B$2:$B$7,MATCH(C1355,[1]HubMaster!$A$2:$A$7,0)),"Unknown")</f>
        <v>South</v>
      </c>
      <c r="E1355" s="2" t="str">
        <f>PROPER(TRIM(SUBSTITUTE([1]RawShipmentData!D1368,"  "," ")))</f>
        <v>Delhivery</v>
      </c>
      <c r="F1355" s="2" t="str">
        <f>PROPER(TRIM([1]RawShipmentData!E1368))</f>
        <v>Surface</v>
      </c>
      <c r="G1355" s="2" t="str">
        <f>PROPER(TRIM(SUBSTITUTE([1]RawShipmentData!F1368,"  "," ")))</f>
        <v>Pharma</v>
      </c>
      <c r="H1355" s="2" t="str">
        <f>PROPER(TRIM([1]RawShipmentData!G1368))</f>
        <v>West</v>
      </c>
      <c r="I1355" s="2" t="str">
        <f t="shared" si="105"/>
        <v>Yes</v>
      </c>
      <c r="J1355" s="2">
        <f>IFERROR(VALUE(TRIM(SUBSTITUTE(UPPER([1]RawShipmentData!I1355),"KG",""))),"")</f>
        <v>23</v>
      </c>
      <c r="K1355" s="2">
        <f>VALUE(SUBSTITUTE(SUBSTITUTE(SUBSTITUTE(TRIM([1]RawShipmentData!J1368),"₹",""),"Rs",""),",",""))</f>
        <v>208</v>
      </c>
      <c r="L1355" s="2">
        <f>[1]RawShipmentData!K1368</f>
        <v>6</v>
      </c>
      <c r="M1355" s="3">
        <f>IF(TRIM([1]RawShipmentData!L1368)="","",IF(ISNUMBER(SEARCH("/",TRIM([1]RawShipmentData!L1368))),DATE(VALUE(RIGHT(TRIM([1]RawShipmentData!L1368),4)),VALUE(MID(TRIM([1]RawShipmentData!L1368),FIND("/",TRIM([1]RawShipmentData!L1368))+1,2)),VALUE(LEFT(TRIM([1]RawShipmentData!L1368),FIND("/",TRIM([1]RawShipmentData!L1368))-1))),DATEVALUE(TRIM([1]RawShipmentData!L1368))))</f>
        <v>45330</v>
      </c>
      <c r="N1355" s="2">
        <f t="shared" si="106"/>
        <v>7</v>
      </c>
      <c r="O1355" s="2">
        <f t="shared" si="107"/>
        <v>1</v>
      </c>
      <c r="P1355" s="2" t="str">
        <f t="shared" si="108"/>
        <v>Late</v>
      </c>
      <c r="Q1355" s="2" t="str">
        <f>PROPER(SUBSTITUTE(TRIM([1]RawShipmentData!M1368)," ","-"))</f>
        <v>Delayed</v>
      </c>
      <c r="R1355" s="4">
        <f t="shared" si="109"/>
        <v>9.0434782608695645</v>
      </c>
      <c r="S1355" s="2">
        <f>[1]RawShipmentData!N1368</f>
        <v>2</v>
      </c>
      <c r="T1355" s="2" t="str">
        <f>IF(OR(UPPER(TRIM([1]RawShipmentData!O1368))="YES",UPPER(TRIM([1]RawShipmentData!O1368))="Y"),"Yes","No")</f>
        <v>No</v>
      </c>
    </row>
    <row r="1356" spans="1:20" x14ac:dyDescent="0.25">
      <c r="A1356" s="2" t="str">
        <f>[1]RawShipmentData!A1369</f>
        <v>SHP-101333</v>
      </c>
      <c r="B1356" s="3">
        <f>IF(ISNUMBER(SEARCH("/",TRIM([1]RawShipmentData!B1369))),DATE(VALUE(RIGHT(TRIM([1]RawShipmentData!B1369),4)),VALUE(MID(TRIM([1]RawShipmentData!B1369),FIND("/",TRIM([1]RawShipmentData!B1369))+1,2)),VALUE(LEFT(TRIM([1]RawShipmentData!B1369),FIND("/",TRIM([1]RawShipmentData!B1369))-1))),DATEVALUE(TRIM([1]RawShipmentData!B1369)))</f>
        <v>45353</v>
      </c>
      <c r="C1356" s="2" t="str">
        <f>PROPER(TRIM([1]RawShipmentData!C1369))</f>
        <v>Hyderabad</v>
      </c>
      <c r="D1356" s="2" t="str">
        <f>IFERROR(INDEX([1]HubMaster!$B$2:$B$7,MATCH(C1356,[1]HubMaster!$A$2:$A$7,0)),"Unknown")</f>
        <v>West</v>
      </c>
      <c r="E1356" s="2" t="str">
        <f>PROPER(TRIM(SUBSTITUTE([1]RawShipmentData!D1369,"  "," ")))</f>
        <v>Delhivery</v>
      </c>
      <c r="F1356" s="2" t="str">
        <f>PROPER(TRIM([1]RawShipmentData!E1369))</f>
        <v>Air</v>
      </c>
      <c r="G1356" s="2" t="str">
        <f>PROPER(TRIM(SUBSTITUTE([1]RawShipmentData!F1369,"  "," ")))</f>
        <v>Electronics</v>
      </c>
      <c r="H1356" s="2" t="str">
        <f>PROPER(TRIM([1]RawShipmentData!G1369))</f>
        <v>West</v>
      </c>
      <c r="I1356" s="2" t="str">
        <f t="shared" si="105"/>
        <v>No</v>
      </c>
      <c r="J1356" s="2">
        <f>IFERROR(VALUE(TRIM(SUBSTITUTE(UPPER([1]RawShipmentData!I1356),"KG",""))),"")</f>
        <v>2.8</v>
      </c>
      <c r="K1356" s="2">
        <f>VALUE(SUBSTITUTE(SUBSTITUTE(SUBSTITUTE(TRIM([1]RawShipmentData!J1369),"₹",""),"Rs",""),",",""))</f>
        <v>699</v>
      </c>
      <c r="L1356" s="2">
        <f>[1]RawShipmentData!K1369</f>
        <v>2</v>
      </c>
      <c r="M1356" s="3">
        <f>IF(TRIM([1]RawShipmentData!L1369)="","",IF(ISNUMBER(SEARCH("/",TRIM([1]RawShipmentData!L1369))),DATE(VALUE(RIGHT(TRIM([1]RawShipmentData!L1369),4)),VALUE(MID(TRIM([1]RawShipmentData!L1369),FIND("/",TRIM([1]RawShipmentData!L1369))+1,2)),VALUE(LEFT(TRIM([1]RawShipmentData!L1369),FIND("/",TRIM([1]RawShipmentData!L1369))-1))),DATEVALUE(TRIM([1]RawShipmentData!L1369))))</f>
        <v>45356</v>
      </c>
      <c r="N1356" s="2">
        <f t="shared" si="106"/>
        <v>3</v>
      </c>
      <c r="O1356" s="2">
        <f t="shared" si="107"/>
        <v>1</v>
      </c>
      <c r="P1356" s="2" t="str">
        <f t="shared" si="108"/>
        <v>Late</v>
      </c>
      <c r="Q1356" s="2" t="str">
        <f>PROPER(SUBSTITUTE(TRIM([1]RawShipmentData!M1369)," ","-"))</f>
        <v>Delayed</v>
      </c>
      <c r="R1356" s="4">
        <f t="shared" si="109"/>
        <v>249.64285714285717</v>
      </c>
      <c r="S1356" s="2">
        <f>[1]RawShipmentData!N1369</f>
        <v>1</v>
      </c>
      <c r="T1356" s="2" t="str">
        <f>IF(OR(UPPER(TRIM([1]RawShipmentData!O1369))="YES",UPPER(TRIM([1]RawShipmentData!O1369))="Y"),"Yes","No")</f>
        <v>Yes</v>
      </c>
    </row>
    <row r="1357" spans="1:20" x14ac:dyDescent="0.25">
      <c r="A1357" s="2" t="str">
        <f>[1]RawShipmentData!A1370</f>
        <v>SHP-100791</v>
      </c>
      <c r="B1357" s="3">
        <f>IF(ISNUMBER(SEARCH("/",TRIM([1]RawShipmentData!B1370))),DATE(VALUE(RIGHT(TRIM([1]RawShipmentData!B1370),4)),VALUE(MID(TRIM([1]RawShipmentData!B1370),FIND("/",TRIM([1]RawShipmentData!B1370))+1,2)),VALUE(LEFT(TRIM([1]RawShipmentData!B1370),FIND("/",TRIM([1]RawShipmentData!B1370))-1))),DATEVALUE(TRIM([1]RawShipmentData!B1370)))</f>
        <v>45363</v>
      </c>
      <c r="C1357" s="2" t="str">
        <f>PROPER(TRIM([1]RawShipmentData!C1370))</f>
        <v>Chennai</v>
      </c>
      <c r="D1357" s="2" t="str">
        <f>IFERROR(INDEX([1]HubMaster!$B$2:$B$7,MATCH(C1357,[1]HubMaster!$A$2:$A$7,0)),"Unknown")</f>
        <v>South</v>
      </c>
      <c r="E1357" s="2" t="str">
        <f>PROPER(TRIM(SUBSTITUTE([1]RawShipmentData!D1370,"  "," ")))</f>
        <v>Dtdc</v>
      </c>
      <c r="F1357" s="2" t="str">
        <f>PROPER(TRIM([1]RawShipmentData!E1370))</f>
        <v>Surface</v>
      </c>
      <c r="G1357" s="2" t="str">
        <f>PROPER(TRIM(SUBSTITUTE([1]RawShipmentData!F1370,"  "," ")))</f>
        <v>Electronics</v>
      </c>
      <c r="H1357" s="2" t="str">
        <f>PROPER(TRIM([1]RawShipmentData!G1370))</f>
        <v>South</v>
      </c>
      <c r="I1357" s="2" t="str">
        <f t="shared" si="105"/>
        <v>No</v>
      </c>
      <c r="J1357" s="2">
        <f>IFERROR(VALUE(TRIM(SUBSTITUTE(UPPER([1]RawShipmentData!I1357),"KG",""))),"")</f>
        <v>5.3</v>
      </c>
      <c r="K1357" s="2">
        <f>VALUE(SUBSTITUTE(SUBSTITUTE(SUBSTITUTE(TRIM([1]RawShipmentData!J1370),"₹",""),"Rs",""),",",""))</f>
        <v>329</v>
      </c>
      <c r="L1357" s="2">
        <f>[1]RawShipmentData!K1370</f>
        <v>4</v>
      </c>
      <c r="M1357" s="3">
        <f>IF(TRIM([1]RawShipmentData!L1370)="","",IF(ISNUMBER(SEARCH("/",TRIM([1]RawShipmentData!L1370))),DATE(VALUE(RIGHT(TRIM([1]RawShipmentData!L1370),4)),VALUE(MID(TRIM([1]RawShipmentData!L1370),FIND("/",TRIM([1]RawShipmentData!L1370))+1,2)),VALUE(LEFT(TRIM([1]RawShipmentData!L1370),FIND("/",TRIM([1]RawShipmentData!L1370))-1))),DATEVALUE(TRIM([1]RawShipmentData!L1370))))</f>
        <v>45368</v>
      </c>
      <c r="N1357" s="2">
        <f t="shared" si="106"/>
        <v>5</v>
      </c>
      <c r="O1357" s="2">
        <f t="shared" si="107"/>
        <v>1</v>
      </c>
      <c r="P1357" s="2" t="str">
        <f t="shared" si="108"/>
        <v>Late</v>
      </c>
      <c r="Q1357" s="2" t="str">
        <f>PROPER(SUBSTITUTE(TRIM([1]RawShipmentData!M1370)," ","-"))</f>
        <v>Delayed</v>
      </c>
      <c r="R1357" s="4">
        <f t="shared" si="109"/>
        <v>62.075471698113212</v>
      </c>
      <c r="S1357" s="2">
        <f>[1]RawShipmentData!N1370</f>
        <v>3</v>
      </c>
      <c r="T1357" s="2" t="str">
        <f>IF(OR(UPPER(TRIM([1]RawShipmentData!O1370))="YES",UPPER(TRIM([1]RawShipmentData!O1370))="Y"),"Yes","No")</f>
        <v>No</v>
      </c>
    </row>
    <row r="1358" spans="1:20" x14ac:dyDescent="0.25">
      <c r="A1358" s="2" t="str">
        <f>[1]RawShipmentData!A1371</f>
        <v>SHP-100886</v>
      </c>
      <c r="B1358" s="3">
        <f>IF(ISNUMBER(SEARCH("/",TRIM([1]RawShipmentData!B1371))),DATE(VALUE(RIGHT(TRIM([1]RawShipmentData!B1371),4)),VALUE(MID(TRIM([1]RawShipmentData!B1371),FIND("/",TRIM([1]RawShipmentData!B1371))+1,2)),VALUE(LEFT(TRIM([1]RawShipmentData!B1371),FIND("/",TRIM([1]RawShipmentData!B1371))-1))),DATEVALUE(TRIM([1]RawShipmentData!B1371)))</f>
        <v>45436</v>
      </c>
      <c r="C1358" s="2" t="str">
        <f>PROPER(TRIM([1]RawShipmentData!C1371))</f>
        <v>Kolkata</v>
      </c>
      <c r="D1358" s="2" t="str">
        <f>IFERROR(INDEX([1]HubMaster!$B$2:$B$7,MATCH(C1358,[1]HubMaster!$A$2:$A$7,0)),"Unknown")</f>
        <v>East</v>
      </c>
      <c r="E1358" s="2" t="str">
        <f>PROPER(TRIM(SUBSTITUTE([1]RawShipmentData!D1371,"  "," ")))</f>
        <v>Delhivery</v>
      </c>
      <c r="F1358" s="2" t="str">
        <f>PROPER(TRIM([1]RawShipmentData!E1371))</f>
        <v>Road</v>
      </c>
      <c r="G1358" s="2" t="str">
        <f>PROPER(TRIM(SUBSTITUTE([1]RawShipmentData!F1371,"  "," ")))</f>
        <v>Furniture</v>
      </c>
      <c r="H1358" s="2" t="str">
        <f>PROPER(TRIM([1]RawShipmentData!G1371))</f>
        <v>North</v>
      </c>
      <c r="I1358" s="2" t="str">
        <f t="shared" si="105"/>
        <v>Yes</v>
      </c>
      <c r="J1358" s="2">
        <f>IFERROR(VALUE(TRIM(SUBSTITUTE(UPPER([1]RawShipmentData!I1358),"KG",""))),"")</f>
        <v>3.3</v>
      </c>
      <c r="K1358" s="2">
        <f>VALUE(SUBSTITUTE(SUBSTITUTE(SUBSTITUTE(TRIM([1]RawShipmentData!J1371),"₹",""),"Rs",""),",",""))</f>
        <v>697</v>
      </c>
      <c r="L1358" s="2">
        <f>[1]RawShipmentData!K1371</f>
        <v>8</v>
      </c>
      <c r="M1358" s="3">
        <f>IF(TRIM([1]RawShipmentData!L1371)="","",IF(ISNUMBER(SEARCH("/",TRIM([1]RawShipmentData!L1371))),DATE(VALUE(RIGHT(TRIM([1]RawShipmentData!L1371),4)),VALUE(MID(TRIM([1]RawShipmentData!L1371),FIND("/",TRIM([1]RawShipmentData!L1371))+1,2)),VALUE(LEFT(TRIM([1]RawShipmentData!L1371),FIND("/",TRIM([1]RawShipmentData!L1371))-1))),DATEVALUE(TRIM([1]RawShipmentData!L1371))))</f>
        <v>45443</v>
      </c>
      <c r="N1358" s="2">
        <f t="shared" si="106"/>
        <v>7</v>
      </c>
      <c r="O1358" s="2">
        <f t="shared" si="107"/>
        <v>-1</v>
      </c>
      <c r="P1358" s="2" t="str">
        <f t="shared" si="108"/>
        <v>On Time</v>
      </c>
      <c r="Q1358" s="2" t="str">
        <f>PROPER(SUBSTITUTE(TRIM([1]RawShipmentData!M1371)," ","-"))</f>
        <v>Delivered</v>
      </c>
      <c r="R1358" s="4">
        <f t="shared" si="109"/>
        <v>211.21212121212122</v>
      </c>
      <c r="S1358" s="2">
        <f>[1]RawShipmentData!N1371</f>
        <v>3</v>
      </c>
      <c r="T1358" s="2" t="str">
        <f>IF(OR(UPPER(TRIM([1]RawShipmentData!O1371))="YES",UPPER(TRIM([1]RawShipmentData!O1371))="Y"),"Yes","No")</f>
        <v>No</v>
      </c>
    </row>
    <row r="1359" spans="1:20" x14ac:dyDescent="0.25">
      <c r="A1359" s="2" t="str">
        <f>[1]RawShipmentData!A1372</f>
        <v>SHP-100924</v>
      </c>
      <c r="B1359" s="3">
        <f>IF(ISNUMBER(SEARCH("/",TRIM([1]RawShipmentData!B1372))),DATE(VALUE(RIGHT(TRIM([1]RawShipmentData!B1372),4)),VALUE(MID(TRIM([1]RawShipmentData!B1372),FIND("/",TRIM([1]RawShipmentData!B1372))+1,2)),VALUE(LEFT(TRIM([1]RawShipmentData!B1372),FIND("/",TRIM([1]RawShipmentData!B1372))-1))),DATEVALUE(TRIM([1]RawShipmentData!B1372)))</f>
        <v>45458</v>
      </c>
      <c r="C1359" s="2" t="str">
        <f>PROPER(TRIM([1]RawShipmentData!C1372))</f>
        <v>Hyderabad</v>
      </c>
      <c r="D1359" s="2" t="str">
        <f>IFERROR(INDEX([1]HubMaster!$B$2:$B$7,MATCH(C1359,[1]HubMaster!$A$2:$A$7,0)),"Unknown")</f>
        <v>West</v>
      </c>
      <c r="E1359" s="2" t="str">
        <f>PROPER(TRIM(SUBSTITUTE([1]RawShipmentData!D1372,"  "," ")))</f>
        <v>Xpress Bees</v>
      </c>
      <c r="F1359" s="2" t="str">
        <f>PROPER(TRIM([1]RawShipmentData!E1372))</f>
        <v>Air</v>
      </c>
      <c r="G1359" s="2" t="str">
        <f>PROPER(TRIM(SUBSTITUTE([1]RawShipmentData!F1372,"  "," ")))</f>
        <v>Electronics</v>
      </c>
      <c r="H1359" s="2" t="str">
        <f>PROPER(TRIM([1]RawShipmentData!G1372))</f>
        <v>West</v>
      </c>
      <c r="I1359" s="2" t="str">
        <f t="shared" si="105"/>
        <v>No</v>
      </c>
      <c r="J1359" s="2">
        <f>IFERROR(VALUE(TRIM(SUBSTITUTE(UPPER([1]RawShipmentData!I1359),"KG",""))),"")</f>
        <v>5.3</v>
      </c>
      <c r="K1359" s="2">
        <f>VALUE(SUBSTITUTE(SUBSTITUTE(SUBSTITUTE(TRIM([1]RawShipmentData!J1372),"₹",""),"Rs",""),",",""))</f>
        <v>110</v>
      </c>
      <c r="L1359" s="2">
        <f>[1]RawShipmentData!K1372</f>
        <v>2</v>
      </c>
      <c r="M1359" s="3">
        <f>IF(TRIM([1]RawShipmentData!L1372)="","",IF(ISNUMBER(SEARCH("/",TRIM([1]RawShipmentData!L1372))),DATE(VALUE(RIGHT(TRIM([1]RawShipmentData!L1372),4)),VALUE(MID(TRIM([1]RawShipmentData!L1372),FIND("/",TRIM([1]RawShipmentData!L1372))+1,2)),VALUE(LEFT(TRIM([1]RawShipmentData!L1372),FIND("/",TRIM([1]RawShipmentData!L1372))-1))),DATEVALUE(TRIM([1]RawShipmentData!L1372))))</f>
        <v>45467</v>
      </c>
      <c r="N1359" s="2">
        <f t="shared" si="106"/>
        <v>9</v>
      </c>
      <c r="O1359" s="2">
        <f t="shared" si="107"/>
        <v>7</v>
      </c>
      <c r="P1359" s="2" t="str">
        <f t="shared" si="108"/>
        <v>Late</v>
      </c>
      <c r="Q1359" s="2" t="str">
        <f>PROPER(SUBSTITUTE(TRIM([1]RawShipmentData!M1372)," ","-"))</f>
        <v>Delayed</v>
      </c>
      <c r="R1359" s="4">
        <f t="shared" si="109"/>
        <v>20.754716981132077</v>
      </c>
      <c r="S1359" s="2">
        <f>[1]RawShipmentData!N1372</f>
        <v>3</v>
      </c>
      <c r="T1359" s="2" t="str">
        <f>IF(OR(UPPER(TRIM([1]RawShipmentData!O1372))="YES",UPPER(TRIM([1]RawShipmentData!O1372))="Y"),"Yes","No")</f>
        <v>Yes</v>
      </c>
    </row>
    <row r="1360" spans="1:20" x14ac:dyDescent="0.25">
      <c r="A1360" s="2" t="str">
        <f>[1]RawShipmentData!A1373</f>
        <v>SHP-100890</v>
      </c>
      <c r="B1360" s="3">
        <f>IF(ISNUMBER(SEARCH("/",TRIM([1]RawShipmentData!B1373))),DATE(VALUE(RIGHT(TRIM([1]RawShipmentData!B1373),4)),VALUE(MID(TRIM([1]RawShipmentData!B1373),FIND("/",TRIM([1]RawShipmentData!B1373))+1,2)),VALUE(LEFT(TRIM([1]RawShipmentData!B1373),FIND("/",TRIM([1]RawShipmentData!B1373))-1))),DATEVALUE(TRIM([1]RawShipmentData!B1373)))</f>
        <v>45356</v>
      </c>
      <c r="C1360" s="2" t="str">
        <f>PROPER(TRIM([1]RawShipmentData!C1373))</f>
        <v>Mumbai</v>
      </c>
      <c r="D1360" s="2" t="str">
        <f>IFERROR(INDEX([1]HubMaster!$B$2:$B$7,MATCH(C1360,[1]HubMaster!$A$2:$A$7,0)),"Unknown")</f>
        <v>West</v>
      </c>
      <c r="E1360" s="2" t="str">
        <f>PROPER(TRIM(SUBSTITUTE([1]RawShipmentData!D1373,"  "," ")))</f>
        <v>Bluedart</v>
      </c>
      <c r="F1360" s="2" t="str">
        <f>PROPER(TRIM([1]RawShipmentData!E1373))</f>
        <v>Road</v>
      </c>
      <c r="G1360" s="2" t="str">
        <f>PROPER(TRIM(SUBSTITUTE([1]RawShipmentData!F1373,"  "," ")))</f>
        <v>Grocery &amp; Fmcg</v>
      </c>
      <c r="H1360" s="2" t="str">
        <f>PROPER(TRIM([1]RawShipmentData!G1373))</f>
        <v>South</v>
      </c>
      <c r="I1360" s="2" t="str">
        <f t="shared" si="105"/>
        <v>Yes</v>
      </c>
      <c r="J1360" s="2">
        <f>IFERROR(VALUE(TRIM(SUBSTITUTE(UPPER([1]RawShipmentData!I1360),"KG",""))),"")</f>
        <v>7.2</v>
      </c>
      <c r="K1360" s="2">
        <f>VALUE(SUBSTITUTE(SUBSTITUTE(SUBSTITUTE(TRIM([1]RawShipmentData!J1373),"₹",""),"Rs",""),",",""))</f>
        <v>350</v>
      </c>
      <c r="L1360" s="2">
        <f>[1]RawShipmentData!K1373</f>
        <v>8</v>
      </c>
      <c r="M1360" s="3">
        <f>IF(TRIM([1]RawShipmentData!L1373)="","",IF(ISNUMBER(SEARCH("/",TRIM([1]RawShipmentData!L1373))),DATE(VALUE(RIGHT(TRIM([1]RawShipmentData!L1373),4)),VALUE(MID(TRIM([1]RawShipmentData!L1373),FIND("/",TRIM([1]RawShipmentData!L1373))+1,2)),VALUE(LEFT(TRIM([1]RawShipmentData!L1373),FIND("/",TRIM([1]RawShipmentData!L1373))-1))),DATEVALUE(TRIM([1]RawShipmentData!L1373))))</f>
        <v>45363</v>
      </c>
      <c r="N1360" s="2">
        <f t="shared" si="106"/>
        <v>7</v>
      </c>
      <c r="O1360" s="2">
        <f t="shared" si="107"/>
        <v>-1</v>
      </c>
      <c r="P1360" s="2" t="str">
        <f t="shared" si="108"/>
        <v>On Time</v>
      </c>
      <c r="Q1360" s="2" t="str">
        <f>PROPER(SUBSTITUTE(TRIM([1]RawShipmentData!M1373)," ","-"))</f>
        <v>Delivered</v>
      </c>
      <c r="R1360" s="4">
        <f t="shared" si="109"/>
        <v>48.611111111111107</v>
      </c>
      <c r="S1360" s="2">
        <f>[1]RawShipmentData!N1373</f>
        <v>5</v>
      </c>
      <c r="T1360" s="2" t="str">
        <f>IF(OR(UPPER(TRIM([1]RawShipmentData!O1373))="YES",UPPER(TRIM([1]RawShipmentData!O1373))="Y"),"Yes","No")</f>
        <v>Yes</v>
      </c>
    </row>
    <row r="1361" spans="1:20" x14ac:dyDescent="0.25">
      <c r="A1361" s="2" t="str">
        <f>[1]RawShipmentData!A1374</f>
        <v>SHP-100258</v>
      </c>
      <c r="B1361" s="3">
        <f>IF(ISNUMBER(SEARCH("/",TRIM([1]RawShipmentData!B1374))),DATE(VALUE(RIGHT(TRIM([1]RawShipmentData!B1374),4)),VALUE(MID(TRIM([1]RawShipmentData!B1374),FIND("/",TRIM([1]RawShipmentData!B1374))+1,2)),VALUE(LEFT(TRIM([1]RawShipmentData!B1374),FIND("/",TRIM([1]RawShipmentData!B1374))-1))),DATEVALUE(TRIM([1]RawShipmentData!B1374)))</f>
        <v>45410</v>
      </c>
      <c r="C1361" s="2" t="str">
        <f>PROPER(TRIM([1]RawShipmentData!C1374))</f>
        <v>Kolkata</v>
      </c>
      <c r="D1361" s="2" t="str">
        <f>IFERROR(INDEX([1]HubMaster!$B$2:$B$7,MATCH(C1361,[1]HubMaster!$A$2:$A$7,0)),"Unknown")</f>
        <v>East</v>
      </c>
      <c r="E1361" s="2" t="str">
        <f>PROPER(TRIM(SUBSTITUTE([1]RawShipmentData!D1374,"  "," ")))</f>
        <v>Bluedart</v>
      </c>
      <c r="F1361" s="2" t="str">
        <f>PROPER(TRIM([1]RawShipmentData!E1374))</f>
        <v>Surface</v>
      </c>
      <c r="G1361" s="2" t="str">
        <f>PROPER(TRIM(SUBSTITUTE([1]RawShipmentData!F1374,"  "," ")))</f>
        <v>Furniture</v>
      </c>
      <c r="H1361" s="2" t="str">
        <f>PROPER(TRIM([1]RawShipmentData!G1374))</f>
        <v>South</v>
      </c>
      <c r="I1361" s="2" t="str">
        <f t="shared" si="105"/>
        <v>Yes</v>
      </c>
      <c r="J1361" s="2">
        <f>IFERROR(VALUE(TRIM(SUBSTITUTE(UPPER([1]RawShipmentData!I1361),"KG",""))),"")</f>
        <v>3.8</v>
      </c>
      <c r="K1361" s="2">
        <f>VALUE(SUBSTITUTE(SUBSTITUTE(SUBSTITUTE(TRIM([1]RawShipmentData!J1374),"₹",""),"Rs",""),",",""))</f>
        <v>1472</v>
      </c>
      <c r="L1361" s="2">
        <f>[1]RawShipmentData!K1374</f>
        <v>6</v>
      </c>
      <c r="M1361" s="3">
        <f>IF(TRIM([1]RawShipmentData!L1374)="","",IF(ISNUMBER(SEARCH("/",TRIM([1]RawShipmentData!L1374))),DATE(VALUE(RIGHT(TRIM([1]RawShipmentData!L1374),4)),VALUE(MID(TRIM([1]RawShipmentData!L1374),FIND("/",TRIM([1]RawShipmentData!L1374))+1,2)),VALUE(LEFT(TRIM([1]RawShipmentData!L1374),FIND("/",TRIM([1]RawShipmentData!L1374))-1))),DATEVALUE(TRIM([1]RawShipmentData!L1374))))</f>
        <v>45417</v>
      </c>
      <c r="N1361" s="2">
        <f t="shared" si="106"/>
        <v>7</v>
      </c>
      <c r="O1361" s="2">
        <f t="shared" si="107"/>
        <v>1</v>
      </c>
      <c r="P1361" s="2" t="str">
        <f t="shared" si="108"/>
        <v>Late</v>
      </c>
      <c r="Q1361" s="2" t="str">
        <f>PROPER(SUBSTITUTE(TRIM([1]RawShipmentData!M1374)," ","-"))</f>
        <v>Delayed</v>
      </c>
      <c r="R1361" s="4">
        <f t="shared" si="109"/>
        <v>387.36842105263162</v>
      </c>
      <c r="S1361" s="2">
        <f>[1]RawShipmentData!N1374</f>
        <v>2</v>
      </c>
      <c r="T1361" s="2" t="str">
        <f>IF(OR(UPPER(TRIM([1]RawShipmentData!O1374))="YES",UPPER(TRIM([1]RawShipmentData!O1374))="Y"),"Yes","No")</f>
        <v>Yes</v>
      </c>
    </row>
    <row r="1362" spans="1:20" x14ac:dyDescent="0.25">
      <c r="A1362" s="2" t="str">
        <f>[1]RawShipmentData!A1375</f>
        <v>SHP-101483</v>
      </c>
      <c r="B1362" s="3">
        <f>IF(ISNUMBER(SEARCH("/",TRIM([1]RawShipmentData!B1375))),DATE(VALUE(RIGHT(TRIM([1]RawShipmentData!B1375),4)),VALUE(MID(TRIM([1]RawShipmentData!B1375),FIND("/",TRIM([1]RawShipmentData!B1375))+1,2)),VALUE(LEFT(TRIM([1]RawShipmentData!B1375),FIND("/",TRIM([1]RawShipmentData!B1375))-1))),DATEVALUE(TRIM([1]RawShipmentData!B1375)))</f>
        <v>45457</v>
      </c>
      <c r="C1362" s="2" t="str">
        <f>PROPER(TRIM([1]RawShipmentData!C1375))</f>
        <v>Hyderabad</v>
      </c>
      <c r="D1362" s="2" t="str">
        <f>IFERROR(INDEX([1]HubMaster!$B$2:$B$7,MATCH(C1362,[1]HubMaster!$A$2:$A$7,0)),"Unknown")</f>
        <v>West</v>
      </c>
      <c r="E1362" s="2" t="str">
        <f>PROPER(TRIM(SUBSTITUTE([1]RawShipmentData!D1375,"  "," ")))</f>
        <v>Bluedart</v>
      </c>
      <c r="F1362" s="2" t="str">
        <f>PROPER(TRIM([1]RawShipmentData!E1375))</f>
        <v>Air</v>
      </c>
      <c r="G1362" s="2" t="str">
        <f>PROPER(TRIM(SUBSTITUTE([1]RawShipmentData!F1375,"  "," ")))</f>
        <v>Automotive Parts</v>
      </c>
      <c r="H1362" s="2" t="str">
        <f>PROPER(TRIM([1]RawShipmentData!G1375))</f>
        <v>East</v>
      </c>
      <c r="I1362" s="2" t="str">
        <f t="shared" si="105"/>
        <v>Yes</v>
      </c>
      <c r="J1362" s="2">
        <f>IFERROR(VALUE(TRIM(SUBSTITUTE(UPPER([1]RawShipmentData!I1362),"KG",""))),"")</f>
        <v>4</v>
      </c>
      <c r="K1362" s="2">
        <f>VALUE(SUBSTITUTE(SUBSTITUTE(SUBSTITUTE(TRIM([1]RawShipmentData!J1375),"₹",""),"Rs",""),",",""))</f>
        <v>1691</v>
      </c>
      <c r="L1362" s="2">
        <f>[1]RawShipmentData!K1375</f>
        <v>4</v>
      </c>
      <c r="M1362" s="3">
        <f>IF(TRIM([1]RawShipmentData!L1375)="","",IF(ISNUMBER(SEARCH("/",TRIM([1]RawShipmentData!L1375))),DATE(VALUE(RIGHT(TRIM([1]RawShipmentData!L1375),4)),VALUE(MID(TRIM([1]RawShipmentData!L1375),FIND("/",TRIM([1]RawShipmentData!L1375))+1,2)),VALUE(LEFT(TRIM([1]RawShipmentData!L1375),FIND("/",TRIM([1]RawShipmentData!L1375))-1))),DATEVALUE(TRIM([1]RawShipmentData!L1375))))</f>
        <v>45461</v>
      </c>
      <c r="N1362" s="2">
        <f t="shared" si="106"/>
        <v>4</v>
      </c>
      <c r="O1362" s="2">
        <f t="shared" si="107"/>
        <v>0</v>
      </c>
      <c r="P1362" s="2" t="str">
        <f t="shared" si="108"/>
        <v>On Time</v>
      </c>
      <c r="Q1362" s="2" t="str">
        <f>PROPER(SUBSTITUTE(TRIM([1]RawShipmentData!M1375)," ","-"))</f>
        <v>Delivered</v>
      </c>
      <c r="R1362" s="4">
        <f t="shared" si="109"/>
        <v>422.75</v>
      </c>
      <c r="S1362" s="2">
        <f>[1]RawShipmentData!N1375</f>
        <v>5</v>
      </c>
      <c r="T1362" s="2" t="str">
        <f>IF(OR(UPPER(TRIM([1]RawShipmentData!O1375))="YES",UPPER(TRIM([1]RawShipmentData!O1375))="Y"),"Yes","No")</f>
        <v>No</v>
      </c>
    </row>
    <row r="1363" spans="1:20" x14ac:dyDescent="0.25">
      <c r="A1363" s="2" t="str">
        <f>[1]RawShipmentData!A1376</f>
        <v>SHP-100448</v>
      </c>
      <c r="B1363" s="3">
        <f>IF(ISNUMBER(SEARCH("/",TRIM([1]RawShipmentData!B1376))),DATE(VALUE(RIGHT(TRIM([1]RawShipmentData!B1376),4)),VALUE(MID(TRIM([1]RawShipmentData!B1376),FIND("/",TRIM([1]RawShipmentData!B1376))+1,2)),VALUE(LEFT(TRIM([1]RawShipmentData!B1376),FIND("/",TRIM([1]RawShipmentData!B1376))-1))),DATEVALUE(TRIM([1]RawShipmentData!B1376)))</f>
        <v>45407</v>
      </c>
      <c r="C1363" s="2" t="str">
        <f>PROPER(TRIM([1]RawShipmentData!C1376))</f>
        <v>Delhi</v>
      </c>
      <c r="D1363" s="2" t="str">
        <f>IFERROR(INDEX([1]HubMaster!$B$2:$B$7,MATCH(C1363,[1]HubMaster!$A$2:$A$7,0)),"Unknown")</f>
        <v>North</v>
      </c>
      <c r="E1363" s="2" t="str">
        <f>PROPER(TRIM(SUBSTITUTE([1]RawShipmentData!D1376,"  "," ")))</f>
        <v>Ecom Express</v>
      </c>
      <c r="F1363" s="2" t="str">
        <f>PROPER(TRIM([1]RawShipmentData!E1376))</f>
        <v>Surface</v>
      </c>
      <c r="G1363" s="2" t="str">
        <f>PROPER(TRIM(SUBSTITUTE([1]RawShipmentData!F1376,"  "," ")))</f>
        <v>Pharma</v>
      </c>
      <c r="H1363" s="2" t="str">
        <f>PROPER(TRIM([1]RawShipmentData!G1376))</f>
        <v>East</v>
      </c>
      <c r="I1363" s="2" t="str">
        <f t="shared" si="105"/>
        <v>Yes</v>
      </c>
      <c r="J1363" s="2">
        <f>IFERROR(VALUE(TRIM(SUBSTITUTE(UPPER([1]RawShipmentData!I1363),"KG",""))),"")</f>
        <v>3</v>
      </c>
      <c r="K1363" s="2">
        <f>VALUE(SUBSTITUTE(SUBSTITUTE(SUBSTITUTE(TRIM([1]RawShipmentData!J1376),"₹",""),"Rs",""),",",""))</f>
        <v>235</v>
      </c>
      <c r="L1363" s="2">
        <f>[1]RawShipmentData!K1376</f>
        <v>6</v>
      </c>
      <c r="M1363" s="3">
        <f>IF(TRIM([1]RawShipmentData!L1376)="","",IF(ISNUMBER(SEARCH("/",TRIM([1]RawShipmentData!L1376))),DATE(VALUE(RIGHT(TRIM([1]RawShipmentData!L1376),4)),VALUE(MID(TRIM([1]RawShipmentData!L1376),FIND("/",TRIM([1]RawShipmentData!L1376))+1,2)),VALUE(LEFT(TRIM([1]RawShipmentData!L1376),FIND("/",TRIM([1]RawShipmentData!L1376))-1))),DATEVALUE(TRIM([1]RawShipmentData!L1376))))</f>
        <v>45412</v>
      </c>
      <c r="N1363" s="2">
        <f t="shared" si="106"/>
        <v>5</v>
      </c>
      <c r="O1363" s="2">
        <f t="shared" si="107"/>
        <v>-1</v>
      </c>
      <c r="P1363" s="2" t="str">
        <f t="shared" si="108"/>
        <v>On Time</v>
      </c>
      <c r="Q1363" s="2" t="str">
        <f>PROPER(SUBSTITUTE(TRIM([1]RawShipmentData!M1376)," ","-"))</f>
        <v>Delivered</v>
      </c>
      <c r="R1363" s="4">
        <f t="shared" si="109"/>
        <v>78.333333333333329</v>
      </c>
      <c r="S1363" s="2">
        <f>[1]RawShipmentData!N1376</f>
        <v>5</v>
      </c>
      <c r="T1363" s="2" t="str">
        <f>IF(OR(UPPER(TRIM([1]RawShipmentData!O1376))="YES",UPPER(TRIM([1]RawShipmentData!O1376))="Y"),"Yes","No")</f>
        <v>Yes</v>
      </c>
    </row>
    <row r="1364" spans="1:20" x14ac:dyDescent="0.25">
      <c r="A1364" s="2" t="str">
        <f>[1]RawShipmentData!A1378</f>
        <v>SHP-100533</v>
      </c>
      <c r="B1364" s="3">
        <f>IF(ISNUMBER(SEARCH("/",TRIM([1]RawShipmentData!B1378))),DATE(VALUE(RIGHT(TRIM([1]RawShipmentData!B1378),4)),VALUE(MID(TRIM([1]RawShipmentData!B1378),FIND("/",TRIM([1]RawShipmentData!B1378))+1,2)),VALUE(LEFT(TRIM([1]RawShipmentData!B1378),FIND("/",TRIM([1]RawShipmentData!B1378))-1))),DATEVALUE(TRIM([1]RawShipmentData!B1378)))</f>
        <v>45293</v>
      </c>
      <c r="C1364" s="2" t="str">
        <f>PROPER(TRIM([1]RawShipmentData!C1378))</f>
        <v>Delhi</v>
      </c>
      <c r="D1364" s="2" t="str">
        <f>IFERROR(INDEX([1]HubMaster!$B$2:$B$7,MATCH(C1364,[1]HubMaster!$A$2:$A$7,0)),"Unknown")</f>
        <v>North</v>
      </c>
      <c r="E1364" s="2" t="str">
        <f>PROPER(TRIM(SUBSTITUTE([1]RawShipmentData!D1378,"  "," ")))</f>
        <v>Dtdc</v>
      </c>
      <c r="F1364" s="2" t="str">
        <f>PROPER(TRIM([1]RawShipmentData!E1378))</f>
        <v>Surface</v>
      </c>
      <c r="G1364" s="2" t="str">
        <f>PROPER(TRIM(SUBSTITUTE([1]RawShipmentData!F1378,"  "," ")))</f>
        <v>Grocery &amp; Fmcg</v>
      </c>
      <c r="H1364" s="2" t="str">
        <f>PROPER(TRIM([1]RawShipmentData!G1378))</f>
        <v>North</v>
      </c>
      <c r="I1364" s="2" t="str">
        <f t="shared" si="105"/>
        <v>No</v>
      </c>
      <c r="J1364" s="2">
        <f>IFERROR(VALUE(TRIM(SUBSTITUTE(UPPER([1]RawShipmentData!I1364),"KG",""))),"")</f>
        <v>3.4</v>
      </c>
      <c r="K1364" s="2">
        <f>VALUE(SUBSTITUTE(SUBSTITUTE(SUBSTITUTE(TRIM([1]RawShipmentData!J1378),"₹",""),"Rs",""),",",""))</f>
        <v>200</v>
      </c>
      <c r="L1364" s="2">
        <f>[1]RawShipmentData!K1378</f>
        <v>4</v>
      </c>
      <c r="M1364" s="3">
        <f>IF(TRIM([1]RawShipmentData!L1378)="","",IF(ISNUMBER(SEARCH("/",TRIM([1]RawShipmentData!L1378))),DATE(VALUE(RIGHT(TRIM([1]RawShipmentData!L1378),4)),VALUE(MID(TRIM([1]RawShipmentData!L1378),FIND("/",TRIM([1]RawShipmentData!L1378))+1,2)),VALUE(LEFT(TRIM([1]RawShipmentData!L1378),FIND("/",TRIM([1]RawShipmentData!L1378))-1))),DATEVALUE(TRIM([1]RawShipmentData!L1378))))</f>
        <v>45298</v>
      </c>
      <c r="N1364" s="2">
        <f t="shared" si="106"/>
        <v>5</v>
      </c>
      <c r="O1364" s="2">
        <f t="shared" si="107"/>
        <v>1</v>
      </c>
      <c r="P1364" s="2" t="str">
        <f t="shared" si="108"/>
        <v>Late</v>
      </c>
      <c r="Q1364" s="2" t="str">
        <f>PROPER(SUBSTITUTE(TRIM([1]RawShipmentData!M1378)," ","-"))</f>
        <v>Delayed</v>
      </c>
      <c r="R1364" s="4">
        <f t="shared" si="109"/>
        <v>58.82352941176471</v>
      </c>
      <c r="S1364" s="2">
        <f>[1]RawShipmentData!N1378</f>
        <v>3</v>
      </c>
      <c r="T1364" s="2" t="str">
        <f>IF(OR(UPPER(TRIM([1]RawShipmentData!O1378))="YES",UPPER(TRIM([1]RawShipmentData!O1378))="Y"),"Yes","No")</f>
        <v>No</v>
      </c>
    </row>
    <row r="1365" spans="1:20" x14ac:dyDescent="0.25">
      <c r="A1365" s="2" t="str">
        <f>[1]RawShipmentData!A1379</f>
        <v>SHP-101016</v>
      </c>
      <c r="B1365" s="3">
        <f>IF(ISNUMBER(SEARCH("/",TRIM([1]RawShipmentData!B1379))),DATE(VALUE(RIGHT(TRIM([1]RawShipmentData!B1379),4)),VALUE(MID(TRIM([1]RawShipmentData!B1379),FIND("/",TRIM([1]RawShipmentData!B1379))+1,2)),VALUE(LEFT(TRIM([1]RawShipmentData!B1379),FIND("/",TRIM([1]RawShipmentData!B1379))-1))),DATEVALUE(TRIM([1]RawShipmentData!B1379)))</f>
        <v>45312</v>
      </c>
      <c r="C1365" s="2" t="str">
        <f>PROPER(TRIM([1]RawShipmentData!C1379))</f>
        <v>Chennai</v>
      </c>
      <c r="D1365" s="2" t="str">
        <f>IFERROR(INDEX([1]HubMaster!$B$2:$B$7,MATCH(C1365,[1]HubMaster!$A$2:$A$7,0)),"Unknown")</f>
        <v>South</v>
      </c>
      <c r="E1365" s="2" t="str">
        <f>PROPER(TRIM(SUBSTITUTE([1]RawShipmentData!D1379,"  "," ")))</f>
        <v>Ecom Express</v>
      </c>
      <c r="F1365" s="2" t="str">
        <f>PROPER(TRIM([1]RawShipmentData!E1379))</f>
        <v>Air</v>
      </c>
      <c r="G1365" s="2" t="str">
        <f>PROPER(TRIM(SUBSTITUTE([1]RawShipmentData!F1379,"  "," ")))</f>
        <v>Automotive Parts</v>
      </c>
      <c r="H1365" s="2" t="str">
        <f>PROPER(TRIM([1]RawShipmentData!G1379))</f>
        <v>East</v>
      </c>
      <c r="I1365" s="2" t="str">
        <f t="shared" si="105"/>
        <v>Yes</v>
      </c>
      <c r="J1365" s="2">
        <f>IFERROR(VALUE(TRIM(SUBSTITUTE(UPPER([1]RawShipmentData!I1365),"KG",""))),"")</f>
        <v>51.4</v>
      </c>
      <c r="K1365" s="2">
        <f>VALUE(SUBSTITUTE(SUBSTITUTE(SUBSTITUTE(TRIM([1]RawShipmentData!J1379),"₹",""),"Rs",""),",",""))</f>
        <v>1452</v>
      </c>
      <c r="L1365" s="2">
        <f>[1]RawShipmentData!K1379</f>
        <v>4</v>
      </c>
      <c r="M1365" s="3">
        <f>IF(TRIM([1]RawShipmentData!L1379)="","",IF(ISNUMBER(SEARCH("/",TRIM([1]RawShipmentData!L1379))),DATE(VALUE(RIGHT(TRIM([1]RawShipmentData!L1379),4)),VALUE(MID(TRIM([1]RawShipmentData!L1379),FIND("/",TRIM([1]RawShipmentData!L1379))+1,2)),VALUE(LEFT(TRIM([1]RawShipmentData!L1379),FIND("/",TRIM([1]RawShipmentData!L1379))-1))),DATEVALUE(TRIM([1]RawShipmentData!L1379))))</f>
        <v>45315</v>
      </c>
      <c r="N1365" s="2">
        <f t="shared" si="106"/>
        <v>3</v>
      </c>
      <c r="O1365" s="2">
        <f t="shared" si="107"/>
        <v>-1</v>
      </c>
      <c r="P1365" s="2" t="str">
        <f t="shared" si="108"/>
        <v>On Time</v>
      </c>
      <c r="Q1365" s="2" t="str">
        <f>PROPER(SUBSTITUTE(TRIM([1]RawShipmentData!M1379)," ","-"))</f>
        <v>Delivered</v>
      </c>
      <c r="R1365" s="4">
        <f t="shared" si="109"/>
        <v>28.249027237354085</v>
      </c>
      <c r="S1365" s="2">
        <f>[1]RawShipmentData!N1379</f>
        <v>4</v>
      </c>
      <c r="T1365" s="2" t="str">
        <f>IF(OR(UPPER(TRIM([1]RawShipmentData!O1379))="YES",UPPER(TRIM([1]RawShipmentData!O1379))="Y"),"Yes","No")</f>
        <v>Yes</v>
      </c>
    </row>
    <row r="1366" spans="1:20" x14ac:dyDescent="0.25">
      <c r="A1366" s="2" t="str">
        <f>[1]RawShipmentData!A1380</f>
        <v>SHP-100517</v>
      </c>
      <c r="B1366" s="3">
        <f>IF(ISNUMBER(SEARCH("/",TRIM([1]RawShipmentData!B1380))),DATE(VALUE(RIGHT(TRIM([1]RawShipmentData!B1380),4)),VALUE(MID(TRIM([1]RawShipmentData!B1380),FIND("/",TRIM([1]RawShipmentData!B1380))+1,2)),VALUE(LEFT(TRIM([1]RawShipmentData!B1380),FIND("/",TRIM([1]RawShipmentData!B1380))-1))),DATEVALUE(TRIM([1]RawShipmentData!B1380)))</f>
        <v>45338</v>
      </c>
      <c r="C1366" s="2" t="str">
        <f>PROPER(TRIM([1]RawShipmentData!C1380))</f>
        <v>Bengaluru</v>
      </c>
      <c r="D1366" s="2" t="str">
        <f>IFERROR(INDEX([1]HubMaster!$B$2:$B$7,MATCH(C1366,[1]HubMaster!$A$2:$A$7,0)),"Unknown")</f>
        <v>South</v>
      </c>
      <c r="E1366" s="2" t="str">
        <f>PROPER(TRIM(SUBSTITUTE([1]RawShipmentData!D1380,"  "," ")))</f>
        <v>Dtdc</v>
      </c>
      <c r="F1366" s="2" t="str">
        <f>PROPER(TRIM([1]RawShipmentData!E1380))</f>
        <v>Surface</v>
      </c>
      <c r="G1366" s="2" t="str">
        <f>PROPER(TRIM(SUBSTITUTE([1]RawShipmentData!F1380,"  "," ")))</f>
        <v>Automotive Parts</v>
      </c>
      <c r="H1366" s="2" t="str">
        <f>PROPER(TRIM([1]RawShipmentData!G1380))</f>
        <v>East</v>
      </c>
      <c r="I1366" s="2" t="str">
        <f t="shared" si="105"/>
        <v>Yes</v>
      </c>
      <c r="J1366" s="2" t="str">
        <f>IFERROR(VALUE(TRIM(SUBSTITUTE(UPPER([1]RawShipmentData!I1366),"KG",""))),"")</f>
        <v/>
      </c>
      <c r="K1366" s="2">
        <f>VALUE(SUBSTITUTE(SUBSTITUTE(SUBSTITUTE(TRIM([1]RawShipmentData!J1380),"₹",""),"Rs",""),",",""))</f>
        <v>732</v>
      </c>
      <c r="L1366" s="2">
        <f>[1]RawShipmentData!K1380</f>
        <v>6</v>
      </c>
      <c r="M1366" s="3">
        <f>IF(TRIM([1]RawShipmentData!L1380)="","",IF(ISNUMBER(SEARCH("/",TRIM([1]RawShipmentData!L1380))),DATE(VALUE(RIGHT(TRIM([1]RawShipmentData!L1380),4)),VALUE(MID(TRIM([1]RawShipmentData!L1380),FIND("/",TRIM([1]RawShipmentData!L1380))+1,2)),VALUE(LEFT(TRIM([1]RawShipmentData!L1380),FIND("/",TRIM([1]RawShipmentData!L1380))-1))),DATEVALUE(TRIM([1]RawShipmentData!L1380))))</f>
        <v>45344</v>
      </c>
      <c r="N1366" s="2">
        <f t="shared" si="106"/>
        <v>6</v>
      </c>
      <c r="O1366" s="2">
        <f t="shared" si="107"/>
        <v>0</v>
      </c>
      <c r="P1366" s="2" t="str">
        <f t="shared" si="108"/>
        <v>On Time</v>
      </c>
      <c r="Q1366" s="2" t="str">
        <f>PROPER(SUBSTITUTE(TRIM([1]RawShipmentData!M1380)," ","-"))</f>
        <v>Delivered</v>
      </c>
      <c r="R1366" s="4" t="str">
        <f t="shared" si="109"/>
        <v/>
      </c>
      <c r="S1366" s="2">
        <f>[1]RawShipmentData!N1380</f>
        <v>3</v>
      </c>
      <c r="T1366" s="2" t="str">
        <f>IF(OR(UPPER(TRIM([1]RawShipmentData!O1380))="YES",UPPER(TRIM([1]RawShipmentData!O1380))="Y"),"Yes","No")</f>
        <v>No</v>
      </c>
    </row>
    <row r="1367" spans="1:20" x14ac:dyDescent="0.25">
      <c r="A1367" s="2" t="str">
        <f>[1]RawShipmentData!A1381</f>
        <v>SHP-100846</v>
      </c>
      <c r="B1367" s="3">
        <f>IF(ISNUMBER(SEARCH("/",TRIM([1]RawShipmentData!B1381))),DATE(VALUE(RIGHT(TRIM([1]RawShipmentData!B1381),4)),VALUE(MID(TRIM([1]RawShipmentData!B1381),FIND("/",TRIM([1]RawShipmentData!B1381))+1,2)),VALUE(LEFT(TRIM([1]RawShipmentData!B1381),FIND("/",TRIM([1]RawShipmentData!B1381))-1))),DATEVALUE(TRIM([1]RawShipmentData!B1381)))</f>
        <v>45373</v>
      </c>
      <c r="C1367" s="2" t="str">
        <f>PROPER(TRIM([1]RawShipmentData!C1381))</f>
        <v>Kolkata</v>
      </c>
      <c r="D1367" s="2" t="str">
        <f>IFERROR(INDEX([1]HubMaster!$B$2:$B$7,MATCH(C1367,[1]HubMaster!$A$2:$A$7,0)),"Unknown")</f>
        <v>East</v>
      </c>
      <c r="E1367" s="2" t="str">
        <f>PROPER(TRIM(SUBSTITUTE([1]RawShipmentData!D1381,"  "," ")))</f>
        <v>Dtdc</v>
      </c>
      <c r="F1367" s="2" t="str">
        <f>PROPER(TRIM([1]RawShipmentData!E1381))</f>
        <v>Road</v>
      </c>
      <c r="G1367" s="2" t="str">
        <f>PROPER(TRIM(SUBSTITUTE([1]RawShipmentData!F1381,"  "," ")))</f>
        <v>Pharma</v>
      </c>
      <c r="H1367" s="2" t="str">
        <f>PROPER(TRIM([1]RawShipmentData!G1381))</f>
        <v>South</v>
      </c>
      <c r="I1367" s="2" t="str">
        <f t="shared" si="105"/>
        <v>Yes</v>
      </c>
      <c r="J1367" s="2">
        <f>IFERROR(VALUE(TRIM(SUBSTITUTE(UPPER([1]RawShipmentData!I1367),"KG",""))),"")</f>
        <v>5.2</v>
      </c>
      <c r="K1367" s="2">
        <f>VALUE(SUBSTITUTE(SUBSTITUTE(SUBSTITUTE(TRIM([1]RawShipmentData!J1381),"₹",""),"Rs",""),",",""))</f>
        <v>154</v>
      </c>
      <c r="L1367" s="2">
        <f>[1]RawShipmentData!K1381</f>
        <v>8</v>
      </c>
      <c r="M1367" s="3">
        <f>IF(TRIM([1]RawShipmentData!L1381)="","",IF(ISNUMBER(SEARCH("/",TRIM([1]RawShipmentData!L1381))),DATE(VALUE(RIGHT(TRIM([1]RawShipmentData!L1381),4)),VALUE(MID(TRIM([1]RawShipmentData!L1381),FIND("/",TRIM([1]RawShipmentData!L1381))+1,2)),VALUE(LEFT(TRIM([1]RawShipmentData!L1381),FIND("/",TRIM([1]RawShipmentData!L1381))-1))),DATEVALUE(TRIM([1]RawShipmentData!L1381))))</f>
        <v>45385</v>
      </c>
      <c r="N1367" s="2">
        <f t="shared" si="106"/>
        <v>12</v>
      </c>
      <c r="O1367" s="2">
        <f t="shared" si="107"/>
        <v>4</v>
      </c>
      <c r="P1367" s="2" t="str">
        <f t="shared" si="108"/>
        <v>Late</v>
      </c>
      <c r="Q1367" s="2" t="str">
        <f>PROPER(SUBSTITUTE(TRIM([1]RawShipmentData!M1381)," ","-"))</f>
        <v>Delayed</v>
      </c>
      <c r="R1367" s="4">
        <f t="shared" si="109"/>
        <v>29.615384615384613</v>
      </c>
      <c r="S1367" s="2">
        <f>[1]RawShipmentData!N1381</f>
        <v>3</v>
      </c>
      <c r="T1367" s="2" t="str">
        <f>IF(OR(UPPER(TRIM([1]RawShipmentData!O1381))="YES",UPPER(TRIM([1]RawShipmentData!O1381))="Y"),"Yes","No")</f>
        <v>Yes</v>
      </c>
    </row>
    <row r="1368" spans="1:20" x14ac:dyDescent="0.25">
      <c r="A1368" s="2" t="str">
        <f>[1]RawShipmentData!A1382</f>
        <v>SHP-100074</v>
      </c>
      <c r="B1368" s="3">
        <f>IF(ISNUMBER(SEARCH("/",TRIM([1]RawShipmentData!B1382))),DATE(VALUE(RIGHT(TRIM([1]RawShipmentData!B1382),4)),VALUE(MID(TRIM([1]RawShipmentData!B1382),FIND("/",TRIM([1]RawShipmentData!B1382))+1,2)),VALUE(LEFT(TRIM([1]RawShipmentData!B1382),FIND("/",TRIM([1]RawShipmentData!B1382))-1))),DATEVALUE(TRIM([1]RawShipmentData!B1382)))</f>
        <v>45356</v>
      </c>
      <c r="C1368" s="2" t="str">
        <f>PROPER(TRIM([1]RawShipmentData!C1382))</f>
        <v>Chennai</v>
      </c>
      <c r="D1368" s="2" t="str">
        <f>IFERROR(INDEX([1]HubMaster!$B$2:$B$7,MATCH(C1368,[1]HubMaster!$A$2:$A$7,0)),"Unknown")</f>
        <v>South</v>
      </c>
      <c r="E1368" s="2" t="str">
        <f>PROPER(TRIM(SUBSTITUTE([1]RawShipmentData!D1382,"  "," ")))</f>
        <v>Xpressbees</v>
      </c>
      <c r="F1368" s="2" t="str">
        <f>PROPER(TRIM([1]RawShipmentData!E1382))</f>
        <v>Road</v>
      </c>
      <c r="G1368" s="2" t="str">
        <f>PROPER(TRIM(SUBSTITUTE([1]RawShipmentData!F1382,"  "," ")))</f>
        <v>Electronics</v>
      </c>
      <c r="H1368" s="2" t="str">
        <f>PROPER(TRIM([1]RawShipmentData!G1382))</f>
        <v>South</v>
      </c>
      <c r="I1368" s="2" t="str">
        <f t="shared" si="105"/>
        <v>No</v>
      </c>
      <c r="J1368" s="2">
        <f>IFERROR(VALUE(TRIM(SUBSTITUTE(UPPER([1]RawShipmentData!I1368),"KG",""))),"")</f>
        <v>1.2</v>
      </c>
      <c r="K1368" s="2">
        <f>VALUE(SUBSTITUTE(SUBSTITUTE(SUBSTITUTE(TRIM([1]RawShipmentData!J1382),"₹",""),"Rs",""),",",""))</f>
        <v>171</v>
      </c>
      <c r="L1368" s="2">
        <f>[1]RawShipmentData!K1382</f>
        <v>6</v>
      </c>
      <c r="M1368" s="3">
        <f>IF(TRIM([1]RawShipmentData!L1382)="","",IF(ISNUMBER(SEARCH("/",TRIM([1]RawShipmentData!L1382))),DATE(VALUE(RIGHT(TRIM([1]RawShipmentData!L1382),4)),VALUE(MID(TRIM([1]RawShipmentData!L1382),FIND("/",TRIM([1]RawShipmentData!L1382))+1,2)),VALUE(LEFT(TRIM([1]RawShipmentData!L1382),FIND("/",TRIM([1]RawShipmentData!L1382))-1))),DATEVALUE(TRIM([1]RawShipmentData!L1382))))</f>
        <v>45366</v>
      </c>
      <c r="N1368" s="2">
        <f t="shared" si="106"/>
        <v>10</v>
      </c>
      <c r="O1368" s="2">
        <f t="shared" si="107"/>
        <v>4</v>
      </c>
      <c r="P1368" s="2" t="str">
        <f t="shared" si="108"/>
        <v>Late</v>
      </c>
      <c r="Q1368" s="2" t="str">
        <f>PROPER(SUBSTITUTE(TRIM([1]RawShipmentData!M1382)," ","-"))</f>
        <v>Delayed</v>
      </c>
      <c r="R1368" s="4">
        <f t="shared" si="109"/>
        <v>142.5</v>
      </c>
      <c r="S1368" s="2">
        <f>[1]RawShipmentData!N1382</f>
        <v>5</v>
      </c>
      <c r="T1368" s="2" t="str">
        <f>IF(OR(UPPER(TRIM([1]RawShipmentData!O1382))="YES",UPPER(TRIM([1]RawShipmentData!O1382))="Y"),"Yes","No")</f>
        <v>No</v>
      </c>
    </row>
    <row r="1369" spans="1:20" x14ac:dyDescent="0.25">
      <c r="A1369" s="2" t="str">
        <f>[1]RawShipmentData!A1383</f>
        <v>SHP-100607</v>
      </c>
      <c r="B1369" s="3">
        <f>IF(ISNUMBER(SEARCH("/",TRIM([1]RawShipmentData!B1383))),DATE(VALUE(RIGHT(TRIM([1]RawShipmentData!B1383),4)),VALUE(MID(TRIM([1]RawShipmentData!B1383),FIND("/",TRIM([1]RawShipmentData!B1383))+1,2)),VALUE(LEFT(TRIM([1]RawShipmentData!B1383),FIND("/",TRIM([1]RawShipmentData!B1383))-1))),DATEVALUE(TRIM([1]RawShipmentData!B1383)))</f>
        <v>45470</v>
      </c>
      <c r="C1369" s="2" t="str">
        <f>PROPER(TRIM([1]RawShipmentData!C1383))</f>
        <v>Bengaluru</v>
      </c>
      <c r="D1369" s="2" t="str">
        <f>IFERROR(INDEX([1]HubMaster!$B$2:$B$7,MATCH(C1369,[1]HubMaster!$A$2:$A$7,0)),"Unknown")</f>
        <v>South</v>
      </c>
      <c r="E1369" s="2" t="str">
        <f>PROPER(TRIM(SUBSTITUTE([1]RawShipmentData!D1383,"  "," ")))</f>
        <v>Xpressbees</v>
      </c>
      <c r="F1369" s="2" t="str">
        <f>PROPER(TRIM([1]RawShipmentData!E1383))</f>
        <v>Road</v>
      </c>
      <c r="G1369" s="2" t="str">
        <f>PROPER(TRIM(SUBSTITUTE([1]RawShipmentData!F1383,"  "," ")))</f>
        <v>Pharma</v>
      </c>
      <c r="H1369" s="2" t="str">
        <f>PROPER(TRIM([1]RawShipmentData!G1383))</f>
        <v>East</v>
      </c>
      <c r="I1369" s="2" t="str">
        <f t="shared" si="105"/>
        <v>Yes</v>
      </c>
      <c r="J1369" s="2">
        <f>IFERROR(VALUE(TRIM(SUBSTITUTE(UPPER([1]RawShipmentData!I1369),"KG",""))),"")</f>
        <v>14.9</v>
      </c>
      <c r="K1369" s="2">
        <f>VALUE(SUBSTITUTE(SUBSTITUTE(SUBSTITUTE(TRIM([1]RawShipmentData!J1383),"₹",""),"Rs",""),",",""))</f>
        <v>236</v>
      </c>
      <c r="L1369" s="2">
        <f>[1]RawShipmentData!K1383</f>
        <v>8</v>
      </c>
      <c r="M1369" s="3" t="str">
        <f>IF(TRIM([1]RawShipmentData!L1383)="","",IF(ISNUMBER(SEARCH("/",TRIM([1]RawShipmentData!L1383))),DATE(VALUE(RIGHT(TRIM([1]RawShipmentData!L1383),4)),VALUE(MID(TRIM([1]RawShipmentData!L1383),FIND("/",TRIM([1]RawShipmentData!L1383))+1,2)),VALUE(LEFT(TRIM([1]RawShipmentData!L1383),FIND("/",TRIM([1]RawShipmentData!L1383))-1))),DATEVALUE(TRIM([1]RawShipmentData!L1383))))</f>
        <v/>
      </c>
      <c r="N1369" s="2" t="str">
        <f t="shared" si="106"/>
        <v/>
      </c>
      <c r="O1369" s="2" t="str">
        <f t="shared" si="107"/>
        <v/>
      </c>
      <c r="P1369" s="2" t="str">
        <f t="shared" si="108"/>
        <v>N/A</v>
      </c>
      <c r="Q1369" s="2" t="str">
        <f>PROPER(SUBSTITUTE(TRIM([1]RawShipmentData!M1383)," ","-"))</f>
        <v>In-Transit</v>
      </c>
      <c r="R1369" s="4">
        <f t="shared" si="109"/>
        <v>15.838926174496644</v>
      </c>
      <c r="S1369" s="2">
        <f>[1]RawShipmentData!N1383</f>
        <v>0</v>
      </c>
      <c r="T1369" s="2" t="str">
        <f>IF(OR(UPPER(TRIM([1]RawShipmentData!O1383))="YES",UPPER(TRIM([1]RawShipmentData!O1383))="Y"),"Yes","No")</f>
        <v>Yes</v>
      </c>
    </row>
    <row r="1370" spans="1:20" x14ac:dyDescent="0.25">
      <c r="A1370" s="2" t="str">
        <f>[1]RawShipmentData!A1384</f>
        <v>SHP-100812</v>
      </c>
      <c r="B1370" s="3">
        <f>IF(ISNUMBER(SEARCH("/",TRIM([1]RawShipmentData!B1384))),DATE(VALUE(RIGHT(TRIM([1]RawShipmentData!B1384),4)),VALUE(MID(TRIM([1]RawShipmentData!B1384),FIND("/",TRIM([1]RawShipmentData!B1384))+1,2)),VALUE(LEFT(TRIM([1]RawShipmentData!B1384),FIND("/",TRIM([1]RawShipmentData!B1384))-1))),DATEVALUE(TRIM([1]RawShipmentData!B1384)))</f>
        <v>45363</v>
      </c>
      <c r="C1370" s="2" t="str">
        <f>PROPER(TRIM([1]RawShipmentData!C1384))</f>
        <v>Bengaluru</v>
      </c>
      <c r="D1370" s="2" t="str">
        <f>IFERROR(INDEX([1]HubMaster!$B$2:$B$7,MATCH(C1370,[1]HubMaster!$A$2:$A$7,0)),"Unknown")</f>
        <v>South</v>
      </c>
      <c r="E1370" s="2" t="str">
        <f>PROPER(TRIM(SUBSTITUTE([1]RawShipmentData!D1384,"  "," ")))</f>
        <v>Dtdc</v>
      </c>
      <c r="F1370" s="2" t="str">
        <f>PROPER(TRIM([1]RawShipmentData!E1384))</f>
        <v>Road</v>
      </c>
      <c r="G1370" s="2" t="str">
        <f>PROPER(TRIM(SUBSTITUTE([1]RawShipmentData!F1384,"  "," ")))</f>
        <v>Furniture</v>
      </c>
      <c r="H1370" s="2" t="str">
        <f>PROPER(TRIM([1]RawShipmentData!G1384))</f>
        <v>East</v>
      </c>
      <c r="I1370" s="2" t="str">
        <f t="shared" si="105"/>
        <v>Yes</v>
      </c>
      <c r="J1370" s="2">
        <f>IFERROR(VALUE(TRIM(SUBSTITUTE(UPPER([1]RawShipmentData!I1370),"KG",""))),"")</f>
        <v>14.6</v>
      </c>
      <c r="K1370" s="2">
        <f>VALUE(SUBSTITUTE(SUBSTITUTE(SUBSTITUTE(TRIM([1]RawShipmentData!J1384),"₹",""),"Rs",""),",",""))</f>
        <v>695</v>
      </c>
      <c r="L1370" s="2">
        <f>[1]RawShipmentData!K1384</f>
        <v>8</v>
      </c>
      <c r="M1370" s="3">
        <f>IF(TRIM([1]RawShipmentData!L1384)="","",IF(ISNUMBER(SEARCH("/",TRIM([1]RawShipmentData!L1384))),DATE(VALUE(RIGHT(TRIM([1]RawShipmentData!L1384),4)),VALUE(MID(TRIM([1]RawShipmentData!L1384),FIND("/",TRIM([1]RawShipmentData!L1384))+1,2)),VALUE(LEFT(TRIM([1]RawShipmentData!L1384),FIND("/",TRIM([1]RawShipmentData!L1384))-1))),DATEVALUE(TRIM([1]RawShipmentData!L1384))))</f>
        <v>45372</v>
      </c>
      <c r="N1370" s="2">
        <f t="shared" si="106"/>
        <v>9</v>
      </c>
      <c r="O1370" s="2">
        <f t="shared" si="107"/>
        <v>1</v>
      </c>
      <c r="P1370" s="2" t="str">
        <f t="shared" si="108"/>
        <v>Late</v>
      </c>
      <c r="Q1370" s="2" t="str">
        <f>PROPER(SUBSTITUTE(TRIM([1]RawShipmentData!M1384)," ","-"))</f>
        <v>Delayed</v>
      </c>
      <c r="R1370" s="4">
        <f t="shared" si="109"/>
        <v>47.602739726027401</v>
      </c>
      <c r="S1370" s="2">
        <f>[1]RawShipmentData!N1384</f>
        <v>3</v>
      </c>
      <c r="T1370" s="2" t="str">
        <f>IF(OR(UPPER(TRIM([1]RawShipmentData!O1384))="YES",UPPER(TRIM([1]RawShipmentData!O1384))="Y"),"Yes","No")</f>
        <v>No</v>
      </c>
    </row>
    <row r="1371" spans="1:20" x14ac:dyDescent="0.25">
      <c r="A1371" s="2" t="str">
        <f>[1]RawShipmentData!A1385</f>
        <v>SHP-100620</v>
      </c>
      <c r="B1371" s="3">
        <f>IF(ISNUMBER(SEARCH("/",TRIM([1]RawShipmentData!B1385))),DATE(VALUE(RIGHT(TRIM([1]RawShipmentData!B1385),4)),VALUE(MID(TRIM([1]RawShipmentData!B1385),FIND("/",TRIM([1]RawShipmentData!B1385))+1,2)),VALUE(LEFT(TRIM([1]RawShipmentData!B1385),FIND("/",TRIM([1]RawShipmentData!B1385))-1))),DATEVALUE(TRIM([1]RawShipmentData!B1385)))</f>
        <v>45305</v>
      </c>
      <c r="C1371" s="2" t="str">
        <f>PROPER(TRIM([1]RawShipmentData!C1385))</f>
        <v>Kolkata</v>
      </c>
      <c r="D1371" s="2" t="str">
        <f>IFERROR(INDEX([1]HubMaster!$B$2:$B$7,MATCH(C1371,[1]HubMaster!$A$2:$A$7,0)),"Unknown")</f>
        <v>East</v>
      </c>
      <c r="E1371" s="2" t="str">
        <f>PROPER(TRIM(SUBSTITUTE([1]RawShipmentData!D1385,"  "," ")))</f>
        <v>Dtdc</v>
      </c>
      <c r="F1371" s="2" t="str">
        <f>PROPER(TRIM([1]RawShipmentData!E1385))</f>
        <v>Air</v>
      </c>
      <c r="G1371" s="2" t="str">
        <f>PROPER(TRIM(SUBSTITUTE([1]RawShipmentData!F1385,"  "," ")))</f>
        <v>Furniture</v>
      </c>
      <c r="H1371" s="2" t="str">
        <f>PROPER(TRIM([1]RawShipmentData!G1385))</f>
        <v>West</v>
      </c>
      <c r="I1371" s="2" t="str">
        <f t="shared" si="105"/>
        <v>Yes</v>
      </c>
      <c r="J1371" s="2">
        <f>IFERROR(VALUE(TRIM(SUBSTITUTE(UPPER([1]RawShipmentData!I1371),"KG",""))),"")</f>
        <v>35.200000000000003</v>
      </c>
      <c r="K1371" s="2">
        <f>VALUE(SUBSTITUTE(SUBSTITUTE(SUBSTITUTE(TRIM([1]RawShipmentData!J1385),"₹",""),"Rs",""),",",""))</f>
        <v>2589</v>
      </c>
      <c r="L1371" s="2">
        <f>[1]RawShipmentData!K1385</f>
        <v>4</v>
      </c>
      <c r="M1371" s="3">
        <f>IF(TRIM([1]RawShipmentData!L1385)="","",IF(ISNUMBER(SEARCH("/",TRIM([1]RawShipmentData!L1385))),DATE(VALUE(RIGHT(TRIM([1]RawShipmentData!L1385),4)),VALUE(MID(TRIM([1]RawShipmentData!L1385),FIND("/",TRIM([1]RawShipmentData!L1385))+1,2)),VALUE(LEFT(TRIM([1]RawShipmentData!L1385),FIND("/",TRIM([1]RawShipmentData!L1385))-1))),DATEVALUE(TRIM([1]RawShipmentData!L1385))))</f>
        <v>45310</v>
      </c>
      <c r="N1371" s="2">
        <f t="shared" si="106"/>
        <v>5</v>
      </c>
      <c r="O1371" s="2">
        <f t="shared" si="107"/>
        <v>1</v>
      </c>
      <c r="P1371" s="2" t="str">
        <f t="shared" si="108"/>
        <v>Late</v>
      </c>
      <c r="Q1371" s="2" t="str">
        <f>PROPER(SUBSTITUTE(TRIM([1]RawShipmentData!M1385)," ","-"))</f>
        <v>Delayed</v>
      </c>
      <c r="R1371" s="4">
        <f t="shared" si="109"/>
        <v>73.55113636363636</v>
      </c>
      <c r="S1371" s="2">
        <f>[1]RawShipmentData!N1385</f>
        <v>1</v>
      </c>
      <c r="T1371" s="2" t="str">
        <f>IF(OR(UPPER(TRIM([1]RawShipmentData!O1385))="YES",UPPER(TRIM([1]RawShipmentData!O1385))="Y"),"Yes","No")</f>
        <v>Yes</v>
      </c>
    </row>
    <row r="1372" spans="1:20" x14ac:dyDescent="0.25">
      <c r="A1372" s="2" t="str">
        <f>[1]RawShipmentData!A1386</f>
        <v>SHP-100091</v>
      </c>
      <c r="B1372" s="3">
        <f>IF(ISNUMBER(SEARCH("/",TRIM([1]RawShipmentData!B1386))),DATE(VALUE(RIGHT(TRIM([1]RawShipmentData!B1386),4)),VALUE(MID(TRIM([1]RawShipmentData!B1386),FIND("/",TRIM([1]RawShipmentData!B1386))+1,2)),VALUE(LEFT(TRIM([1]RawShipmentData!B1386),FIND("/",TRIM([1]RawShipmentData!B1386))-1))),DATEVALUE(TRIM([1]RawShipmentData!B1386)))</f>
        <v>45405</v>
      </c>
      <c r="C1372" s="2" t="str">
        <f>PROPER(TRIM([1]RawShipmentData!C1386))</f>
        <v>Bengaluru</v>
      </c>
      <c r="D1372" s="2" t="str">
        <f>IFERROR(INDEX([1]HubMaster!$B$2:$B$7,MATCH(C1372,[1]HubMaster!$A$2:$A$7,0)),"Unknown")</f>
        <v>South</v>
      </c>
      <c r="E1372" s="2" t="str">
        <f>PROPER(TRIM(SUBSTITUTE([1]RawShipmentData!D1386,"  "," ")))</f>
        <v>Ecom Express</v>
      </c>
      <c r="F1372" s="2" t="str">
        <f>PROPER(TRIM([1]RawShipmentData!E1386))</f>
        <v>Air</v>
      </c>
      <c r="G1372" s="2" t="str">
        <f>PROPER(TRIM(SUBSTITUTE([1]RawShipmentData!F1386,"  "," ")))</f>
        <v>Furniture</v>
      </c>
      <c r="H1372" s="2" t="str">
        <f>PROPER(TRIM([1]RawShipmentData!G1386))</f>
        <v>North</v>
      </c>
      <c r="I1372" s="2" t="str">
        <f t="shared" si="105"/>
        <v>Yes</v>
      </c>
      <c r="J1372" s="2">
        <f>IFERROR(VALUE(TRIM(SUBSTITUTE(UPPER([1]RawShipmentData!I1372),"KG",""))),"")</f>
        <v>2.5</v>
      </c>
      <c r="K1372" s="2">
        <f>VALUE(SUBSTITUTE(SUBSTITUTE(SUBSTITUTE(TRIM([1]RawShipmentData!J1386),"₹",""),"Rs",""),",",""))</f>
        <v>1223</v>
      </c>
      <c r="L1372" s="2">
        <f>[1]RawShipmentData!K1386</f>
        <v>4</v>
      </c>
      <c r="M1372" s="3">
        <f>IF(TRIM([1]RawShipmentData!L1386)="","",IF(ISNUMBER(SEARCH("/",TRIM([1]RawShipmentData!L1386))),DATE(VALUE(RIGHT(TRIM([1]RawShipmentData!L1386),4)),VALUE(MID(TRIM([1]RawShipmentData!L1386),FIND("/",TRIM([1]RawShipmentData!L1386))+1,2)),VALUE(LEFT(TRIM([1]RawShipmentData!L1386),FIND("/",TRIM([1]RawShipmentData!L1386))-1))),DATEVALUE(TRIM([1]RawShipmentData!L1386))))</f>
        <v>45412</v>
      </c>
      <c r="N1372" s="2">
        <f t="shared" si="106"/>
        <v>7</v>
      </c>
      <c r="O1372" s="2">
        <f t="shared" si="107"/>
        <v>3</v>
      </c>
      <c r="P1372" s="2" t="str">
        <f t="shared" si="108"/>
        <v>Late</v>
      </c>
      <c r="Q1372" s="2" t="str">
        <f>PROPER(SUBSTITUTE(TRIM([1]RawShipmentData!M1386)," ","-"))</f>
        <v>Delayed</v>
      </c>
      <c r="R1372" s="4">
        <f t="shared" si="109"/>
        <v>489.2</v>
      </c>
      <c r="S1372" s="2">
        <f>[1]RawShipmentData!N1386</f>
        <v>3</v>
      </c>
      <c r="T1372" s="2" t="str">
        <f>IF(OR(UPPER(TRIM([1]RawShipmentData!O1386))="YES",UPPER(TRIM([1]RawShipmentData!O1386))="Y"),"Yes","No")</f>
        <v>Yes</v>
      </c>
    </row>
    <row r="1373" spans="1:20" x14ac:dyDescent="0.25">
      <c r="A1373" s="2" t="str">
        <f>[1]RawShipmentData!A1387</f>
        <v>SHP-100443</v>
      </c>
      <c r="B1373" s="3">
        <f>IF(ISNUMBER(SEARCH("/",TRIM([1]RawShipmentData!B1387))),DATE(VALUE(RIGHT(TRIM([1]RawShipmentData!B1387),4)),VALUE(MID(TRIM([1]RawShipmentData!B1387),FIND("/",TRIM([1]RawShipmentData!B1387))+1,2)),VALUE(LEFT(TRIM([1]RawShipmentData!B1387),FIND("/",TRIM([1]RawShipmentData!B1387))-1))),DATEVALUE(TRIM([1]RawShipmentData!B1387)))</f>
        <v>45415</v>
      </c>
      <c r="C1373" s="2" t="str">
        <f>PROPER(TRIM([1]RawShipmentData!C1387))</f>
        <v>Mumbai</v>
      </c>
      <c r="D1373" s="2" t="str">
        <f>IFERROR(INDEX([1]HubMaster!$B$2:$B$7,MATCH(C1373,[1]HubMaster!$A$2:$A$7,0)),"Unknown")</f>
        <v>West</v>
      </c>
      <c r="E1373" s="2" t="str">
        <f>PROPER(TRIM(SUBSTITUTE([1]RawShipmentData!D1387,"  "," ")))</f>
        <v>Ecom Express</v>
      </c>
      <c r="F1373" s="2" t="str">
        <f>PROPER(TRIM([1]RawShipmentData!E1387))</f>
        <v>Air</v>
      </c>
      <c r="G1373" s="2" t="str">
        <f>PROPER(TRIM(SUBSTITUTE([1]RawShipmentData!F1387,"  "," ")))</f>
        <v>Grocery &amp; Fmcg</v>
      </c>
      <c r="H1373" s="2" t="str">
        <f>PROPER(TRIM([1]RawShipmentData!G1387))</f>
        <v>South</v>
      </c>
      <c r="I1373" s="2" t="str">
        <f t="shared" si="105"/>
        <v>Yes</v>
      </c>
      <c r="J1373" s="2">
        <f>IFERROR(VALUE(TRIM(SUBSTITUTE(UPPER([1]RawShipmentData!I1373),"KG",""))),"")</f>
        <v>13</v>
      </c>
      <c r="K1373" s="2">
        <f>VALUE(SUBSTITUTE(SUBSTITUTE(SUBSTITUTE(TRIM([1]RawShipmentData!J1387),"₹",""),"Rs",""),",",""))</f>
        <v>439</v>
      </c>
      <c r="L1373" s="2">
        <f>[1]RawShipmentData!K1387</f>
        <v>4</v>
      </c>
      <c r="M1373" s="3">
        <f>IF(TRIM([1]RawShipmentData!L1387)="","",IF(ISNUMBER(SEARCH("/",TRIM([1]RawShipmentData!L1387))),DATE(VALUE(RIGHT(TRIM([1]RawShipmentData!L1387),4)),VALUE(MID(TRIM([1]RawShipmentData!L1387),FIND("/",TRIM([1]RawShipmentData!L1387))+1,2)),VALUE(LEFT(TRIM([1]RawShipmentData!L1387),FIND("/",TRIM([1]RawShipmentData!L1387))-1))),DATEVALUE(TRIM([1]RawShipmentData!L1387))))</f>
        <v>45420</v>
      </c>
      <c r="N1373" s="2">
        <f t="shared" si="106"/>
        <v>5</v>
      </c>
      <c r="O1373" s="2">
        <f t="shared" si="107"/>
        <v>1</v>
      </c>
      <c r="P1373" s="2" t="str">
        <f t="shared" si="108"/>
        <v>Late</v>
      </c>
      <c r="Q1373" s="2" t="str">
        <f>PROPER(SUBSTITUTE(TRIM([1]RawShipmentData!M1387)," ","-"))</f>
        <v>Delayed</v>
      </c>
      <c r="R1373" s="4">
        <f t="shared" si="109"/>
        <v>33.769230769230766</v>
      </c>
      <c r="S1373" s="2">
        <f>[1]RawShipmentData!N1387</f>
        <v>3</v>
      </c>
      <c r="T1373" s="2" t="str">
        <f>IF(OR(UPPER(TRIM([1]RawShipmentData!O1387))="YES",UPPER(TRIM([1]RawShipmentData!O1387))="Y"),"Yes","No")</f>
        <v>Yes</v>
      </c>
    </row>
    <row r="1374" spans="1:20" x14ac:dyDescent="0.25">
      <c r="A1374" s="2" t="str">
        <f>[1]RawShipmentData!A1388</f>
        <v>SHP-100622</v>
      </c>
      <c r="B1374" s="3">
        <f>IF(ISNUMBER(SEARCH("/",TRIM([1]RawShipmentData!B1388))),DATE(VALUE(RIGHT(TRIM([1]RawShipmentData!B1388),4)),VALUE(MID(TRIM([1]RawShipmentData!B1388),FIND("/",TRIM([1]RawShipmentData!B1388))+1,2)),VALUE(LEFT(TRIM([1]RawShipmentData!B1388),FIND("/",TRIM([1]RawShipmentData!B1388))-1))),DATEVALUE(TRIM([1]RawShipmentData!B1388)))</f>
        <v>45389</v>
      </c>
      <c r="C1374" s="2" t="str">
        <f>PROPER(TRIM([1]RawShipmentData!C1388))</f>
        <v>Hyderabad</v>
      </c>
      <c r="D1374" s="2" t="str">
        <f>IFERROR(INDEX([1]HubMaster!$B$2:$B$7,MATCH(C1374,[1]HubMaster!$A$2:$A$7,0)),"Unknown")</f>
        <v>West</v>
      </c>
      <c r="E1374" s="2" t="str">
        <f>PROPER(TRIM(SUBSTITUTE([1]RawShipmentData!D1388,"  "," ")))</f>
        <v>Dtdc</v>
      </c>
      <c r="F1374" s="2" t="str">
        <f>PROPER(TRIM([1]RawShipmentData!E1388))</f>
        <v>Air</v>
      </c>
      <c r="G1374" s="2" t="str">
        <f>PROPER(TRIM(SUBSTITUTE([1]RawShipmentData!F1388,"  "," ")))</f>
        <v>Electronics</v>
      </c>
      <c r="H1374" s="2" t="str">
        <f>PROPER(TRIM([1]RawShipmentData!G1388))</f>
        <v>South</v>
      </c>
      <c r="I1374" s="2" t="str">
        <f t="shared" si="105"/>
        <v>Yes</v>
      </c>
      <c r="J1374" s="2">
        <f>IFERROR(VALUE(TRIM(SUBSTITUTE(UPPER([1]RawShipmentData!I1374),"KG",""))),"")</f>
        <v>59.1</v>
      </c>
      <c r="K1374" s="2">
        <f>VALUE(SUBSTITUTE(SUBSTITUTE(SUBSTITUTE(TRIM([1]RawShipmentData!J1388),"₹",""),"Rs",""),",",""))</f>
        <v>711</v>
      </c>
      <c r="L1374" s="2">
        <f>[1]RawShipmentData!K1388</f>
        <v>4</v>
      </c>
      <c r="M1374" s="3">
        <f>IF(TRIM([1]RawShipmentData!L1388)="","",IF(ISNUMBER(SEARCH("/",TRIM([1]RawShipmentData!L1388))),DATE(VALUE(RIGHT(TRIM([1]RawShipmentData!L1388),4)),VALUE(MID(TRIM([1]RawShipmentData!L1388),FIND("/",TRIM([1]RawShipmentData!L1388))+1,2)),VALUE(LEFT(TRIM([1]RawShipmentData!L1388),FIND("/",TRIM([1]RawShipmentData!L1388))-1))),DATEVALUE(TRIM([1]RawShipmentData!L1388))))</f>
        <v>45394</v>
      </c>
      <c r="N1374" s="2">
        <f t="shared" si="106"/>
        <v>5</v>
      </c>
      <c r="O1374" s="2">
        <f t="shared" si="107"/>
        <v>1</v>
      </c>
      <c r="P1374" s="2" t="str">
        <f t="shared" si="108"/>
        <v>Late</v>
      </c>
      <c r="Q1374" s="2" t="str">
        <f>PROPER(SUBSTITUTE(TRIM([1]RawShipmentData!M1388)," ","-"))</f>
        <v>Delayed</v>
      </c>
      <c r="R1374" s="4">
        <f t="shared" si="109"/>
        <v>12.030456852791877</v>
      </c>
      <c r="S1374" s="2">
        <f>[1]RawShipmentData!N1388</f>
        <v>3</v>
      </c>
      <c r="T1374" s="2" t="str">
        <f>IF(OR(UPPER(TRIM([1]RawShipmentData!O1388))="YES",UPPER(TRIM([1]RawShipmentData!O1388))="Y"),"Yes","No")</f>
        <v>No</v>
      </c>
    </row>
    <row r="1375" spans="1:20" x14ac:dyDescent="0.25">
      <c r="A1375" s="2" t="str">
        <f>[1]RawShipmentData!A1389</f>
        <v>SHP-101561</v>
      </c>
      <c r="B1375" s="3">
        <f>IF(ISNUMBER(SEARCH("/",TRIM([1]RawShipmentData!B1389))),DATE(VALUE(RIGHT(TRIM([1]RawShipmentData!B1389),4)),VALUE(MID(TRIM([1]RawShipmentData!B1389),FIND("/",TRIM([1]RawShipmentData!B1389))+1,2)),VALUE(LEFT(TRIM([1]RawShipmentData!B1389),FIND("/",TRIM([1]RawShipmentData!B1389))-1))),DATEVALUE(TRIM([1]RawShipmentData!B1389)))</f>
        <v>45315</v>
      </c>
      <c r="C1375" s="2" t="str">
        <f>PROPER(TRIM([1]RawShipmentData!C1389))</f>
        <v>Delhi</v>
      </c>
      <c r="D1375" s="2" t="str">
        <f>IFERROR(INDEX([1]HubMaster!$B$2:$B$7,MATCH(C1375,[1]HubMaster!$A$2:$A$7,0)),"Unknown")</f>
        <v>North</v>
      </c>
      <c r="E1375" s="2" t="str">
        <f>PROPER(TRIM(SUBSTITUTE([1]RawShipmentData!D1389,"  "," ")))</f>
        <v>Ecom Express</v>
      </c>
      <c r="F1375" s="2" t="str">
        <f>PROPER(TRIM([1]RawShipmentData!E1389))</f>
        <v>Air</v>
      </c>
      <c r="G1375" s="2" t="str">
        <f>PROPER(TRIM(SUBSTITUTE([1]RawShipmentData!F1389,"  "," ")))</f>
        <v>Furniture</v>
      </c>
      <c r="H1375" s="2" t="str">
        <f>PROPER(TRIM([1]RawShipmentData!G1389))</f>
        <v>North</v>
      </c>
      <c r="I1375" s="2" t="str">
        <f t="shared" si="105"/>
        <v>No</v>
      </c>
      <c r="J1375" s="2">
        <f>IFERROR(VALUE(TRIM(SUBSTITUTE(UPPER([1]RawShipmentData!I1375),"KG",""))),"")</f>
        <v>34</v>
      </c>
      <c r="K1375" s="2">
        <f>VALUE(SUBSTITUTE(SUBSTITUTE(SUBSTITUTE(TRIM([1]RawShipmentData!J1389),"₹",""),"Rs",""),",",""))</f>
        <v>1977</v>
      </c>
      <c r="L1375" s="2">
        <f>[1]RawShipmentData!K1389</f>
        <v>2</v>
      </c>
      <c r="M1375" s="3">
        <f>IF(TRIM([1]RawShipmentData!L1389)="","",IF(ISNUMBER(SEARCH("/",TRIM([1]RawShipmentData!L1389))),DATE(VALUE(RIGHT(TRIM([1]RawShipmentData!L1389),4)),VALUE(MID(TRIM([1]RawShipmentData!L1389),FIND("/",TRIM([1]RawShipmentData!L1389))+1,2)),VALUE(LEFT(TRIM([1]RawShipmentData!L1389),FIND("/",TRIM([1]RawShipmentData!L1389))-1))),DATEVALUE(TRIM([1]RawShipmentData!L1389))))</f>
        <v>45317</v>
      </c>
      <c r="N1375" s="2">
        <f t="shared" si="106"/>
        <v>2</v>
      </c>
      <c r="O1375" s="2">
        <f t="shared" si="107"/>
        <v>0</v>
      </c>
      <c r="P1375" s="2" t="str">
        <f t="shared" si="108"/>
        <v>On Time</v>
      </c>
      <c r="Q1375" s="2" t="str">
        <f>PROPER(SUBSTITUTE(TRIM([1]RawShipmentData!M1389)," ","-"))</f>
        <v>Delivered</v>
      </c>
      <c r="R1375" s="4">
        <f t="shared" si="109"/>
        <v>58.147058823529413</v>
      </c>
      <c r="S1375" s="2">
        <f>[1]RawShipmentData!N1389</f>
        <v>5</v>
      </c>
      <c r="T1375" s="2" t="str">
        <f>IF(OR(UPPER(TRIM([1]RawShipmentData!O1389))="YES",UPPER(TRIM([1]RawShipmentData!O1389))="Y"),"Yes","No")</f>
        <v>No</v>
      </c>
    </row>
    <row r="1376" spans="1:20" x14ac:dyDescent="0.25">
      <c r="A1376" s="2" t="str">
        <f>[1]RawShipmentData!A1390</f>
        <v>SHP-100662</v>
      </c>
      <c r="B1376" s="3">
        <f>IF(ISNUMBER(SEARCH("/",TRIM([1]RawShipmentData!B1390))),DATE(VALUE(RIGHT(TRIM([1]RawShipmentData!B1390),4)),VALUE(MID(TRIM([1]RawShipmentData!B1390),FIND("/",TRIM([1]RawShipmentData!B1390))+1,2)),VALUE(LEFT(TRIM([1]RawShipmentData!B1390),FIND("/",TRIM([1]RawShipmentData!B1390))-1))),DATEVALUE(TRIM([1]RawShipmentData!B1390)))</f>
        <v>45353</v>
      </c>
      <c r="C1376" s="2" t="str">
        <f>PROPER(TRIM([1]RawShipmentData!C1390))</f>
        <v>Bengaluru</v>
      </c>
      <c r="D1376" s="2" t="str">
        <f>IFERROR(INDEX([1]HubMaster!$B$2:$B$7,MATCH(C1376,[1]HubMaster!$A$2:$A$7,0)),"Unknown")</f>
        <v>South</v>
      </c>
      <c r="E1376" s="2" t="str">
        <f>PROPER(TRIM(SUBSTITUTE([1]RawShipmentData!D1390,"  "," ")))</f>
        <v>Dtdc</v>
      </c>
      <c r="F1376" s="2" t="str">
        <f>PROPER(TRIM([1]RawShipmentData!E1390))</f>
        <v>Road</v>
      </c>
      <c r="G1376" s="2" t="str">
        <f>PROPER(TRIM(SUBSTITUTE([1]RawShipmentData!F1390,"  "," ")))</f>
        <v>Pharma</v>
      </c>
      <c r="H1376" s="2" t="str">
        <f>PROPER(TRIM([1]RawShipmentData!G1390))</f>
        <v>West</v>
      </c>
      <c r="I1376" s="2" t="str">
        <f t="shared" si="105"/>
        <v>Yes</v>
      </c>
      <c r="J1376" s="2">
        <f>IFERROR(VALUE(TRIM(SUBSTITUTE(UPPER([1]RawShipmentData!I1376),"KG",""))),"")</f>
        <v>2.2000000000000002</v>
      </c>
      <c r="K1376" s="2">
        <f>VALUE(SUBSTITUTE(SUBSTITUTE(SUBSTITUTE(TRIM([1]RawShipmentData!J1390),"₹",""),"Rs",""),",",""))</f>
        <v>155</v>
      </c>
      <c r="L1376" s="2">
        <f>[1]RawShipmentData!K1390</f>
        <v>8</v>
      </c>
      <c r="M1376" s="3">
        <f>IF(TRIM([1]RawShipmentData!L1390)="","",IF(ISNUMBER(SEARCH("/",TRIM([1]RawShipmentData!L1390))),DATE(VALUE(RIGHT(TRIM([1]RawShipmentData!L1390),4)),VALUE(MID(TRIM([1]RawShipmentData!L1390),FIND("/",TRIM([1]RawShipmentData!L1390))+1,2)),VALUE(LEFT(TRIM([1]RawShipmentData!L1390),FIND("/",TRIM([1]RawShipmentData!L1390))-1))),DATEVALUE(TRIM([1]RawShipmentData!L1390))))</f>
        <v>45370</v>
      </c>
      <c r="N1376" s="2">
        <f t="shared" si="106"/>
        <v>17</v>
      </c>
      <c r="O1376" s="2">
        <f t="shared" si="107"/>
        <v>9</v>
      </c>
      <c r="P1376" s="2" t="str">
        <f t="shared" si="108"/>
        <v>Late</v>
      </c>
      <c r="Q1376" s="2" t="str">
        <f>PROPER(SUBSTITUTE(TRIM([1]RawShipmentData!M1390)," ","-"))</f>
        <v>Delayed</v>
      </c>
      <c r="R1376" s="4">
        <f t="shared" si="109"/>
        <v>70.454545454545453</v>
      </c>
      <c r="S1376" s="2">
        <f>[1]RawShipmentData!N1390</f>
        <v>2</v>
      </c>
      <c r="T1376" s="2" t="str">
        <f>IF(OR(UPPER(TRIM([1]RawShipmentData!O1390))="YES",UPPER(TRIM([1]RawShipmentData!O1390))="Y"),"Yes","No")</f>
        <v>Yes</v>
      </c>
    </row>
    <row r="1377" spans="1:20" x14ac:dyDescent="0.25">
      <c r="A1377" s="2" t="str">
        <f>[1]RawShipmentData!A1391</f>
        <v>SHP-100023</v>
      </c>
      <c r="B1377" s="3">
        <f>IF(ISNUMBER(SEARCH("/",TRIM([1]RawShipmentData!B1391))),DATE(VALUE(RIGHT(TRIM([1]RawShipmentData!B1391),4)),VALUE(MID(TRIM([1]RawShipmentData!B1391),FIND("/",TRIM([1]RawShipmentData!B1391))+1,2)),VALUE(LEFT(TRIM([1]RawShipmentData!B1391),FIND("/",TRIM([1]RawShipmentData!B1391))-1))),DATEVALUE(TRIM([1]RawShipmentData!B1391)))</f>
        <v>45417</v>
      </c>
      <c r="C1377" s="2" t="str">
        <f>PROPER(TRIM([1]RawShipmentData!C1391))</f>
        <v>Hyderabad</v>
      </c>
      <c r="D1377" s="2" t="str">
        <f>IFERROR(INDEX([1]HubMaster!$B$2:$B$7,MATCH(C1377,[1]HubMaster!$A$2:$A$7,0)),"Unknown")</f>
        <v>West</v>
      </c>
      <c r="E1377" s="2" t="str">
        <f>PROPER(TRIM(SUBSTITUTE([1]RawShipmentData!D1391,"  "," ")))</f>
        <v>Ecom Express</v>
      </c>
      <c r="F1377" s="2" t="str">
        <f>PROPER(TRIM([1]RawShipmentData!E1391))</f>
        <v>Surface</v>
      </c>
      <c r="G1377" s="2" t="str">
        <f>PROPER(TRIM(SUBSTITUTE([1]RawShipmentData!F1391,"  "," ")))</f>
        <v>Grocery &amp; Fmcg</v>
      </c>
      <c r="H1377" s="2" t="str">
        <f>PROPER(TRIM([1]RawShipmentData!G1391))</f>
        <v>North</v>
      </c>
      <c r="I1377" s="2" t="str">
        <f t="shared" si="105"/>
        <v>Yes</v>
      </c>
      <c r="J1377" s="2">
        <f>IFERROR(VALUE(TRIM(SUBSTITUTE(UPPER([1]RawShipmentData!I1377),"KG",""))),"")</f>
        <v>5.3</v>
      </c>
      <c r="K1377" s="2">
        <f>VALUE(SUBSTITUTE(SUBSTITUTE(SUBSTITUTE(TRIM([1]RawShipmentData!J1391),"₹",""),"Rs",""),",",""))</f>
        <v>423</v>
      </c>
      <c r="L1377" s="2">
        <f>[1]RawShipmentData!K1391</f>
        <v>6</v>
      </c>
      <c r="M1377" s="3">
        <f>IF(TRIM([1]RawShipmentData!L1391)="","",IF(ISNUMBER(SEARCH("/",TRIM([1]RawShipmentData!L1391))),DATE(VALUE(RIGHT(TRIM([1]RawShipmentData!L1391),4)),VALUE(MID(TRIM([1]RawShipmentData!L1391),FIND("/",TRIM([1]RawShipmentData!L1391))+1,2)),VALUE(LEFT(TRIM([1]RawShipmentData!L1391),FIND("/",TRIM([1]RawShipmentData!L1391))-1))),DATEVALUE(TRIM([1]RawShipmentData!L1391))))</f>
        <v>45423</v>
      </c>
      <c r="N1377" s="2">
        <f t="shared" si="106"/>
        <v>6</v>
      </c>
      <c r="O1377" s="2">
        <f t="shared" si="107"/>
        <v>0</v>
      </c>
      <c r="P1377" s="2" t="str">
        <f t="shared" si="108"/>
        <v>On Time</v>
      </c>
      <c r="Q1377" s="2" t="str">
        <f>PROPER(SUBSTITUTE(TRIM([1]RawShipmentData!M1391)," ","-"))</f>
        <v>Delivered</v>
      </c>
      <c r="R1377" s="4">
        <f t="shared" si="109"/>
        <v>79.811320754716988</v>
      </c>
      <c r="S1377" s="2">
        <f>[1]RawShipmentData!N1391</f>
        <v>3</v>
      </c>
      <c r="T1377" s="2" t="str">
        <f>IF(OR(UPPER(TRIM([1]RawShipmentData!O1391))="YES",UPPER(TRIM([1]RawShipmentData!O1391))="Y"),"Yes","No")</f>
        <v>No</v>
      </c>
    </row>
    <row r="1378" spans="1:20" x14ac:dyDescent="0.25">
      <c r="A1378" s="2" t="str">
        <f>[1]RawShipmentData!A1392</f>
        <v>SHP-100174</v>
      </c>
      <c r="B1378" s="3">
        <f>IF(ISNUMBER(SEARCH("/",TRIM([1]RawShipmentData!B1392))),DATE(VALUE(RIGHT(TRIM([1]RawShipmentData!B1392),4)),VALUE(MID(TRIM([1]RawShipmentData!B1392),FIND("/",TRIM([1]RawShipmentData!B1392))+1,2)),VALUE(LEFT(TRIM([1]RawShipmentData!B1392),FIND("/",TRIM([1]RawShipmentData!B1392))-1))),DATEVALUE(TRIM([1]RawShipmentData!B1392)))</f>
        <v>45366</v>
      </c>
      <c r="C1378" s="2" t="str">
        <f>PROPER(TRIM([1]RawShipmentData!C1392))</f>
        <v>Hyderabad</v>
      </c>
      <c r="D1378" s="2" t="str">
        <f>IFERROR(INDEX([1]HubMaster!$B$2:$B$7,MATCH(C1378,[1]HubMaster!$A$2:$A$7,0)),"Unknown")</f>
        <v>West</v>
      </c>
      <c r="E1378" s="2" t="str">
        <f>PROPER(TRIM(SUBSTITUTE([1]RawShipmentData!D1392,"  "," ")))</f>
        <v>Dtdc</v>
      </c>
      <c r="F1378" s="2" t="str">
        <f>PROPER(TRIM([1]RawShipmentData!E1392))</f>
        <v>Air</v>
      </c>
      <c r="G1378" s="2" t="str">
        <f>PROPER(TRIM(SUBSTITUTE([1]RawShipmentData!F1392,"  "," ")))</f>
        <v>Pharma</v>
      </c>
      <c r="H1378" s="2" t="str">
        <f>PROPER(TRIM([1]RawShipmentData!G1392))</f>
        <v>North</v>
      </c>
      <c r="I1378" s="2" t="str">
        <f t="shared" si="105"/>
        <v>Yes</v>
      </c>
      <c r="J1378" s="2">
        <f>IFERROR(VALUE(TRIM(SUBSTITUTE(UPPER([1]RawShipmentData!I1378),"KG",""))),"")</f>
        <v>9.5</v>
      </c>
      <c r="K1378" s="2">
        <f>VALUE(SUBSTITUTE(SUBSTITUTE(SUBSTITUTE(TRIM([1]RawShipmentData!J1392),"₹",""),"Rs",""),",",""))</f>
        <v>189</v>
      </c>
      <c r="L1378" s="2">
        <f>[1]RawShipmentData!K1392</f>
        <v>4</v>
      </c>
      <c r="M1378" s="3">
        <f>IF(TRIM([1]RawShipmentData!L1392)="","",IF(ISNUMBER(SEARCH("/",TRIM([1]RawShipmentData!L1392))),DATE(VALUE(RIGHT(TRIM([1]RawShipmentData!L1392),4)),VALUE(MID(TRIM([1]RawShipmentData!L1392),FIND("/",TRIM([1]RawShipmentData!L1392))+1,2)),VALUE(LEFT(TRIM([1]RawShipmentData!L1392),FIND("/",TRIM([1]RawShipmentData!L1392))-1))),DATEVALUE(TRIM([1]RawShipmentData!L1392))))</f>
        <v>45370</v>
      </c>
      <c r="N1378" s="2">
        <f t="shared" si="106"/>
        <v>4</v>
      </c>
      <c r="O1378" s="2">
        <f t="shared" si="107"/>
        <v>0</v>
      </c>
      <c r="P1378" s="2" t="str">
        <f t="shared" si="108"/>
        <v>On Time</v>
      </c>
      <c r="Q1378" s="2" t="str">
        <f>PROPER(SUBSTITUTE(TRIM([1]RawShipmentData!M1392)," ","-"))</f>
        <v>Delivered</v>
      </c>
      <c r="R1378" s="4">
        <f t="shared" si="109"/>
        <v>19.894736842105264</v>
      </c>
      <c r="S1378" s="2">
        <f>[1]RawShipmentData!N1392</f>
        <v>4</v>
      </c>
      <c r="T1378" s="2" t="str">
        <f>IF(OR(UPPER(TRIM([1]RawShipmentData!O1392))="YES",UPPER(TRIM([1]RawShipmentData!O1392))="Y"),"Yes","No")</f>
        <v>No</v>
      </c>
    </row>
    <row r="1379" spans="1:20" x14ac:dyDescent="0.25">
      <c r="A1379" s="2" t="str">
        <f>[1]RawShipmentData!A1393</f>
        <v>SHP-101565</v>
      </c>
      <c r="B1379" s="3">
        <f>IF(ISNUMBER(SEARCH("/",TRIM([1]RawShipmentData!B1393))),DATE(VALUE(RIGHT(TRIM([1]RawShipmentData!B1393),4)),VALUE(MID(TRIM([1]RawShipmentData!B1393),FIND("/",TRIM([1]RawShipmentData!B1393))+1,2)),VALUE(LEFT(TRIM([1]RawShipmentData!B1393),FIND("/",TRIM([1]RawShipmentData!B1393))-1))),DATEVALUE(TRIM([1]RawShipmentData!B1393)))</f>
        <v>45307</v>
      </c>
      <c r="C1379" s="2" t="str">
        <f>PROPER(TRIM([1]RawShipmentData!C1393))</f>
        <v>Bengaluru</v>
      </c>
      <c r="D1379" s="2" t="str">
        <f>IFERROR(INDEX([1]HubMaster!$B$2:$B$7,MATCH(C1379,[1]HubMaster!$A$2:$A$7,0)),"Unknown")</f>
        <v>South</v>
      </c>
      <c r="E1379" s="2" t="str">
        <f>PROPER(TRIM(SUBSTITUTE([1]RawShipmentData!D1393,"  "," ")))</f>
        <v>Ecom Express</v>
      </c>
      <c r="F1379" s="2" t="str">
        <f>PROPER(TRIM([1]RawShipmentData!E1393))</f>
        <v>Surface</v>
      </c>
      <c r="G1379" s="2" t="str">
        <f>PROPER(TRIM(SUBSTITUTE([1]RawShipmentData!F1393,"  "," ")))</f>
        <v>Furniture</v>
      </c>
      <c r="H1379" s="2" t="str">
        <f>PROPER(TRIM([1]RawShipmentData!G1393))</f>
        <v>North</v>
      </c>
      <c r="I1379" s="2" t="str">
        <f t="shared" si="105"/>
        <v>Yes</v>
      </c>
      <c r="J1379" s="2">
        <f>IFERROR(VALUE(TRIM(SUBSTITUTE(UPPER([1]RawShipmentData!I1379),"KG",""))),"")</f>
        <v>28.9</v>
      </c>
      <c r="K1379" s="2">
        <f>VALUE(SUBSTITUTE(SUBSTITUTE(SUBSTITUTE(TRIM([1]RawShipmentData!J1393),"₹",""),"Rs",""),",",""))</f>
        <v>1836</v>
      </c>
      <c r="L1379" s="2">
        <f>[1]RawShipmentData!K1393</f>
        <v>6</v>
      </c>
      <c r="M1379" s="3">
        <f>IF(TRIM([1]RawShipmentData!L1393)="","",IF(ISNUMBER(SEARCH("/",TRIM([1]RawShipmentData!L1393))),DATE(VALUE(RIGHT(TRIM([1]RawShipmentData!L1393),4)),VALUE(MID(TRIM([1]RawShipmentData!L1393),FIND("/",TRIM([1]RawShipmentData!L1393))+1,2)),VALUE(LEFT(TRIM([1]RawShipmentData!L1393),FIND("/",TRIM([1]RawShipmentData!L1393))-1))),DATEVALUE(TRIM([1]RawShipmentData!L1393))))</f>
        <v>45314</v>
      </c>
      <c r="N1379" s="2">
        <f t="shared" si="106"/>
        <v>7</v>
      </c>
      <c r="O1379" s="2">
        <f t="shared" si="107"/>
        <v>1</v>
      </c>
      <c r="P1379" s="2" t="str">
        <f t="shared" si="108"/>
        <v>Late</v>
      </c>
      <c r="Q1379" s="2" t="str">
        <f>PROPER(SUBSTITUTE(TRIM([1]RawShipmentData!M1393)," ","-"))</f>
        <v>Delayed</v>
      </c>
      <c r="R1379" s="4">
        <f t="shared" si="109"/>
        <v>63.529411764705884</v>
      </c>
      <c r="S1379" s="2">
        <f>[1]RawShipmentData!N1393</f>
        <v>1</v>
      </c>
      <c r="T1379" s="2" t="str">
        <f>IF(OR(UPPER(TRIM([1]RawShipmentData!O1393))="YES",UPPER(TRIM([1]RawShipmentData!O1393))="Y"),"Yes","No")</f>
        <v>No</v>
      </c>
    </row>
    <row r="1380" spans="1:20" x14ac:dyDescent="0.25">
      <c r="A1380" s="2" t="str">
        <f>[1]RawShipmentData!A1394</f>
        <v>SHP-100857</v>
      </c>
      <c r="B1380" s="3">
        <f>IF(ISNUMBER(SEARCH("/",TRIM([1]RawShipmentData!B1394))),DATE(VALUE(RIGHT(TRIM([1]RawShipmentData!B1394),4)),VALUE(MID(TRIM([1]RawShipmentData!B1394),FIND("/",TRIM([1]RawShipmentData!B1394))+1,2)),VALUE(LEFT(TRIM([1]RawShipmentData!B1394),FIND("/",TRIM([1]RawShipmentData!B1394))-1))),DATEVALUE(TRIM([1]RawShipmentData!B1394)))</f>
        <v>45314</v>
      </c>
      <c r="C1380" s="2" t="str">
        <f>PROPER(TRIM([1]RawShipmentData!C1394))</f>
        <v>Kolkata</v>
      </c>
      <c r="D1380" s="2" t="str">
        <f>IFERROR(INDEX([1]HubMaster!$B$2:$B$7,MATCH(C1380,[1]HubMaster!$A$2:$A$7,0)),"Unknown")</f>
        <v>East</v>
      </c>
      <c r="E1380" s="2" t="str">
        <f>PROPER(TRIM(SUBSTITUTE([1]RawShipmentData!D1394,"  "," ")))</f>
        <v>Xpressbees</v>
      </c>
      <c r="F1380" s="2" t="str">
        <f>PROPER(TRIM([1]RawShipmentData!E1394))</f>
        <v>Surface</v>
      </c>
      <c r="G1380" s="2" t="str">
        <f>PROPER(TRIM(SUBSTITUTE([1]RawShipmentData!F1394,"  "," ")))</f>
        <v>Automotive Parts</v>
      </c>
      <c r="H1380" s="2" t="str">
        <f>PROPER(TRIM([1]RawShipmentData!G1394))</f>
        <v>North</v>
      </c>
      <c r="I1380" s="2" t="str">
        <f t="shared" si="105"/>
        <v>Yes</v>
      </c>
      <c r="J1380" s="2">
        <f>IFERROR(VALUE(TRIM(SUBSTITUTE(UPPER([1]RawShipmentData!I1380),"KG",""))),"")</f>
        <v>27.1</v>
      </c>
      <c r="K1380" s="2">
        <f>VALUE(SUBSTITUTE(SUBSTITUTE(SUBSTITUTE(TRIM([1]RawShipmentData!J1394),"₹",""),"Rs",""),",",""))</f>
        <v>328</v>
      </c>
      <c r="L1380" s="2">
        <f>[1]RawShipmentData!K1394</f>
        <v>6</v>
      </c>
      <c r="M1380" s="3">
        <f>IF(TRIM([1]RawShipmentData!L1394)="","",IF(ISNUMBER(SEARCH("/",TRIM([1]RawShipmentData!L1394))),DATE(VALUE(RIGHT(TRIM([1]RawShipmentData!L1394),4)),VALUE(MID(TRIM([1]RawShipmentData!L1394),FIND("/",TRIM([1]RawShipmentData!L1394))+1,2)),VALUE(LEFT(TRIM([1]RawShipmentData!L1394),FIND("/",TRIM([1]RawShipmentData!L1394))-1))),DATEVALUE(TRIM([1]RawShipmentData!L1394))))</f>
        <v>45328</v>
      </c>
      <c r="N1380" s="2">
        <f t="shared" si="106"/>
        <v>14</v>
      </c>
      <c r="O1380" s="2">
        <f t="shared" si="107"/>
        <v>8</v>
      </c>
      <c r="P1380" s="2" t="str">
        <f t="shared" si="108"/>
        <v>Late</v>
      </c>
      <c r="Q1380" s="2" t="str">
        <f>PROPER(SUBSTITUTE(TRIM([1]RawShipmentData!M1394)," ","-"))</f>
        <v>Delayed</v>
      </c>
      <c r="R1380" s="4">
        <f t="shared" si="109"/>
        <v>12.103321033210332</v>
      </c>
      <c r="S1380" s="2">
        <f>[1]RawShipmentData!N1394</f>
        <v>4</v>
      </c>
      <c r="T1380" s="2" t="str">
        <f>IF(OR(UPPER(TRIM([1]RawShipmentData!O1394))="YES",UPPER(TRIM([1]RawShipmentData!O1394))="Y"),"Yes","No")</f>
        <v>Yes</v>
      </c>
    </row>
    <row r="1381" spans="1:20" x14ac:dyDescent="0.25">
      <c r="A1381" s="2" t="str">
        <f>[1]RawShipmentData!A1395</f>
        <v>SHP-100836</v>
      </c>
      <c r="B1381" s="3">
        <f>IF(ISNUMBER(SEARCH("/",TRIM([1]RawShipmentData!B1395))),DATE(VALUE(RIGHT(TRIM([1]RawShipmentData!B1395),4)),VALUE(MID(TRIM([1]RawShipmentData!B1395),FIND("/",TRIM([1]RawShipmentData!B1395))+1,2)),VALUE(LEFT(TRIM([1]RawShipmentData!B1395),FIND("/",TRIM([1]RawShipmentData!B1395))-1))),DATEVALUE(TRIM([1]RawShipmentData!B1395)))</f>
        <v>45427</v>
      </c>
      <c r="C1381" s="2" t="str">
        <f>PROPER(TRIM([1]RawShipmentData!C1395))</f>
        <v>Mumbai</v>
      </c>
      <c r="D1381" s="2" t="str">
        <f>IFERROR(INDEX([1]HubMaster!$B$2:$B$7,MATCH(C1381,[1]HubMaster!$A$2:$A$7,0)),"Unknown")</f>
        <v>West</v>
      </c>
      <c r="E1381" s="2" t="str">
        <f>PROPER(TRIM(SUBSTITUTE([1]RawShipmentData!D1395,"  "," ")))</f>
        <v>Delhivery</v>
      </c>
      <c r="F1381" s="2" t="str">
        <f>PROPER(TRIM([1]RawShipmentData!E1395))</f>
        <v>Air</v>
      </c>
      <c r="G1381" s="2" t="str">
        <f>PROPER(TRIM(SUBSTITUTE([1]RawShipmentData!F1395,"  "," ")))</f>
        <v>Pharma</v>
      </c>
      <c r="H1381" s="2" t="str">
        <f>PROPER(TRIM([1]RawShipmentData!G1395))</f>
        <v>North</v>
      </c>
      <c r="I1381" s="2" t="str">
        <f t="shared" si="105"/>
        <v>Yes</v>
      </c>
      <c r="J1381" s="2">
        <f>IFERROR(VALUE(TRIM(SUBSTITUTE(UPPER([1]RawShipmentData!I1381),"KG",""))),"")</f>
        <v>1.1000000000000001</v>
      </c>
      <c r="K1381" s="2">
        <f>VALUE(SUBSTITUTE(SUBSTITUTE(SUBSTITUTE(TRIM([1]RawShipmentData!J1395),"₹",""),"Rs",""),",",""))</f>
        <v>341</v>
      </c>
      <c r="L1381" s="2">
        <f>[1]RawShipmentData!K1395</f>
        <v>4</v>
      </c>
      <c r="M1381" s="3">
        <f>IF(TRIM([1]RawShipmentData!L1395)="","",IF(ISNUMBER(SEARCH("/",TRIM([1]RawShipmentData!L1395))),DATE(VALUE(RIGHT(TRIM([1]RawShipmentData!L1395),4)),VALUE(MID(TRIM([1]RawShipmentData!L1395),FIND("/",TRIM([1]RawShipmentData!L1395))+1,2)),VALUE(LEFT(TRIM([1]RawShipmentData!L1395),FIND("/",TRIM([1]RawShipmentData!L1395))-1))),DATEVALUE(TRIM([1]RawShipmentData!L1395))))</f>
        <v>45433</v>
      </c>
      <c r="N1381" s="2">
        <f t="shared" si="106"/>
        <v>6</v>
      </c>
      <c r="O1381" s="2">
        <f t="shared" si="107"/>
        <v>2</v>
      </c>
      <c r="P1381" s="2" t="str">
        <f t="shared" si="108"/>
        <v>Late</v>
      </c>
      <c r="Q1381" s="2" t="str">
        <f>PROPER(SUBSTITUTE(TRIM([1]RawShipmentData!M1395)," ","-"))</f>
        <v>Delayed</v>
      </c>
      <c r="R1381" s="4">
        <f t="shared" si="109"/>
        <v>310</v>
      </c>
      <c r="S1381" s="2">
        <f>[1]RawShipmentData!N1395</f>
        <v>3</v>
      </c>
      <c r="T1381" s="2" t="str">
        <f>IF(OR(UPPER(TRIM([1]RawShipmentData!O1395))="YES",UPPER(TRIM([1]RawShipmentData!O1395))="Y"),"Yes","No")</f>
        <v>No</v>
      </c>
    </row>
    <row r="1382" spans="1:20" x14ac:dyDescent="0.25">
      <c r="A1382" s="2" t="str">
        <f>[1]RawShipmentData!A1396</f>
        <v>SHP-100173</v>
      </c>
      <c r="B1382" s="3">
        <f>IF(ISNUMBER(SEARCH("/",TRIM([1]RawShipmentData!B1396))),DATE(VALUE(RIGHT(TRIM([1]RawShipmentData!B1396),4)),VALUE(MID(TRIM([1]RawShipmentData!B1396),FIND("/",TRIM([1]RawShipmentData!B1396))+1,2)),VALUE(LEFT(TRIM([1]RawShipmentData!B1396),FIND("/",TRIM([1]RawShipmentData!B1396))-1))),DATEVALUE(TRIM([1]RawShipmentData!B1396)))</f>
        <v>45383</v>
      </c>
      <c r="C1382" s="2" t="str">
        <f>PROPER(TRIM([1]RawShipmentData!C1396))</f>
        <v>Delhi</v>
      </c>
      <c r="D1382" s="2" t="str">
        <f>IFERROR(INDEX([1]HubMaster!$B$2:$B$7,MATCH(C1382,[1]HubMaster!$A$2:$A$7,0)),"Unknown")</f>
        <v>North</v>
      </c>
      <c r="E1382" s="2" t="str">
        <f>PROPER(TRIM(SUBSTITUTE([1]RawShipmentData!D1396,"  "," ")))</f>
        <v>Ecom Express</v>
      </c>
      <c r="F1382" s="2" t="str">
        <f>PROPER(TRIM([1]RawShipmentData!E1396))</f>
        <v>Road</v>
      </c>
      <c r="G1382" s="2" t="str">
        <f>PROPER(TRIM(SUBSTITUTE([1]RawShipmentData!F1396,"  "," ")))</f>
        <v>Grocery &amp; Fmcg</v>
      </c>
      <c r="H1382" s="2" t="str">
        <f>PROPER(TRIM([1]RawShipmentData!G1396))</f>
        <v>North</v>
      </c>
      <c r="I1382" s="2" t="str">
        <f t="shared" si="105"/>
        <v>No</v>
      </c>
      <c r="J1382" s="2">
        <f>IFERROR(VALUE(TRIM(SUBSTITUTE(UPPER([1]RawShipmentData!I1382),"KG",""))),"")</f>
        <v>10.9</v>
      </c>
      <c r="K1382" s="2">
        <f>VALUE(SUBSTITUTE(SUBSTITUTE(SUBSTITUTE(TRIM([1]RawShipmentData!J1396),"₹",""),"Rs",""),",",""))</f>
        <v>113</v>
      </c>
      <c r="L1382" s="2">
        <f>[1]RawShipmentData!K1396</f>
        <v>6</v>
      </c>
      <c r="M1382" s="3">
        <f>IF(TRIM([1]RawShipmentData!L1396)="","",IF(ISNUMBER(SEARCH("/",TRIM([1]RawShipmentData!L1396))),DATE(VALUE(RIGHT(TRIM([1]RawShipmentData!L1396),4)),VALUE(MID(TRIM([1]RawShipmentData!L1396),FIND("/",TRIM([1]RawShipmentData!L1396))+1,2)),VALUE(LEFT(TRIM([1]RawShipmentData!L1396),FIND("/",TRIM([1]RawShipmentData!L1396))-1))),DATEVALUE(TRIM([1]RawShipmentData!L1396))))</f>
        <v>45389</v>
      </c>
      <c r="N1382" s="2">
        <f t="shared" si="106"/>
        <v>6</v>
      </c>
      <c r="O1382" s="2">
        <f t="shared" si="107"/>
        <v>0</v>
      </c>
      <c r="P1382" s="2" t="str">
        <f t="shared" si="108"/>
        <v>On Time</v>
      </c>
      <c r="Q1382" s="2" t="str">
        <f>PROPER(SUBSTITUTE(TRIM([1]RawShipmentData!M1396)," ","-"))</f>
        <v>Delivered</v>
      </c>
      <c r="R1382" s="4">
        <f t="shared" si="109"/>
        <v>10.36697247706422</v>
      </c>
      <c r="S1382" s="2">
        <f>[1]RawShipmentData!N1396</f>
        <v>2</v>
      </c>
      <c r="T1382" s="2" t="str">
        <f>IF(OR(UPPER(TRIM([1]RawShipmentData!O1396))="YES",UPPER(TRIM([1]RawShipmentData!O1396))="Y"),"Yes","No")</f>
        <v>No</v>
      </c>
    </row>
    <row r="1383" spans="1:20" x14ac:dyDescent="0.25">
      <c r="A1383" s="2" t="str">
        <f>[1]RawShipmentData!A1397</f>
        <v>SHP-100767</v>
      </c>
      <c r="B1383" s="3">
        <f>IF(ISNUMBER(SEARCH("/",TRIM([1]RawShipmentData!B1397))),DATE(VALUE(RIGHT(TRIM([1]RawShipmentData!B1397),4)),VALUE(MID(TRIM([1]RawShipmentData!B1397),FIND("/",TRIM([1]RawShipmentData!B1397))+1,2)),VALUE(LEFT(TRIM([1]RawShipmentData!B1397),FIND("/",TRIM([1]RawShipmentData!B1397))-1))),DATEVALUE(TRIM([1]RawShipmentData!B1397)))</f>
        <v>45458</v>
      </c>
      <c r="C1383" s="2" t="str">
        <f>PROPER(TRIM([1]RawShipmentData!C1397))</f>
        <v>Chennai</v>
      </c>
      <c r="D1383" s="2" t="str">
        <f>IFERROR(INDEX([1]HubMaster!$B$2:$B$7,MATCH(C1383,[1]HubMaster!$A$2:$A$7,0)),"Unknown")</f>
        <v>South</v>
      </c>
      <c r="E1383" s="2" t="str">
        <f>PROPER(TRIM(SUBSTITUTE([1]RawShipmentData!D1397,"  "," ")))</f>
        <v>Xpressbees</v>
      </c>
      <c r="F1383" s="2" t="str">
        <f>PROPER(TRIM([1]RawShipmentData!E1397))</f>
        <v>Road</v>
      </c>
      <c r="G1383" s="2" t="str">
        <f>PROPER(TRIM(SUBSTITUTE([1]RawShipmentData!F1397,"  "," ")))</f>
        <v>Furniture</v>
      </c>
      <c r="H1383" s="2" t="str">
        <f>PROPER(TRIM([1]RawShipmentData!G1397))</f>
        <v>West</v>
      </c>
      <c r="I1383" s="2" t="str">
        <f t="shared" si="105"/>
        <v>Yes</v>
      </c>
      <c r="J1383" s="2">
        <f>IFERROR(VALUE(TRIM(SUBSTITUTE(UPPER([1]RawShipmentData!I1383),"KG",""))),"")</f>
        <v>2.9</v>
      </c>
      <c r="K1383" s="2">
        <f>VALUE(SUBSTITUTE(SUBSTITUTE(SUBSTITUTE(TRIM([1]RawShipmentData!J1397),"₹",""),"Rs",""),",",""))</f>
        <v>1113</v>
      </c>
      <c r="L1383" s="2">
        <f>[1]RawShipmentData!K1397</f>
        <v>8</v>
      </c>
      <c r="M1383" s="3">
        <f>IF(TRIM([1]RawShipmentData!L1397)="","",IF(ISNUMBER(SEARCH("/",TRIM([1]RawShipmentData!L1397))),DATE(VALUE(RIGHT(TRIM([1]RawShipmentData!L1397),4)),VALUE(MID(TRIM([1]RawShipmentData!L1397),FIND("/",TRIM([1]RawShipmentData!L1397))+1,2)),VALUE(LEFT(TRIM([1]RawShipmentData!L1397),FIND("/",TRIM([1]RawShipmentData!L1397))-1))),DATEVALUE(TRIM([1]RawShipmentData!L1397))))</f>
        <v>45465</v>
      </c>
      <c r="N1383" s="2">
        <f t="shared" si="106"/>
        <v>7</v>
      </c>
      <c r="O1383" s="2">
        <f t="shared" si="107"/>
        <v>-1</v>
      </c>
      <c r="P1383" s="2" t="str">
        <f t="shared" si="108"/>
        <v>On Time</v>
      </c>
      <c r="Q1383" s="2" t="str">
        <f>PROPER(SUBSTITUTE(TRIM([1]RawShipmentData!M1397)," ","-"))</f>
        <v>Delivered</v>
      </c>
      <c r="R1383" s="4">
        <f t="shared" si="109"/>
        <v>383.79310344827587</v>
      </c>
      <c r="S1383" s="2">
        <f>[1]RawShipmentData!N1397</f>
        <v>5</v>
      </c>
      <c r="T1383" s="2" t="str">
        <f>IF(OR(UPPER(TRIM([1]RawShipmentData!O1397))="YES",UPPER(TRIM([1]RawShipmentData!O1397))="Y"),"Yes","No")</f>
        <v>Yes</v>
      </c>
    </row>
    <row r="1384" spans="1:20" x14ac:dyDescent="0.25">
      <c r="A1384" s="2" t="str">
        <f>[1]RawShipmentData!A1398</f>
        <v>SHP-100629</v>
      </c>
      <c r="B1384" s="3">
        <f>IF(ISNUMBER(SEARCH("/",TRIM([1]RawShipmentData!B1398))),DATE(VALUE(RIGHT(TRIM([1]RawShipmentData!B1398),4)),VALUE(MID(TRIM([1]RawShipmentData!B1398),FIND("/",TRIM([1]RawShipmentData!B1398))+1,2)),VALUE(LEFT(TRIM([1]RawShipmentData!B1398),FIND("/",TRIM([1]RawShipmentData!B1398))-1))),DATEVALUE(TRIM([1]RawShipmentData!B1398)))</f>
        <v>45419</v>
      </c>
      <c r="C1384" s="2" t="str">
        <f>PROPER(TRIM([1]RawShipmentData!C1398))</f>
        <v>Bengaluru</v>
      </c>
      <c r="D1384" s="2" t="str">
        <f>IFERROR(INDEX([1]HubMaster!$B$2:$B$7,MATCH(C1384,[1]HubMaster!$A$2:$A$7,0)),"Unknown")</f>
        <v>South</v>
      </c>
      <c r="E1384" s="2" t="str">
        <f>PROPER(TRIM(SUBSTITUTE([1]RawShipmentData!D1398,"  "," ")))</f>
        <v>Xpress Bees</v>
      </c>
      <c r="F1384" s="2" t="str">
        <f>PROPER(TRIM([1]RawShipmentData!E1398))</f>
        <v>Surface</v>
      </c>
      <c r="G1384" s="2" t="str">
        <f>PROPER(TRIM(SUBSTITUTE([1]RawShipmentData!F1398,"  "," ")))</f>
        <v>Electronics</v>
      </c>
      <c r="H1384" s="2" t="str">
        <f>PROPER(TRIM([1]RawShipmentData!G1398))</f>
        <v>North</v>
      </c>
      <c r="I1384" s="2" t="str">
        <f t="shared" si="105"/>
        <v>Yes</v>
      </c>
      <c r="J1384" s="2">
        <f>IFERROR(VALUE(TRIM(SUBSTITUTE(UPPER([1]RawShipmentData!I1384),"KG",""))),"")</f>
        <v>40.700000000000003</v>
      </c>
      <c r="K1384" s="2">
        <f>VALUE(SUBSTITUTE(SUBSTITUTE(SUBSTITUTE(TRIM([1]RawShipmentData!J1398),"₹",""),"Rs",""),",",""))</f>
        <v>489</v>
      </c>
      <c r="L1384" s="2">
        <f>[1]RawShipmentData!K1398</f>
        <v>6</v>
      </c>
      <c r="M1384" s="3">
        <f>IF(TRIM([1]RawShipmentData!L1398)="","",IF(ISNUMBER(SEARCH("/",TRIM([1]RawShipmentData!L1398))),DATE(VALUE(RIGHT(TRIM([1]RawShipmentData!L1398),4)),VALUE(MID(TRIM([1]RawShipmentData!L1398),FIND("/",TRIM([1]RawShipmentData!L1398))+1,2)),VALUE(LEFT(TRIM([1]RawShipmentData!L1398),FIND("/",TRIM([1]RawShipmentData!L1398))-1))),DATEVALUE(TRIM([1]RawShipmentData!L1398))))</f>
        <v>45426</v>
      </c>
      <c r="N1384" s="2">
        <f t="shared" si="106"/>
        <v>7</v>
      </c>
      <c r="O1384" s="2">
        <f t="shared" si="107"/>
        <v>1</v>
      </c>
      <c r="P1384" s="2" t="str">
        <f t="shared" si="108"/>
        <v>Late</v>
      </c>
      <c r="Q1384" s="2" t="str">
        <f>PROPER(SUBSTITUTE(TRIM([1]RawShipmentData!M1398)," ","-"))</f>
        <v>Delayed</v>
      </c>
      <c r="R1384" s="4">
        <f t="shared" si="109"/>
        <v>12.014742014742014</v>
      </c>
      <c r="S1384" s="2">
        <f>[1]RawShipmentData!N1398</f>
        <v>4</v>
      </c>
      <c r="T1384" s="2" t="str">
        <f>IF(OR(UPPER(TRIM([1]RawShipmentData!O1398))="YES",UPPER(TRIM([1]RawShipmentData!O1398))="Y"),"Yes","No")</f>
        <v>No</v>
      </c>
    </row>
    <row r="1385" spans="1:20" x14ac:dyDescent="0.25">
      <c r="A1385" s="2" t="str">
        <f>[1]RawShipmentData!A1399</f>
        <v>SHP-100499</v>
      </c>
      <c r="B1385" s="3">
        <f>IF(ISNUMBER(SEARCH("/",TRIM([1]RawShipmentData!B1399))),DATE(VALUE(RIGHT(TRIM([1]RawShipmentData!B1399),4)),VALUE(MID(TRIM([1]RawShipmentData!B1399),FIND("/",TRIM([1]RawShipmentData!B1399))+1,2)),VALUE(LEFT(TRIM([1]RawShipmentData!B1399),FIND("/",TRIM([1]RawShipmentData!B1399))-1))),DATEVALUE(TRIM([1]RawShipmentData!B1399)))</f>
        <v>45324</v>
      </c>
      <c r="C1385" s="2" t="str">
        <f>PROPER(TRIM([1]RawShipmentData!C1399))</f>
        <v>Hyderabad</v>
      </c>
      <c r="D1385" s="2" t="str">
        <f>IFERROR(INDEX([1]HubMaster!$B$2:$B$7,MATCH(C1385,[1]HubMaster!$A$2:$A$7,0)),"Unknown")</f>
        <v>West</v>
      </c>
      <c r="E1385" s="2" t="str">
        <f>PROPER(TRIM(SUBSTITUTE([1]RawShipmentData!D1399,"  "," ")))</f>
        <v>Dtdc</v>
      </c>
      <c r="F1385" s="2" t="str">
        <f>PROPER(TRIM([1]RawShipmentData!E1399))</f>
        <v>Road</v>
      </c>
      <c r="G1385" s="2" t="str">
        <f>PROPER(TRIM(SUBSTITUTE([1]RawShipmentData!F1399,"  "," ")))</f>
        <v>Apparel</v>
      </c>
      <c r="H1385" s="2" t="str">
        <f>PROPER(TRIM([1]RawShipmentData!G1399))</f>
        <v>West</v>
      </c>
      <c r="I1385" s="2" t="str">
        <f t="shared" si="105"/>
        <v>No</v>
      </c>
      <c r="J1385" s="2">
        <f>IFERROR(VALUE(TRIM(SUBSTITUTE(UPPER([1]RawShipmentData!I1385),"KG",""))),"")</f>
        <v>53.4</v>
      </c>
      <c r="K1385" s="2">
        <f>VALUE(SUBSTITUTE(SUBSTITUTE(SUBSTITUTE(TRIM([1]RawShipmentData!J1399),"₹",""),"Rs",""),",",""))</f>
        <v>80</v>
      </c>
      <c r="L1385" s="2">
        <f>[1]RawShipmentData!K1399</f>
        <v>6</v>
      </c>
      <c r="M1385" s="3">
        <f>IF(TRIM([1]RawShipmentData!L1399)="","",IF(ISNUMBER(SEARCH("/",TRIM([1]RawShipmentData!L1399))),DATE(VALUE(RIGHT(TRIM([1]RawShipmentData!L1399),4)),VALUE(MID(TRIM([1]RawShipmentData!L1399),FIND("/",TRIM([1]RawShipmentData!L1399))+1,2)),VALUE(LEFT(TRIM([1]RawShipmentData!L1399),FIND("/",TRIM([1]RawShipmentData!L1399))-1))),DATEVALUE(TRIM([1]RawShipmentData!L1399))))</f>
        <v>45337</v>
      </c>
      <c r="N1385" s="2">
        <f t="shared" si="106"/>
        <v>13</v>
      </c>
      <c r="O1385" s="2">
        <f t="shared" si="107"/>
        <v>7</v>
      </c>
      <c r="P1385" s="2" t="str">
        <f t="shared" si="108"/>
        <v>Late</v>
      </c>
      <c r="Q1385" s="2" t="str">
        <f>PROPER(SUBSTITUTE(TRIM([1]RawShipmentData!M1399)," ","-"))</f>
        <v>Returned</v>
      </c>
      <c r="R1385" s="4">
        <f t="shared" si="109"/>
        <v>1.4981273408239701</v>
      </c>
      <c r="S1385" s="2">
        <f>[1]RawShipmentData!N1399</f>
        <v>0</v>
      </c>
      <c r="T1385" s="2" t="str">
        <f>IF(OR(UPPER(TRIM([1]RawShipmentData!O1399))="YES",UPPER(TRIM([1]RawShipmentData!O1399))="Y"),"Yes","No")</f>
        <v>Yes</v>
      </c>
    </row>
    <row r="1386" spans="1:20" x14ac:dyDescent="0.25">
      <c r="A1386" s="2" t="str">
        <f>[1]RawShipmentData!A1400</f>
        <v>SHP-100779</v>
      </c>
      <c r="B1386" s="3">
        <f>IF(ISNUMBER(SEARCH("/",TRIM([1]RawShipmentData!B1400))),DATE(VALUE(RIGHT(TRIM([1]RawShipmentData!B1400),4)),VALUE(MID(TRIM([1]RawShipmentData!B1400),FIND("/",TRIM([1]RawShipmentData!B1400))+1,2)),VALUE(LEFT(TRIM([1]RawShipmentData!B1400),FIND("/",TRIM([1]RawShipmentData!B1400))-1))),DATEVALUE(TRIM([1]RawShipmentData!B1400)))</f>
        <v>45417</v>
      </c>
      <c r="C1386" s="2" t="str">
        <f>PROPER(TRIM([1]RawShipmentData!C1400))</f>
        <v>Bengaluru</v>
      </c>
      <c r="D1386" s="2" t="str">
        <f>IFERROR(INDEX([1]HubMaster!$B$2:$B$7,MATCH(C1386,[1]HubMaster!$A$2:$A$7,0)),"Unknown")</f>
        <v>South</v>
      </c>
      <c r="E1386" s="2" t="str">
        <f>PROPER(TRIM(SUBSTITUTE([1]RawShipmentData!D1400,"  "," ")))</f>
        <v>Delhivery</v>
      </c>
      <c r="F1386" s="2" t="str">
        <f>PROPER(TRIM([1]RawShipmentData!E1400))</f>
        <v>Air</v>
      </c>
      <c r="G1386" s="2" t="str">
        <f>PROPER(TRIM(SUBSTITUTE([1]RawShipmentData!F1400,"  "," ")))</f>
        <v>Automotive Parts</v>
      </c>
      <c r="H1386" s="2" t="str">
        <f>PROPER(TRIM([1]RawShipmentData!G1400))</f>
        <v>South</v>
      </c>
      <c r="I1386" s="2" t="str">
        <f t="shared" si="105"/>
        <v>No</v>
      </c>
      <c r="J1386" s="2">
        <f>IFERROR(VALUE(TRIM(SUBSTITUTE(UPPER([1]RawShipmentData!I1386),"KG",""))),"")</f>
        <v>23.2</v>
      </c>
      <c r="K1386" s="2">
        <f>VALUE(SUBSTITUTE(SUBSTITUTE(SUBSTITUTE(TRIM([1]RawShipmentData!J1400),"₹",""),"Rs",""),",",""))</f>
        <v>1614</v>
      </c>
      <c r="L1386" s="2">
        <f>[1]RawShipmentData!K1400</f>
        <v>2</v>
      </c>
      <c r="M1386" s="3">
        <f>IF(TRIM([1]RawShipmentData!L1400)="","",IF(ISNUMBER(SEARCH("/",TRIM([1]RawShipmentData!L1400))),DATE(VALUE(RIGHT(TRIM([1]RawShipmentData!L1400),4)),VALUE(MID(TRIM([1]RawShipmentData!L1400),FIND("/",TRIM([1]RawShipmentData!L1400))+1,2)),VALUE(LEFT(TRIM([1]RawShipmentData!L1400),FIND("/",TRIM([1]RawShipmentData!L1400))-1))),DATEVALUE(TRIM([1]RawShipmentData!L1400))))</f>
        <v>45420</v>
      </c>
      <c r="N1386" s="2">
        <f t="shared" si="106"/>
        <v>3</v>
      </c>
      <c r="O1386" s="2">
        <f t="shared" si="107"/>
        <v>1</v>
      </c>
      <c r="P1386" s="2" t="str">
        <f t="shared" si="108"/>
        <v>Late</v>
      </c>
      <c r="Q1386" s="2" t="str">
        <f>PROPER(SUBSTITUTE(TRIM([1]RawShipmentData!M1400)," ","-"))</f>
        <v>Delayed</v>
      </c>
      <c r="R1386" s="4">
        <f t="shared" si="109"/>
        <v>69.568965517241381</v>
      </c>
      <c r="S1386" s="2">
        <f>[1]RawShipmentData!N1400</f>
        <v>4</v>
      </c>
      <c r="T1386" s="2" t="str">
        <f>IF(OR(UPPER(TRIM([1]RawShipmentData!O1400))="YES",UPPER(TRIM([1]RawShipmentData!O1400))="Y"),"Yes","No")</f>
        <v>Yes</v>
      </c>
    </row>
    <row r="1387" spans="1:20" x14ac:dyDescent="0.25">
      <c r="A1387" s="2" t="str">
        <f>[1]RawShipmentData!A1401</f>
        <v>SHP-100488</v>
      </c>
      <c r="B1387" s="3">
        <f>IF(ISNUMBER(SEARCH("/",TRIM([1]RawShipmentData!B1401))),DATE(VALUE(RIGHT(TRIM([1]RawShipmentData!B1401),4)),VALUE(MID(TRIM([1]RawShipmentData!B1401),FIND("/",TRIM([1]RawShipmentData!B1401))+1,2)),VALUE(LEFT(TRIM([1]RawShipmentData!B1401),FIND("/",TRIM([1]RawShipmentData!B1401))-1))),DATEVALUE(TRIM([1]RawShipmentData!B1401)))</f>
        <v>45363</v>
      </c>
      <c r="C1387" s="2" t="str">
        <f>PROPER(TRIM([1]RawShipmentData!C1401))</f>
        <v>Chennai</v>
      </c>
      <c r="D1387" s="2" t="str">
        <f>IFERROR(INDEX([1]HubMaster!$B$2:$B$7,MATCH(C1387,[1]HubMaster!$A$2:$A$7,0)),"Unknown")</f>
        <v>South</v>
      </c>
      <c r="E1387" s="2" t="str">
        <f>PROPER(TRIM(SUBSTITUTE([1]RawShipmentData!D1401,"  "," ")))</f>
        <v>Blue Dart</v>
      </c>
      <c r="F1387" s="2" t="str">
        <f>PROPER(TRIM([1]RawShipmentData!E1401))</f>
        <v>Air</v>
      </c>
      <c r="G1387" s="2" t="str">
        <f>PROPER(TRIM(SUBSTITUTE([1]RawShipmentData!F1401,"  "," ")))</f>
        <v>Furniture</v>
      </c>
      <c r="H1387" s="2" t="str">
        <f>PROPER(TRIM([1]RawShipmentData!G1401))</f>
        <v>South</v>
      </c>
      <c r="I1387" s="2" t="str">
        <f t="shared" si="105"/>
        <v>No</v>
      </c>
      <c r="J1387" s="2">
        <f>IFERROR(VALUE(TRIM(SUBSTITUTE(UPPER([1]RawShipmentData!I1387),"KG",""))),"")</f>
        <v>7</v>
      </c>
      <c r="K1387" s="2">
        <f>VALUE(SUBSTITUTE(SUBSTITUTE(SUBSTITUTE(TRIM([1]RawShipmentData!J1401),"₹",""),"Rs",""),",",""))</f>
        <v>866</v>
      </c>
      <c r="L1387" s="2">
        <f>[1]RawShipmentData!K1401</f>
        <v>2</v>
      </c>
      <c r="M1387" s="3">
        <f>IF(TRIM([1]RawShipmentData!L1401)="","",IF(ISNUMBER(SEARCH("/",TRIM([1]RawShipmentData!L1401))),DATE(VALUE(RIGHT(TRIM([1]RawShipmentData!L1401),4)),VALUE(MID(TRIM([1]RawShipmentData!L1401),FIND("/",TRIM([1]RawShipmentData!L1401))+1,2)),VALUE(LEFT(TRIM([1]RawShipmentData!L1401),FIND("/",TRIM([1]RawShipmentData!L1401))-1))),DATEVALUE(TRIM([1]RawShipmentData!L1401))))</f>
        <v>45366</v>
      </c>
      <c r="N1387" s="2">
        <f t="shared" si="106"/>
        <v>3</v>
      </c>
      <c r="O1387" s="2">
        <f t="shared" si="107"/>
        <v>1</v>
      </c>
      <c r="P1387" s="2" t="str">
        <f t="shared" si="108"/>
        <v>Late</v>
      </c>
      <c r="Q1387" s="2" t="str">
        <f>PROPER(SUBSTITUTE(TRIM([1]RawShipmentData!M1401)," ","-"))</f>
        <v>Delayed</v>
      </c>
      <c r="R1387" s="4">
        <f t="shared" si="109"/>
        <v>123.71428571428571</v>
      </c>
      <c r="S1387" s="2">
        <f>[1]RawShipmentData!N1401</f>
        <v>1</v>
      </c>
      <c r="T1387" s="2" t="str">
        <f>IF(OR(UPPER(TRIM([1]RawShipmentData!O1401))="YES",UPPER(TRIM([1]RawShipmentData!O1401))="Y"),"Yes","No")</f>
        <v>Yes</v>
      </c>
    </row>
    <row r="1388" spans="1:20" x14ac:dyDescent="0.25">
      <c r="A1388" s="2" t="str">
        <f>[1]RawShipmentData!A1402</f>
        <v>SHP-101411</v>
      </c>
      <c r="B1388" s="3">
        <f>IF(ISNUMBER(SEARCH("/",TRIM([1]RawShipmentData!B1402))),DATE(VALUE(RIGHT(TRIM([1]RawShipmentData!B1402),4)),VALUE(MID(TRIM([1]RawShipmentData!B1402),FIND("/",TRIM([1]RawShipmentData!B1402))+1,2)),VALUE(LEFT(TRIM([1]RawShipmentData!B1402),FIND("/",TRIM([1]RawShipmentData!B1402))-1))),DATEVALUE(TRIM([1]RawShipmentData!B1402)))</f>
        <v>45302</v>
      </c>
      <c r="C1388" s="2" t="str">
        <f>PROPER(TRIM([1]RawShipmentData!C1402))</f>
        <v>Mumbai</v>
      </c>
      <c r="D1388" s="2" t="str">
        <f>IFERROR(INDEX([1]HubMaster!$B$2:$B$7,MATCH(C1388,[1]HubMaster!$A$2:$A$7,0)),"Unknown")</f>
        <v>West</v>
      </c>
      <c r="E1388" s="2" t="str">
        <f>PROPER(TRIM(SUBSTITUTE([1]RawShipmentData!D1402,"  "," ")))</f>
        <v>Ecom Express</v>
      </c>
      <c r="F1388" s="2" t="str">
        <f>PROPER(TRIM([1]RawShipmentData!E1402))</f>
        <v>Air</v>
      </c>
      <c r="G1388" s="2" t="str">
        <f>PROPER(TRIM(SUBSTITUTE([1]RawShipmentData!F1402,"  "," ")))</f>
        <v>Automotive Parts</v>
      </c>
      <c r="H1388" s="2" t="str">
        <f>PROPER(TRIM([1]RawShipmentData!G1402))</f>
        <v>South</v>
      </c>
      <c r="I1388" s="2" t="str">
        <f t="shared" si="105"/>
        <v>Yes</v>
      </c>
      <c r="J1388" s="2">
        <f>IFERROR(VALUE(TRIM(SUBSTITUTE(UPPER([1]RawShipmentData!I1388),"KG",""))),"")</f>
        <v>11.8</v>
      </c>
      <c r="K1388" s="2">
        <f>VALUE(SUBSTITUTE(SUBSTITUTE(SUBSTITUTE(TRIM([1]RawShipmentData!J1402),"₹",""),"Rs",""),",",""))</f>
        <v>1086</v>
      </c>
      <c r="L1388" s="2">
        <f>[1]RawShipmentData!K1402</f>
        <v>4</v>
      </c>
      <c r="M1388" s="3">
        <f>IF(TRIM([1]RawShipmentData!L1402)="","",IF(ISNUMBER(SEARCH("/",TRIM([1]RawShipmentData!L1402))),DATE(VALUE(RIGHT(TRIM([1]RawShipmentData!L1402),4)),VALUE(MID(TRIM([1]RawShipmentData!L1402),FIND("/",TRIM([1]RawShipmentData!L1402))+1,2)),VALUE(LEFT(TRIM([1]RawShipmentData!L1402),FIND("/",TRIM([1]RawShipmentData!L1402))-1))),DATEVALUE(TRIM([1]RawShipmentData!L1402))))</f>
        <v>45306</v>
      </c>
      <c r="N1388" s="2">
        <f t="shared" si="106"/>
        <v>4</v>
      </c>
      <c r="O1388" s="2">
        <f t="shared" si="107"/>
        <v>0</v>
      </c>
      <c r="P1388" s="2" t="str">
        <f t="shared" si="108"/>
        <v>On Time</v>
      </c>
      <c r="Q1388" s="2" t="str">
        <f>PROPER(SUBSTITUTE(TRIM([1]RawShipmentData!M1402)," ","-"))</f>
        <v>Delivered</v>
      </c>
      <c r="R1388" s="4">
        <f t="shared" si="109"/>
        <v>92.033898305084733</v>
      </c>
      <c r="S1388" s="2">
        <f>[1]RawShipmentData!N1402</f>
        <v>4</v>
      </c>
      <c r="T1388" s="2" t="str">
        <f>IF(OR(UPPER(TRIM([1]RawShipmentData!O1402))="YES",UPPER(TRIM([1]RawShipmentData!O1402))="Y"),"Yes","No")</f>
        <v>Yes</v>
      </c>
    </row>
    <row r="1389" spans="1:20" x14ac:dyDescent="0.25">
      <c r="A1389" s="2" t="str">
        <f>[1]RawShipmentData!A1403</f>
        <v>SHP-100979</v>
      </c>
      <c r="B1389" s="3">
        <f>IF(ISNUMBER(SEARCH("/",TRIM([1]RawShipmentData!B1403))),DATE(VALUE(RIGHT(TRIM([1]RawShipmentData!B1403),4)),VALUE(MID(TRIM([1]RawShipmentData!B1403),FIND("/",TRIM([1]RawShipmentData!B1403))+1,2)),VALUE(LEFT(TRIM([1]RawShipmentData!B1403),FIND("/",TRIM([1]RawShipmentData!B1403))-1))),DATEVALUE(TRIM([1]RawShipmentData!B1403)))</f>
        <v>45354</v>
      </c>
      <c r="C1389" s="2" t="str">
        <f>PROPER(TRIM([1]RawShipmentData!C1403))</f>
        <v>Kolkata</v>
      </c>
      <c r="D1389" s="2" t="str">
        <f>IFERROR(INDEX([1]HubMaster!$B$2:$B$7,MATCH(C1389,[1]HubMaster!$A$2:$A$7,0)),"Unknown")</f>
        <v>East</v>
      </c>
      <c r="E1389" s="2" t="str">
        <f>PROPER(TRIM(SUBSTITUTE([1]RawShipmentData!D1403,"  "," ")))</f>
        <v>Xpressbees</v>
      </c>
      <c r="F1389" s="2" t="str">
        <f>PROPER(TRIM([1]RawShipmentData!E1403))</f>
        <v>Road</v>
      </c>
      <c r="G1389" s="2" t="str">
        <f>PROPER(TRIM(SUBSTITUTE([1]RawShipmentData!F1403,"  "," ")))</f>
        <v>Grocery &amp; Fmcg</v>
      </c>
      <c r="H1389" s="2" t="str">
        <f>PROPER(TRIM([1]RawShipmentData!G1403))</f>
        <v>West</v>
      </c>
      <c r="I1389" s="2" t="str">
        <f t="shared" si="105"/>
        <v>Yes</v>
      </c>
      <c r="J1389" s="2">
        <f>IFERROR(VALUE(TRIM(SUBSTITUTE(UPPER([1]RawShipmentData!I1389),"KG",""))),"")</f>
        <v>43.3</v>
      </c>
      <c r="K1389" s="2">
        <f>VALUE(SUBSTITUTE(SUBSTITUTE(SUBSTITUTE(TRIM([1]RawShipmentData!J1403),"₹",""),"Rs",""),",",""))</f>
        <v>472</v>
      </c>
      <c r="L1389" s="2">
        <f>[1]RawShipmentData!K1403</f>
        <v>8</v>
      </c>
      <c r="M1389" s="3">
        <f>IF(TRIM([1]RawShipmentData!L1403)="","",IF(ISNUMBER(SEARCH("/",TRIM([1]RawShipmentData!L1403))),DATE(VALUE(RIGHT(TRIM([1]RawShipmentData!L1403),4)),VALUE(MID(TRIM([1]RawShipmentData!L1403),FIND("/",TRIM([1]RawShipmentData!L1403))+1,2)),VALUE(LEFT(TRIM([1]RawShipmentData!L1403),FIND("/",TRIM([1]RawShipmentData!L1403))-1))),DATEVALUE(TRIM([1]RawShipmentData!L1403))))</f>
        <v>45363</v>
      </c>
      <c r="N1389" s="2">
        <f t="shared" si="106"/>
        <v>9</v>
      </c>
      <c r="O1389" s="2">
        <f t="shared" si="107"/>
        <v>1</v>
      </c>
      <c r="P1389" s="2" t="str">
        <f t="shared" si="108"/>
        <v>Late</v>
      </c>
      <c r="Q1389" s="2" t="str">
        <f>PROPER(SUBSTITUTE(TRIM([1]RawShipmentData!M1403)," ","-"))</f>
        <v>Delayed</v>
      </c>
      <c r="R1389" s="4">
        <f t="shared" si="109"/>
        <v>10.900692840646652</v>
      </c>
      <c r="S1389" s="2">
        <f>[1]RawShipmentData!N1403</f>
        <v>3</v>
      </c>
      <c r="T1389" s="2" t="str">
        <f>IF(OR(UPPER(TRIM([1]RawShipmentData!O1403))="YES",UPPER(TRIM([1]RawShipmentData!O1403))="Y"),"Yes","No")</f>
        <v>Yes</v>
      </c>
    </row>
    <row r="1390" spans="1:20" x14ac:dyDescent="0.25">
      <c r="A1390" s="2" t="str">
        <f>[1]RawShipmentData!A1404</f>
        <v>SHP-100842</v>
      </c>
      <c r="B1390" s="3">
        <f>IF(ISNUMBER(SEARCH("/",TRIM([1]RawShipmentData!B1404))),DATE(VALUE(RIGHT(TRIM([1]RawShipmentData!B1404),4)),VALUE(MID(TRIM([1]RawShipmentData!B1404),FIND("/",TRIM([1]RawShipmentData!B1404))+1,2)),VALUE(LEFT(TRIM([1]RawShipmentData!B1404),FIND("/",TRIM([1]RawShipmentData!B1404))-1))),DATEVALUE(TRIM([1]RawShipmentData!B1404)))</f>
        <v>45303</v>
      </c>
      <c r="C1390" s="2" t="str">
        <f>PROPER(TRIM([1]RawShipmentData!C1404))</f>
        <v>Mumbai</v>
      </c>
      <c r="D1390" s="2" t="str">
        <f>IFERROR(INDEX([1]HubMaster!$B$2:$B$7,MATCH(C1390,[1]HubMaster!$A$2:$A$7,0)),"Unknown")</f>
        <v>West</v>
      </c>
      <c r="E1390" s="2" t="str">
        <f>PROPER(TRIM(SUBSTITUTE([1]RawShipmentData!D1404,"  "," ")))</f>
        <v>Delhivery</v>
      </c>
      <c r="F1390" s="2" t="str">
        <f>PROPER(TRIM([1]RawShipmentData!E1404))</f>
        <v>Air</v>
      </c>
      <c r="G1390" s="2" t="str">
        <f>PROPER(TRIM(SUBSTITUTE([1]RawShipmentData!F1404,"  "," ")))</f>
        <v>Pharma</v>
      </c>
      <c r="H1390" s="2" t="str">
        <f>PROPER(TRIM([1]RawShipmentData!G1404))</f>
        <v>West</v>
      </c>
      <c r="I1390" s="2" t="str">
        <f t="shared" si="105"/>
        <v>No</v>
      </c>
      <c r="J1390" s="2">
        <f>IFERROR(VALUE(TRIM(SUBSTITUTE(UPPER([1]RawShipmentData!I1390),"KG",""))),"")</f>
        <v>1.4</v>
      </c>
      <c r="K1390" s="2">
        <f>VALUE(SUBSTITUTE(SUBSTITUTE(SUBSTITUTE(TRIM([1]RawShipmentData!J1404),"₹",""),"Rs",""),",",""))</f>
        <v>80</v>
      </c>
      <c r="L1390" s="2">
        <f>[1]RawShipmentData!K1404</f>
        <v>2</v>
      </c>
      <c r="M1390" s="3">
        <f>IF(TRIM([1]RawShipmentData!L1404)="","",IF(ISNUMBER(SEARCH("/",TRIM([1]RawShipmentData!L1404))),DATE(VALUE(RIGHT(TRIM([1]RawShipmentData!L1404),4)),VALUE(MID(TRIM([1]RawShipmentData!L1404),FIND("/",TRIM([1]RawShipmentData!L1404))+1,2)),VALUE(LEFT(TRIM([1]RawShipmentData!L1404),FIND("/",TRIM([1]RawShipmentData!L1404))-1))),DATEVALUE(TRIM([1]RawShipmentData!L1404))))</f>
        <v>45306</v>
      </c>
      <c r="N1390" s="2">
        <f t="shared" si="106"/>
        <v>3</v>
      </c>
      <c r="O1390" s="2">
        <f t="shared" si="107"/>
        <v>1</v>
      </c>
      <c r="P1390" s="2" t="str">
        <f t="shared" si="108"/>
        <v>Late</v>
      </c>
      <c r="Q1390" s="2" t="str">
        <f>PROPER(SUBSTITUTE(TRIM([1]RawShipmentData!M1404)," ","-"))</f>
        <v>Delayed</v>
      </c>
      <c r="R1390" s="4">
        <f t="shared" si="109"/>
        <v>57.142857142857146</v>
      </c>
      <c r="S1390" s="2">
        <f>[1]RawShipmentData!N1404</f>
        <v>4</v>
      </c>
      <c r="T1390" s="2" t="str">
        <f>IF(OR(UPPER(TRIM([1]RawShipmentData!O1404))="YES",UPPER(TRIM([1]RawShipmentData!O1404))="Y"),"Yes","No")</f>
        <v>Yes</v>
      </c>
    </row>
    <row r="1391" spans="1:20" x14ac:dyDescent="0.25">
      <c r="A1391" s="2" t="str">
        <f>[1]RawShipmentData!A1405</f>
        <v>SHP-100375</v>
      </c>
      <c r="B1391" s="3">
        <f>IF(ISNUMBER(SEARCH("/",TRIM([1]RawShipmentData!B1405))),DATE(VALUE(RIGHT(TRIM([1]RawShipmentData!B1405),4)),VALUE(MID(TRIM([1]RawShipmentData!B1405),FIND("/",TRIM([1]RawShipmentData!B1405))+1,2)),VALUE(LEFT(TRIM([1]RawShipmentData!B1405),FIND("/",TRIM([1]RawShipmentData!B1405))-1))),DATEVALUE(TRIM([1]RawShipmentData!B1405)))</f>
        <v>45311</v>
      </c>
      <c r="C1391" s="2" t="str">
        <f>PROPER(TRIM([1]RawShipmentData!C1405))</f>
        <v>Kolkata</v>
      </c>
      <c r="D1391" s="2" t="str">
        <f>IFERROR(INDEX([1]HubMaster!$B$2:$B$7,MATCH(C1391,[1]HubMaster!$A$2:$A$7,0)),"Unknown")</f>
        <v>East</v>
      </c>
      <c r="E1391" s="2" t="str">
        <f>PROPER(TRIM(SUBSTITUTE([1]RawShipmentData!D1405,"  "," ")))</f>
        <v>Bluedart</v>
      </c>
      <c r="F1391" s="2" t="str">
        <f>PROPER(TRIM([1]RawShipmentData!E1405))</f>
        <v>Road</v>
      </c>
      <c r="G1391" s="2" t="str">
        <f>PROPER(TRIM(SUBSTITUTE([1]RawShipmentData!F1405,"  "," ")))</f>
        <v>Apparel</v>
      </c>
      <c r="H1391" s="2" t="str">
        <f>PROPER(TRIM([1]RawShipmentData!G1405))</f>
        <v>East</v>
      </c>
      <c r="I1391" s="2" t="str">
        <f t="shared" si="105"/>
        <v>No</v>
      </c>
      <c r="J1391" s="2">
        <f>IFERROR(VALUE(TRIM(SUBSTITUTE(UPPER([1]RawShipmentData!I1391),"KG",""))),"")</f>
        <v>13.1</v>
      </c>
      <c r="K1391" s="2">
        <f>VALUE(SUBSTITUTE(SUBSTITUTE(SUBSTITUTE(TRIM([1]RawShipmentData!J1405),"₹",""),"Rs",""),",",""))</f>
        <v>99</v>
      </c>
      <c r="L1391" s="2">
        <f>[1]RawShipmentData!K1405</f>
        <v>6</v>
      </c>
      <c r="M1391" s="3">
        <f>IF(TRIM([1]RawShipmentData!L1405)="","",IF(ISNUMBER(SEARCH("/",TRIM([1]RawShipmentData!L1405))),DATE(VALUE(RIGHT(TRIM([1]RawShipmentData!L1405),4)),VALUE(MID(TRIM([1]RawShipmentData!L1405),FIND("/",TRIM([1]RawShipmentData!L1405))+1,2)),VALUE(LEFT(TRIM([1]RawShipmentData!L1405),FIND("/",TRIM([1]RawShipmentData!L1405))-1))),DATEVALUE(TRIM([1]RawShipmentData!L1405))))</f>
        <v>45316</v>
      </c>
      <c r="N1391" s="2">
        <f t="shared" si="106"/>
        <v>5</v>
      </c>
      <c r="O1391" s="2">
        <f t="shared" si="107"/>
        <v>-1</v>
      </c>
      <c r="P1391" s="2" t="str">
        <f t="shared" si="108"/>
        <v>On Time</v>
      </c>
      <c r="Q1391" s="2" t="str">
        <f>PROPER(SUBSTITUTE(TRIM([1]RawShipmentData!M1405)," ","-"))</f>
        <v>Delivered</v>
      </c>
      <c r="R1391" s="4">
        <f t="shared" si="109"/>
        <v>7.5572519083969469</v>
      </c>
      <c r="S1391" s="2">
        <f>[1]RawShipmentData!N1405</f>
        <v>1</v>
      </c>
      <c r="T1391" s="2" t="str">
        <f>IF(OR(UPPER(TRIM([1]RawShipmentData!O1405))="YES",UPPER(TRIM([1]RawShipmentData!O1405))="Y"),"Yes","No")</f>
        <v>No</v>
      </c>
    </row>
    <row r="1392" spans="1:20" x14ac:dyDescent="0.25">
      <c r="A1392" s="2" t="str">
        <f>[1]RawShipmentData!A1406</f>
        <v>SHP-100777</v>
      </c>
      <c r="B1392" s="3">
        <f>IF(ISNUMBER(SEARCH("/",TRIM([1]RawShipmentData!B1406))),DATE(VALUE(RIGHT(TRIM([1]RawShipmentData!B1406),4)),VALUE(MID(TRIM([1]RawShipmentData!B1406),FIND("/",TRIM([1]RawShipmentData!B1406))+1,2)),VALUE(LEFT(TRIM([1]RawShipmentData!B1406),FIND("/",TRIM([1]RawShipmentData!B1406))-1))),DATEVALUE(TRIM([1]RawShipmentData!B1406)))</f>
        <v>45298</v>
      </c>
      <c r="C1392" s="2" t="str">
        <f>PROPER(TRIM([1]RawShipmentData!C1406))</f>
        <v>Mumbai</v>
      </c>
      <c r="D1392" s="2" t="str">
        <f>IFERROR(INDEX([1]HubMaster!$B$2:$B$7,MATCH(C1392,[1]HubMaster!$A$2:$A$7,0)),"Unknown")</f>
        <v>West</v>
      </c>
      <c r="E1392" s="2" t="str">
        <f>PROPER(TRIM(SUBSTITUTE([1]RawShipmentData!D1406,"  "," ")))</f>
        <v>Dtdc</v>
      </c>
      <c r="F1392" s="2" t="str">
        <f>PROPER(TRIM([1]RawShipmentData!E1406))</f>
        <v>Air</v>
      </c>
      <c r="G1392" s="2" t="str">
        <f>PROPER(TRIM(SUBSTITUTE([1]RawShipmentData!F1406,"  "," ")))</f>
        <v>Apparel</v>
      </c>
      <c r="H1392" s="2" t="str">
        <f>PROPER(TRIM([1]RawShipmentData!G1406))</f>
        <v>West</v>
      </c>
      <c r="I1392" s="2" t="str">
        <f t="shared" si="105"/>
        <v>No</v>
      </c>
      <c r="J1392" s="2">
        <f>IFERROR(VALUE(TRIM(SUBSTITUTE(UPPER([1]RawShipmentData!I1392),"KG",""))),"")</f>
        <v>1.3</v>
      </c>
      <c r="K1392" s="2">
        <f>VALUE(SUBSTITUTE(SUBSTITUTE(SUBSTITUTE(TRIM([1]RawShipmentData!J1406),"₹",""),"Rs",""),",",""))</f>
        <v>329</v>
      </c>
      <c r="L1392" s="2">
        <f>[1]RawShipmentData!K1406</f>
        <v>2</v>
      </c>
      <c r="M1392" s="3">
        <f>IF(TRIM([1]RawShipmentData!L1406)="","",IF(ISNUMBER(SEARCH("/",TRIM([1]RawShipmentData!L1406))),DATE(VALUE(RIGHT(TRIM([1]RawShipmentData!L1406),4)),VALUE(MID(TRIM([1]RawShipmentData!L1406),FIND("/",TRIM([1]RawShipmentData!L1406))+1,2)),VALUE(LEFT(TRIM([1]RawShipmentData!L1406),FIND("/",TRIM([1]RawShipmentData!L1406))-1))),DATEVALUE(TRIM([1]RawShipmentData!L1406))))</f>
        <v>45300</v>
      </c>
      <c r="N1392" s="2">
        <f t="shared" si="106"/>
        <v>2</v>
      </c>
      <c r="O1392" s="2">
        <f t="shared" si="107"/>
        <v>0</v>
      </c>
      <c r="P1392" s="2" t="str">
        <f t="shared" si="108"/>
        <v>On Time</v>
      </c>
      <c r="Q1392" s="2" t="str">
        <f>PROPER(SUBSTITUTE(TRIM([1]RawShipmentData!M1406)," ","-"))</f>
        <v>Returned</v>
      </c>
      <c r="R1392" s="4">
        <f t="shared" si="109"/>
        <v>253.07692307692307</v>
      </c>
      <c r="S1392" s="2">
        <f>[1]RawShipmentData!N1406</f>
        <v>0</v>
      </c>
      <c r="T1392" s="2" t="str">
        <f>IF(OR(UPPER(TRIM([1]RawShipmentData!O1406))="YES",UPPER(TRIM([1]RawShipmentData!O1406))="Y"),"Yes","No")</f>
        <v>No</v>
      </c>
    </row>
    <row r="1393" spans="1:20" x14ac:dyDescent="0.25">
      <c r="A1393" s="2" t="str">
        <f>[1]RawShipmentData!A1407</f>
        <v>SHP-100484</v>
      </c>
      <c r="B1393" s="3">
        <f>IF(ISNUMBER(SEARCH("/",TRIM([1]RawShipmentData!B1407))),DATE(VALUE(RIGHT(TRIM([1]RawShipmentData!B1407),4)),VALUE(MID(TRIM([1]RawShipmentData!B1407),FIND("/",TRIM([1]RawShipmentData!B1407))+1,2)),VALUE(LEFT(TRIM([1]RawShipmentData!B1407),FIND("/",TRIM([1]RawShipmentData!B1407))-1))),DATEVALUE(TRIM([1]RawShipmentData!B1407)))</f>
        <v>45296</v>
      </c>
      <c r="C1393" s="2" t="str">
        <f>PROPER(TRIM([1]RawShipmentData!C1407))</f>
        <v>Chennai</v>
      </c>
      <c r="D1393" s="2" t="str">
        <f>IFERROR(INDEX([1]HubMaster!$B$2:$B$7,MATCH(C1393,[1]HubMaster!$A$2:$A$7,0)),"Unknown")</f>
        <v>South</v>
      </c>
      <c r="E1393" s="2" t="str">
        <f>PROPER(TRIM(SUBSTITUTE([1]RawShipmentData!D1407,"  "," ")))</f>
        <v>Bluedart</v>
      </c>
      <c r="F1393" s="2" t="str">
        <f>PROPER(TRIM([1]RawShipmentData!E1407))</f>
        <v>Air</v>
      </c>
      <c r="G1393" s="2" t="str">
        <f>PROPER(TRIM(SUBSTITUTE([1]RawShipmentData!F1407,"  "," ")))</f>
        <v>Pharma</v>
      </c>
      <c r="H1393" s="2" t="str">
        <f>PROPER(TRIM([1]RawShipmentData!G1407))</f>
        <v>North</v>
      </c>
      <c r="I1393" s="2" t="str">
        <f t="shared" si="105"/>
        <v>Yes</v>
      </c>
      <c r="J1393" s="2">
        <f>IFERROR(VALUE(TRIM(SUBSTITUTE(UPPER([1]RawShipmentData!I1393),"KG",""))),"")</f>
        <v>75.900000000000006</v>
      </c>
      <c r="K1393" s="2">
        <f>VALUE(SUBSTITUTE(SUBSTITUTE(SUBSTITUTE(TRIM([1]RawShipmentData!J1407),"₹",""),"Rs",""),",",""))</f>
        <v>183</v>
      </c>
      <c r="L1393" s="2">
        <f>[1]RawShipmentData!K1407</f>
        <v>4</v>
      </c>
      <c r="M1393" s="3">
        <f>IF(TRIM([1]RawShipmentData!L1407)="","",IF(ISNUMBER(SEARCH("/",TRIM([1]RawShipmentData!L1407))),DATE(VALUE(RIGHT(TRIM([1]RawShipmentData!L1407),4)),VALUE(MID(TRIM([1]RawShipmentData!L1407),FIND("/",TRIM([1]RawShipmentData!L1407))+1,2)),VALUE(LEFT(TRIM([1]RawShipmentData!L1407),FIND("/",TRIM([1]RawShipmentData!L1407))-1))),DATEVALUE(TRIM([1]RawShipmentData!L1407))))</f>
        <v>45301</v>
      </c>
      <c r="N1393" s="2">
        <f t="shared" si="106"/>
        <v>5</v>
      </c>
      <c r="O1393" s="2">
        <f t="shared" si="107"/>
        <v>1</v>
      </c>
      <c r="P1393" s="2" t="str">
        <f t="shared" si="108"/>
        <v>Late</v>
      </c>
      <c r="Q1393" s="2" t="str">
        <f>PROPER(SUBSTITUTE(TRIM([1]RawShipmentData!M1407)," ","-"))</f>
        <v>Delayed</v>
      </c>
      <c r="R1393" s="4">
        <f t="shared" si="109"/>
        <v>2.4110671936758892</v>
      </c>
      <c r="S1393" s="2">
        <f>[1]RawShipmentData!N1407</f>
        <v>4</v>
      </c>
      <c r="T1393" s="2" t="str">
        <f>IF(OR(UPPER(TRIM([1]RawShipmentData!O1407))="YES",UPPER(TRIM([1]RawShipmentData!O1407))="Y"),"Yes","No")</f>
        <v>No</v>
      </c>
    </row>
    <row r="1394" spans="1:20" x14ac:dyDescent="0.25">
      <c r="A1394" s="2" t="str">
        <f>[1]RawShipmentData!A1408</f>
        <v>SHP-100529</v>
      </c>
      <c r="B1394" s="3">
        <f>IF(ISNUMBER(SEARCH("/",TRIM([1]RawShipmentData!B1408))),DATE(VALUE(RIGHT(TRIM([1]RawShipmentData!B1408),4)),VALUE(MID(TRIM([1]RawShipmentData!B1408),FIND("/",TRIM([1]RawShipmentData!B1408))+1,2)),VALUE(LEFT(TRIM([1]RawShipmentData!B1408),FIND("/",TRIM([1]RawShipmentData!B1408))-1))),DATEVALUE(TRIM([1]RawShipmentData!B1408)))</f>
        <v>45313</v>
      </c>
      <c r="C1394" s="2" t="str">
        <f>PROPER(TRIM([1]RawShipmentData!C1408))</f>
        <v>Chennai</v>
      </c>
      <c r="D1394" s="2" t="str">
        <f>IFERROR(INDEX([1]HubMaster!$B$2:$B$7,MATCH(C1394,[1]HubMaster!$A$2:$A$7,0)),"Unknown")</f>
        <v>South</v>
      </c>
      <c r="E1394" s="2" t="str">
        <f>PROPER(TRIM(SUBSTITUTE([1]RawShipmentData!D1408,"  "," ")))</f>
        <v>Ecom Express</v>
      </c>
      <c r="F1394" s="2" t="str">
        <f>PROPER(TRIM([1]RawShipmentData!E1408))</f>
        <v>Road</v>
      </c>
      <c r="G1394" s="2" t="str">
        <f>PROPER(TRIM(SUBSTITUTE([1]RawShipmentData!F1408,"  "," ")))</f>
        <v>Pharma</v>
      </c>
      <c r="H1394" s="2" t="str">
        <f>PROPER(TRIM([1]RawShipmentData!G1408))</f>
        <v>South</v>
      </c>
      <c r="I1394" s="2" t="str">
        <f t="shared" si="105"/>
        <v>No</v>
      </c>
      <c r="J1394" s="2">
        <f>IFERROR(VALUE(TRIM(SUBSTITUTE(UPPER([1]RawShipmentData!I1394),"KG",""))),"")</f>
        <v>8.3000000000000007</v>
      </c>
      <c r="K1394" s="2">
        <f>VALUE(SUBSTITUTE(SUBSTITUTE(SUBSTITUTE(TRIM([1]RawShipmentData!J1408),"₹",""),"Rs",""),",",""))</f>
        <v>80</v>
      </c>
      <c r="L1394" s="2">
        <f>[1]RawShipmentData!K1408</f>
        <v>6</v>
      </c>
      <c r="M1394" s="3">
        <f>IF(TRIM([1]RawShipmentData!L1408)="","",IF(ISNUMBER(SEARCH("/",TRIM([1]RawShipmentData!L1408))),DATE(VALUE(RIGHT(TRIM([1]RawShipmentData!L1408),4)),VALUE(MID(TRIM([1]RawShipmentData!L1408),FIND("/",TRIM([1]RawShipmentData!L1408))+1,2)),VALUE(LEFT(TRIM([1]RawShipmentData!L1408),FIND("/",TRIM([1]RawShipmentData!L1408))-1))),DATEVALUE(TRIM([1]RawShipmentData!L1408))))</f>
        <v>45318</v>
      </c>
      <c r="N1394" s="2">
        <f t="shared" si="106"/>
        <v>5</v>
      </c>
      <c r="O1394" s="2">
        <f t="shared" si="107"/>
        <v>-1</v>
      </c>
      <c r="P1394" s="2" t="str">
        <f t="shared" si="108"/>
        <v>On Time</v>
      </c>
      <c r="Q1394" s="2" t="str">
        <f>PROPER(SUBSTITUTE(TRIM([1]RawShipmentData!M1408)," ","-"))</f>
        <v>Delivered</v>
      </c>
      <c r="R1394" s="4">
        <f t="shared" si="109"/>
        <v>9.6385542168674689</v>
      </c>
      <c r="S1394" s="2">
        <f>[1]RawShipmentData!N1408</f>
        <v>5</v>
      </c>
      <c r="T1394" s="2" t="str">
        <f>IF(OR(UPPER(TRIM([1]RawShipmentData!O1408))="YES",UPPER(TRIM([1]RawShipmentData!O1408))="Y"),"Yes","No")</f>
        <v>Yes</v>
      </c>
    </row>
    <row r="1395" spans="1:20" x14ac:dyDescent="0.25">
      <c r="A1395" s="2" t="str">
        <f>[1]RawShipmentData!A1409</f>
        <v>SHP-101124</v>
      </c>
      <c r="B1395" s="3">
        <f>IF(ISNUMBER(SEARCH("/",TRIM([1]RawShipmentData!B1409))),DATE(VALUE(RIGHT(TRIM([1]RawShipmentData!B1409),4)),VALUE(MID(TRIM([1]RawShipmentData!B1409),FIND("/",TRIM([1]RawShipmentData!B1409))+1,2)),VALUE(LEFT(TRIM([1]RawShipmentData!B1409),FIND("/",TRIM([1]RawShipmentData!B1409))-1))),DATEVALUE(TRIM([1]RawShipmentData!B1409)))</f>
        <v>45386</v>
      </c>
      <c r="C1395" s="2" t="str">
        <f>PROPER(TRIM([1]RawShipmentData!C1409))</f>
        <v>Kolkata</v>
      </c>
      <c r="D1395" s="2" t="str">
        <f>IFERROR(INDEX([1]HubMaster!$B$2:$B$7,MATCH(C1395,[1]HubMaster!$A$2:$A$7,0)),"Unknown")</f>
        <v>East</v>
      </c>
      <c r="E1395" s="2" t="str">
        <f>PROPER(TRIM(SUBSTITUTE([1]RawShipmentData!D1409,"  "," ")))</f>
        <v>Blue Dart</v>
      </c>
      <c r="F1395" s="2" t="str">
        <f>PROPER(TRIM([1]RawShipmentData!E1409))</f>
        <v>Road</v>
      </c>
      <c r="G1395" s="2" t="str">
        <f>PROPER(TRIM(SUBSTITUTE([1]RawShipmentData!F1409,"  "," ")))</f>
        <v>Pharma</v>
      </c>
      <c r="H1395" s="2" t="str">
        <f>PROPER(TRIM([1]RawShipmentData!G1409))</f>
        <v>West</v>
      </c>
      <c r="I1395" s="2" t="str">
        <f t="shared" si="105"/>
        <v>Yes</v>
      </c>
      <c r="J1395" s="2">
        <f>IFERROR(VALUE(TRIM(SUBSTITUTE(UPPER([1]RawShipmentData!I1395),"KG",""))),"")</f>
        <v>3.1</v>
      </c>
      <c r="K1395" s="2">
        <f>VALUE(SUBSTITUTE(SUBSTITUTE(SUBSTITUTE(TRIM([1]RawShipmentData!J1409),"₹",""),"Rs",""),",",""))</f>
        <v>191</v>
      </c>
      <c r="L1395" s="2">
        <f>[1]RawShipmentData!K1409</f>
        <v>8</v>
      </c>
      <c r="M1395" s="3">
        <f>IF(TRIM([1]RawShipmentData!L1409)="","",IF(ISNUMBER(SEARCH("/",TRIM([1]RawShipmentData!L1409))),DATE(VALUE(RIGHT(TRIM([1]RawShipmentData!L1409),4)),VALUE(MID(TRIM([1]RawShipmentData!L1409),FIND("/",TRIM([1]RawShipmentData!L1409))+1,2)),VALUE(LEFT(TRIM([1]RawShipmentData!L1409),FIND("/",TRIM([1]RawShipmentData!L1409))-1))),DATEVALUE(TRIM([1]RawShipmentData!L1409))))</f>
        <v>45395</v>
      </c>
      <c r="N1395" s="2">
        <f t="shared" si="106"/>
        <v>9</v>
      </c>
      <c r="O1395" s="2">
        <f t="shared" si="107"/>
        <v>1</v>
      </c>
      <c r="P1395" s="2" t="str">
        <f t="shared" si="108"/>
        <v>Late</v>
      </c>
      <c r="Q1395" s="2" t="str">
        <f>PROPER(SUBSTITUTE(TRIM([1]RawShipmentData!M1409)," ","-"))</f>
        <v>Delayed</v>
      </c>
      <c r="R1395" s="4">
        <f t="shared" si="109"/>
        <v>61.612903225806448</v>
      </c>
      <c r="S1395" s="2">
        <f>[1]RawShipmentData!N1409</f>
        <v>2</v>
      </c>
      <c r="T1395" s="2" t="str">
        <f>IF(OR(UPPER(TRIM([1]RawShipmentData!O1409))="YES",UPPER(TRIM([1]RawShipmentData!O1409))="Y"),"Yes","No")</f>
        <v>No</v>
      </c>
    </row>
    <row r="1396" spans="1:20" x14ac:dyDescent="0.25">
      <c r="A1396" s="2" t="str">
        <f>[1]RawShipmentData!A1410</f>
        <v>SHP-101205</v>
      </c>
      <c r="B1396" s="3">
        <f>IF(ISNUMBER(SEARCH("/",TRIM([1]RawShipmentData!B1410))),DATE(VALUE(RIGHT(TRIM([1]RawShipmentData!B1410),4)),VALUE(MID(TRIM([1]RawShipmentData!B1410),FIND("/",TRIM([1]RawShipmentData!B1410))+1,2)),VALUE(LEFT(TRIM([1]RawShipmentData!B1410),FIND("/",TRIM([1]RawShipmentData!B1410))-1))),DATEVALUE(TRIM([1]RawShipmentData!B1410)))</f>
        <v>45318</v>
      </c>
      <c r="C1396" s="2" t="str">
        <f>PROPER(TRIM([1]RawShipmentData!C1410))</f>
        <v>Kolkata</v>
      </c>
      <c r="D1396" s="2" t="str">
        <f>IFERROR(INDEX([1]HubMaster!$B$2:$B$7,MATCH(C1396,[1]HubMaster!$A$2:$A$7,0)),"Unknown")</f>
        <v>East</v>
      </c>
      <c r="E1396" s="2" t="str">
        <f>PROPER(TRIM(SUBSTITUTE([1]RawShipmentData!D1410,"  "," ")))</f>
        <v>Dtdc</v>
      </c>
      <c r="F1396" s="2" t="str">
        <f>PROPER(TRIM([1]RawShipmentData!E1410))</f>
        <v>Surface</v>
      </c>
      <c r="G1396" s="2" t="str">
        <f>PROPER(TRIM(SUBSTITUTE([1]RawShipmentData!F1410,"  "," ")))</f>
        <v>Grocery &amp; Fmcg</v>
      </c>
      <c r="H1396" s="2" t="str">
        <f>PROPER(TRIM([1]RawShipmentData!G1410))</f>
        <v>West</v>
      </c>
      <c r="I1396" s="2" t="str">
        <f t="shared" si="105"/>
        <v>Yes</v>
      </c>
      <c r="J1396" s="2" t="str">
        <f>IFERROR(VALUE(TRIM(SUBSTITUTE(UPPER([1]RawShipmentData!I1396),"KG",""))),"")</f>
        <v/>
      </c>
      <c r="K1396" s="2">
        <f>VALUE(SUBSTITUTE(SUBSTITUTE(SUBSTITUTE(TRIM([1]RawShipmentData!J1410),"₹",""),"Rs",""),",",""))</f>
        <v>456</v>
      </c>
      <c r="L1396" s="2">
        <f>[1]RawShipmentData!K1410</f>
        <v>6</v>
      </c>
      <c r="M1396" s="3">
        <f>IF(TRIM([1]RawShipmentData!L1410)="","",IF(ISNUMBER(SEARCH("/",TRIM([1]RawShipmentData!L1410))),DATE(VALUE(RIGHT(TRIM([1]RawShipmentData!L1410),4)),VALUE(MID(TRIM([1]RawShipmentData!L1410),FIND("/",TRIM([1]RawShipmentData!L1410))+1,2)),VALUE(LEFT(TRIM([1]RawShipmentData!L1410),FIND("/",TRIM([1]RawShipmentData!L1410))-1))),DATEVALUE(TRIM([1]RawShipmentData!L1410))))</f>
        <v>45323</v>
      </c>
      <c r="N1396" s="2">
        <f t="shared" si="106"/>
        <v>5</v>
      </c>
      <c r="O1396" s="2">
        <f t="shared" si="107"/>
        <v>-1</v>
      </c>
      <c r="P1396" s="2" t="str">
        <f t="shared" si="108"/>
        <v>On Time</v>
      </c>
      <c r="Q1396" s="2" t="str">
        <f>PROPER(SUBSTITUTE(TRIM([1]RawShipmentData!M1410)," ","-"))</f>
        <v>Delivered</v>
      </c>
      <c r="R1396" s="4" t="str">
        <f t="shared" si="109"/>
        <v/>
      </c>
      <c r="S1396" s="2">
        <f>[1]RawShipmentData!N1410</f>
        <v>5</v>
      </c>
      <c r="T1396" s="2" t="str">
        <f>IF(OR(UPPER(TRIM([1]RawShipmentData!O1410))="YES",UPPER(TRIM([1]RawShipmentData!O1410))="Y"),"Yes","No")</f>
        <v>Yes</v>
      </c>
    </row>
    <row r="1397" spans="1:20" x14ac:dyDescent="0.25">
      <c r="A1397" s="2" t="str">
        <f>[1]RawShipmentData!A1411</f>
        <v>SHP-100972</v>
      </c>
      <c r="B1397" s="3">
        <f>IF(ISNUMBER(SEARCH("/",TRIM([1]RawShipmentData!B1411))),DATE(VALUE(RIGHT(TRIM([1]RawShipmentData!B1411),4)),VALUE(MID(TRIM([1]RawShipmentData!B1411),FIND("/",TRIM([1]RawShipmentData!B1411))+1,2)),VALUE(LEFT(TRIM([1]RawShipmentData!B1411),FIND("/",TRIM([1]RawShipmentData!B1411))-1))),DATEVALUE(TRIM([1]RawShipmentData!B1411)))</f>
        <v>45342</v>
      </c>
      <c r="C1397" s="2" t="str">
        <f>PROPER(TRIM([1]RawShipmentData!C1411))</f>
        <v>Hyderabad</v>
      </c>
      <c r="D1397" s="2" t="str">
        <f>IFERROR(INDEX([1]HubMaster!$B$2:$B$7,MATCH(C1397,[1]HubMaster!$A$2:$A$7,0)),"Unknown")</f>
        <v>West</v>
      </c>
      <c r="E1397" s="2" t="str">
        <f>PROPER(TRIM(SUBSTITUTE([1]RawShipmentData!D1411,"  "," ")))</f>
        <v>Xpressbees</v>
      </c>
      <c r="F1397" s="2" t="str">
        <f>PROPER(TRIM([1]RawShipmentData!E1411))</f>
        <v>Surface</v>
      </c>
      <c r="G1397" s="2" t="str">
        <f>PROPER(TRIM(SUBSTITUTE([1]RawShipmentData!F1411,"  "," ")))</f>
        <v>Grocery &amp; Fmcg</v>
      </c>
      <c r="H1397" s="2" t="str">
        <f>PROPER(TRIM([1]RawShipmentData!G1411))</f>
        <v>West</v>
      </c>
      <c r="I1397" s="2" t="str">
        <f t="shared" si="105"/>
        <v>No</v>
      </c>
      <c r="J1397" s="2">
        <f>IFERROR(VALUE(TRIM(SUBSTITUTE(UPPER([1]RawShipmentData!I1397),"KG",""))),"")</f>
        <v>70.599999999999994</v>
      </c>
      <c r="K1397" s="2">
        <f>VALUE(SUBSTITUTE(SUBSTITUTE(SUBSTITUTE(TRIM([1]RawShipmentData!J1411),"₹",""),"Rs",""),",",""))</f>
        <v>379</v>
      </c>
      <c r="L1397" s="2">
        <f>[1]RawShipmentData!K1411</f>
        <v>4</v>
      </c>
      <c r="M1397" s="3">
        <f>IF(TRIM([1]RawShipmentData!L1411)="","",IF(ISNUMBER(SEARCH("/",TRIM([1]RawShipmentData!L1411))),DATE(VALUE(RIGHT(TRIM([1]RawShipmentData!L1411),4)),VALUE(MID(TRIM([1]RawShipmentData!L1411),FIND("/",TRIM([1]RawShipmentData!L1411))+1,2)),VALUE(LEFT(TRIM([1]RawShipmentData!L1411),FIND("/",TRIM([1]RawShipmentData!L1411))-1))),DATEVALUE(TRIM([1]RawShipmentData!L1411))))</f>
        <v>45347</v>
      </c>
      <c r="N1397" s="2">
        <f t="shared" si="106"/>
        <v>5</v>
      </c>
      <c r="O1397" s="2">
        <f t="shared" si="107"/>
        <v>1</v>
      </c>
      <c r="P1397" s="2" t="str">
        <f t="shared" si="108"/>
        <v>Late</v>
      </c>
      <c r="Q1397" s="2" t="str">
        <f>PROPER(SUBSTITUTE(TRIM([1]RawShipmentData!M1411)," ","-"))</f>
        <v>Delayed</v>
      </c>
      <c r="R1397" s="4">
        <f t="shared" si="109"/>
        <v>5.3682719546742215</v>
      </c>
      <c r="S1397" s="2">
        <f>[1]RawShipmentData!N1411</f>
        <v>3</v>
      </c>
      <c r="T1397" s="2" t="str">
        <f>IF(OR(UPPER(TRIM([1]RawShipmentData!O1411))="YES",UPPER(TRIM([1]RawShipmentData!O1411))="Y"),"Yes","No")</f>
        <v>No</v>
      </c>
    </row>
    <row r="1398" spans="1:20" x14ac:dyDescent="0.25">
      <c r="A1398" s="2" t="str">
        <f>[1]RawShipmentData!A1412</f>
        <v>SHP-101585</v>
      </c>
      <c r="B1398" s="3">
        <f>IF(ISNUMBER(SEARCH("/",TRIM([1]RawShipmentData!B1412))),DATE(VALUE(RIGHT(TRIM([1]RawShipmentData!B1412),4)),VALUE(MID(TRIM([1]RawShipmentData!B1412),FIND("/",TRIM([1]RawShipmentData!B1412))+1,2)),VALUE(LEFT(TRIM([1]RawShipmentData!B1412),FIND("/",TRIM([1]RawShipmentData!B1412))-1))),DATEVALUE(TRIM([1]RawShipmentData!B1412)))</f>
        <v>45367</v>
      </c>
      <c r="C1398" s="2" t="str">
        <f>PROPER(TRIM([1]RawShipmentData!C1412))</f>
        <v>Delhi</v>
      </c>
      <c r="D1398" s="2" t="str">
        <f>IFERROR(INDEX([1]HubMaster!$B$2:$B$7,MATCH(C1398,[1]HubMaster!$A$2:$A$7,0)),"Unknown")</f>
        <v>North</v>
      </c>
      <c r="E1398" s="2" t="str">
        <f>PROPER(TRIM(SUBSTITUTE([1]RawShipmentData!D1412,"  "," ")))</f>
        <v>Xpressbees</v>
      </c>
      <c r="F1398" s="2" t="str">
        <f>PROPER(TRIM([1]RawShipmentData!E1412))</f>
        <v>Surface</v>
      </c>
      <c r="G1398" s="2" t="str">
        <f>PROPER(TRIM(SUBSTITUTE([1]RawShipmentData!F1412,"  "," ")))</f>
        <v>Apparel</v>
      </c>
      <c r="H1398" s="2" t="str">
        <f>PROPER(TRIM([1]RawShipmentData!G1412))</f>
        <v>West</v>
      </c>
      <c r="I1398" s="2" t="str">
        <f t="shared" si="105"/>
        <v>Yes</v>
      </c>
      <c r="J1398" s="2">
        <f>IFERROR(VALUE(TRIM(SUBSTITUTE(UPPER([1]RawShipmentData!I1398),"KG",""))),"")</f>
        <v>13.1</v>
      </c>
      <c r="K1398" s="2">
        <f>VALUE(SUBSTITUTE(SUBSTITUTE(SUBSTITUTE(TRIM([1]RawShipmentData!J1412),"₹",""),"Rs",""),",",""))</f>
        <v>255</v>
      </c>
      <c r="L1398" s="2">
        <f>[1]RawShipmentData!K1412</f>
        <v>6</v>
      </c>
      <c r="M1398" s="3">
        <f>IF(TRIM([1]RawShipmentData!L1412)="","",IF(ISNUMBER(SEARCH("/",TRIM([1]RawShipmentData!L1412))),DATE(VALUE(RIGHT(TRIM([1]RawShipmentData!L1412),4)),VALUE(MID(TRIM([1]RawShipmentData!L1412),FIND("/",TRIM([1]RawShipmentData!L1412))+1,2)),VALUE(LEFT(TRIM([1]RawShipmentData!L1412),FIND("/",TRIM([1]RawShipmentData!L1412))-1))),DATEVALUE(TRIM([1]RawShipmentData!L1412))))</f>
        <v>45374</v>
      </c>
      <c r="N1398" s="2">
        <f t="shared" si="106"/>
        <v>7</v>
      </c>
      <c r="O1398" s="2">
        <f t="shared" si="107"/>
        <v>1</v>
      </c>
      <c r="P1398" s="2" t="str">
        <f t="shared" si="108"/>
        <v>Late</v>
      </c>
      <c r="Q1398" s="2" t="str">
        <f>PROPER(SUBSTITUTE(TRIM([1]RawShipmentData!M1412)," ","-"))</f>
        <v>Delayed</v>
      </c>
      <c r="R1398" s="4">
        <f t="shared" si="109"/>
        <v>19.465648854961831</v>
      </c>
      <c r="S1398" s="2">
        <f>[1]RawShipmentData!N1412</f>
        <v>5</v>
      </c>
      <c r="T1398" s="2" t="str">
        <f>IF(OR(UPPER(TRIM([1]RawShipmentData!O1412))="YES",UPPER(TRIM([1]RawShipmentData!O1412))="Y"),"Yes","No")</f>
        <v>Yes</v>
      </c>
    </row>
    <row r="1399" spans="1:20" x14ac:dyDescent="0.25">
      <c r="A1399" s="2" t="str">
        <f>[1]RawShipmentData!A1413</f>
        <v>SHP-101588</v>
      </c>
      <c r="B1399" s="3">
        <f>IF(ISNUMBER(SEARCH("/",TRIM([1]RawShipmentData!B1413))),DATE(VALUE(RIGHT(TRIM([1]RawShipmentData!B1413),4)),VALUE(MID(TRIM([1]RawShipmentData!B1413),FIND("/",TRIM([1]RawShipmentData!B1413))+1,2)),VALUE(LEFT(TRIM([1]RawShipmentData!B1413),FIND("/",TRIM([1]RawShipmentData!B1413))-1))),DATEVALUE(TRIM([1]RawShipmentData!B1413)))</f>
        <v>45324</v>
      </c>
      <c r="C1399" s="2" t="str">
        <f>PROPER(TRIM([1]RawShipmentData!C1413))</f>
        <v>Hyderabad</v>
      </c>
      <c r="D1399" s="2" t="str">
        <f>IFERROR(INDEX([1]HubMaster!$B$2:$B$7,MATCH(C1399,[1]HubMaster!$A$2:$A$7,0)),"Unknown")</f>
        <v>West</v>
      </c>
      <c r="E1399" s="2" t="str">
        <f>PROPER(TRIM(SUBSTITUTE([1]RawShipmentData!D1413,"  "," ")))</f>
        <v>Dtdc</v>
      </c>
      <c r="F1399" s="2" t="str">
        <f>PROPER(TRIM([1]RawShipmentData!E1413))</f>
        <v>Air</v>
      </c>
      <c r="G1399" s="2" t="str">
        <f>PROPER(TRIM(SUBSTITUTE([1]RawShipmentData!F1413,"  "," ")))</f>
        <v>Pharma</v>
      </c>
      <c r="H1399" s="2" t="str">
        <f>PROPER(TRIM([1]RawShipmentData!G1413))</f>
        <v>East</v>
      </c>
      <c r="I1399" s="2" t="str">
        <f t="shared" si="105"/>
        <v>Yes</v>
      </c>
      <c r="J1399" s="2">
        <f>IFERROR(VALUE(TRIM(SUBSTITUTE(UPPER([1]RawShipmentData!I1399),"KG",""))),"")</f>
        <v>2.2999999999999998</v>
      </c>
      <c r="K1399" s="2">
        <f>VALUE(SUBSTITUTE(SUBSTITUTE(SUBSTITUTE(TRIM([1]RawShipmentData!J1413),"₹",""),"Rs",""),",",""))</f>
        <v>205</v>
      </c>
      <c r="L1399" s="2">
        <f>[1]RawShipmentData!K1413</f>
        <v>4</v>
      </c>
      <c r="M1399" s="3">
        <f>IF(TRIM([1]RawShipmentData!L1413)="","",IF(ISNUMBER(SEARCH("/",TRIM([1]RawShipmentData!L1413))),DATE(VALUE(RIGHT(TRIM([1]RawShipmentData!L1413),4)),VALUE(MID(TRIM([1]RawShipmentData!L1413),FIND("/",TRIM([1]RawShipmentData!L1413))+1,2)),VALUE(LEFT(TRIM([1]RawShipmentData!L1413),FIND("/",TRIM([1]RawShipmentData!L1413))-1))),DATEVALUE(TRIM([1]RawShipmentData!L1413))))</f>
        <v>45329</v>
      </c>
      <c r="N1399" s="2">
        <f t="shared" si="106"/>
        <v>5</v>
      </c>
      <c r="O1399" s="2">
        <f t="shared" si="107"/>
        <v>1</v>
      </c>
      <c r="P1399" s="2" t="str">
        <f t="shared" si="108"/>
        <v>Late</v>
      </c>
      <c r="Q1399" s="2" t="str">
        <f>PROPER(SUBSTITUTE(TRIM([1]RawShipmentData!M1413)," ","-"))</f>
        <v>Delayed</v>
      </c>
      <c r="R1399" s="4">
        <f t="shared" si="109"/>
        <v>89.130434782608702</v>
      </c>
      <c r="S1399" s="2">
        <f>[1]RawShipmentData!N1413</f>
        <v>2</v>
      </c>
      <c r="T1399" s="2" t="str">
        <f>IF(OR(UPPER(TRIM([1]RawShipmentData!O1413))="YES",UPPER(TRIM([1]RawShipmentData!O1413))="Y"),"Yes","No")</f>
        <v>Yes</v>
      </c>
    </row>
    <row r="1400" spans="1:20" x14ac:dyDescent="0.25">
      <c r="A1400" s="2" t="str">
        <f>[1]RawShipmentData!A1414</f>
        <v>SHP-100856</v>
      </c>
      <c r="B1400" s="3">
        <f>IF(ISNUMBER(SEARCH("/",TRIM([1]RawShipmentData!B1414))),DATE(VALUE(RIGHT(TRIM([1]RawShipmentData!B1414),4)),VALUE(MID(TRIM([1]RawShipmentData!B1414),FIND("/",TRIM([1]RawShipmentData!B1414))+1,2)),VALUE(LEFT(TRIM([1]RawShipmentData!B1414),FIND("/",TRIM([1]RawShipmentData!B1414))-1))),DATEVALUE(TRIM([1]RawShipmentData!B1414)))</f>
        <v>45330</v>
      </c>
      <c r="C1400" s="2" t="str">
        <f>PROPER(TRIM([1]RawShipmentData!C1414))</f>
        <v>Chennai</v>
      </c>
      <c r="D1400" s="2" t="str">
        <f>IFERROR(INDEX([1]HubMaster!$B$2:$B$7,MATCH(C1400,[1]HubMaster!$A$2:$A$7,0)),"Unknown")</f>
        <v>South</v>
      </c>
      <c r="E1400" s="2" t="str">
        <f>PROPER(TRIM(SUBSTITUTE([1]RawShipmentData!D1414,"  "," ")))</f>
        <v>Ecom Express</v>
      </c>
      <c r="F1400" s="2" t="str">
        <f>PROPER(TRIM([1]RawShipmentData!E1414))</f>
        <v>Surface</v>
      </c>
      <c r="G1400" s="2" t="str">
        <f>PROPER(TRIM(SUBSTITUTE([1]RawShipmentData!F1414,"  "," ")))</f>
        <v>Automotive Parts</v>
      </c>
      <c r="H1400" s="2" t="str">
        <f>PROPER(TRIM([1]RawShipmentData!G1414))</f>
        <v>South</v>
      </c>
      <c r="I1400" s="2" t="str">
        <f t="shared" si="105"/>
        <v>No</v>
      </c>
      <c r="J1400" s="2">
        <f>IFERROR(VALUE(TRIM(SUBSTITUTE(UPPER([1]RawShipmentData!I1400),"KG",""))),"")</f>
        <v>34.700000000000003</v>
      </c>
      <c r="K1400" s="2">
        <f>VALUE(SUBSTITUTE(SUBSTITUTE(SUBSTITUTE(TRIM([1]RawShipmentData!J1414),"₹",""),"Rs",""),",",""))</f>
        <v>383</v>
      </c>
      <c r="L1400" s="2">
        <f>[1]RawShipmentData!K1414</f>
        <v>4</v>
      </c>
      <c r="M1400" s="3">
        <f>IF(TRIM([1]RawShipmentData!L1414)="","",IF(ISNUMBER(SEARCH("/",TRIM([1]RawShipmentData!L1414))),DATE(VALUE(RIGHT(TRIM([1]RawShipmentData!L1414),4)),VALUE(MID(TRIM([1]RawShipmentData!L1414),FIND("/",TRIM([1]RawShipmentData!L1414))+1,2)),VALUE(LEFT(TRIM([1]RawShipmentData!L1414),FIND("/",TRIM([1]RawShipmentData!L1414))-1))),DATEVALUE(TRIM([1]RawShipmentData!L1414))))</f>
        <v>45335</v>
      </c>
      <c r="N1400" s="2">
        <f t="shared" si="106"/>
        <v>5</v>
      </c>
      <c r="O1400" s="2">
        <f t="shared" si="107"/>
        <v>1</v>
      </c>
      <c r="P1400" s="2" t="str">
        <f t="shared" si="108"/>
        <v>Late</v>
      </c>
      <c r="Q1400" s="2" t="str">
        <f>PROPER(SUBSTITUTE(TRIM([1]RawShipmentData!M1414)," ","-"))</f>
        <v>Delayed</v>
      </c>
      <c r="R1400" s="4">
        <f t="shared" si="109"/>
        <v>11.037463976945244</v>
      </c>
      <c r="S1400" s="2">
        <f>[1]RawShipmentData!N1414</f>
        <v>3</v>
      </c>
      <c r="T1400" s="2" t="str">
        <f>IF(OR(UPPER(TRIM([1]RawShipmentData!O1414))="YES",UPPER(TRIM([1]RawShipmentData!O1414))="Y"),"Yes","No")</f>
        <v>No</v>
      </c>
    </row>
    <row r="1401" spans="1:20" x14ac:dyDescent="0.25">
      <c r="A1401" s="2" t="str">
        <f>[1]RawShipmentData!A1415</f>
        <v>SHP-101569</v>
      </c>
      <c r="B1401" s="3">
        <f>IF(ISNUMBER(SEARCH("/",TRIM([1]RawShipmentData!B1415))),DATE(VALUE(RIGHT(TRIM([1]RawShipmentData!B1415),4)),VALUE(MID(TRIM([1]RawShipmentData!B1415),FIND("/",TRIM([1]RawShipmentData!B1415))+1,2)),VALUE(LEFT(TRIM([1]RawShipmentData!B1415),FIND("/",TRIM([1]RawShipmentData!B1415))-1))),DATEVALUE(TRIM([1]RawShipmentData!B1415)))</f>
        <v>45453</v>
      </c>
      <c r="C1401" s="2" t="str">
        <f>PROPER(TRIM([1]RawShipmentData!C1415))</f>
        <v>Mumbai</v>
      </c>
      <c r="D1401" s="2" t="str">
        <f>IFERROR(INDEX([1]HubMaster!$B$2:$B$7,MATCH(C1401,[1]HubMaster!$A$2:$A$7,0)),"Unknown")</f>
        <v>West</v>
      </c>
      <c r="E1401" s="2" t="str">
        <f>PROPER(TRIM(SUBSTITUTE([1]RawShipmentData!D1415,"  "," ")))</f>
        <v>Ecom Express</v>
      </c>
      <c r="F1401" s="2" t="str">
        <f>PROPER(TRIM([1]RawShipmentData!E1415))</f>
        <v>Air</v>
      </c>
      <c r="G1401" s="2" t="str">
        <f>PROPER(TRIM(SUBSTITUTE([1]RawShipmentData!F1415,"  "," ")))</f>
        <v>Grocery &amp; Fmcg</v>
      </c>
      <c r="H1401" s="2" t="str">
        <f>PROPER(TRIM([1]RawShipmentData!G1415))</f>
        <v>West</v>
      </c>
      <c r="I1401" s="2" t="str">
        <f t="shared" si="105"/>
        <v>No</v>
      </c>
      <c r="J1401" s="2">
        <f>IFERROR(VALUE(TRIM(SUBSTITUTE(UPPER([1]RawShipmentData!I1401),"KG",""))),"")</f>
        <v>19.399999999999999</v>
      </c>
      <c r="K1401" s="2">
        <f>VALUE(SUBSTITUTE(SUBSTITUTE(SUBSTITUTE(TRIM([1]RawShipmentData!J1415),"₹",""),"Rs",""),",",""))</f>
        <v>401</v>
      </c>
      <c r="L1401" s="2">
        <f>[1]RawShipmentData!K1415</f>
        <v>2</v>
      </c>
      <c r="M1401" s="3">
        <f>IF(TRIM([1]RawShipmentData!L1415)="","",IF(ISNUMBER(SEARCH("/",TRIM([1]RawShipmentData!L1415))),DATE(VALUE(RIGHT(TRIM([1]RawShipmentData!L1415),4)),VALUE(MID(TRIM([1]RawShipmentData!L1415),FIND("/",TRIM([1]RawShipmentData!L1415))+1,2)),VALUE(LEFT(TRIM([1]RawShipmentData!L1415),FIND("/",TRIM([1]RawShipmentData!L1415))-1))),DATEVALUE(TRIM([1]RawShipmentData!L1415))))</f>
        <v>45454</v>
      </c>
      <c r="N1401" s="2">
        <f t="shared" si="106"/>
        <v>1</v>
      </c>
      <c r="O1401" s="2">
        <f t="shared" si="107"/>
        <v>-1</v>
      </c>
      <c r="P1401" s="2" t="str">
        <f t="shared" si="108"/>
        <v>On Time</v>
      </c>
      <c r="Q1401" s="2" t="str">
        <f>PROPER(SUBSTITUTE(TRIM([1]RawShipmentData!M1415)," ","-"))</f>
        <v>Delivered</v>
      </c>
      <c r="R1401" s="4">
        <f t="shared" si="109"/>
        <v>20.670103092783506</v>
      </c>
      <c r="S1401" s="2">
        <f>[1]RawShipmentData!N1415</f>
        <v>5</v>
      </c>
      <c r="T1401" s="2" t="str">
        <f>IF(OR(UPPER(TRIM([1]RawShipmentData!O1415))="YES",UPPER(TRIM([1]RawShipmentData!O1415))="Y"),"Yes","No")</f>
        <v>No</v>
      </c>
    </row>
    <row r="1402" spans="1:20" x14ac:dyDescent="0.25">
      <c r="A1402" s="2" t="str">
        <f>[1]RawShipmentData!A1416</f>
        <v>SHP-100919</v>
      </c>
      <c r="B1402" s="3">
        <f>IF(ISNUMBER(SEARCH("/",TRIM([1]RawShipmentData!B1416))),DATE(VALUE(RIGHT(TRIM([1]RawShipmentData!B1416),4)),VALUE(MID(TRIM([1]RawShipmentData!B1416),FIND("/",TRIM([1]RawShipmentData!B1416))+1,2)),VALUE(LEFT(TRIM([1]RawShipmentData!B1416),FIND("/",TRIM([1]RawShipmentData!B1416))-1))),DATEVALUE(TRIM([1]RawShipmentData!B1416)))</f>
        <v>45418</v>
      </c>
      <c r="C1402" s="2" t="str">
        <f>PROPER(TRIM([1]RawShipmentData!C1416))</f>
        <v>Chennai</v>
      </c>
      <c r="D1402" s="2" t="str">
        <f>IFERROR(INDEX([1]HubMaster!$B$2:$B$7,MATCH(C1402,[1]HubMaster!$A$2:$A$7,0)),"Unknown")</f>
        <v>South</v>
      </c>
      <c r="E1402" s="2" t="str">
        <f>PROPER(TRIM(SUBSTITUTE([1]RawShipmentData!D1416,"  "," ")))</f>
        <v>Bluedart</v>
      </c>
      <c r="F1402" s="2" t="str">
        <f>PROPER(TRIM([1]RawShipmentData!E1416))</f>
        <v>Surface</v>
      </c>
      <c r="G1402" s="2" t="str">
        <f>PROPER(TRIM(SUBSTITUTE([1]RawShipmentData!F1416,"  "," ")))</f>
        <v>Grocery &amp; Fmcg</v>
      </c>
      <c r="H1402" s="2" t="str">
        <f>PROPER(TRIM([1]RawShipmentData!G1416))</f>
        <v>East</v>
      </c>
      <c r="I1402" s="2" t="str">
        <f t="shared" si="105"/>
        <v>Yes</v>
      </c>
      <c r="J1402" s="2">
        <f>IFERROR(VALUE(TRIM(SUBSTITUTE(UPPER([1]RawShipmentData!I1402),"KG",""))),"")</f>
        <v>19.600000000000001</v>
      </c>
      <c r="K1402" s="2">
        <f>VALUE(SUBSTITUTE(SUBSTITUTE(SUBSTITUTE(TRIM([1]RawShipmentData!J1416),"₹",""),"Rs",""),",",""))</f>
        <v>479</v>
      </c>
      <c r="L1402" s="2">
        <f>[1]RawShipmentData!K1416</f>
        <v>6</v>
      </c>
      <c r="M1402" s="3">
        <f>IF(TRIM([1]RawShipmentData!L1416)="","",IF(ISNUMBER(SEARCH("/",TRIM([1]RawShipmentData!L1416))),DATE(VALUE(RIGHT(TRIM([1]RawShipmentData!L1416),4)),VALUE(MID(TRIM([1]RawShipmentData!L1416),FIND("/",TRIM([1]RawShipmentData!L1416))+1,2)),VALUE(LEFT(TRIM([1]RawShipmentData!L1416),FIND("/",TRIM([1]RawShipmentData!L1416))-1))),DATEVALUE(TRIM([1]RawShipmentData!L1416))))</f>
        <v>45424</v>
      </c>
      <c r="N1402" s="2">
        <f t="shared" si="106"/>
        <v>6</v>
      </c>
      <c r="O1402" s="2">
        <f t="shared" si="107"/>
        <v>0</v>
      </c>
      <c r="P1402" s="2" t="str">
        <f t="shared" si="108"/>
        <v>On Time</v>
      </c>
      <c r="Q1402" s="2" t="str">
        <f>PROPER(SUBSTITUTE(TRIM([1]RawShipmentData!M1416)," ","-"))</f>
        <v>Delivered</v>
      </c>
      <c r="R1402" s="4">
        <f t="shared" si="109"/>
        <v>24.438775510204081</v>
      </c>
      <c r="S1402" s="2">
        <f>[1]RawShipmentData!N1416</f>
        <v>4</v>
      </c>
      <c r="T1402" s="2" t="str">
        <f>IF(OR(UPPER(TRIM([1]RawShipmentData!O1416))="YES",UPPER(TRIM([1]RawShipmentData!O1416))="Y"),"Yes","No")</f>
        <v>No</v>
      </c>
    </row>
    <row r="1403" spans="1:20" x14ac:dyDescent="0.25">
      <c r="A1403" s="2" t="str">
        <f>[1]RawShipmentData!A1417</f>
        <v>SHP-100366</v>
      </c>
      <c r="B1403" s="3">
        <f>IF(ISNUMBER(SEARCH("/",TRIM([1]RawShipmentData!B1417))),DATE(VALUE(RIGHT(TRIM([1]RawShipmentData!B1417),4)),VALUE(MID(TRIM([1]RawShipmentData!B1417),FIND("/",TRIM([1]RawShipmentData!B1417))+1,2)),VALUE(LEFT(TRIM([1]RawShipmentData!B1417),FIND("/",TRIM([1]RawShipmentData!B1417))-1))),DATEVALUE(TRIM([1]RawShipmentData!B1417)))</f>
        <v>45408</v>
      </c>
      <c r="C1403" s="2" t="str">
        <f>PROPER(TRIM([1]RawShipmentData!C1417))</f>
        <v>Delhi</v>
      </c>
      <c r="D1403" s="2" t="str">
        <f>IFERROR(INDEX([1]HubMaster!$B$2:$B$7,MATCH(C1403,[1]HubMaster!$A$2:$A$7,0)),"Unknown")</f>
        <v>North</v>
      </c>
      <c r="E1403" s="2" t="str">
        <f>PROPER(TRIM(SUBSTITUTE([1]RawShipmentData!D1417,"  "," ")))</f>
        <v>Xpressbees</v>
      </c>
      <c r="F1403" s="2" t="str">
        <f>PROPER(TRIM([1]RawShipmentData!E1417))</f>
        <v>Road</v>
      </c>
      <c r="G1403" s="2" t="str">
        <f>PROPER(TRIM(SUBSTITUTE([1]RawShipmentData!F1417,"  "," ")))</f>
        <v>Automotive Parts</v>
      </c>
      <c r="H1403" s="2" t="str">
        <f>PROPER(TRIM([1]RawShipmentData!G1417))</f>
        <v>West</v>
      </c>
      <c r="I1403" s="2" t="str">
        <f t="shared" si="105"/>
        <v>Yes</v>
      </c>
      <c r="J1403" s="2">
        <f>IFERROR(VALUE(TRIM(SUBSTITUTE(UPPER([1]RawShipmentData!I1403),"KG",""))),"")</f>
        <v>18.899999999999999</v>
      </c>
      <c r="K1403" s="2">
        <f>VALUE(SUBSTITUTE(SUBSTITUTE(SUBSTITUTE(TRIM([1]RawShipmentData!J1417),"₹",""),"Rs",""),",",""))</f>
        <v>353</v>
      </c>
      <c r="L1403" s="2">
        <f>[1]RawShipmentData!K1417</f>
        <v>8</v>
      </c>
      <c r="M1403" s="3">
        <f>IF(TRIM([1]RawShipmentData!L1417)="","",IF(ISNUMBER(SEARCH("/",TRIM([1]RawShipmentData!L1417))),DATE(VALUE(RIGHT(TRIM([1]RawShipmentData!L1417),4)),VALUE(MID(TRIM([1]RawShipmentData!L1417),FIND("/",TRIM([1]RawShipmentData!L1417))+1,2)),VALUE(LEFT(TRIM([1]RawShipmentData!L1417),FIND("/",TRIM([1]RawShipmentData!L1417))-1))),DATEVALUE(TRIM([1]RawShipmentData!L1417))))</f>
        <v>45415</v>
      </c>
      <c r="N1403" s="2">
        <f t="shared" si="106"/>
        <v>7</v>
      </c>
      <c r="O1403" s="2">
        <f t="shared" si="107"/>
        <v>-1</v>
      </c>
      <c r="P1403" s="2" t="str">
        <f t="shared" si="108"/>
        <v>On Time</v>
      </c>
      <c r="Q1403" s="2" t="str">
        <f>PROPER(SUBSTITUTE(TRIM([1]RawShipmentData!M1417)," ","-"))</f>
        <v>Delivered</v>
      </c>
      <c r="R1403" s="4">
        <f t="shared" si="109"/>
        <v>18.677248677248677</v>
      </c>
      <c r="S1403" s="2">
        <f>[1]RawShipmentData!N1417</f>
        <v>4</v>
      </c>
      <c r="T1403" s="2" t="str">
        <f>IF(OR(UPPER(TRIM([1]RawShipmentData!O1417))="YES",UPPER(TRIM([1]RawShipmentData!O1417))="Y"),"Yes","No")</f>
        <v>No</v>
      </c>
    </row>
    <row r="1404" spans="1:20" x14ac:dyDescent="0.25">
      <c r="A1404" s="2" t="str">
        <f>[1]RawShipmentData!A1418</f>
        <v>SHP-101069</v>
      </c>
      <c r="B1404" s="3">
        <f>IF(ISNUMBER(SEARCH("/",TRIM([1]RawShipmentData!B1418))),DATE(VALUE(RIGHT(TRIM([1]RawShipmentData!B1418),4)),VALUE(MID(TRIM([1]RawShipmentData!B1418),FIND("/",TRIM([1]RawShipmentData!B1418))+1,2)),VALUE(LEFT(TRIM([1]RawShipmentData!B1418),FIND("/",TRIM([1]RawShipmentData!B1418))-1))),DATEVALUE(TRIM([1]RawShipmentData!B1418)))</f>
        <v>45393</v>
      </c>
      <c r="C1404" s="2" t="str">
        <f>PROPER(TRIM([1]RawShipmentData!C1418))</f>
        <v>Mumbai</v>
      </c>
      <c r="D1404" s="2" t="str">
        <f>IFERROR(INDEX([1]HubMaster!$B$2:$B$7,MATCH(C1404,[1]HubMaster!$A$2:$A$7,0)),"Unknown")</f>
        <v>West</v>
      </c>
      <c r="E1404" s="2" t="str">
        <f>PROPER(TRIM(SUBSTITUTE([1]RawShipmentData!D1418,"  "," ")))</f>
        <v>Bluedart</v>
      </c>
      <c r="F1404" s="2" t="str">
        <f>PROPER(TRIM([1]RawShipmentData!E1418))</f>
        <v>Road</v>
      </c>
      <c r="G1404" s="2" t="str">
        <f>PROPER(TRIM(SUBSTITUTE([1]RawShipmentData!F1418,"  "," ")))</f>
        <v>Pharma</v>
      </c>
      <c r="H1404" s="2" t="str">
        <f>PROPER(TRIM([1]RawShipmentData!G1418))</f>
        <v>West</v>
      </c>
      <c r="I1404" s="2" t="str">
        <f t="shared" si="105"/>
        <v>No</v>
      </c>
      <c r="J1404" s="2">
        <f>IFERROR(VALUE(TRIM(SUBSTITUTE(UPPER([1]RawShipmentData!I1404),"KG",""))),"")</f>
        <v>2.1</v>
      </c>
      <c r="K1404" s="2">
        <f>VALUE(SUBSTITUTE(SUBSTITUTE(SUBSTITUTE(TRIM([1]RawShipmentData!J1418),"₹",""),"Rs",""),",",""))</f>
        <v>115</v>
      </c>
      <c r="L1404" s="2">
        <f>[1]RawShipmentData!K1418</f>
        <v>6</v>
      </c>
      <c r="M1404" s="3">
        <f>IF(TRIM([1]RawShipmentData!L1418)="","",IF(ISNUMBER(SEARCH("/",TRIM([1]RawShipmentData!L1418))),DATE(VALUE(RIGHT(TRIM([1]RawShipmentData!L1418),4)),VALUE(MID(TRIM([1]RawShipmentData!L1418),FIND("/",TRIM([1]RawShipmentData!L1418))+1,2)),VALUE(LEFT(TRIM([1]RawShipmentData!L1418),FIND("/",TRIM([1]RawShipmentData!L1418))-1))),DATEVALUE(TRIM([1]RawShipmentData!L1418))))</f>
        <v>45399</v>
      </c>
      <c r="N1404" s="2">
        <f t="shared" si="106"/>
        <v>6</v>
      </c>
      <c r="O1404" s="2">
        <f t="shared" si="107"/>
        <v>0</v>
      </c>
      <c r="P1404" s="2" t="str">
        <f t="shared" si="108"/>
        <v>On Time</v>
      </c>
      <c r="Q1404" s="2" t="str">
        <f>PROPER(SUBSTITUTE(TRIM([1]RawShipmentData!M1418)," ","-"))</f>
        <v>Delivered</v>
      </c>
      <c r="R1404" s="4">
        <f t="shared" si="109"/>
        <v>54.761904761904759</v>
      </c>
      <c r="S1404" s="2">
        <f>[1]RawShipmentData!N1418</f>
        <v>4</v>
      </c>
      <c r="T1404" s="2" t="str">
        <f>IF(OR(UPPER(TRIM([1]RawShipmentData!O1418))="YES",UPPER(TRIM([1]RawShipmentData!O1418))="Y"),"Yes","No")</f>
        <v>Yes</v>
      </c>
    </row>
    <row r="1405" spans="1:20" x14ac:dyDescent="0.25">
      <c r="A1405" s="2" t="str">
        <f>[1]RawShipmentData!A1419</f>
        <v>SHP-100690</v>
      </c>
      <c r="B1405" s="3">
        <f>IF(ISNUMBER(SEARCH("/",TRIM([1]RawShipmentData!B1419))),DATE(VALUE(RIGHT(TRIM([1]RawShipmentData!B1419),4)),VALUE(MID(TRIM([1]RawShipmentData!B1419),FIND("/",TRIM([1]RawShipmentData!B1419))+1,2)),VALUE(LEFT(TRIM([1]RawShipmentData!B1419),FIND("/",TRIM([1]RawShipmentData!B1419))-1))),DATEVALUE(TRIM([1]RawShipmentData!B1419)))</f>
        <v>45426</v>
      </c>
      <c r="C1405" s="2" t="str">
        <f>PROPER(TRIM([1]RawShipmentData!C1419))</f>
        <v>Kolkata</v>
      </c>
      <c r="D1405" s="2" t="str">
        <f>IFERROR(INDEX([1]HubMaster!$B$2:$B$7,MATCH(C1405,[1]HubMaster!$A$2:$A$7,0)),"Unknown")</f>
        <v>East</v>
      </c>
      <c r="E1405" s="2" t="str">
        <f>PROPER(TRIM(SUBSTITUTE([1]RawShipmentData!D1419,"  "," ")))</f>
        <v>Delhivery</v>
      </c>
      <c r="F1405" s="2" t="str">
        <f>PROPER(TRIM([1]RawShipmentData!E1419))</f>
        <v>Air</v>
      </c>
      <c r="G1405" s="2" t="str">
        <f>PROPER(TRIM(SUBSTITUTE([1]RawShipmentData!F1419,"  "," ")))</f>
        <v>Automotive Parts</v>
      </c>
      <c r="H1405" s="2" t="str">
        <f>PROPER(TRIM([1]RawShipmentData!G1419))</f>
        <v>South</v>
      </c>
      <c r="I1405" s="2" t="str">
        <f t="shared" si="105"/>
        <v>Yes</v>
      </c>
      <c r="J1405" s="2">
        <f>IFERROR(VALUE(TRIM(SUBSTITUTE(UPPER([1]RawShipmentData!I1405),"KG",""))),"")</f>
        <v>4.9000000000000004</v>
      </c>
      <c r="K1405" s="2">
        <f>VALUE(SUBSTITUTE(SUBSTITUTE(SUBSTITUTE(TRIM([1]RawShipmentData!J1419),"₹",""),"Rs",""),",",""))</f>
        <v>493</v>
      </c>
      <c r="L1405" s="2">
        <f>[1]RawShipmentData!K1419</f>
        <v>4</v>
      </c>
      <c r="M1405" s="3">
        <f>IF(TRIM([1]RawShipmentData!L1419)="","",IF(ISNUMBER(SEARCH("/",TRIM([1]RawShipmentData!L1419))),DATE(VALUE(RIGHT(TRIM([1]RawShipmentData!L1419),4)),VALUE(MID(TRIM([1]RawShipmentData!L1419),FIND("/",TRIM([1]RawShipmentData!L1419))+1,2)),VALUE(LEFT(TRIM([1]RawShipmentData!L1419),FIND("/",TRIM([1]RawShipmentData!L1419))-1))),DATEVALUE(TRIM([1]RawShipmentData!L1419))))</f>
        <v>45431</v>
      </c>
      <c r="N1405" s="2">
        <f t="shared" si="106"/>
        <v>5</v>
      </c>
      <c r="O1405" s="2">
        <f t="shared" si="107"/>
        <v>1</v>
      </c>
      <c r="P1405" s="2" t="str">
        <f t="shared" si="108"/>
        <v>Late</v>
      </c>
      <c r="Q1405" s="2" t="str">
        <f>PROPER(SUBSTITUTE(TRIM([1]RawShipmentData!M1419)," ","-"))</f>
        <v>Delayed</v>
      </c>
      <c r="R1405" s="4">
        <f t="shared" si="109"/>
        <v>100.61224489795917</v>
      </c>
      <c r="S1405" s="2">
        <f>[1]RawShipmentData!N1419</f>
        <v>1</v>
      </c>
      <c r="T1405" s="2" t="str">
        <f>IF(OR(UPPER(TRIM([1]RawShipmentData!O1419))="YES",UPPER(TRIM([1]RawShipmentData!O1419))="Y"),"Yes","No")</f>
        <v>Yes</v>
      </c>
    </row>
    <row r="1406" spans="1:20" x14ac:dyDescent="0.25">
      <c r="A1406" s="2" t="str">
        <f>[1]RawShipmentData!A1420</f>
        <v>SHP-101004</v>
      </c>
      <c r="B1406" s="3">
        <f>IF(ISNUMBER(SEARCH("/",TRIM([1]RawShipmentData!B1420))),DATE(VALUE(RIGHT(TRIM([1]RawShipmentData!B1420),4)),VALUE(MID(TRIM([1]RawShipmentData!B1420),FIND("/",TRIM([1]RawShipmentData!B1420))+1,2)),VALUE(LEFT(TRIM([1]RawShipmentData!B1420),FIND("/",TRIM([1]RawShipmentData!B1420))-1))),DATEVALUE(TRIM([1]RawShipmentData!B1420)))</f>
        <v>45357</v>
      </c>
      <c r="C1406" s="2" t="str">
        <f>PROPER(TRIM([1]RawShipmentData!C1420))</f>
        <v>Kolkata</v>
      </c>
      <c r="D1406" s="2" t="str">
        <f>IFERROR(INDEX([1]HubMaster!$B$2:$B$7,MATCH(C1406,[1]HubMaster!$A$2:$A$7,0)),"Unknown")</f>
        <v>East</v>
      </c>
      <c r="E1406" s="2" t="str">
        <f>PROPER(TRIM(SUBSTITUTE([1]RawShipmentData!D1420,"  "," ")))</f>
        <v>Bluedart</v>
      </c>
      <c r="F1406" s="2" t="str">
        <f>PROPER(TRIM([1]RawShipmentData!E1420))</f>
        <v>Road</v>
      </c>
      <c r="G1406" s="2" t="str">
        <f>PROPER(TRIM(SUBSTITUTE([1]RawShipmentData!F1420,"  "," ")))</f>
        <v>Apparel</v>
      </c>
      <c r="H1406" s="2" t="str">
        <f>PROPER(TRIM([1]RawShipmentData!G1420))</f>
        <v>East</v>
      </c>
      <c r="I1406" s="2" t="str">
        <f t="shared" si="105"/>
        <v>No</v>
      </c>
      <c r="J1406" s="2">
        <f>IFERROR(VALUE(TRIM(SUBSTITUTE(UPPER([1]RawShipmentData!I1406),"KG",""))),"")</f>
        <v>7.5</v>
      </c>
      <c r="K1406" s="2">
        <f>VALUE(SUBSTITUTE(SUBSTITUTE(SUBSTITUTE(TRIM([1]RawShipmentData!J1420),"₹",""),"Rs",""),",",""))</f>
        <v>85</v>
      </c>
      <c r="L1406" s="2">
        <f>[1]RawShipmentData!K1420</f>
        <v>6</v>
      </c>
      <c r="M1406" s="3">
        <f>IF(TRIM([1]RawShipmentData!L1420)="","",IF(ISNUMBER(SEARCH("/",TRIM([1]RawShipmentData!L1420))),DATE(VALUE(RIGHT(TRIM([1]RawShipmentData!L1420),4)),VALUE(MID(TRIM([1]RawShipmentData!L1420),FIND("/",TRIM([1]RawShipmentData!L1420))+1,2)),VALUE(LEFT(TRIM([1]RawShipmentData!L1420),FIND("/",TRIM([1]RawShipmentData!L1420))-1))),DATEVALUE(TRIM([1]RawShipmentData!L1420))))</f>
        <v>45364</v>
      </c>
      <c r="N1406" s="2">
        <f t="shared" si="106"/>
        <v>7</v>
      </c>
      <c r="O1406" s="2">
        <f t="shared" si="107"/>
        <v>1</v>
      </c>
      <c r="P1406" s="2" t="str">
        <f t="shared" si="108"/>
        <v>Late</v>
      </c>
      <c r="Q1406" s="2" t="str">
        <f>PROPER(SUBSTITUTE(TRIM([1]RawShipmentData!M1420)," ","-"))</f>
        <v>Delayed</v>
      </c>
      <c r="R1406" s="4">
        <f t="shared" si="109"/>
        <v>11.333333333333334</v>
      </c>
      <c r="S1406" s="2">
        <f>[1]RawShipmentData!N1420</f>
        <v>3</v>
      </c>
      <c r="T1406" s="2" t="str">
        <f>IF(OR(UPPER(TRIM([1]RawShipmentData!O1420))="YES",UPPER(TRIM([1]RawShipmentData!O1420))="Y"),"Yes","No")</f>
        <v>No</v>
      </c>
    </row>
    <row r="1407" spans="1:20" x14ac:dyDescent="0.25">
      <c r="A1407" s="2" t="str">
        <f>[1]RawShipmentData!A1421</f>
        <v>SHP-100049</v>
      </c>
      <c r="B1407" s="3">
        <f>IF(ISNUMBER(SEARCH("/",TRIM([1]RawShipmentData!B1421))),DATE(VALUE(RIGHT(TRIM([1]RawShipmentData!B1421),4)),VALUE(MID(TRIM([1]RawShipmentData!B1421),FIND("/",TRIM([1]RawShipmentData!B1421))+1,2)),VALUE(LEFT(TRIM([1]RawShipmentData!B1421),FIND("/",TRIM([1]RawShipmentData!B1421))-1))),DATEVALUE(TRIM([1]RawShipmentData!B1421)))</f>
        <v>45405</v>
      </c>
      <c r="C1407" s="2" t="str">
        <f>PROPER(TRIM([1]RawShipmentData!C1421))</f>
        <v>Mumbai</v>
      </c>
      <c r="D1407" s="2" t="str">
        <f>IFERROR(INDEX([1]HubMaster!$B$2:$B$7,MATCH(C1407,[1]HubMaster!$A$2:$A$7,0)),"Unknown")</f>
        <v>West</v>
      </c>
      <c r="E1407" s="2" t="str">
        <f>PROPER(TRIM(SUBSTITUTE([1]RawShipmentData!D1421,"  "," ")))</f>
        <v>Bluedart</v>
      </c>
      <c r="F1407" s="2" t="str">
        <f>PROPER(TRIM([1]RawShipmentData!E1421))</f>
        <v>Surface</v>
      </c>
      <c r="G1407" s="2" t="str">
        <f>PROPER(TRIM(SUBSTITUTE([1]RawShipmentData!F1421,"  "," ")))</f>
        <v>Apparel</v>
      </c>
      <c r="H1407" s="2" t="str">
        <f>PROPER(TRIM([1]RawShipmentData!G1421))</f>
        <v>East</v>
      </c>
      <c r="I1407" s="2" t="str">
        <f t="shared" si="105"/>
        <v>Yes</v>
      </c>
      <c r="J1407" s="2">
        <f>IFERROR(VALUE(TRIM(SUBSTITUTE(UPPER([1]RawShipmentData!I1407),"KG",""))),"")</f>
        <v>1</v>
      </c>
      <c r="K1407" s="2">
        <f>VALUE(SUBSTITUTE(SUBSTITUTE(SUBSTITUTE(TRIM([1]RawShipmentData!J1421),"₹",""),"Rs",""),",",""))</f>
        <v>299</v>
      </c>
      <c r="L1407" s="2">
        <f>[1]RawShipmentData!K1421</f>
        <v>6</v>
      </c>
      <c r="M1407" s="3">
        <f>IF(TRIM([1]RawShipmentData!L1421)="","",IF(ISNUMBER(SEARCH("/",TRIM([1]RawShipmentData!L1421))),DATE(VALUE(RIGHT(TRIM([1]RawShipmentData!L1421),4)),VALUE(MID(TRIM([1]RawShipmentData!L1421),FIND("/",TRIM([1]RawShipmentData!L1421))+1,2)),VALUE(LEFT(TRIM([1]RawShipmentData!L1421),FIND("/",TRIM([1]RawShipmentData!L1421))-1))),DATEVALUE(TRIM([1]RawShipmentData!L1421))))</f>
        <v>45412</v>
      </c>
      <c r="N1407" s="2">
        <f t="shared" si="106"/>
        <v>7</v>
      </c>
      <c r="O1407" s="2">
        <f t="shared" si="107"/>
        <v>1</v>
      </c>
      <c r="P1407" s="2" t="str">
        <f t="shared" si="108"/>
        <v>Late</v>
      </c>
      <c r="Q1407" s="2" t="str">
        <f>PROPER(SUBSTITUTE(TRIM([1]RawShipmentData!M1421)," ","-"))</f>
        <v>Delayed</v>
      </c>
      <c r="R1407" s="4">
        <f t="shared" si="109"/>
        <v>299</v>
      </c>
      <c r="S1407" s="2">
        <f>[1]RawShipmentData!N1421</f>
        <v>4</v>
      </c>
      <c r="T1407" s="2" t="str">
        <f>IF(OR(UPPER(TRIM([1]RawShipmentData!O1421))="YES",UPPER(TRIM([1]RawShipmentData!O1421))="Y"),"Yes","No")</f>
        <v>Yes</v>
      </c>
    </row>
    <row r="1408" spans="1:20" x14ac:dyDescent="0.25">
      <c r="A1408" s="2" t="str">
        <f>[1]RawShipmentData!A1422</f>
        <v>SHP-101191</v>
      </c>
      <c r="B1408" s="3">
        <f>IF(ISNUMBER(SEARCH("/",TRIM([1]RawShipmentData!B1422))),DATE(VALUE(RIGHT(TRIM([1]RawShipmentData!B1422),4)),VALUE(MID(TRIM([1]RawShipmentData!B1422),FIND("/",TRIM([1]RawShipmentData!B1422))+1,2)),VALUE(LEFT(TRIM([1]RawShipmentData!B1422),FIND("/",TRIM([1]RawShipmentData!B1422))-1))),DATEVALUE(TRIM([1]RawShipmentData!B1422)))</f>
        <v>45451</v>
      </c>
      <c r="C1408" s="2" t="str">
        <f>PROPER(TRIM([1]RawShipmentData!C1422))</f>
        <v>Delhi</v>
      </c>
      <c r="D1408" s="2" t="str">
        <f>IFERROR(INDEX([1]HubMaster!$B$2:$B$7,MATCH(C1408,[1]HubMaster!$A$2:$A$7,0)),"Unknown")</f>
        <v>North</v>
      </c>
      <c r="E1408" s="2" t="str">
        <f>PROPER(TRIM(SUBSTITUTE([1]RawShipmentData!D1422,"  "," ")))</f>
        <v>Xpressbees</v>
      </c>
      <c r="F1408" s="2" t="str">
        <f>PROPER(TRIM([1]RawShipmentData!E1422))</f>
        <v>Surface</v>
      </c>
      <c r="G1408" s="2" t="str">
        <f>PROPER(TRIM(SUBSTITUTE([1]RawShipmentData!F1422,"  "," ")))</f>
        <v>Electronics</v>
      </c>
      <c r="H1408" s="2" t="str">
        <f>PROPER(TRIM([1]RawShipmentData!G1422))</f>
        <v>West</v>
      </c>
      <c r="I1408" s="2" t="str">
        <f t="shared" si="105"/>
        <v>Yes</v>
      </c>
      <c r="J1408" s="2">
        <f>IFERROR(VALUE(TRIM(SUBSTITUTE(UPPER([1]RawShipmentData!I1408),"KG",""))),"")</f>
        <v>3.3</v>
      </c>
      <c r="K1408" s="2">
        <f>VALUE(SUBSTITUTE(SUBSTITUTE(SUBSTITUTE(TRIM([1]RawShipmentData!J1422),"₹",""),"Rs",""),",",""))</f>
        <v>366</v>
      </c>
      <c r="L1408" s="2">
        <f>[1]RawShipmentData!K1422</f>
        <v>6</v>
      </c>
      <c r="M1408" s="3">
        <f>IF(TRIM([1]RawShipmentData!L1422)="","",IF(ISNUMBER(SEARCH("/",TRIM([1]RawShipmentData!L1422))),DATE(VALUE(RIGHT(TRIM([1]RawShipmentData!L1422),4)),VALUE(MID(TRIM([1]RawShipmentData!L1422),FIND("/",TRIM([1]RawShipmentData!L1422))+1,2)),VALUE(LEFT(TRIM([1]RawShipmentData!L1422),FIND("/",TRIM([1]RawShipmentData!L1422))-1))),DATEVALUE(TRIM([1]RawShipmentData!L1422))))</f>
        <v>45459</v>
      </c>
      <c r="N1408" s="2">
        <f t="shared" si="106"/>
        <v>8</v>
      </c>
      <c r="O1408" s="2">
        <f t="shared" si="107"/>
        <v>2</v>
      </c>
      <c r="P1408" s="2" t="str">
        <f t="shared" si="108"/>
        <v>Late</v>
      </c>
      <c r="Q1408" s="2" t="str">
        <f>PROPER(SUBSTITUTE(TRIM([1]RawShipmentData!M1422)," ","-"))</f>
        <v>Delayed</v>
      </c>
      <c r="R1408" s="4">
        <f t="shared" si="109"/>
        <v>110.90909090909092</v>
      </c>
      <c r="S1408" s="2">
        <f>[1]RawShipmentData!N1422</f>
        <v>5</v>
      </c>
      <c r="T1408" s="2" t="str">
        <f>IF(OR(UPPER(TRIM([1]RawShipmentData!O1422))="YES",UPPER(TRIM([1]RawShipmentData!O1422))="Y"),"Yes","No")</f>
        <v>Yes</v>
      </c>
    </row>
    <row r="1409" spans="1:20" x14ac:dyDescent="0.25">
      <c r="A1409" s="2" t="str">
        <f>[1]RawShipmentData!A1423</f>
        <v>SHP-101254</v>
      </c>
      <c r="B1409" s="3">
        <f>IF(ISNUMBER(SEARCH("/",TRIM([1]RawShipmentData!B1423))),DATE(VALUE(RIGHT(TRIM([1]RawShipmentData!B1423),4)),VALUE(MID(TRIM([1]RawShipmentData!B1423),FIND("/",TRIM([1]RawShipmentData!B1423))+1,2)),VALUE(LEFT(TRIM([1]RawShipmentData!B1423),FIND("/",TRIM([1]RawShipmentData!B1423))-1))),DATEVALUE(TRIM([1]RawShipmentData!B1423)))</f>
        <v>45305</v>
      </c>
      <c r="C1409" s="2" t="str">
        <f>PROPER(TRIM([1]RawShipmentData!C1423))</f>
        <v>Mumbai</v>
      </c>
      <c r="D1409" s="2" t="str">
        <f>IFERROR(INDEX([1]HubMaster!$B$2:$B$7,MATCH(C1409,[1]HubMaster!$A$2:$A$7,0)),"Unknown")</f>
        <v>West</v>
      </c>
      <c r="E1409" s="2" t="str">
        <f>PROPER(TRIM(SUBSTITUTE([1]RawShipmentData!D1423,"  "," ")))</f>
        <v>Xpressbees</v>
      </c>
      <c r="F1409" s="2" t="str">
        <f>PROPER(TRIM([1]RawShipmentData!E1423))</f>
        <v>Surface</v>
      </c>
      <c r="G1409" s="2" t="str">
        <f>PROPER(TRIM(SUBSTITUTE([1]RawShipmentData!F1423,"  "," ")))</f>
        <v>Automotive Parts</v>
      </c>
      <c r="H1409" s="2" t="str">
        <f>PROPER(TRIM([1]RawShipmentData!G1423))</f>
        <v>South</v>
      </c>
      <c r="I1409" s="2" t="str">
        <f t="shared" si="105"/>
        <v>Yes</v>
      </c>
      <c r="J1409" s="2">
        <f>IFERROR(VALUE(TRIM(SUBSTITUTE(UPPER([1]RawShipmentData!I1409),"KG",""))),"")</f>
        <v>2.8</v>
      </c>
      <c r="K1409" s="2">
        <f>VALUE(SUBSTITUTE(SUBSTITUTE(SUBSTITUTE(TRIM([1]RawShipmentData!J1423),"₹",""),"Rs",""),",",""))</f>
        <v>727</v>
      </c>
      <c r="L1409" s="2">
        <f>[1]RawShipmentData!K1423</f>
        <v>6</v>
      </c>
      <c r="M1409" s="3">
        <f>IF(TRIM([1]RawShipmentData!L1423)="","",IF(ISNUMBER(SEARCH("/",TRIM([1]RawShipmentData!L1423))),DATE(VALUE(RIGHT(TRIM([1]RawShipmentData!L1423),4)),VALUE(MID(TRIM([1]RawShipmentData!L1423),FIND("/",TRIM([1]RawShipmentData!L1423))+1,2)),VALUE(LEFT(TRIM([1]RawShipmentData!L1423),FIND("/",TRIM([1]RawShipmentData!L1423))-1))),DATEVALUE(TRIM([1]RawShipmentData!L1423))))</f>
        <v>45311</v>
      </c>
      <c r="N1409" s="2">
        <f t="shared" si="106"/>
        <v>6</v>
      </c>
      <c r="O1409" s="2">
        <f t="shared" si="107"/>
        <v>0</v>
      </c>
      <c r="P1409" s="2" t="str">
        <f t="shared" si="108"/>
        <v>On Time</v>
      </c>
      <c r="Q1409" s="2" t="str">
        <f>PROPER(SUBSTITUTE(TRIM([1]RawShipmentData!M1423)," ","-"))</f>
        <v>Delivered</v>
      </c>
      <c r="R1409" s="4">
        <f t="shared" si="109"/>
        <v>259.64285714285717</v>
      </c>
      <c r="S1409" s="2">
        <f>[1]RawShipmentData!N1423</f>
        <v>1</v>
      </c>
      <c r="T1409" s="2" t="str">
        <f>IF(OR(UPPER(TRIM([1]RawShipmentData!O1423))="YES",UPPER(TRIM([1]RawShipmentData!O1423))="Y"),"Yes","No")</f>
        <v>Yes</v>
      </c>
    </row>
    <row r="1410" spans="1:20" x14ac:dyDescent="0.25">
      <c r="A1410" s="2" t="str">
        <f>[1]RawShipmentData!A1424</f>
        <v>SHP-100522</v>
      </c>
      <c r="B1410" s="3">
        <f>IF(ISNUMBER(SEARCH("/",TRIM([1]RawShipmentData!B1424))),DATE(VALUE(RIGHT(TRIM([1]RawShipmentData!B1424),4)),VALUE(MID(TRIM([1]RawShipmentData!B1424),FIND("/",TRIM([1]RawShipmentData!B1424))+1,2)),VALUE(LEFT(TRIM([1]RawShipmentData!B1424),FIND("/",TRIM([1]RawShipmentData!B1424))-1))),DATEVALUE(TRIM([1]RawShipmentData!B1424)))</f>
        <v>45437</v>
      </c>
      <c r="C1410" s="2" t="str">
        <f>PROPER(TRIM([1]RawShipmentData!C1424))</f>
        <v>Hyderabad</v>
      </c>
      <c r="D1410" s="2" t="str">
        <f>IFERROR(INDEX([1]HubMaster!$B$2:$B$7,MATCH(C1410,[1]HubMaster!$A$2:$A$7,0)),"Unknown")</f>
        <v>West</v>
      </c>
      <c r="E1410" s="2" t="str">
        <f>PROPER(TRIM(SUBSTITUTE([1]RawShipmentData!D1424,"  "," ")))</f>
        <v>Dtdc</v>
      </c>
      <c r="F1410" s="2" t="str">
        <f>PROPER(TRIM([1]RawShipmentData!E1424))</f>
        <v>Road</v>
      </c>
      <c r="G1410" s="2" t="str">
        <f>PROPER(TRIM(SUBSTITUTE([1]RawShipmentData!F1424,"  "," ")))</f>
        <v>Furniture</v>
      </c>
      <c r="H1410" s="2" t="str">
        <f>PROPER(TRIM([1]RawShipmentData!G1424))</f>
        <v>West</v>
      </c>
      <c r="I1410" s="2" t="str">
        <f t="shared" ref="I1410:I1473" si="110">IF(D1410=H1410,"No","Yes")</f>
        <v>No</v>
      </c>
      <c r="J1410" s="2">
        <f>IFERROR(VALUE(TRIM(SUBSTITUTE(UPPER([1]RawShipmentData!I1410),"KG",""))),"")</f>
        <v>12.6</v>
      </c>
      <c r="K1410" s="2">
        <f>VALUE(SUBSTITUTE(SUBSTITUTE(SUBSTITUTE(TRIM([1]RawShipmentData!J1424),"₹",""),"Rs",""),",",""))</f>
        <v>762</v>
      </c>
      <c r="L1410" s="2">
        <f>[1]RawShipmentData!K1424</f>
        <v>6</v>
      </c>
      <c r="M1410" s="3">
        <f>IF(TRIM([1]RawShipmentData!L1424)="","",IF(ISNUMBER(SEARCH("/",TRIM([1]RawShipmentData!L1424))),DATE(VALUE(RIGHT(TRIM([1]RawShipmentData!L1424),4)),VALUE(MID(TRIM([1]RawShipmentData!L1424),FIND("/",TRIM([1]RawShipmentData!L1424))+1,2)),VALUE(LEFT(TRIM([1]RawShipmentData!L1424),FIND("/",TRIM([1]RawShipmentData!L1424))-1))),DATEVALUE(TRIM([1]RawShipmentData!L1424))))</f>
        <v>45445</v>
      </c>
      <c r="N1410" s="2">
        <f t="shared" ref="N1410:N1473" si="111">IF(M1410="","",M1410-B1410)</f>
        <v>8</v>
      </c>
      <c r="O1410" s="2">
        <f t="shared" ref="O1410:O1473" si="112">IF(N1410="","",N1410-L1410)</f>
        <v>2</v>
      </c>
      <c r="P1410" s="2" t="str">
        <f t="shared" ref="P1410:P1473" si="113">IF(N1410="","N/A",IF(N1410&lt;=L1410,"On Time","Late"))</f>
        <v>Late</v>
      </c>
      <c r="Q1410" s="2" t="str">
        <f>PROPER(SUBSTITUTE(TRIM([1]RawShipmentData!M1424)," ","-"))</f>
        <v>Delayed</v>
      </c>
      <c r="R1410" s="4">
        <f t="shared" si="109"/>
        <v>60.476190476190474</v>
      </c>
      <c r="S1410" s="2">
        <f>[1]RawShipmentData!N1424</f>
        <v>3</v>
      </c>
      <c r="T1410" s="2" t="str">
        <f>IF(OR(UPPER(TRIM([1]RawShipmentData!O1424))="YES",UPPER(TRIM([1]RawShipmentData!O1424))="Y"),"Yes","No")</f>
        <v>No</v>
      </c>
    </row>
    <row r="1411" spans="1:20" x14ac:dyDescent="0.25">
      <c r="A1411" s="2" t="str">
        <f>[1]RawShipmentData!A1425</f>
        <v>SHP-100614</v>
      </c>
      <c r="B1411" s="3">
        <f>IF(ISNUMBER(SEARCH("/",TRIM([1]RawShipmentData!B1425))),DATE(VALUE(RIGHT(TRIM([1]RawShipmentData!B1425),4)),VALUE(MID(TRIM([1]RawShipmentData!B1425),FIND("/",TRIM([1]RawShipmentData!B1425))+1,2)),VALUE(LEFT(TRIM([1]RawShipmentData!B1425),FIND("/",TRIM([1]RawShipmentData!B1425))-1))),DATEVALUE(TRIM([1]RawShipmentData!B1425)))</f>
        <v>45446</v>
      </c>
      <c r="C1411" s="2" t="str">
        <f>PROPER(TRIM([1]RawShipmentData!C1425))</f>
        <v>Delhi</v>
      </c>
      <c r="D1411" s="2" t="str">
        <f>IFERROR(INDEX([1]HubMaster!$B$2:$B$7,MATCH(C1411,[1]HubMaster!$A$2:$A$7,0)),"Unknown")</f>
        <v>North</v>
      </c>
      <c r="E1411" s="2" t="str">
        <f>PROPER(TRIM(SUBSTITUTE([1]RawShipmentData!D1425,"  "," ")))</f>
        <v>Delhivery</v>
      </c>
      <c r="F1411" s="2" t="str">
        <f>PROPER(TRIM([1]RawShipmentData!E1425))</f>
        <v>Air</v>
      </c>
      <c r="G1411" s="2" t="str">
        <f>PROPER(TRIM(SUBSTITUTE([1]RawShipmentData!F1425,"  "," ")))</f>
        <v>Automotive Parts</v>
      </c>
      <c r="H1411" s="2" t="str">
        <f>PROPER(TRIM([1]RawShipmentData!G1425))</f>
        <v>East</v>
      </c>
      <c r="I1411" s="2" t="str">
        <f t="shared" si="110"/>
        <v>Yes</v>
      </c>
      <c r="J1411" s="2">
        <f>IFERROR(VALUE(TRIM(SUBSTITUTE(UPPER([1]RawShipmentData!I1411),"KG",""))),"")</f>
        <v>17.8</v>
      </c>
      <c r="K1411" s="2">
        <f>VALUE(SUBSTITUTE(SUBSTITUTE(SUBSTITUTE(TRIM([1]RawShipmentData!J1425),"₹",""),"Rs",""),",",""))</f>
        <v>1355</v>
      </c>
      <c r="L1411" s="2">
        <f>[1]RawShipmentData!K1425</f>
        <v>4</v>
      </c>
      <c r="M1411" s="3">
        <f>IF(TRIM([1]RawShipmentData!L1425)="","",IF(ISNUMBER(SEARCH("/",TRIM([1]RawShipmentData!L1425))),DATE(VALUE(RIGHT(TRIM([1]RawShipmentData!L1425),4)),VALUE(MID(TRIM([1]RawShipmentData!L1425),FIND("/",TRIM([1]RawShipmentData!L1425))+1,2)),VALUE(LEFT(TRIM([1]RawShipmentData!L1425),FIND("/",TRIM([1]RawShipmentData!L1425))-1))),DATEVALUE(TRIM([1]RawShipmentData!L1425))))</f>
        <v>45449</v>
      </c>
      <c r="N1411" s="2">
        <f t="shared" si="111"/>
        <v>3</v>
      </c>
      <c r="O1411" s="2">
        <f t="shared" si="112"/>
        <v>-1</v>
      </c>
      <c r="P1411" s="2" t="str">
        <f t="shared" si="113"/>
        <v>On Time</v>
      </c>
      <c r="Q1411" s="2" t="str">
        <f>PROPER(SUBSTITUTE(TRIM([1]RawShipmentData!M1425)," ","-"))</f>
        <v>Delivered</v>
      </c>
      <c r="R1411" s="4">
        <f t="shared" ref="R1411:R1474" si="114">IFERROR(K1411/J1411,"")</f>
        <v>76.123595505617971</v>
      </c>
      <c r="S1411" s="2">
        <f>[1]RawShipmentData!N1425</f>
        <v>5</v>
      </c>
      <c r="T1411" s="2" t="str">
        <f>IF(OR(UPPER(TRIM([1]RawShipmentData!O1425))="YES",UPPER(TRIM([1]RawShipmentData!O1425))="Y"),"Yes","No")</f>
        <v>No</v>
      </c>
    </row>
    <row r="1412" spans="1:20" x14ac:dyDescent="0.25">
      <c r="A1412" s="2" t="str">
        <f>[1]RawShipmentData!A1426</f>
        <v>SHP-100269</v>
      </c>
      <c r="B1412" s="3">
        <f>IF(ISNUMBER(SEARCH("/",TRIM([1]RawShipmentData!B1426))),DATE(VALUE(RIGHT(TRIM([1]RawShipmentData!B1426),4)),VALUE(MID(TRIM([1]RawShipmentData!B1426),FIND("/",TRIM([1]RawShipmentData!B1426))+1,2)),VALUE(LEFT(TRIM([1]RawShipmentData!B1426),FIND("/",TRIM([1]RawShipmentData!B1426))-1))),DATEVALUE(TRIM([1]RawShipmentData!B1426)))</f>
        <v>45408</v>
      </c>
      <c r="C1412" s="2" t="str">
        <f>PROPER(TRIM([1]RawShipmentData!C1426))</f>
        <v>Bengaluru</v>
      </c>
      <c r="D1412" s="2" t="str">
        <f>IFERROR(INDEX([1]HubMaster!$B$2:$B$7,MATCH(C1412,[1]HubMaster!$A$2:$A$7,0)),"Unknown")</f>
        <v>South</v>
      </c>
      <c r="E1412" s="2" t="str">
        <f>PROPER(TRIM(SUBSTITUTE([1]RawShipmentData!D1426,"  "," ")))</f>
        <v>Xpressbees</v>
      </c>
      <c r="F1412" s="2" t="str">
        <f>PROPER(TRIM([1]RawShipmentData!E1426))</f>
        <v>Air</v>
      </c>
      <c r="G1412" s="2" t="str">
        <f>PROPER(TRIM(SUBSTITUTE([1]RawShipmentData!F1426,"  "," ")))</f>
        <v>Pharma</v>
      </c>
      <c r="H1412" s="2" t="str">
        <f>PROPER(TRIM([1]RawShipmentData!G1426))</f>
        <v>North</v>
      </c>
      <c r="I1412" s="2" t="str">
        <f t="shared" si="110"/>
        <v>Yes</v>
      </c>
      <c r="J1412" s="2">
        <f>IFERROR(VALUE(TRIM(SUBSTITUTE(UPPER([1]RawShipmentData!I1412),"KG",""))),"")</f>
        <v>2.9</v>
      </c>
      <c r="K1412" s="2">
        <f>VALUE(SUBSTITUTE(SUBSTITUTE(SUBSTITUTE(TRIM([1]RawShipmentData!J1426),"₹",""),"Rs",""),",",""))</f>
        <v>159</v>
      </c>
      <c r="L1412" s="2">
        <f>[1]RawShipmentData!K1426</f>
        <v>4</v>
      </c>
      <c r="M1412" s="3">
        <f>IF(TRIM([1]RawShipmentData!L1426)="","",IF(ISNUMBER(SEARCH("/",TRIM([1]RawShipmentData!L1426))),DATE(VALUE(RIGHT(TRIM([1]RawShipmentData!L1426),4)),VALUE(MID(TRIM([1]RawShipmentData!L1426),FIND("/",TRIM([1]RawShipmentData!L1426))+1,2)),VALUE(LEFT(TRIM([1]RawShipmentData!L1426),FIND("/",TRIM([1]RawShipmentData!L1426))-1))),DATEVALUE(TRIM([1]RawShipmentData!L1426))))</f>
        <v>45413</v>
      </c>
      <c r="N1412" s="2">
        <f t="shared" si="111"/>
        <v>5</v>
      </c>
      <c r="O1412" s="2">
        <f t="shared" si="112"/>
        <v>1</v>
      </c>
      <c r="P1412" s="2" t="str">
        <f t="shared" si="113"/>
        <v>Late</v>
      </c>
      <c r="Q1412" s="2" t="str">
        <f>PROPER(SUBSTITUTE(TRIM([1]RawShipmentData!M1426)," ","-"))</f>
        <v>Delayed</v>
      </c>
      <c r="R1412" s="4">
        <f t="shared" si="114"/>
        <v>54.827586206896555</v>
      </c>
      <c r="S1412" s="2">
        <f>[1]RawShipmentData!N1426</f>
        <v>3</v>
      </c>
      <c r="T1412" s="2" t="str">
        <f>IF(OR(UPPER(TRIM([1]RawShipmentData!O1426))="YES",UPPER(TRIM([1]RawShipmentData!O1426))="Y"),"Yes","No")</f>
        <v>No</v>
      </c>
    </row>
    <row r="1413" spans="1:20" x14ac:dyDescent="0.25">
      <c r="A1413" s="2" t="str">
        <f>[1]RawShipmentData!A1427</f>
        <v>SHP-101346</v>
      </c>
      <c r="B1413" s="3">
        <f>IF(ISNUMBER(SEARCH("/",TRIM([1]RawShipmentData!B1427))),DATE(VALUE(RIGHT(TRIM([1]RawShipmentData!B1427),4)),VALUE(MID(TRIM([1]RawShipmentData!B1427),FIND("/",TRIM([1]RawShipmentData!B1427))+1,2)),VALUE(LEFT(TRIM([1]RawShipmentData!B1427),FIND("/",TRIM([1]RawShipmentData!B1427))-1))),DATEVALUE(TRIM([1]RawShipmentData!B1427)))</f>
        <v>45385</v>
      </c>
      <c r="C1413" s="2" t="str">
        <f>PROPER(TRIM([1]RawShipmentData!C1427))</f>
        <v>Kolkata</v>
      </c>
      <c r="D1413" s="2" t="str">
        <f>IFERROR(INDEX([1]HubMaster!$B$2:$B$7,MATCH(C1413,[1]HubMaster!$A$2:$A$7,0)),"Unknown")</f>
        <v>East</v>
      </c>
      <c r="E1413" s="2" t="str">
        <f>PROPER(TRIM(SUBSTITUTE([1]RawShipmentData!D1427,"  "," ")))</f>
        <v>Xpress Bees</v>
      </c>
      <c r="F1413" s="2" t="str">
        <f>PROPER(TRIM([1]RawShipmentData!E1427))</f>
        <v>Road</v>
      </c>
      <c r="G1413" s="2" t="str">
        <f>PROPER(TRIM(SUBSTITUTE([1]RawShipmentData!F1427,"  "," ")))</f>
        <v>Automotive Parts</v>
      </c>
      <c r="H1413" s="2" t="str">
        <f>PROPER(TRIM([1]RawShipmentData!G1427))</f>
        <v>East</v>
      </c>
      <c r="I1413" s="2" t="str">
        <f t="shared" si="110"/>
        <v>No</v>
      </c>
      <c r="J1413" s="2">
        <f>IFERROR(VALUE(TRIM(SUBSTITUTE(UPPER([1]RawShipmentData!I1413),"KG",""))),"")</f>
        <v>0.7</v>
      </c>
      <c r="K1413" s="2">
        <f>VALUE(SUBSTITUTE(SUBSTITUTE(SUBSTITUTE(TRIM([1]RawShipmentData!J1427),"₹",""),"Rs",""),",",""))</f>
        <v>322</v>
      </c>
      <c r="L1413" s="2">
        <f>[1]RawShipmentData!K1427</f>
        <v>6</v>
      </c>
      <c r="M1413" s="3">
        <f>IF(TRIM([1]RawShipmentData!L1427)="","",IF(ISNUMBER(SEARCH("/",TRIM([1]RawShipmentData!L1427))),DATE(VALUE(RIGHT(TRIM([1]RawShipmentData!L1427),4)),VALUE(MID(TRIM([1]RawShipmentData!L1427),FIND("/",TRIM([1]RawShipmentData!L1427))+1,2)),VALUE(LEFT(TRIM([1]RawShipmentData!L1427),FIND("/",TRIM([1]RawShipmentData!L1427))-1))),DATEVALUE(TRIM([1]RawShipmentData!L1427))))</f>
        <v>45390</v>
      </c>
      <c r="N1413" s="2">
        <f t="shared" si="111"/>
        <v>5</v>
      </c>
      <c r="O1413" s="2">
        <f t="shared" si="112"/>
        <v>-1</v>
      </c>
      <c r="P1413" s="2" t="str">
        <f t="shared" si="113"/>
        <v>On Time</v>
      </c>
      <c r="Q1413" s="2" t="str">
        <f>PROPER(SUBSTITUTE(TRIM([1]RawShipmentData!M1427)," ","-"))</f>
        <v>Delivered</v>
      </c>
      <c r="R1413" s="4">
        <f t="shared" si="114"/>
        <v>460.00000000000006</v>
      </c>
      <c r="S1413" s="2">
        <f>[1]RawShipmentData!N1427</f>
        <v>5</v>
      </c>
      <c r="T1413" s="2" t="str">
        <f>IF(OR(UPPER(TRIM([1]RawShipmentData!O1427))="YES",UPPER(TRIM([1]RawShipmentData!O1427))="Y"),"Yes","No")</f>
        <v>No</v>
      </c>
    </row>
    <row r="1414" spans="1:20" x14ac:dyDescent="0.25">
      <c r="A1414" s="2" t="str">
        <f>[1]RawShipmentData!A1428</f>
        <v>SHP-100840</v>
      </c>
      <c r="B1414" s="3">
        <f>IF(ISNUMBER(SEARCH("/",TRIM([1]RawShipmentData!B1428))),DATE(VALUE(RIGHT(TRIM([1]RawShipmentData!B1428),4)),VALUE(MID(TRIM([1]RawShipmentData!B1428),FIND("/",TRIM([1]RawShipmentData!B1428))+1,2)),VALUE(LEFT(TRIM([1]RawShipmentData!B1428),FIND("/",TRIM([1]RawShipmentData!B1428))-1))),DATEVALUE(TRIM([1]RawShipmentData!B1428)))</f>
        <v>45311</v>
      </c>
      <c r="C1414" s="2" t="str">
        <f>PROPER(TRIM([1]RawShipmentData!C1428))</f>
        <v>Delhi</v>
      </c>
      <c r="D1414" s="2" t="str">
        <f>IFERROR(INDEX([1]HubMaster!$B$2:$B$7,MATCH(C1414,[1]HubMaster!$A$2:$A$7,0)),"Unknown")</f>
        <v>North</v>
      </c>
      <c r="E1414" s="2" t="str">
        <f>PROPER(TRIM(SUBSTITUTE([1]RawShipmentData!D1428,"  "," ")))</f>
        <v>Bluedart</v>
      </c>
      <c r="F1414" s="2" t="str">
        <f>PROPER(TRIM([1]RawShipmentData!E1428))</f>
        <v>Air</v>
      </c>
      <c r="G1414" s="2" t="str">
        <f>PROPER(TRIM(SUBSTITUTE([1]RawShipmentData!F1428,"  "," ")))</f>
        <v>Apparel</v>
      </c>
      <c r="H1414" s="2" t="str">
        <f>PROPER(TRIM([1]RawShipmentData!G1428))</f>
        <v>South</v>
      </c>
      <c r="I1414" s="2" t="str">
        <f t="shared" si="110"/>
        <v>Yes</v>
      </c>
      <c r="J1414" s="2">
        <f>IFERROR(VALUE(TRIM(SUBSTITUTE(UPPER([1]RawShipmentData!I1414),"KG",""))),"")</f>
        <v>15.3</v>
      </c>
      <c r="K1414" s="2">
        <f>VALUE(SUBSTITUTE(SUBSTITUTE(SUBSTITUTE(TRIM([1]RawShipmentData!J1428),"₹",""),"Rs",""),",",""))</f>
        <v>518</v>
      </c>
      <c r="L1414" s="2">
        <f>[1]RawShipmentData!K1428</f>
        <v>4</v>
      </c>
      <c r="M1414" s="3">
        <f>IF(TRIM([1]RawShipmentData!L1428)="","",IF(ISNUMBER(SEARCH("/",TRIM([1]RawShipmentData!L1428))),DATE(VALUE(RIGHT(TRIM([1]RawShipmentData!L1428),4)),VALUE(MID(TRIM([1]RawShipmentData!L1428),FIND("/",TRIM([1]RawShipmentData!L1428))+1,2)),VALUE(LEFT(TRIM([1]RawShipmentData!L1428),FIND("/",TRIM([1]RawShipmentData!L1428))-1))),DATEVALUE(TRIM([1]RawShipmentData!L1428))))</f>
        <v>45314</v>
      </c>
      <c r="N1414" s="2">
        <f t="shared" si="111"/>
        <v>3</v>
      </c>
      <c r="O1414" s="2">
        <f t="shared" si="112"/>
        <v>-1</v>
      </c>
      <c r="P1414" s="2" t="str">
        <f t="shared" si="113"/>
        <v>On Time</v>
      </c>
      <c r="Q1414" s="2" t="str">
        <f>PROPER(SUBSTITUTE(TRIM([1]RawShipmentData!M1428)," ","-"))</f>
        <v>Delivered</v>
      </c>
      <c r="R1414" s="4">
        <f t="shared" si="114"/>
        <v>33.856209150326798</v>
      </c>
      <c r="S1414" s="2">
        <f>[1]RawShipmentData!N1428</f>
        <v>2</v>
      </c>
      <c r="T1414" s="2" t="str">
        <f>IF(OR(UPPER(TRIM([1]RawShipmentData!O1428))="YES",UPPER(TRIM([1]RawShipmentData!O1428))="Y"),"Yes","No")</f>
        <v>No</v>
      </c>
    </row>
    <row r="1415" spans="1:20" x14ac:dyDescent="0.25">
      <c r="A1415" s="2" t="str">
        <f>[1]RawShipmentData!A1429</f>
        <v>SHP-101213</v>
      </c>
      <c r="B1415" s="3">
        <f>IF(ISNUMBER(SEARCH("/",TRIM([1]RawShipmentData!B1429))),DATE(VALUE(RIGHT(TRIM([1]RawShipmentData!B1429),4)),VALUE(MID(TRIM([1]RawShipmentData!B1429),FIND("/",TRIM([1]RawShipmentData!B1429))+1,2)),VALUE(LEFT(TRIM([1]RawShipmentData!B1429),FIND("/",TRIM([1]RawShipmentData!B1429))-1))),DATEVALUE(TRIM([1]RawShipmentData!B1429)))</f>
        <v>45466</v>
      </c>
      <c r="C1415" s="2" t="str">
        <f>PROPER(TRIM([1]RawShipmentData!C1429))</f>
        <v>Kolkata</v>
      </c>
      <c r="D1415" s="2" t="str">
        <f>IFERROR(INDEX([1]HubMaster!$B$2:$B$7,MATCH(C1415,[1]HubMaster!$A$2:$A$7,0)),"Unknown")</f>
        <v>East</v>
      </c>
      <c r="E1415" s="2" t="str">
        <f>PROPER(TRIM(SUBSTITUTE([1]RawShipmentData!D1429,"  "," ")))</f>
        <v>Delhivery</v>
      </c>
      <c r="F1415" s="2" t="str">
        <f>PROPER(TRIM([1]RawShipmentData!E1429))</f>
        <v>Road</v>
      </c>
      <c r="G1415" s="2" t="str">
        <f>PROPER(TRIM(SUBSTITUTE([1]RawShipmentData!F1429,"  "," ")))</f>
        <v>Apparel</v>
      </c>
      <c r="H1415" s="2" t="str">
        <f>PROPER(TRIM([1]RawShipmentData!G1429))</f>
        <v>West</v>
      </c>
      <c r="I1415" s="2" t="str">
        <f t="shared" si="110"/>
        <v>Yes</v>
      </c>
      <c r="J1415" s="2">
        <f>IFERROR(VALUE(TRIM(SUBSTITUTE(UPPER([1]RawShipmentData!I1415),"KG",""))),"")</f>
        <v>8.9</v>
      </c>
      <c r="K1415" s="2">
        <f>VALUE(SUBSTITUTE(SUBSTITUTE(SUBSTITUTE(TRIM([1]RawShipmentData!J1429),"₹",""),"Rs",""),",",""))</f>
        <v>219</v>
      </c>
      <c r="L1415" s="2">
        <f>[1]RawShipmentData!K1429</f>
        <v>8</v>
      </c>
      <c r="M1415" s="3">
        <f>IF(TRIM([1]RawShipmentData!L1429)="","",IF(ISNUMBER(SEARCH("/",TRIM([1]RawShipmentData!L1429))),DATE(VALUE(RIGHT(TRIM([1]RawShipmentData!L1429),4)),VALUE(MID(TRIM([1]RawShipmentData!L1429),FIND("/",TRIM([1]RawShipmentData!L1429))+1,2)),VALUE(LEFT(TRIM([1]RawShipmentData!L1429),FIND("/",TRIM([1]RawShipmentData!L1429))-1))),DATEVALUE(TRIM([1]RawShipmentData!L1429))))</f>
        <v>45474</v>
      </c>
      <c r="N1415" s="2">
        <f t="shared" si="111"/>
        <v>8</v>
      </c>
      <c r="O1415" s="2">
        <f t="shared" si="112"/>
        <v>0</v>
      </c>
      <c r="P1415" s="2" t="str">
        <f t="shared" si="113"/>
        <v>On Time</v>
      </c>
      <c r="Q1415" s="2" t="str">
        <f>PROPER(SUBSTITUTE(TRIM([1]RawShipmentData!M1429)," ","-"))</f>
        <v>Delivered</v>
      </c>
      <c r="R1415" s="4">
        <f t="shared" si="114"/>
        <v>24.606741573033705</v>
      </c>
      <c r="S1415" s="2">
        <f>[1]RawShipmentData!N1429</f>
        <v>5</v>
      </c>
      <c r="T1415" s="2" t="str">
        <f>IF(OR(UPPER(TRIM([1]RawShipmentData!O1429))="YES",UPPER(TRIM([1]RawShipmentData!O1429))="Y"),"Yes","No")</f>
        <v>Yes</v>
      </c>
    </row>
    <row r="1416" spans="1:20" x14ac:dyDescent="0.25">
      <c r="A1416" s="2" t="str">
        <f>[1]RawShipmentData!A1430</f>
        <v>SHP-100867</v>
      </c>
      <c r="B1416" s="3">
        <f>IF(ISNUMBER(SEARCH("/",TRIM([1]RawShipmentData!B1430))),DATE(VALUE(RIGHT(TRIM([1]RawShipmentData!B1430),4)),VALUE(MID(TRIM([1]RawShipmentData!B1430),FIND("/",TRIM([1]RawShipmentData!B1430))+1,2)),VALUE(LEFT(TRIM([1]RawShipmentData!B1430),FIND("/",TRIM([1]RawShipmentData!B1430))-1))),DATEVALUE(TRIM([1]RawShipmentData!B1430)))</f>
        <v>45371</v>
      </c>
      <c r="C1416" s="2" t="str">
        <f>PROPER(TRIM([1]RawShipmentData!C1430))</f>
        <v>Chennai</v>
      </c>
      <c r="D1416" s="2" t="str">
        <f>IFERROR(INDEX([1]HubMaster!$B$2:$B$7,MATCH(C1416,[1]HubMaster!$A$2:$A$7,0)),"Unknown")</f>
        <v>South</v>
      </c>
      <c r="E1416" s="2" t="str">
        <f>PROPER(TRIM(SUBSTITUTE([1]RawShipmentData!D1430,"  "," ")))</f>
        <v>Xpressbees</v>
      </c>
      <c r="F1416" s="2" t="str">
        <f>PROPER(TRIM([1]RawShipmentData!E1430))</f>
        <v>Surface</v>
      </c>
      <c r="G1416" s="2" t="str">
        <f>PROPER(TRIM(SUBSTITUTE([1]RawShipmentData!F1430,"  "," ")))</f>
        <v>Electronics</v>
      </c>
      <c r="H1416" s="2" t="str">
        <f>PROPER(TRIM([1]RawShipmentData!G1430))</f>
        <v>East</v>
      </c>
      <c r="I1416" s="2" t="str">
        <f t="shared" si="110"/>
        <v>Yes</v>
      </c>
      <c r="J1416" s="2">
        <f>IFERROR(VALUE(TRIM(SUBSTITUTE(UPPER([1]RawShipmentData!I1416),"KG",""))),"")</f>
        <v>13.2</v>
      </c>
      <c r="K1416" s="2">
        <f>VALUE(SUBSTITUTE(SUBSTITUTE(SUBSTITUTE(TRIM([1]RawShipmentData!J1430),"₹",""),"Rs",""),",",""))</f>
        <v>429</v>
      </c>
      <c r="L1416" s="2">
        <f>[1]RawShipmentData!K1430</f>
        <v>6</v>
      </c>
      <c r="M1416" s="3">
        <f>IF(TRIM([1]RawShipmentData!L1430)="","",IF(ISNUMBER(SEARCH("/",TRIM([1]RawShipmentData!L1430))),DATE(VALUE(RIGHT(TRIM([1]RawShipmentData!L1430),4)),VALUE(MID(TRIM([1]RawShipmentData!L1430),FIND("/",TRIM([1]RawShipmentData!L1430))+1,2)),VALUE(LEFT(TRIM([1]RawShipmentData!L1430),FIND("/",TRIM([1]RawShipmentData!L1430))-1))),DATEVALUE(TRIM([1]RawShipmentData!L1430))))</f>
        <v>45376</v>
      </c>
      <c r="N1416" s="2">
        <f t="shared" si="111"/>
        <v>5</v>
      </c>
      <c r="O1416" s="2">
        <f t="shared" si="112"/>
        <v>-1</v>
      </c>
      <c r="P1416" s="2" t="str">
        <f t="shared" si="113"/>
        <v>On Time</v>
      </c>
      <c r="Q1416" s="2" t="str">
        <f>PROPER(SUBSTITUTE(TRIM([1]RawShipmentData!M1430)," ","-"))</f>
        <v>Delivered</v>
      </c>
      <c r="R1416" s="4">
        <f t="shared" si="114"/>
        <v>32.5</v>
      </c>
      <c r="S1416" s="2">
        <f>[1]RawShipmentData!N1430</f>
        <v>5</v>
      </c>
      <c r="T1416" s="2" t="str">
        <f>IF(OR(UPPER(TRIM([1]RawShipmentData!O1430))="YES",UPPER(TRIM([1]RawShipmentData!O1430))="Y"),"Yes","No")</f>
        <v>Yes</v>
      </c>
    </row>
    <row r="1417" spans="1:20" x14ac:dyDescent="0.25">
      <c r="A1417" s="2" t="str">
        <f>[1]RawShipmentData!A1431</f>
        <v>SHP-101001</v>
      </c>
      <c r="B1417" s="3">
        <f>IF(ISNUMBER(SEARCH("/",TRIM([1]RawShipmentData!B1431))),DATE(VALUE(RIGHT(TRIM([1]RawShipmentData!B1431),4)),VALUE(MID(TRIM([1]RawShipmentData!B1431),FIND("/",TRIM([1]RawShipmentData!B1431))+1,2)),VALUE(LEFT(TRIM([1]RawShipmentData!B1431),FIND("/",TRIM([1]RawShipmentData!B1431))-1))),DATEVALUE(TRIM([1]RawShipmentData!B1431)))</f>
        <v>45369</v>
      </c>
      <c r="C1417" s="2" t="str">
        <f>PROPER(TRIM([1]RawShipmentData!C1431))</f>
        <v>Mumbai</v>
      </c>
      <c r="D1417" s="2" t="str">
        <f>IFERROR(INDEX([1]HubMaster!$B$2:$B$7,MATCH(C1417,[1]HubMaster!$A$2:$A$7,0)),"Unknown")</f>
        <v>West</v>
      </c>
      <c r="E1417" s="2" t="str">
        <f>PROPER(TRIM(SUBSTITUTE([1]RawShipmentData!D1431,"  "," ")))</f>
        <v>Dtdc</v>
      </c>
      <c r="F1417" s="2" t="str">
        <f>PROPER(TRIM([1]RawShipmentData!E1431))</f>
        <v>Road</v>
      </c>
      <c r="G1417" s="2" t="str">
        <f>PROPER(TRIM(SUBSTITUTE([1]RawShipmentData!F1431,"  "," ")))</f>
        <v/>
      </c>
      <c r="H1417" s="2" t="str">
        <f>PROPER(TRIM([1]RawShipmentData!G1431))</f>
        <v>East</v>
      </c>
      <c r="I1417" s="2" t="str">
        <f t="shared" si="110"/>
        <v>Yes</v>
      </c>
      <c r="J1417" s="2">
        <f>IFERROR(VALUE(TRIM(SUBSTITUTE(UPPER([1]RawShipmentData!I1417),"KG",""))),"")</f>
        <v>12.9</v>
      </c>
      <c r="K1417" s="2">
        <f>VALUE(SUBSTITUTE(SUBSTITUTE(SUBSTITUTE(TRIM([1]RawShipmentData!J1431),"₹",""),"Rs",""),",",""))</f>
        <v>207</v>
      </c>
      <c r="L1417" s="2">
        <f>[1]RawShipmentData!K1431</f>
        <v>8</v>
      </c>
      <c r="M1417" s="3">
        <f>IF(TRIM([1]RawShipmentData!L1431)="","",IF(ISNUMBER(SEARCH("/",TRIM([1]RawShipmentData!L1431))),DATE(VALUE(RIGHT(TRIM([1]RawShipmentData!L1431),4)),VALUE(MID(TRIM([1]RawShipmentData!L1431),FIND("/",TRIM([1]RawShipmentData!L1431))+1,2)),VALUE(LEFT(TRIM([1]RawShipmentData!L1431),FIND("/",TRIM([1]RawShipmentData!L1431))-1))),DATEVALUE(TRIM([1]RawShipmentData!L1431))))</f>
        <v>45384</v>
      </c>
      <c r="N1417" s="2">
        <f t="shared" si="111"/>
        <v>15</v>
      </c>
      <c r="O1417" s="2">
        <f t="shared" si="112"/>
        <v>7</v>
      </c>
      <c r="P1417" s="2" t="str">
        <f t="shared" si="113"/>
        <v>Late</v>
      </c>
      <c r="Q1417" s="2" t="str">
        <f>PROPER(SUBSTITUTE(TRIM([1]RawShipmentData!M1431)," ","-"))</f>
        <v>Delayed</v>
      </c>
      <c r="R1417" s="4">
        <f t="shared" si="114"/>
        <v>16.046511627906977</v>
      </c>
      <c r="S1417" s="2">
        <f>[1]RawShipmentData!N1431</f>
        <v>3</v>
      </c>
      <c r="T1417" s="2" t="str">
        <f>IF(OR(UPPER(TRIM([1]RawShipmentData!O1431))="YES",UPPER(TRIM([1]RawShipmentData!O1431))="Y"),"Yes","No")</f>
        <v>Yes</v>
      </c>
    </row>
    <row r="1418" spans="1:20" x14ac:dyDescent="0.25">
      <c r="A1418" s="2" t="str">
        <f>[1]RawShipmentData!A1432</f>
        <v>SHP-100362</v>
      </c>
      <c r="B1418" s="3">
        <f>IF(ISNUMBER(SEARCH("/",TRIM([1]RawShipmentData!B1432))),DATE(VALUE(RIGHT(TRIM([1]RawShipmentData!B1432),4)),VALUE(MID(TRIM([1]RawShipmentData!B1432),FIND("/",TRIM([1]RawShipmentData!B1432))+1,2)),VALUE(LEFT(TRIM([1]RawShipmentData!B1432),FIND("/",TRIM([1]RawShipmentData!B1432))-1))),DATEVALUE(TRIM([1]RawShipmentData!B1432)))</f>
        <v>45359</v>
      </c>
      <c r="C1418" s="2" t="str">
        <f>PROPER(TRIM([1]RawShipmentData!C1432))</f>
        <v>Mumbai</v>
      </c>
      <c r="D1418" s="2" t="str">
        <f>IFERROR(INDEX([1]HubMaster!$B$2:$B$7,MATCH(C1418,[1]HubMaster!$A$2:$A$7,0)),"Unknown")</f>
        <v>West</v>
      </c>
      <c r="E1418" s="2" t="str">
        <f>PROPER(TRIM(SUBSTITUTE([1]RawShipmentData!D1432,"  "," ")))</f>
        <v>Bluedart</v>
      </c>
      <c r="F1418" s="2" t="str">
        <f>PROPER(TRIM([1]RawShipmentData!E1432))</f>
        <v>Air</v>
      </c>
      <c r="G1418" s="2" t="str">
        <f>PROPER(TRIM(SUBSTITUTE([1]RawShipmentData!F1432,"  "," ")))</f>
        <v>Pharma</v>
      </c>
      <c r="H1418" s="2" t="str">
        <f>PROPER(TRIM([1]RawShipmentData!G1432))</f>
        <v>North</v>
      </c>
      <c r="I1418" s="2" t="str">
        <f t="shared" si="110"/>
        <v>Yes</v>
      </c>
      <c r="J1418" s="2">
        <f>IFERROR(VALUE(TRIM(SUBSTITUTE(UPPER([1]RawShipmentData!I1418),"KG",""))),"")</f>
        <v>4</v>
      </c>
      <c r="K1418" s="2">
        <f>VALUE(SUBSTITUTE(SUBSTITUTE(SUBSTITUTE(TRIM([1]RawShipmentData!J1432),"₹",""),"Rs",""),",",""))</f>
        <v>247</v>
      </c>
      <c r="L1418" s="2">
        <f>[1]RawShipmentData!K1432</f>
        <v>4</v>
      </c>
      <c r="M1418" s="3">
        <f>IF(TRIM([1]RawShipmentData!L1432)="","",IF(ISNUMBER(SEARCH("/",TRIM([1]RawShipmentData!L1432))),DATE(VALUE(RIGHT(TRIM([1]RawShipmentData!L1432),4)),VALUE(MID(TRIM([1]RawShipmentData!L1432),FIND("/",TRIM([1]RawShipmentData!L1432))+1,2)),VALUE(LEFT(TRIM([1]RawShipmentData!L1432),FIND("/",TRIM([1]RawShipmentData!L1432))-1))),DATEVALUE(TRIM([1]RawShipmentData!L1432))))</f>
        <v>45362</v>
      </c>
      <c r="N1418" s="2">
        <f t="shared" si="111"/>
        <v>3</v>
      </c>
      <c r="O1418" s="2">
        <f t="shared" si="112"/>
        <v>-1</v>
      </c>
      <c r="P1418" s="2" t="str">
        <f t="shared" si="113"/>
        <v>On Time</v>
      </c>
      <c r="Q1418" s="2" t="str">
        <f>PROPER(SUBSTITUTE(TRIM([1]RawShipmentData!M1432)," ","-"))</f>
        <v>Delivered</v>
      </c>
      <c r="R1418" s="4">
        <f t="shared" si="114"/>
        <v>61.75</v>
      </c>
      <c r="S1418" s="2">
        <f>[1]RawShipmentData!N1432</f>
        <v>4</v>
      </c>
      <c r="T1418" s="2" t="str">
        <f>IF(OR(UPPER(TRIM([1]RawShipmentData!O1432))="YES",UPPER(TRIM([1]RawShipmentData!O1432))="Y"),"Yes","No")</f>
        <v>Yes</v>
      </c>
    </row>
    <row r="1419" spans="1:20" x14ac:dyDescent="0.25">
      <c r="A1419" s="2" t="str">
        <f>[1]RawShipmentData!A1433</f>
        <v>SHP-100683</v>
      </c>
      <c r="B1419" s="3">
        <f>IF(ISNUMBER(SEARCH("/",TRIM([1]RawShipmentData!B1433))),DATE(VALUE(RIGHT(TRIM([1]RawShipmentData!B1433),4)),VALUE(MID(TRIM([1]RawShipmentData!B1433),FIND("/",TRIM([1]RawShipmentData!B1433))+1,2)),VALUE(LEFT(TRIM([1]RawShipmentData!B1433),FIND("/",TRIM([1]RawShipmentData!B1433))-1))),DATEVALUE(TRIM([1]RawShipmentData!B1433)))</f>
        <v>45360</v>
      </c>
      <c r="C1419" s="2" t="str">
        <f>PROPER(TRIM([1]RawShipmentData!C1433))</f>
        <v>Hyderabad</v>
      </c>
      <c r="D1419" s="2" t="str">
        <f>IFERROR(INDEX([1]HubMaster!$B$2:$B$7,MATCH(C1419,[1]HubMaster!$A$2:$A$7,0)),"Unknown")</f>
        <v>West</v>
      </c>
      <c r="E1419" s="2" t="str">
        <f>PROPER(TRIM(SUBSTITUTE([1]RawShipmentData!D1433,"  "," ")))</f>
        <v>Bluedart</v>
      </c>
      <c r="F1419" s="2" t="str">
        <f>PROPER(TRIM([1]RawShipmentData!E1433))</f>
        <v>Surface</v>
      </c>
      <c r="G1419" s="2" t="str">
        <f>PROPER(TRIM(SUBSTITUTE([1]RawShipmentData!F1433,"  "," ")))</f>
        <v>Automotive Parts</v>
      </c>
      <c r="H1419" s="2" t="str">
        <f>PROPER(TRIM([1]RawShipmentData!G1433))</f>
        <v>East</v>
      </c>
      <c r="I1419" s="2" t="str">
        <f t="shared" si="110"/>
        <v>Yes</v>
      </c>
      <c r="J1419" s="2">
        <f>IFERROR(VALUE(TRIM(SUBSTITUTE(UPPER([1]RawShipmentData!I1419),"KG",""))),"")</f>
        <v>6.4</v>
      </c>
      <c r="K1419" s="2">
        <f>VALUE(SUBSTITUTE(SUBSTITUTE(SUBSTITUTE(TRIM([1]RawShipmentData!J1433),"₹",""),"Rs",""),",",""))</f>
        <v>280</v>
      </c>
      <c r="L1419" s="2">
        <f>[1]RawShipmentData!K1433</f>
        <v>6</v>
      </c>
      <c r="M1419" s="3">
        <f>IF(TRIM([1]RawShipmentData!L1433)="","",IF(ISNUMBER(SEARCH("/",TRIM([1]RawShipmentData!L1433))),DATE(VALUE(RIGHT(TRIM([1]RawShipmentData!L1433),4)),VALUE(MID(TRIM([1]RawShipmentData!L1433),FIND("/",TRIM([1]RawShipmentData!L1433))+1,2)),VALUE(LEFT(TRIM([1]RawShipmentData!L1433),FIND("/",TRIM([1]RawShipmentData!L1433))-1))),DATEVALUE(TRIM([1]RawShipmentData!L1433))))</f>
        <v>45367</v>
      </c>
      <c r="N1419" s="2">
        <f t="shared" si="111"/>
        <v>7</v>
      </c>
      <c r="O1419" s="2">
        <f t="shared" si="112"/>
        <v>1</v>
      </c>
      <c r="P1419" s="2" t="str">
        <f t="shared" si="113"/>
        <v>Late</v>
      </c>
      <c r="Q1419" s="2" t="str">
        <f>PROPER(SUBSTITUTE(TRIM([1]RawShipmentData!M1433)," ","-"))</f>
        <v>Delayed</v>
      </c>
      <c r="R1419" s="4">
        <f t="shared" si="114"/>
        <v>43.75</v>
      </c>
      <c r="S1419" s="2">
        <f>[1]RawShipmentData!N1433</f>
        <v>3</v>
      </c>
      <c r="T1419" s="2" t="str">
        <f>IF(OR(UPPER(TRIM([1]RawShipmentData!O1433))="YES",UPPER(TRIM([1]RawShipmentData!O1433))="Y"),"Yes","No")</f>
        <v>Yes</v>
      </c>
    </row>
    <row r="1420" spans="1:20" x14ac:dyDescent="0.25">
      <c r="A1420" s="2" t="str">
        <f>[1]RawShipmentData!A1434</f>
        <v>SHP-100694</v>
      </c>
      <c r="B1420" s="3">
        <f>IF(ISNUMBER(SEARCH("/",TRIM([1]RawShipmentData!B1434))),DATE(VALUE(RIGHT(TRIM([1]RawShipmentData!B1434),4)),VALUE(MID(TRIM([1]RawShipmentData!B1434),FIND("/",TRIM([1]RawShipmentData!B1434))+1,2)),VALUE(LEFT(TRIM([1]RawShipmentData!B1434),FIND("/",TRIM([1]RawShipmentData!B1434))-1))),DATEVALUE(TRIM([1]RawShipmentData!B1434)))</f>
        <v>45454</v>
      </c>
      <c r="C1420" s="2" t="str">
        <f>PROPER(TRIM([1]RawShipmentData!C1434))</f>
        <v>Chennai</v>
      </c>
      <c r="D1420" s="2" t="str">
        <f>IFERROR(INDEX([1]HubMaster!$B$2:$B$7,MATCH(C1420,[1]HubMaster!$A$2:$A$7,0)),"Unknown")</f>
        <v>South</v>
      </c>
      <c r="E1420" s="2" t="str">
        <f>PROPER(TRIM(SUBSTITUTE([1]RawShipmentData!D1434,"  "," ")))</f>
        <v>Xpressbees</v>
      </c>
      <c r="F1420" s="2" t="str">
        <f>PROPER(TRIM([1]RawShipmentData!E1434))</f>
        <v>Surface</v>
      </c>
      <c r="G1420" s="2" t="str">
        <f>PROPER(TRIM(SUBSTITUTE([1]RawShipmentData!F1434,"  "," ")))</f>
        <v>Grocery &amp; Fmcg</v>
      </c>
      <c r="H1420" s="2" t="str">
        <f>PROPER(TRIM([1]RawShipmentData!G1434))</f>
        <v>East</v>
      </c>
      <c r="I1420" s="2" t="str">
        <f t="shared" si="110"/>
        <v>Yes</v>
      </c>
      <c r="J1420" s="2">
        <f>IFERROR(VALUE(TRIM(SUBSTITUTE(UPPER([1]RawShipmentData!I1420),"KG",""))),"")</f>
        <v>5.7</v>
      </c>
      <c r="K1420" s="2">
        <f>VALUE(SUBSTITUTE(SUBSTITUTE(SUBSTITUTE(TRIM([1]RawShipmentData!J1434),"₹",""),"Rs",""),",",""))</f>
        <v>282</v>
      </c>
      <c r="L1420" s="2">
        <f>[1]RawShipmentData!K1434</f>
        <v>6</v>
      </c>
      <c r="M1420" s="3">
        <f>IF(TRIM([1]RawShipmentData!L1434)="","",IF(ISNUMBER(SEARCH("/",TRIM([1]RawShipmentData!L1434))),DATE(VALUE(RIGHT(TRIM([1]RawShipmentData!L1434),4)),VALUE(MID(TRIM([1]RawShipmentData!L1434),FIND("/",TRIM([1]RawShipmentData!L1434))+1,2)),VALUE(LEFT(TRIM([1]RawShipmentData!L1434),FIND("/",TRIM([1]RawShipmentData!L1434))-1))),DATEVALUE(TRIM([1]RawShipmentData!L1434))))</f>
        <v>45459</v>
      </c>
      <c r="N1420" s="2">
        <f t="shared" si="111"/>
        <v>5</v>
      </c>
      <c r="O1420" s="2">
        <f t="shared" si="112"/>
        <v>-1</v>
      </c>
      <c r="P1420" s="2" t="str">
        <f t="shared" si="113"/>
        <v>On Time</v>
      </c>
      <c r="Q1420" s="2" t="str">
        <f>PROPER(SUBSTITUTE(TRIM([1]RawShipmentData!M1434)," ","-"))</f>
        <v>Delivered</v>
      </c>
      <c r="R1420" s="4">
        <f t="shared" si="114"/>
        <v>49.473684210526315</v>
      </c>
      <c r="S1420" s="2">
        <f>[1]RawShipmentData!N1434</f>
        <v>4</v>
      </c>
      <c r="T1420" s="2" t="str">
        <f>IF(OR(UPPER(TRIM([1]RawShipmentData!O1434))="YES",UPPER(TRIM([1]RawShipmentData!O1434))="Y"),"Yes","No")</f>
        <v>Yes</v>
      </c>
    </row>
    <row r="1421" spans="1:20" x14ac:dyDescent="0.25">
      <c r="A1421" s="2" t="str">
        <f>[1]RawShipmentData!A1435</f>
        <v>SHP-100912</v>
      </c>
      <c r="B1421" s="3">
        <f>IF(ISNUMBER(SEARCH("/",TRIM([1]RawShipmentData!B1435))),DATE(VALUE(RIGHT(TRIM([1]RawShipmentData!B1435),4)),VALUE(MID(TRIM([1]RawShipmentData!B1435),FIND("/",TRIM([1]RawShipmentData!B1435))+1,2)),VALUE(LEFT(TRIM([1]RawShipmentData!B1435),FIND("/",TRIM([1]RawShipmentData!B1435))-1))),DATEVALUE(TRIM([1]RawShipmentData!B1435)))</f>
        <v>45316</v>
      </c>
      <c r="C1421" s="2" t="str">
        <f>PROPER(TRIM([1]RawShipmentData!C1435))</f>
        <v>Chennai</v>
      </c>
      <c r="D1421" s="2" t="str">
        <f>IFERROR(INDEX([1]HubMaster!$B$2:$B$7,MATCH(C1421,[1]HubMaster!$A$2:$A$7,0)),"Unknown")</f>
        <v>South</v>
      </c>
      <c r="E1421" s="2" t="str">
        <f>PROPER(TRIM(SUBSTITUTE([1]RawShipmentData!D1435,"  "," ")))</f>
        <v>Bluedart</v>
      </c>
      <c r="F1421" s="2" t="str">
        <f>PROPER(TRIM([1]RawShipmentData!E1435))</f>
        <v>Air</v>
      </c>
      <c r="G1421" s="2" t="str">
        <f>PROPER(TRIM(SUBSTITUTE([1]RawShipmentData!F1435,"  "," ")))</f>
        <v>Automotive Parts</v>
      </c>
      <c r="H1421" s="2" t="str">
        <f>PROPER(TRIM([1]RawShipmentData!G1435))</f>
        <v>West</v>
      </c>
      <c r="I1421" s="2" t="str">
        <f t="shared" si="110"/>
        <v>Yes</v>
      </c>
      <c r="J1421" s="2">
        <f>IFERROR(VALUE(TRIM(SUBSTITUTE(UPPER([1]RawShipmentData!I1421),"KG",""))),"")</f>
        <v>5.6</v>
      </c>
      <c r="K1421" s="2">
        <f>VALUE(SUBSTITUTE(SUBSTITUTE(SUBSTITUTE(TRIM([1]RawShipmentData!J1435),"₹",""),"Rs",""),",",""))</f>
        <v>664</v>
      </c>
      <c r="L1421" s="2">
        <f>[1]RawShipmentData!K1435</f>
        <v>4</v>
      </c>
      <c r="M1421" s="3">
        <f>IF(TRIM([1]RawShipmentData!L1435)="","",IF(ISNUMBER(SEARCH("/",TRIM([1]RawShipmentData!L1435))),DATE(VALUE(RIGHT(TRIM([1]RawShipmentData!L1435),4)),VALUE(MID(TRIM([1]RawShipmentData!L1435),FIND("/",TRIM([1]RawShipmentData!L1435))+1,2)),VALUE(LEFT(TRIM([1]RawShipmentData!L1435),FIND("/",TRIM([1]RawShipmentData!L1435))-1))),DATEVALUE(TRIM([1]RawShipmentData!L1435))))</f>
        <v>45320</v>
      </c>
      <c r="N1421" s="2">
        <f t="shared" si="111"/>
        <v>4</v>
      </c>
      <c r="O1421" s="2">
        <f t="shared" si="112"/>
        <v>0</v>
      </c>
      <c r="P1421" s="2" t="str">
        <f t="shared" si="113"/>
        <v>On Time</v>
      </c>
      <c r="Q1421" s="2" t="str">
        <f>PROPER(SUBSTITUTE(TRIM([1]RawShipmentData!M1435)," ","-"))</f>
        <v>Delivered</v>
      </c>
      <c r="R1421" s="4">
        <f t="shared" si="114"/>
        <v>118.57142857142858</v>
      </c>
      <c r="S1421" s="2">
        <f>[1]RawShipmentData!N1435</f>
        <v>5</v>
      </c>
      <c r="T1421" s="2" t="str">
        <f>IF(OR(UPPER(TRIM([1]RawShipmentData!O1435))="YES",UPPER(TRIM([1]RawShipmentData!O1435))="Y"),"Yes","No")</f>
        <v>Yes</v>
      </c>
    </row>
    <row r="1422" spans="1:20" x14ac:dyDescent="0.25">
      <c r="A1422" s="2" t="str">
        <f>[1]RawShipmentData!A1436</f>
        <v>SHP-100385</v>
      </c>
      <c r="B1422" s="3">
        <f>IF(ISNUMBER(SEARCH("/",TRIM([1]RawShipmentData!B1436))),DATE(VALUE(RIGHT(TRIM([1]RawShipmentData!B1436),4)),VALUE(MID(TRIM([1]RawShipmentData!B1436),FIND("/",TRIM([1]RawShipmentData!B1436))+1,2)),VALUE(LEFT(TRIM([1]RawShipmentData!B1436),FIND("/",TRIM([1]RawShipmentData!B1436))-1))),DATEVALUE(TRIM([1]RawShipmentData!B1436)))</f>
        <v>45329</v>
      </c>
      <c r="C1422" s="2" t="str">
        <f>PROPER(TRIM([1]RawShipmentData!C1436))</f>
        <v>Hyderabad</v>
      </c>
      <c r="D1422" s="2" t="str">
        <f>IFERROR(INDEX([1]HubMaster!$B$2:$B$7,MATCH(C1422,[1]HubMaster!$A$2:$A$7,0)),"Unknown")</f>
        <v>West</v>
      </c>
      <c r="E1422" s="2" t="str">
        <f>PROPER(TRIM(SUBSTITUTE([1]RawShipmentData!D1436,"  "," ")))</f>
        <v>Delhivery</v>
      </c>
      <c r="F1422" s="2" t="str">
        <f>PROPER(TRIM([1]RawShipmentData!E1436))</f>
        <v>Road</v>
      </c>
      <c r="G1422" s="2" t="str">
        <f>PROPER(TRIM(SUBSTITUTE([1]RawShipmentData!F1436,"  "," ")))</f>
        <v>Grocery &amp; Fmcg</v>
      </c>
      <c r="H1422" s="2" t="str">
        <f>PROPER(TRIM([1]RawShipmentData!G1436))</f>
        <v>West</v>
      </c>
      <c r="I1422" s="2" t="str">
        <f t="shared" si="110"/>
        <v>No</v>
      </c>
      <c r="J1422" s="2">
        <f>IFERROR(VALUE(TRIM(SUBSTITUTE(UPPER([1]RawShipmentData!I1422),"KG",""))),"")</f>
        <v>9.4</v>
      </c>
      <c r="K1422" s="2">
        <f>VALUE(SUBSTITUTE(SUBSTITUTE(SUBSTITUTE(TRIM([1]RawShipmentData!J1436),"₹",""),"Rs",""),",",""))</f>
        <v>173</v>
      </c>
      <c r="L1422" s="2">
        <f>[1]RawShipmentData!K1436</f>
        <v>6</v>
      </c>
      <c r="M1422" s="3">
        <f>IF(TRIM([1]RawShipmentData!L1436)="","",IF(ISNUMBER(SEARCH("/",TRIM([1]RawShipmentData!L1436))),DATE(VALUE(RIGHT(TRIM([1]RawShipmentData!L1436),4)),VALUE(MID(TRIM([1]RawShipmentData!L1436),FIND("/",TRIM([1]RawShipmentData!L1436))+1,2)),VALUE(LEFT(TRIM([1]RawShipmentData!L1436),FIND("/",TRIM([1]RawShipmentData!L1436))-1))),DATEVALUE(TRIM([1]RawShipmentData!L1436))))</f>
        <v>45335</v>
      </c>
      <c r="N1422" s="2">
        <f t="shared" si="111"/>
        <v>6</v>
      </c>
      <c r="O1422" s="2">
        <f t="shared" si="112"/>
        <v>0</v>
      </c>
      <c r="P1422" s="2" t="str">
        <f t="shared" si="113"/>
        <v>On Time</v>
      </c>
      <c r="Q1422" s="2" t="str">
        <f>PROPER(SUBSTITUTE(TRIM([1]RawShipmentData!M1436)," ","-"))</f>
        <v>Delivered</v>
      </c>
      <c r="R1422" s="4">
        <f t="shared" si="114"/>
        <v>18.404255319148934</v>
      </c>
      <c r="S1422" s="2">
        <f>[1]RawShipmentData!N1436</f>
        <v>3</v>
      </c>
      <c r="T1422" s="2" t="str">
        <f>IF(OR(UPPER(TRIM([1]RawShipmentData!O1436))="YES",UPPER(TRIM([1]RawShipmentData!O1436))="Y"),"Yes","No")</f>
        <v>No</v>
      </c>
    </row>
    <row r="1423" spans="1:20" x14ac:dyDescent="0.25">
      <c r="A1423" s="2" t="str">
        <f>[1]RawShipmentData!A1437</f>
        <v>SHP-101186</v>
      </c>
      <c r="B1423" s="3">
        <f>IF(ISNUMBER(SEARCH("/",TRIM([1]RawShipmentData!B1437))),DATE(VALUE(RIGHT(TRIM([1]RawShipmentData!B1437),4)),VALUE(MID(TRIM([1]RawShipmentData!B1437),FIND("/",TRIM([1]RawShipmentData!B1437))+1,2)),VALUE(LEFT(TRIM([1]RawShipmentData!B1437),FIND("/",TRIM([1]RawShipmentData!B1437))-1))),DATEVALUE(TRIM([1]RawShipmentData!B1437)))</f>
        <v>45418</v>
      </c>
      <c r="C1423" s="2" t="str">
        <f>PROPER(TRIM([1]RawShipmentData!C1437))</f>
        <v>Bengaluru</v>
      </c>
      <c r="D1423" s="2" t="str">
        <f>IFERROR(INDEX([1]HubMaster!$B$2:$B$7,MATCH(C1423,[1]HubMaster!$A$2:$A$7,0)),"Unknown")</f>
        <v>South</v>
      </c>
      <c r="E1423" s="2" t="str">
        <f>PROPER(TRIM(SUBSTITUTE([1]RawShipmentData!D1437,"  "," ")))</f>
        <v>Dtdc</v>
      </c>
      <c r="F1423" s="2" t="str">
        <f>PROPER(TRIM([1]RawShipmentData!E1437))</f>
        <v>Road</v>
      </c>
      <c r="G1423" s="2" t="str">
        <f>PROPER(TRIM(SUBSTITUTE([1]RawShipmentData!F1437,"  "," ")))</f>
        <v>Pharma</v>
      </c>
      <c r="H1423" s="2" t="str">
        <f>PROPER(TRIM([1]RawShipmentData!G1437))</f>
        <v>West</v>
      </c>
      <c r="I1423" s="2" t="str">
        <f t="shared" si="110"/>
        <v>Yes</v>
      </c>
      <c r="J1423" s="2">
        <f>IFERROR(VALUE(TRIM(SUBSTITUTE(UPPER([1]RawShipmentData!I1423),"KG",""))),"")</f>
        <v>24.6</v>
      </c>
      <c r="K1423" s="2">
        <f>VALUE(SUBSTITUTE(SUBSTITUTE(SUBSTITUTE(TRIM([1]RawShipmentData!J1437),"₹",""),"Rs",""),",",""))</f>
        <v>255</v>
      </c>
      <c r="L1423" s="2">
        <f>[1]RawShipmentData!K1437</f>
        <v>8</v>
      </c>
      <c r="M1423" s="3">
        <f>IF(TRIM([1]RawShipmentData!L1437)="","",IF(ISNUMBER(SEARCH("/",TRIM([1]RawShipmentData!L1437))),DATE(VALUE(RIGHT(TRIM([1]RawShipmentData!L1437),4)),VALUE(MID(TRIM([1]RawShipmentData!L1437),FIND("/",TRIM([1]RawShipmentData!L1437))+1,2)),VALUE(LEFT(TRIM([1]RawShipmentData!L1437),FIND("/",TRIM([1]RawShipmentData!L1437))-1))),DATEVALUE(TRIM([1]RawShipmentData!L1437))))</f>
        <v>45431</v>
      </c>
      <c r="N1423" s="2">
        <f t="shared" si="111"/>
        <v>13</v>
      </c>
      <c r="O1423" s="2">
        <f t="shared" si="112"/>
        <v>5</v>
      </c>
      <c r="P1423" s="2" t="str">
        <f t="shared" si="113"/>
        <v>Late</v>
      </c>
      <c r="Q1423" s="2" t="str">
        <f>PROPER(SUBSTITUTE(TRIM([1]RawShipmentData!M1437)," ","-"))</f>
        <v>Delayed</v>
      </c>
      <c r="R1423" s="4">
        <f t="shared" si="114"/>
        <v>10.365853658536585</v>
      </c>
      <c r="S1423" s="2">
        <f>[1]RawShipmentData!N1437</f>
        <v>2</v>
      </c>
      <c r="T1423" s="2" t="str">
        <f>IF(OR(UPPER(TRIM([1]RawShipmentData!O1437))="YES",UPPER(TRIM([1]RawShipmentData!O1437))="Y"),"Yes","No")</f>
        <v>Yes</v>
      </c>
    </row>
    <row r="1424" spans="1:20" x14ac:dyDescent="0.25">
      <c r="A1424" s="2" t="str">
        <f>[1]RawShipmentData!A1439</f>
        <v>SHP-101261</v>
      </c>
      <c r="B1424" s="3">
        <f>IF(ISNUMBER(SEARCH("/",TRIM([1]RawShipmentData!B1439))),DATE(VALUE(RIGHT(TRIM([1]RawShipmentData!B1439),4)),VALUE(MID(TRIM([1]RawShipmentData!B1439),FIND("/",TRIM([1]RawShipmentData!B1439))+1,2)),VALUE(LEFT(TRIM([1]RawShipmentData!B1439),FIND("/",TRIM([1]RawShipmentData!B1439))-1))),DATEVALUE(TRIM([1]RawShipmentData!B1439)))</f>
        <v>45377</v>
      </c>
      <c r="C1424" s="2" t="str">
        <f>PROPER(TRIM([1]RawShipmentData!C1439))</f>
        <v>Bengaluru</v>
      </c>
      <c r="D1424" s="2" t="str">
        <f>IFERROR(INDEX([1]HubMaster!$B$2:$B$7,MATCH(C1424,[1]HubMaster!$A$2:$A$7,0)),"Unknown")</f>
        <v>South</v>
      </c>
      <c r="E1424" s="2" t="str">
        <f>PROPER(TRIM(SUBSTITUTE([1]RawShipmentData!D1439,"  "," ")))</f>
        <v>Bluedart</v>
      </c>
      <c r="F1424" s="2" t="str">
        <f>PROPER(TRIM([1]RawShipmentData!E1439))</f>
        <v>Air</v>
      </c>
      <c r="G1424" s="2" t="str">
        <f>PROPER(TRIM(SUBSTITUTE([1]RawShipmentData!F1439,"  "," ")))</f>
        <v>Furniture</v>
      </c>
      <c r="H1424" s="2" t="str">
        <f>PROPER(TRIM([1]RawShipmentData!G1439))</f>
        <v>West</v>
      </c>
      <c r="I1424" s="2" t="str">
        <f t="shared" si="110"/>
        <v>Yes</v>
      </c>
      <c r="J1424" s="2">
        <f>IFERROR(VALUE(TRIM(SUBSTITUTE(UPPER([1]RawShipmentData!I1424),"KG",""))),"")</f>
        <v>51</v>
      </c>
      <c r="K1424" s="2">
        <f>VALUE(SUBSTITUTE(SUBSTITUTE(SUBSTITUTE(TRIM([1]RawShipmentData!J1439),"₹",""),"Rs",""),",",""))</f>
        <v>3061</v>
      </c>
      <c r="L1424" s="2">
        <f>[1]RawShipmentData!K1439</f>
        <v>4</v>
      </c>
      <c r="M1424" s="3">
        <f>IF(TRIM([1]RawShipmentData!L1439)="","",IF(ISNUMBER(SEARCH("/",TRIM([1]RawShipmentData!L1439))),DATE(VALUE(RIGHT(TRIM([1]RawShipmentData!L1439),4)),VALUE(MID(TRIM([1]RawShipmentData!L1439),FIND("/",TRIM([1]RawShipmentData!L1439))+1,2)),VALUE(LEFT(TRIM([1]RawShipmentData!L1439),FIND("/",TRIM([1]RawShipmentData!L1439))-1))),DATEVALUE(TRIM([1]RawShipmentData!L1439))))</f>
        <v>45382</v>
      </c>
      <c r="N1424" s="2">
        <f t="shared" si="111"/>
        <v>5</v>
      </c>
      <c r="O1424" s="2">
        <f t="shared" si="112"/>
        <v>1</v>
      </c>
      <c r="P1424" s="2" t="str">
        <f t="shared" si="113"/>
        <v>Late</v>
      </c>
      <c r="Q1424" s="2" t="str">
        <f>PROPER(SUBSTITUTE(TRIM([1]RawShipmentData!M1439)," ","-"))</f>
        <v>Delayed</v>
      </c>
      <c r="R1424" s="4">
        <f t="shared" si="114"/>
        <v>60.019607843137258</v>
      </c>
      <c r="S1424" s="2">
        <f>[1]RawShipmentData!N1439</f>
        <v>5</v>
      </c>
      <c r="T1424" s="2" t="str">
        <f>IF(OR(UPPER(TRIM([1]RawShipmentData!O1439))="YES",UPPER(TRIM([1]RawShipmentData!O1439))="Y"),"Yes","No")</f>
        <v>No</v>
      </c>
    </row>
    <row r="1425" spans="1:20" x14ac:dyDescent="0.25">
      <c r="A1425" s="2" t="str">
        <f>[1]RawShipmentData!A1440</f>
        <v>SHP-100399</v>
      </c>
      <c r="B1425" s="3">
        <f>IF(ISNUMBER(SEARCH("/",TRIM([1]RawShipmentData!B1440))),DATE(VALUE(RIGHT(TRIM([1]RawShipmentData!B1440),4)),VALUE(MID(TRIM([1]RawShipmentData!B1440),FIND("/",TRIM([1]RawShipmentData!B1440))+1,2)),VALUE(LEFT(TRIM([1]RawShipmentData!B1440),FIND("/",TRIM([1]RawShipmentData!B1440))-1))),DATEVALUE(TRIM([1]RawShipmentData!B1440)))</f>
        <v>45298</v>
      </c>
      <c r="C1425" s="2" t="str">
        <f>PROPER(TRIM([1]RawShipmentData!C1440))</f>
        <v>Kolkata</v>
      </c>
      <c r="D1425" s="2" t="str">
        <f>IFERROR(INDEX([1]HubMaster!$B$2:$B$7,MATCH(C1425,[1]HubMaster!$A$2:$A$7,0)),"Unknown")</f>
        <v>East</v>
      </c>
      <c r="E1425" s="2" t="str">
        <f>PROPER(TRIM(SUBSTITUTE([1]RawShipmentData!D1440,"  "," ")))</f>
        <v>Xpressbees</v>
      </c>
      <c r="F1425" s="2" t="str">
        <f>PROPER(TRIM([1]RawShipmentData!E1440))</f>
        <v>Air</v>
      </c>
      <c r="G1425" s="2" t="str">
        <f>PROPER(TRIM(SUBSTITUTE([1]RawShipmentData!F1440,"  "," ")))</f>
        <v>Apparel</v>
      </c>
      <c r="H1425" s="2" t="str">
        <f>PROPER(TRIM([1]RawShipmentData!G1440))</f>
        <v>East</v>
      </c>
      <c r="I1425" s="2" t="str">
        <f t="shared" si="110"/>
        <v>No</v>
      </c>
      <c r="J1425" s="2">
        <f>IFERROR(VALUE(TRIM(SUBSTITUTE(UPPER([1]RawShipmentData!I1425),"KG",""))),"")</f>
        <v>26.7</v>
      </c>
      <c r="K1425" s="2">
        <f>VALUE(SUBSTITUTE(SUBSTITUTE(SUBSTITUTE(TRIM([1]RawShipmentData!J1440),"₹",""),"Rs",""),",",""))</f>
        <v>280</v>
      </c>
      <c r="L1425" s="2">
        <f>[1]RawShipmentData!K1440</f>
        <v>2</v>
      </c>
      <c r="M1425" s="3">
        <f>IF(TRIM([1]RawShipmentData!L1440)="","",IF(ISNUMBER(SEARCH("/",TRIM([1]RawShipmentData!L1440))),DATE(VALUE(RIGHT(TRIM([1]RawShipmentData!L1440),4)),VALUE(MID(TRIM([1]RawShipmentData!L1440),FIND("/",TRIM([1]RawShipmentData!L1440))+1,2)),VALUE(LEFT(TRIM([1]RawShipmentData!L1440),FIND("/",TRIM([1]RawShipmentData!L1440))-1))),DATEVALUE(TRIM([1]RawShipmentData!L1440))))</f>
        <v>45300</v>
      </c>
      <c r="N1425" s="2">
        <f t="shared" si="111"/>
        <v>2</v>
      </c>
      <c r="O1425" s="2">
        <f t="shared" si="112"/>
        <v>0</v>
      </c>
      <c r="P1425" s="2" t="str">
        <f t="shared" si="113"/>
        <v>On Time</v>
      </c>
      <c r="Q1425" s="2" t="str">
        <f>PROPER(SUBSTITUTE(TRIM([1]RawShipmentData!M1440)," ","-"))</f>
        <v>Delivered</v>
      </c>
      <c r="R1425" s="4">
        <f t="shared" si="114"/>
        <v>10.486891385767791</v>
      </c>
      <c r="S1425" s="2">
        <f>[1]RawShipmentData!N1440</f>
        <v>5</v>
      </c>
      <c r="T1425" s="2" t="str">
        <f>IF(OR(UPPER(TRIM([1]RawShipmentData!O1440))="YES",UPPER(TRIM([1]RawShipmentData!O1440))="Y"),"Yes","No")</f>
        <v>No</v>
      </c>
    </row>
    <row r="1426" spans="1:20" x14ac:dyDescent="0.25">
      <c r="A1426" s="2" t="str">
        <f>[1]RawShipmentData!A1441</f>
        <v>SHP-100424</v>
      </c>
      <c r="B1426" s="3">
        <f>IF(ISNUMBER(SEARCH("/",TRIM([1]RawShipmentData!B1441))),DATE(VALUE(RIGHT(TRIM([1]RawShipmentData!B1441),4)),VALUE(MID(TRIM([1]RawShipmentData!B1441),FIND("/",TRIM([1]RawShipmentData!B1441))+1,2)),VALUE(LEFT(TRIM([1]RawShipmentData!B1441),FIND("/",TRIM([1]RawShipmentData!B1441))-1))),DATEVALUE(TRIM([1]RawShipmentData!B1441)))</f>
        <v>45310</v>
      </c>
      <c r="C1426" s="2" t="str">
        <f>PROPER(TRIM([1]RawShipmentData!C1441))</f>
        <v>Hyderabad</v>
      </c>
      <c r="D1426" s="2" t="str">
        <f>IFERROR(INDEX([1]HubMaster!$B$2:$B$7,MATCH(C1426,[1]HubMaster!$A$2:$A$7,0)),"Unknown")</f>
        <v>West</v>
      </c>
      <c r="E1426" s="2" t="str">
        <f>PROPER(TRIM(SUBSTITUTE([1]RawShipmentData!D1441,"  "," ")))</f>
        <v>Delhivery</v>
      </c>
      <c r="F1426" s="2" t="str">
        <f>PROPER(TRIM([1]RawShipmentData!E1441))</f>
        <v>Road</v>
      </c>
      <c r="G1426" s="2" t="str">
        <f>PROPER(TRIM(SUBSTITUTE([1]RawShipmentData!F1441,"  "," ")))</f>
        <v>Furniture</v>
      </c>
      <c r="H1426" s="2" t="str">
        <f>PROPER(TRIM([1]RawShipmentData!G1441))</f>
        <v>West</v>
      </c>
      <c r="I1426" s="2" t="str">
        <f t="shared" si="110"/>
        <v>No</v>
      </c>
      <c r="J1426" s="2">
        <f>IFERROR(VALUE(TRIM(SUBSTITUTE(UPPER([1]RawShipmentData!I1426),"KG",""))),"")</f>
        <v>0.7</v>
      </c>
      <c r="K1426" s="2">
        <f>VALUE(SUBSTITUTE(SUBSTITUTE(SUBSTITUTE(TRIM([1]RawShipmentData!J1441),"₹",""),"Rs",""),",",""))</f>
        <v>495</v>
      </c>
      <c r="L1426" s="2">
        <f>[1]RawShipmentData!K1441</f>
        <v>6</v>
      </c>
      <c r="M1426" s="3">
        <f>IF(TRIM([1]RawShipmentData!L1441)="","",IF(ISNUMBER(SEARCH("/",TRIM([1]RawShipmentData!L1441))),DATE(VALUE(RIGHT(TRIM([1]RawShipmentData!L1441),4)),VALUE(MID(TRIM([1]RawShipmentData!L1441),FIND("/",TRIM([1]RawShipmentData!L1441))+1,2)),VALUE(LEFT(TRIM([1]RawShipmentData!L1441),FIND("/",TRIM([1]RawShipmentData!L1441))-1))),DATEVALUE(TRIM([1]RawShipmentData!L1441))))</f>
        <v>45316</v>
      </c>
      <c r="N1426" s="2">
        <f t="shared" si="111"/>
        <v>6</v>
      </c>
      <c r="O1426" s="2">
        <f t="shared" si="112"/>
        <v>0</v>
      </c>
      <c r="P1426" s="2" t="str">
        <f t="shared" si="113"/>
        <v>On Time</v>
      </c>
      <c r="Q1426" s="2" t="str">
        <f>PROPER(SUBSTITUTE(TRIM([1]RawShipmentData!M1441)," ","-"))</f>
        <v>Delivered</v>
      </c>
      <c r="R1426" s="4">
        <f t="shared" si="114"/>
        <v>707.14285714285722</v>
      </c>
      <c r="S1426" s="2">
        <f>[1]RawShipmentData!N1441</f>
        <v>5</v>
      </c>
      <c r="T1426" s="2" t="str">
        <f>IF(OR(UPPER(TRIM([1]RawShipmentData!O1441))="YES",UPPER(TRIM([1]RawShipmentData!O1441))="Y"),"Yes","No")</f>
        <v>No</v>
      </c>
    </row>
    <row r="1427" spans="1:20" x14ac:dyDescent="0.25">
      <c r="A1427" s="2" t="str">
        <f>[1]RawShipmentData!A1442</f>
        <v>SHP-101108</v>
      </c>
      <c r="B1427" s="3">
        <f>IF(ISNUMBER(SEARCH("/",TRIM([1]RawShipmentData!B1442))),DATE(VALUE(RIGHT(TRIM([1]RawShipmentData!B1442),4)),VALUE(MID(TRIM([1]RawShipmentData!B1442),FIND("/",TRIM([1]RawShipmentData!B1442))+1,2)),VALUE(LEFT(TRIM([1]RawShipmentData!B1442),FIND("/",TRIM([1]RawShipmentData!B1442))-1))),DATEVALUE(TRIM([1]RawShipmentData!B1442)))</f>
        <v>45315</v>
      </c>
      <c r="C1427" s="2" t="str">
        <f>PROPER(TRIM([1]RawShipmentData!C1442))</f>
        <v>Delhi</v>
      </c>
      <c r="D1427" s="2" t="str">
        <f>IFERROR(INDEX([1]HubMaster!$B$2:$B$7,MATCH(C1427,[1]HubMaster!$A$2:$A$7,0)),"Unknown")</f>
        <v>North</v>
      </c>
      <c r="E1427" s="2" t="str">
        <f>PROPER(TRIM(SUBSTITUTE([1]RawShipmentData!D1442,"  "," ")))</f>
        <v>Delhivery</v>
      </c>
      <c r="F1427" s="2" t="str">
        <f>PROPER(TRIM([1]RawShipmentData!E1442))</f>
        <v>Air</v>
      </c>
      <c r="G1427" s="2" t="str">
        <f>PROPER(TRIM(SUBSTITUTE([1]RawShipmentData!F1442,"  "," ")))</f>
        <v>Grocery &amp; Fmcg</v>
      </c>
      <c r="H1427" s="2" t="str">
        <f>PROPER(TRIM([1]RawShipmentData!G1442))</f>
        <v>South</v>
      </c>
      <c r="I1427" s="2" t="str">
        <f t="shared" si="110"/>
        <v>Yes</v>
      </c>
      <c r="J1427" s="2">
        <f>IFERROR(VALUE(TRIM(SUBSTITUTE(UPPER([1]RawShipmentData!I1427),"KG",""))),"")</f>
        <v>18.7</v>
      </c>
      <c r="K1427" s="2">
        <f>VALUE(SUBSTITUTE(SUBSTITUTE(SUBSTITUTE(TRIM([1]RawShipmentData!J1442),"₹",""),"Rs",""),",",""))</f>
        <v>574</v>
      </c>
      <c r="L1427" s="2">
        <f>[1]RawShipmentData!K1442</f>
        <v>4</v>
      </c>
      <c r="M1427" s="3">
        <f>IF(TRIM([1]RawShipmentData!L1442)="","",IF(ISNUMBER(SEARCH("/",TRIM([1]RawShipmentData!L1442))),DATE(VALUE(RIGHT(TRIM([1]RawShipmentData!L1442),4)),VALUE(MID(TRIM([1]RawShipmentData!L1442),FIND("/",TRIM([1]RawShipmentData!L1442))+1,2)),VALUE(LEFT(TRIM([1]RawShipmentData!L1442),FIND("/",TRIM([1]RawShipmentData!L1442))-1))),DATEVALUE(TRIM([1]RawShipmentData!L1442))))</f>
        <v>45320</v>
      </c>
      <c r="N1427" s="2">
        <f t="shared" si="111"/>
        <v>5</v>
      </c>
      <c r="O1427" s="2">
        <f t="shared" si="112"/>
        <v>1</v>
      </c>
      <c r="P1427" s="2" t="str">
        <f t="shared" si="113"/>
        <v>Late</v>
      </c>
      <c r="Q1427" s="2" t="str">
        <f>PROPER(SUBSTITUTE(TRIM([1]RawShipmentData!M1442)," ","-"))</f>
        <v>Delayed</v>
      </c>
      <c r="R1427" s="4">
        <f t="shared" si="114"/>
        <v>30.695187165775401</v>
      </c>
      <c r="S1427" s="2">
        <f>[1]RawShipmentData!N1442</f>
        <v>4</v>
      </c>
      <c r="T1427" s="2" t="str">
        <f>IF(OR(UPPER(TRIM([1]RawShipmentData!O1442))="YES",UPPER(TRIM([1]RawShipmentData!O1442))="Y"),"Yes","No")</f>
        <v>Yes</v>
      </c>
    </row>
    <row r="1428" spans="1:20" x14ac:dyDescent="0.25">
      <c r="A1428" s="2" t="str">
        <f>[1]RawShipmentData!A1443</f>
        <v>SHP-101237</v>
      </c>
      <c r="B1428" s="3">
        <f>IF(ISNUMBER(SEARCH("/",TRIM([1]RawShipmentData!B1443))),DATE(VALUE(RIGHT(TRIM([1]RawShipmentData!B1443),4)),VALUE(MID(TRIM([1]RawShipmentData!B1443),FIND("/",TRIM([1]RawShipmentData!B1443))+1,2)),VALUE(LEFT(TRIM([1]RawShipmentData!B1443),FIND("/",TRIM([1]RawShipmentData!B1443))-1))),DATEVALUE(TRIM([1]RawShipmentData!B1443)))</f>
        <v>45378</v>
      </c>
      <c r="C1428" s="2" t="str">
        <f>PROPER(TRIM([1]RawShipmentData!C1443))</f>
        <v>Bengaluru</v>
      </c>
      <c r="D1428" s="2" t="str">
        <f>IFERROR(INDEX([1]HubMaster!$B$2:$B$7,MATCH(C1428,[1]HubMaster!$A$2:$A$7,0)),"Unknown")</f>
        <v>South</v>
      </c>
      <c r="E1428" s="2" t="str">
        <f>PROPER(TRIM(SUBSTITUTE([1]RawShipmentData!D1443,"  "," ")))</f>
        <v>Bluedart</v>
      </c>
      <c r="F1428" s="2" t="str">
        <f>PROPER(TRIM([1]RawShipmentData!E1443))</f>
        <v>Air</v>
      </c>
      <c r="G1428" s="2" t="str">
        <f>PROPER(TRIM(SUBSTITUTE([1]RawShipmentData!F1443,"  "," ")))</f>
        <v>Furniture</v>
      </c>
      <c r="H1428" s="2" t="str">
        <f>PROPER(TRIM([1]RawShipmentData!G1443))</f>
        <v>North</v>
      </c>
      <c r="I1428" s="2" t="str">
        <f t="shared" si="110"/>
        <v>Yes</v>
      </c>
      <c r="J1428" s="2">
        <f>IFERROR(VALUE(TRIM(SUBSTITUTE(UPPER([1]RawShipmentData!I1428),"KG",""))),"")</f>
        <v>7.9</v>
      </c>
      <c r="K1428" s="2">
        <f>VALUE(SUBSTITUTE(SUBSTITUTE(SUBSTITUTE(TRIM([1]RawShipmentData!J1443),"₹",""),"Rs",""),",",""))</f>
        <v>3282</v>
      </c>
      <c r="L1428" s="2">
        <f>[1]RawShipmentData!K1443</f>
        <v>4</v>
      </c>
      <c r="M1428" s="3">
        <f>IF(TRIM([1]RawShipmentData!L1443)="","",IF(ISNUMBER(SEARCH("/",TRIM([1]RawShipmentData!L1443))),DATE(VALUE(RIGHT(TRIM([1]RawShipmentData!L1443),4)),VALUE(MID(TRIM([1]RawShipmentData!L1443),FIND("/",TRIM([1]RawShipmentData!L1443))+1,2)),VALUE(LEFT(TRIM([1]RawShipmentData!L1443),FIND("/",TRIM([1]RawShipmentData!L1443))-1))),DATEVALUE(TRIM([1]RawShipmentData!L1443))))</f>
        <v>45381</v>
      </c>
      <c r="N1428" s="2">
        <f t="shared" si="111"/>
        <v>3</v>
      </c>
      <c r="O1428" s="2">
        <f t="shared" si="112"/>
        <v>-1</v>
      </c>
      <c r="P1428" s="2" t="str">
        <f t="shared" si="113"/>
        <v>On Time</v>
      </c>
      <c r="Q1428" s="2" t="str">
        <f>PROPER(SUBSTITUTE(TRIM([1]RawShipmentData!M1443)," ","-"))</f>
        <v>Delivered</v>
      </c>
      <c r="R1428" s="4">
        <f t="shared" si="114"/>
        <v>415.44303797468353</v>
      </c>
      <c r="S1428" s="2">
        <f>[1]RawShipmentData!N1443</f>
        <v>4</v>
      </c>
      <c r="T1428" s="2" t="str">
        <f>IF(OR(UPPER(TRIM([1]RawShipmentData!O1443))="YES",UPPER(TRIM([1]RawShipmentData!O1443))="Y"),"Yes","No")</f>
        <v>No</v>
      </c>
    </row>
    <row r="1429" spans="1:20" x14ac:dyDescent="0.25">
      <c r="A1429" s="2" t="str">
        <f>[1]RawShipmentData!A1444</f>
        <v>SHP-101144</v>
      </c>
      <c r="B1429" s="3">
        <f>IF(ISNUMBER(SEARCH("/",TRIM([1]RawShipmentData!B1444))),DATE(VALUE(RIGHT(TRIM([1]RawShipmentData!B1444),4)),VALUE(MID(TRIM([1]RawShipmentData!B1444),FIND("/",TRIM([1]RawShipmentData!B1444))+1,2)),VALUE(LEFT(TRIM([1]RawShipmentData!B1444),FIND("/",TRIM([1]RawShipmentData!B1444))-1))),DATEVALUE(TRIM([1]RawShipmentData!B1444)))</f>
        <v>45436</v>
      </c>
      <c r="C1429" s="2" t="str">
        <f>PROPER(TRIM([1]RawShipmentData!C1444))</f>
        <v>Kolkata</v>
      </c>
      <c r="D1429" s="2" t="str">
        <f>IFERROR(INDEX([1]HubMaster!$B$2:$B$7,MATCH(C1429,[1]HubMaster!$A$2:$A$7,0)),"Unknown")</f>
        <v>East</v>
      </c>
      <c r="E1429" s="2" t="str">
        <f>PROPER(TRIM(SUBSTITUTE([1]RawShipmentData!D1444,"  "," ")))</f>
        <v>Xpress Bees</v>
      </c>
      <c r="F1429" s="2" t="str">
        <f>PROPER(TRIM([1]RawShipmentData!E1444))</f>
        <v>Air</v>
      </c>
      <c r="G1429" s="2" t="str">
        <f>PROPER(TRIM(SUBSTITUTE([1]RawShipmentData!F1444,"  "," ")))</f>
        <v>Pharma</v>
      </c>
      <c r="H1429" s="2" t="str">
        <f>PROPER(TRIM([1]RawShipmentData!G1444))</f>
        <v>East</v>
      </c>
      <c r="I1429" s="2" t="str">
        <f t="shared" si="110"/>
        <v>No</v>
      </c>
      <c r="J1429" s="2">
        <f>IFERROR(VALUE(TRIM(SUBSTITUTE(UPPER([1]RawShipmentData!I1429),"KG",""))),"")</f>
        <v>2.1</v>
      </c>
      <c r="K1429" s="2">
        <f>VALUE(SUBSTITUTE(SUBSTITUTE(SUBSTITUTE(TRIM([1]RawShipmentData!J1444),"₹",""),"Rs",""),",",""))</f>
        <v>165</v>
      </c>
      <c r="L1429" s="2">
        <f>[1]RawShipmentData!K1444</f>
        <v>2</v>
      </c>
      <c r="M1429" s="3">
        <f>IF(TRIM([1]RawShipmentData!L1444)="","",IF(ISNUMBER(SEARCH("/",TRIM([1]RawShipmentData!L1444))),DATE(VALUE(RIGHT(TRIM([1]RawShipmentData!L1444),4)),VALUE(MID(TRIM([1]RawShipmentData!L1444),FIND("/",TRIM([1]RawShipmentData!L1444))+1,2)),VALUE(LEFT(TRIM([1]RawShipmentData!L1444),FIND("/",TRIM([1]RawShipmentData!L1444))-1))),DATEVALUE(TRIM([1]RawShipmentData!L1444))))</f>
        <v>45438</v>
      </c>
      <c r="N1429" s="2">
        <f t="shared" si="111"/>
        <v>2</v>
      </c>
      <c r="O1429" s="2">
        <f t="shared" si="112"/>
        <v>0</v>
      </c>
      <c r="P1429" s="2" t="str">
        <f t="shared" si="113"/>
        <v>On Time</v>
      </c>
      <c r="Q1429" s="2" t="str">
        <f>PROPER(SUBSTITUTE(TRIM([1]RawShipmentData!M1444)," ","-"))</f>
        <v>Delivered</v>
      </c>
      <c r="R1429" s="4">
        <f t="shared" si="114"/>
        <v>78.571428571428569</v>
      </c>
      <c r="S1429" s="2">
        <f>[1]RawShipmentData!N1444</f>
        <v>2</v>
      </c>
      <c r="T1429" s="2" t="str">
        <f>IF(OR(UPPER(TRIM([1]RawShipmentData!O1444))="YES",UPPER(TRIM([1]RawShipmentData!O1444))="Y"),"Yes","No")</f>
        <v>No</v>
      </c>
    </row>
    <row r="1430" spans="1:20" x14ac:dyDescent="0.25">
      <c r="A1430" s="2" t="str">
        <f>[1]RawShipmentData!A1445</f>
        <v>SHP-100606</v>
      </c>
      <c r="B1430" s="3">
        <f>IF(ISNUMBER(SEARCH("/",TRIM([1]RawShipmentData!B1445))),DATE(VALUE(RIGHT(TRIM([1]RawShipmentData!B1445),4)),VALUE(MID(TRIM([1]RawShipmentData!B1445),FIND("/",TRIM([1]RawShipmentData!B1445))+1,2)),VALUE(LEFT(TRIM([1]RawShipmentData!B1445),FIND("/",TRIM([1]RawShipmentData!B1445))-1))),DATEVALUE(TRIM([1]RawShipmentData!B1445)))</f>
        <v>45402</v>
      </c>
      <c r="C1430" s="2" t="str">
        <f>PROPER(TRIM([1]RawShipmentData!C1445))</f>
        <v>Delhi</v>
      </c>
      <c r="D1430" s="2" t="str">
        <f>IFERROR(INDEX([1]HubMaster!$B$2:$B$7,MATCH(C1430,[1]HubMaster!$A$2:$A$7,0)),"Unknown")</f>
        <v>North</v>
      </c>
      <c r="E1430" s="2" t="str">
        <f>PROPER(TRIM(SUBSTITUTE([1]RawShipmentData!D1445,"  "," ")))</f>
        <v>Xpress Bees</v>
      </c>
      <c r="F1430" s="2" t="str">
        <f>PROPER(TRIM([1]RawShipmentData!E1445))</f>
        <v>Air</v>
      </c>
      <c r="G1430" s="2" t="str">
        <f>PROPER(TRIM(SUBSTITUTE([1]RawShipmentData!F1445,"  "," ")))</f>
        <v>Pharma</v>
      </c>
      <c r="H1430" s="2" t="str">
        <f>PROPER(TRIM([1]RawShipmentData!G1445))</f>
        <v>West</v>
      </c>
      <c r="I1430" s="2" t="str">
        <f t="shared" si="110"/>
        <v>Yes</v>
      </c>
      <c r="J1430" s="2">
        <f>IFERROR(VALUE(TRIM(SUBSTITUTE(UPPER([1]RawShipmentData!I1430),"KG",""))),"")</f>
        <v>10.8</v>
      </c>
      <c r="K1430" s="2">
        <f>VALUE(SUBSTITUTE(SUBSTITUTE(SUBSTITUTE(TRIM([1]RawShipmentData!J1445),"₹",""),"Rs",""),",",""))</f>
        <v>350</v>
      </c>
      <c r="L1430" s="2">
        <f>[1]RawShipmentData!K1445</f>
        <v>4</v>
      </c>
      <c r="M1430" s="3">
        <f>IF(TRIM([1]RawShipmentData!L1445)="","",IF(ISNUMBER(SEARCH("/",TRIM([1]RawShipmentData!L1445))),DATE(VALUE(RIGHT(TRIM([1]RawShipmentData!L1445),4)),VALUE(MID(TRIM([1]RawShipmentData!L1445),FIND("/",TRIM([1]RawShipmentData!L1445))+1,2)),VALUE(LEFT(TRIM([1]RawShipmentData!L1445),FIND("/",TRIM([1]RawShipmentData!L1445))-1))),DATEVALUE(TRIM([1]RawShipmentData!L1445))))</f>
        <v>45405</v>
      </c>
      <c r="N1430" s="2">
        <f t="shared" si="111"/>
        <v>3</v>
      </c>
      <c r="O1430" s="2">
        <f t="shared" si="112"/>
        <v>-1</v>
      </c>
      <c r="P1430" s="2" t="str">
        <f t="shared" si="113"/>
        <v>On Time</v>
      </c>
      <c r="Q1430" s="2" t="str">
        <f>PROPER(SUBSTITUTE(TRIM([1]RawShipmentData!M1445)," ","-"))</f>
        <v>Delivered</v>
      </c>
      <c r="R1430" s="4">
        <f t="shared" si="114"/>
        <v>32.407407407407405</v>
      </c>
      <c r="S1430" s="2">
        <f>[1]RawShipmentData!N1445</f>
        <v>5</v>
      </c>
      <c r="T1430" s="2" t="str">
        <f>IF(OR(UPPER(TRIM([1]RawShipmentData!O1445))="YES",UPPER(TRIM([1]RawShipmentData!O1445))="Y"),"Yes","No")</f>
        <v>No</v>
      </c>
    </row>
    <row r="1431" spans="1:20" x14ac:dyDescent="0.25">
      <c r="A1431" s="2" t="str">
        <f>[1]RawShipmentData!A1446</f>
        <v>SHP-100198</v>
      </c>
      <c r="B1431" s="3">
        <f>IF(ISNUMBER(SEARCH("/",TRIM([1]RawShipmentData!B1446))),DATE(VALUE(RIGHT(TRIM([1]RawShipmentData!B1446),4)),VALUE(MID(TRIM([1]RawShipmentData!B1446),FIND("/",TRIM([1]RawShipmentData!B1446))+1,2)),VALUE(LEFT(TRIM([1]RawShipmentData!B1446),FIND("/",TRIM([1]RawShipmentData!B1446))-1))),DATEVALUE(TRIM([1]RawShipmentData!B1446)))</f>
        <v>45375</v>
      </c>
      <c r="C1431" s="2" t="str">
        <f>PROPER(TRIM([1]RawShipmentData!C1446))</f>
        <v>Chennai</v>
      </c>
      <c r="D1431" s="2" t="str">
        <f>IFERROR(INDEX([1]HubMaster!$B$2:$B$7,MATCH(C1431,[1]HubMaster!$A$2:$A$7,0)),"Unknown")</f>
        <v>South</v>
      </c>
      <c r="E1431" s="2" t="str">
        <f>PROPER(TRIM(SUBSTITUTE([1]RawShipmentData!D1446,"  "," ")))</f>
        <v>Delhivery</v>
      </c>
      <c r="F1431" s="2" t="str">
        <f>PROPER(TRIM([1]RawShipmentData!E1446))</f>
        <v>Air</v>
      </c>
      <c r="G1431" s="2" t="str">
        <f>PROPER(TRIM(SUBSTITUTE([1]RawShipmentData!F1446,"  "," ")))</f>
        <v>Grocery &amp; Fmcg</v>
      </c>
      <c r="H1431" s="2" t="str">
        <f>PROPER(TRIM([1]RawShipmentData!G1446))</f>
        <v>South</v>
      </c>
      <c r="I1431" s="2" t="str">
        <f t="shared" si="110"/>
        <v>No</v>
      </c>
      <c r="J1431" s="2">
        <f>IFERROR(VALUE(TRIM(SUBSTITUTE(UPPER([1]RawShipmentData!I1431),"KG",""))),"")</f>
        <v>3</v>
      </c>
      <c r="K1431" s="2">
        <f>VALUE(SUBSTITUTE(SUBSTITUTE(SUBSTITUTE(TRIM([1]RawShipmentData!J1446),"₹",""),"Rs",""),",",""))</f>
        <v>274</v>
      </c>
      <c r="L1431" s="2">
        <f>[1]RawShipmentData!K1446</f>
        <v>2</v>
      </c>
      <c r="M1431" s="3">
        <f>IF(TRIM([1]RawShipmentData!L1446)="","",IF(ISNUMBER(SEARCH("/",TRIM([1]RawShipmentData!L1446))),DATE(VALUE(RIGHT(TRIM([1]RawShipmentData!L1446),4)),VALUE(MID(TRIM([1]RawShipmentData!L1446),FIND("/",TRIM([1]RawShipmentData!L1446))+1,2)),VALUE(LEFT(TRIM([1]RawShipmentData!L1446),FIND("/",TRIM([1]RawShipmentData!L1446))-1))),DATEVALUE(TRIM([1]RawShipmentData!L1446))))</f>
        <v>45377</v>
      </c>
      <c r="N1431" s="2">
        <f t="shared" si="111"/>
        <v>2</v>
      </c>
      <c r="O1431" s="2">
        <f t="shared" si="112"/>
        <v>0</v>
      </c>
      <c r="P1431" s="2" t="str">
        <f t="shared" si="113"/>
        <v>On Time</v>
      </c>
      <c r="Q1431" s="2" t="str">
        <f>PROPER(SUBSTITUTE(TRIM([1]RawShipmentData!M1446)," ","-"))</f>
        <v>Delivered</v>
      </c>
      <c r="R1431" s="4">
        <f t="shared" si="114"/>
        <v>91.333333333333329</v>
      </c>
      <c r="S1431" s="2">
        <f>[1]RawShipmentData!N1446</f>
        <v>5</v>
      </c>
      <c r="T1431" s="2" t="str">
        <f>IF(OR(UPPER(TRIM([1]RawShipmentData!O1446))="YES",UPPER(TRIM([1]RawShipmentData!O1446))="Y"),"Yes","No")</f>
        <v>No</v>
      </c>
    </row>
    <row r="1432" spans="1:20" x14ac:dyDescent="0.25">
      <c r="A1432" s="2" t="str">
        <f>[1]RawShipmentData!A1447</f>
        <v>SHP-101169</v>
      </c>
      <c r="B1432" s="3">
        <f>IF(ISNUMBER(SEARCH("/",TRIM([1]RawShipmentData!B1447))),DATE(VALUE(RIGHT(TRIM([1]RawShipmentData!B1447),4)),VALUE(MID(TRIM([1]RawShipmentData!B1447),FIND("/",TRIM([1]RawShipmentData!B1447))+1,2)),VALUE(LEFT(TRIM([1]RawShipmentData!B1447),FIND("/",TRIM([1]RawShipmentData!B1447))-1))),DATEVALUE(TRIM([1]RawShipmentData!B1447)))</f>
        <v>45348</v>
      </c>
      <c r="C1432" s="2" t="str">
        <f>PROPER(TRIM([1]RawShipmentData!C1447))</f>
        <v>Chennai</v>
      </c>
      <c r="D1432" s="2" t="str">
        <f>IFERROR(INDEX([1]HubMaster!$B$2:$B$7,MATCH(C1432,[1]HubMaster!$A$2:$A$7,0)),"Unknown")</f>
        <v>South</v>
      </c>
      <c r="E1432" s="2" t="str">
        <f>PROPER(TRIM(SUBSTITUTE([1]RawShipmentData!D1447,"  "," ")))</f>
        <v>Xpressbees</v>
      </c>
      <c r="F1432" s="2" t="str">
        <f>PROPER(TRIM([1]RawShipmentData!E1447))</f>
        <v>Road</v>
      </c>
      <c r="G1432" s="2" t="str">
        <f>PROPER(TRIM(SUBSTITUTE([1]RawShipmentData!F1447,"  "," ")))</f>
        <v>Electronics</v>
      </c>
      <c r="H1432" s="2" t="str">
        <f>PROPER(TRIM([1]RawShipmentData!G1447))</f>
        <v>West</v>
      </c>
      <c r="I1432" s="2" t="str">
        <f t="shared" si="110"/>
        <v>Yes</v>
      </c>
      <c r="J1432" s="2">
        <f>IFERROR(VALUE(TRIM(SUBSTITUTE(UPPER([1]RawShipmentData!I1432),"KG",""))),"")</f>
        <v>1.8</v>
      </c>
      <c r="K1432" s="2">
        <f>VALUE(SUBSTITUTE(SUBSTITUTE(SUBSTITUTE(TRIM([1]RawShipmentData!J1447),"₹",""),"Rs",""),",",""))</f>
        <v>148</v>
      </c>
      <c r="L1432" s="2">
        <f>[1]RawShipmentData!K1447</f>
        <v>8</v>
      </c>
      <c r="M1432" s="3">
        <f>IF(TRIM([1]RawShipmentData!L1447)="","",IF(ISNUMBER(SEARCH("/",TRIM([1]RawShipmentData!L1447))),DATE(VALUE(RIGHT(TRIM([1]RawShipmentData!L1447),4)),VALUE(MID(TRIM([1]RawShipmentData!L1447),FIND("/",TRIM([1]RawShipmentData!L1447))+1,2)),VALUE(LEFT(TRIM([1]RawShipmentData!L1447),FIND("/",TRIM([1]RawShipmentData!L1447))-1))),DATEVALUE(TRIM([1]RawShipmentData!L1447))))</f>
        <v>45355</v>
      </c>
      <c r="N1432" s="2">
        <f t="shared" si="111"/>
        <v>7</v>
      </c>
      <c r="O1432" s="2">
        <f t="shared" si="112"/>
        <v>-1</v>
      </c>
      <c r="P1432" s="2" t="str">
        <f t="shared" si="113"/>
        <v>On Time</v>
      </c>
      <c r="Q1432" s="2" t="str">
        <f>PROPER(SUBSTITUTE(TRIM([1]RawShipmentData!M1447)," ","-"))</f>
        <v>Delivered</v>
      </c>
      <c r="R1432" s="4">
        <f t="shared" si="114"/>
        <v>82.222222222222214</v>
      </c>
      <c r="S1432" s="2">
        <f>[1]RawShipmentData!N1447</f>
        <v>4</v>
      </c>
      <c r="T1432" s="2" t="str">
        <f>IF(OR(UPPER(TRIM([1]RawShipmentData!O1447))="YES",UPPER(TRIM([1]RawShipmentData!O1447))="Y"),"Yes","No")</f>
        <v>No</v>
      </c>
    </row>
    <row r="1433" spans="1:20" x14ac:dyDescent="0.25">
      <c r="A1433" s="2" t="str">
        <f>[1]RawShipmentData!A1448</f>
        <v>SHP-101094</v>
      </c>
      <c r="B1433" s="3">
        <f>IF(ISNUMBER(SEARCH("/",TRIM([1]RawShipmentData!B1448))),DATE(VALUE(RIGHT(TRIM([1]RawShipmentData!B1448),4)),VALUE(MID(TRIM([1]RawShipmentData!B1448),FIND("/",TRIM([1]RawShipmentData!B1448))+1,2)),VALUE(LEFT(TRIM([1]RawShipmentData!B1448),FIND("/",TRIM([1]RawShipmentData!B1448))-1))),DATEVALUE(TRIM([1]RawShipmentData!B1448)))</f>
        <v>45349</v>
      </c>
      <c r="C1433" s="2" t="str">
        <f>PROPER(TRIM([1]RawShipmentData!C1448))</f>
        <v>Mumbai</v>
      </c>
      <c r="D1433" s="2" t="str">
        <f>IFERROR(INDEX([1]HubMaster!$B$2:$B$7,MATCH(C1433,[1]HubMaster!$A$2:$A$7,0)),"Unknown")</f>
        <v>West</v>
      </c>
      <c r="E1433" s="2" t="str">
        <f>PROPER(TRIM(SUBSTITUTE([1]RawShipmentData!D1448,"  "," ")))</f>
        <v>Bluedart</v>
      </c>
      <c r="F1433" s="2" t="str">
        <f>PROPER(TRIM([1]RawShipmentData!E1448))</f>
        <v>Road</v>
      </c>
      <c r="G1433" s="2" t="str">
        <f>PROPER(TRIM(SUBSTITUTE([1]RawShipmentData!F1448,"  "," ")))</f>
        <v>Apparel</v>
      </c>
      <c r="H1433" s="2" t="str">
        <f>PROPER(TRIM([1]RawShipmentData!G1448))</f>
        <v>South</v>
      </c>
      <c r="I1433" s="2" t="str">
        <f t="shared" si="110"/>
        <v>Yes</v>
      </c>
      <c r="J1433" s="2">
        <f>IFERROR(VALUE(TRIM(SUBSTITUTE(UPPER([1]RawShipmentData!I1433),"KG",""))),"")</f>
        <v>5.4</v>
      </c>
      <c r="K1433" s="2">
        <f>VALUE(SUBSTITUTE(SUBSTITUTE(SUBSTITUTE(TRIM([1]RawShipmentData!J1448),"₹",""),"Rs",""),",",""))</f>
        <v>228</v>
      </c>
      <c r="L1433" s="2">
        <f>[1]RawShipmentData!K1448</f>
        <v>8</v>
      </c>
      <c r="M1433" s="3">
        <f>IF(TRIM([1]RawShipmentData!L1448)="","",IF(ISNUMBER(SEARCH("/",TRIM([1]RawShipmentData!L1448))),DATE(VALUE(RIGHT(TRIM([1]RawShipmentData!L1448),4)),VALUE(MID(TRIM([1]RawShipmentData!L1448),FIND("/",TRIM([1]RawShipmentData!L1448))+1,2)),VALUE(LEFT(TRIM([1]RawShipmentData!L1448),FIND("/",TRIM([1]RawShipmentData!L1448))-1))),DATEVALUE(TRIM([1]RawShipmentData!L1448))))</f>
        <v>45356</v>
      </c>
      <c r="N1433" s="2">
        <f t="shared" si="111"/>
        <v>7</v>
      </c>
      <c r="O1433" s="2">
        <f t="shared" si="112"/>
        <v>-1</v>
      </c>
      <c r="P1433" s="2" t="str">
        <f t="shared" si="113"/>
        <v>On Time</v>
      </c>
      <c r="Q1433" s="2" t="str">
        <f>PROPER(SUBSTITUTE(TRIM([1]RawShipmentData!M1448)," ","-"))</f>
        <v>Delivered</v>
      </c>
      <c r="R1433" s="4">
        <f t="shared" si="114"/>
        <v>42.222222222222221</v>
      </c>
      <c r="S1433" s="2">
        <f>[1]RawShipmentData!N1448</f>
        <v>4</v>
      </c>
      <c r="T1433" s="2" t="str">
        <f>IF(OR(UPPER(TRIM([1]RawShipmentData!O1448))="YES",UPPER(TRIM([1]RawShipmentData!O1448))="Y"),"Yes","No")</f>
        <v>No</v>
      </c>
    </row>
    <row r="1434" spans="1:20" x14ac:dyDescent="0.25">
      <c r="A1434" s="2" t="str">
        <f>[1]RawShipmentData!A1449</f>
        <v>SHP-100439</v>
      </c>
      <c r="B1434" s="3">
        <f>IF(ISNUMBER(SEARCH("/",TRIM([1]RawShipmentData!B1449))),DATE(VALUE(RIGHT(TRIM([1]RawShipmentData!B1449),4)),VALUE(MID(TRIM([1]RawShipmentData!B1449),FIND("/",TRIM([1]RawShipmentData!B1449))+1,2)),VALUE(LEFT(TRIM([1]RawShipmentData!B1449),FIND("/",TRIM([1]RawShipmentData!B1449))-1))),DATEVALUE(TRIM([1]RawShipmentData!B1449)))</f>
        <v>45370</v>
      </c>
      <c r="C1434" s="2" t="str">
        <f>PROPER(TRIM([1]RawShipmentData!C1449))</f>
        <v>Mumbai</v>
      </c>
      <c r="D1434" s="2" t="str">
        <f>IFERROR(INDEX([1]HubMaster!$B$2:$B$7,MATCH(C1434,[1]HubMaster!$A$2:$A$7,0)),"Unknown")</f>
        <v>West</v>
      </c>
      <c r="E1434" s="2" t="str">
        <f>PROPER(TRIM(SUBSTITUTE([1]RawShipmentData!D1449,"  "," ")))</f>
        <v>Delhivery</v>
      </c>
      <c r="F1434" s="2" t="str">
        <f>PROPER(TRIM([1]RawShipmentData!E1449))</f>
        <v>Air</v>
      </c>
      <c r="G1434" s="2" t="str">
        <f>PROPER(TRIM(SUBSTITUTE([1]RawShipmentData!F1449,"  "," ")))</f>
        <v>Pharma</v>
      </c>
      <c r="H1434" s="2" t="str">
        <f>PROPER(TRIM([1]RawShipmentData!G1449))</f>
        <v>North</v>
      </c>
      <c r="I1434" s="2" t="str">
        <f t="shared" si="110"/>
        <v>Yes</v>
      </c>
      <c r="J1434" s="2">
        <f>IFERROR(VALUE(TRIM(SUBSTITUTE(UPPER([1]RawShipmentData!I1434),"KG",""))),"")</f>
        <v>4.9000000000000004</v>
      </c>
      <c r="K1434" s="2">
        <f>VALUE(SUBSTITUTE(SUBSTITUTE(SUBSTITUTE(TRIM([1]RawShipmentData!J1449),"₹",""),"Rs",""),",",""))</f>
        <v>371</v>
      </c>
      <c r="L1434" s="2">
        <f>[1]RawShipmentData!K1449</f>
        <v>4</v>
      </c>
      <c r="M1434" s="3">
        <f>IF(TRIM([1]RawShipmentData!L1449)="","",IF(ISNUMBER(SEARCH("/",TRIM([1]RawShipmentData!L1449))),DATE(VALUE(RIGHT(TRIM([1]RawShipmentData!L1449),4)),VALUE(MID(TRIM([1]RawShipmentData!L1449),FIND("/",TRIM([1]RawShipmentData!L1449))+1,2)),VALUE(LEFT(TRIM([1]RawShipmentData!L1449),FIND("/",TRIM([1]RawShipmentData!L1449))-1))),DATEVALUE(TRIM([1]RawShipmentData!L1449))))</f>
        <v>45375</v>
      </c>
      <c r="N1434" s="2">
        <f t="shared" si="111"/>
        <v>5</v>
      </c>
      <c r="O1434" s="2">
        <f t="shared" si="112"/>
        <v>1</v>
      </c>
      <c r="P1434" s="2" t="str">
        <f t="shared" si="113"/>
        <v>Late</v>
      </c>
      <c r="Q1434" s="2" t="str">
        <f>PROPER(SUBSTITUTE(TRIM([1]RawShipmentData!M1449)," ","-"))</f>
        <v>Delayed</v>
      </c>
      <c r="R1434" s="4">
        <f t="shared" si="114"/>
        <v>75.714285714285708</v>
      </c>
      <c r="S1434" s="2">
        <f>[1]RawShipmentData!N1449</f>
        <v>1</v>
      </c>
      <c r="T1434" s="2" t="str">
        <f>IF(OR(UPPER(TRIM([1]RawShipmentData!O1449))="YES",UPPER(TRIM([1]RawShipmentData!O1449))="Y"),"Yes","No")</f>
        <v>Yes</v>
      </c>
    </row>
    <row r="1435" spans="1:20" x14ac:dyDescent="0.25">
      <c r="A1435" s="2" t="str">
        <f>[1]RawShipmentData!A1450</f>
        <v>SHP-101228</v>
      </c>
      <c r="B1435" s="3">
        <f>IF(ISNUMBER(SEARCH("/",TRIM([1]RawShipmentData!B1450))),DATE(VALUE(RIGHT(TRIM([1]RawShipmentData!B1450),4)),VALUE(MID(TRIM([1]RawShipmentData!B1450),FIND("/",TRIM([1]RawShipmentData!B1450))+1,2)),VALUE(LEFT(TRIM([1]RawShipmentData!B1450),FIND("/",TRIM([1]RawShipmentData!B1450))-1))),DATEVALUE(TRIM([1]RawShipmentData!B1450)))</f>
        <v>45446</v>
      </c>
      <c r="C1435" s="2" t="str">
        <f>PROPER(TRIM([1]RawShipmentData!C1450))</f>
        <v>Kolkata</v>
      </c>
      <c r="D1435" s="2" t="str">
        <f>IFERROR(INDEX([1]HubMaster!$B$2:$B$7,MATCH(C1435,[1]HubMaster!$A$2:$A$7,0)),"Unknown")</f>
        <v>East</v>
      </c>
      <c r="E1435" s="2" t="str">
        <f>PROPER(TRIM(SUBSTITUTE([1]RawShipmentData!D1450,"  "," ")))</f>
        <v>Xpress Bees</v>
      </c>
      <c r="F1435" s="2" t="str">
        <f>PROPER(TRIM([1]RawShipmentData!E1450))</f>
        <v>Surface</v>
      </c>
      <c r="G1435" s="2" t="str">
        <f>PROPER(TRIM(SUBSTITUTE([1]RawShipmentData!F1450,"  "," ")))</f>
        <v>Grocery &amp; Fmcg</v>
      </c>
      <c r="H1435" s="2" t="str">
        <f>PROPER(TRIM([1]RawShipmentData!G1450))</f>
        <v>North</v>
      </c>
      <c r="I1435" s="2" t="str">
        <f t="shared" si="110"/>
        <v>Yes</v>
      </c>
      <c r="J1435" s="2">
        <f>IFERROR(VALUE(TRIM(SUBSTITUTE(UPPER([1]RawShipmentData!I1435),"KG",""))),"")</f>
        <v>11.7</v>
      </c>
      <c r="K1435" s="2">
        <f>VALUE(SUBSTITUTE(SUBSTITUTE(SUBSTITUTE(TRIM([1]RawShipmentData!J1450),"₹",""),"Rs",""),",",""))</f>
        <v>373</v>
      </c>
      <c r="L1435" s="2">
        <f>[1]RawShipmentData!K1450</f>
        <v>6</v>
      </c>
      <c r="M1435" s="3">
        <f>IF(TRIM([1]RawShipmentData!L1450)="","",IF(ISNUMBER(SEARCH("/",TRIM([1]RawShipmentData!L1450))),DATE(VALUE(RIGHT(TRIM([1]RawShipmentData!L1450),4)),VALUE(MID(TRIM([1]RawShipmentData!L1450),FIND("/",TRIM([1]RawShipmentData!L1450))+1,2)),VALUE(LEFT(TRIM([1]RawShipmentData!L1450),FIND("/",TRIM([1]RawShipmentData!L1450))-1))),DATEVALUE(TRIM([1]RawShipmentData!L1450))))</f>
        <v>45452</v>
      </c>
      <c r="N1435" s="2">
        <f t="shared" si="111"/>
        <v>6</v>
      </c>
      <c r="O1435" s="2">
        <f t="shared" si="112"/>
        <v>0</v>
      </c>
      <c r="P1435" s="2" t="str">
        <f t="shared" si="113"/>
        <v>On Time</v>
      </c>
      <c r="Q1435" s="2" t="str">
        <f>PROPER(SUBSTITUTE(TRIM([1]RawShipmentData!M1450)," ","-"))</f>
        <v>Delivered</v>
      </c>
      <c r="R1435" s="4">
        <f t="shared" si="114"/>
        <v>31.880341880341881</v>
      </c>
      <c r="S1435" s="2">
        <f>[1]RawShipmentData!N1450</f>
        <v>5</v>
      </c>
      <c r="T1435" s="2" t="str">
        <f>IF(OR(UPPER(TRIM([1]RawShipmentData!O1450))="YES",UPPER(TRIM([1]RawShipmentData!O1450))="Y"),"Yes","No")</f>
        <v>No</v>
      </c>
    </row>
    <row r="1436" spans="1:20" x14ac:dyDescent="0.25">
      <c r="A1436" s="2" t="str">
        <f>[1]RawShipmentData!A1451</f>
        <v>SHP-100358</v>
      </c>
      <c r="B1436" s="3">
        <f>IF(ISNUMBER(SEARCH("/",TRIM([1]RawShipmentData!B1451))),DATE(VALUE(RIGHT(TRIM([1]RawShipmentData!B1451),4)),VALUE(MID(TRIM([1]RawShipmentData!B1451),FIND("/",TRIM([1]RawShipmentData!B1451))+1,2)),VALUE(LEFT(TRIM([1]RawShipmentData!B1451),FIND("/",TRIM([1]RawShipmentData!B1451))-1))),DATEVALUE(TRIM([1]RawShipmentData!B1451)))</f>
        <v>45408</v>
      </c>
      <c r="C1436" s="2" t="str">
        <f>PROPER(TRIM([1]RawShipmentData!C1451))</f>
        <v>Mumbai</v>
      </c>
      <c r="D1436" s="2" t="str">
        <f>IFERROR(INDEX([1]HubMaster!$B$2:$B$7,MATCH(C1436,[1]HubMaster!$A$2:$A$7,0)),"Unknown")</f>
        <v>West</v>
      </c>
      <c r="E1436" s="2" t="str">
        <f>PROPER(TRIM(SUBSTITUTE([1]RawShipmentData!D1451,"  "," ")))</f>
        <v>Delhivery</v>
      </c>
      <c r="F1436" s="2" t="str">
        <f>PROPER(TRIM([1]RawShipmentData!E1451))</f>
        <v>Road</v>
      </c>
      <c r="G1436" s="2" t="str">
        <f>PROPER(TRIM(SUBSTITUTE([1]RawShipmentData!F1451,"  "," ")))</f>
        <v>Automotive Parts</v>
      </c>
      <c r="H1436" s="2" t="str">
        <f>PROPER(TRIM([1]RawShipmentData!G1451))</f>
        <v>East</v>
      </c>
      <c r="I1436" s="2" t="str">
        <f t="shared" si="110"/>
        <v>Yes</v>
      </c>
      <c r="J1436" s="2">
        <f>IFERROR(VALUE(TRIM(SUBSTITUTE(UPPER([1]RawShipmentData!I1436),"KG",""))),"")</f>
        <v>13.8</v>
      </c>
      <c r="K1436" s="2">
        <f>VALUE(SUBSTITUTE(SUBSTITUTE(SUBSTITUTE(TRIM([1]RawShipmentData!J1451),"₹",""),"Rs",""),",",""))</f>
        <v>354</v>
      </c>
      <c r="L1436" s="2">
        <f>[1]RawShipmentData!K1451</f>
        <v>8</v>
      </c>
      <c r="M1436" s="3">
        <f>IF(TRIM([1]RawShipmentData!L1451)="","",IF(ISNUMBER(SEARCH("/",TRIM([1]RawShipmentData!L1451))),DATE(VALUE(RIGHT(TRIM([1]RawShipmentData!L1451),4)),VALUE(MID(TRIM([1]RawShipmentData!L1451),FIND("/",TRIM([1]RawShipmentData!L1451))+1,2)),VALUE(LEFT(TRIM([1]RawShipmentData!L1451),FIND("/",TRIM([1]RawShipmentData!L1451))-1))),DATEVALUE(TRIM([1]RawShipmentData!L1451))))</f>
        <v>45415</v>
      </c>
      <c r="N1436" s="2">
        <f t="shared" si="111"/>
        <v>7</v>
      </c>
      <c r="O1436" s="2">
        <f t="shared" si="112"/>
        <v>-1</v>
      </c>
      <c r="P1436" s="2" t="str">
        <f t="shared" si="113"/>
        <v>On Time</v>
      </c>
      <c r="Q1436" s="2" t="str">
        <f>PROPER(SUBSTITUTE(TRIM([1]RawShipmentData!M1451)," ","-"))</f>
        <v>Delivered</v>
      </c>
      <c r="R1436" s="4">
        <f t="shared" si="114"/>
        <v>25.652173913043477</v>
      </c>
      <c r="S1436" s="2">
        <f>[1]RawShipmentData!N1451</f>
        <v>5</v>
      </c>
      <c r="T1436" s="2" t="str">
        <f>IF(OR(UPPER(TRIM([1]RawShipmentData!O1451))="YES",UPPER(TRIM([1]RawShipmentData!O1451))="Y"),"Yes","No")</f>
        <v>No</v>
      </c>
    </row>
    <row r="1437" spans="1:20" x14ac:dyDescent="0.25">
      <c r="A1437" s="2" t="str">
        <f>[1]RawShipmentData!A1452</f>
        <v>SHP-101567</v>
      </c>
      <c r="B1437" s="3">
        <f>IF(ISNUMBER(SEARCH("/",TRIM([1]RawShipmentData!B1452))),DATE(VALUE(RIGHT(TRIM([1]RawShipmentData!B1452),4)),VALUE(MID(TRIM([1]RawShipmentData!B1452),FIND("/",TRIM([1]RawShipmentData!B1452))+1,2)),VALUE(LEFT(TRIM([1]RawShipmentData!B1452),FIND("/",TRIM([1]RawShipmentData!B1452))-1))),DATEVALUE(TRIM([1]RawShipmentData!B1452)))</f>
        <v>45410</v>
      </c>
      <c r="C1437" s="2" t="str">
        <f>PROPER(TRIM([1]RawShipmentData!C1452))</f>
        <v>Bengaluru</v>
      </c>
      <c r="D1437" s="2" t="str">
        <f>IFERROR(INDEX([1]HubMaster!$B$2:$B$7,MATCH(C1437,[1]HubMaster!$A$2:$A$7,0)),"Unknown")</f>
        <v>South</v>
      </c>
      <c r="E1437" s="2" t="str">
        <f>PROPER(TRIM(SUBSTITUTE([1]RawShipmentData!D1452,"  "," ")))</f>
        <v>Delhivery</v>
      </c>
      <c r="F1437" s="2" t="str">
        <f>PROPER(TRIM([1]RawShipmentData!E1452))</f>
        <v>Road</v>
      </c>
      <c r="G1437" s="2" t="str">
        <f>PROPER(TRIM(SUBSTITUTE([1]RawShipmentData!F1452,"  "," ")))</f>
        <v>Grocery &amp; Fmcg</v>
      </c>
      <c r="H1437" s="2" t="str">
        <f>PROPER(TRIM([1]RawShipmentData!G1452))</f>
        <v>South</v>
      </c>
      <c r="I1437" s="2" t="str">
        <f t="shared" si="110"/>
        <v>No</v>
      </c>
      <c r="J1437" s="2">
        <f>IFERROR(VALUE(TRIM(SUBSTITUTE(UPPER([1]RawShipmentData!I1437),"KG",""))),"")</f>
        <v>4.5</v>
      </c>
      <c r="K1437" s="2">
        <f>VALUE(SUBSTITUTE(SUBSTITUTE(SUBSTITUTE(TRIM([1]RawShipmentData!J1452),"₹",""),"Rs",""),",",""))</f>
        <v>219</v>
      </c>
      <c r="L1437" s="2">
        <f>[1]RawShipmentData!K1452</f>
        <v>6</v>
      </c>
      <c r="M1437" s="3">
        <f>IF(TRIM([1]RawShipmentData!L1452)="","",IF(ISNUMBER(SEARCH("/",TRIM([1]RawShipmentData!L1452))),DATE(VALUE(RIGHT(TRIM([1]RawShipmentData!L1452),4)),VALUE(MID(TRIM([1]RawShipmentData!L1452),FIND("/",TRIM([1]RawShipmentData!L1452))+1,2)),VALUE(LEFT(TRIM([1]RawShipmentData!L1452),FIND("/",TRIM([1]RawShipmentData!L1452))-1))),DATEVALUE(TRIM([1]RawShipmentData!L1452))))</f>
        <v>45421</v>
      </c>
      <c r="N1437" s="2">
        <f t="shared" si="111"/>
        <v>11</v>
      </c>
      <c r="O1437" s="2">
        <f t="shared" si="112"/>
        <v>5</v>
      </c>
      <c r="P1437" s="2" t="str">
        <f t="shared" si="113"/>
        <v>Late</v>
      </c>
      <c r="Q1437" s="2" t="str">
        <f>PROPER(SUBSTITUTE(TRIM([1]RawShipmentData!M1452)," ","-"))</f>
        <v>Delayed</v>
      </c>
      <c r="R1437" s="4">
        <f t="shared" si="114"/>
        <v>48.666666666666664</v>
      </c>
      <c r="S1437" s="2">
        <f>[1]RawShipmentData!N1452</f>
        <v>3</v>
      </c>
      <c r="T1437" s="2" t="str">
        <f>IF(OR(UPPER(TRIM([1]RawShipmentData!O1452))="YES",UPPER(TRIM([1]RawShipmentData!O1452))="Y"),"Yes","No")</f>
        <v>Yes</v>
      </c>
    </row>
    <row r="1438" spans="1:20" x14ac:dyDescent="0.25">
      <c r="A1438" s="2" t="str">
        <f>[1]RawShipmentData!A1453</f>
        <v>SHP-100635</v>
      </c>
      <c r="B1438" s="3">
        <f>IF(ISNUMBER(SEARCH("/",TRIM([1]RawShipmentData!B1453))),DATE(VALUE(RIGHT(TRIM([1]RawShipmentData!B1453),4)),VALUE(MID(TRIM([1]RawShipmentData!B1453),FIND("/",TRIM([1]RawShipmentData!B1453))+1,2)),VALUE(LEFT(TRIM([1]RawShipmentData!B1453),FIND("/",TRIM([1]RawShipmentData!B1453))-1))),DATEVALUE(TRIM([1]RawShipmentData!B1453)))</f>
        <v>45421</v>
      </c>
      <c r="C1438" s="2" t="str">
        <f>PROPER(TRIM([1]RawShipmentData!C1453))</f>
        <v>Chennai</v>
      </c>
      <c r="D1438" s="2" t="str">
        <f>IFERROR(INDEX([1]HubMaster!$B$2:$B$7,MATCH(C1438,[1]HubMaster!$A$2:$A$7,0)),"Unknown")</f>
        <v>South</v>
      </c>
      <c r="E1438" s="2" t="str">
        <f>PROPER(TRIM(SUBSTITUTE([1]RawShipmentData!D1453,"  "," ")))</f>
        <v>Ecom Express</v>
      </c>
      <c r="F1438" s="2" t="str">
        <f>PROPER(TRIM([1]RawShipmentData!E1453))</f>
        <v>Road</v>
      </c>
      <c r="G1438" s="2" t="str">
        <f>PROPER(TRIM(SUBSTITUTE([1]RawShipmentData!F1453,"  "," ")))</f>
        <v>Automotive Parts</v>
      </c>
      <c r="H1438" s="2" t="str">
        <f>PROPER(TRIM([1]RawShipmentData!G1453))</f>
        <v>East</v>
      </c>
      <c r="I1438" s="2" t="str">
        <f t="shared" si="110"/>
        <v>Yes</v>
      </c>
      <c r="J1438" s="2">
        <f>IFERROR(VALUE(TRIM(SUBSTITUTE(UPPER([1]RawShipmentData!I1438),"KG",""))),"")</f>
        <v>1.5</v>
      </c>
      <c r="K1438" s="2">
        <f>VALUE(SUBSTITUTE(SUBSTITUTE(SUBSTITUTE(TRIM([1]RawShipmentData!J1453),"₹",""),"Rs",""),",",""))</f>
        <v>506</v>
      </c>
      <c r="L1438" s="2">
        <f>[1]RawShipmentData!K1453</f>
        <v>8</v>
      </c>
      <c r="M1438" s="3">
        <f>IF(TRIM([1]RawShipmentData!L1453)="","",IF(ISNUMBER(SEARCH("/",TRIM([1]RawShipmentData!L1453))),DATE(VALUE(RIGHT(TRIM([1]RawShipmentData!L1453),4)),VALUE(MID(TRIM([1]RawShipmentData!L1453),FIND("/",TRIM([1]RawShipmentData!L1453))+1,2)),VALUE(LEFT(TRIM([1]RawShipmentData!L1453),FIND("/",TRIM([1]RawShipmentData!L1453))-1))),DATEVALUE(TRIM([1]RawShipmentData!L1453))))</f>
        <v>45428</v>
      </c>
      <c r="N1438" s="2">
        <f t="shared" si="111"/>
        <v>7</v>
      </c>
      <c r="O1438" s="2">
        <f t="shared" si="112"/>
        <v>-1</v>
      </c>
      <c r="P1438" s="2" t="str">
        <f t="shared" si="113"/>
        <v>On Time</v>
      </c>
      <c r="Q1438" s="2" t="str">
        <f>PROPER(SUBSTITUTE(TRIM([1]RawShipmentData!M1453)," ","-"))</f>
        <v>Delivered</v>
      </c>
      <c r="R1438" s="4">
        <f t="shared" si="114"/>
        <v>337.33333333333331</v>
      </c>
      <c r="S1438" s="2">
        <f>[1]RawShipmentData!N1453</f>
        <v>5</v>
      </c>
      <c r="T1438" s="2" t="str">
        <f>IF(OR(UPPER(TRIM([1]RawShipmentData!O1453))="YES",UPPER(TRIM([1]RawShipmentData!O1453))="Y"),"Yes","No")</f>
        <v>No</v>
      </c>
    </row>
    <row r="1439" spans="1:20" x14ac:dyDescent="0.25">
      <c r="A1439" s="2" t="str">
        <f>[1]RawShipmentData!A1454</f>
        <v>SHP-100038</v>
      </c>
      <c r="B1439" s="3">
        <f>IF(ISNUMBER(SEARCH("/",TRIM([1]RawShipmentData!B1454))),DATE(VALUE(RIGHT(TRIM([1]RawShipmentData!B1454),4)),VALUE(MID(TRIM([1]RawShipmentData!B1454),FIND("/",TRIM([1]RawShipmentData!B1454))+1,2)),VALUE(LEFT(TRIM([1]RawShipmentData!B1454),FIND("/",TRIM([1]RawShipmentData!B1454))-1))),DATEVALUE(TRIM([1]RawShipmentData!B1454)))</f>
        <v>45447</v>
      </c>
      <c r="C1439" s="2" t="str">
        <f>PROPER(TRIM([1]RawShipmentData!C1454))</f>
        <v>Bengaluru</v>
      </c>
      <c r="D1439" s="2" t="str">
        <f>IFERROR(INDEX([1]HubMaster!$B$2:$B$7,MATCH(C1439,[1]HubMaster!$A$2:$A$7,0)),"Unknown")</f>
        <v>South</v>
      </c>
      <c r="E1439" s="2" t="str">
        <f>PROPER(TRIM(SUBSTITUTE([1]RawShipmentData!D1454,"  "," ")))</f>
        <v>Xpressbees</v>
      </c>
      <c r="F1439" s="2" t="str">
        <f>PROPER(TRIM([1]RawShipmentData!E1454))</f>
        <v>Air</v>
      </c>
      <c r="G1439" s="2" t="str">
        <f>PROPER(TRIM(SUBSTITUTE([1]RawShipmentData!F1454,"  "," ")))</f>
        <v>Furniture</v>
      </c>
      <c r="H1439" s="2" t="str">
        <f>PROPER(TRIM([1]RawShipmentData!G1454))</f>
        <v>West</v>
      </c>
      <c r="I1439" s="2" t="str">
        <f t="shared" si="110"/>
        <v>Yes</v>
      </c>
      <c r="J1439" s="2">
        <f>IFERROR(VALUE(TRIM(SUBSTITUTE(UPPER([1]RawShipmentData!I1439),"KG",""))),"")</f>
        <v>64.099999999999994</v>
      </c>
      <c r="K1439" s="2">
        <f>VALUE(SUBSTITUTE(SUBSTITUTE(SUBSTITUTE(TRIM([1]RawShipmentData!J1454),"₹",""),"Rs",""),",",""))</f>
        <v>3427</v>
      </c>
      <c r="L1439" s="2">
        <f>[1]RawShipmentData!K1454</f>
        <v>4</v>
      </c>
      <c r="M1439" s="3">
        <f>IF(TRIM([1]RawShipmentData!L1454)="","",IF(ISNUMBER(SEARCH("/",TRIM([1]RawShipmentData!L1454))),DATE(VALUE(RIGHT(TRIM([1]RawShipmentData!L1454),4)),VALUE(MID(TRIM([1]RawShipmentData!L1454),FIND("/",TRIM([1]RawShipmentData!L1454))+1,2)),VALUE(LEFT(TRIM([1]RawShipmentData!L1454),FIND("/",TRIM([1]RawShipmentData!L1454))-1))),DATEVALUE(TRIM([1]RawShipmentData!L1454))))</f>
        <v>45452</v>
      </c>
      <c r="N1439" s="2">
        <f t="shared" si="111"/>
        <v>5</v>
      </c>
      <c r="O1439" s="2">
        <f t="shared" si="112"/>
        <v>1</v>
      </c>
      <c r="P1439" s="2" t="str">
        <f t="shared" si="113"/>
        <v>Late</v>
      </c>
      <c r="Q1439" s="2" t="str">
        <f>PROPER(SUBSTITUTE(TRIM([1]RawShipmentData!M1454)," ","-"))</f>
        <v>Delayed</v>
      </c>
      <c r="R1439" s="4">
        <f t="shared" si="114"/>
        <v>53.463338533541346</v>
      </c>
      <c r="S1439" s="2">
        <f>[1]RawShipmentData!N1454</f>
        <v>1</v>
      </c>
      <c r="T1439" s="2" t="str">
        <f>IF(OR(UPPER(TRIM([1]RawShipmentData!O1454))="YES",UPPER(TRIM([1]RawShipmentData!O1454))="Y"),"Yes","No")</f>
        <v>No</v>
      </c>
    </row>
    <row r="1440" spans="1:20" x14ac:dyDescent="0.25">
      <c r="A1440" s="2" t="str">
        <f>[1]RawShipmentData!A1455</f>
        <v>SHP-100267</v>
      </c>
      <c r="B1440" s="3">
        <f>IF(ISNUMBER(SEARCH("/",TRIM([1]RawShipmentData!B1455))),DATE(VALUE(RIGHT(TRIM([1]RawShipmentData!B1455),4)),VALUE(MID(TRIM([1]RawShipmentData!B1455),FIND("/",TRIM([1]RawShipmentData!B1455))+1,2)),VALUE(LEFT(TRIM([1]RawShipmentData!B1455),FIND("/",TRIM([1]RawShipmentData!B1455))-1))),DATEVALUE(TRIM([1]RawShipmentData!B1455)))</f>
        <v>45360</v>
      </c>
      <c r="C1440" s="2" t="str">
        <f>PROPER(TRIM([1]RawShipmentData!C1455))</f>
        <v>Hyderabad</v>
      </c>
      <c r="D1440" s="2" t="str">
        <f>IFERROR(INDEX([1]HubMaster!$B$2:$B$7,MATCH(C1440,[1]HubMaster!$A$2:$A$7,0)),"Unknown")</f>
        <v>West</v>
      </c>
      <c r="E1440" s="2" t="str">
        <f>PROPER(TRIM(SUBSTITUTE([1]RawShipmentData!D1455,"  "," ")))</f>
        <v>Blue Dart</v>
      </c>
      <c r="F1440" s="2" t="str">
        <f>PROPER(TRIM([1]RawShipmentData!E1455))</f>
        <v>Air</v>
      </c>
      <c r="G1440" s="2" t="str">
        <f>PROPER(TRIM(SUBSTITUTE([1]RawShipmentData!F1455,"  "," ")))</f>
        <v>Apparel</v>
      </c>
      <c r="H1440" s="2" t="str">
        <f>PROPER(TRIM([1]RawShipmentData!G1455))</f>
        <v>East</v>
      </c>
      <c r="I1440" s="2" t="str">
        <f t="shared" si="110"/>
        <v>Yes</v>
      </c>
      <c r="J1440" s="2">
        <f>IFERROR(VALUE(TRIM(SUBSTITUTE(UPPER([1]RawShipmentData!I1440),"KG",""))),"")</f>
        <v>4.9000000000000004</v>
      </c>
      <c r="K1440" s="2">
        <f>VALUE(SUBSTITUTE(SUBSTITUTE(SUBSTITUTE(TRIM([1]RawShipmentData!J1455),"₹",""),"Rs",""),",",""))</f>
        <v>285</v>
      </c>
      <c r="L1440" s="2">
        <f>[1]RawShipmentData!K1455</f>
        <v>4</v>
      </c>
      <c r="M1440" s="3">
        <f>IF(TRIM([1]RawShipmentData!L1455)="","",IF(ISNUMBER(SEARCH("/",TRIM([1]RawShipmentData!L1455))),DATE(VALUE(RIGHT(TRIM([1]RawShipmentData!L1455),4)),VALUE(MID(TRIM([1]RawShipmentData!L1455),FIND("/",TRIM([1]RawShipmentData!L1455))+1,2)),VALUE(LEFT(TRIM([1]RawShipmentData!L1455),FIND("/",TRIM([1]RawShipmentData!L1455))-1))),DATEVALUE(TRIM([1]RawShipmentData!L1455))))</f>
        <v>45365</v>
      </c>
      <c r="N1440" s="2">
        <f t="shared" si="111"/>
        <v>5</v>
      </c>
      <c r="O1440" s="2">
        <f t="shared" si="112"/>
        <v>1</v>
      </c>
      <c r="P1440" s="2" t="str">
        <f t="shared" si="113"/>
        <v>Late</v>
      </c>
      <c r="Q1440" s="2" t="str">
        <f>PROPER(SUBSTITUTE(TRIM([1]RawShipmentData!M1455)," ","-"))</f>
        <v>Delayed</v>
      </c>
      <c r="R1440" s="4">
        <f t="shared" si="114"/>
        <v>58.163265306122447</v>
      </c>
      <c r="S1440" s="2">
        <f>[1]RawShipmentData!N1455</f>
        <v>4</v>
      </c>
      <c r="T1440" s="2" t="str">
        <f>IF(OR(UPPER(TRIM([1]RawShipmentData!O1455))="YES",UPPER(TRIM([1]RawShipmentData!O1455))="Y"),"Yes","No")</f>
        <v>Yes</v>
      </c>
    </row>
    <row r="1441" spans="1:20" x14ac:dyDescent="0.25">
      <c r="A1441" s="2" t="str">
        <f>[1]RawShipmentData!A1456</f>
        <v>SHP-100431</v>
      </c>
      <c r="B1441" s="3">
        <f>IF(ISNUMBER(SEARCH("/",TRIM([1]RawShipmentData!B1456))),DATE(VALUE(RIGHT(TRIM([1]RawShipmentData!B1456),4)),VALUE(MID(TRIM([1]RawShipmentData!B1456),FIND("/",TRIM([1]RawShipmentData!B1456))+1,2)),VALUE(LEFT(TRIM([1]RawShipmentData!B1456),FIND("/",TRIM([1]RawShipmentData!B1456))-1))),DATEVALUE(TRIM([1]RawShipmentData!B1456)))</f>
        <v>45422</v>
      </c>
      <c r="C1441" s="2" t="str">
        <f>PROPER(TRIM([1]RawShipmentData!C1456))</f>
        <v>Mumbai</v>
      </c>
      <c r="D1441" s="2" t="str">
        <f>IFERROR(INDEX([1]HubMaster!$B$2:$B$7,MATCH(C1441,[1]HubMaster!$A$2:$A$7,0)),"Unknown")</f>
        <v>West</v>
      </c>
      <c r="E1441" s="2" t="str">
        <f>PROPER(TRIM(SUBSTITUTE([1]RawShipmentData!D1456,"  "," ")))</f>
        <v>Dtdc</v>
      </c>
      <c r="F1441" s="2" t="str">
        <f>PROPER(TRIM([1]RawShipmentData!E1456))</f>
        <v>Road</v>
      </c>
      <c r="G1441" s="2" t="str">
        <f>PROPER(TRIM(SUBSTITUTE([1]RawShipmentData!F1456,"  "," ")))</f>
        <v>Grocery &amp; Fmcg</v>
      </c>
      <c r="H1441" s="2" t="str">
        <f>PROPER(TRIM([1]RawShipmentData!G1456))</f>
        <v>South</v>
      </c>
      <c r="I1441" s="2" t="str">
        <f t="shared" si="110"/>
        <v>Yes</v>
      </c>
      <c r="J1441" s="2">
        <f>IFERROR(VALUE(TRIM(SUBSTITUTE(UPPER([1]RawShipmentData!I1441),"KG",""))),"")</f>
        <v>35.5</v>
      </c>
      <c r="K1441" s="2">
        <f>VALUE(SUBSTITUTE(SUBSTITUTE(SUBSTITUTE(TRIM([1]RawShipmentData!J1456),"₹",""),"Rs",""),",",""))</f>
        <v>413</v>
      </c>
      <c r="L1441" s="2">
        <f>[1]RawShipmentData!K1456</f>
        <v>8</v>
      </c>
      <c r="M1441" s="3">
        <f>IF(TRIM([1]RawShipmentData!L1456)="","",IF(ISNUMBER(SEARCH("/",TRIM([1]RawShipmentData!L1456))),DATE(VALUE(RIGHT(TRIM([1]RawShipmentData!L1456),4)),VALUE(MID(TRIM([1]RawShipmentData!L1456),FIND("/",TRIM([1]RawShipmentData!L1456))+1,2)),VALUE(LEFT(TRIM([1]RawShipmentData!L1456),FIND("/",TRIM([1]RawShipmentData!L1456))-1))),DATEVALUE(TRIM([1]RawShipmentData!L1456))))</f>
        <v>45430</v>
      </c>
      <c r="N1441" s="2">
        <f t="shared" si="111"/>
        <v>8</v>
      </c>
      <c r="O1441" s="2">
        <f t="shared" si="112"/>
        <v>0</v>
      </c>
      <c r="P1441" s="2" t="str">
        <f t="shared" si="113"/>
        <v>On Time</v>
      </c>
      <c r="Q1441" s="2" t="str">
        <f>PROPER(SUBSTITUTE(TRIM([1]RawShipmentData!M1456)," ","-"))</f>
        <v>Delivered</v>
      </c>
      <c r="R1441" s="4">
        <f t="shared" si="114"/>
        <v>11.633802816901408</v>
      </c>
      <c r="S1441" s="2">
        <f>[1]RawShipmentData!N1456</f>
        <v>4</v>
      </c>
      <c r="T1441" s="2" t="str">
        <f>IF(OR(UPPER(TRIM([1]RawShipmentData!O1456))="YES",UPPER(TRIM([1]RawShipmentData!O1456))="Y"),"Yes","No")</f>
        <v>Yes</v>
      </c>
    </row>
    <row r="1442" spans="1:20" x14ac:dyDescent="0.25">
      <c r="A1442" s="2" t="str">
        <f>[1]RawShipmentData!A1457</f>
        <v>SHP-100088</v>
      </c>
      <c r="B1442" s="3">
        <f>IF(ISNUMBER(SEARCH("/",TRIM([1]RawShipmentData!B1457))),DATE(VALUE(RIGHT(TRIM([1]RawShipmentData!B1457),4)),VALUE(MID(TRIM([1]RawShipmentData!B1457),FIND("/",TRIM([1]RawShipmentData!B1457))+1,2)),VALUE(LEFT(TRIM([1]RawShipmentData!B1457),FIND("/",TRIM([1]RawShipmentData!B1457))-1))),DATEVALUE(TRIM([1]RawShipmentData!B1457)))</f>
        <v>45296</v>
      </c>
      <c r="C1442" s="2" t="str">
        <f>PROPER(TRIM([1]RawShipmentData!C1457))</f>
        <v>Bengaluru</v>
      </c>
      <c r="D1442" s="2" t="str">
        <f>IFERROR(INDEX([1]HubMaster!$B$2:$B$7,MATCH(C1442,[1]HubMaster!$A$2:$A$7,0)),"Unknown")</f>
        <v>South</v>
      </c>
      <c r="E1442" s="2" t="str">
        <f>PROPER(TRIM(SUBSTITUTE([1]RawShipmentData!D1457,"  "," ")))</f>
        <v>Dtdc</v>
      </c>
      <c r="F1442" s="2" t="str">
        <f>PROPER(TRIM([1]RawShipmentData!E1457))</f>
        <v>Surface</v>
      </c>
      <c r="G1442" s="2" t="str">
        <f>PROPER(TRIM(SUBSTITUTE([1]RawShipmentData!F1457,"  "," ")))</f>
        <v>Automotive Parts</v>
      </c>
      <c r="H1442" s="2" t="str">
        <f>PROPER(TRIM([1]RawShipmentData!G1457))</f>
        <v>North</v>
      </c>
      <c r="I1442" s="2" t="str">
        <f t="shared" si="110"/>
        <v>Yes</v>
      </c>
      <c r="J1442" s="2">
        <f>IFERROR(VALUE(TRIM(SUBSTITUTE(UPPER([1]RawShipmentData!I1442),"KG",""))),"")</f>
        <v>8.6</v>
      </c>
      <c r="K1442" s="2">
        <f>VALUE(SUBSTITUTE(SUBSTITUTE(SUBSTITUTE(TRIM([1]RawShipmentData!J1457),"₹",""),"Rs",""),",",""))</f>
        <v>1003</v>
      </c>
      <c r="L1442" s="2">
        <f>[1]RawShipmentData!K1457</f>
        <v>6</v>
      </c>
      <c r="M1442" s="3">
        <f>IF(TRIM([1]RawShipmentData!L1457)="","",IF(ISNUMBER(SEARCH("/",TRIM([1]RawShipmentData!L1457))),DATE(VALUE(RIGHT(TRIM([1]RawShipmentData!L1457),4)),VALUE(MID(TRIM([1]RawShipmentData!L1457),FIND("/",TRIM([1]RawShipmentData!L1457))+1,2)),VALUE(LEFT(TRIM([1]RawShipmentData!L1457),FIND("/",TRIM([1]RawShipmentData!L1457))-1))),DATEVALUE(TRIM([1]RawShipmentData!L1457))))</f>
        <v>45303</v>
      </c>
      <c r="N1442" s="2">
        <f t="shared" si="111"/>
        <v>7</v>
      </c>
      <c r="O1442" s="2">
        <f t="shared" si="112"/>
        <v>1</v>
      </c>
      <c r="P1442" s="2" t="str">
        <f t="shared" si="113"/>
        <v>Late</v>
      </c>
      <c r="Q1442" s="2" t="str">
        <f>PROPER(SUBSTITUTE(TRIM([1]RawShipmentData!M1457)," ","-"))</f>
        <v>Delayed</v>
      </c>
      <c r="R1442" s="4">
        <f t="shared" si="114"/>
        <v>116.62790697674419</v>
      </c>
      <c r="S1442" s="2">
        <f>[1]RawShipmentData!N1457</f>
        <v>1</v>
      </c>
      <c r="T1442" s="2" t="str">
        <f>IF(OR(UPPER(TRIM([1]RawShipmentData!O1457))="YES",UPPER(TRIM([1]RawShipmentData!O1457))="Y"),"Yes","No")</f>
        <v>No</v>
      </c>
    </row>
    <row r="1443" spans="1:20" x14ac:dyDescent="0.25">
      <c r="A1443" s="2" t="str">
        <f>[1]RawShipmentData!A1458</f>
        <v>SHP-101503</v>
      </c>
      <c r="B1443" s="3">
        <f>IF(ISNUMBER(SEARCH("/",TRIM([1]RawShipmentData!B1458))),DATE(VALUE(RIGHT(TRIM([1]RawShipmentData!B1458),4)),VALUE(MID(TRIM([1]RawShipmentData!B1458),FIND("/",TRIM([1]RawShipmentData!B1458))+1,2)),VALUE(LEFT(TRIM([1]RawShipmentData!B1458),FIND("/",TRIM([1]RawShipmentData!B1458))-1))),DATEVALUE(TRIM([1]RawShipmentData!B1458)))</f>
        <v>45447</v>
      </c>
      <c r="C1443" s="2" t="str">
        <f>PROPER(TRIM([1]RawShipmentData!C1458))</f>
        <v>Hyderabad</v>
      </c>
      <c r="D1443" s="2" t="str">
        <f>IFERROR(INDEX([1]HubMaster!$B$2:$B$7,MATCH(C1443,[1]HubMaster!$A$2:$A$7,0)),"Unknown")</f>
        <v>West</v>
      </c>
      <c r="E1443" s="2" t="str">
        <f>PROPER(TRIM(SUBSTITUTE([1]RawShipmentData!D1458,"  "," ")))</f>
        <v>Xpressbees</v>
      </c>
      <c r="F1443" s="2" t="str">
        <f>PROPER(TRIM([1]RawShipmentData!E1458))</f>
        <v>Air</v>
      </c>
      <c r="G1443" s="2" t="str">
        <f>PROPER(TRIM(SUBSTITUTE([1]RawShipmentData!F1458,"  "," ")))</f>
        <v>Automotive Parts</v>
      </c>
      <c r="H1443" s="2" t="str">
        <f>PROPER(TRIM([1]RawShipmentData!G1458))</f>
        <v>East</v>
      </c>
      <c r="I1443" s="2" t="str">
        <f t="shared" si="110"/>
        <v>Yes</v>
      </c>
      <c r="J1443" s="2">
        <f>IFERROR(VALUE(TRIM(SUBSTITUTE(UPPER([1]RawShipmentData!I1443),"KG",""))),"")</f>
        <v>68.900000000000006</v>
      </c>
      <c r="K1443" s="2">
        <f>VALUE(SUBSTITUTE(SUBSTITUTE(SUBSTITUTE(TRIM([1]RawShipmentData!J1458),"₹",""),"Rs",""),",",""))</f>
        <v>495</v>
      </c>
      <c r="L1443" s="2">
        <f>[1]RawShipmentData!K1458</f>
        <v>4</v>
      </c>
      <c r="M1443" s="3">
        <f>IF(TRIM([1]RawShipmentData!L1458)="","",IF(ISNUMBER(SEARCH("/",TRIM([1]RawShipmentData!L1458))),DATE(VALUE(RIGHT(TRIM([1]RawShipmentData!L1458),4)),VALUE(MID(TRIM([1]RawShipmentData!L1458),FIND("/",TRIM([1]RawShipmentData!L1458))+1,2)),VALUE(LEFT(TRIM([1]RawShipmentData!L1458),FIND("/",TRIM([1]RawShipmentData!L1458))-1))),DATEVALUE(TRIM([1]RawShipmentData!L1458))))</f>
        <v>45451</v>
      </c>
      <c r="N1443" s="2">
        <f t="shared" si="111"/>
        <v>4</v>
      </c>
      <c r="O1443" s="2">
        <f t="shared" si="112"/>
        <v>0</v>
      </c>
      <c r="P1443" s="2" t="str">
        <f t="shared" si="113"/>
        <v>On Time</v>
      </c>
      <c r="Q1443" s="2" t="str">
        <f>PROPER(SUBSTITUTE(TRIM([1]RawShipmentData!M1458)," ","-"))</f>
        <v>Delivered</v>
      </c>
      <c r="R1443" s="4">
        <f t="shared" si="114"/>
        <v>7.1843251088534101</v>
      </c>
      <c r="S1443" s="2">
        <f>[1]RawShipmentData!N1458</f>
        <v>5</v>
      </c>
      <c r="T1443" s="2" t="str">
        <f>IF(OR(UPPER(TRIM([1]RawShipmentData!O1458))="YES",UPPER(TRIM([1]RawShipmentData!O1458))="Y"),"Yes","No")</f>
        <v>No</v>
      </c>
    </row>
    <row r="1444" spans="1:20" x14ac:dyDescent="0.25">
      <c r="A1444" s="2" t="str">
        <f>[1]RawShipmentData!A1459</f>
        <v>SHP-100537</v>
      </c>
      <c r="B1444" s="3">
        <f>IF(ISNUMBER(SEARCH("/",TRIM([1]RawShipmentData!B1459))),DATE(VALUE(RIGHT(TRIM([1]RawShipmentData!B1459),4)),VALUE(MID(TRIM([1]RawShipmentData!B1459),FIND("/",TRIM([1]RawShipmentData!B1459))+1,2)),VALUE(LEFT(TRIM([1]RawShipmentData!B1459),FIND("/",TRIM([1]RawShipmentData!B1459))-1))),DATEVALUE(TRIM([1]RawShipmentData!B1459)))</f>
        <v>45413</v>
      </c>
      <c r="C1444" s="2" t="str">
        <f>PROPER(TRIM([1]RawShipmentData!C1459))</f>
        <v>Kolkata</v>
      </c>
      <c r="D1444" s="2" t="str">
        <f>IFERROR(INDEX([1]HubMaster!$B$2:$B$7,MATCH(C1444,[1]HubMaster!$A$2:$A$7,0)),"Unknown")</f>
        <v>East</v>
      </c>
      <c r="E1444" s="2" t="str">
        <f>PROPER(TRIM(SUBSTITUTE([1]RawShipmentData!D1459,"  "," ")))</f>
        <v>Delhivery</v>
      </c>
      <c r="F1444" s="2" t="str">
        <f>PROPER(TRIM([1]RawShipmentData!E1459))</f>
        <v>Air</v>
      </c>
      <c r="G1444" s="2" t="str">
        <f>PROPER(TRIM(SUBSTITUTE([1]RawShipmentData!F1459,"  "," ")))</f>
        <v>Pharma</v>
      </c>
      <c r="H1444" s="2" t="str">
        <f>PROPER(TRIM([1]RawShipmentData!G1459))</f>
        <v>West</v>
      </c>
      <c r="I1444" s="2" t="str">
        <f t="shared" si="110"/>
        <v>Yes</v>
      </c>
      <c r="J1444" s="2">
        <f>IFERROR(VALUE(TRIM(SUBSTITUTE(UPPER([1]RawShipmentData!I1444),"KG",""))),"")</f>
        <v>3.7</v>
      </c>
      <c r="K1444" s="2">
        <f>VALUE(SUBSTITUTE(SUBSTITUTE(SUBSTITUTE(TRIM([1]RawShipmentData!J1459),"₹",""),"Rs",""),",",""))</f>
        <v>344</v>
      </c>
      <c r="L1444" s="2">
        <f>[1]RawShipmentData!K1459</f>
        <v>4</v>
      </c>
      <c r="M1444" s="3">
        <f>IF(TRIM([1]RawShipmentData!L1459)="","",IF(ISNUMBER(SEARCH("/",TRIM([1]RawShipmentData!L1459))),DATE(VALUE(RIGHT(TRIM([1]RawShipmentData!L1459),4)),VALUE(MID(TRIM([1]RawShipmentData!L1459),FIND("/",TRIM([1]RawShipmentData!L1459))+1,2)),VALUE(LEFT(TRIM([1]RawShipmentData!L1459),FIND("/",TRIM([1]RawShipmentData!L1459))-1))),DATEVALUE(TRIM([1]RawShipmentData!L1459))))</f>
        <v>45417</v>
      </c>
      <c r="N1444" s="2">
        <f t="shared" si="111"/>
        <v>4</v>
      </c>
      <c r="O1444" s="2">
        <f t="shared" si="112"/>
        <v>0</v>
      </c>
      <c r="P1444" s="2" t="str">
        <f t="shared" si="113"/>
        <v>On Time</v>
      </c>
      <c r="Q1444" s="2" t="str">
        <f>PROPER(SUBSTITUTE(TRIM([1]RawShipmentData!M1459)," ","-"))</f>
        <v>Delivered</v>
      </c>
      <c r="R1444" s="4">
        <f t="shared" si="114"/>
        <v>92.972972972972968</v>
      </c>
      <c r="S1444" s="2">
        <f>[1]RawShipmentData!N1459</f>
        <v>2</v>
      </c>
      <c r="T1444" s="2" t="str">
        <f>IF(OR(UPPER(TRIM([1]RawShipmentData!O1459))="YES",UPPER(TRIM([1]RawShipmentData!O1459))="Y"),"Yes","No")</f>
        <v>No</v>
      </c>
    </row>
    <row r="1445" spans="1:20" x14ac:dyDescent="0.25">
      <c r="A1445" s="2" t="str">
        <f>[1]RawShipmentData!A1460</f>
        <v>SHP-101129</v>
      </c>
      <c r="B1445" s="3">
        <f>IF(ISNUMBER(SEARCH("/",TRIM([1]RawShipmentData!B1460))),DATE(VALUE(RIGHT(TRIM([1]RawShipmentData!B1460),4)),VALUE(MID(TRIM([1]RawShipmentData!B1460),FIND("/",TRIM([1]RawShipmentData!B1460))+1,2)),VALUE(LEFT(TRIM([1]RawShipmentData!B1460),FIND("/",TRIM([1]RawShipmentData!B1460))-1))),DATEVALUE(TRIM([1]RawShipmentData!B1460)))</f>
        <v>45419</v>
      </c>
      <c r="C1445" s="2" t="str">
        <f>PROPER(TRIM([1]RawShipmentData!C1460))</f>
        <v>Hyderabad</v>
      </c>
      <c r="D1445" s="2" t="str">
        <f>IFERROR(INDEX([1]HubMaster!$B$2:$B$7,MATCH(C1445,[1]HubMaster!$A$2:$A$7,0)),"Unknown")</f>
        <v>West</v>
      </c>
      <c r="E1445" s="2" t="str">
        <f>PROPER(TRIM(SUBSTITUTE([1]RawShipmentData!D1460,"  "," ")))</f>
        <v>Delhivery</v>
      </c>
      <c r="F1445" s="2" t="str">
        <f>PROPER(TRIM([1]RawShipmentData!E1460))</f>
        <v>Air</v>
      </c>
      <c r="G1445" s="2" t="str">
        <f>PROPER(TRIM(SUBSTITUTE([1]RawShipmentData!F1460,"  "," ")))</f>
        <v>Apparel</v>
      </c>
      <c r="H1445" s="2" t="str">
        <f>PROPER(TRIM([1]RawShipmentData!G1460))</f>
        <v>West</v>
      </c>
      <c r="I1445" s="2" t="str">
        <f t="shared" si="110"/>
        <v>No</v>
      </c>
      <c r="J1445" s="2">
        <f>IFERROR(VALUE(TRIM(SUBSTITUTE(UPPER([1]RawShipmentData!I1445),"KG",""))),"")</f>
        <v>3.7</v>
      </c>
      <c r="K1445" s="2">
        <f>VALUE(SUBSTITUTE(SUBSTITUTE(SUBSTITUTE(TRIM([1]RawShipmentData!J1460),"₹",""),"Rs",""),",",""))</f>
        <v>220</v>
      </c>
      <c r="L1445" s="2">
        <f>[1]RawShipmentData!K1460</f>
        <v>2</v>
      </c>
      <c r="M1445" s="3">
        <f>IF(TRIM([1]RawShipmentData!L1460)="","",IF(ISNUMBER(SEARCH("/",TRIM([1]RawShipmentData!L1460))),DATE(VALUE(RIGHT(TRIM([1]RawShipmentData!L1460),4)),VALUE(MID(TRIM([1]RawShipmentData!L1460),FIND("/",TRIM([1]RawShipmentData!L1460))+1,2)),VALUE(LEFT(TRIM([1]RawShipmentData!L1460),FIND("/",TRIM([1]RawShipmentData!L1460))-1))),DATEVALUE(TRIM([1]RawShipmentData!L1460))))</f>
        <v>45421</v>
      </c>
      <c r="N1445" s="2">
        <f t="shared" si="111"/>
        <v>2</v>
      </c>
      <c r="O1445" s="2">
        <f t="shared" si="112"/>
        <v>0</v>
      </c>
      <c r="P1445" s="2" t="str">
        <f t="shared" si="113"/>
        <v>On Time</v>
      </c>
      <c r="Q1445" s="2" t="str">
        <f>PROPER(SUBSTITUTE(TRIM([1]RawShipmentData!M1460)," ","-"))</f>
        <v>Delivered</v>
      </c>
      <c r="R1445" s="4">
        <f t="shared" si="114"/>
        <v>59.45945945945946</v>
      </c>
      <c r="S1445" s="2">
        <f>[1]RawShipmentData!N1460</f>
        <v>5</v>
      </c>
      <c r="T1445" s="2" t="str">
        <f>IF(OR(UPPER(TRIM([1]RawShipmentData!O1460))="YES",UPPER(TRIM([1]RawShipmentData!O1460))="Y"),"Yes","No")</f>
        <v>No</v>
      </c>
    </row>
    <row r="1446" spans="1:20" x14ac:dyDescent="0.25">
      <c r="A1446" s="2" t="str">
        <f>[1]RawShipmentData!A1461</f>
        <v>SHP-101344</v>
      </c>
      <c r="B1446" s="3">
        <f>IF(ISNUMBER(SEARCH("/",TRIM([1]RawShipmentData!B1461))),DATE(VALUE(RIGHT(TRIM([1]RawShipmentData!B1461),4)),VALUE(MID(TRIM([1]RawShipmentData!B1461),FIND("/",TRIM([1]RawShipmentData!B1461))+1,2)),VALUE(LEFT(TRIM([1]RawShipmentData!B1461),FIND("/",TRIM([1]RawShipmentData!B1461))-1))),DATEVALUE(TRIM([1]RawShipmentData!B1461)))</f>
        <v>45341</v>
      </c>
      <c r="C1446" s="2" t="str">
        <f>PROPER(TRIM([1]RawShipmentData!C1461))</f>
        <v>Kolkata</v>
      </c>
      <c r="D1446" s="2" t="str">
        <f>IFERROR(INDEX([1]HubMaster!$B$2:$B$7,MATCH(C1446,[1]HubMaster!$A$2:$A$7,0)),"Unknown")</f>
        <v>East</v>
      </c>
      <c r="E1446" s="2" t="str">
        <f>PROPER(TRIM(SUBSTITUTE([1]RawShipmentData!D1461,"  "," ")))</f>
        <v>Bluedart</v>
      </c>
      <c r="F1446" s="2" t="str">
        <f>PROPER(TRIM([1]RawShipmentData!E1461))</f>
        <v>Road</v>
      </c>
      <c r="G1446" s="2" t="str">
        <f>PROPER(TRIM(SUBSTITUTE([1]RawShipmentData!F1461,"  "," ")))</f>
        <v>Electronics</v>
      </c>
      <c r="H1446" s="2" t="str">
        <f>PROPER(TRIM([1]RawShipmentData!G1461))</f>
        <v>North</v>
      </c>
      <c r="I1446" s="2" t="str">
        <f t="shared" si="110"/>
        <v>Yes</v>
      </c>
      <c r="J1446" s="2">
        <f>IFERROR(VALUE(TRIM(SUBSTITUTE(UPPER([1]RawShipmentData!I1446),"KG",""))),"")</f>
        <v>6.1</v>
      </c>
      <c r="K1446" s="2">
        <f>VALUE(SUBSTITUTE(SUBSTITUTE(SUBSTITUTE(TRIM([1]RawShipmentData!J1461),"₹",""),"Rs",""),",",""))</f>
        <v>231</v>
      </c>
      <c r="L1446" s="2">
        <f>[1]RawShipmentData!K1461</f>
        <v>8</v>
      </c>
      <c r="M1446" s="3">
        <f>IF(TRIM([1]RawShipmentData!L1461)="","",IF(ISNUMBER(SEARCH("/",TRIM([1]RawShipmentData!L1461))),DATE(VALUE(RIGHT(TRIM([1]RawShipmentData!L1461),4)),VALUE(MID(TRIM([1]RawShipmentData!L1461),FIND("/",TRIM([1]RawShipmentData!L1461))+1,2)),VALUE(LEFT(TRIM([1]RawShipmentData!L1461),FIND("/",TRIM([1]RawShipmentData!L1461))-1))),DATEVALUE(TRIM([1]RawShipmentData!L1461))))</f>
        <v>45348</v>
      </c>
      <c r="N1446" s="2">
        <f t="shared" si="111"/>
        <v>7</v>
      </c>
      <c r="O1446" s="2">
        <f t="shared" si="112"/>
        <v>-1</v>
      </c>
      <c r="P1446" s="2" t="str">
        <f t="shared" si="113"/>
        <v>On Time</v>
      </c>
      <c r="Q1446" s="2" t="str">
        <f>PROPER(SUBSTITUTE(TRIM([1]RawShipmentData!M1461)," ","-"))</f>
        <v>Delivered</v>
      </c>
      <c r="R1446" s="4">
        <f t="shared" si="114"/>
        <v>37.868852459016395</v>
      </c>
      <c r="S1446" s="2">
        <f>[1]RawShipmentData!N1461</f>
        <v>4</v>
      </c>
      <c r="T1446" s="2" t="str">
        <f>IF(OR(UPPER(TRIM([1]RawShipmentData!O1461))="YES",UPPER(TRIM([1]RawShipmentData!O1461))="Y"),"Yes","No")</f>
        <v>No</v>
      </c>
    </row>
    <row r="1447" spans="1:20" x14ac:dyDescent="0.25">
      <c r="A1447" s="2" t="str">
        <f>[1]RawShipmentData!A1462</f>
        <v>SHP-100605</v>
      </c>
      <c r="B1447" s="3">
        <f>IF(ISNUMBER(SEARCH("/",TRIM([1]RawShipmentData!B1462))),DATE(VALUE(RIGHT(TRIM([1]RawShipmentData!B1462),4)),VALUE(MID(TRIM([1]RawShipmentData!B1462),FIND("/",TRIM([1]RawShipmentData!B1462))+1,2)),VALUE(LEFT(TRIM([1]RawShipmentData!B1462),FIND("/",TRIM([1]RawShipmentData!B1462))-1))),DATEVALUE(TRIM([1]RawShipmentData!B1462)))</f>
        <v>45327</v>
      </c>
      <c r="C1447" s="2" t="str">
        <f>PROPER(TRIM([1]RawShipmentData!C1462))</f>
        <v>Kolkata</v>
      </c>
      <c r="D1447" s="2" t="str">
        <f>IFERROR(INDEX([1]HubMaster!$B$2:$B$7,MATCH(C1447,[1]HubMaster!$A$2:$A$7,0)),"Unknown")</f>
        <v>East</v>
      </c>
      <c r="E1447" s="2" t="str">
        <f>PROPER(TRIM(SUBSTITUTE([1]RawShipmentData!D1462,"  "," ")))</f>
        <v>Dtdc</v>
      </c>
      <c r="F1447" s="2" t="str">
        <f>PROPER(TRIM([1]RawShipmentData!E1462))</f>
        <v>Surface</v>
      </c>
      <c r="G1447" s="2" t="str">
        <f>PROPER(TRIM(SUBSTITUTE([1]RawShipmentData!F1462,"  "," ")))</f>
        <v>Pharma</v>
      </c>
      <c r="H1447" s="2" t="str">
        <f>PROPER(TRIM([1]RawShipmentData!G1462))</f>
        <v>North</v>
      </c>
      <c r="I1447" s="2" t="str">
        <f t="shared" si="110"/>
        <v>Yes</v>
      </c>
      <c r="J1447" s="2">
        <f>IFERROR(VALUE(TRIM(SUBSTITUTE(UPPER([1]RawShipmentData!I1447),"KG",""))),"")</f>
        <v>1.4</v>
      </c>
      <c r="K1447" s="2">
        <f>VALUE(SUBSTITUTE(SUBSTITUTE(SUBSTITUTE(TRIM([1]RawShipmentData!J1462),"₹",""),"Rs",""),",",""))</f>
        <v>212</v>
      </c>
      <c r="L1447" s="2">
        <f>[1]RawShipmentData!K1462</f>
        <v>6</v>
      </c>
      <c r="M1447" s="3">
        <f>IF(TRIM([1]RawShipmentData!L1462)="","",IF(ISNUMBER(SEARCH("/",TRIM([1]RawShipmentData!L1462))),DATE(VALUE(RIGHT(TRIM([1]RawShipmentData!L1462),4)),VALUE(MID(TRIM([1]RawShipmentData!L1462),FIND("/",TRIM([1]RawShipmentData!L1462))+1,2)),VALUE(LEFT(TRIM([1]RawShipmentData!L1462),FIND("/",TRIM([1]RawShipmentData!L1462))-1))),DATEVALUE(TRIM([1]RawShipmentData!L1462))))</f>
        <v>45332</v>
      </c>
      <c r="N1447" s="2">
        <f t="shared" si="111"/>
        <v>5</v>
      </c>
      <c r="O1447" s="2">
        <f t="shared" si="112"/>
        <v>-1</v>
      </c>
      <c r="P1447" s="2" t="str">
        <f t="shared" si="113"/>
        <v>On Time</v>
      </c>
      <c r="Q1447" s="2" t="str">
        <f>PROPER(SUBSTITUTE(TRIM([1]RawShipmentData!M1462)," ","-"))</f>
        <v>Delivered</v>
      </c>
      <c r="R1447" s="4">
        <f t="shared" si="114"/>
        <v>151.42857142857144</v>
      </c>
      <c r="S1447" s="2">
        <f>[1]RawShipmentData!N1462</f>
        <v>4</v>
      </c>
      <c r="T1447" s="2" t="str">
        <f>IF(OR(UPPER(TRIM([1]RawShipmentData!O1462))="YES",UPPER(TRIM([1]RawShipmentData!O1462))="Y"),"Yes","No")</f>
        <v>Yes</v>
      </c>
    </row>
    <row r="1448" spans="1:20" x14ac:dyDescent="0.25">
      <c r="A1448" s="2" t="str">
        <f>[1]RawShipmentData!A1463</f>
        <v>SHP-100363</v>
      </c>
      <c r="B1448" s="3">
        <f>IF(ISNUMBER(SEARCH("/",TRIM([1]RawShipmentData!B1463))),DATE(VALUE(RIGHT(TRIM([1]RawShipmentData!B1463),4)),VALUE(MID(TRIM([1]RawShipmentData!B1463),FIND("/",TRIM([1]RawShipmentData!B1463))+1,2)),VALUE(LEFT(TRIM([1]RawShipmentData!B1463),FIND("/",TRIM([1]RawShipmentData!B1463))-1))),DATEVALUE(TRIM([1]RawShipmentData!B1463)))</f>
        <v>45328</v>
      </c>
      <c r="C1448" s="2" t="str">
        <f>PROPER(TRIM([1]RawShipmentData!C1463))</f>
        <v>Bengaluru</v>
      </c>
      <c r="D1448" s="2" t="str">
        <f>IFERROR(INDEX([1]HubMaster!$B$2:$B$7,MATCH(C1448,[1]HubMaster!$A$2:$A$7,0)),"Unknown")</f>
        <v>South</v>
      </c>
      <c r="E1448" s="2" t="str">
        <f>PROPER(TRIM(SUBSTITUTE([1]RawShipmentData!D1463,"  "," ")))</f>
        <v>Dtdc</v>
      </c>
      <c r="F1448" s="2" t="str">
        <f>PROPER(TRIM([1]RawShipmentData!E1463))</f>
        <v>Road</v>
      </c>
      <c r="G1448" s="2" t="str">
        <f>PROPER(TRIM(SUBSTITUTE([1]RawShipmentData!F1463,"  "," ")))</f>
        <v>Electronics</v>
      </c>
      <c r="H1448" s="2" t="str">
        <f>PROPER(TRIM([1]RawShipmentData!G1463))</f>
        <v>East</v>
      </c>
      <c r="I1448" s="2" t="str">
        <f t="shared" si="110"/>
        <v>Yes</v>
      </c>
      <c r="J1448" s="2">
        <f>IFERROR(VALUE(TRIM(SUBSTITUTE(UPPER([1]RawShipmentData!I1448),"KG",""))),"")</f>
        <v>6.9</v>
      </c>
      <c r="K1448" s="2">
        <f>VALUE(SUBSTITUTE(SUBSTITUTE(SUBSTITUTE(TRIM([1]RawShipmentData!J1463),"₹",""),"Rs",""),",",""))</f>
        <v>332</v>
      </c>
      <c r="L1448" s="2">
        <f>[1]RawShipmentData!K1463</f>
        <v>8</v>
      </c>
      <c r="M1448" s="3">
        <f>IF(TRIM([1]RawShipmentData!L1463)="","",IF(ISNUMBER(SEARCH("/",TRIM([1]RawShipmentData!L1463))),DATE(VALUE(RIGHT(TRIM([1]RawShipmentData!L1463),4)),VALUE(MID(TRIM([1]RawShipmentData!L1463),FIND("/",TRIM([1]RawShipmentData!L1463))+1,2)),VALUE(LEFT(TRIM([1]RawShipmentData!L1463),FIND("/",TRIM([1]RawShipmentData!L1463))-1))),DATEVALUE(TRIM([1]RawShipmentData!L1463))))</f>
        <v>45337</v>
      </c>
      <c r="N1448" s="2">
        <f t="shared" si="111"/>
        <v>9</v>
      </c>
      <c r="O1448" s="2">
        <f t="shared" si="112"/>
        <v>1</v>
      </c>
      <c r="P1448" s="2" t="str">
        <f t="shared" si="113"/>
        <v>Late</v>
      </c>
      <c r="Q1448" s="2" t="str">
        <f>PROPER(SUBSTITUTE(TRIM([1]RawShipmentData!M1463)," ","-"))</f>
        <v>Damaged</v>
      </c>
      <c r="R1448" s="4">
        <f t="shared" si="114"/>
        <v>48.115942028985508</v>
      </c>
      <c r="S1448" s="2">
        <f>[1]RawShipmentData!N1463</f>
        <v>0</v>
      </c>
      <c r="T1448" s="2" t="str">
        <f>IF(OR(UPPER(TRIM([1]RawShipmentData!O1463))="YES",UPPER(TRIM([1]RawShipmentData!O1463))="Y"),"Yes","No")</f>
        <v>Yes</v>
      </c>
    </row>
    <row r="1449" spans="1:20" x14ac:dyDescent="0.25">
      <c r="A1449" s="2" t="str">
        <f>[1]RawShipmentData!A1464</f>
        <v>SHP-100213</v>
      </c>
      <c r="B1449" s="3">
        <f>IF(ISNUMBER(SEARCH("/",TRIM([1]RawShipmentData!B1464))),DATE(VALUE(RIGHT(TRIM([1]RawShipmentData!B1464),4)),VALUE(MID(TRIM([1]RawShipmentData!B1464),FIND("/",TRIM([1]RawShipmentData!B1464))+1,2)),VALUE(LEFT(TRIM([1]RawShipmentData!B1464),FIND("/",TRIM([1]RawShipmentData!B1464))-1))),DATEVALUE(TRIM([1]RawShipmentData!B1464)))</f>
        <v>45298</v>
      </c>
      <c r="C1449" s="2" t="str">
        <f>PROPER(TRIM([1]RawShipmentData!C1464))</f>
        <v>Mumbai</v>
      </c>
      <c r="D1449" s="2" t="str">
        <f>IFERROR(INDEX([1]HubMaster!$B$2:$B$7,MATCH(C1449,[1]HubMaster!$A$2:$A$7,0)),"Unknown")</f>
        <v>West</v>
      </c>
      <c r="E1449" s="2" t="str">
        <f>PROPER(TRIM(SUBSTITUTE([1]RawShipmentData!D1464,"  "," ")))</f>
        <v>Xpressbees</v>
      </c>
      <c r="F1449" s="2" t="str">
        <f>PROPER(TRIM([1]RawShipmentData!E1464))</f>
        <v>Air</v>
      </c>
      <c r="G1449" s="2" t="str">
        <f>PROPER(TRIM(SUBSTITUTE([1]RawShipmentData!F1464,"  "," ")))</f>
        <v>Grocery &amp; Fmcg</v>
      </c>
      <c r="H1449" s="2" t="str">
        <f>PROPER(TRIM([1]RawShipmentData!G1464))</f>
        <v>West</v>
      </c>
      <c r="I1449" s="2" t="str">
        <f t="shared" si="110"/>
        <v>No</v>
      </c>
      <c r="J1449" s="2">
        <f>IFERROR(VALUE(TRIM(SUBSTITUTE(UPPER([1]RawShipmentData!I1449),"KG",""))),"")</f>
        <v>3.6</v>
      </c>
      <c r="K1449" s="2">
        <f>VALUE(SUBSTITUTE(SUBSTITUTE(SUBSTITUTE(TRIM([1]RawShipmentData!J1464),"₹",""),"Rs",""),",",""))</f>
        <v>237</v>
      </c>
      <c r="L1449" s="2">
        <f>[1]RawShipmentData!K1464</f>
        <v>2</v>
      </c>
      <c r="M1449" s="3">
        <f>IF(TRIM([1]RawShipmentData!L1464)="","",IF(ISNUMBER(SEARCH("/",TRIM([1]RawShipmentData!L1464))),DATE(VALUE(RIGHT(TRIM([1]RawShipmentData!L1464),4)),VALUE(MID(TRIM([1]RawShipmentData!L1464),FIND("/",TRIM([1]RawShipmentData!L1464))+1,2)),VALUE(LEFT(TRIM([1]RawShipmentData!L1464),FIND("/",TRIM([1]RawShipmentData!L1464))-1))),DATEVALUE(TRIM([1]RawShipmentData!L1464))))</f>
        <v>45305</v>
      </c>
      <c r="N1449" s="2">
        <f t="shared" si="111"/>
        <v>7</v>
      </c>
      <c r="O1449" s="2">
        <f t="shared" si="112"/>
        <v>5</v>
      </c>
      <c r="P1449" s="2" t="str">
        <f t="shared" si="113"/>
        <v>Late</v>
      </c>
      <c r="Q1449" s="2" t="str">
        <f>PROPER(SUBSTITUTE(TRIM([1]RawShipmentData!M1464)," ","-"))</f>
        <v>Delayed</v>
      </c>
      <c r="R1449" s="4">
        <f t="shared" si="114"/>
        <v>65.833333333333329</v>
      </c>
      <c r="S1449" s="2">
        <f>[1]RawShipmentData!N1464</f>
        <v>4</v>
      </c>
      <c r="T1449" s="2" t="str">
        <f>IF(OR(UPPER(TRIM([1]RawShipmentData!O1464))="YES",UPPER(TRIM([1]RawShipmentData!O1464))="Y"),"Yes","No")</f>
        <v>Yes</v>
      </c>
    </row>
    <row r="1450" spans="1:20" x14ac:dyDescent="0.25">
      <c r="A1450" s="2" t="str">
        <f>[1]RawShipmentData!A1465</f>
        <v>SHP-100090</v>
      </c>
      <c r="B1450" s="3">
        <f>IF(ISNUMBER(SEARCH("/",TRIM([1]RawShipmentData!B1465))),DATE(VALUE(RIGHT(TRIM([1]RawShipmentData!B1465),4)),VALUE(MID(TRIM([1]RawShipmentData!B1465),FIND("/",TRIM([1]RawShipmentData!B1465))+1,2)),VALUE(LEFT(TRIM([1]RawShipmentData!B1465),FIND("/",TRIM([1]RawShipmentData!B1465))-1))),DATEVALUE(TRIM([1]RawShipmentData!B1465)))</f>
        <v>45367</v>
      </c>
      <c r="C1450" s="2" t="str">
        <f>PROPER(TRIM([1]RawShipmentData!C1465))</f>
        <v>Kolkata</v>
      </c>
      <c r="D1450" s="2" t="str">
        <f>IFERROR(INDEX([1]HubMaster!$B$2:$B$7,MATCH(C1450,[1]HubMaster!$A$2:$A$7,0)),"Unknown")</f>
        <v>East</v>
      </c>
      <c r="E1450" s="2" t="str">
        <f>PROPER(TRIM(SUBSTITUTE([1]RawShipmentData!D1465,"  "," ")))</f>
        <v>Delhivery</v>
      </c>
      <c r="F1450" s="2" t="str">
        <f>PROPER(TRIM([1]RawShipmentData!E1465))</f>
        <v>Road</v>
      </c>
      <c r="G1450" s="2" t="str">
        <f>PROPER(TRIM(SUBSTITUTE([1]RawShipmentData!F1465,"  "," ")))</f>
        <v/>
      </c>
      <c r="H1450" s="2" t="str">
        <f>PROPER(TRIM([1]RawShipmentData!G1465))</f>
        <v>West</v>
      </c>
      <c r="I1450" s="2" t="str">
        <f t="shared" si="110"/>
        <v>Yes</v>
      </c>
      <c r="J1450" s="2">
        <f>IFERROR(VALUE(TRIM(SUBSTITUTE(UPPER([1]RawShipmentData!I1450),"KG",""))),"")</f>
        <v>9.6999999999999993</v>
      </c>
      <c r="K1450" s="2">
        <f>VALUE(SUBSTITUTE(SUBSTITUTE(SUBSTITUTE(TRIM([1]RawShipmentData!J1465),"₹",""),"Rs",""),",",""))</f>
        <v>229</v>
      </c>
      <c r="L1450" s="2">
        <f>[1]RawShipmentData!K1465</f>
        <v>8</v>
      </c>
      <c r="M1450" s="3">
        <f>IF(TRIM([1]RawShipmentData!L1465)="","",IF(ISNUMBER(SEARCH("/",TRIM([1]RawShipmentData!L1465))),DATE(VALUE(RIGHT(TRIM([1]RawShipmentData!L1465),4)),VALUE(MID(TRIM([1]RawShipmentData!L1465),FIND("/",TRIM([1]RawShipmentData!L1465))+1,2)),VALUE(LEFT(TRIM([1]RawShipmentData!L1465),FIND("/",TRIM([1]RawShipmentData!L1465))-1))),DATEVALUE(TRIM([1]RawShipmentData!L1465))))</f>
        <v>45376</v>
      </c>
      <c r="N1450" s="2">
        <f t="shared" si="111"/>
        <v>9</v>
      </c>
      <c r="O1450" s="2">
        <f t="shared" si="112"/>
        <v>1</v>
      </c>
      <c r="P1450" s="2" t="str">
        <f t="shared" si="113"/>
        <v>Late</v>
      </c>
      <c r="Q1450" s="2" t="str">
        <f>PROPER(SUBSTITUTE(TRIM([1]RawShipmentData!M1465)," ","-"))</f>
        <v>Delayed</v>
      </c>
      <c r="R1450" s="4">
        <f t="shared" si="114"/>
        <v>23.608247422680414</v>
      </c>
      <c r="S1450" s="2">
        <f>[1]RawShipmentData!N1465</f>
        <v>2</v>
      </c>
      <c r="T1450" s="2" t="str">
        <f>IF(OR(UPPER(TRIM([1]RawShipmentData!O1465))="YES",UPPER(TRIM([1]RawShipmentData!O1465))="Y"),"Yes","No")</f>
        <v>No</v>
      </c>
    </row>
    <row r="1451" spans="1:20" x14ac:dyDescent="0.25">
      <c r="A1451" s="2" t="str">
        <f>[1]RawShipmentData!A1466</f>
        <v>SHP-100418</v>
      </c>
      <c r="B1451" s="3">
        <f>IF(ISNUMBER(SEARCH("/",TRIM([1]RawShipmentData!B1466))),DATE(VALUE(RIGHT(TRIM([1]RawShipmentData!B1466),4)),VALUE(MID(TRIM([1]RawShipmentData!B1466),FIND("/",TRIM([1]RawShipmentData!B1466))+1,2)),VALUE(LEFT(TRIM([1]RawShipmentData!B1466),FIND("/",TRIM([1]RawShipmentData!B1466))-1))),DATEVALUE(TRIM([1]RawShipmentData!B1466)))</f>
        <v>45300</v>
      </c>
      <c r="C1451" s="2" t="str">
        <f>PROPER(TRIM([1]RawShipmentData!C1466))</f>
        <v>Chennai</v>
      </c>
      <c r="D1451" s="2" t="str">
        <f>IFERROR(INDEX([1]HubMaster!$B$2:$B$7,MATCH(C1451,[1]HubMaster!$A$2:$A$7,0)),"Unknown")</f>
        <v>South</v>
      </c>
      <c r="E1451" s="2" t="str">
        <f>PROPER(TRIM(SUBSTITUTE([1]RawShipmentData!D1466,"  "," ")))</f>
        <v>Ecom Express</v>
      </c>
      <c r="F1451" s="2" t="str">
        <f>PROPER(TRIM([1]RawShipmentData!E1466))</f>
        <v>Surface</v>
      </c>
      <c r="G1451" s="2" t="str">
        <f>PROPER(TRIM(SUBSTITUTE([1]RawShipmentData!F1466,"  "," ")))</f>
        <v>Automotive Parts</v>
      </c>
      <c r="H1451" s="2" t="str">
        <f>PROPER(TRIM([1]RawShipmentData!G1466))</f>
        <v>South</v>
      </c>
      <c r="I1451" s="2" t="str">
        <f t="shared" si="110"/>
        <v>No</v>
      </c>
      <c r="J1451" s="2">
        <f>IFERROR(VALUE(TRIM(SUBSTITUTE(UPPER([1]RawShipmentData!I1451),"KG",""))),"")</f>
        <v>11.1</v>
      </c>
      <c r="K1451" s="2">
        <f>VALUE(SUBSTITUTE(SUBSTITUTE(SUBSTITUTE(TRIM([1]RawShipmentData!J1466),"₹",""),"Rs",""),",",""))</f>
        <v>279</v>
      </c>
      <c r="L1451" s="2">
        <f>[1]RawShipmentData!K1466</f>
        <v>4</v>
      </c>
      <c r="M1451" s="3">
        <f>IF(TRIM([1]RawShipmentData!L1466)="","",IF(ISNUMBER(SEARCH("/",TRIM([1]RawShipmentData!L1466))),DATE(VALUE(RIGHT(TRIM([1]RawShipmentData!L1466),4)),VALUE(MID(TRIM([1]RawShipmentData!L1466),FIND("/",TRIM([1]RawShipmentData!L1466))+1,2)),VALUE(LEFT(TRIM([1]RawShipmentData!L1466),FIND("/",TRIM([1]RawShipmentData!L1466))-1))),DATEVALUE(TRIM([1]RawShipmentData!L1466))))</f>
        <v>45305</v>
      </c>
      <c r="N1451" s="2">
        <f t="shared" si="111"/>
        <v>5</v>
      </c>
      <c r="O1451" s="2">
        <f t="shared" si="112"/>
        <v>1</v>
      </c>
      <c r="P1451" s="2" t="str">
        <f t="shared" si="113"/>
        <v>Late</v>
      </c>
      <c r="Q1451" s="2" t="str">
        <f>PROPER(SUBSTITUTE(TRIM([1]RawShipmentData!M1466)," ","-"))</f>
        <v>Delayed</v>
      </c>
      <c r="R1451" s="4">
        <f t="shared" si="114"/>
        <v>25.135135135135137</v>
      </c>
      <c r="S1451" s="2">
        <f>[1]RawShipmentData!N1466</f>
        <v>3</v>
      </c>
      <c r="T1451" s="2" t="str">
        <f>IF(OR(UPPER(TRIM([1]RawShipmentData!O1466))="YES",UPPER(TRIM([1]RawShipmentData!O1466))="Y"),"Yes","No")</f>
        <v>Yes</v>
      </c>
    </row>
    <row r="1452" spans="1:20" x14ac:dyDescent="0.25">
      <c r="A1452" s="2" t="str">
        <f>[1]RawShipmentData!A1467</f>
        <v>SHP-100321</v>
      </c>
      <c r="B1452" s="3">
        <f>IF(ISNUMBER(SEARCH("/",TRIM([1]RawShipmentData!B1467))),DATE(VALUE(RIGHT(TRIM([1]RawShipmentData!B1467),4)),VALUE(MID(TRIM([1]RawShipmentData!B1467),FIND("/",TRIM([1]RawShipmentData!B1467))+1,2)),VALUE(LEFT(TRIM([1]RawShipmentData!B1467),FIND("/",TRIM([1]RawShipmentData!B1467))-1))),DATEVALUE(TRIM([1]RawShipmentData!B1467)))</f>
        <v>45352</v>
      </c>
      <c r="C1452" s="2" t="str">
        <f>PROPER(TRIM([1]RawShipmentData!C1467))</f>
        <v>Kolkata</v>
      </c>
      <c r="D1452" s="2" t="str">
        <f>IFERROR(INDEX([1]HubMaster!$B$2:$B$7,MATCH(C1452,[1]HubMaster!$A$2:$A$7,0)),"Unknown")</f>
        <v>East</v>
      </c>
      <c r="E1452" s="2" t="str">
        <f>PROPER(TRIM(SUBSTITUTE([1]RawShipmentData!D1467,"  "," ")))</f>
        <v>Dtdc</v>
      </c>
      <c r="F1452" s="2" t="str">
        <f>PROPER(TRIM([1]RawShipmentData!E1467))</f>
        <v>Road</v>
      </c>
      <c r="G1452" s="2" t="str">
        <f>PROPER(TRIM(SUBSTITUTE([1]RawShipmentData!F1467,"  "," ")))</f>
        <v>Automotive Parts</v>
      </c>
      <c r="H1452" s="2" t="str">
        <f>PROPER(TRIM([1]RawShipmentData!G1467))</f>
        <v>East</v>
      </c>
      <c r="I1452" s="2" t="str">
        <f t="shared" si="110"/>
        <v>No</v>
      </c>
      <c r="J1452" s="2">
        <f>IFERROR(VALUE(TRIM(SUBSTITUTE(UPPER([1]RawShipmentData!I1452),"KG",""))),"")</f>
        <v>13.7</v>
      </c>
      <c r="K1452" s="2">
        <f>VALUE(SUBSTITUTE(SUBSTITUTE(SUBSTITUTE(TRIM([1]RawShipmentData!J1467),"₹",""),"Rs",""),",",""))</f>
        <v>331</v>
      </c>
      <c r="L1452" s="2">
        <f>[1]RawShipmentData!K1467</f>
        <v>6</v>
      </c>
      <c r="M1452" s="3">
        <f>IF(TRIM([1]RawShipmentData!L1467)="","",IF(ISNUMBER(SEARCH("/",TRIM([1]RawShipmentData!L1467))),DATE(VALUE(RIGHT(TRIM([1]RawShipmentData!L1467),4)),VALUE(MID(TRIM([1]RawShipmentData!L1467),FIND("/",TRIM([1]RawShipmentData!L1467))+1,2)),VALUE(LEFT(TRIM([1]RawShipmentData!L1467),FIND("/",TRIM([1]RawShipmentData!L1467))-1))),DATEVALUE(TRIM([1]RawShipmentData!L1467))))</f>
        <v>45359</v>
      </c>
      <c r="N1452" s="2">
        <f t="shared" si="111"/>
        <v>7</v>
      </c>
      <c r="O1452" s="2">
        <f t="shared" si="112"/>
        <v>1</v>
      </c>
      <c r="P1452" s="2" t="str">
        <f t="shared" si="113"/>
        <v>Late</v>
      </c>
      <c r="Q1452" s="2" t="str">
        <f>PROPER(SUBSTITUTE(TRIM([1]RawShipmentData!M1467)," ","-"))</f>
        <v>Delayed</v>
      </c>
      <c r="R1452" s="4">
        <f t="shared" si="114"/>
        <v>24.160583941605839</v>
      </c>
      <c r="S1452" s="2">
        <f>[1]RawShipmentData!N1467</f>
        <v>5</v>
      </c>
      <c r="T1452" s="2" t="str">
        <f>IF(OR(UPPER(TRIM([1]RawShipmentData!O1467))="YES",UPPER(TRIM([1]RawShipmentData!O1467))="Y"),"Yes","No")</f>
        <v>No</v>
      </c>
    </row>
    <row r="1453" spans="1:20" x14ac:dyDescent="0.25">
      <c r="A1453" s="2" t="str">
        <f>[1]RawShipmentData!A1468</f>
        <v>SHP-100143</v>
      </c>
      <c r="B1453" s="3">
        <f>IF(ISNUMBER(SEARCH("/",TRIM([1]RawShipmentData!B1468))),DATE(VALUE(RIGHT(TRIM([1]RawShipmentData!B1468),4)),VALUE(MID(TRIM([1]RawShipmentData!B1468),FIND("/",TRIM([1]RawShipmentData!B1468))+1,2)),VALUE(LEFT(TRIM([1]RawShipmentData!B1468),FIND("/",TRIM([1]RawShipmentData!B1468))-1))),DATEVALUE(TRIM([1]RawShipmentData!B1468)))</f>
        <v>45399</v>
      </c>
      <c r="C1453" s="2" t="str">
        <f>PROPER(TRIM([1]RawShipmentData!C1468))</f>
        <v>Delhi</v>
      </c>
      <c r="D1453" s="2" t="str">
        <f>IFERROR(INDEX([1]HubMaster!$B$2:$B$7,MATCH(C1453,[1]HubMaster!$A$2:$A$7,0)),"Unknown")</f>
        <v>North</v>
      </c>
      <c r="E1453" s="2" t="str">
        <f>PROPER(TRIM(SUBSTITUTE([1]RawShipmentData!D1468,"  "," ")))</f>
        <v>Dtdc</v>
      </c>
      <c r="F1453" s="2" t="str">
        <f>PROPER(TRIM([1]RawShipmentData!E1468))</f>
        <v>Air</v>
      </c>
      <c r="G1453" s="2" t="str">
        <f>PROPER(TRIM(SUBSTITUTE([1]RawShipmentData!F1468,"  "," ")))</f>
        <v>Grocery &amp; Fmcg</v>
      </c>
      <c r="H1453" s="2" t="str">
        <f>PROPER(TRIM([1]RawShipmentData!G1468))</f>
        <v>West</v>
      </c>
      <c r="I1453" s="2" t="str">
        <f t="shared" si="110"/>
        <v>Yes</v>
      </c>
      <c r="J1453" s="2">
        <f>IFERROR(VALUE(TRIM(SUBSTITUTE(UPPER([1]RawShipmentData!I1453),"KG",""))),"")</f>
        <v>24.7</v>
      </c>
      <c r="K1453" s="2">
        <f>VALUE(SUBSTITUTE(SUBSTITUTE(SUBSTITUTE(TRIM([1]RawShipmentData!J1468),"₹",""),"Rs",""),",",""))</f>
        <v>301</v>
      </c>
      <c r="L1453" s="2">
        <f>[1]RawShipmentData!K1468</f>
        <v>4</v>
      </c>
      <c r="M1453" s="3">
        <f>IF(TRIM([1]RawShipmentData!L1468)="","",IF(ISNUMBER(SEARCH("/",TRIM([1]RawShipmentData!L1468))),DATE(VALUE(RIGHT(TRIM([1]RawShipmentData!L1468),4)),VALUE(MID(TRIM([1]RawShipmentData!L1468),FIND("/",TRIM([1]RawShipmentData!L1468))+1,2)),VALUE(LEFT(TRIM([1]RawShipmentData!L1468),FIND("/",TRIM([1]RawShipmentData!L1468))-1))),DATEVALUE(TRIM([1]RawShipmentData!L1468))))</f>
        <v>45411</v>
      </c>
      <c r="N1453" s="2">
        <f t="shared" si="111"/>
        <v>12</v>
      </c>
      <c r="O1453" s="2">
        <f t="shared" si="112"/>
        <v>8</v>
      </c>
      <c r="P1453" s="2" t="str">
        <f t="shared" si="113"/>
        <v>Late</v>
      </c>
      <c r="Q1453" s="2" t="str">
        <f>PROPER(SUBSTITUTE(TRIM([1]RawShipmentData!M1468)," ","-"))</f>
        <v>Delayed</v>
      </c>
      <c r="R1453" s="4">
        <f t="shared" si="114"/>
        <v>12.186234817813766</v>
      </c>
      <c r="S1453" s="2">
        <f>[1]RawShipmentData!N1468</f>
        <v>5</v>
      </c>
      <c r="T1453" s="2" t="str">
        <f>IF(OR(UPPER(TRIM([1]RawShipmentData!O1468))="YES",UPPER(TRIM([1]RawShipmentData!O1468))="Y"),"Yes","No")</f>
        <v>No</v>
      </c>
    </row>
    <row r="1454" spans="1:20" x14ac:dyDescent="0.25">
      <c r="A1454" s="2" t="str">
        <f>[1]RawShipmentData!A1469</f>
        <v>SHP-100473</v>
      </c>
      <c r="B1454" s="3">
        <f>IF(ISNUMBER(SEARCH("/",TRIM([1]RawShipmentData!B1469))),DATE(VALUE(RIGHT(TRIM([1]RawShipmentData!B1469),4)),VALUE(MID(TRIM([1]RawShipmentData!B1469),FIND("/",TRIM([1]RawShipmentData!B1469))+1,2)),VALUE(LEFT(TRIM([1]RawShipmentData!B1469),FIND("/",TRIM([1]RawShipmentData!B1469))-1))),DATEVALUE(TRIM([1]RawShipmentData!B1469)))</f>
        <v>45423</v>
      </c>
      <c r="C1454" s="2" t="str">
        <f>PROPER(TRIM([1]RawShipmentData!C1469))</f>
        <v>Hyderabad</v>
      </c>
      <c r="D1454" s="2" t="str">
        <f>IFERROR(INDEX([1]HubMaster!$B$2:$B$7,MATCH(C1454,[1]HubMaster!$A$2:$A$7,0)),"Unknown")</f>
        <v>West</v>
      </c>
      <c r="E1454" s="2" t="str">
        <f>PROPER(TRIM(SUBSTITUTE([1]RawShipmentData!D1469,"  "," ")))</f>
        <v>Bluedart</v>
      </c>
      <c r="F1454" s="2" t="str">
        <f>PROPER(TRIM([1]RawShipmentData!E1469))</f>
        <v>Road</v>
      </c>
      <c r="G1454" s="2" t="str">
        <f>PROPER(TRIM(SUBSTITUTE([1]RawShipmentData!F1469,"  "," ")))</f>
        <v>Grocery &amp; Fmcg</v>
      </c>
      <c r="H1454" s="2" t="str">
        <f>PROPER(TRIM([1]RawShipmentData!G1469))</f>
        <v>East</v>
      </c>
      <c r="I1454" s="2" t="str">
        <f t="shared" si="110"/>
        <v>Yes</v>
      </c>
      <c r="J1454" s="2">
        <f>IFERROR(VALUE(TRIM(SUBSTITUTE(UPPER([1]RawShipmentData!I1454),"KG",""))),"")</f>
        <v>72.099999999999994</v>
      </c>
      <c r="K1454" s="2">
        <f>VALUE(SUBSTITUTE(SUBSTITUTE(SUBSTITUTE(TRIM([1]RawShipmentData!J1469),"₹",""),"Rs",""),",",""))</f>
        <v>226</v>
      </c>
      <c r="L1454" s="2">
        <f>[1]RawShipmentData!K1469</f>
        <v>8</v>
      </c>
      <c r="M1454" s="3">
        <f>IF(TRIM([1]RawShipmentData!L1469)="","",IF(ISNUMBER(SEARCH("/",TRIM([1]RawShipmentData!L1469))),DATE(VALUE(RIGHT(TRIM([1]RawShipmentData!L1469),4)),VALUE(MID(TRIM([1]RawShipmentData!L1469),FIND("/",TRIM([1]RawShipmentData!L1469))+1,2)),VALUE(LEFT(TRIM([1]RawShipmentData!L1469),FIND("/",TRIM([1]RawShipmentData!L1469))-1))),DATEVALUE(TRIM([1]RawShipmentData!L1469))))</f>
        <v>45432</v>
      </c>
      <c r="N1454" s="2">
        <f t="shared" si="111"/>
        <v>9</v>
      </c>
      <c r="O1454" s="2">
        <f t="shared" si="112"/>
        <v>1</v>
      </c>
      <c r="P1454" s="2" t="str">
        <f t="shared" si="113"/>
        <v>Late</v>
      </c>
      <c r="Q1454" s="2" t="str">
        <f>PROPER(SUBSTITUTE(TRIM([1]RawShipmentData!M1469)," ","-"))</f>
        <v>Delayed</v>
      </c>
      <c r="R1454" s="4">
        <f t="shared" si="114"/>
        <v>3.1345353675450767</v>
      </c>
      <c r="S1454" s="2">
        <f>[1]RawShipmentData!N1469</f>
        <v>3</v>
      </c>
      <c r="T1454" s="2" t="str">
        <f>IF(OR(UPPER(TRIM([1]RawShipmentData!O1469))="YES",UPPER(TRIM([1]RawShipmentData!O1469))="Y"),"Yes","No")</f>
        <v>No</v>
      </c>
    </row>
    <row r="1455" spans="1:20" x14ac:dyDescent="0.25">
      <c r="A1455" s="2" t="str">
        <f>[1]RawShipmentData!A1470</f>
        <v>SHP-100958</v>
      </c>
      <c r="B1455" s="3">
        <f>IF(ISNUMBER(SEARCH("/",TRIM([1]RawShipmentData!B1470))),DATE(VALUE(RIGHT(TRIM([1]RawShipmentData!B1470),4)),VALUE(MID(TRIM([1]RawShipmentData!B1470),FIND("/",TRIM([1]RawShipmentData!B1470))+1,2)),VALUE(LEFT(TRIM([1]RawShipmentData!B1470),FIND("/",TRIM([1]RawShipmentData!B1470))-1))),DATEVALUE(TRIM([1]RawShipmentData!B1470)))</f>
        <v>45352</v>
      </c>
      <c r="C1455" s="2" t="str">
        <f>PROPER(TRIM([1]RawShipmentData!C1470))</f>
        <v>Chennai</v>
      </c>
      <c r="D1455" s="2" t="str">
        <f>IFERROR(INDEX([1]HubMaster!$B$2:$B$7,MATCH(C1455,[1]HubMaster!$A$2:$A$7,0)),"Unknown")</f>
        <v>South</v>
      </c>
      <c r="E1455" s="2" t="str">
        <f>PROPER(TRIM(SUBSTITUTE([1]RawShipmentData!D1470,"  "," ")))</f>
        <v>Delhivery</v>
      </c>
      <c r="F1455" s="2" t="str">
        <f>PROPER(TRIM([1]RawShipmentData!E1470))</f>
        <v>Air</v>
      </c>
      <c r="G1455" s="2" t="str">
        <f>PROPER(TRIM(SUBSTITUTE([1]RawShipmentData!F1470,"  "," ")))</f>
        <v>Pharma</v>
      </c>
      <c r="H1455" s="2" t="str">
        <f>PROPER(TRIM([1]RawShipmentData!G1470))</f>
        <v>East</v>
      </c>
      <c r="I1455" s="2" t="str">
        <f t="shared" si="110"/>
        <v>Yes</v>
      </c>
      <c r="J1455" s="2">
        <f>IFERROR(VALUE(TRIM(SUBSTITUTE(UPPER([1]RawShipmentData!I1455),"KG",""))),"")</f>
        <v>2.9</v>
      </c>
      <c r="K1455" s="2">
        <f>VALUE(SUBSTITUTE(SUBSTITUTE(SUBSTITUTE(TRIM([1]RawShipmentData!J1470),"₹",""),"Rs",""),",",""))</f>
        <v>310</v>
      </c>
      <c r="L1455" s="2">
        <f>[1]RawShipmentData!K1470</f>
        <v>4</v>
      </c>
      <c r="M1455" s="3">
        <f>IF(TRIM([1]RawShipmentData!L1470)="","",IF(ISNUMBER(SEARCH("/",TRIM([1]RawShipmentData!L1470))),DATE(VALUE(RIGHT(TRIM([1]RawShipmentData!L1470),4)),VALUE(MID(TRIM([1]RawShipmentData!L1470),FIND("/",TRIM([1]RawShipmentData!L1470))+1,2)),VALUE(LEFT(TRIM([1]RawShipmentData!L1470),FIND("/",TRIM([1]RawShipmentData!L1470))-1))),DATEVALUE(TRIM([1]RawShipmentData!L1470))))</f>
        <v>45357</v>
      </c>
      <c r="N1455" s="2">
        <f t="shared" si="111"/>
        <v>5</v>
      </c>
      <c r="O1455" s="2">
        <f t="shared" si="112"/>
        <v>1</v>
      </c>
      <c r="P1455" s="2" t="str">
        <f t="shared" si="113"/>
        <v>Late</v>
      </c>
      <c r="Q1455" s="2" t="str">
        <f>PROPER(SUBSTITUTE(TRIM([1]RawShipmentData!M1470)," ","-"))</f>
        <v>Delayed</v>
      </c>
      <c r="R1455" s="4">
        <f t="shared" si="114"/>
        <v>106.89655172413794</v>
      </c>
      <c r="S1455" s="2">
        <f>[1]RawShipmentData!N1470</f>
        <v>2</v>
      </c>
      <c r="T1455" s="2" t="str">
        <f>IF(OR(UPPER(TRIM([1]RawShipmentData!O1470))="YES",UPPER(TRIM([1]RawShipmentData!O1470))="Y"),"Yes","No")</f>
        <v>No</v>
      </c>
    </row>
    <row r="1456" spans="1:20" x14ac:dyDescent="0.25">
      <c r="A1456" s="2" t="str">
        <f>[1]RawShipmentData!A1471</f>
        <v>SHP-100670</v>
      </c>
      <c r="B1456" s="3">
        <f>IF(ISNUMBER(SEARCH("/",TRIM([1]RawShipmentData!B1471))),DATE(VALUE(RIGHT(TRIM([1]RawShipmentData!B1471),4)),VALUE(MID(TRIM([1]RawShipmentData!B1471),FIND("/",TRIM([1]RawShipmentData!B1471))+1,2)),VALUE(LEFT(TRIM([1]RawShipmentData!B1471),FIND("/",TRIM([1]RawShipmentData!B1471))-1))),DATEVALUE(TRIM([1]RawShipmentData!B1471)))</f>
        <v>45297</v>
      </c>
      <c r="C1456" s="2" t="str">
        <f>PROPER(TRIM([1]RawShipmentData!C1471))</f>
        <v>Bengaluru</v>
      </c>
      <c r="D1456" s="2" t="str">
        <f>IFERROR(INDEX([1]HubMaster!$B$2:$B$7,MATCH(C1456,[1]HubMaster!$A$2:$A$7,0)),"Unknown")</f>
        <v>South</v>
      </c>
      <c r="E1456" s="2" t="str">
        <f>PROPER(TRIM(SUBSTITUTE([1]RawShipmentData!D1471,"  "," ")))</f>
        <v>Ecom Express</v>
      </c>
      <c r="F1456" s="2" t="str">
        <f>PROPER(TRIM([1]RawShipmentData!E1471))</f>
        <v>Air</v>
      </c>
      <c r="G1456" s="2" t="str">
        <f>PROPER(TRIM(SUBSTITUTE([1]RawShipmentData!F1471,"  "," ")))</f>
        <v>Electronics</v>
      </c>
      <c r="H1456" s="2" t="str">
        <f>PROPER(TRIM([1]RawShipmentData!G1471))</f>
        <v>North</v>
      </c>
      <c r="I1456" s="2" t="str">
        <f t="shared" si="110"/>
        <v>Yes</v>
      </c>
      <c r="J1456" s="2">
        <f>IFERROR(VALUE(TRIM(SUBSTITUTE(UPPER([1]RawShipmentData!I1456),"KG",""))),"")</f>
        <v>16</v>
      </c>
      <c r="K1456" s="2">
        <f>VALUE(SUBSTITUTE(SUBSTITUTE(SUBSTITUTE(TRIM([1]RawShipmentData!J1471),"₹",""),"Rs",""),",",""))</f>
        <v>523</v>
      </c>
      <c r="L1456" s="2">
        <f>[1]RawShipmentData!K1471</f>
        <v>4</v>
      </c>
      <c r="M1456" s="3">
        <f>IF(TRIM([1]RawShipmentData!L1471)="","",IF(ISNUMBER(SEARCH("/",TRIM([1]RawShipmentData!L1471))),DATE(VALUE(RIGHT(TRIM([1]RawShipmentData!L1471),4)),VALUE(MID(TRIM([1]RawShipmentData!L1471),FIND("/",TRIM([1]RawShipmentData!L1471))+1,2)),VALUE(LEFT(TRIM([1]RawShipmentData!L1471),FIND("/",TRIM([1]RawShipmentData!L1471))-1))),DATEVALUE(TRIM([1]RawShipmentData!L1471))))</f>
        <v>45305</v>
      </c>
      <c r="N1456" s="2">
        <f t="shared" si="111"/>
        <v>8</v>
      </c>
      <c r="O1456" s="2">
        <f t="shared" si="112"/>
        <v>4</v>
      </c>
      <c r="P1456" s="2" t="str">
        <f t="shared" si="113"/>
        <v>Late</v>
      </c>
      <c r="Q1456" s="2" t="str">
        <f>PROPER(SUBSTITUTE(TRIM([1]RawShipmentData!M1471)," ","-"))</f>
        <v>Delayed</v>
      </c>
      <c r="R1456" s="4">
        <f t="shared" si="114"/>
        <v>32.6875</v>
      </c>
      <c r="S1456" s="2">
        <f>[1]RawShipmentData!N1471</f>
        <v>4</v>
      </c>
      <c r="T1456" s="2" t="str">
        <f>IF(OR(UPPER(TRIM([1]RawShipmentData!O1471))="YES",UPPER(TRIM([1]RawShipmentData!O1471))="Y"),"Yes","No")</f>
        <v>No</v>
      </c>
    </row>
    <row r="1457" spans="1:20" x14ac:dyDescent="0.25">
      <c r="A1457" s="2" t="str">
        <f>[1]RawShipmentData!A1472</f>
        <v>SHP-101246</v>
      </c>
      <c r="B1457" s="3">
        <f>IF(ISNUMBER(SEARCH("/",TRIM([1]RawShipmentData!B1472))),DATE(VALUE(RIGHT(TRIM([1]RawShipmentData!B1472),4)),VALUE(MID(TRIM([1]RawShipmentData!B1472),FIND("/",TRIM([1]RawShipmentData!B1472))+1,2)),VALUE(LEFT(TRIM([1]RawShipmentData!B1472),FIND("/",TRIM([1]RawShipmentData!B1472))-1))),DATEVALUE(TRIM([1]RawShipmentData!B1472)))</f>
        <v>45391</v>
      </c>
      <c r="C1457" s="2" t="str">
        <f>PROPER(TRIM([1]RawShipmentData!C1472))</f>
        <v>Chennai</v>
      </c>
      <c r="D1457" s="2" t="str">
        <f>IFERROR(INDEX([1]HubMaster!$B$2:$B$7,MATCH(C1457,[1]HubMaster!$A$2:$A$7,0)),"Unknown")</f>
        <v>South</v>
      </c>
      <c r="E1457" s="2" t="str">
        <f>PROPER(TRIM(SUBSTITUTE([1]RawShipmentData!D1472,"  "," ")))</f>
        <v>Dtdc</v>
      </c>
      <c r="F1457" s="2" t="str">
        <f>PROPER(TRIM([1]RawShipmentData!E1472))</f>
        <v>Surface</v>
      </c>
      <c r="G1457" s="2" t="str">
        <f>PROPER(TRIM(SUBSTITUTE([1]RawShipmentData!F1472,"  "," ")))</f>
        <v>Pharma</v>
      </c>
      <c r="H1457" s="2" t="str">
        <f>PROPER(TRIM([1]RawShipmentData!G1472))</f>
        <v>South</v>
      </c>
      <c r="I1457" s="2" t="str">
        <f t="shared" si="110"/>
        <v>No</v>
      </c>
      <c r="J1457" s="2">
        <f>IFERROR(VALUE(TRIM(SUBSTITUTE(UPPER([1]RawShipmentData!I1457),"KG",""))),"")</f>
        <v>36.5</v>
      </c>
      <c r="K1457" s="2">
        <f>VALUE(SUBSTITUTE(SUBSTITUTE(SUBSTITUTE(TRIM([1]RawShipmentData!J1472),"₹",""),"Rs",""),",",""))</f>
        <v>80</v>
      </c>
      <c r="L1457" s="2">
        <f>[1]RawShipmentData!K1472</f>
        <v>4</v>
      </c>
      <c r="M1457" s="3">
        <f>IF(TRIM([1]RawShipmentData!L1472)="","",IF(ISNUMBER(SEARCH("/",TRIM([1]RawShipmentData!L1472))),DATE(VALUE(RIGHT(TRIM([1]RawShipmentData!L1472),4)),VALUE(MID(TRIM([1]RawShipmentData!L1472),FIND("/",TRIM([1]RawShipmentData!L1472))+1,2)),VALUE(LEFT(TRIM([1]RawShipmentData!L1472),FIND("/",TRIM([1]RawShipmentData!L1472))-1))),DATEVALUE(TRIM([1]RawShipmentData!L1472))))</f>
        <v>45398</v>
      </c>
      <c r="N1457" s="2">
        <f t="shared" si="111"/>
        <v>7</v>
      </c>
      <c r="O1457" s="2">
        <f t="shared" si="112"/>
        <v>3</v>
      </c>
      <c r="P1457" s="2" t="str">
        <f t="shared" si="113"/>
        <v>Late</v>
      </c>
      <c r="Q1457" s="2" t="str">
        <f>PROPER(SUBSTITUTE(TRIM([1]RawShipmentData!M1472)," ","-"))</f>
        <v>Delayed</v>
      </c>
      <c r="R1457" s="4">
        <f t="shared" si="114"/>
        <v>2.1917808219178081</v>
      </c>
      <c r="S1457" s="2">
        <f>[1]RawShipmentData!N1472</f>
        <v>4</v>
      </c>
      <c r="T1457" s="2" t="str">
        <f>IF(OR(UPPER(TRIM([1]RawShipmentData!O1472))="YES",UPPER(TRIM([1]RawShipmentData!O1472))="Y"),"Yes","No")</f>
        <v>No</v>
      </c>
    </row>
    <row r="1458" spans="1:20" x14ac:dyDescent="0.25">
      <c r="A1458" s="2" t="str">
        <f>[1]RawShipmentData!A1473</f>
        <v>SHP-101463</v>
      </c>
      <c r="B1458" s="3">
        <f>IF(ISNUMBER(SEARCH("/",TRIM([1]RawShipmentData!B1473))),DATE(VALUE(RIGHT(TRIM([1]RawShipmentData!B1473),4)),VALUE(MID(TRIM([1]RawShipmentData!B1473),FIND("/",TRIM([1]RawShipmentData!B1473))+1,2)),VALUE(LEFT(TRIM([1]RawShipmentData!B1473),FIND("/",TRIM([1]RawShipmentData!B1473))-1))),DATEVALUE(TRIM([1]RawShipmentData!B1473)))</f>
        <v>45307</v>
      </c>
      <c r="C1458" s="2" t="str">
        <f>PROPER(TRIM([1]RawShipmentData!C1473))</f>
        <v>Chennai</v>
      </c>
      <c r="D1458" s="2" t="str">
        <f>IFERROR(INDEX([1]HubMaster!$B$2:$B$7,MATCH(C1458,[1]HubMaster!$A$2:$A$7,0)),"Unknown")</f>
        <v>South</v>
      </c>
      <c r="E1458" s="2" t="str">
        <f>PROPER(TRIM(SUBSTITUTE([1]RawShipmentData!D1473,"  "," ")))</f>
        <v>Dtdc</v>
      </c>
      <c r="F1458" s="2" t="str">
        <f>PROPER(TRIM([1]RawShipmentData!E1473))</f>
        <v>Air</v>
      </c>
      <c r="G1458" s="2" t="str">
        <f>PROPER(TRIM(SUBSTITUTE([1]RawShipmentData!F1473,"  "," ")))</f>
        <v>Pharma</v>
      </c>
      <c r="H1458" s="2" t="str">
        <f>PROPER(TRIM([1]RawShipmentData!G1473))</f>
        <v>West</v>
      </c>
      <c r="I1458" s="2" t="str">
        <f t="shared" si="110"/>
        <v>Yes</v>
      </c>
      <c r="J1458" s="2">
        <f>IFERROR(VALUE(TRIM(SUBSTITUTE(UPPER([1]RawShipmentData!I1458),"KG",""))),"")</f>
        <v>6.9</v>
      </c>
      <c r="K1458" s="2">
        <f>VALUE(SUBSTITUTE(SUBSTITUTE(SUBSTITUTE(TRIM([1]RawShipmentData!J1473),"₹",""),"Rs",""),",",""))</f>
        <v>229</v>
      </c>
      <c r="L1458" s="2">
        <f>[1]RawShipmentData!K1473</f>
        <v>4</v>
      </c>
      <c r="M1458" s="3">
        <f>IF(TRIM([1]RawShipmentData!L1473)="","",IF(ISNUMBER(SEARCH("/",TRIM([1]RawShipmentData!L1473))),DATE(VALUE(RIGHT(TRIM([1]RawShipmentData!L1473),4)),VALUE(MID(TRIM([1]RawShipmentData!L1473),FIND("/",TRIM([1]RawShipmentData!L1473))+1,2)),VALUE(LEFT(TRIM([1]RawShipmentData!L1473),FIND("/",TRIM([1]RawShipmentData!L1473))-1))),DATEVALUE(TRIM([1]RawShipmentData!L1473))))</f>
        <v>45319</v>
      </c>
      <c r="N1458" s="2">
        <f t="shared" si="111"/>
        <v>12</v>
      </c>
      <c r="O1458" s="2">
        <f t="shared" si="112"/>
        <v>8</v>
      </c>
      <c r="P1458" s="2" t="str">
        <f t="shared" si="113"/>
        <v>Late</v>
      </c>
      <c r="Q1458" s="2" t="str">
        <f>PROPER(SUBSTITUTE(TRIM([1]RawShipmentData!M1473)," ","-"))</f>
        <v>Delayed</v>
      </c>
      <c r="R1458" s="4">
        <f t="shared" si="114"/>
        <v>33.188405797101446</v>
      </c>
      <c r="S1458" s="2">
        <f>[1]RawShipmentData!N1473</f>
        <v>2</v>
      </c>
      <c r="T1458" s="2" t="str">
        <f>IF(OR(UPPER(TRIM([1]RawShipmentData!O1473))="YES",UPPER(TRIM([1]RawShipmentData!O1473))="Y"),"Yes","No")</f>
        <v>No</v>
      </c>
    </row>
    <row r="1459" spans="1:20" x14ac:dyDescent="0.25">
      <c r="A1459" s="2" t="str">
        <f>[1]RawShipmentData!A1474</f>
        <v>SHP-100445</v>
      </c>
      <c r="B1459" s="3">
        <f>IF(ISNUMBER(SEARCH("/",TRIM([1]RawShipmentData!B1474))),DATE(VALUE(RIGHT(TRIM([1]RawShipmentData!B1474),4)),VALUE(MID(TRIM([1]RawShipmentData!B1474),FIND("/",TRIM([1]RawShipmentData!B1474))+1,2)),VALUE(LEFT(TRIM([1]RawShipmentData!B1474),FIND("/",TRIM([1]RawShipmentData!B1474))-1))),DATEVALUE(TRIM([1]RawShipmentData!B1474)))</f>
        <v>45391</v>
      </c>
      <c r="C1459" s="2" t="str">
        <f>PROPER(TRIM([1]RawShipmentData!C1474))</f>
        <v>Mumbai</v>
      </c>
      <c r="D1459" s="2" t="str">
        <f>IFERROR(INDEX([1]HubMaster!$B$2:$B$7,MATCH(C1459,[1]HubMaster!$A$2:$A$7,0)),"Unknown")</f>
        <v>West</v>
      </c>
      <c r="E1459" s="2" t="str">
        <f>PROPER(TRIM(SUBSTITUTE([1]RawShipmentData!D1474,"  "," ")))</f>
        <v>Ecom Express</v>
      </c>
      <c r="F1459" s="2" t="str">
        <f>PROPER(TRIM([1]RawShipmentData!E1474))</f>
        <v>Surface</v>
      </c>
      <c r="G1459" s="2" t="str">
        <f>PROPER(TRIM(SUBSTITUTE([1]RawShipmentData!F1474,"  "," ")))</f>
        <v>Grocery &amp; Fmcg</v>
      </c>
      <c r="H1459" s="2" t="str">
        <f>PROPER(TRIM([1]RawShipmentData!G1474))</f>
        <v>North</v>
      </c>
      <c r="I1459" s="2" t="str">
        <f t="shared" si="110"/>
        <v>Yes</v>
      </c>
      <c r="J1459" s="2">
        <f>IFERROR(VALUE(TRIM(SUBSTITUTE(UPPER([1]RawShipmentData!I1459),"KG",""))),"")</f>
        <v>4.9000000000000004</v>
      </c>
      <c r="K1459" s="2">
        <f>VALUE(SUBSTITUTE(SUBSTITUTE(SUBSTITUTE(TRIM([1]RawShipmentData!J1474),"₹",""),"Rs",""),",",""))</f>
        <v>461</v>
      </c>
      <c r="L1459" s="2">
        <f>[1]RawShipmentData!K1474</f>
        <v>6</v>
      </c>
      <c r="M1459" s="3">
        <f>IF(TRIM([1]RawShipmentData!L1474)="","",IF(ISNUMBER(SEARCH("/",TRIM([1]RawShipmentData!L1474))),DATE(VALUE(RIGHT(TRIM([1]RawShipmentData!L1474),4)),VALUE(MID(TRIM([1]RawShipmentData!L1474),FIND("/",TRIM([1]RawShipmentData!L1474))+1,2)),VALUE(LEFT(TRIM([1]RawShipmentData!L1474),FIND("/",TRIM([1]RawShipmentData!L1474))-1))),DATEVALUE(TRIM([1]RawShipmentData!L1474))))</f>
        <v>45398</v>
      </c>
      <c r="N1459" s="2">
        <f t="shared" si="111"/>
        <v>7</v>
      </c>
      <c r="O1459" s="2">
        <f t="shared" si="112"/>
        <v>1</v>
      </c>
      <c r="P1459" s="2" t="str">
        <f t="shared" si="113"/>
        <v>Late</v>
      </c>
      <c r="Q1459" s="2" t="str">
        <f>PROPER(SUBSTITUTE(TRIM([1]RawShipmentData!M1474)," ","-"))</f>
        <v>Delayed</v>
      </c>
      <c r="R1459" s="4">
        <f t="shared" si="114"/>
        <v>94.08163265306122</v>
      </c>
      <c r="S1459" s="2">
        <f>[1]RawShipmentData!N1474</f>
        <v>3</v>
      </c>
      <c r="T1459" s="2" t="str">
        <f>IF(OR(UPPER(TRIM([1]RawShipmentData!O1474))="YES",UPPER(TRIM([1]RawShipmentData!O1474))="Y"),"Yes","No")</f>
        <v>No</v>
      </c>
    </row>
    <row r="1460" spans="1:20" x14ac:dyDescent="0.25">
      <c r="A1460" s="2" t="str">
        <f>[1]RawShipmentData!A1475</f>
        <v>SHP-100579</v>
      </c>
      <c r="B1460" s="3">
        <f>IF(ISNUMBER(SEARCH("/",TRIM([1]RawShipmentData!B1475))),DATE(VALUE(RIGHT(TRIM([1]RawShipmentData!B1475),4)),VALUE(MID(TRIM([1]RawShipmentData!B1475),FIND("/",TRIM([1]RawShipmentData!B1475))+1,2)),VALUE(LEFT(TRIM([1]RawShipmentData!B1475),FIND("/",TRIM([1]RawShipmentData!B1475))-1))),DATEVALUE(TRIM([1]RawShipmentData!B1475)))</f>
        <v>45302</v>
      </c>
      <c r="C1460" s="2" t="str">
        <f>PROPER(TRIM([1]RawShipmentData!C1475))</f>
        <v>Bengaluru</v>
      </c>
      <c r="D1460" s="2" t="str">
        <f>IFERROR(INDEX([1]HubMaster!$B$2:$B$7,MATCH(C1460,[1]HubMaster!$A$2:$A$7,0)),"Unknown")</f>
        <v>South</v>
      </c>
      <c r="E1460" s="2" t="str">
        <f>PROPER(TRIM(SUBSTITUTE([1]RawShipmentData!D1475,"  "," ")))</f>
        <v>Dtdc</v>
      </c>
      <c r="F1460" s="2" t="str">
        <f>PROPER(TRIM([1]RawShipmentData!E1475))</f>
        <v>Surface</v>
      </c>
      <c r="G1460" s="2" t="str">
        <f>PROPER(TRIM(SUBSTITUTE([1]RawShipmentData!F1475,"  "," ")))</f>
        <v>Automotive Parts</v>
      </c>
      <c r="H1460" s="2" t="str">
        <f>PROPER(TRIM([1]RawShipmentData!G1475))</f>
        <v>North</v>
      </c>
      <c r="I1460" s="2" t="str">
        <f t="shared" si="110"/>
        <v>Yes</v>
      </c>
      <c r="J1460" s="2">
        <f>IFERROR(VALUE(TRIM(SUBSTITUTE(UPPER([1]RawShipmentData!I1460),"KG",""))),"")</f>
        <v>5.5</v>
      </c>
      <c r="K1460" s="2">
        <f>VALUE(SUBSTITUTE(SUBSTITUTE(SUBSTITUTE(TRIM([1]RawShipmentData!J1475),"₹",""),"Rs",""),",",""))</f>
        <v>620</v>
      </c>
      <c r="L1460" s="2">
        <f>[1]RawShipmentData!K1475</f>
        <v>6</v>
      </c>
      <c r="M1460" s="3">
        <f>IF(TRIM([1]RawShipmentData!L1475)="","",IF(ISNUMBER(SEARCH("/",TRIM([1]RawShipmentData!L1475))),DATE(VALUE(RIGHT(TRIM([1]RawShipmentData!L1475),4)),VALUE(MID(TRIM([1]RawShipmentData!L1475),FIND("/",TRIM([1]RawShipmentData!L1475))+1,2)),VALUE(LEFT(TRIM([1]RawShipmentData!L1475),FIND("/",TRIM([1]RawShipmentData!L1475))-1))),DATEVALUE(TRIM([1]RawShipmentData!L1475))))</f>
        <v>45317</v>
      </c>
      <c r="N1460" s="2">
        <f t="shared" si="111"/>
        <v>15</v>
      </c>
      <c r="O1460" s="2">
        <f t="shared" si="112"/>
        <v>9</v>
      </c>
      <c r="P1460" s="2" t="str">
        <f t="shared" si="113"/>
        <v>Late</v>
      </c>
      <c r="Q1460" s="2" t="str">
        <f>PROPER(SUBSTITUTE(TRIM([1]RawShipmentData!M1475)," ","-"))</f>
        <v>Delayed</v>
      </c>
      <c r="R1460" s="4">
        <f t="shared" si="114"/>
        <v>112.72727272727273</v>
      </c>
      <c r="S1460" s="2">
        <f>[1]RawShipmentData!N1475</f>
        <v>2</v>
      </c>
      <c r="T1460" s="2" t="str">
        <f>IF(OR(UPPER(TRIM([1]RawShipmentData!O1475))="YES",UPPER(TRIM([1]RawShipmentData!O1475))="Y"),"Yes","No")</f>
        <v>No</v>
      </c>
    </row>
    <row r="1461" spans="1:20" x14ac:dyDescent="0.25">
      <c r="A1461" s="2" t="str">
        <f>[1]RawShipmentData!A1476</f>
        <v>SHP-101427</v>
      </c>
      <c r="B1461" s="3">
        <f>IF(ISNUMBER(SEARCH("/",TRIM([1]RawShipmentData!B1476))),DATE(VALUE(RIGHT(TRIM([1]RawShipmentData!B1476),4)),VALUE(MID(TRIM([1]RawShipmentData!B1476),FIND("/",TRIM([1]RawShipmentData!B1476))+1,2)),VALUE(LEFT(TRIM([1]RawShipmentData!B1476),FIND("/",TRIM([1]RawShipmentData!B1476))-1))),DATEVALUE(TRIM([1]RawShipmentData!B1476)))</f>
        <v>45398</v>
      </c>
      <c r="C1461" s="2" t="str">
        <f>PROPER(TRIM([1]RawShipmentData!C1476))</f>
        <v>Bengaluru</v>
      </c>
      <c r="D1461" s="2" t="str">
        <f>IFERROR(INDEX([1]HubMaster!$B$2:$B$7,MATCH(C1461,[1]HubMaster!$A$2:$A$7,0)),"Unknown")</f>
        <v>South</v>
      </c>
      <c r="E1461" s="2" t="str">
        <f>PROPER(TRIM(SUBSTITUTE([1]RawShipmentData!D1476,"  "," ")))</f>
        <v>Delhivery</v>
      </c>
      <c r="F1461" s="2" t="str">
        <f>PROPER(TRIM([1]RawShipmentData!E1476))</f>
        <v>Surface</v>
      </c>
      <c r="G1461" s="2" t="str">
        <f>PROPER(TRIM(SUBSTITUTE([1]RawShipmentData!F1476,"  "," ")))</f>
        <v>Automotive Parts</v>
      </c>
      <c r="H1461" s="2" t="str">
        <f>PROPER(TRIM([1]RawShipmentData!G1476))</f>
        <v>West</v>
      </c>
      <c r="I1461" s="2" t="str">
        <f t="shared" si="110"/>
        <v>Yes</v>
      </c>
      <c r="J1461" s="2">
        <f>IFERROR(VALUE(TRIM(SUBSTITUTE(UPPER([1]RawShipmentData!I1461),"KG",""))),"")</f>
        <v>2</v>
      </c>
      <c r="K1461" s="2">
        <f>VALUE(SUBSTITUTE(SUBSTITUTE(SUBSTITUTE(TRIM([1]RawShipmentData!J1476),"₹",""),"Rs",""),",",""))</f>
        <v>455</v>
      </c>
      <c r="L1461" s="2">
        <f>[1]RawShipmentData!K1476</f>
        <v>6</v>
      </c>
      <c r="M1461" s="3">
        <f>IF(TRIM([1]RawShipmentData!L1476)="","",IF(ISNUMBER(SEARCH("/",TRIM([1]RawShipmentData!L1476))),DATE(VALUE(RIGHT(TRIM([1]RawShipmentData!L1476),4)),VALUE(MID(TRIM([1]RawShipmentData!L1476),FIND("/",TRIM([1]RawShipmentData!L1476))+1,2)),VALUE(LEFT(TRIM([1]RawShipmentData!L1476),FIND("/",TRIM([1]RawShipmentData!L1476))-1))),DATEVALUE(TRIM([1]RawShipmentData!L1476))))</f>
        <v>45409</v>
      </c>
      <c r="N1461" s="2">
        <f t="shared" si="111"/>
        <v>11</v>
      </c>
      <c r="O1461" s="2">
        <f t="shared" si="112"/>
        <v>5</v>
      </c>
      <c r="P1461" s="2" t="str">
        <f t="shared" si="113"/>
        <v>Late</v>
      </c>
      <c r="Q1461" s="2" t="str">
        <f>PROPER(SUBSTITUTE(TRIM([1]RawShipmentData!M1476)," ","-"))</f>
        <v>Delayed</v>
      </c>
      <c r="R1461" s="4">
        <f t="shared" si="114"/>
        <v>227.5</v>
      </c>
      <c r="S1461" s="2">
        <f>[1]RawShipmentData!N1476</f>
        <v>1</v>
      </c>
      <c r="T1461" s="2" t="str">
        <f>IF(OR(UPPER(TRIM([1]RawShipmentData!O1476))="YES",UPPER(TRIM([1]RawShipmentData!O1476))="Y"),"Yes","No")</f>
        <v>Yes</v>
      </c>
    </row>
    <row r="1462" spans="1:20" x14ac:dyDescent="0.25">
      <c r="A1462" s="2" t="str">
        <f>[1]RawShipmentData!A1477</f>
        <v>SHP-100383</v>
      </c>
      <c r="B1462" s="3">
        <f>IF(ISNUMBER(SEARCH("/",TRIM([1]RawShipmentData!B1477))),DATE(VALUE(RIGHT(TRIM([1]RawShipmentData!B1477),4)),VALUE(MID(TRIM([1]RawShipmentData!B1477),FIND("/",TRIM([1]RawShipmentData!B1477))+1,2)),VALUE(LEFT(TRIM([1]RawShipmentData!B1477),FIND("/",TRIM([1]RawShipmentData!B1477))-1))),DATEVALUE(TRIM([1]RawShipmentData!B1477)))</f>
        <v>45335</v>
      </c>
      <c r="C1462" s="2" t="str">
        <f>PROPER(TRIM([1]RawShipmentData!C1477))</f>
        <v>Chennai</v>
      </c>
      <c r="D1462" s="2" t="str">
        <f>IFERROR(INDEX([1]HubMaster!$B$2:$B$7,MATCH(C1462,[1]HubMaster!$A$2:$A$7,0)),"Unknown")</f>
        <v>South</v>
      </c>
      <c r="E1462" s="2" t="str">
        <f>PROPER(TRIM(SUBSTITUTE([1]RawShipmentData!D1477,"  "," ")))</f>
        <v>Delhivery</v>
      </c>
      <c r="F1462" s="2" t="str">
        <f>PROPER(TRIM([1]RawShipmentData!E1477))</f>
        <v>Road</v>
      </c>
      <c r="G1462" s="2" t="str">
        <f>PROPER(TRIM(SUBSTITUTE([1]RawShipmentData!F1477,"  "," ")))</f>
        <v>Apparel</v>
      </c>
      <c r="H1462" s="2" t="str">
        <f>PROPER(TRIM([1]RawShipmentData!G1477))</f>
        <v>South</v>
      </c>
      <c r="I1462" s="2" t="str">
        <f t="shared" si="110"/>
        <v>No</v>
      </c>
      <c r="J1462" s="2">
        <f>IFERROR(VALUE(TRIM(SUBSTITUTE(UPPER([1]RawShipmentData!I1462),"KG",""))),"")</f>
        <v>4</v>
      </c>
      <c r="K1462" s="2">
        <f>VALUE(SUBSTITUTE(SUBSTITUTE(SUBSTITUTE(TRIM([1]RawShipmentData!J1477),"₹",""),"Rs",""),",",""))</f>
        <v>80</v>
      </c>
      <c r="L1462" s="2">
        <f>[1]RawShipmentData!K1477</f>
        <v>6</v>
      </c>
      <c r="M1462" s="3">
        <f>IF(TRIM([1]RawShipmentData!L1477)="","",IF(ISNUMBER(SEARCH("/",TRIM([1]RawShipmentData!L1477))),DATE(VALUE(RIGHT(TRIM([1]RawShipmentData!L1477),4)),VALUE(MID(TRIM([1]RawShipmentData!L1477),FIND("/",TRIM([1]RawShipmentData!L1477))+1,2)),VALUE(LEFT(TRIM([1]RawShipmentData!L1477),FIND("/",TRIM([1]RawShipmentData!L1477))-1))),DATEVALUE(TRIM([1]RawShipmentData!L1477))))</f>
        <v>45342</v>
      </c>
      <c r="N1462" s="2">
        <f t="shared" si="111"/>
        <v>7</v>
      </c>
      <c r="O1462" s="2">
        <f t="shared" si="112"/>
        <v>1</v>
      </c>
      <c r="P1462" s="2" t="str">
        <f t="shared" si="113"/>
        <v>Late</v>
      </c>
      <c r="Q1462" s="2" t="str">
        <f>PROPER(SUBSTITUTE(TRIM([1]RawShipmentData!M1477)," ","-"))</f>
        <v>Delayed</v>
      </c>
      <c r="R1462" s="4">
        <f t="shared" si="114"/>
        <v>20</v>
      </c>
      <c r="S1462" s="2">
        <f>[1]RawShipmentData!N1477</f>
        <v>2</v>
      </c>
      <c r="T1462" s="2" t="str">
        <f>IF(OR(UPPER(TRIM([1]RawShipmentData!O1477))="YES",UPPER(TRIM([1]RawShipmentData!O1477))="Y"),"Yes","No")</f>
        <v>No</v>
      </c>
    </row>
    <row r="1463" spans="1:20" x14ac:dyDescent="0.25">
      <c r="A1463" s="2" t="str">
        <f>[1]RawShipmentData!A1478</f>
        <v>SHP-100332</v>
      </c>
      <c r="B1463" s="3">
        <f>IF(ISNUMBER(SEARCH("/",TRIM([1]RawShipmentData!B1478))),DATE(VALUE(RIGHT(TRIM([1]RawShipmentData!B1478),4)),VALUE(MID(TRIM([1]RawShipmentData!B1478),FIND("/",TRIM([1]RawShipmentData!B1478))+1,2)),VALUE(LEFT(TRIM([1]RawShipmentData!B1478),FIND("/",TRIM([1]RawShipmentData!B1478))-1))),DATEVALUE(TRIM([1]RawShipmentData!B1478)))</f>
        <v>45349</v>
      </c>
      <c r="C1463" s="2" t="str">
        <f>PROPER(TRIM([1]RawShipmentData!C1478))</f>
        <v>Kolkata</v>
      </c>
      <c r="D1463" s="2" t="str">
        <f>IFERROR(INDEX([1]HubMaster!$B$2:$B$7,MATCH(C1463,[1]HubMaster!$A$2:$A$7,0)),"Unknown")</f>
        <v>East</v>
      </c>
      <c r="E1463" s="2" t="str">
        <f>PROPER(TRIM(SUBSTITUTE([1]RawShipmentData!D1478,"  "," ")))</f>
        <v>Delhivery</v>
      </c>
      <c r="F1463" s="2" t="str">
        <f>PROPER(TRIM([1]RawShipmentData!E1478))</f>
        <v>Air</v>
      </c>
      <c r="G1463" s="2" t="str">
        <f>PROPER(TRIM(SUBSTITUTE([1]RawShipmentData!F1478,"  "," ")))</f>
        <v>Automotive Parts</v>
      </c>
      <c r="H1463" s="2" t="str">
        <f>PROPER(TRIM([1]RawShipmentData!G1478))</f>
        <v>North</v>
      </c>
      <c r="I1463" s="2" t="str">
        <f t="shared" si="110"/>
        <v>Yes</v>
      </c>
      <c r="J1463" s="2">
        <f>IFERROR(VALUE(TRIM(SUBSTITUTE(UPPER([1]RawShipmentData!I1463),"KG",""))),"")</f>
        <v>14.3</v>
      </c>
      <c r="K1463" s="2">
        <f>VALUE(SUBSTITUTE(SUBSTITUTE(SUBSTITUTE(TRIM([1]RawShipmentData!J1478),"₹",""),"Rs",""),",",""))</f>
        <v>1369</v>
      </c>
      <c r="L1463" s="2">
        <f>[1]RawShipmentData!K1478</f>
        <v>4</v>
      </c>
      <c r="M1463" s="3">
        <f>IF(TRIM([1]RawShipmentData!L1478)="","",IF(ISNUMBER(SEARCH("/",TRIM([1]RawShipmentData!L1478))),DATE(VALUE(RIGHT(TRIM([1]RawShipmentData!L1478),4)),VALUE(MID(TRIM([1]RawShipmentData!L1478),FIND("/",TRIM([1]RawShipmentData!L1478))+1,2)),VALUE(LEFT(TRIM([1]RawShipmentData!L1478),FIND("/",TRIM([1]RawShipmentData!L1478))-1))),DATEVALUE(TRIM([1]RawShipmentData!L1478))))</f>
        <v>45356</v>
      </c>
      <c r="N1463" s="2">
        <f t="shared" si="111"/>
        <v>7</v>
      </c>
      <c r="O1463" s="2">
        <f t="shared" si="112"/>
        <v>3</v>
      </c>
      <c r="P1463" s="2" t="str">
        <f t="shared" si="113"/>
        <v>Late</v>
      </c>
      <c r="Q1463" s="2" t="str">
        <f>PROPER(SUBSTITUTE(TRIM([1]RawShipmentData!M1478)," ","-"))</f>
        <v>Delayed</v>
      </c>
      <c r="R1463" s="4">
        <f t="shared" si="114"/>
        <v>95.734265734265733</v>
      </c>
      <c r="S1463" s="2">
        <f>[1]RawShipmentData!N1478</f>
        <v>3</v>
      </c>
      <c r="T1463" s="2" t="str">
        <f>IF(OR(UPPER(TRIM([1]RawShipmentData!O1478))="YES",UPPER(TRIM([1]RawShipmentData!O1478))="Y"),"Yes","No")</f>
        <v>Yes</v>
      </c>
    </row>
    <row r="1464" spans="1:20" x14ac:dyDescent="0.25">
      <c r="A1464" s="2" t="str">
        <f>[1]RawShipmentData!A1479</f>
        <v>SHP-101276</v>
      </c>
      <c r="B1464" s="3">
        <f>IF(ISNUMBER(SEARCH("/",TRIM([1]RawShipmentData!B1479))),DATE(VALUE(RIGHT(TRIM([1]RawShipmentData!B1479),4)),VALUE(MID(TRIM([1]RawShipmentData!B1479),FIND("/",TRIM([1]RawShipmentData!B1479))+1,2)),VALUE(LEFT(TRIM([1]RawShipmentData!B1479),FIND("/",TRIM([1]RawShipmentData!B1479))-1))),DATEVALUE(TRIM([1]RawShipmentData!B1479)))</f>
        <v>45319</v>
      </c>
      <c r="C1464" s="2" t="str">
        <f>PROPER(TRIM([1]RawShipmentData!C1479))</f>
        <v>Kolkata</v>
      </c>
      <c r="D1464" s="2" t="str">
        <f>IFERROR(INDEX([1]HubMaster!$B$2:$B$7,MATCH(C1464,[1]HubMaster!$A$2:$A$7,0)),"Unknown")</f>
        <v>East</v>
      </c>
      <c r="E1464" s="2" t="str">
        <f>PROPER(TRIM(SUBSTITUTE([1]RawShipmentData!D1479,"  "," ")))</f>
        <v>Bluedart</v>
      </c>
      <c r="F1464" s="2" t="str">
        <f>PROPER(TRIM([1]RawShipmentData!E1479))</f>
        <v>Surface</v>
      </c>
      <c r="G1464" s="2" t="str">
        <f>PROPER(TRIM(SUBSTITUTE([1]RawShipmentData!F1479,"  "," ")))</f>
        <v>Grocery &amp; Fmcg</v>
      </c>
      <c r="H1464" s="2" t="str">
        <f>PROPER(TRIM([1]RawShipmentData!G1479))</f>
        <v>South</v>
      </c>
      <c r="I1464" s="2" t="str">
        <f t="shared" si="110"/>
        <v>Yes</v>
      </c>
      <c r="J1464" s="2">
        <f>IFERROR(VALUE(TRIM(SUBSTITUTE(UPPER([1]RawShipmentData!I1464),"KG",""))),"")</f>
        <v>5</v>
      </c>
      <c r="K1464" s="2">
        <f>VALUE(SUBSTITUTE(SUBSTITUTE(SUBSTITUTE(TRIM([1]RawShipmentData!J1479),"₹",""),"Rs",""),",",""))</f>
        <v>537</v>
      </c>
      <c r="L1464" s="2">
        <f>[1]RawShipmentData!K1479</f>
        <v>6</v>
      </c>
      <c r="M1464" s="3">
        <f>IF(TRIM([1]RawShipmentData!L1479)="","",IF(ISNUMBER(SEARCH("/",TRIM([1]RawShipmentData!L1479))),DATE(VALUE(RIGHT(TRIM([1]RawShipmentData!L1479),4)),VALUE(MID(TRIM([1]RawShipmentData!L1479),FIND("/",TRIM([1]RawShipmentData!L1479))+1,2)),VALUE(LEFT(TRIM([1]RawShipmentData!L1479),FIND("/",TRIM([1]RawShipmentData!L1479))-1))),DATEVALUE(TRIM([1]RawShipmentData!L1479))))</f>
        <v>45324</v>
      </c>
      <c r="N1464" s="2">
        <f t="shared" si="111"/>
        <v>5</v>
      </c>
      <c r="O1464" s="2">
        <f t="shared" si="112"/>
        <v>-1</v>
      </c>
      <c r="P1464" s="2" t="str">
        <f t="shared" si="113"/>
        <v>On Time</v>
      </c>
      <c r="Q1464" s="2" t="str">
        <f>PROPER(SUBSTITUTE(TRIM([1]RawShipmentData!M1479)," ","-"))</f>
        <v>Delivered</v>
      </c>
      <c r="R1464" s="4">
        <f t="shared" si="114"/>
        <v>107.4</v>
      </c>
      <c r="S1464" s="2">
        <f>[1]RawShipmentData!N1479</f>
        <v>5</v>
      </c>
      <c r="T1464" s="2" t="str">
        <f>IF(OR(UPPER(TRIM([1]RawShipmentData!O1479))="YES",UPPER(TRIM([1]RawShipmentData!O1479))="Y"),"Yes","No")</f>
        <v>No</v>
      </c>
    </row>
    <row r="1465" spans="1:20" x14ac:dyDescent="0.25">
      <c r="A1465" s="2" t="str">
        <f>[1]RawShipmentData!A1480</f>
        <v>SHP-100833</v>
      </c>
      <c r="B1465" s="3">
        <f>IF(ISNUMBER(SEARCH("/",TRIM([1]RawShipmentData!B1480))),DATE(VALUE(RIGHT(TRIM([1]RawShipmentData!B1480),4)),VALUE(MID(TRIM([1]RawShipmentData!B1480),FIND("/",TRIM([1]RawShipmentData!B1480))+1,2)),VALUE(LEFT(TRIM([1]RawShipmentData!B1480),FIND("/",TRIM([1]RawShipmentData!B1480))-1))),DATEVALUE(TRIM([1]RawShipmentData!B1480)))</f>
        <v>45346</v>
      </c>
      <c r="C1465" s="2" t="str">
        <f>PROPER(TRIM([1]RawShipmentData!C1480))</f>
        <v>Chennai</v>
      </c>
      <c r="D1465" s="2" t="str">
        <f>IFERROR(INDEX([1]HubMaster!$B$2:$B$7,MATCH(C1465,[1]HubMaster!$A$2:$A$7,0)),"Unknown")</f>
        <v>South</v>
      </c>
      <c r="E1465" s="2" t="str">
        <f>PROPER(TRIM(SUBSTITUTE([1]RawShipmentData!D1480,"  "," ")))</f>
        <v>Ecom Express</v>
      </c>
      <c r="F1465" s="2" t="str">
        <f>PROPER(TRIM([1]RawShipmentData!E1480))</f>
        <v>Road</v>
      </c>
      <c r="G1465" s="2" t="str">
        <f>PROPER(TRIM(SUBSTITUTE([1]RawShipmentData!F1480,"  "," ")))</f>
        <v>Apparel</v>
      </c>
      <c r="H1465" s="2" t="str">
        <f>PROPER(TRIM([1]RawShipmentData!G1480))</f>
        <v>South</v>
      </c>
      <c r="I1465" s="2" t="str">
        <f t="shared" si="110"/>
        <v>No</v>
      </c>
      <c r="J1465" s="2">
        <f>IFERROR(VALUE(TRIM(SUBSTITUTE(UPPER([1]RawShipmentData!I1465),"KG",""))),"")</f>
        <v>2.9</v>
      </c>
      <c r="K1465" s="2">
        <f>VALUE(SUBSTITUTE(SUBSTITUTE(SUBSTITUTE(TRIM([1]RawShipmentData!J1480),"₹",""),"Rs",""),",",""))</f>
        <v>111</v>
      </c>
      <c r="L1465" s="2">
        <f>[1]RawShipmentData!K1480</f>
        <v>6</v>
      </c>
      <c r="M1465" s="3">
        <f>IF(TRIM([1]RawShipmentData!L1480)="","",IF(ISNUMBER(SEARCH("/",TRIM([1]RawShipmentData!L1480))),DATE(VALUE(RIGHT(TRIM([1]RawShipmentData!L1480),4)),VALUE(MID(TRIM([1]RawShipmentData!L1480),FIND("/",TRIM([1]RawShipmentData!L1480))+1,2)),VALUE(LEFT(TRIM([1]RawShipmentData!L1480),FIND("/",TRIM([1]RawShipmentData!L1480))-1))),DATEVALUE(TRIM([1]RawShipmentData!L1480))))</f>
        <v>45358</v>
      </c>
      <c r="N1465" s="2">
        <f t="shared" si="111"/>
        <v>12</v>
      </c>
      <c r="O1465" s="2">
        <f t="shared" si="112"/>
        <v>6</v>
      </c>
      <c r="P1465" s="2" t="str">
        <f t="shared" si="113"/>
        <v>Late</v>
      </c>
      <c r="Q1465" s="2" t="str">
        <f>PROPER(SUBSTITUTE(TRIM([1]RawShipmentData!M1480)," ","-"))</f>
        <v>Delayed</v>
      </c>
      <c r="R1465" s="4">
        <f t="shared" si="114"/>
        <v>38.275862068965516</v>
      </c>
      <c r="S1465" s="2">
        <f>[1]RawShipmentData!N1480</f>
        <v>2</v>
      </c>
      <c r="T1465" s="2" t="str">
        <f>IF(OR(UPPER(TRIM([1]RawShipmentData!O1480))="YES",UPPER(TRIM([1]RawShipmentData!O1480))="Y"),"Yes","No")</f>
        <v>Yes</v>
      </c>
    </row>
    <row r="1466" spans="1:20" x14ac:dyDescent="0.25">
      <c r="A1466" s="2" t="str">
        <f>[1]RawShipmentData!A1481</f>
        <v>SHP-101595</v>
      </c>
      <c r="B1466" s="3">
        <f>IF(ISNUMBER(SEARCH("/",TRIM([1]RawShipmentData!B1481))),DATE(VALUE(RIGHT(TRIM([1]RawShipmentData!B1481),4)),VALUE(MID(TRIM([1]RawShipmentData!B1481),FIND("/",TRIM([1]RawShipmentData!B1481))+1,2)),VALUE(LEFT(TRIM([1]RawShipmentData!B1481),FIND("/",TRIM([1]RawShipmentData!B1481))-1))),DATEVALUE(TRIM([1]RawShipmentData!B1481)))</f>
        <v>45447</v>
      </c>
      <c r="C1466" s="2" t="str">
        <f>PROPER(TRIM([1]RawShipmentData!C1481))</f>
        <v>Kolkata</v>
      </c>
      <c r="D1466" s="2" t="str">
        <f>IFERROR(INDEX([1]HubMaster!$B$2:$B$7,MATCH(C1466,[1]HubMaster!$A$2:$A$7,0)),"Unknown")</f>
        <v>East</v>
      </c>
      <c r="E1466" s="2" t="str">
        <f>PROPER(TRIM(SUBSTITUTE([1]RawShipmentData!D1481,"  "," ")))</f>
        <v>Bluedart</v>
      </c>
      <c r="F1466" s="2" t="str">
        <f>PROPER(TRIM([1]RawShipmentData!E1481))</f>
        <v>Surface</v>
      </c>
      <c r="G1466" s="2" t="str">
        <f>PROPER(TRIM(SUBSTITUTE([1]RawShipmentData!F1481,"  "," ")))</f>
        <v>Apparel</v>
      </c>
      <c r="H1466" s="2" t="str">
        <f>PROPER(TRIM([1]RawShipmentData!G1481))</f>
        <v>West</v>
      </c>
      <c r="I1466" s="2" t="str">
        <f t="shared" si="110"/>
        <v>Yes</v>
      </c>
      <c r="J1466" s="2">
        <f>IFERROR(VALUE(TRIM(SUBSTITUTE(UPPER([1]RawShipmentData!I1466),"KG",""))),"")</f>
        <v>13</v>
      </c>
      <c r="K1466" s="2">
        <f>VALUE(SUBSTITUTE(SUBSTITUTE(SUBSTITUTE(TRIM([1]RawShipmentData!J1481),"₹",""),"Rs",""),",",""))</f>
        <v>168</v>
      </c>
      <c r="L1466" s="2">
        <f>[1]RawShipmentData!K1481</f>
        <v>6</v>
      </c>
      <c r="M1466" s="3">
        <f>IF(TRIM([1]RawShipmentData!L1481)="","",IF(ISNUMBER(SEARCH("/",TRIM([1]RawShipmentData!L1481))),DATE(VALUE(RIGHT(TRIM([1]RawShipmentData!L1481),4)),VALUE(MID(TRIM([1]RawShipmentData!L1481),FIND("/",TRIM([1]RawShipmentData!L1481))+1,2)),VALUE(LEFT(TRIM([1]RawShipmentData!L1481),FIND("/",TRIM([1]RawShipmentData!L1481))-1))),DATEVALUE(TRIM([1]RawShipmentData!L1481))))</f>
        <v>45454</v>
      </c>
      <c r="N1466" s="2">
        <f t="shared" si="111"/>
        <v>7</v>
      </c>
      <c r="O1466" s="2">
        <f t="shared" si="112"/>
        <v>1</v>
      </c>
      <c r="P1466" s="2" t="str">
        <f t="shared" si="113"/>
        <v>Late</v>
      </c>
      <c r="Q1466" s="2" t="str">
        <f>PROPER(SUBSTITUTE(TRIM([1]RawShipmentData!M1481)," ","-"))</f>
        <v>Delayed</v>
      </c>
      <c r="R1466" s="4">
        <f t="shared" si="114"/>
        <v>12.923076923076923</v>
      </c>
      <c r="S1466" s="2">
        <f>[1]RawShipmentData!N1481</f>
        <v>2</v>
      </c>
      <c r="T1466" s="2" t="str">
        <f>IF(OR(UPPER(TRIM([1]RawShipmentData!O1481))="YES",UPPER(TRIM([1]RawShipmentData!O1481))="Y"),"Yes","No")</f>
        <v>Yes</v>
      </c>
    </row>
    <row r="1467" spans="1:20" x14ac:dyDescent="0.25">
      <c r="A1467" s="2" t="str">
        <f>[1]RawShipmentData!A1482</f>
        <v>SHP-100881</v>
      </c>
      <c r="B1467" s="3">
        <f>IF(ISNUMBER(SEARCH("/",TRIM([1]RawShipmentData!B1482))),DATE(VALUE(RIGHT(TRIM([1]RawShipmentData!B1482),4)),VALUE(MID(TRIM([1]RawShipmentData!B1482),FIND("/",TRIM([1]RawShipmentData!B1482))+1,2)),VALUE(LEFT(TRIM([1]RawShipmentData!B1482),FIND("/",TRIM([1]RawShipmentData!B1482))-1))),DATEVALUE(TRIM([1]RawShipmentData!B1482)))</f>
        <v>45461</v>
      </c>
      <c r="C1467" s="2" t="str">
        <f>PROPER(TRIM([1]RawShipmentData!C1482))</f>
        <v>Kolkata</v>
      </c>
      <c r="D1467" s="2" t="str">
        <f>IFERROR(INDEX([1]HubMaster!$B$2:$B$7,MATCH(C1467,[1]HubMaster!$A$2:$A$7,0)),"Unknown")</f>
        <v>East</v>
      </c>
      <c r="E1467" s="2" t="str">
        <f>PROPER(TRIM(SUBSTITUTE([1]RawShipmentData!D1482,"  "," ")))</f>
        <v>Dtdc</v>
      </c>
      <c r="F1467" s="2" t="str">
        <f>PROPER(TRIM([1]RawShipmentData!E1482))</f>
        <v>Surface</v>
      </c>
      <c r="G1467" s="2" t="str">
        <f>PROPER(TRIM(SUBSTITUTE([1]RawShipmentData!F1482,"  "," ")))</f>
        <v>Pharma</v>
      </c>
      <c r="H1467" s="2" t="str">
        <f>PROPER(TRIM([1]RawShipmentData!G1482))</f>
        <v>West</v>
      </c>
      <c r="I1467" s="2" t="str">
        <f t="shared" si="110"/>
        <v>Yes</v>
      </c>
      <c r="J1467" s="2">
        <f>IFERROR(VALUE(TRIM(SUBSTITUTE(UPPER([1]RawShipmentData!I1467),"KG",""))),"")</f>
        <v>20.9</v>
      </c>
      <c r="K1467" s="2">
        <f>VALUE(SUBSTITUTE(SUBSTITUTE(SUBSTITUTE(TRIM([1]RawShipmentData!J1482),"₹",""),"Rs",""),",",""))</f>
        <v>152</v>
      </c>
      <c r="L1467" s="2">
        <f>[1]RawShipmentData!K1482</f>
        <v>6</v>
      </c>
      <c r="M1467" s="3">
        <f>IF(TRIM([1]RawShipmentData!L1482)="","",IF(ISNUMBER(SEARCH("/",TRIM([1]RawShipmentData!L1482))),DATE(VALUE(RIGHT(TRIM([1]RawShipmentData!L1482),4)),VALUE(MID(TRIM([1]RawShipmentData!L1482),FIND("/",TRIM([1]RawShipmentData!L1482))+1,2)),VALUE(LEFT(TRIM([1]RawShipmentData!L1482),FIND("/",TRIM([1]RawShipmentData!L1482))-1))),DATEVALUE(TRIM([1]RawShipmentData!L1482))))</f>
        <v>45466</v>
      </c>
      <c r="N1467" s="2">
        <f t="shared" si="111"/>
        <v>5</v>
      </c>
      <c r="O1467" s="2">
        <f t="shared" si="112"/>
        <v>-1</v>
      </c>
      <c r="P1467" s="2" t="str">
        <f t="shared" si="113"/>
        <v>On Time</v>
      </c>
      <c r="Q1467" s="2" t="str">
        <f>PROPER(SUBSTITUTE(TRIM([1]RawShipmentData!M1482)," ","-"))</f>
        <v>Delivered</v>
      </c>
      <c r="R1467" s="4">
        <f t="shared" si="114"/>
        <v>7.2727272727272734</v>
      </c>
      <c r="S1467" s="2">
        <f>[1]RawShipmentData!N1482</f>
        <v>4</v>
      </c>
      <c r="T1467" s="2" t="str">
        <f>IF(OR(UPPER(TRIM([1]RawShipmentData!O1482))="YES",UPPER(TRIM([1]RawShipmentData!O1482))="Y"),"Yes","No")</f>
        <v>No</v>
      </c>
    </row>
    <row r="1468" spans="1:20" x14ac:dyDescent="0.25">
      <c r="A1468" s="2" t="str">
        <f>[1]RawShipmentData!A1483</f>
        <v>SHP-100936</v>
      </c>
      <c r="B1468" s="3">
        <f>IF(ISNUMBER(SEARCH("/",TRIM([1]RawShipmentData!B1483))),DATE(VALUE(RIGHT(TRIM([1]RawShipmentData!B1483),4)),VALUE(MID(TRIM([1]RawShipmentData!B1483),FIND("/",TRIM([1]RawShipmentData!B1483))+1,2)),VALUE(LEFT(TRIM([1]RawShipmentData!B1483),FIND("/",TRIM([1]RawShipmentData!B1483))-1))),DATEVALUE(TRIM([1]RawShipmentData!B1483)))</f>
        <v>45336</v>
      </c>
      <c r="C1468" s="2" t="str">
        <f>PROPER(TRIM([1]RawShipmentData!C1483))</f>
        <v>Kolkata</v>
      </c>
      <c r="D1468" s="2" t="str">
        <f>IFERROR(INDEX([1]HubMaster!$B$2:$B$7,MATCH(C1468,[1]HubMaster!$A$2:$A$7,0)),"Unknown")</f>
        <v>East</v>
      </c>
      <c r="E1468" s="2" t="str">
        <f>PROPER(TRIM(SUBSTITUTE([1]RawShipmentData!D1483,"  "," ")))</f>
        <v>Bluedart</v>
      </c>
      <c r="F1468" s="2" t="str">
        <f>PROPER(TRIM([1]RawShipmentData!E1483))</f>
        <v>Road</v>
      </c>
      <c r="G1468" s="2" t="str">
        <f>PROPER(TRIM(SUBSTITUTE([1]RawShipmentData!F1483,"  "," ")))</f>
        <v>Automotive Parts</v>
      </c>
      <c r="H1468" s="2" t="str">
        <f>PROPER(TRIM([1]RawShipmentData!G1483))</f>
        <v>North</v>
      </c>
      <c r="I1468" s="2" t="str">
        <f t="shared" si="110"/>
        <v>Yes</v>
      </c>
      <c r="J1468" s="2">
        <f>IFERROR(VALUE(TRIM(SUBSTITUTE(UPPER([1]RawShipmentData!I1468),"KG",""))),"")</f>
        <v>3</v>
      </c>
      <c r="K1468" s="2">
        <f>VALUE(SUBSTITUTE(SUBSTITUTE(SUBSTITUTE(TRIM([1]RawShipmentData!J1483),"₹",""),"Rs",""),",",""))</f>
        <v>513</v>
      </c>
      <c r="L1468" s="2">
        <f>[1]RawShipmentData!K1483</f>
        <v>8</v>
      </c>
      <c r="M1468" s="3">
        <f>IF(TRIM([1]RawShipmentData!L1483)="","",IF(ISNUMBER(SEARCH("/",TRIM([1]RawShipmentData!L1483))),DATE(VALUE(RIGHT(TRIM([1]RawShipmentData!L1483),4)),VALUE(MID(TRIM([1]RawShipmentData!L1483),FIND("/",TRIM([1]RawShipmentData!L1483))+1,2)),VALUE(LEFT(TRIM([1]RawShipmentData!L1483),FIND("/",TRIM([1]RawShipmentData!L1483))-1))),DATEVALUE(TRIM([1]RawShipmentData!L1483))))</f>
        <v>45343</v>
      </c>
      <c r="N1468" s="2">
        <f t="shared" si="111"/>
        <v>7</v>
      </c>
      <c r="O1468" s="2">
        <f t="shared" si="112"/>
        <v>-1</v>
      </c>
      <c r="P1468" s="2" t="str">
        <f t="shared" si="113"/>
        <v>On Time</v>
      </c>
      <c r="Q1468" s="2" t="str">
        <f>PROPER(SUBSTITUTE(TRIM([1]RawShipmentData!M1483)," ","-"))</f>
        <v>Delivered</v>
      </c>
      <c r="R1468" s="4">
        <f t="shared" si="114"/>
        <v>171</v>
      </c>
      <c r="S1468" s="2">
        <f>[1]RawShipmentData!N1483</f>
        <v>4</v>
      </c>
      <c r="T1468" s="2" t="str">
        <f>IF(OR(UPPER(TRIM([1]RawShipmentData!O1483))="YES",UPPER(TRIM([1]RawShipmentData!O1483))="Y"),"Yes","No")</f>
        <v>No</v>
      </c>
    </row>
    <row r="1469" spans="1:20" x14ac:dyDescent="0.25">
      <c r="A1469" s="2" t="str">
        <f>[1]RawShipmentData!A1484</f>
        <v>SHP-100018</v>
      </c>
      <c r="B1469" s="3">
        <f>IF(ISNUMBER(SEARCH("/",TRIM([1]RawShipmentData!B1484))),DATE(VALUE(RIGHT(TRIM([1]RawShipmentData!B1484),4)),VALUE(MID(TRIM([1]RawShipmentData!B1484),FIND("/",TRIM([1]RawShipmentData!B1484))+1,2)),VALUE(LEFT(TRIM([1]RawShipmentData!B1484),FIND("/",TRIM([1]RawShipmentData!B1484))-1))),DATEVALUE(TRIM([1]RawShipmentData!B1484)))</f>
        <v>45338</v>
      </c>
      <c r="C1469" s="2" t="str">
        <f>PROPER(TRIM([1]RawShipmentData!C1484))</f>
        <v>Mumbai</v>
      </c>
      <c r="D1469" s="2" t="str">
        <f>IFERROR(INDEX([1]HubMaster!$B$2:$B$7,MATCH(C1469,[1]HubMaster!$A$2:$A$7,0)),"Unknown")</f>
        <v>West</v>
      </c>
      <c r="E1469" s="2" t="str">
        <f>PROPER(TRIM(SUBSTITUTE([1]RawShipmentData!D1484,"  "," ")))</f>
        <v>Xpressbees</v>
      </c>
      <c r="F1469" s="2" t="str">
        <f>PROPER(TRIM([1]RawShipmentData!E1484))</f>
        <v>Air</v>
      </c>
      <c r="G1469" s="2" t="str">
        <f>PROPER(TRIM(SUBSTITUTE([1]RawShipmentData!F1484,"  "," ")))</f>
        <v>Automotive Parts</v>
      </c>
      <c r="H1469" s="2" t="str">
        <f>PROPER(TRIM([1]RawShipmentData!G1484))</f>
        <v>East</v>
      </c>
      <c r="I1469" s="2" t="str">
        <f t="shared" si="110"/>
        <v>Yes</v>
      </c>
      <c r="J1469" s="2">
        <f>IFERROR(VALUE(TRIM(SUBSTITUTE(UPPER([1]RawShipmentData!I1469),"KG",""))),"")</f>
        <v>3.4</v>
      </c>
      <c r="K1469" s="2">
        <f>VALUE(SUBSTITUTE(SUBSTITUTE(SUBSTITUTE(TRIM([1]RawShipmentData!J1484),"₹",""),"Rs",""),",",""))</f>
        <v>1726</v>
      </c>
      <c r="L1469" s="2">
        <f>[1]RawShipmentData!K1484</f>
        <v>4</v>
      </c>
      <c r="M1469" s="3">
        <f>IF(TRIM([1]RawShipmentData!L1484)="","",IF(ISNUMBER(SEARCH("/",TRIM([1]RawShipmentData!L1484))),DATE(VALUE(RIGHT(TRIM([1]RawShipmentData!L1484),4)),VALUE(MID(TRIM([1]RawShipmentData!L1484),FIND("/",TRIM([1]RawShipmentData!L1484))+1,2)),VALUE(LEFT(TRIM([1]RawShipmentData!L1484),FIND("/",TRIM([1]RawShipmentData!L1484))-1))),DATEVALUE(TRIM([1]RawShipmentData!L1484))))</f>
        <v>45342</v>
      </c>
      <c r="N1469" s="2">
        <f t="shared" si="111"/>
        <v>4</v>
      </c>
      <c r="O1469" s="2">
        <f t="shared" si="112"/>
        <v>0</v>
      </c>
      <c r="P1469" s="2" t="str">
        <f t="shared" si="113"/>
        <v>On Time</v>
      </c>
      <c r="Q1469" s="2" t="str">
        <f>PROPER(SUBSTITUTE(TRIM([1]RawShipmentData!M1484)," ","-"))</f>
        <v>Delivered</v>
      </c>
      <c r="R1469" s="4">
        <f t="shared" si="114"/>
        <v>507.64705882352945</v>
      </c>
      <c r="S1469" s="2">
        <f>[1]RawShipmentData!N1484</f>
        <v>3</v>
      </c>
      <c r="T1469" s="2" t="str">
        <f>IF(OR(UPPER(TRIM([1]RawShipmentData!O1484))="YES",UPPER(TRIM([1]RawShipmentData!O1484))="Y"),"Yes","No")</f>
        <v>Yes</v>
      </c>
    </row>
    <row r="1470" spans="1:20" x14ac:dyDescent="0.25">
      <c r="A1470" s="2" t="str">
        <f>[1]RawShipmentData!A1485</f>
        <v>SHP-100634</v>
      </c>
      <c r="B1470" s="3">
        <f>IF(ISNUMBER(SEARCH("/",TRIM([1]RawShipmentData!B1485))),DATE(VALUE(RIGHT(TRIM([1]RawShipmentData!B1485),4)),VALUE(MID(TRIM([1]RawShipmentData!B1485),FIND("/",TRIM([1]RawShipmentData!B1485))+1,2)),VALUE(LEFT(TRIM([1]RawShipmentData!B1485),FIND("/",TRIM([1]RawShipmentData!B1485))-1))),DATEVALUE(TRIM([1]RawShipmentData!B1485)))</f>
        <v>45432</v>
      </c>
      <c r="C1470" s="2" t="str">
        <f>PROPER(TRIM([1]RawShipmentData!C1485))</f>
        <v>Chennai</v>
      </c>
      <c r="D1470" s="2" t="str">
        <f>IFERROR(INDEX([1]HubMaster!$B$2:$B$7,MATCH(C1470,[1]HubMaster!$A$2:$A$7,0)),"Unknown")</f>
        <v>South</v>
      </c>
      <c r="E1470" s="2" t="str">
        <f>PROPER(TRIM(SUBSTITUTE([1]RawShipmentData!D1485,"  "," ")))</f>
        <v>Delhivery</v>
      </c>
      <c r="F1470" s="2" t="str">
        <f>PROPER(TRIM([1]RawShipmentData!E1485))</f>
        <v>Air</v>
      </c>
      <c r="G1470" s="2" t="str">
        <f>PROPER(TRIM(SUBSTITUTE([1]RawShipmentData!F1485,"  "," ")))</f>
        <v>Apparel</v>
      </c>
      <c r="H1470" s="2" t="str">
        <f>PROPER(TRIM([1]RawShipmentData!G1485))</f>
        <v>East</v>
      </c>
      <c r="I1470" s="2" t="str">
        <f t="shared" si="110"/>
        <v>Yes</v>
      </c>
      <c r="J1470" s="2">
        <f>IFERROR(VALUE(TRIM(SUBSTITUTE(UPPER([1]RawShipmentData!I1470),"KG",""))),"")</f>
        <v>3.4</v>
      </c>
      <c r="K1470" s="2">
        <f>VALUE(SUBSTITUTE(SUBSTITUTE(SUBSTITUTE(TRIM([1]RawShipmentData!J1485),"₹",""),"Rs",""),",",""))</f>
        <v>260</v>
      </c>
      <c r="L1470" s="2">
        <f>[1]RawShipmentData!K1485</f>
        <v>4</v>
      </c>
      <c r="M1470" s="3">
        <f>IF(TRIM([1]RawShipmentData!L1485)="","",IF(ISNUMBER(SEARCH("/",TRIM([1]RawShipmentData!L1485))),DATE(VALUE(RIGHT(TRIM([1]RawShipmentData!L1485),4)),VALUE(MID(TRIM([1]RawShipmentData!L1485),FIND("/",TRIM([1]RawShipmentData!L1485))+1,2)),VALUE(LEFT(TRIM([1]RawShipmentData!L1485),FIND("/",TRIM([1]RawShipmentData!L1485))-1))),DATEVALUE(TRIM([1]RawShipmentData!L1485))))</f>
        <v>45437</v>
      </c>
      <c r="N1470" s="2">
        <f t="shared" si="111"/>
        <v>5</v>
      </c>
      <c r="O1470" s="2">
        <f t="shared" si="112"/>
        <v>1</v>
      </c>
      <c r="P1470" s="2" t="str">
        <f t="shared" si="113"/>
        <v>Late</v>
      </c>
      <c r="Q1470" s="2" t="str">
        <f>PROPER(SUBSTITUTE(TRIM([1]RawShipmentData!M1485)," ","-"))</f>
        <v>Returned</v>
      </c>
      <c r="R1470" s="4">
        <f t="shared" si="114"/>
        <v>76.470588235294116</v>
      </c>
      <c r="S1470" s="2">
        <f>[1]RawShipmentData!N1485</f>
        <v>0</v>
      </c>
      <c r="T1470" s="2" t="str">
        <f>IF(OR(UPPER(TRIM([1]RawShipmentData!O1485))="YES",UPPER(TRIM([1]RawShipmentData!O1485))="Y"),"Yes","No")</f>
        <v>No</v>
      </c>
    </row>
    <row r="1471" spans="1:20" x14ac:dyDescent="0.25">
      <c r="A1471" s="2" t="str">
        <f>[1]RawShipmentData!A1486</f>
        <v>SHP-101002</v>
      </c>
      <c r="B1471" s="3">
        <f>IF(ISNUMBER(SEARCH("/",TRIM([1]RawShipmentData!B1486))),DATE(VALUE(RIGHT(TRIM([1]RawShipmentData!B1486),4)),VALUE(MID(TRIM([1]RawShipmentData!B1486),FIND("/",TRIM([1]RawShipmentData!B1486))+1,2)),VALUE(LEFT(TRIM([1]RawShipmentData!B1486),FIND("/",TRIM([1]RawShipmentData!B1486))-1))),DATEVALUE(TRIM([1]RawShipmentData!B1486)))</f>
        <v>45407</v>
      </c>
      <c r="C1471" s="2" t="str">
        <f>PROPER(TRIM([1]RawShipmentData!C1486))</f>
        <v>Delhi</v>
      </c>
      <c r="D1471" s="2" t="str">
        <f>IFERROR(INDEX([1]HubMaster!$B$2:$B$7,MATCH(C1471,[1]HubMaster!$A$2:$A$7,0)),"Unknown")</f>
        <v>North</v>
      </c>
      <c r="E1471" s="2" t="str">
        <f>PROPER(TRIM(SUBSTITUTE([1]RawShipmentData!D1486,"  "," ")))</f>
        <v>Dtdc</v>
      </c>
      <c r="F1471" s="2" t="str">
        <f>PROPER(TRIM([1]RawShipmentData!E1486))</f>
        <v>Surface</v>
      </c>
      <c r="G1471" s="2" t="str">
        <f>PROPER(TRIM(SUBSTITUTE([1]RawShipmentData!F1486,"  "," ")))</f>
        <v>Apparel</v>
      </c>
      <c r="H1471" s="2" t="str">
        <f>PROPER(TRIM([1]RawShipmentData!G1486))</f>
        <v>East</v>
      </c>
      <c r="I1471" s="2" t="str">
        <f t="shared" si="110"/>
        <v>Yes</v>
      </c>
      <c r="J1471" s="2">
        <f>IFERROR(VALUE(TRIM(SUBSTITUTE(UPPER([1]RawShipmentData!I1471),"KG",""))),"")</f>
        <v>8.9</v>
      </c>
      <c r="K1471" s="2">
        <f>VALUE(SUBSTITUTE(SUBSTITUTE(SUBSTITUTE(TRIM([1]RawShipmentData!J1486),"₹",""),"Rs",""),",",""))</f>
        <v>305</v>
      </c>
      <c r="L1471" s="2">
        <f>[1]RawShipmentData!K1486</f>
        <v>6</v>
      </c>
      <c r="M1471" s="3">
        <f>IF(TRIM([1]RawShipmentData!L1486)="","",IF(ISNUMBER(SEARCH("/",TRIM([1]RawShipmentData!L1486))),DATE(VALUE(RIGHT(TRIM([1]RawShipmentData!L1486),4)),VALUE(MID(TRIM([1]RawShipmentData!L1486),FIND("/",TRIM([1]RawShipmentData!L1486))+1,2)),VALUE(LEFT(TRIM([1]RawShipmentData!L1486),FIND("/",TRIM([1]RawShipmentData!L1486))-1))),DATEVALUE(TRIM([1]RawShipmentData!L1486))))</f>
        <v>45418</v>
      </c>
      <c r="N1471" s="2">
        <f t="shared" si="111"/>
        <v>11</v>
      </c>
      <c r="O1471" s="2">
        <f t="shared" si="112"/>
        <v>5</v>
      </c>
      <c r="P1471" s="2" t="str">
        <f t="shared" si="113"/>
        <v>Late</v>
      </c>
      <c r="Q1471" s="2" t="str">
        <f>PROPER(SUBSTITUTE(TRIM([1]RawShipmentData!M1486)," ","-"))</f>
        <v>Delayed</v>
      </c>
      <c r="R1471" s="4">
        <f t="shared" si="114"/>
        <v>34.269662921348313</v>
      </c>
      <c r="S1471" s="2">
        <f>[1]RawShipmentData!N1486</f>
        <v>2</v>
      </c>
      <c r="T1471" s="2" t="str">
        <f>IF(OR(UPPER(TRIM([1]RawShipmentData!O1486))="YES",UPPER(TRIM([1]RawShipmentData!O1486))="Y"),"Yes","No")</f>
        <v>No</v>
      </c>
    </row>
    <row r="1472" spans="1:20" x14ac:dyDescent="0.25">
      <c r="A1472" s="2" t="str">
        <f>[1]RawShipmentData!A1487</f>
        <v>SHP-100818</v>
      </c>
      <c r="B1472" s="3">
        <f>IF(ISNUMBER(SEARCH("/",TRIM([1]RawShipmentData!B1487))),DATE(VALUE(RIGHT(TRIM([1]RawShipmentData!B1487),4)),VALUE(MID(TRIM([1]RawShipmentData!B1487),FIND("/",TRIM([1]RawShipmentData!B1487))+1,2)),VALUE(LEFT(TRIM([1]RawShipmentData!B1487),FIND("/",TRIM([1]RawShipmentData!B1487))-1))),DATEVALUE(TRIM([1]RawShipmentData!B1487)))</f>
        <v>45398</v>
      </c>
      <c r="C1472" s="2" t="str">
        <f>PROPER(TRIM([1]RawShipmentData!C1487))</f>
        <v>Delhi</v>
      </c>
      <c r="D1472" s="2" t="str">
        <f>IFERROR(INDEX([1]HubMaster!$B$2:$B$7,MATCH(C1472,[1]HubMaster!$A$2:$A$7,0)),"Unknown")</f>
        <v>North</v>
      </c>
      <c r="E1472" s="2" t="str">
        <f>PROPER(TRIM(SUBSTITUTE([1]RawShipmentData!D1487,"  "," ")))</f>
        <v>Bluedart</v>
      </c>
      <c r="F1472" s="2" t="str">
        <f>PROPER(TRIM([1]RawShipmentData!E1487))</f>
        <v>Road</v>
      </c>
      <c r="G1472" s="2" t="str">
        <f>PROPER(TRIM(SUBSTITUTE([1]RawShipmentData!F1487,"  "," ")))</f>
        <v>Apparel</v>
      </c>
      <c r="H1472" s="2" t="str">
        <f>PROPER(TRIM([1]RawShipmentData!G1487))</f>
        <v>North</v>
      </c>
      <c r="I1472" s="2" t="str">
        <f t="shared" si="110"/>
        <v>No</v>
      </c>
      <c r="J1472" s="2">
        <f>IFERROR(VALUE(TRIM(SUBSTITUTE(UPPER([1]RawShipmentData!I1472),"KG",""))),"")</f>
        <v>0.6</v>
      </c>
      <c r="K1472" s="2">
        <f>VALUE(SUBSTITUTE(SUBSTITUTE(SUBSTITUTE(TRIM([1]RawShipmentData!J1487),"₹",""),"Rs",""),",",""))</f>
        <v>80</v>
      </c>
      <c r="L1472" s="2">
        <f>[1]RawShipmentData!K1487</f>
        <v>6</v>
      </c>
      <c r="M1472" s="3">
        <f>IF(TRIM([1]RawShipmentData!L1487)="","",IF(ISNUMBER(SEARCH("/",TRIM([1]RawShipmentData!L1487))),DATE(VALUE(RIGHT(TRIM([1]RawShipmentData!L1487),4)),VALUE(MID(TRIM([1]RawShipmentData!L1487),FIND("/",TRIM([1]RawShipmentData!L1487))+1,2)),VALUE(LEFT(TRIM([1]RawShipmentData!L1487),FIND("/",TRIM([1]RawShipmentData!L1487))-1))),DATEVALUE(TRIM([1]RawShipmentData!L1487))))</f>
        <v>45405</v>
      </c>
      <c r="N1472" s="2">
        <f t="shared" si="111"/>
        <v>7</v>
      </c>
      <c r="O1472" s="2">
        <f t="shared" si="112"/>
        <v>1</v>
      </c>
      <c r="P1472" s="2" t="str">
        <f t="shared" si="113"/>
        <v>Late</v>
      </c>
      <c r="Q1472" s="2" t="str">
        <f>PROPER(SUBSTITUTE(TRIM([1]RawShipmentData!M1487)," ","-"))</f>
        <v>Delayed</v>
      </c>
      <c r="R1472" s="4">
        <f t="shared" si="114"/>
        <v>133.33333333333334</v>
      </c>
      <c r="S1472" s="2">
        <f>[1]RawShipmentData!N1487</f>
        <v>2</v>
      </c>
      <c r="T1472" s="2" t="str">
        <f>IF(OR(UPPER(TRIM([1]RawShipmentData!O1487))="YES",UPPER(TRIM([1]RawShipmentData!O1487))="Y"),"Yes","No")</f>
        <v>No</v>
      </c>
    </row>
    <row r="1473" spans="1:20" x14ac:dyDescent="0.25">
      <c r="A1473" s="2" t="str">
        <f>[1]RawShipmentData!A1488</f>
        <v>SHP-101089</v>
      </c>
      <c r="B1473" s="3">
        <f>IF(ISNUMBER(SEARCH("/",TRIM([1]RawShipmentData!B1488))),DATE(VALUE(RIGHT(TRIM([1]RawShipmentData!B1488),4)),VALUE(MID(TRIM([1]RawShipmentData!B1488),FIND("/",TRIM([1]RawShipmentData!B1488))+1,2)),VALUE(LEFT(TRIM([1]RawShipmentData!B1488),FIND("/",TRIM([1]RawShipmentData!B1488))-1))),DATEVALUE(TRIM([1]RawShipmentData!B1488)))</f>
        <v>45362</v>
      </c>
      <c r="C1473" s="2" t="str">
        <f>PROPER(TRIM([1]RawShipmentData!C1488))</f>
        <v>Kolkata</v>
      </c>
      <c r="D1473" s="2" t="str">
        <f>IFERROR(INDEX([1]HubMaster!$B$2:$B$7,MATCH(C1473,[1]HubMaster!$A$2:$A$7,0)),"Unknown")</f>
        <v>East</v>
      </c>
      <c r="E1473" s="2" t="str">
        <f>PROPER(TRIM(SUBSTITUTE([1]RawShipmentData!D1488,"  "," ")))</f>
        <v>Xpressbees</v>
      </c>
      <c r="F1473" s="2" t="str">
        <f>PROPER(TRIM([1]RawShipmentData!E1488))</f>
        <v>Surface</v>
      </c>
      <c r="G1473" s="2" t="str">
        <f>PROPER(TRIM(SUBSTITUTE([1]RawShipmentData!F1488,"  "," ")))</f>
        <v>Grocery &amp; Fmcg</v>
      </c>
      <c r="H1473" s="2" t="str">
        <f>PROPER(TRIM([1]RawShipmentData!G1488))</f>
        <v>West</v>
      </c>
      <c r="I1473" s="2" t="str">
        <f t="shared" si="110"/>
        <v>Yes</v>
      </c>
      <c r="J1473" s="2">
        <f>IFERROR(VALUE(TRIM(SUBSTITUTE(UPPER([1]RawShipmentData!I1473),"KG",""))),"")</f>
        <v>1.2</v>
      </c>
      <c r="K1473" s="2">
        <f>VALUE(SUBSTITUTE(SUBSTITUTE(SUBSTITUTE(TRIM([1]RawShipmentData!J1488),"₹",""),"Rs",""),",",""))</f>
        <v>284</v>
      </c>
      <c r="L1473" s="2">
        <f>[1]RawShipmentData!K1488</f>
        <v>6</v>
      </c>
      <c r="M1473" s="3">
        <f>IF(TRIM([1]RawShipmentData!L1488)="","",IF(ISNUMBER(SEARCH("/",TRIM([1]RawShipmentData!L1488))),DATE(VALUE(RIGHT(TRIM([1]RawShipmentData!L1488),4)),VALUE(MID(TRIM([1]RawShipmentData!L1488),FIND("/",TRIM([1]RawShipmentData!L1488))+1,2)),VALUE(LEFT(TRIM([1]RawShipmentData!L1488),FIND("/",TRIM([1]RawShipmentData!L1488))-1))),DATEVALUE(TRIM([1]RawShipmentData!L1488))))</f>
        <v>45376</v>
      </c>
      <c r="N1473" s="2">
        <f t="shared" si="111"/>
        <v>14</v>
      </c>
      <c r="O1473" s="2">
        <f t="shared" si="112"/>
        <v>8</v>
      </c>
      <c r="P1473" s="2" t="str">
        <f t="shared" si="113"/>
        <v>Late</v>
      </c>
      <c r="Q1473" s="2" t="str">
        <f>PROPER(SUBSTITUTE(TRIM([1]RawShipmentData!M1488)," ","-"))</f>
        <v>Delayed</v>
      </c>
      <c r="R1473" s="4">
        <f t="shared" si="114"/>
        <v>236.66666666666669</v>
      </c>
      <c r="S1473" s="2">
        <f>[1]RawShipmentData!N1488</f>
        <v>1</v>
      </c>
      <c r="T1473" s="2" t="str">
        <f>IF(OR(UPPER(TRIM([1]RawShipmentData!O1488))="YES",UPPER(TRIM([1]RawShipmentData!O1488))="Y"),"Yes","No")</f>
        <v>Yes</v>
      </c>
    </row>
    <row r="1474" spans="1:20" x14ac:dyDescent="0.25">
      <c r="A1474" s="2" t="str">
        <f>[1]RawShipmentData!A1489</f>
        <v>SHP-101552</v>
      </c>
      <c r="B1474" s="3">
        <f>IF(ISNUMBER(SEARCH("/",TRIM([1]RawShipmentData!B1489))),DATE(VALUE(RIGHT(TRIM([1]RawShipmentData!B1489),4)),VALUE(MID(TRIM([1]RawShipmentData!B1489),FIND("/",TRIM([1]RawShipmentData!B1489))+1,2)),VALUE(LEFT(TRIM([1]RawShipmentData!B1489),FIND("/",TRIM([1]RawShipmentData!B1489))-1))),DATEVALUE(TRIM([1]RawShipmentData!B1489)))</f>
        <v>45467</v>
      </c>
      <c r="C1474" s="2" t="str">
        <f>PROPER(TRIM([1]RawShipmentData!C1489))</f>
        <v>Bengaluru</v>
      </c>
      <c r="D1474" s="2" t="str">
        <f>IFERROR(INDEX([1]HubMaster!$B$2:$B$7,MATCH(C1474,[1]HubMaster!$A$2:$A$7,0)),"Unknown")</f>
        <v>South</v>
      </c>
      <c r="E1474" s="2" t="str">
        <f>PROPER(TRIM(SUBSTITUTE([1]RawShipmentData!D1489,"  "," ")))</f>
        <v>Dtdc</v>
      </c>
      <c r="F1474" s="2" t="str">
        <f>PROPER(TRIM([1]RawShipmentData!E1489))</f>
        <v>Surface</v>
      </c>
      <c r="G1474" s="2" t="str">
        <f>PROPER(TRIM(SUBSTITUTE([1]RawShipmentData!F1489,"  "," ")))</f>
        <v>Pharma</v>
      </c>
      <c r="H1474" s="2" t="str">
        <f>PROPER(TRIM([1]RawShipmentData!G1489))</f>
        <v>West</v>
      </c>
      <c r="I1474" s="2" t="str">
        <f t="shared" ref="I1474:I1537" si="115">IF(D1474=H1474,"No","Yes")</f>
        <v>Yes</v>
      </c>
      <c r="J1474" s="2">
        <f>IFERROR(VALUE(TRIM(SUBSTITUTE(UPPER([1]RawShipmentData!I1474),"KG",""))),"")</f>
        <v>13.7</v>
      </c>
      <c r="K1474" s="2">
        <f>VALUE(SUBSTITUTE(SUBSTITUTE(SUBSTITUTE(TRIM([1]RawShipmentData!J1489),"₹",""),"Rs",""),",",""))</f>
        <v>191</v>
      </c>
      <c r="L1474" s="2">
        <f>[1]RawShipmentData!K1489</f>
        <v>6</v>
      </c>
      <c r="M1474" s="3">
        <f>IF(TRIM([1]RawShipmentData!L1489)="","",IF(ISNUMBER(SEARCH("/",TRIM([1]RawShipmentData!L1489))),DATE(VALUE(RIGHT(TRIM([1]RawShipmentData!L1489),4)),VALUE(MID(TRIM([1]RawShipmentData!L1489),FIND("/",TRIM([1]RawShipmentData!L1489))+1,2)),VALUE(LEFT(TRIM([1]RawShipmentData!L1489),FIND("/",TRIM([1]RawShipmentData!L1489))-1))),DATEVALUE(TRIM([1]RawShipmentData!L1489))))</f>
        <v>45473</v>
      </c>
      <c r="N1474" s="2">
        <f t="shared" ref="N1474:N1537" si="116">IF(M1474="","",M1474-B1474)</f>
        <v>6</v>
      </c>
      <c r="O1474" s="2">
        <f t="shared" ref="O1474:O1537" si="117">IF(N1474="","",N1474-L1474)</f>
        <v>0</v>
      </c>
      <c r="P1474" s="2" t="str">
        <f t="shared" ref="P1474:P1537" si="118">IF(N1474="","N/A",IF(N1474&lt;=L1474,"On Time","Late"))</f>
        <v>On Time</v>
      </c>
      <c r="Q1474" s="2" t="str">
        <f>PROPER(SUBSTITUTE(TRIM([1]RawShipmentData!M1489)," ","-"))</f>
        <v>Delivered</v>
      </c>
      <c r="R1474" s="4">
        <f t="shared" si="114"/>
        <v>13.941605839416059</v>
      </c>
      <c r="S1474" s="2">
        <f>[1]RawShipmentData!N1489</f>
        <v>1</v>
      </c>
      <c r="T1474" s="2" t="str">
        <f>IF(OR(UPPER(TRIM([1]RawShipmentData!O1489))="YES",UPPER(TRIM([1]RawShipmentData!O1489))="Y"),"Yes","No")</f>
        <v>Yes</v>
      </c>
    </row>
    <row r="1475" spans="1:20" x14ac:dyDescent="0.25">
      <c r="A1475" s="2" t="str">
        <f>[1]RawShipmentData!A1490</f>
        <v>SHP-101133</v>
      </c>
      <c r="B1475" s="3">
        <f>IF(ISNUMBER(SEARCH("/",TRIM([1]RawShipmentData!B1490))),DATE(VALUE(RIGHT(TRIM([1]RawShipmentData!B1490),4)),VALUE(MID(TRIM([1]RawShipmentData!B1490),FIND("/",TRIM([1]RawShipmentData!B1490))+1,2)),VALUE(LEFT(TRIM([1]RawShipmentData!B1490),FIND("/",TRIM([1]RawShipmentData!B1490))-1))),DATEVALUE(TRIM([1]RawShipmentData!B1490)))</f>
        <v>45371</v>
      </c>
      <c r="C1475" s="2" t="str">
        <f>PROPER(TRIM([1]RawShipmentData!C1490))</f>
        <v>Kolkata</v>
      </c>
      <c r="D1475" s="2" t="str">
        <f>IFERROR(INDEX([1]HubMaster!$B$2:$B$7,MATCH(C1475,[1]HubMaster!$A$2:$A$7,0)),"Unknown")</f>
        <v>East</v>
      </c>
      <c r="E1475" s="2" t="str">
        <f>PROPER(TRIM(SUBSTITUTE([1]RawShipmentData!D1490,"  "," ")))</f>
        <v>Delhivery</v>
      </c>
      <c r="F1475" s="2" t="str">
        <f>PROPER(TRIM([1]RawShipmentData!E1490))</f>
        <v>Air</v>
      </c>
      <c r="G1475" s="2" t="str">
        <f>PROPER(TRIM(SUBSTITUTE([1]RawShipmentData!F1490,"  "," ")))</f>
        <v>Electronics</v>
      </c>
      <c r="H1475" s="2" t="str">
        <f>PROPER(TRIM([1]RawShipmentData!G1490))</f>
        <v>North</v>
      </c>
      <c r="I1475" s="2" t="str">
        <f t="shared" si="115"/>
        <v>Yes</v>
      </c>
      <c r="J1475" s="2">
        <f>IFERROR(VALUE(TRIM(SUBSTITUTE(UPPER([1]RawShipmentData!I1475),"KG",""))),"")</f>
        <v>22.3</v>
      </c>
      <c r="K1475" s="2">
        <f>VALUE(SUBSTITUTE(SUBSTITUTE(SUBSTITUTE(TRIM([1]RawShipmentData!J1490),"₹",""),"Rs",""),",",""))</f>
        <v>271</v>
      </c>
      <c r="L1475" s="2">
        <f>[1]RawShipmentData!K1490</f>
        <v>4</v>
      </c>
      <c r="M1475" s="3">
        <f>IF(TRIM([1]RawShipmentData!L1490)="","",IF(ISNUMBER(SEARCH("/",TRIM([1]RawShipmentData!L1490))),DATE(VALUE(RIGHT(TRIM([1]RawShipmentData!L1490),4)),VALUE(MID(TRIM([1]RawShipmentData!L1490),FIND("/",TRIM([1]RawShipmentData!L1490))+1,2)),VALUE(LEFT(TRIM([1]RawShipmentData!L1490),FIND("/",TRIM([1]RawShipmentData!L1490))-1))),DATEVALUE(TRIM([1]RawShipmentData!L1490))))</f>
        <v>45376</v>
      </c>
      <c r="N1475" s="2">
        <f t="shared" si="116"/>
        <v>5</v>
      </c>
      <c r="O1475" s="2">
        <f t="shared" si="117"/>
        <v>1</v>
      </c>
      <c r="P1475" s="2" t="str">
        <f t="shared" si="118"/>
        <v>Late</v>
      </c>
      <c r="Q1475" s="2" t="str">
        <f>PROPER(SUBSTITUTE(TRIM([1]RawShipmentData!M1490)," ","-"))</f>
        <v>Delayed</v>
      </c>
      <c r="R1475" s="4">
        <f t="shared" ref="R1475:R1538" si="119">IFERROR(K1475/J1475,"")</f>
        <v>12.152466367713004</v>
      </c>
      <c r="S1475" s="2">
        <f>[1]RawShipmentData!N1490</f>
        <v>1</v>
      </c>
      <c r="T1475" s="2" t="str">
        <f>IF(OR(UPPER(TRIM([1]RawShipmentData!O1490))="YES",UPPER(TRIM([1]RawShipmentData!O1490))="Y"),"Yes","No")</f>
        <v>No</v>
      </c>
    </row>
    <row r="1476" spans="1:20" x14ac:dyDescent="0.25">
      <c r="A1476" s="2" t="str">
        <f>[1]RawShipmentData!A1491</f>
        <v>SHP-101088</v>
      </c>
      <c r="B1476" s="3">
        <f>IF(ISNUMBER(SEARCH("/",TRIM([1]RawShipmentData!B1491))),DATE(VALUE(RIGHT(TRIM([1]RawShipmentData!B1491),4)),VALUE(MID(TRIM([1]RawShipmentData!B1491),FIND("/",TRIM([1]RawShipmentData!B1491))+1,2)),VALUE(LEFT(TRIM([1]RawShipmentData!B1491),FIND("/",TRIM([1]RawShipmentData!B1491))-1))),DATEVALUE(TRIM([1]RawShipmentData!B1491)))</f>
        <v>45400</v>
      </c>
      <c r="C1476" s="2" t="str">
        <f>PROPER(TRIM([1]RawShipmentData!C1491))</f>
        <v>Delhi</v>
      </c>
      <c r="D1476" s="2" t="str">
        <f>IFERROR(INDEX([1]HubMaster!$B$2:$B$7,MATCH(C1476,[1]HubMaster!$A$2:$A$7,0)),"Unknown")</f>
        <v>North</v>
      </c>
      <c r="E1476" s="2" t="str">
        <f>PROPER(TRIM(SUBSTITUTE([1]RawShipmentData!D1491,"  "," ")))</f>
        <v>Bluedart</v>
      </c>
      <c r="F1476" s="2" t="str">
        <f>PROPER(TRIM([1]RawShipmentData!E1491))</f>
        <v>Air</v>
      </c>
      <c r="G1476" s="2" t="str">
        <f>PROPER(TRIM(SUBSTITUTE([1]RawShipmentData!F1491,"  "," ")))</f>
        <v>Apparel</v>
      </c>
      <c r="H1476" s="2" t="str">
        <f>PROPER(TRIM([1]RawShipmentData!G1491))</f>
        <v>East</v>
      </c>
      <c r="I1476" s="2" t="str">
        <f t="shared" si="115"/>
        <v>Yes</v>
      </c>
      <c r="J1476" s="2">
        <f>IFERROR(VALUE(TRIM(SUBSTITUTE(UPPER([1]RawShipmentData!I1476),"KG",""))),"")</f>
        <v>14.5</v>
      </c>
      <c r="K1476" s="2">
        <f>VALUE(SUBSTITUTE(SUBSTITUTE(SUBSTITUTE(TRIM([1]RawShipmentData!J1491),"₹",""),"Rs",""),",",""))</f>
        <v>261</v>
      </c>
      <c r="L1476" s="2">
        <f>[1]RawShipmentData!K1491</f>
        <v>4</v>
      </c>
      <c r="M1476" s="3">
        <f>IF(TRIM([1]RawShipmentData!L1491)="","",IF(ISNUMBER(SEARCH("/",TRIM([1]RawShipmentData!L1491))),DATE(VALUE(RIGHT(TRIM([1]RawShipmentData!L1491),4)),VALUE(MID(TRIM([1]RawShipmentData!L1491),FIND("/",TRIM([1]RawShipmentData!L1491))+1,2)),VALUE(LEFT(TRIM([1]RawShipmentData!L1491),FIND("/",TRIM([1]RawShipmentData!L1491))-1))),DATEVALUE(TRIM([1]RawShipmentData!L1491))))</f>
        <v>45405</v>
      </c>
      <c r="N1476" s="2">
        <f t="shared" si="116"/>
        <v>5</v>
      </c>
      <c r="O1476" s="2">
        <f t="shared" si="117"/>
        <v>1</v>
      </c>
      <c r="P1476" s="2" t="str">
        <f t="shared" si="118"/>
        <v>Late</v>
      </c>
      <c r="Q1476" s="2" t="str">
        <f>PROPER(SUBSTITUTE(TRIM([1]RawShipmentData!M1491)," ","-"))</f>
        <v>Delayed</v>
      </c>
      <c r="R1476" s="4">
        <f t="shared" si="119"/>
        <v>18</v>
      </c>
      <c r="S1476" s="2">
        <f>[1]RawShipmentData!N1491</f>
        <v>3</v>
      </c>
      <c r="T1476" s="2" t="str">
        <f>IF(OR(UPPER(TRIM([1]RawShipmentData!O1491))="YES",UPPER(TRIM([1]RawShipmentData!O1491))="Y"),"Yes","No")</f>
        <v>Yes</v>
      </c>
    </row>
    <row r="1477" spans="1:20" x14ac:dyDescent="0.25">
      <c r="A1477" s="2" t="str">
        <f>[1]RawShipmentData!A1492</f>
        <v>SHP-101248</v>
      </c>
      <c r="B1477" s="3">
        <f>IF(ISNUMBER(SEARCH("/",TRIM([1]RawShipmentData!B1492))),DATE(VALUE(RIGHT(TRIM([1]RawShipmentData!B1492),4)),VALUE(MID(TRIM([1]RawShipmentData!B1492),FIND("/",TRIM([1]RawShipmentData!B1492))+1,2)),VALUE(LEFT(TRIM([1]RawShipmentData!B1492),FIND("/",TRIM([1]RawShipmentData!B1492))-1))),DATEVALUE(TRIM([1]RawShipmentData!B1492)))</f>
        <v>45295</v>
      </c>
      <c r="C1477" s="2" t="str">
        <f>PROPER(TRIM([1]RawShipmentData!C1492))</f>
        <v>Chennai</v>
      </c>
      <c r="D1477" s="2" t="str">
        <f>IFERROR(INDEX([1]HubMaster!$B$2:$B$7,MATCH(C1477,[1]HubMaster!$A$2:$A$7,0)),"Unknown")</f>
        <v>South</v>
      </c>
      <c r="E1477" s="2" t="str">
        <f>PROPER(TRIM(SUBSTITUTE([1]RawShipmentData!D1492,"  "," ")))</f>
        <v>Bluedart</v>
      </c>
      <c r="F1477" s="2" t="str">
        <f>PROPER(TRIM([1]RawShipmentData!E1492))</f>
        <v>Surface</v>
      </c>
      <c r="G1477" s="2" t="str">
        <f>PROPER(TRIM(SUBSTITUTE([1]RawShipmentData!F1492,"  "," ")))</f>
        <v>Pharma</v>
      </c>
      <c r="H1477" s="2" t="str">
        <f>PROPER(TRIM([1]RawShipmentData!G1492))</f>
        <v>East</v>
      </c>
      <c r="I1477" s="2" t="str">
        <f t="shared" si="115"/>
        <v>Yes</v>
      </c>
      <c r="J1477" s="2">
        <f>IFERROR(VALUE(TRIM(SUBSTITUTE(UPPER([1]RawShipmentData!I1477),"KG",""))),"")</f>
        <v>7.5</v>
      </c>
      <c r="K1477" s="2">
        <f>VALUE(SUBSTITUTE(SUBSTITUTE(SUBSTITUTE(TRIM([1]RawShipmentData!J1492),"₹",""),"Rs",""),",",""))</f>
        <v>310</v>
      </c>
      <c r="L1477" s="2">
        <f>[1]RawShipmentData!K1492</f>
        <v>6</v>
      </c>
      <c r="M1477" s="3">
        <f>IF(TRIM([1]RawShipmentData!L1492)="","",IF(ISNUMBER(SEARCH("/",TRIM([1]RawShipmentData!L1492))),DATE(VALUE(RIGHT(TRIM([1]RawShipmentData!L1492),4)),VALUE(MID(TRIM([1]RawShipmentData!L1492),FIND("/",TRIM([1]RawShipmentData!L1492))+1,2)),VALUE(LEFT(TRIM([1]RawShipmentData!L1492),FIND("/",TRIM([1]RawShipmentData!L1492))-1))),DATEVALUE(TRIM([1]RawShipmentData!L1492))))</f>
        <v>45302</v>
      </c>
      <c r="N1477" s="2">
        <f t="shared" si="116"/>
        <v>7</v>
      </c>
      <c r="O1477" s="2">
        <f t="shared" si="117"/>
        <v>1</v>
      </c>
      <c r="P1477" s="2" t="str">
        <f t="shared" si="118"/>
        <v>Late</v>
      </c>
      <c r="Q1477" s="2" t="str">
        <f>PROPER(SUBSTITUTE(TRIM([1]RawShipmentData!M1492)," ","-"))</f>
        <v>Delayed</v>
      </c>
      <c r="R1477" s="4">
        <f t="shared" si="119"/>
        <v>41.333333333333336</v>
      </c>
      <c r="S1477" s="2">
        <f>[1]RawShipmentData!N1492</f>
        <v>1</v>
      </c>
      <c r="T1477" s="2" t="str">
        <f>IF(OR(UPPER(TRIM([1]RawShipmentData!O1492))="YES",UPPER(TRIM([1]RawShipmentData!O1492))="Y"),"Yes","No")</f>
        <v>Yes</v>
      </c>
    </row>
    <row r="1478" spans="1:20" x14ac:dyDescent="0.25">
      <c r="A1478" s="2" t="str">
        <f>[1]RawShipmentData!A1493</f>
        <v>SHP-101572</v>
      </c>
      <c r="B1478" s="3">
        <f>IF(ISNUMBER(SEARCH("/",TRIM([1]RawShipmentData!B1493))),DATE(VALUE(RIGHT(TRIM([1]RawShipmentData!B1493),4)),VALUE(MID(TRIM([1]RawShipmentData!B1493),FIND("/",TRIM([1]RawShipmentData!B1493))+1,2)),VALUE(LEFT(TRIM([1]RawShipmentData!B1493),FIND("/",TRIM([1]RawShipmentData!B1493))-1))),DATEVALUE(TRIM([1]RawShipmentData!B1493)))</f>
        <v>45418</v>
      </c>
      <c r="C1478" s="2" t="str">
        <f>PROPER(TRIM([1]RawShipmentData!C1493))</f>
        <v>Hyderabad</v>
      </c>
      <c r="D1478" s="2" t="str">
        <f>IFERROR(INDEX([1]HubMaster!$B$2:$B$7,MATCH(C1478,[1]HubMaster!$A$2:$A$7,0)),"Unknown")</f>
        <v>West</v>
      </c>
      <c r="E1478" s="2" t="str">
        <f>PROPER(TRIM(SUBSTITUTE([1]RawShipmentData!D1493,"  "," ")))</f>
        <v>Xpressbees</v>
      </c>
      <c r="F1478" s="2" t="str">
        <f>PROPER(TRIM([1]RawShipmentData!E1493))</f>
        <v>Road</v>
      </c>
      <c r="G1478" s="2" t="str">
        <f>PROPER(TRIM(SUBSTITUTE([1]RawShipmentData!F1493,"  "," ")))</f>
        <v>Pharma</v>
      </c>
      <c r="H1478" s="2" t="str">
        <f>PROPER(TRIM([1]RawShipmentData!G1493))</f>
        <v>East</v>
      </c>
      <c r="I1478" s="2" t="str">
        <f t="shared" si="115"/>
        <v>Yes</v>
      </c>
      <c r="J1478" s="2">
        <f>IFERROR(VALUE(TRIM(SUBSTITUTE(UPPER([1]RawShipmentData!I1478),"KG",""))),"")</f>
        <v>27.2</v>
      </c>
      <c r="K1478" s="2">
        <f>VALUE(SUBSTITUTE(SUBSTITUTE(SUBSTITUTE(TRIM([1]RawShipmentData!J1493),"₹",""),"Rs",""),",",""))</f>
        <v>185</v>
      </c>
      <c r="L1478" s="2">
        <f>[1]RawShipmentData!K1493</f>
        <v>8</v>
      </c>
      <c r="M1478" s="3">
        <f>IF(TRIM([1]RawShipmentData!L1493)="","",IF(ISNUMBER(SEARCH("/",TRIM([1]RawShipmentData!L1493))),DATE(VALUE(RIGHT(TRIM([1]RawShipmentData!L1493),4)),VALUE(MID(TRIM([1]RawShipmentData!L1493),FIND("/",TRIM([1]RawShipmentData!L1493))+1,2)),VALUE(LEFT(TRIM([1]RawShipmentData!L1493),FIND("/",TRIM([1]RawShipmentData!L1493))-1))),DATEVALUE(TRIM([1]RawShipmentData!L1493))))</f>
        <v>45426</v>
      </c>
      <c r="N1478" s="2">
        <f t="shared" si="116"/>
        <v>8</v>
      </c>
      <c r="O1478" s="2">
        <f t="shared" si="117"/>
        <v>0</v>
      </c>
      <c r="P1478" s="2" t="str">
        <f t="shared" si="118"/>
        <v>On Time</v>
      </c>
      <c r="Q1478" s="2" t="str">
        <f>PROPER(SUBSTITUTE(TRIM([1]RawShipmentData!M1493)," ","-"))</f>
        <v>Delivered</v>
      </c>
      <c r="R1478" s="4">
        <f t="shared" si="119"/>
        <v>6.8014705882352944</v>
      </c>
      <c r="S1478" s="2">
        <f>[1]RawShipmentData!N1493</f>
        <v>4</v>
      </c>
      <c r="T1478" s="2" t="str">
        <f>IF(OR(UPPER(TRIM([1]RawShipmentData!O1493))="YES",UPPER(TRIM([1]RawShipmentData!O1493))="Y"),"Yes","No")</f>
        <v>No</v>
      </c>
    </row>
    <row r="1479" spans="1:20" x14ac:dyDescent="0.25">
      <c r="A1479" s="2" t="str">
        <f>[1]RawShipmentData!A1494</f>
        <v>SHP-101563</v>
      </c>
      <c r="B1479" s="3">
        <f>IF(ISNUMBER(SEARCH("/",TRIM([1]RawShipmentData!B1494))),DATE(VALUE(RIGHT(TRIM([1]RawShipmentData!B1494),4)),VALUE(MID(TRIM([1]RawShipmentData!B1494),FIND("/",TRIM([1]RawShipmentData!B1494))+1,2)),VALUE(LEFT(TRIM([1]RawShipmentData!B1494),FIND("/",TRIM([1]RawShipmentData!B1494))-1))),DATEVALUE(TRIM([1]RawShipmentData!B1494)))</f>
        <v>45377</v>
      </c>
      <c r="C1479" s="2" t="str">
        <f>PROPER(TRIM([1]RawShipmentData!C1494))</f>
        <v>Hyderabad</v>
      </c>
      <c r="D1479" s="2" t="str">
        <f>IFERROR(INDEX([1]HubMaster!$B$2:$B$7,MATCH(C1479,[1]HubMaster!$A$2:$A$7,0)),"Unknown")</f>
        <v>West</v>
      </c>
      <c r="E1479" s="2" t="str">
        <f>PROPER(TRIM(SUBSTITUTE([1]RawShipmentData!D1494,"  "," ")))</f>
        <v>Dtdc</v>
      </c>
      <c r="F1479" s="2" t="str">
        <f>PROPER(TRIM([1]RawShipmentData!E1494))</f>
        <v>Road</v>
      </c>
      <c r="G1479" s="2" t="str">
        <f>PROPER(TRIM(SUBSTITUTE([1]RawShipmentData!F1494,"  "," ")))</f>
        <v/>
      </c>
      <c r="H1479" s="2" t="str">
        <f>PROPER(TRIM([1]RawShipmentData!G1494))</f>
        <v>East</v>
      </c>
      <c r="I1479" s="2" t="str">
        <f t="shared" si="115"/>
        <v>Yes</v>
      </c>
      <c r="J1479" s="2">
        <f>IFERROR(VALUE(TRIM(SUBSTITUTE(UPPER([1]RawShipmentData!I1479),"KG",""))),"")</f>
        <v>15.3</v>
      </c>
      <c r="K1479" s="2">
        <f>VALUE(SUBSTITUTE(SUBSTITUTE(SUBSTITUTE(TRIM([1]RawShipmentData!J1494),"₹",""),"Rs",""),",",""))</f>
        <v>1105</v>
      </c>
      <c r="L1479" s="2">
        <f>[1]RawShipmentData!K1494</f>
        <v>8</v>
      </c>
      <c r="M1479" s="3">
        <f>IF(TRIM([1]RawShipmentData!L1494)="","",IF(ISNUMBER(SEARCH("/",TRIM([1]RawShipmentData!L1494))),DATE(VALUE(RIGHT(TRIM([1]RawShipmentData!L1494),4)),VALUE(MID(TRIM([1]RawShipmentData!L1494),FIND("/",TRIM([1]RawShipmentData!L1494))+1,2)),VALUE(LEFT(TRIM([1]RawShipmentData!L1494),FIND("/",TRIM([1]RawShipmentData!L1494))-1))),DATEVALUE(TRIM([1]RawShipmentData!L1494))))</f>
        <v>45386</v>
      </c>
      <c r="N1479" s="2">
        <f t="shared" si="116"/>
        <v>9</v>
      </c>
      <c r="O1479" s="2">
        <f t="shared" si="117"/>
        <v>1</v>
      </c>
      <c r="P1479" s="2" t="str">
        <f t="shared" si="118"/>
        <v>Late</v>
      </c>
      <c r="Q1479" s="2" t="str">
        <f>PROPER(SUBSTITUTE(TRIM([1]RawShipmentData!M1494)," ","-"))</f>
        <v>Damaged</v>
      </c>
      <c r="R1479" s="4">
        <f t="shared" si="119"/>
        <v>72.222222222222214</v>
      </c>
      <c r="S1479" s="2">
        <f>[1]RawShipmentData!N1494</f>
        <v>0</v>
      </c>
      <c r="T1479" s="2" t="str">
        <f>IF(OR(UPPER(TRIM([1]RawShipmentData!O1494))="YES",UPPER(TRIM([1]RawShipmentData!O1494))="Y"),"Yes","No")</f>
        <v>No</v>
      </c>
    </row>
    <row r="1480" spans="1:20" x14ac:dyDescent="0.25">
      <c r="A1480" s="2" t="str">
        <f>[1]RawShipmentData!A1496</f>
        <v>SHP-100314</v>
      </c>
      <c r="B1480" s="3">
        <f>IF(ISNUMBER(SEARCH("/",TRIM([1]RawShipmentData!B1496))),DATE(VALUE(RIGHT(TRIM([1]RawShipmentData!B1496),4)),VALUE(MID(TRIM([1]RawShipmentData!B1496),FIND("/",TRIM([1]RawShipmentData!B1496))+1,2)),VALUE(LEFT(TRIM([1]RawShipmentData!B1496),FIND("/",TRIM([1]RawShipmentData!B1496))-1))),DATEVALUE(TRIM([1]RawShipmentData!B1496)))</f>
        <v>45428</v>
      </c>
      <c r="C1480" s="2" t="str">
        <f>PROPER(TRIM([1]RawShipmentData!C1496))</f>
        <v>Bengaluru</v>
      </c>
      <c r="D1480" s="2" t="str">
        <f>IFERROR(INDEX([1]HubMaster!$B$2:$B$7,MATCH(C1480,[1]HubMaster!$A$2:$A$7,0)),"Unknown")</f>
        <v>South</v>
      </c>
      <c r="E1480" s="2" t="str">
        <f>PROPER(TRIM(SUBSTITUTE([1]RawShipmentData!D1496,"  "," ")))</f>
        <v>Xpressbees</v>
      </c>
      <c r="F1480" s="2" t="str">
        <f>PROPER(TRIM([1]RawShipmentData!E1496))</f>
        <v>Surface</v>
      </c>
      <c r="G1480" s="2" t="str">
        <f>PROPER(TRIM(SUBSTITUTE([1]RawShipmentData!F1496,"  "," ")))</f>
        <v>Grocery &amp; Fmcg</v>
      </c>
      <c r="H1480" s="2" t="str">
        <f>PROPER(TRIM([1]RawShipmentData!G1496))</f>
        <v>East</v>
      </c>
      <c r="I1480" s="2" t="str">
        <f t="shared" si="115"/>
        <v>Yes</v>
      </c>
      <c r="J1480" s="2">
        <f>IFERROR(VALUE(TRIM(SUBSTITUTE(UPPER([1]RawShipmentData!I1480),"KG",""))),"")</f>
        <v>6.6</v>
      </c>
      <c r="K1480" s="2">
        <f>VALUE(SUBSTITUTE(SUBSTITUTE(SUBSTITUTE(TRIM([1]RawShipmentData!J1496),"₹",""),"Rs",""),",",""))</f>
        <v>348</v>
      </c>
      <c r="L1480" s="2">
        <f>[1]RawShipmentData!K1496</f>
        <v>6</v>
      </c>
      <c r="M1480" s="3">
        <f>IF(TRIM([1]RawShipmentData!L1496)="","",IF(ISNUMBER(SEARCH("/",TRIM([1]RawShipmentData!L1496))),DATE(VALUE(RIGHT(TRIM([1]RawShipmentData!L1496),4)),VALUE(MID(TRIM([1]RawShipmentData!L1496),FIND("/",TRIM([1]RawShipmentData!L1496))+1,2)),VALUE(LEFT(TRIM([1]RawShipmentData!L1496),FIND("/",TRIM([1]RawShipmentData!L1496))-1))),DATEVALUE(TRIM([1]RawShipmentData!L1496))))</f>
        <v>45434</v>
      </c>
      <c r="N1480" s="2">
        <f t="shared" si="116"/>
        <v>6</v>
      </c>
      <c r="O1480" s="2">
        <f t="shared" si="117"/>
        <v>0</v>
      </c>
      <c r="P1480" s="2" t="str">
        <f t="shared" si="118"/>
        <v>On Time</v>
      </c>
      <c r="Q1480" s="2" t="str">
        <f>PROPER(SUBSTITUTE(TRIM([1]RawShipmentData!M1496)," ","-"))</f>
        <v>Delivered</v>
      </c>
      <c r="R1480" s="4">
        <f t="shared" si="119"/>
        <v>52.727272727272727</v>
      </c>
      <c r="S1480" s="2">
        <f>[1]RawShipmentData!N1496</f>
        <v>3</v>
      </c>
      <c r="T1480" s="2" t="str">
        <f>IF(OR(UPPER(TRIM([1]RawShipmentData!O1496))="YES",UPPER(TRIM([1]RawShipmentData!O1496))="Y"),"Yes","No")</f>
        <v>Yes</v>
      </c>
    </row>
    <row r="1481" spans="1:20" x14ac:dyDescent="0.25">
      <c r="A1481" s="2" t="str">
        <f>[1]RawShipmentData!A1497</f>
        <v>SHP-100740</v>
      </c>
      <c r="B1481" s="3">
        <f>IF(ISNUMBER(SEARCH("/",TRIM([1]RawShipmentData!B1497))),DATE(VALUE(RIGHT(TRIM([1]RawShipmentData!B1497),4)),VALUE(MID(TRIM([1]RawShipmentData!B1497),FIND("/",TRIM([1]RawShipmentData!B1497))+1,2)),VALUE(LEFT(TRIM([1]RawShipmentData!B1497),FIND("/",TRIM([1]RawShipmentData!B1497))-1))),DATEVALUE(TRIM([1]RawShipmentData!B1497)))</f>
        <v>45345</v>
      </c>
      <c r="C1481" s="2" t="str">
        <f>PROPER(TRIM([1]RawShipmentData!C1497))</f>
        <v>Bengaluru</v>
      </c>
      <c r="D1481" s="2" t="str">
        <f>IFERROR(INDEX([1]HubMaster!$B$2:$B$7,MATCH(C1481,[1]HubMaster!$A$2:$A$7,0)),"Unknown")</f>
        <v>South</v>
      </c>
      <c r="E1481" s="2" t="str">
        <f>PROPER(TRIM(SUBSTITUTE([1]RawShipmentData!D1497,"  "," ")))</f>
        <v>Blue Dart</v>
      </c>
      <c r="F1481" s="2" t="str">
        <f>PROPER(TRIM([1]RawShipmentData!E1497))</f>
        <v>Road</v>
      </c>
      <c r="G1481" s="2" t="str">
        <f>PROPER(TRIM(SUBSTITUTE([1]RawShipmentData!F1497,"  "," ")))</f>
        <v>Apparel</v>
      </c>
      <c r="H1481" s="2" t="str">
        <f>PROPER(TRIM([1]RawShipmentData!G1497))</f>
        <v>South</v>
      </c>
      <c r="I1481" s="2" t="str">
        <f t="shared" si="115"/>
        <v>No</v>
      </c>
      <c r="J1481" s="2">
        <f>IFERROR(VALUE(TRIM(SUBSTITUTE(UPPER([1]RawShipmentData!I1481),"KG",""))),"")</f>
        <v>1.4</v>
      </c>
      <c r="K1481" s="2">
        <f>VALUE(SUBSTITUTE(SUBSTITUTE(SUBSTITUTE(TRIM([1]RawShipmentData!J1497),"₹",""),"Rs",""),",",""))</f>
        <v>90</v>
      </c>
      <c r="L1481" s="2">
        <f>[1]RawShipmentData!K1497</f>
        <v>6</v>
      </c>
      <c r="M1481" s="3">
        <f>IF(TRIM([1]RawShipmentData!L1497)="","",IF(ISNUMBER(SEARCH("/",TRIM([1]RawShipmentData!L1497))),DATE(VALUE(RIGHT(TRIM([1]RawShipmentData!L1497),4)),VALUE(MID(TRIM([1]RawShipmentData!L1497),FIND("/",TRIM([1]RawShipmentData!L1497))+1,2)),VALUE(LEFT(TRIM([1]RawShipmentData!L1497),FIND("/",TRIM([1]RawShipmentData!L1497))-1))),DATEVALUE(TRIM([1]RawShipmentData!L1497))))</f>
        <v>45350</v>
      </c>
      <c r="N1481" s="2">
        <f t="shared" si="116"/>
        <v>5</v>
      </c>
      <c r="O1481" s="2">
        <f t="shared" si="117"/>
        <v>-1</v>
      </c>
      <c r="P1481" s="2" t="str">
        <f t="shared" si="118"/>
        <v>On Time</v>
      </c>
      <c r="Q1481" s="2" t="str">
        <f>PROPER(SUBSTITUTE(TRIM([1]RawShipmentData!M1497)," ","-"))</f>
        <v>Delivered</v>
      </c>
      <c r="R1481" s="4">
        <f t="shared" si="119"/>
        <v>64.285714285714292</v>
      </c>
      <c r="S1481" s="2">
        <f>[1]RawShipmentData!N1497</f>
        <v>5</v>
      </c>
      <c r="T1481" s="2" t="str">
        <f>IF(OR(UPPER(TRIM([1]RawShipmentData!O1497))="YES",UPPER(TRIM([1]RawShipmentData!O1497))="Y"),"Yes","No")</f>
        <v>No</v>
      </c>
    </row>
    <row r="1482" spans="1:20" x14ac:dyDescent="0.25">
      <c r="A1482" s="2" t="str">
        <f>[1]RawShipmentData!A1498</f>
        <v>SHP-100636</v>
      </c>
      <c r="B1482" s="3">
        <f>IF(ISNUMBER(SEARCH("/",TRIM([1]RawShipmentData!B1498))),DATE(VALUE(RIGHT(TRIM([1]RawShipmentData!B1498),4)),VALUE(MID(TRIM([1]RawShipmentData!B1498),FIND("/",TRIM([1]RawShipmentData!B1498))+1,2)),VALUE(LEFT(TRIM([1]RawShipmentData!B1498),FIND("/",TRIM([1]RawShipmentData!B1498))-1))),DATEVALUE(TRIM([1]RawShipmentData!B1498)))</f>
        <v>45429</v>
      </c>
      <c r="C1482" s="2" t="str">
        <f>PROPER(TRIM([1]RawShipmentData!C1498))</f>
        <v>Hyderabad</v>
      </c>
      <c r="D1482" s="2" t="str">
        <f>IFERROR(INDEX([1]HubMaster!$B$2:$B$7,MATCH(C1482,[1]HubMaster!$A$2:$A$7,0)),"Unknown")</f>
        <v>West</v>
      </c>
      <c r="E1482" s="2" t="str">
        <f>PROPER(TRIM(SUBSTITUTE([1]RawShipmentData!D1498,"  "," ")))</f>
        <v>Dtdc</v>
      </c>
      <c r="F1482" s="2" t="str">
        <f>PROPER(TRIM([1]RawShipmentData!E1498))</f>
        <v>Air</v>
      </c>
      <c r="G1482" s="2" t="str">
        <f>PROPER(TRIM(SUBSTITUTE([1]RawShipmentData!F1498,"  "," ")))</f>
        <v>Pharma</v>
      </c>
      <c r="H1482" s="2" t="str">
        <f>PROPER(TRIM([1]RawShipmentData!G1498))</f>
        <v>South</v>
      </c>
      <c r="I1482" s="2" t="str">
        <f t="shared" si="115"/>
        <v>Yes</v>
      </c>
      <c r="J1482" s="2">
        <f>IFERROR(VALUE(TRIM(SUBSTITUTE(UPPER([1]RawShipmentData!I1482),"KG",""))),"")</f>
        <v>0.7</v>
      </c>
      <c r="K1482" s="2">
        <f>VALUE(SUBSTITUTE(SUBSTITUTE(SUBSTITUTE(TRIM([1]RawShipmentData!J1498),"₹",""),"Rs",""),",",""))</f>
        <v>368</v>
      </c>
      <c r="L1482" s="2">
        <f>[1]RawShipmentData!K1498</f>
        <v>4</v>
      </c>
      <c r="M1482" s="3">
        <f>IF(TRIM([1]RawShipmentData!L1498)="","",IF(ISNUMBER(SEARCH("/",TRIM([1]RawShipmentData!L1498))),DATE(VALUE(RIGHT(TRIM([1]RawShipmentData!L1498),4)),VALUE(MID(TRIM([1]RawShipmentData!L1498),FIND("/",TRIM([1]RawShipmentData!L1498))+1,2)),VALUE(LEFT(TRIM([1]RawShipmentData!L1498),FIND("/",TRIM([1]RawShipmentData!L1498))-1))),DATEVALUE(TRIM([1]RawShipmentData!L1498))))</f>
        <v>45434</v>
      </c>
      <c r="N1482" s="2">
        <f t="shared" si="116"/>
        <v>5</v>
      </c>
      <c r="O1482" s="2">
        <f t="shared" si="117"/>
        <v>1</v>
      </c>
      <c r="P1482" s="2" t="str">
        <f t="shared" si="118"/>
        <v>Late</v>
      </c>
      <c r="Q1482" s="2" t="str">
        <f>PROPER(SUBSTITUTE(TRIM([1]RawShipmentData!M1498)," ","-"))</f>
        <v>Delayed</v>
      </c>
      <c r="R1482" s="4">
        <f t="shared" si="119"/>
        <v>525.71428571428578</v>
      </c>
      <c r="S1482" s="2">
        <f>[1]RawShipmentData!N1498</f>
        <v>5</v>
      </c>
      <c r="T1482" s="2" t="str">
        <f>IF(OR(UPPER(TRIM([1]RawShipmentData!O1498))="YES",UPPER(TRIM([1]RawShipmentData!O1498))="Y"),"Yes","No")</f>
        <v>Yes</v>
      </c>
    </row>
    <row r="1483" spans="1:20" x14ac:dyDescent="0.25">
      <c r="A1483" s="2" t="str">
        <f>[1]RawShipmentData!A1499</f>
        <v>SHP-101547</v>
      </c>
      <c r="B1483" s="3">
        <f>IF(ISNUMBER(SEARCH("/",TRIM([1]RawShipmentData!B1499))),DATE(VALUE(RIGHT(TRIM([1]RawShipmentData!B1499),4)),VALUE(MID(TRIM([1]RawShipmentData!B1499),FIND("/",TRIM([1]RawShipmentData!B1499))+1,2)),VALUE(LEFT(TRIM([1]RawShipmentData!B1499),FIND("/",TRIM([1]RawShipmentData!B1499))-1))),DATEVALUE(TRIM([1]RawShipmentData!B1499)))</f>
        <v>45292</v>
      </c>
      <c r="C1483" s="2" t="str">
        <f>PROPER(TRIM([1]RawShipmentData!C1499))</f>
        <v>Hyderabad</v>
      </c>
      <c r="D1483" s="2" t="str">
        <f>IFERROR(INDEX([1]HubMaster!$B$2:$B$7,MATCH(C1483,[1]HubMaster!$A$2:$A$7,0)),"Unknown")</f>
        <v>West</v>
      </c>
      <c r="E1483" s="2" t="str">
        <f>PROPER(TRIM(SUBSTITUTE([1]RawShipmentData!D1499,"  "," ")))</f>
        <v>Dtdc</v>
      </c>
      <c r="F1483" s="2" t="str">
        <f>PROPER(TRIM([1]RawShipmentData!E1499))</f>
        <v>Surface</v>
      </c>
      <c r="G1483" s="2" t="str">
        <f>PROPER(TRIM(SUBSTITUTE([1]RawShipmentData!F1499,"  "," ")))</f>
        <v>Automotive Parts</v>
      </c>
      <c r="H1483" s="2" t="str">
        <f>PROPER(TRIM([1]RawShipmentData!G1499))</f>
        <v>South</v>
      </c>
      <c r="I1483" s="2" t="str">
        <f t="shared" si="115"/>
        <v>Yes</v>
      </c>
      <c r="J1483" s="2">
        <f>IFERROR(VALUE(TRIM(SUBSTITUTE(UPPER([1]RawShipmentData!I1483),"KG",""))),"")</f>
        <v>26.5</v>
      </c>
      <c r="K1483" s="2">
        <f>VALUE(SUBSTITUTE(SUBSTITUTE(SUBSTITUTE(TRIM([1]RawShipmentData!J1499),"₹",""),"Rs",""),",",""))</f>
        <v>960</v>
      </c>
      <c r="L1483" s="2">
        <f>[1]RawShipmentData!K1499</f>
        <v>6</v>
      </c>
      <c r="M1483" s="3">
        <f>IF(TRIM([1]RawShipmentData!L1499)="","",IF(ISNUMBER(SEARCH("/",TRIM([1]RawShipmentData!L1499))),DATE(VALUE(RIGHT(TRIM([1]RawShipmentData!L1499),4)),VALUE(MID(TRIM([1]RawShipmentData!L1499),FIND("/",TRIM([1]RawShipmentData!L1499))+1,2)),VALUE(LEFT(TRIM([1]RawShipmentData!L1499),FIND("/",TRIM([1]RawShipmentData!L1499))-1))),DATEVALUE(TRIM([1]RawShipmentData!L1499))))</f>
        <v>45298</v>
      </c>
      <c r="N1483" s="2">
        <f t="shared" si="116"/>
        <v>6</v>
      </c>
      <c r="O1483" s="2">
        <f t="shared" si="117"/>
        <v>0</v>
      </c>
      <c r="P1483" s="2" t="str">
        <f t="shared" si="118"/>
        <v>On Time</v>
      </c>
      <c r="Q1483" s="2" t="str">
        <f>PROPER(SUBSTITUTE(TRIM([1]RawShipmentData!M1499)," ","-"))</f>
        <v>Delivered</v>
      </c>
      <c r="R1483" s="4">
        <f t="shared" si="119"/>
        <v>36.226415094339622</v>
      </c>
      <c r="S1483" s="2">
        <f>[1]RawShipmentData!N1499</f>
        <v>3</v>
      </c>
      <c r="T1483" s="2" t="str">
        <f>IF(OR(UPPER(TRIM([1]RawShipmentData!O1499))="YES",UPPER(TRIM([1]RawShipmentData!O1499))="Y"),"Yes","No")</f>
        <v>No</v>
      </c>
    </row>
    <row r="1484" spans="1:20" x14ac:dyDescent="0.25">
      <c r="A1484" s="2" t="str">
        <f>[1]RawShipmentData!A1500</f>
        <v>SHP-100175</v>
      </c>
      <c r="B1484" s="3">
        <f>IF(ISNUMBER(SEARCH("/",TRIM([1]RawShipmentData!B1500))),DATE(VALUE(RIGHT(TRIM([1]RawShipmentData!B1500),4)),VALUE(MID(TRIM([1]RawShipmentData!B1500),FIND("/",TRIM([1]RawShipmentData!B1500))+1,2)),VALUE(LEFT(TRIM([1]RawShipmentData!B1500),FIND("/",TRIM([1]RawShipmentData!B1500))-1))),DATEVALUE(TRIM([1]RawShipmentData!B1500)))</f>
        <v>45452</v>
      </c>
      <c r="C1484" s="2" t="str">
        <f>PROPER(TRIM([1]RawShipmentData!C1500))</f>
        <v>Hyderabad</v>
      </c>
      <c r="D1484" s="2" t="str">
        <f>IFERROR(INDEX([1]HubMaster!$B$2:$B$7,MATCH(C1484,[1]HubMaster!$A$2:$A$7,0)),"Unknown")</f>
        <v>West</v>
      </c>
      <c r="E1484" s="2" t="str">
        <f>PROPER(TRIM(SUBSTITUTE([1]RawShipmentData!D1500,"  "," ")))</f>
        <v>Ecom Express</v>
      </c>
      <c r="F1484" s="2" t="str">
        <f>PROPER(TRIM([1]RawShipmentData!E1500))</f>
        <v>Road</v>
      </c>
      <c r="G1484" s="2" t="str">
        <f>PROPER(TRIM(SUBSTITUTE([1]RawShipmentData!F1500,"  "," ")))</f>
        <v>Electronics</v>
      </c>
      <c r="H1484" s="2" t="str">
        <f>PROPER(TRIM([1]RawShipmentData!G1500))</f>
        <v>North</v>
      </c>
      <c r="I1484" s="2" t="str">
        <f t="shared" si="115"/>
        <v>Yes</v>
      </c>
      <c r="J1484" s="2">
        <f>IFERROR(VALUE(TRIM(SUBSTITUTE(UPPER([1]RawShipmentData!I1484),"KG",""))),"")</f>
        <v>34.4</v>
      </c>
      <c r="K1484" s="2">
        <f>VALUE(SUBSTITUTE(SUBSTITUTE(SUBSTITUTE(TRIM([1]RawShipmentData!J1500),"₹",""),"Rs",""),",",""))</f>
        <v>373</v>
      </c>
      <c r="L1484" s="2">
        <f>[1]RawShipmentData!K1500</f>
        <v>8</v>
      </c>
      <c r="M1484" s="3">
        <f>IF(TRIM([1]RawShipmentData!L1500)="","",IF(ISNUMBER(SEARCH("/",TRIM([1]RawShipmentData!L1500))),DATE(VALUE(RIGHT(TRIM([1]RawShipmentData!L1500),4)),VALUE(MID(TRIM([1]RawShipmentData!L1500),FIND("/",TRIM([1]RawShipmentData!L1500))+1,2)),VALUE(LEFT(TRIM([1]RawShipmentData!L1500),FIND("/",TRIM([1]RawShipmentData!L1500))-1))),DATEVALUE(TRIM([1]RawShipmentData!L1500))))</f>
        <v>45468</v>
      </c>
      <c r="N1484" s="2">
        <f t="shared" si="116"/>
        <v>16</v>
      </c>
      <c r="O1484" s="2">
        <f t="shared" si="117"/>
        <v>8</v>
      </c>
      <c r="P1484" s="2" t="str">
        <f t="shared" si="118"/>
        <v>Late</v>
      </c>
      <c r="Q1484" s="2" t="str">
        <f>PROPER(SUBSTITUTE(TRIM([1]RawShipmentData!M1500)," ","-"))</f>
        <v>Delayed</v>
      </c>
      <c r="R1484" s="4">
        <f t="shared" si="119"/>
        <v>10.843023255813954</v>
      </c>
      <c r="S1484" s="2">
        <f>[1]RawShipmentData!N1500</f>
        <v>2</v>
      </c>
      <c r="T1484" s="2" t="str">
        <f>IF(OR(UPPER(TRIM([1]RawShipmentData!O1500))="YES",UPPER(TRIM([1]RawShipmentData!O1500))="Y"),"Yes","No")</f>
        <v>Yes</v>
      </c>
    </row>
    <row r="1485" spans="1:20" x14ac:dyDescent="0.25">
      <c r="A1485" s="2" t="str">
        <f>[1]RawShipmentData!A1501</f>
        <v>SHP-101444</v>
      </c>
      <c r="B1485" s="3">
        <f>IF(ISNUMBER(SEARCH("/",TRIM([1]RawShipmentData!B1501))),DATE(VALUE(RIGHT(TRIM([1]RawShipmentData!B1501),4)),VALUE(MID(TRIM([1]RawShipmentData!B1501),FIND("/",TRIM([1]RawShipmentData!B1501))+1,2)),VALUE(LEFT(TRIM([1]RawShipmentData!B1501),FIND("/",TRIM([1]RawShipmentData!B1501))-1))),DATEVALUE(TRIM([1]RawShipmentData!B1501)))</f>
        <v>45408</v>
      </c>
      <c r="C1485" s="2" t="str">
        <f>PROPER(TRIM([1]RawShipmentData!C1501))</f>
        <v>Bengaluru</v>
      </c>
      <c r="D1485" s="2" t="str">
        <f>IFERROR(INDEX([1]HubMaster!$B$2:$B$7,MATCH(C1485,[1]HubMaster!$A$2:$A$7,0)),"Unknown")</f>
        <v>South</v>
      </c>
      <c r="E1485" s="2" t="str">
        <f>PROPER(TRIM(SUBSTITUTE([1]RawShipmentData!D1501,"  "," ")))</f>
        <v>Xpressbees</v>
      </c>
      <c r="F1485" s="2" t="str">
        <f>PROPER(TRIM([1]RawShipmentData!E1501))</f>
        <v>Air</v>
      </c>
      <c r="G1485" s="2" t="str">
        <f>PROPER(TRIM(SUBSTITUTE([1]RawShipmentData!F1501,"  "," ")))</f>
        <v>Apparel</v>
      </c>
      <c r="H1485" s="2" t="str">
        <f>PROPER(TRIM([1]RawShipmentData!G1501))</f>
        <v>South</v>
      </c>
      <c r="I1485" s="2" t="str">
        <f t="shared" si="115"/>
        <v>No</v>
      </c>
      <c r="J1485" s="2">
        <f>IFERROR(VALUE(TRIM(SUBSTITUTE(UPPER([1]RawShipmentData!I1485),"KG",""))),"")</f>
        <v>2.7</v>
      </c>
      <c r="K1485" s="2">
        <f>VALUE(SUBSTITUTE(SUBSTITUTE(SUBSTITUTE(TRIM([1]RawShipmentData!J1501),"₹",""),"Rs",""),",",""))</f>
        <v>80</v>
      </c>
      <c r="L1485" s="2">
        <f>[1]RawShipmentData!K1501</f>
        <v>2</v>
      </c>
      <c r="M1485" s="3">
        <f>IF(TRIM([1]RawShipmentData!L1501)="","",IF(ISNUMBER(SEARCH("/",TRIM([1]RawShipmentData!L1501))),DATE(VALUE(RIGHT(TRIM([1]RawShipmentData!L1501),4)),VALUE(MID(TRIM([1]RawShipmentData!L1501),FIND("/",TRIM([1]RawShipmentData!L1501))+1,2)),VALUE(LEFT(TRIM([1]RawShipmentData!L1501),FIND("/",TRIM([1]RawShipmentData!L1501))-1))),DATEVALUE(TRIM([1]RawShipmentData!L1501))))</f>
        <v>45415</v>
      </c>
      <c r="N1485" s="2">
        <f t="shared" si="116"/>
        <v>7</v>
      </c>
      <c r="O1485" s="2">
        <f t="shared" si="117"/>
        <v>5</v>
      </c>
      <c r="P1485" s="2" t="str">
        <f t="shared" si="118"/>
        <v>Late</v>
      </c>
      <c r="Q1485" s="2" t="str">
        <f>PROPER(SUBSTITUTE(TRIM([1]RawShipmentData!M1501)," ","-"))</f>
        <v>Delayed</v>
      </c>
      <c r="R1485" s="4">
        <f t="shared" si="119"/>
        <v>29.629629629629626</v>
      </c>
      <c r="S1485" s="2">
        <f>[1]RawShipmentData!N1501</f>
        <v>3</v>
      </c>
      <c r="T1485" s="2" t="str">
        <f>IF(OR(UPPER(TRIM([1]RawShipmentData!O1501))="YES",UPPER(TRIM([1]RawShipmentData!O1501))="Y"),"Yes","No")</f>
        <v>No</v>
      </c>
    </row>
    <row r="1486" spans="1:20" x14ac:dyDescent="0.25">
      <c r="A1486" s="2" t="str">
        <f>[1]RawShipmentData!A1502</f>
        <v>SHP-100708</v>
      </c>
      <c r="B1486" s="3">
        <f>IF(ISNUMBER(SEARCH("/",TRIM([1]RawShipmentData!B1502))),DATE(VALUE(RIGHT(TRIM([1]RawShipmentData!B1502),4)),VALUE(MID(TRIM([1]RawShipmentData!B1502),FIND("/",TRIM([1]RawShipmentData!B1502))+1,2)),VALUE(LEFT(TRIM([1]RawShipmentData!B1502),FIND("/",TRIM([1]RawShipmentData!B1502))-1))),DATEVALUE(TRIM([1]RawShipmentData!B1502)))</f>
        <v>45460</v>
      </c>
      <c r="C1486" s="2" t="str">
        <f>PROPER(TRIM([1]RawShipmentData!C1502))</f>
        <v>Kolkata</v>
      </c>
      <c r="D1486" s="2" t="str">
        <f>IFERROR(INDEX([1]HubMaster!$B$2:$B$7,MATCH(C1486,[1]HubMaster!$A$2:$A$7,0)),"Unknown")</f>
        <v>East</v>
      </c>
      <c r="E1486" s="2" t="str">
        <f>PROPER(TRIM(SUBSTITUTE([1]RawShipmentData!D1502,"  "," ")))</f>
        <v>Blue Dart</v>
      </c>
      <c r="F1486" s="2" t="str">
        <f>PROPER(TRIM([1]RawShipmentData!E1502))</f>
        <v>Air</v>
      </c>
      <c r="G1486" s="2" t="str">
        <f>PROPER(TRIM(SUBSTITUTE([1]RawShipmentData!F1502,"  "," ")))</f>
        <v>Electronics</v>
      </c>
      <c r="H1486" s="2" t="str">
        <f>PROPER(TRIM([1]RawShipmentData!G1502))</f>
        <v>East</v>
      </c>
      <c r="I1486" s="2" t="str">
        <f t="shared" si="115"/>
        <v>No</v>
      </c>
      <c r="J1486" s="2">
        <f>IFERROR(VALUE(TRIM(SUBSTITUTE(UPPER([1]RawShipmentData!I1486),"KG",""))),"")</f>
        <v>7.9</v>
      </c>
      <c r="K1486" s="2">
        <f>VALUE(SUBSTITUTE(SUBSTITUTE(SUBSTITUTE(TRIM([1]RawShipmentData!J1502),"₹",""),"Rs",""),",",""))</f>
        <v>131</v>
      </c>
      <c r="L1486" s="2">
        <f>[1]RawShipmentData!K1502</f>
        <v>2</v>
      </c>
      <c r="M1486" s="3">
        <f>IF(TRIM([1]RawShipmentData!L1502)="","",IF(ISNUMBER(SEARCH("/",TRIM([1]RawShipmentData!L1502))),DATE(VALUE(RIGHT(TRIM([1]RawShipmentData!L1502),4)),VALUE(MID(TRIM([1]RawShipmentData!L1502),FIND("/",TRIM([1]RawShipmentData!L1502))+1,2)),VALUE(LEFT(TRIM([1]RawShipmentData!L1502),FIND("/",TRIM([1]RawShipmentData!L1502))-1))),DATEVALUE(TRIM([1]RawShipmentData!L1502))))</f>
        <v>45463</v>
      </c>
      <c r="N1486" s="2">
        <f t="shared" si="116"/>
        <v>3</v>
      </c>
      <c r="O1486" s="2">
        <f t="shared" si="117"/>
        <v>1</v>
      </c>
      <c r="P1486" s="2" t="str">
        <f t="shared" si="118"/>
        <v>Late</v>
      </c>
      <c r="Q1486" s="2" t="str">
        <f>PROPER(SUBSTITUTE(TRIM([1]RawShipmentData!M1502)," ","-"))</f>
        <v>Delayed</v>
      </c>
      <c r="R1486" s="4">
        <f t="shared" si="119"/>
        <v>16.582278481012658</v>
      </c>
      <c r="S1486" s="2">
        <f>[1]RawShipmentData!N1502</f>
        <v>3</v>
      </c>
      <c r="T1486" s="2" t="str">
        <f>IF(OR(UPPER(TRIM([1]RawShipmentData!O1502))="YES",UPPER(TRIM([1]RawShipmentData!O1502))="Y"),"Yes","No")</f>
        <v>No</v>
      </c>
    </row>
    <row r="1487" spans="1:20" x14ac:dyDescent="0.25">
      <c r="A1487" s="2" t="str">
        <f>[1]RawShipmentData!A1503</f>
        <v>SHP-101306</v>
      </c>
      <c r="B1487" s="3">
        <f>IF(ISNUMBER(SEARCH("/",TRIM([1]RawShipmentData!B1503))),DATE(VALUE(RIGHT(TRIM([1]RawShipmentData!B1503),4)),VALUE(MID(TRIM([1]RawShipmentData!B1503),FIND("/",TRIM([1]RawShipmentData!B1503))+1,2)),VALUE(LEFT(TRIM([1]RawShipmentData!B1503),FIND("/",TRIM([1]RawShipmentData!B1503))-1))),DATEVALUE(TRIM([1]RawShipmentData!B1503)))</f>
        <v>45447</v>
      </c>
      <c r="C1487" s="2" t="str">
        <f>PROPER(TRIM([1]RawShipmentData!C1503))</f>
        <v>Kolkata</v>
      </c>
      <c r="D1487" s="2" t="str">
        <f>IFERROR(INDEX([1]HubMaster!$B$2:$B$7,MATCH(C1487,[1]HubMaster!$A$2:$A$7,0)),"Unknown")</f>
        <v>East</v>
      </c>
      <c r="E1487" s="2" t="str">
        <f>PROPER(TRIM(SUBSTITUTE([1]RawShipmentData!D1503,"  "," ")))</f>
        <v>Xpressbees</v>
      </c>
      <c r="F1487" s="2" t="str">
        <f>PROPER(TRIM([1]RawShipmentData!E1503))</f>
        <v>Air</v>
      </c>
      <c r="G1487" s="2" t="str">
        <f>PROPER(TRIM(SUBSTITUTE([1]RawShipmentData!F1503,"  "," ")))</f>
        <v>Electronics</v>
      </c>
      <c r="H1487" s="2" t="str">
        <f>PROPER(TRIM([1]RawShipmentData!G1503))</f>
        <v>East</v>
      </c>
      <c r="I1487" s="2" t="str">
        <f t="shared" si="115"/>
        <v>No</v>
      </c>
      <c r="J1487" s="2">
        <f>IFERROR(VALUE(TRIM(SUBSTITUTE(UPPER([1]RawShipmentData!I1487),"KG",""))),"")</f>
        <v>3.4</v>
      </c>
      <c r="K1487" s="2">
        <f>VALUE(SUBSTITUTE(SUBSTITUTE(SUBSTITUTE(TRIM([1]RawShipmentData!J1503),"₹",""),"Rs",""),",",""))</f>
        <v>247</v>
      </c>
      <c r="L1487" s="2">
        <f>[1]RawShipmentData!K1503</f>
        <v>2</v>
      </c>
      <c r="M1487" s="3">
        <f>IF(TRIM([1]RawShipmentData!L1503)="","",IF(ISNUMBER(SEARCH("/",TRIM([1]RawShipmentData!L1503))),DATE(VALUE(RIGHT(TRIM([1]RawShipmentData!L1503),4)),VALUE(MID(TRIM([1]RawShipmentData!L1503),FIND("/",TRIM([1]RawShipmentData!L1503))+1,2)),VALUE(LEFT(TRIM([1]RawShipmentData!L1503),FIND("/",TRIM([1]RawShipmentData!L1503))-1))),DATEVALUE(TRIM([1]RawShipmentData!L1503))))</f>
        <v>45451</v>
      </c>
      <c r="N1487" s="2">
        <f t="shared" si="116"/>
        <v>4</v>
      </c>
      <c r="O1487" s="2">
        <f t="shared" si="117"/>
        <v>2</v>
      </c>
      <c r="P1487" s="2" t="str">
        <f t="shared" si="118"/>
        <v>Late</v>
      </c>
      <c r="Q1487" s="2" t="str">
        <f>PROPER(SUBSTITUTE(TRIM([1]RawShipmentData!M1503)," ","-"))</f>
        <v>Delayed</v>
      </c>
      <c r="R1487" s="4">
        <f t="shared" si="119"/>
        <v>72.64705882352942</v>
      </c>
      <c r="S1487" s="2">
        <f>[1]RawShipmentData!N1503</f>
        <v>4</v>
      </c>
      <c r="T1487" s="2" t="str">
        <f>IF(OR(UPPER(TRIM([1]RawShipmentData!O1503))="YES",UPPER(TRIM([1]RawShipmentData!O1503))="Y"),"Yes","No")</f>
        <v>Yes</v>
      </c>
    </row>
    <row r="1488" spans="1:20" x14ac:dyDescent="0.25">
      <c r="A1488" s="2" t="str">
        <f>[1]RawShipmentData!A1504</f>
        <v>SHP-101244</v>
      </c>
      <c r="B1488" s="3">
        <f>IF(ISNUMBER(SEARCH("/",TRIM([1]RawShipmentData!B1504))),DATE(VALUE(RIGHT(TRIM([1]RawShipmentData!B1504),4)),VALUE(MID(TRIM([1]RawShipmentData!B1504),FIND("/",TRIM([1]RawShipmentData!B1504))+1,2)),VALUE(LEFT(TRIM([1]RawShipmentData!B1504),FIND("/",TRIM([1]RawShipmentData!B1504))-1))),DATEVALUE(TRIM([1]RawShipmentData!B1504)))</f>
        <v>45401</v>
      </c>
      <c r="C1488" s="2" t="str">
        <f>PROPER(TRIM([1]RawShipmentData!C1504))</f>
        <v>Mumbai</v>
      </c>
      <c r="D1488" s="2" t="str">
        <f>IFERROR(INDEX([1]HubMaster!$B$2:$B$7,MATCH(C1488,[1]HubMaster!$A$2:$A$7,0)),"Unknown")</f>
        <v>West</v>
      </c>
      <c r="E1488" s="2" t="str">
        <f>PROPER(TRIM(SUBSTITUTE([1]RawShipmentData!D1504,"  "," ")))</f>
        <v>Delhivery</v>
      </c>
      <c r="F1488" s="2" t="str">
        <f>PROPER(TRIM([1]RawShipmentData!E1504))</f>
        <v>Surface</v>
      </c>
      <c r="G1488" s="2" t="str">
        <f>PROPER(TRIM(SUBSTITUTE([1]RawShipmentData!F1504,"  "," ")))</f>
        <v>Electronics</v>
      </c>
      <c r="H1488" s="2" t="str">
        <f>PROPER(TRIM([1]RawShipmentData!G1504))</f>
        <v>North</v>
      </c>
      <c r="I1488" s="2" t="str">
        <f t="shared" si="115"/>
        <v>Yes</v>
      </c>
      <c r="J1488" s="2">
        <f>IFERROR(VALUE(TRIM(SUBSTITUTE(UPPER([1]RawShipmentData!I1488),"KG",""))),"")</f>
        <v>4.2</v>
      </c>
      <c r="K1488" s="2">
        <f>VALUE(SUBSTITUTE(SUBSTITUTE(SUBSTITUTE(TRIM([1]RawShipmentData!J1504),"₹",""),"Rs",""),",",""))</f>
        <v>197</v>
      </c>
      <c r="L1488" s="2">
        <f>[1]RawShipmentData!K1504</f>
        <v>6</v>
      </c>
      <c r="M1488" s="3">
        <f>IF(TRIM([1]RawShipmentData!L1504)="","",IF(ISNUMBER(SEARCH("/",TRIM([1]RawShipmentData!L1504))),DATE(VALUE(RIGHT(TRIM([1]RawShipmentData!L1504),4)),VALUE(MID(TRIM([1]RawShipmentData!L1504),FIND("/",TRIM([1]RawShipmentData!L1504))+1,2)),VALUE(LEFT(TRIM([1]RawShipmentData!L1504),FIND("/",TRIM([1]RawShipmentData!L1504))-1))),DATEVALUE(TRIM([1]RawShipmentData!L1504))))</f>
        <v>45407</v>
      </c>
      <c r="N1488" s="2">
        <f t="shared" si="116"/>
        <v>6</v>
      </c>
      <c r="O1488" s="2">
        <f t="shared" si="117"/>
        <v>0</v>
      </c>
      <c r="P1488" s="2" t="str">
        <f t="shared" si="118"/>
        <v>On Time</v>
      </c>
      <c r="Q1488" s="2" t="str">
        <f>PROPER(SUBSTITUTE(TRIM([1]RawShipmentData!M1504)," ","-"))</f>
        <v>Delivered</v>
      </c>
      <c r="R1488" s="4">
        <f t="shared" si="119"/>
        <v>46.904761904761905</v>
      </c>
      <c r="S1488" s="2">
        <f>[1]RawShipmentData!N1504</f>
        <v>5</v>
      </c>
      <c r="T1488" s="2" t="str">
        <f>IF(OR(UPPER(TRIM([1]RawShipmentData!O1504))="YES",UPPER(TRIM([1]RawShipmentData!O1504))="Y"),"Yes","No")</f>
        <v>No</v>
      </c>
    </row>
    <row r="1489" spans="1:20" x14ac:dyDescent="0.25">
      <c r="A1489" s="2" t="str">
        <f>[1]RawShipmentData!A1505</f>
        <v>SHP-101465</v>
      </c>
      <c r="B1489" s="3">
        <f>IF(ISNUMBER(SEARCH("/",TRIM([1]RawShipmentData!B1505))),DATE(VALUE(RIGHT(TRIM([1]RawShipmentData!B1505),4)),VALUE(MID(TRIM([1]RawShipmentData!B1505),FIND("/",TRIM([1]RawShipmentData!B1505))+1,2)),VALUE(LEFT(TRIM([1]RawShipmentData!B1505),FIND("/",TRIM([1]RawShipmentData!B1505))-1))),DATEVALUE(TRIM([1]RawShipmentData!B1505)))</f>
        <v>45294</v>
      </c>
      <c r="C1489" s="2" t="str">
        <f>PROPER(TRIM([1]RawShipmentData!C1505))</f>
        <v>Hyderabad</v>
      </c>
      <c r="D1489" s="2" t="str">
        <f>IFERROR(INDEX([1]HubMaster!$B$2:$B$7,MATCH(C1489,[1]HubMaster!$A$2:$A$7,0)),"Unknown")</f>
        <v>West</v>
      </c>
      <c r="E1489" s="2" t="str">
        <f>PROPER(TRIM(SUBSTITUTE([1]RawShipmentData!D1505,"  "," ")))</f>
        <v>Dtdc</v>
      </c>
      <c r="F1489" s="2" t="str">
        <f>PROPER(TRIM([1]RawShipmentData!E1505))</f>
        <v>Road</v>
      </c>
      <c r="G1489" s="2" t="str">
        <f>PROPER(TRIM(SUBSTITUTE([1]RawShipmentData!F1505,"  "," ")))</f>
        <v>Grocery &amp; Fmcg</v>
      </c>
      <c r="H1489" s="2" t="str">
        <f>PROPER(TRIM([1]RawShipmentData!G1505))</f>
        <v>East</v>
      </c>
      <c r="I1489" s="2" t="str">
        <f t="shared" si="115"/>
        <v>Yes</v>
      </c>
      <c r="J1489" s="2">
        <f>IFERROR(VALUE(TRIM(SUBSTITUTE(UPPER([1]RawShipmentData!I1489),"KG",""))),"")</f>
        <v>1.2</v>
      </c>
      <c r="K1489" s="2">
        <f>VALUE(SUBSTITUTE(SUBSTITUTE(SUBSTITUTE(TRIM([1]RawShipmentData!J1505),"₹",""),"Rs",""),",",""))</f>
        <v>292</v>
      </c>
      <c r="L1489" s="2">
        <f>[1]RawShipmentData!K1505</f>
        <v>8</v>
      </c>
      <c r="M1489" s="3">
        <f>IF(TRIM([1]RawShipmentData!L1505)="","",IF(ISNUMBER(SEARCH("/",TRIM([1]RawShipmentData!L1505))),DATE(VALUE(RIGHT(TRIM([1]RawShipmentData!L1505),4)),VALUE(MID(TRIM([1]RawShipmentData!L1505),FIND("/",TRIM([1]RawShipmentData!L1505))+1,2)),VALUE(LEFT(TRIM([1]RawShipmentData!L1505),FIND("/",TRIM([1]RawShipmentData!L1505))-1))),DATEVALUE(TRIM([1]RawShipmentData!L1505))))</f>
        <v>45303</v>
      </c>
      <c r="N1489" s="2">
        <f t="shared" si="116"/>
        <v>9</v>
      </c>
      <c r="O1489" s="2">
        <f t="shared" si="117"/>
        <v>1</v>
      </c>
      <c r="P1489" s="2" t="str">
        <f t="shared" si="118"/>
        <v>Late</v>
      </c>
      <c r="Q1489" s="2" t="str">
        <f>PROPER(SUBSTITUTE(TRIM([1]RawShipmentData!M1505)," ","-"))</f>
        <v>Delayed</v>
      </c>
      <c r="R1489" s="4">
        <f t="shared" si="119"/>
        <v>243.33333333333334</v>
      </c>
      <c r="S1489" s="2">
        <f>[1]RawShipmentData!N1505</f>
        <v>4</v>
      </c>
      <c r="T1489" s="2" t="str">
        <f>IF(OR(UPPER(TRIM([1]RawShipmentData!O1505))="YES",UPPER(TRIM([1]RawShipmentData!O1505))="Y"),"Yes","No")</f>
        <v>No</v>
      </c>
    </row>
    <row r="1490" spans="1:20" x14ac:dyDescent="0.25">
      <c r="A1490" s="2" t="str">
        <f>[1]RawShipmentData!A1506</f>
        <v>SHP-101371</v>
      </c>
      <c r="B1490" s="3">
        <f>IF(ISNUMBER(SEARCH("/",TRIM([1]RawShipmentData!B1506))),DATE(VALUE(RIGHT(TRIM([1]RawShipmentData!B1506),4)),VALUE(MID(TRIM([1]RawShipmentData!B1506),FIND("/",TRIM([1]RawShipmentData!B1506))+1,2)),VALUE(LEFT(TRIM([1]RawShipmentData!B1506),FIND("/",TRIM([1]RawShipmentData!B1506))-1))),DATEVALUE(TRIM([1]RawShipmentData!B1506)))</f>
        <v>45405</v>
      </c>
      <c r="C1490" s="2" t="str">
        <f>PROPER(TRIM([1]RawShipmentData!C1506))</f>
        <v>Bengaluru</v>
      </c>
      <c r="D1490" s="2" t="str">
        <f>IFERROR(INDEX([1]HubMaster!$B$2:$B$7,MATCH(C1490,[1]HubMaster!$A$2:$A$7,0)),"Unknown")</f>
        <v>South</v>
      </c>
      <c r="E1490" s="2" t="str">
        <f>PROPER(TRIM(SUBSTITUTE([1]RawShipmentData!D1506,"  "," ")))</f>
        <v>Blue Dart</v>
      </c>
      <c r="F1490" s="2" t="str">
        <f>PROPER(TRIM([1]RawShipmentData!E1506))</f>
        <v>Road</v>
      </c>
      <c r="G1490" s="2" t="str">
        <f>PROPER(TRIM(SUBSTITUTE([1]RawShipmentData!F1506,"  "," ")))</f>
        <v>Grocery &amp; Fmcg</v>
      </c>
      <c r="H1490" s="2" t="str">
        <f>PROPER(TRIM([1]RawShipmentData!G1506))</f>
        <v>West</v>
      </c>
      <c r="I1490" s="2" t="str">
        <f t="shared" si="115"/>
        <v>Yes</v>
      </c>
      <c r="J1490" s="2">
        <f>IFERROR(VALUE(TRIM(SUBSTITUTE(UPPER([1]RawShipmentData!I1490),"KG",""))),"")</f>
        <v>2.1</v>
      </c>
      <c r="K1490" s="2">
        <f>VALUE(SUBSTITUTE(SUBSTITUTE(SUBSTITUTE(TRIM([1]RawShipmentData!J1506),"₹",""),"Rs",""),",",""))</f>
        <v>427</v>
      </c>
      <c r="L1490" s="2">
        <f>[1]RawShipmentData!K1506</f>
        <v>8</v>
      </c>
      <c r="M1490" s="3">
        <f>IF(TRIM([1]RawShipmentData!L1506)="","",IF(ISNUMBER(SEARCH("/",TRIM([1]RawShipmentData!L1506))),DATE(VALUE(RIGHT(TRIM([1]RawShipmentData!L1506),4)),VALUE(MID(TRIM([1]RawShipmentData!L1506),FIND("/",TRIM([1]RawShipmentData!L1506))+1,2)),VALUE(LEFT(TRIM([1]RawShipmentData!L1506),FIND("/",TRIM([1]RawShipmentData!L1506))-1))),DATEVALUE(TRIM([1]RawShipmentData!L1506))))</f>
        <v>45413</v>
      </c>
      <c r="N1490" s="2">
        <f t="shared" si="116"/>
        <v>8</v>
      </c>
      <c r="O1490" s="2">
        <f t="shared" si="117"/>
        <v>0</v>
      </c>
      <c r="P1490" s="2" t="str">
        <f t="shared" si="118"/>
        <v>On Time</v>
      </c>
      <c r="Q1490" s="2" t="str">
        <f>PROPER(SUBSTITUTE(TRIM([1]RawShipmentData!M1506)," ","-"))</f>
        <v>Delivered</v>
      </c>
      <c r="R1490" s="4">
        <f t="shared" si="119"/>
        <v>203.33333333333331</v>
      </c>
      <c r="S1490" s="2">
        <f>[1]RawShipmentData!N1506</f>
        <v>4</v>
      </c>
      <c r="T1490" s="2" t="str">
        <f>IF(OR(UPPER(TRIM([1]RawShipmentData!O1506))="YES",UPPER(TRIM([1]RawShipmentData!O1506))="Y"),"Yes","No")</f>
        <v>Yes</v>
      </c>
    </row>
    <row r="1491" spans="1:20" x14ac:dyDescent="0.25">
      <c r="A1491" s="2" t="str">
        <f>[1]RawShipmentData!A1507</f>
        <v>SHP-101513</v>
      </c>
      <c r="B1491" s="3">
        <f>IF(ISNUMBER(SEARCH("/",TRIM([1]RawShipmentData!B1507))),DATE(VALUE(RIGHT(TRIM([1]RawShipmentData!B1507),4)),VALUE(MID(TRIM([1]RawShipmentData!B1507),FIND("/",TRIM([1]RawShipmentData!B1507))+1,2)),VALUE(LEFT(TRIM([1]RawShipmentData!B1507),FIND("/",TRIM([1]RawShipmentData!B1507))-1))),DATEVALUE(TRIM([1]RawShipmentData!B1507)))</f>
        <v>45394</v>
      </c>
      <c r="C1491" s="2" t="str">
        <f>PROPER(TRIM([1]RawShipmentData!C1507))</f>
        <v>Kolkata</v>
      </c>
      <c r="D1491" s="2" t="str">
        <f>IFERROR(INDEX([1]HubMaster!$B$2:$B$7,MATCH(C1491,[1]HubMaster!$A$2:$A$7,0)),"Unknown")</f>
        <v>East</v>
      </c>
      <c r="E1491" s="2" t="str">
        <f>PROPER(TRIM(SUBSTITUTE([1]RawShipmentData!D1507,"  "," ")))</f>
        <v>Delhivery</v>
      </c>
      <c r="F1491" s="2" t="str">
        <f>PROPER(TRIM([1]RawShipmentData!E1507))</f>
        <v>Air</v>
      </c>
      <c r="G1491" s="2" t="str">
        <f>PROPER(TRIM(SUBSTITUTE([1]RawShipmentData!F1507,"  "," ")))</f>
        <v>Electronics</v>
      </c>
      <c r="H1491" s="2" t="str">
        <f>PROPER(TRIM([1]RawShipmentData!G1507))</f>
        <v>West</v>
      </c>
      <c r="I1491" s="2" t="str">
        <f t="shared" si="115"/>
        <v>Yes</v>
      </c>
      <c r="J1491" s="2">
        <f>IFERROR(VALUE(TRIM(SUBSTITUTE(UPPER([1]RawShipmentData!I1491),"KG",""))),"")</f>
        <v>1.4</v>
      </c>
      <c r="K1491" s="2">
        <f>VALUE(SUBSTITUTE(SUBSTITUTE(SUBSTITUTE(TRIM([1]RawShipmentData!J1507),"₹",""),"Rs",""),",",""))</f>
        <v>377</v>
      </c>
      <c r="L1491" s="2">
        <f>[1]RawShipmentData!K1507</f>
        <v>4</v>
      </c>
      <c r="M1491" s="3">
        <f>IF(TRIM([1]RawShipmentData!L1507)="","",IF(ISNUMBER(SEARCH("/",TRIM([1]RawShipmentData!L1507))),DATE(VALUE(RIGHT(TRIM([1]RawShipmentData!L1507),4)),VALUE(MID(TRIM([1]RawShipmentData!L1507),FIND("/",TRIM([1]RawShipmentData!L1507))+1,2)),VALUE(LEFT(TRIM([1]RawShipmentData!L1507),FIND("/",TRIM([1]RawShipmentData!L1507))-1))),DATEVALUE(TRIM([1]RawShipmentData!L1507))))</f>
        <v>45397</v>
      </c>
      <c r="N1491" s="2">
        <f t="shared" si="116"/>
        <v>3</v>
      </c>
      <c r="O1491" s="2">
        <f t="shared" si="117"/>
        <v>-1</v>
      </c>
      <c r="P1491" s="2" t="str">
        <f t="shared" si="118"/>
        <v>On Time</v>
      </c>
      <c r="Q1491" s="2" t="str">
        <f>PROPER(SUBSTITUTE(TRIM([1]RawShipmentData!M1507)," ","-"))</f>
        <v>Delivered</v>
      </c>
      <c r="R1491" s="4">
        <f t="shared" si="119"/>
        <v>269.28571428571428</v>
      </c>
      <c r="S1491" s="2">
        <f>[1]RawShipmentData!N1507</f>
        <v>4</v>
      </c>
      <c r="T1491" s="2" t="str">
        <f>IF(OR(UPPER(TRIM([1]RawShipmentData!O1507))="YES",UPPER(TRIM([1]RawShipmentData!O1507))="Y"),"Yes","No")</f>
        <v>No</v>
      </c>
    </row>
    <row r="1492" spans="1:20" x14ac:dyDescent="0.25">
      <c r="A1492" s="2" t="str">
        <f>[1]RawShipmentData!A1508</f>
        <v>SHP-100365</v>
      </c>
      <c r="B1492" s="3">
        <f>IF(ISNUMBER(SEARCH("/",TRIM([1]RawShipmentData!B1508))),DATE(VALUE(RIGHT(TRIM([1]RawShipmentData!B1508),4)),VALUE(MID(TRIM([1]RawShipmentData!B1508),FIND("/",TRIM([1]RawShipmentData!B1508))+1,2)),VALUE(LEFT(TRIM([1]RawShipmentData!B1508),FIND("/",TRIM([1]RawShipmentData!B1508))-1))),DATEVALUE(TRIM([1]RawShipmentData!B1508)))</f>
        <v>45300</v>
      </c>
      <c r="C1492" s="2" t="str">
        <f>PROPER(TRIM([1]RawShipmentData!C1508))</f>
        <v>Kolkata</v>
      </c>
      <c r="D1492" s="2" t="str">
        <f>IFERROR(INDEX([1]HubMaster!$B$2:$B$7,MATCH(C1492,[1]HubMaster!$A$2:$A$7,0)),"Unknown")</f>
        <v>East</v>
      </c>
      <c r="E1492" s="2" t="str">
        <f>PROPER(TRIM(SUBSTITUTE([1]RawShipmentData!D1508,"  "," ")))</f>
        <v>Dtdc</v>
      </c>
      <c r="F1492" s="2" t="str">
        <f>PROPER(TRIM([1]RawShipmentData!E1508))</f>
        <v>Road</v>
      </c>
      <c r="G1492" s="2" t="str">
        <f>PROPER(TRIM(SUBSTITUTE([1]RawShipmentData!F1508,"  "," ")))</f>
        <v>Furniture</v>
      </c>
      <c r="H1492" s="2" t="str">
        <f>PROPER(TRIM([1]RawShipmentData!G1508))</f>
        <v>North</v>
      </c>
      <c r="I1492" s="2" t="str">
        <f t="shared" si="115"/>
        <v>Yes</v>
      </c>
      <c r="J1492" s="2">
        <f>IFERROR(VALUE(TRIM(SUBSTITUTE(UPPER([1]RawShipmentData!I1492),"KG",""))),"")</f>
        <v>4.9000000000000004</v>
      </c>
      <c r="K1492" s="2">
        <f>VALUE(SUBSTITUTE(SUBSTITUTE(SUBSTITUTE(TRIM([1]RawShipmentData!J1508),"₹",""),"Rs",""),",",""))</f>
        <v>995</v>
      </c>
      <c r="L1492" s="2">
        <f>[1]RawShipmentData!K1508</f>
        <v>8</v>
      </c>
      <c r="M1492" s="3">
        <f>IF(TRIM([1]RawShipmentData!L1508)="","",IF(ISNUMBER(SEARCH("/",TRIM([1]RawShipmentData!L1508))),DATE(VALUE(RIGHT(TRIM([1]RawShipmentData!L1508),4)),VALUE(MID(TRIM([1]RawShipmentData!L1508),FIND("/",TRIM([1]RawShipmentData!L1508))+1,2)),VALUE(LEFT(TRIM([1]RawShipmentData!L1508),FIND("/",TRIM([1]RawShipmentData!L1508))-1))),DATEVALUE(TRIM([1]RawShipmentData!L1508))))</f>
        <v>45308</v>
      </c>
      <c r="N1492" s="2">
        <f t="shared" si="116"/>
        <v>8</v>
      </c>
      <c r="O1492" s="2">
        <f t="shared" si="117"/>
        <v>0</v>
      </c>
      <c r="P1492" s="2" t="str">
        <f t="shared" si="118"/>
        <v>On Time</v>
      </c>
      <c r="Q1492" s="2" t="str">
        <f>PROPER(SUBSTITUTE(TRIM([1]RawShipmentData!M1508)," ","-"))</f>
        <v>Delivered</v>
      </c>
      <c r="R1492" s="4">
        <f t="shared" si="119"/>
        <v>203.0612244897959</v>
      </c>
      <c r="S1492" s="2">
        <f>[1]RawShipmentData!N1508</f>
        <v>5</v>
      </c>
      <c r="T1492" s="2" t="str">
        <f>IF(OR(UPPER(TRIM([1]RawShipmentData!O1508))="YES",UPPER(TRIM([1]RawShipmentData!O1508))="Y"),"Yes","No")</f>
        <v>No</v>
      </c>
    </row>
    <row r="1493" spans="1:20" x14ac:dyDescent="0.25">
      <c r="A1493" s="2" t="str">
        <f>[1]RawShipmentData!A1509</f>
        <v>SHP-101018</v>
      </c>
      <c r="B1493" s="3">
        <f>IF(ISNUMBER(SEARCH("/",TRIM([1]RawShipmentData!B1509))),DATE(VALUE(RIGHT(TRIM([1]RawShipmentData!B1509),4)),VALUE(MID(TRIM([1]RawShipmentData!B1509),FIND("/",TRIM([1]RawShipmentData!B1509))+1,2)),VALUE(LEFT(TRIM([1]RawShipmentData!B1509),FIND("/",TRIM([1]RawShipmentData!B1509))-1))),DATEVALUE(TRIM([1]RawShipmentData!B1509)))</f>
        <v>45401</v>
      </c>
      <c r="C1493" s="2" t="str">
        <f>PROPER(TRIM([1]RawShipmentData!C1509))</f>
        <v>Delhi</v>
      </c>
      <c r="D1493" s="2" t="str">
        <f>IFERROR(INDEX([1]HubMaster!$B$2:$B$7,MATCH(C1493,[1]HubMaster!$A$2:$A$7,0)),"Unknown")</f>
        <v>North</v>
      </c>
      <c r="E1493" s="2" t="str">
        <f>PROPER(TRIM(SUBSTITUTE([1]RawShipmentData!D1509,"  "," ")))</f>
        <v>Xpress Bees</v>
      </c>
      <c r="F1493" s="2" t="str">
        <f>PROPER(TRIM([1]RawShipmentData!E1509))</f>
        <v>Air</v>
      </c>
      <c r="G1493" s="2" t="str">
        <f>PROPER(TRIM(SUBSTITUTE([1]RawShipmentData!F1509,"  "," ")))</f>
        <v>Pharma</v>
      </c>
      <c r="H1493" s="2" t="str">
        <f>PROPER(TRIM([1]RawShipmentData!G1509))</f>
        <v>South</v>
      </c>
      <c r="I1493" s="2" t="str">
        <f t="shared" si="115"/>
        <v>Yes</v>
      </c>
      <c r="J1493" s="2">
        <f>IFERROR(VALUE(TRIM(SUBSTITUTE(UPPER([1]RawShipmentData!I1493),"KG",""))),"")</f>
        <v>3.3</v>
      </c>
      <c r="K1493" s="2">
        <f>VALUE(SUBSTITUTE(SUBSTITUTE(SUBSTITUTE(TRIM([1]RawShipmentData!J1509),"₹",""),"Rs",""),",",""))</f>
        <v>266</v>
      </c>
      <c r="L1493" s="2">
        <f>[1]RawShipmentData!K1509</f>
        <v>4</v>
      </c>
      <c r="M1493" s="3">
        <f>IF(TRIM([1]RawShipmentData!L1509)="","",IF(ISNUMBER(SEARCH("/",TRIM([1]RawShipmentData!L1509))),DATE(VALUE(RIGHT(TRIM([1]RawShipmentData!L1509),4)),VALUE(MID(TRIM([1]RawShipmentData!L1509),FIND("/",TRIM([1]RawShipmentData!L1509))+1,2)),VALUE(LEFT(TRIM([1]RawShipmentData!L1509),FIND("/",TRIM([1]RawShipmentData!L1509))-1))),DATEVALUE(TRIM([1]RawShipmentData!L1509))))</f>
        <v>45414</v>
      </c>
      <c r="N1493" s="2">
        <f t="shared" si="116"/>
        <v>13</v>
      </c>
      <c r="O1493" s="2">
        <f t="shared" si="117"/>
        <v>9</v>
      </c>
      <c r="P1493" s="2" t="str">
        <f t="shared" si="118"/>
        <v>Late</v>
      </c>
      <c r="Q1493" s="2" t="str">
        <f>PROPER(SUBSTITUTE(TRIM([1]RawShipmentData!M1509)," ","-"))</f>
        <v>Delayed</v>
      </c>
      <c r="R1493" s="4">
        <f t="shared" si="119"/>
        <v>80.606060606060609</v>
      </c>
      <c r="S1493" s="2">
        <f>[1]RawShipmentData!N1509</f>
        <v>2</v>
      </c>
      <c r="T1493" s="2" t="str">
        <f>IF(OR(UPPER(TRIM([1]RawShipmentData!O1509))="YES",UPPER(TRIM([1]RawShipmentData!O1509))="Y"),"Yes","No")</f>
        <v>No</v>
      </c>
    </row>
    <row r="1494" spans="1:20" x14ac:dyDescent="0.25">
      <c r="A1494" s="2" t="str">
        <f>[1]RawShipmentData!A1510</f>
        <v>SHP-101442</v>
      </c>
      <c r="B1494" s="3">
        <f>IF(ISNUMBER(SEARCH("/",TRIM([1]RawShipmentData!B1510))),DATE(VALUE(RIGHT(TRIM([1]RawShipmentData!B1510),4)),VALUE(MID(TRIM([1]RawShipmentData!B1510),FIND("/",TRIM([1]RawShipmentData!B1510))+1,2)),VALUE(LEFT(TRIM([1]RawShipmentData!B1510),FIND("/",TRIM([1]RawShipmentData!B1510))-1))),DATEVALUE(TRIM([1]RawShipmentData!B1510)))</f>
        <v>45462</v>
      </c>
      <c r="C1494" s="2" t="str">
        <f>PROPER(TRIM([1]RawShipmentData!C1510))</f>
        <v>Hyderabad</v>
      </c>
      <c r="D1494" s="2" t="str">
        <f>IFERROR(INDEX([1]HubMaster!$B$2:$B$7,MATCH(C1494,[1]HubMaster!$A$2:$A$7,0)),"Unknown")</f>
        <v>West</v>
      </c>
      <c r="E1494" s="2" t="str">
        <f>PROPER(TRIM(SUBSTITUTE([1]RawShipmentData!D1510,"  "," ")))</f>
        <v>Bluedart</v>
      </c>
      <c r="F1494" s="2" t="str">
        <f>PROPER(TRIM([1]RawShipmentData!E1510))</f>
        <v>Road</v>
      </c>
      <c r="G1494" s="2" t="str">
        <f>PROPER(TRIM(SUBSTITUTE([1]RawShipmentData!F1510,"  "," ")))</f>
        <v>Pharma</v>
      </c>
      <c r="H1494" s="2" t="str">
        <f>PROPER(TRIM([1]RawShipmentData!G1510))</f>
        <v>South</v>
      </c>
      <c r="I1494" s="2" t="str">
        <f t="shared" si="115"/>
        <v>Yes</v>
      </c>
      <c r="J1494" s="2">
        <f>IFERROR(VALUE(TRIM(SUBSTITUTE(UPPER([1]RawShipmentData!I1494),"KG",""))),"")</f>
        <v>68</v>
      </c>
      <c r="K1494" s="2">
        <f>VALUE(SUBSTITUTE(SUBSTITUTE(SUBSTITUTE(TRIM([1]RawShipmentData!J1510),"₹",""),"Rs",""),",",""))</f>
        <v>220</v>
      </c>
      <c r="L1494" s="2">
        <f>[1]RawShipmentData!K1510</f>
        <v>8</v>
      </c>
      <c r="M1494" s="3">
        <f>IF(TRIM([1]RawShipmentData!L1510)="","",IF(ISNUMBER(SEARCH("/",TRIM([1]RawShipmentData!L1510))),DATE(VALUE(RIGHT(TRIM([1]RawShipmentData!L1510),4)),VALUE(MID(TRIM([1]RawShipmentData!L1510),FIND("/",TRIM([1]RawShipmentData!L1510))+1,2)),VALUE(LEFT(TRIM([1]RawShipmentData!L1510),FIND("/",TRIM([1]RawShipmentData!L1510))-1))),DATEVALUE(TRIM([1]RawShipmentData!L1510))))</f>
        <v>45471</v>
      </c>
      <c r="N1494" s="2">
        <f t="shared" si="116"/>
        <v>9</v>
      </c>
      <c r="O1494" s="2">
        <f t="shared" si="117"/>
        <v>1</v>
      </c>
      <c r="P1494" s="2" t="str">
        <f t="shared" si="118"/>
        <v>Late</v>
      </c>
      <c r="Q1494" s="2" t="str">
        <f>PROPER(SUBSTITUTE(TRIM([1]RawShipmentData!M1510)," ","-"))</f>
        <v>Delayed</v>
      </c>
      <c r="R1494" s="4">
        <f t="shared" si="119"/>
        <v>3.2352941176470589</v>
      </c>
      <c r="S1494" s="2">
        <f>[1]RawShipmentData!N1510</f>
        <v>4</v>
      </c>
      <c r="T1494" s="2" t="str">
        <f>IF(OR(UPPER(TRIM([1]RawShipmentData!O1510))="YES",UPPER(TRIM([1]RawShipmentData!O1510))="Y"),"Yes","No")</f>
        <v>No</v>
      </c>
    </row>
    <row r="1495" spans="1:20" x14ac:dyDescent="0.25">
      <c r="A1495" s="2" t="str">
        <f>[1]RawShipmentData!A1511</f>
        <v>SHP-100044</v>
      </c>
      <c r="B1495" s="3">
        <f>IF(ISNUMBER(SEARCH("/",TRIM([1]RawShipmentData!B1511))),DATE(VALUE(RIGHT(TRIM([1]RawShipmentData!B1511),4)),VALUE(MID(TRIM([1]RawShipmentData!B1511),FIND("/",TRIM([1]RawShipmentData!B1511))+1,2)),VALUE(LEFT(TRIM([1]RawShipmentData!B1511),FIND("/",TRIM([1]RawShipmentData!B1511))-1))),DATEVALUE(TRIM([1]RawShipmentData!B1511)))</f>
        <v>45460</v>
      </c>
      <c r="C1495" s="2" t="str">
        <f>PROPER(TRIM([1]RawShipmentData!C1511))</f>
        <v>Delhi</v>
      </c>
      <c r="D1495" s="2" t="str">
        <f>IFERROR(INDEX([1]HubMaster!$B$2:$B$7,MATCH(C1495,[1]HubMaster!$A$2:$A$7,0)),"Unknown")</f>
        <v>North</v>
      </c>
      <c r="E1495" s="2" t="str">
        <f>PROPER(TRIM(SUBSTITUTE([1]RawShipmentData!D1511,"  "," ")))</f>
        <v>Ecom Express</v>
      </c>
      <c r="F1495" s="2" t="str">
        <f>PROPER(TRIM([1]RawShipmentData!E1511))</f>
        <v>Air</v>
      </c>
      <c r="G1495" s="2" t="str">
        <f>PROPER(TRIM(SUBSTITUTE([1]RawShipmentData!F1511,"  "," ")))</f>
        <v>Pharma</v>
      </c>
      <c r="H1495" s="2" t="str">
        <f>PROPER(TRIM([1]RawShipmentData!G1511))</f>
        <v>West</v>
      </c>
      <c r="I1495" s="2" t="str">
        <f t="shared" si="115"/>
        <v>Yes</v>
      </c>
      <c r="J1495" s="2">
        <f>IFERROR(VALUE(TRIM(SUBSTITUTE(UPPER([1]RawShipmentData!I1495),"KG",""))),"")</f>
        <v>29.8</v>
      </c>
      <c r="K1495" s="2">
        <f>VALUE(SUBSTITUTE(SUBSTITUTE(SUBSTITUTE(TRIM([1]RawShipmentData!J1511),"₹",""),"Rs",""),",",""))</f>
        <v>225</v>
      </c>
      <c r="L1495" s="2">
        <f>[1]RawShipmentData!K1511</f>
        <v>4</v>
      </c>
      <c r="M1495" s="3">
        <f>IF(TRIM([1]RawShipmentData!L1511)="","",IF(ISNUMBER(SEARCH("/",TRIM([1]RawShipmentData!L1511))),DATE(VALUE(RIGHT(TRIM([1]RawShipmentData!L1511),4)),VALUE(MID(TRIM([1]RawShipmentData!L1511),FIND("/",TRIM([1]RawShipmentData!L1511))+1,2)),VALUE(LEFT(TRIM([1]RawShipmentData!L1511),FIND("/",TRIM([1]RawShipmentData!L1511))-1))),DATEVALUE(TRIM([1]RawShipmentData!L1511))))</f>
        <v>45463</v>
      </c>
      <c r="N1495" s="2">
        <f t="shared" si="116"/>
        <v>3</v>
      </c>
      <c r="O1495" s="2">
        <f t="shared" si="117"/>
        <v>-1</v>
      </c>
      <c r="P1495" s="2" t="str">
        <f t="shared" si="118"/>
        <v>On Time</v>
      </c>
      <c r="Q1495" s="2" t="str">
        <f>PROPER(SUBSTITUTE(TRIM([1]RawShipmentData!M1511)," ","-"))</f>
        <v>Delivered</v>
      </c>
      <c r="R1495" s="4">
        <f t="shared" si="119"/>
        <v>7.5503355704697981</v>
      </c>
      <c r="S1495" s="2">
        <f>[1]RawShipmentData!N1511</f>
        <v>4</v>
      </c>
      <c r="T1495" s="2" t="str">
        <f>IF(OR(UPPER(TRIM([1]RawShipmentData!O1511))="YES",UPPER(TRIM([1]RawShipmentData!O1511))="Y"),"Yes","No")</f>
        <v>No</v>
      </c>
    </row>
    <row r="1496" spans="1:20" x14ac:dyDescent="0.25">
      <c r="A1496" s="2" t="str">
        <f>[1]RawShipmentData!A1512</f>
        <v>SHP-100036</v>
      </c>
      <c r="B1496" s="3">
        <f>IF(ISNUMBER(SEARCH("/",TRIM([1]RawShipmentData!B1512))),DATE(VALUE(RIGHT(TRIM([1]RawShipmentData!B1512),4)),VALUE(MID(TRIM([1]RawShipmentData!B1512),FIND("/",TRIM([1]RawShipmentData!B1512))+1,2)),VALUE(LEFT(TRIM([1]RawShipmentData!B1512),FIND("/",TRIM([1]RawShipmentData!B1512))-1))),DATEVALUE(TRIM([1]RawShipmentData!B1512)))</f>
        <v>45420</v>
      </c>
      <c r="C1496" s="2" t="str">
        <f>PROPER(TRIM([1]RawShipmentData!C1512))</f>
        <v>Kolkata</v>
      </c>
      <c r="D1496" s="2" t="str">
        <f>IFERROR(INDEX([1]HubMaster!$B$2:$B$7,MATCH(C1496,[1]HubMaster!$A$2:$A$7,0)),"Unknown")</f>
        <v>East</v>
      </c>
      <c r="E1496" s="2" t="str">
        <f>PROPER(TRIM(SUBSTITUTE([1]RawShipmentData!D1512,"  "," ")))</f>
        <v>Blue Dart</v>
      </c>
      <c r="F1496" s="2" t="str">
        <f>PROPER(TRIM([1]RawShipmentData!E1512))</f>
        <v>Surface</v>
      </c>
      <c r="G1496" s="2" t="str">
        <f>PROPER(TRIM(SUBSTITUTE([1]RawShipmentData!F1512,"  "," ")))</f>
        <v>Electronics</v>
      </c>
      <c r="H1496" s="2" t="str">
        <f>PROPER(TRIM([1]RawShipmentData!G1512))</f>
        <v>South</v>
      </c>
      <c r="I1496" s="2" t="str">
        <f t="shared" si="115"/>
        <v>Yes</v>
      </c>
      <c r="J1496" s="2">
        <f>IFERROR(VALUE(TRIM(SUBSTITUTE(UPPER([1]RawShipmentData!I1496),"KG",""))),"")</f>
        <v>8.1</v>
      </c>
      <c r="K1496" s="2">
        <f>VALUE(SUBSTITUTE(SUBSTITUTE(SUBSTITUTE(TRIM([1]RawShipmentData!J1512),"₹",""),"Rs",""),",",""))</f>
        <v>190</v>
      </c>
      <c r="L1496" s="2">
        <f>[1]RawShipmentData!K1512</f>
        <v>6</v>
      </c>
      <c r="M1496" s="3">
        <f>IF(TRIM([1]RawShipmentData!L1512)="","",IF(ISNUMBER(SEARCH("/",TRIM([1]RawShipmentData!L1512))),DATE(VALUE(RIGHT(TRIM([1]RawShipmentData!L1512),4)),VALUE(MID(TRIM([1]RawShipmentData!L1512),FIND("/",TRIM([1]RawShipmentData!L1512))+1,2)),VALUE(LEFT(TRIM([1]RawShipmentData!L1512),FIND("/",TRIM([1]RawShipmentData!L1512))-1))),DATEVALUE(TRIM([1]RawShipmentData!L1512))))</f>
        <v>45426</v>
      </c>
      <c r="N1496" s="2">
        <f t="shared" si="116"/>
        <v>6</v>
      </c>
      <c r="O1496" s="2">
        <f t="shared" si="117"/>
        <v>0</v>
      </c>
      <c r="P1496" s="2" t="str">
        <f t="shared" si="118"/>
        <v>On Time</v>
      </c>
      <c r="Q1496" s="2" t="str">
        <f>PROPER(SUBSTITUTE(TRIM([1]RawShipmentData!M1512)," ","-"))</f>
        <v>Returned</v>
      </c>
      <c r="R1496" s="4">
        <f t="shared" si="119"/>
        <v>23.456790123456791</v>
      </c>
      <c r="S1496" s="2">
        <f>[1]RawShipmentData!N1512</f>
        <v>0</v>
      </c>
      <c r="T1496" s="2" t="str">
        <f>IF(OR(UPPER(TRIM([1]RawShipmentData!O1512))="YES",UPPER(TRIM([1]RawShipmentData!O1512))="Y"),"Yes","No")</f>
        <v>Yes</v>
      </c>
    </row>
    <row r="1497" spans="1:20" x14ac:dyDescent="0.25">
      <c r="A1497" s="2" t="str">
        <f>[1]RawShipmentData!A1513</f>
        <v>SHP-100982</v>
      </c>
      <c r="B1497" s="3">
        <f>IF(ISNUMBER(SEARCH("/",TRIM([1]RawShipmentData!B1513))),DATE(VALUE(RIGHT(TRIM([1]RawShipmentData!B1513),4)),VALUE(MID(TRIM([1]RawShipmentData!B1513),FIND("/",TRIM([1]RawShipmentData!B1513))+1,2)),VALUE(LEFT(TRIM([1]RawShipmentData!B1513),FIND("/",TRIM([1]RawShipmentData!B1513))-1))),DATEVALUE(TRIM([1]RawShipmentData!B1513)))</f>
        <v>45372</v>
      </c>
      <c r="C1497" s="2" t="str">
        <f>PROPER(TRIM([1]RawShipmentData!C1513))</f>
        <v>Bengaluru</v>
      </c>
      <c r="D1497" s="2" t="str">
        <f>IFERROR(INDEX([1]HubMaster!$B$2:$B$7,MATCH(C1497,[1]HubMaster!$A$2:$A$7,0)),"Unknown")</f>
        <v>South</v>
      </c>
      <c r="E1497" s="2" t="str">
        <f>PROPER(TRIM(SUBSTITUTE([1]RawShipmentData!D1513,"  "," ")))</f>
        <v>Dtdc</v>
      </c>
      <c r="F1497" s="2" t="str">
        <f>PROPER(TRIM([1]RawShipmentData!E1513))</f>
        <v>Air</v>
      </c>
      <c r="G1497" s="2" t="str">
        <f>PROPER(TRIM(SUBSTITUTE([1]RawShipmentData!F1513,"  "," ")))</f>
        <v>Apparel</v>
      </c>
      <c r="H1497" s="2" t="str">
        <f>PROPER(TRIM([1]RawShipmentData!G1513))</f>
        <v>East</v>
      </c>
      <c r="I1497" s="2" t="str">
        <f t="shared" si="115"/>
        <v>Yes</v>
      </c>
      <c r="J1497" s="2">
        <f>IFERROR(VALUE(TRIM(SUBSTITUTE(UPPER([1]RawShipmentData!I1497),"KG",""))),"")</f>
        <v>2.9</v>
      </c>
      <c r="K1497" s="2">
        <f>VALUE(SUBSTITUTE(SUBSTITUTE(SUBSTITUTE(TRIM([1]RawShipmentData!J1513),"₹",""),"Rs",""),",",""))</f>
        <v>384</v>
      </c>
      <c r="L1497" s="2">
        <f>[1]RawShipmentData!K1513</f>
        <v>4</v>
      </c>
      <c r="M1497" s="3">
        <f>IF(TRIM([1]RawShipmentData!L1513)="","",IF(ISNUMBER(SEARCH("/",TRIM([1]RawShipmentData!L1513))),DATE(VALUE(RIGHT(TRIM([1]RawShipmentData!L1513),4)),VALUE(MID(TRIM([1]RawShipmentData!L1513),FIND("/",TRIM([1]RawShipmentData!L1513))+1,2)),VALUE(LEFT(TRIM([1]RawShipmentData!L1513),FIND("/",TRIM([1]RawShipmentData!L1513))-1))),DATEVALUE(TRIM([1]RawShipmentData!L1513))))</f>
        <v>45383</v>
      </c>
      <c r="N1497" s="2">
        <f t="shared" si="116"/>
        <v>11</v>
      </c>
      <c r="O1497" s="2">
        <f t="shared" si="117"/>
        <v>7</v>
      </c>
      <c r="P1497" s="2" t="str">
        <f t="shared" si="118"/>
        <v>Late</v>
      </c>
      <c r="Q1497" s="2" t="str">
        <f>PROPER(SUBSTITUTE(TRIM([1]RawShipmentData!M1513)," ","-"))</f>
        <v>Delayed</v>
      </c>
      <c r="R1497" s="4">
        <f t="shared" si="119"/>
        <v>132.41379310344828</v>
      </c>
      <c r="S1497" s="2">
        <f>[1]RawShipmentData!N1513</f>
        <v>1</v>
      </c>
      <c r="T1497" s="2" t="str">
        <f>IF(OR(UPPER(TRIM([1]RawShipmentData!O1513))="YES",UPPER(TRIM([1]RawShipmentData!O1513))="Y"),"Yes","No")</f>
        <v>Yes</v>
      </c>
    </row>
    <row r="1498" spans="1:20" x14ac:dyDescent="0.25">
      <c r="A1498" s="2" t="str">
        <f>[1]RawShipmentData!A1514</f>
        <v>SHP-100106</v>
      </c>
      <c r="B1498" s="3">
        <f>IF(ISNUMBER(SEARCH("/",TRIM([1]RawShipmentData!B1514))),DATE(VALUE(RIGHT(TRIM([1]RawShipmentData!B1514),4)),VALUE(MID(TRIM([1]RawShipmentData!B1514),FIND("/",TRIM([1]RawShipmentData!B1514))+1,2)),VALUE(LEFT(TRIM([1]RawShipmentData!B1514),FIND("/",TRIM([1]RawShipmentData!B1514))-1))),DATEVALUE(TRIM([1]RawShipmentData!B1514)))</f>
        <v>45383</v>
      </c>
      <c r="C1498" s="2" t="str">
        <f>PROPER(TRIM([1]RawShipmentData!C1514))</f>
        <v>Chennai</v>
      </c>
      <c r="D1498" s="2" t="str">
        <f>IFERROR(INDEX([1]HubMaster!$B$2:$B$7,MATCH(C1498,[1]HubMaster!$A$2:$A$7,0)),"Unknown")</f>
        <v>South</v>
      </c>
      <c r="E1498" s="2" t="str">
        <f>PROPER(TRIM(SUBSTITUTE([1]RawShipmentData!D1514,"  "," ")))</f>
        <v>Bluedart</v>
      </c>
      <c r="F1498" s="2" t="str">
        <f>PROPER(TRIM([1]RawShipmentData!E1514))</f>
        <v>Surface</v>
      </c>
      <c r="G1498" s="2" t="str">
        <f>PROPER(TRIM(SUBSTITUTE([1]RawShipmentData!F1514,"  "," ")))</f>
        <v>Automotive Parts</v>
      </c>
      <c r="H1498" s="2" t="str">
        <f>PROPER(TRIM([1]RawShipmentData!G1514))</f>
        <v>West</v>
      </c>
      <c r="I1498" s="2" t="str">
        <f t="shared" si="115"/>
        <v>Yes</v>
      </c>
      <c r="J1498" s="2">
        <f>IFERROR(VALUE(TRIM(SUBSTITUTE(UPPER([1]RawShipmentData!I1498),"KG",""))),"")</f>
        <v>4</v>
      </c>
      <c r="K1498" s="2">
        <f>VALUE(SUBSTITUTE(SUBSTITUTE(SUBSTITUTE(TRIM([1]RawShipmentData!J1514),"₹",""),"Rs",""),",",""))</f>
        <v>561</v>
      </c>
      <c r="L1498" s="2">
        <f>[1]RawShipmentData!K1514</f>
        <v>6</v>
      </c>
      <c r="M1498" s="3">
        <f>IF(TRIM([1]RawShipmentData!L1514)="","",IF(ISNUMBER(SEARCH("/",TRIM([1]RawShipmentData!L1514))),DATE(VALUE(RIGHT(TRIM([1]RawShipmentData!L1514),4)),VALUE(MID(TRIM([1]RawShipmentData!L1514),FIND("/",TRIM([1]RawShipmentData!L1514))+1,2)),VALUE(LEFT(TRIM([1]RawShipmentData!L1514),FIND("/",TRIM([1]RawShipmentData!L1514))-1))),DATEVALUE(TRIM([1]RawShipmentData!L1514))))</f>
        <v>45389</v>
      </c>
      <c r="N1498" s="2">
        <f t="shared" si="116"/>
        <v>6</v>
      </c>
      <c r="O1498" s="2">
        <f t="shared" si="117"/>
        <v>0</v>
      </c>
      <c r="P1498" s="2" t="str">
        <f t="shared" si="118"/>
        <v>On Time</v>
      </c>
      <c r="Q1498" s="2" t="str">
        <f>PROPER(SUBSTITUTE(TRIM([1]RawShipmentData!M1514)," ","-"))</f>
        <v>Delivered</v>
      </c>
      <c r="R1498" s="4">
        <f t="shared" si="119"/>
        <v>140.25</v>
      </c>
      <c r="S1498" s="2">
        <f>[1]RawShipmentData!N1514</f>
        <v>4</v>
      </c>
      <c r="T1498" s="2" t="str">
        <f>IF(OR(UPPER(TRIM([1]RawShipmentData!O1514))="YES",UPPER(TRIM([1]RawShipmentData!O1514))="Y"),"Yes","No")</f>
        <v>No</v>
      </c>
    </row>
    <row r="1499" spans="1:20" x14ac:dyDescent="0.25">
      <c r="A1499" s="2" t="str">
        <f>[1]RawShipmentData!A1515</f>
        <v>SHP-100610</v>
      </c>
      <c r="B1499" s="3">
        <f>IF(ISNUMBER(SEARCH("/",TRIM([1]RawShipmentData!B1515))),DATE(VALUE(RIGHT(TRIM([1]RawShipmentData!B1515),4)),VALUE(MID(TRIM([1]RawShipmentData!B1515),FIND("/",TRIM([1]RawShipmentData!B1515))+1,2)),VALUE(LEFT(TRIM([1]RawShipmentData!B1515),FIND("/",TRIM([1]RawShipmentData!B1515))-1))),DATEVALUE(TRIM([1]RawShipmentData!B1515)))</f>
        <v>45445</v>
      </c>
      <c r="C1499" s="2" t="str">
        <f>PROPER(TRIM([1]RawShipmentData!C1515))</f>
        <v>Kolkata</v>
      </c>
      <c r="D1499" s="2" t="str">
        <f>IFERROR(INDEX([1]HubMaster!$B$2:$B$7,MATCH(C1499,[1]HubMaster!$A$2:$A$7,0)),"Unknown")</f>
        <v>East</v>
      </c>
      <c r="E1499" s="2" t="str">
        <f>PROPER(TRIM(SUBSTITUTE([1]RawShipmentData!D1515,"  "," ")))</f>
        <v>Delhivery</v>
      </c>
      <c r="F1499" s="2" t="str">
        <f>PROPER(TRIM([1]RawShipmentData!E1515))</f>
        <v>Air</v>
      </c>
      <c r="G1499" s="2" t="str">
        <f>PROPER(TRIM(SUBSTITUTE([1]RawShipmentData!F1515,"  "," ")))</f>
        <v>Apparel</v>
      </c>
      <c r="H1499" s="2" t="str">
        <f>PROPER(TRIM([1]RawShipmentData!G1515))</f>
        <v>South</v>
      </c>
      <c r="I1499" s="2" t="str">
        <f t="shared" si="115"/>
        <v>Yes</v>
      </c>
      <c r="J1499" s="2">
        <f>IFERROR(VALUE(TRIM(SUBSTITUTE(UPPER([1]RawShipmentData!I1499),"KG",""))),"")</f>
        <v>34.1</v>
      </c>
      <c r="K1499" s="2">
        <f>VALUE(SUBSTITUTE(SUBSTITUTE(SUBSTITUTE(TRIM([1]RawShipmentData!J1515),"₹",""),"Rs",""),",",""))</f>
        <v>409</v>
      </c>
      <c r="L1499" s="2">
        <f>[1]RawShipmentData!K1515</f>
        <v>4</v>
      </c>
      <c r="M1499" s="3">
        <f>IF(TRIM([1]RawShipmentData!L1515)="","",IF(ISNUMBER(SEARCH("/",TRIM([1]RawShipmentData!L1515))),DATE(VALUE(RIGHT(TRIM([1]RawShipmentData!L1515),4)),VALUE(MID(TRIM([1]RawShipmentData!L1515),FIND("/",TRIM([1]RawShipmentData!L1515))+1,2)),VALUE(LEFT(TRIM([1]RawShipmentData!L1515),FIND("/",TRIM([1]RawShipmentData!L1515))-1))),DATEVALUE(TRIM([1]RawShipmentData!L1515))))</f>
        <v>45451</v>
      </c>
      <c r="N1499" s="2">
        <f t="shared" si="116"/>
        <v>6</v>
      </c>
      <c r="O1499" s="2">
        <f t="shared" si="117"/>
        <v>2</v>
      </c>
      <c r="P1499" s="2" t="str">
        <f t="shared" si="118"/>
        <v>Late</v>
      </c>
      <c r="Q1499" s="2" t="str">
        <f>PROPER(SUBSTITUTE(TRIM([1]RawShipmentData!M1515)," ","-"))</f>
        <v>Delayed</v>
      </c>
      <c r="R1499" s="4">
        <f t="shared" si="119"/>
        <v>11.994134897360704</v>
      </c>
      <c r="S1499" s="2">
        <f>[1]RawShipmentData!N1515</f>
        <v>4</v>
      </c>
      <c r="T1499" s="2" t="str">
        <f>IF(OR(UPPER(TRIM([1]RawShipmentData!O1515))="YES",UPPER(TRIM([1]RawShipmentData!O1515))="Y"),"Yes","No")</f>
        <v>Yes</v>
      </c>
    </row>
    <row r="1500" spans="1:20" x14ac:dyDescent="0.25">
      <c r="A1500" s="2" t="str">
        <f>[1]RawShipmentData!A1516</f>
        <v>SHP-101071</v>
      </c>
      <c r="B1500" s="3">
        <f>IF(ISNUMBER(SEARCH("/",TRIM([1]RawShipmentData!B1516))),DATE(VALUE(RIGHT(TRIM([1]RawShipmentData!B1516),4)),VALUE(MID(TRIM([1]RawShipmentData!B1516),FIND("/",TRIM([1]RawShipmentData!B1516))+1,2)),VALUE(LEFT(TRIM([1]RawShipmentData!B1516),FIND("/",TRIM([1]RawShipmentData!B1516))-1))),DATEVALUE(TRIM([1]RawShipmentData!B1516)))</f>
        <v>45336</v>
      </c>
      <c r="C1500" s="2" t="str">
        <f>PROPER(TRIM([1]RawShipmentData!C1516))</f>
        <v>Delhi</v>
      </c>
      <c r="D1500" s="2" t="str">
        <f>IFERROR(INDEX([1]HubMaster!$B$2:$B$7,MATCH(C1500,[1]HubMaster!$A$2:$A$7,0)),"Unknown")</f>
        <v>North</v>
      </c>
      <c r="E1500" s="2" t="str">
        <f>PROPER(TRIM(SUBSTITUTE([1]RawShipmentData!D1516,"  "," ")))</f>
        <v>Dtdc</v>
      </c>
      <c r="F1500" s="2" t="str">
        <f>PROPER(TRIM([1]RawShipmentData!E1516))</f>
        <v>Road</v>
      </c>
      <c r="G1500" s="2" t="str">
        <f>PROPER(TRIM(SUBSTITUTE([1]RawShipmentData!F1516,"  "," ")))</f>
        <v>Pharma</v>
      </c>
      <c r="H1500" s="2" t="str">
        <f>PROPER(TRIM([1]RawShipmentData!G1516))</f>
        <v>South</v>
      </c>
      <c r="I1500" s="2" t="str">
        <f t="shared" si="115"/>
        <v>Yes</v>
      </c>
      <c r="J1500" s="2">
        <f>IFERROR(VALUE(TRIM(SUBSTITUTE(UPPER([1]RawShipmentData!I1500),"KG",""))),"")</f>
        <v>13.5</v>
      </c>
      <c r="K1500" s="2">
        <f>VALUE(SUBSTITUTE(SUBSTITUTE(SUBSTITUTE(TRIM([1]RawShipmentData!J1516),"₹",""),"Rs",""),",",""))</f>
        <v>269</v>
      </c>
      <c r="L1500" s="2">
        <f>[1]RawShipmentData!K1516</f>
        <v>8</v>
      </c>
      <c r="M1500" s="3">
        <f>IF(TRIM([1]RawShipmentData!L1516)="","",IF(ISNUMBER(SEARCH("/",TRIM([1]RawShipmentData!L1516))),DATE(VALUE(RIGHT(TRIM([1]RawShipmentData!L1516),4)),VALUE(MID(TRIM([1]RawShipmentData!L1516),FIND("/",TRIM([1]RawShipmentData!L1516))+1,2)),VALUE(LEFT(TRIM([1]RawShipmentData!L1516),FIND("/",TRIM([1]RawShipmentData!L1516))-1))),DATEVALUE(TRIM([1]RawShipmentData!L1516))))</f>
        <v>45344</v>
      </c>
      <c r="N1500" s="2">
        <f t="shared" si="116"/>
        <v>8</v>
      </c>
      <c r="O1500" s="2">
        <f t="shared" si="117"/>
        <v>0</v>
      </c>
      <c r="P1500" s="2" t="str">
        <f t="shared" si="118"/>
        <v>On Time</v>
      </c>
      <c r="Q1500" s="2" t="str">
        <f>PROPER(SUBSTITUTE(TRIM([1]RawShipmentData!M1516)," ","-"))</f>
        <v>Delivered</v>
      </c>
      <c r="R1500" s="4">
        <f t="shared" si="119"/>
        <v>19.925925925925927</v>
      </c>
      <c r="S1500" s="2">
        <f>[1]RawShipmentData!N1516</f>
        <v>3</v>
      </c>
      <c r="T1500" s="2" t="str">
        <f>IF(OR(UPPER(TRIM([1]RawShipmentData!O1516))="YES",UPPER(TRIM([1]RawShipmentData!O1516))="Y"),"Yes","No")</f>
        <v>Yes</v>
      </c>
    </row>
    <row r="1501" spans="1:20" x14ac:dyDescent="0.25">
      <c r="A1501" s="2" t="str">
        <f>[1]RawShipmentData!A1517</f>
        <v>SHP-100942</v>
      </c>
      <c r="B1501" s="3">
        <f>IF(ISNUMBER(SEARCH("/",TRIM([1]RawShipmentData!B1517))),DATE(VALUE(RIGHT(TRIM([1]RawShipmentData!B1517),4)),VALUE(MID(TRIM([1]RawShipmentData!B1517),FIND("/",TRIM([1]RawShipmentData!B1517))+1,2)),VALUE(LEFT(TRIM([1]RawShipmentData!B1517),FIND("/",TRIM([1]RawShipmentData!B1517))-1))),DATEVALUE(TRIM([1]RawShipmentData!B1517)))</f>
        <v>45410</v>
      </c>
      <c r="C1501" s="2" t="str">
        <f>PROPER(TRIM([1]RawShipmentData!C1517))</f>
        <v>Delhi</v>
      </c>
      <c r="D1501" s="2" t="str">
        <f>IFERROR(INDEX([1]HubMaster!$B$2:$B$7,MATCH(C1501,[1]HubMaster!$A$2:$A$7,0)),"Unknown")</f>
        <v>North</v>
      </c>
      <c r="E1501" s="2" t="str">
        <f>PROPER(TRIM(SUBSTITUTE([1]RawShipmentData!D1517,"  "," ")))</f>
        <v>Ecom Express</v>
      </c>
      <c r="F1501" s="2" t="str">
        <f>PROPER(TRIM([1]RawShipmentData!E1517))</f>
        <v>Surface</v>
      </c>
      <c r="G1501" s="2" t="str">
        <f>PROPER(TRIM(SUBSTITUTE([1]RawShipmentData!F1517,"  "," ")))</f>
        <v>Electronics</v>
      </c>
      <c r="H1501" s="2" t="str">
        <f>PROPER(TRIM([1]RawShipmentData!G1517))</f>
        <v>South</v>
      </c>
      <c r="I1501" s="2" t="str">
        <f t="shared" si="115"/>
        <v>Yes</v>
      </c>
      <c r="J1501" s="2">
        <f>IFERROR(VALUE(TRIM(SUBSTITUTE(UPPER([1]RawShipmentData!I1501),"KG",""))),"")</f>
        <v>0.9</v>
      </c>
      <c r="K1501" s="2">
        <f>VALUE(SUBSTITUTE(SUBSTITUTE(SUBSTITUTE(TRIM([1]RawShipmentData!J1517),"₹",""),"Rs",""),",",""))</f>
        <v>471</v>
      </c>
      <c r="L1501" s="2">
        <f>[1]RawShipmentData!K1517</f>
        <v>6</v>
      </c>
      <c r="M1501" s="3">
        <f>IF(TRIM([1]RawShipmentData!L1517)="","",IF(ISNUMBER(SEARCH("/",TRIM([1]RawShipmentData!L1517))),DATE(VALUE(RIGHT(TRIM([1]RawShipmentData!L1517),4)),VALUE(MID(TRIM([1]RawShipmentData!L1517),FIND("/",TRIM([1]RawShipmentData!L1517))+1,2)),VALUE(LEFT(TRIM([1]RawShipmentData!L1517),FIND("/",TRIM([1]RawShipmentData!L1517))-1))),DATEVALUE(TRIM([1]RawShipmentData!L1517))))</f>
        <v>45417</v>
      </c>
      <c r="N1501" s="2">
        <f t="shared" si="116"/>
        <v>7</v>
      </c>
      <c r="O1501" s="2">
        <f t="shared" si="117"/>
        <v>1</v>
      </c>
      <c r="P1501" s="2" t="str">
        <f t="shared" si="118"/>
        <v>Late</v>
      </c>
      <c r="Q1501" s="2" t="str">
        <f>PROPER(SUBSTITUTE(TRIM([1]RawShipmentData!M1517)," ","-"))</f>
        <v>Delayed</v>
      </c>
      <c r="R1501" s="4">
        <f t="shared" si="119"/>
        <v>523.33333333333337</v>
      </c>
      <c r="S1501" s="2">
        <f>[1]RawShipmentData!N1517</f>
        <v>4</v>
      </c>
      <c r="T1501" s="2" t="str">
        <f>IF(OR(UPPER(TRIM([1]RawShipmentData!O1517))="YES",UPPER(TRIM([1]RawShipmentData!O1517))="Y"),"Yes","No")</f>
        <v>No</v>
      </c>
    </row>
    <row r="1502" spans="1:20" x14ac:dyDescent="0.25">
      <c r="A1502" s="2" t="str">
        <f>[1]RawShipmentData!A1518</f>
        <v>SHP-100394</v>
      </c>
      <c r="B1502" s="3">
        <f>IF(ISNUMBER(SEARCH("/",TRIM([1]RawShipmentData!B1518))),DATE(VALUE(RIGHT(TRIM([1]RawShipmentData!B1518),4)),VALUE(MID(TRIM([1]RawShipmentData!B1518),FIND("/",TRIM([1]RawShipmentData!B1518))+1,2)),VALUE(LEFT(TRIM([1]RawShipmentData!B1518),FIND("/",TRIM([1]RawShipmentData!B1518))-1))),DATEVALUE(TRIM([1]RawShipmentData!B1518)))</f>
        <v>45367</v>
      </c>
      <c r="C1502" s="2" t="str">
        <f>PROPER(TRIM([1]RawShipmentData!C1518))</f>
        <v>Chennai</v>
      </c>
      <c r="D1502" s="2" t="str">
        <f>IFERROR(INDEX([1]HubMaster!$B$2:$B$7,MATCH(C1502,[1]HubMaster!$A$2:$A$7,0)),"Unknown")</f>
        <v>South</v>
      </c>
      <c r="E1502" s="2" t="str">
        <f>PROPER(TRIM(SUBSTITUTE([1]RawShipmentData!D1518,"  "," ")))</f>
        <v>Xpress Bees</v>
      </c>
      <c r="F1502" s="2" t="str">
        <f>PROPER(TRIM([1]RawShipmentData!E1518))</f>
        <v>Air</v>
      </c>
      <c r="G1502" s="2" t="str">
        <f>PROPER(TRIM(SUBSTITUTE([1]RawShipmentData!F1518,"  "," ")))</f>
        <v>Furniture</v>
      </c>
      <c r="H1502" s="2" t="str">
        <f>PROPER(TRIM([1]RawShipmentData!G1518))</f>
        <v>East</v>
      </c>
      <c r="I1502" s="2" t="str">
        <f t="shared" si="115"/>
        <v>Yes</v>
      </c>
      <c r="J1502" s="2">
        <f>IFERROR(VALUE(TRIM(SUBSTITUTE(UPPER([1]RawShipmentData!I1502),"KG",""))),"")</f>
        <v>2.6</v>
      </c>
      <c r="K1502" s="2">
        <f>VALUE(SUBSTITUTE(SUBSTITUTE(SUBSTITUTE(TRIM([1]RawShipmentData!J1518),"₹",""),"Rs",""),",",""))</f>
        <v>933</v>
      </c>
      <c r="L1502" s="2">
        <f>[1]RawShipmentData!K1518</f>
        <v>4</v>
      </c>
      <c r="M1502" s="3">
        <f>IF(TRIM([1]RawShipmentData!L1518)="","",IF(ISNUMBER(SEARCH("/",TRIM([1]RawShipmentData!L1518))),DATE(VALUE(RIGHT(TRIM([1]RawShipmentData!L1518),4)),VALUE(MID(TRIM([1]RawShipmentData!L1518),FIND("/",TRIM([1]RawShipmentData!L1518))+1,2)),VALUE(LEFT(TRIM([1]RawShipmentData!L1518),FIND("/",TRIM([1]RawShipmentData!L1518))-1))),DATEVALUE(TRIM([1]RawShipmentData!L1518))))</f>
        <v>45371</v>
      </c>
      <c r="N1502" s="2">
        <f t="shared" si="116"/>
        <v>4</v>
      </c>
      <c r="O1502" s="2">
        <f t="shared" si="117"/>
        <v>0</v>
      </c>
      <c r="P1502" s="2" t="str">
        <f t="shared" si="118"/>
        <v>On Time</v>
      </c>
      <c r="Q1502" s="2" t="str">
        <f>PROPER(SUBSTITUTE(TRIM([1]RawShipmentData!M1518)," ","-"))</f>
        <v>Delivered</v>
      </c>
      <c r="R1502" s="4">
        <f t="shared" si="119"/>
        <v>358.84615384615381</v>
      </c>
      <c r="S1502" s="2">
        <f>[1]RawShipmentData!N1518</f>
        <v>3</v>
      </c>
      <c r="T1502" s="2" t="str">
        <f>IF(OR(UPPER(TRIM([1]RawShipmentData!O1518))="YES",UPPER(TRIM([1]RawShipmentData!O1518))="Y"),"Yes","No")</f>
        <v>No</v>
      </c>
    </row>
    <row r="1503" spans="1:20" x14ac:dyDescent="0.25">
      <c r="A1503" s="2" t="str">
        <f>[1]RawShipmentData!A1519</f>
        <v>SHP-101117</v>
      </c>
      <c r="B1503" s="3">
        <f>IF(ISNUMBER(SEARCH("/",TRIM([1]RawShipmentData!B1519))),DATE(VALUE(RIGHT(TRIM([1]RawShipmentData!B1519),4)),VALUE(MID(TRIM([1]RawShipmentData!B1519),FIND("/",TRIM([1]RawShipmentData!B1519))+1,2)),VALUE(LEFT(TRIM([1]RawShipmentData!B1519),FIND("/",TRIM([1]RawShipmentData!B1519))-1))),DATEVALUE(TRIM([1]RawShipmentData!B1519)))</f>
        <v>45313</v>
      </c>
      <c r="C1503" s="2" t="str">
        <f>PROPER(TRIM([1]RawShipmentData!C1519))</f>
        <v>Mumbai</v>
      </c>
      <c r="D1503" s="2" t="str">
        <f>IFERROR(INDEX([1]HubMaster!$B$2:$B$7,MATCH(C1503,[1]HubMaster!$A$2:$A$7,0)),"Unknown")</f>
        <v>West</v>
      </c>
      <c r="E1503" s="2" t="str">
        <f>PROPER(TRIM(SUBSTITUTE([1]RawShipmentData!D1519,"  "," ")))</f>
        <v>Bluedart</v>
      </c>
      <c r="F1503" s="2" t="str">
        <f>PROPER(TRIM([1]RawShipmentData!E1519))</f>
        <v>Road</v>
      </c>
      <c r="G1503" s="2" t="str">
        <f>PROPER(TRIM(SUBSTITUTE([1]RawShipmentData!F1519,"  "," ")))</f>
        <v>Automotive Parts</v>
      </c>
      <c r="H1503" s="2" t="str">
        <f>PROPER(TRIM([1]RawShipmentData!G1519))</f>
        <v>East</v>
      </c>
      <c r="I1503" s="2" t="str">
        <f t="shared" si="115"/>
        <v>Yes</v>
      </c>
      <c r="J1503" s="2">
        <f>IFERROR(VALUE(TRIM(SUBSTITUTE(UPPER([1]RawShipmentData!I1503),"KG",""))),"")</f>
        <v>5.7</v>
      </c>
      <c r="K1503" s="2">
        <f>VALUE(SUBSTITUTE(SUBSTITUTE(SUBSTITUTE(TRIM([1]RawShipmentData!J1519),"₹",""),"Rs",""),",",""))</f>
        <v>359</v>
      </c>
      <c r="L1503" s="2">
        <f>[1]RawShipmentData!K1519</f>
        <v>8</v>
      </c>
      <c r="M1503" s="3">
        <f>IF(TRIM([1]RawShipmentData!L1519)="","",IF(ISNUMBER(SEARCH("/",TRIM([1]RawShipmentData!L1519))),DATE(VALUE(RIGHT(TRIM([1]RawShipmentData!L1519),4)),VALUE(MID(TRIM([1]RawShipmentData!L1519),FIND("/",TRIM([1]RawShipmentData!L1519))+1,2)),VALUE(LEFT(TRIM([1]RawShipmentData!L1519),FIND("/",TRIM([1]RawShipmentData!L1519))-1))),DATEVALUE(TRIM([1]RawShipmentData!L1519))))</f>
        <v>45322</v>
      </c>
      <c r="N1503" s="2">
        <f t="shared" si="116"/>
        <v>9</v>
      </c>
      <c r="O1503" s="2">
        <f t="shared" si="117"/>
        <v>1</v>
      </c>
      <c r="P1503" s="2" t="str">
        <f t="shared" si="118"/>
        <v>Late</v>
      </c>
      <c r="Q1503" s="2" t="str">
        <f>PROPER(SUBSTITUTE(TRIM([1]RawShipmentData!M1519)," ","-"))</f>
        <v>Delayed</v>
      </c>
      <c r="R1503" s="4">
        <f t="shared" si="119"/>
        <v>62.982456140350877</v>
      </c>
      <c r="S1503" s="2">
        <f>[1]RawShipmentData!N1519</f>
        <v>5</v>
      </c>
      <c r="T1503" s="2" t="str">
        <f>IF(OR(UPPER(TRIM([1]RawShipmentData!O1519))="YES",UPPER(TRIM([1]RawShipmentData!O1519))="Y"),"Yes","No")</f>
        <v>No</v>
      </c>
    </row>
    <row r="1504" spans="1:20" x14ac:dyDescent="0.25">
      <c r="A1504" s="2" t="str">
        <f>[1]RawShipmentData!A1520</f>
        <v>SHP-101397</v>
      </c>
      <c r="B1504" s="3">
        <f>IF(ISNUMBER(SEARCH("/",TRIM([1]RawShipmentData!B1520))),DATE(VALUE(RIGHT(TRIM([1]RawShipmentData!B1520),4)),VALUE(MID(TRIM([1]RawShipmentData!B1520),FIND("/",TRIM([1]RawShipmentData!B1520))+1,2)),VALUE(LEFT(TRIM([1]RawShipmentData!B1520),FIND("/",TRIM([1]RawShipmentData!B1520))-1))),DATEVALUE(TRIM([1]RawShipmentData!B1520)))</f>
        <v>45388</v>
      </c>
      <c r="C1504" s="2" t="str">
        <f>PROPER(TRIM([1]RawShipmentData!C1520))</f>
        <v>Chennai</v>
      </c>
      <c r="D1504" s="2" t="str">
        <f>IFERROR(INDEX([1]HubMaster!$B$2:$B$7,MATCH(C1504,[1]HubMaster!$A$2:$A$7,0)),"Unknown")</f>
        <v>South</v>
      </c>
      <c r="E1504" s="2" t="str">
        <f>PROPER(TRIM(SUBSTITUTE([1]RawShipmentData!D1520,"  "," ")))</f>
        <v>Xpress Bees</v>
      </c>
      <c r="F1504" s="2" t="str">
        <f>PROPER(TRIM([1]RawShipmentData!E1520))</f>
        <v>Road</v>
      </c>
      <c r="G1504" s="2" t="str">
        <f>PROPER(TRIM(SUBSTITUTE([1]RawShipmentData!F1520,"  "," ")))</f>
        <v>Grocery &amp; Fmcg</v>
      </c>
      <c r="H1504" s="2" t="str">
        <f>PROPER(TRIM([1]RawShipmentData!G1520))</f>
        <v>North</v>
      </c>
      <c r="I1504" s="2" t="str">
        <f t="shared" si="115"/>
        <v>Yes</v>
      </c>
      <c r="J1504" s="2">
        <f>IFERROR(VALUE(TRIM(SUBSTITUTE(UPPER([1]RawShipmentData!I1504),"KG",""))),"")</f>
        <v>2.5</v>
      </c>
      <c r="K1504" s="2">
        <f>VALUE(SUBSTITUTE(SUBSTITUTE(SUBSTITUTE(TRIM([1]RawShipmentData!J1520),"₹",""),"Rs",""),",",""))</f>
        <v>259</v>
      </c>
      <c r="L1504" s="2">
        <f>[1]RawShipmentData!K1520</f>
        <v>8</v>
      </c>
      <c r="M1504" s="3">
        <f>IF(TRIM([1]RawShipmentData!L1520)="","",IF(ISNUMBER(SEARCH("/",TRIM([1]RawShipmentData!L1520))),DATE(VALUE(RIGHT(TRIM([1]RawShipmentData!L1520),4)),VALUE(MID(TRIM([1]RawShipmentData!L1520),FIND("/",TRIM([1]RawShipmentData!L1520))+1,2)),VALUE(LEFT(TRIM([1]RawShipmentData!L1520),FIND("/",TRIM([1]RawShipmentData!L1520))-1))),DATEVALUE(TRIM([1]RawShipmentData!L1520))))</f>
        <v>45396</v>
      </c>
      <c r="N1504" s="2">
        <f t="shared" si="116"/>
        <v>8</v>
      </c>
      <c r="O1504" s="2">
        <f t="shared" si="117"/>
        <v>0</v>
      </c>
      <c r="P1504" s="2" t="str">
        <f t="shared" si="118"/>
        <v>On Time</v>
      </c>
      <c r="Q1504" s="2" t="str">
        <f>PROPER(SUBSTITUTE(TRIM([1]RawShipmentData!M1520)," ","-"))</f>
        <v>Delivered</v>
      </c>
      <c r="R1504" s="4">
        <f t="shared" si="119"/>
        <v>103.6</v>
      </c>
      <c r="S1504" s="2">
        <f>[1]RawShipmentData!N1520</f>
        <v>4</v>
      </c>
      <c r="T1504" s="2" t="str">
        <f>IF(OR(UPPER(TRIM([1]RawShipmentData!O1520))="YES",UPPER(TRIM([1]RawShipmentData!O1520))="Y"),"Yes","No")</f>
        <v>Yes</v>
      </c>
    </row>
    <row r="1505" spans="1:20" x14ac:dyDescent="0.25">
      <c r="A1505" s="2" t="str">
        <f>[1]RawShipmentData!A1521</f>
        <v>SHP-101464</v>
      </c>
      <c r="B1505" s="3">
        <f>IF(ISNUMBER(SEARCH("/",TRIM([1]RawShipmentData!B1521))),DATE(VALUE(RIGHT(TRIM([1]RawShipmentData!B1521),4)),VALUE(MID(TRIM([1]RawShipmentData!B1521),FIND("/",TRIM([1]RawShipmentData!B1521))+1,2)),VALUE(LEFT(TRIM([1]RawShipmentData!B1521),FIND("/",TRIM([1]RawShipmentData!B1521))-1))),DATEVALUE(TRIM([1]RawShipmentData!B1521)))</f>
        <v>45425</v>
      </c>
      <c r="C1505" s="2" t="str">
        <f>PROPER(TRIM([1]RawShipmentData!C1521))</f>
        <v>Chennai</v>
      </c>
      <c r="D1505" s="2" t="str">
        <f>IFERROR(INDEX([1]HubMaster!$B$2:$B$7,MATCH(C1505,[1]HubMaster!$A$2:$A$7,0)),"Unknown")</f>
        <v>South</v>
      </c>
      <c r="E1505" s="2" t="str">
        <f>PROPER(TRIM(SUBSTITUTE([1]RawShipmentData!D1521,"  "," ")))</f>
        <v>Delhivery</v>
      </c>
      <c r="F1505" s="2" t="str">
        <f>PROPER(TRIM([1]RawShipmentData!E1521))</f>
        <v>Surface</v>
      </c>
      <c r="G1505" s="2" t="str">
        <f>PROPER(TRIM(SUBSTITUTE([1]RawShipmentData!F1521,"  "," ")))</f>
        <v>Automotive Parts</v>
      </c>
      <c r="H1505" s="2" t="str">
        <f>PROPER(TRIM([1]RawShipmentData!G1521))</f>
        <v>South</v>
      </c>
      <c r="I1505" s="2" t="str">
        <f t="shared" si="115"/>
        <v>No</v>
      </c>
      <c r="J1505" s="2">
        <f>IFERROR(VALUE(TRIM(SUBSTITUTE(UPPER([1]RawShipmentData!I1505),"KG",""))),"")</f>
        <v>10.7</v>
      </c>
      <c r="K1505" s="2">
        <f>VALUE(SUBSTITUTE(SUBSTITUTE(SUBSTITUTE(TRIM([1]RawShipmentData!J1521),"₹",""),"Rs",""),",",""))</f>
        <v>449</v>
      </c>
      <c r="L1505" s="2">
        <f>[1]RawShipmentData!K1521</f>
        <v>4</v>
      </c>
      <c r="M1505" s="3">
        <f>IF(TRIM([1]RawShipmentData!L1521)="","",IF(ISNUMBER(SEARCH("/",TRIM([1]RawShipmentData!L1521))),DATE(VALUE(RIGHT(TRIM([1]RawShipmentData!L1521),4)),VALUE(MID(TRIM([1]RawShipmentData!L1521),FIND("/",TRIM([1]RawShipmentData!L1521))+1,2)),VALUE(LEFT(TRIM([1]RawShipmentData!L1521),FIND("/",TRIM([1]RawShipmentData!L1521))-1))),DATEVALUE(TRIM([1]RawShipmentData!L1521))))</f>
        <v>45429</v>
      </c>
      <c r="N1505" s="2">
        <f t="shared" si="116"/>
        <v>4</v>
      </c>
      <c r="O1505" s="2">
        <f t="shared" si="117"/>
        <v>0</v>
      </c>
      <c r="P1505" s="2" t="str">
        <f t="shared" si="118"/>
        <v>On Time</v>
      </c>
      <c r="Q1505" s="2" t="str">
        <f>PROPER(SUBSTITUTE(TRIM([1]RawShipmentData!M1521)," ","-"))</f>
        <v>Delivered</v>
      </c>
      <c r="R1505" s="4">
        <f t="shared" si="119"/>
        <v>41.962616822429908</v>
      </c>
      <c r="S1505" s="2">
        <f>[1]RawShipmentData!N1521</f>
        <v>3</v>
      </c>
      <c r="T1505" s="2" t="str">
        <f>IF(OR(UPPER(TRIM([1]RawShipmentData!O1521))="YES",UPPER(TRIM([1]RawShipmentData!O1521))="Y"),"Yes","No")</f>
        <v>No</v>
      </c>
    </row>
    <row r="1506" spans="1:20" x14ac:dyDescent="0.25">
      <c r="A1506" s="2" t="str">
        <f>[1]RawShipmentData!A1522</f>
        <v>SHP-100250</v>
      </c>
      <c r="B1506" s="3">
        <f>IF(ISNUMBER(SEARCH("/",TRIM([1]RawShipmentData!B1522))),DATE(VALUE(RIGHT(TRIM([1]RawShipmentData!B1522),4)),VALUE(MID(TRIM([1]RawShipmentData!B1522),FIND("/",TRIM([1]RawShipmentData!B1522))+1,2)),VALUE(LEFT(TRIM([1]RawShipmentData!B1522),FIND("/",TRIM([1]RawShipmentData!B1522))-1))),DATEVALUE(TRIM([1]RawShipmentData!B1522)))</f>
        <v>45311</v>
      </c>
      <c r="C1506" s="2" t="str">
        <f>PROPER(TRIM([1]RawShipmentData!C1522))</f>
        <v>Hyderabad</v>
      </c>
      <c r="D1506" s="2" t="str">
        <f>IFERROR(INDEX([1]HubMaster!$B$2:$B$7,MATCH(C1506,[1]HubMaster!$A$2:$A$7,0)),"Unknown")</f>
        <v>West</v>
      </c>
      <c r="E1506" s="2" t="str">
        <f>PROPER(TRIM(SUBSTITUTE([1]RawShipmentData!D1522,"  "," ")))</f>
        <v>Dtdc</v>
      </c>
      <c r="F1506" s="2" t="str">
        <f>PROPER(TRIM([1]RawShipmentData!E1522))</f>
        <v>Surface</v>
      </c>
      <c r="G1506" s="2" t="str">
        <f>PROPER(TRIM(SUBSTITUTE([1]RawShipmentData!F1522,"  "," ")))</f>
        <v>Electronics</v>
      </c>
      <c r="H1506" s="2" t="str">
        <f>PROPER(TRIM([1]RawShipmentData!G1522))</f>
        <v>East</v>
      </c>
      <c r="I1506" s="2" t="str">
        <f t="shared" si="115"/>
        <v>Yes</v>
      </c>
      <c r="J1506" s="2">
        <f>IFERROR(VALUE(TRIM(SUBSTITUTE(UPPER([1]RawShipmentData!I1506),"KG",""))),"")</f>
        <v>16.100000000000001</v>
      </c>
      <c r="K1506" s="2">
        <f>VALUE(SUBSTITUTE(SUBSTITUTE(SUBSTITUTE(TRIM([1]RawShipmentData!J1522),"₹",""),"Rs",""),",",""))</f>
        <v>431</v>
      </c>
      <c r="L1506" s="2">
        <f>[1]RawShipmentData!K1522</f>
        <v>6</v>
      </c>
      <c r="M1506" s="3">
        <f>IF(TRIM([1]RawShipmentData!L1522)="","",IF(ISNUMBER(SEARCH("/",TRIM([1]RawShipmentData!L1522))),DATE(VALUE(RIGHT(TRIM([1]RawShipmentData!L1522),4)),VALUE(MID(TRIM([1]RawShipmentData!L1522),FIND("/",TRIM([1]RawShipmentData!L1522))+1,2)),VALUE(LEFT(TRIM([1]RawShipmentData!L1522),FIND("/",TRIM([1]RawShipmentData!L1522))-1))),DATEVALUE(TRIM([1]RawShipmentData!L1522))))</f>
        <v>45325</v>
      </c>
      <c r="N1506" s="2">
        <f t="shared" si="116"/>
        <v>14</v>
      </c>
      <c r="O1506" s="2">
        <f t="shared" si="117"/>
        <v>8</v>
      </c>
      <c r="P1506" s="2" t="str">
        <f t="shared" si="118"/>
        <v>Late</v>
      </c>
      <c r="Q1506" s="2" t="str">
        <f>PROPER(SUBSTITUTE(TRIM([1]RawShipmentData!M1522)," ","-"))</f>
        <v>Delayed</v>
      </c>
      <c r="R1506" s="4">
        <f t="shared" si="119"/>
        <v>26.770186335403725</v>
      </c>
      <c r="S1506" s="2">
        <f>[1]RawShipmentData!N1522</f>
        <v>1</v>
      </c>
      <c r="T1506" s="2" t="str">
        <f>IF(OR(UPPER(TRIM([1]RawShipmentData!O1522))="YES",UPPER(TRIM([1]RawShipmentData!O1522))="Y"),"Yes","No")</f>
        <v>No</v>
      </c>
    </row>
    <row r="1507" spans="1:20" x14ac:dyDescent="0.25">
      <c r="A1507" s="2" t="str">
        <f>[1]RawShipmentData!A1523</f>
        <v>SHP-100917</v>
      </c>
      <c r="B1507" s="3">
        <f>IF(ISNUMBER(SEARCH("/",TRIM([1]RawShipmentData!B1523))),DATE(VALUE(RIGHT(TRIM([1]RawShipmentData!B1523),4)),VALUE(MID(TRIM([1]RawShipmentData!B1523),FIND("/",TRIM([1]RawShipmentData!B1523))+1,2)),VALUE(LEFT(TRIM([1]RawShipmentData!B1523),FIND("/",TRIM([1]RawShipmentData!B1523))-1))),DATEVALUE(TRIM([1]RawShipmentData!B1523)))</f>
        <v>45375</v>
      </c>
      <c r="C1507" s="2" t="str">
        <f>PROPER(TRIM([1]RawShipmentData!C1523))</f>
        <v>Kolkata</v>
      </c>
      <c r="D1507" s="2" t="str">
        <f>IFERROR(INDEX([1]HubMaster!$B$2:$B$7,MATCH(C1507,[1]HubMaster!$A$2:$A$7,0)),"Unknown")</f>
        <v>East</v>
      </c>
      <c r="E1507" s="2" t="str">
        <f>PROPER(TRIM(SUBSTITUTE([1]RawShipmentData!D1523,"  "," ")))</f>
        <v>Delhivery</v>
      </c>
      <c r="F1507" s="2" t="str">
        <f>PROPER(TRIM([1]RawShipmentData!E1523))</f>
        <v>Air</v>
      </c>
      <c r="G1507" s="2" t="str">
        <f>PROPER(TRIM(SUBSTITUTE([1]RawShipmentData!F1523,"  "," ")))</f>
        <v>Furniture</v>
      </c>
      <c r="H1507" s="2" t="str">
        <f>PROPER(TRIM([1]RawShipmentData!G1523))</f>
        <v>West</v>
      </c>
      <c r="I1507" s="2" t="str">
        <f t="shared" si="115"/>
        <v>Yes</v>
      </c>
      <c r="J1507" s="2">
        <f>IFERROR(VALUE(TRIM(SUBSTITUTE(UPPER([1]RawShipmentData!I1507),"KG",""))),"")</f>
        <v>4.4000000000000004</v>
      </c>
      <c r="K1507" s="2">
        <f>VALUE(SUBSTITUTE(SUBSTITUTE(SUBSTITUTE(TRIM([1]RawShipmentData!J1523),"₹",""),"Rs",""),",",""))</f>
        <v>2761</v>
      </c>
      <c r="L1507" s="2">
        <f>[1]RawShipmentData!K1523</f>
        <v>4</v>
      </c>
      <c r="M1507" s="3">
        <f>IF(TRIM([1]RawShipmentData!L1523)="","",IF(ISNUMBER(SEARCH("/",TRIM([1]RawShipmentData!L1523))),DATE(VALUE(RIGHT(TRIM([1]RawShipmentData!L1523),4)),VALUE(MID(TRIM([1]RawShipmentData!L1523),FIND("/",TRIM([1]RawShipmentData!L1523))+1,2)),VALUE(LEFT(TRIM([1]RawShipmentData!L1523),FIND("/",TRIM([1]RawShipmentData!L1523))-1))),DATEVALUE(TRIM([1]RawShipmentData!L1523))))</f>
        <v>45380</v>
      </c>
      <c r="N1507" s="2">
        <f t="shared" si="116"/>
        <v>5</v>
      </c>
      <c r="O1507" s="2">
        <f t="shared" si="117"/>
        <v>1</v>
      </c>
      <c r="P1507" s="2" t="str">
        <f t="shared" si="118"/>
        <v>Late</v>
      </c>
      <c r="Q1507" s="2" t="str">
        <f>PROPER(SUBSTITUTE(TRIM([1]RawShipmentData!M1523)," ","-"))</f>
        <v>Delayed</v>
      </c>
      <c r="R1507" s="4">
        <f t="shared" si="119"/>
        <v>627.5</v>
      </c>
      <c r="S1507" s="2">
        <f>[1]RawShipmentData!N1523</f>
        <v>3</v>
      </c>
      <c r="T1507" s="2" t="str">
        <f>IF(OR(UPPER(TRIM([1]RawShipmentData!O1523))="YES",UPPER(TRIM([1]RawShipmentData!O1523))="Y"),"Yes","No")</f>
        <v>No</v>
      </c>
    </row>
    <row r="1508" spans="1:20" x14ac:dyDescent="0.25">
      <c r="A1508" s="2" t="str">
        <f>[1]RawShipmentData!A1525</f>
        <v>SHP-101446</v>
      </c>
      <c r="B1508" s="3">
        <f>IF(ISNUMBER(SEARCH("/",TRIM([1]RawShipmentData!B1525))),DATE(VALUE(RIGHT(TRIM([1]RawShipmentData!B1525),4)),VALUE(MID(TRIM([1]RawShipmentData!B1525),FIND("/",TRIM([1]RawShipmentData!B1525))+1,2)),VALUE(LEFT(TRIM([1]RawShipmentData!B1525),FIND("/",TRIM([1]RawShipmentData!B1525))-1))),DATEVALUE(TRIM([1]RawShipmentData!B1525)))</f>
        <v>45349</v>
      </c>
      <c r="C1508" s="2" t="str">
        <f>PROPER(TRIM([1]RawShipmentData!C1525))</f>
        <v>Hyderabad</v>
      </c>
      <c r="D1508" s="2" t="str">
        <f>IFERROR(INDEX([1]HubMaster!$B$2:$B$7,MATCH(C1508,[1]HubMaster!$A$2:$A$7,0)),"Unknown")</f>
        <v>West</v>
      </c>
      <c r="E1508" s="2" t="str">
        <f>PROPER(TRIM(SUBSTITUTE([1]RawShipmentData!D1525,"  "," ")))</f>
        <v>Ecom Express</v>
      </c>
      <c r="F1508" s="2" t="str">
        <f>PROPER(TRIM([1]RawShipmentData!E1525))</f>
        <v>Surface</v>
      </c>
      <c r="G1508" s="2" t="str">
        <f>PROPER(TRIM(SUBSTITUTE([1]RawShipmentData!F1525,"  "," ")))</f>
        <v>Grocery &amp; Fmcg</v>
      </c>
      <c r="H1508" s="2" t="str">
        <f>PROPER(TRIM([1]RawShipmentData!G1525))</f>
        <v>East</v>
      </c>
      <c r="I1508" s="2" t="str">
        <f t="shared" si="115"/>
        <v>Yes</v>
      </c>
      <c r="J1508" s="2">
        <f>IFERROR(VALUE(TRIM(SUBSTITUTE(UPPER([1]RawShipmentData!I1508),"KG",""))),"")</f>
        <v>60.1</v>
      </c>
      <c r="K1508" s="2">
        <f>VALUE(SUBSTITUTE(SUBSTITUTE(SUBSTITUTE(TRIM([1]RawShipmentData!J1525),"₹",""),"Rs",""),",",""))</f>
        <v>511</v>
      </c>
      <c r="L1508" s="2">
        <f>[1]RawShipmentData!K1525</f>
        <v>6</v>
      </c>
      <c r="M1508" s="3">
        <f>IF(TRIM([1]RawShipmentData!L1525)="","",IF(ISNUMBER(SEARCH("/",TRIM([1]RawShipmentData!L1525))),DATE(VALUE(RIGHT(TRIM([1]RawShipmentData!L1525),4)),VALUE(MID(TRIM([1]RawShipmentData!L1525),FIND("/",TRIM([1]RawShipmentData!L1525))+1,2)),VALUE(LEFT(TRIM([1]RawShipmentData!L1525),FIND("/",TRIM([1]RawShipmentData!L1525))-1))),DATEVALUE(TRIM([1]RawShipmentData!L1525))))</f>
        <v>45356</v>
      </c>
      <c r="N1508" s="2">
        <f t="shared" si="116"/>
        <v>7</v>
      </c>
      <c r="O1508" s="2">
        <f t="shared" si="117"/>
        <v>1</v>
      </c>
      <c r="P1508" s="2" t="str">
        <f t="shared" si="118"/>
        <v>Late</v>
      </c>
      <c r="Q1508" s="2" t="str">
        <f>PROPER(SUBSTITUTE(TRIM([1]RawShipmentData!M1525)," ","-"))</f>
        <v>Delayed</v>
      </c>
      <c r="R1508" s="4">
        <f t="shared" si="119"/>
        <v>8.5024958402662225</v>
      </c>
      <c r="S1508" s="2">
        <f>[1]RawShipmentData!N1525</f>
        <v>2</v>
      </c>
      <c r="T1508" s="2" t="str">
        <f>IF(OR(UPPER(TRIM([1]RawShipmentData!O1525))="YES",UPPER(TRIM([1]RawShipmentData!O1525))="Y"),"Yes","No")</f>
        <v>No</v>
      </c>
    </row>
    <row r="1509" spans="1:20" x14ac:dyDescent="0.25">
      <c r="A1509" s="2" t="str">
        <f>[1]RawShipmentData!A1526</f>
        <v>SHP-100416</v>
      </c>
      <c r="B1509" s="3">
        <f>IF(ISNUMBER(SEARCH("/",TRIM([1]RawShipmentData!B1526))),DATE(VALUE(RIGHT(TRIM([1]RawShipmentData!B1526),4)),VALUE(MID(TRIM([1]RawShipmentData!B1526),FIND("/",TRIM([1]RawShipmentData!B1526))+1,2)),VALUE(LEFT(TRIM([1]RawShipmentData!B1526),FIND("/",TRIM([1]RawShipmentData!B1526))-1))),DATEVALUE(TRIM([1]RawShipmentData!B1526)))</f>
        <v>45437</v>
      </c>
      <c r="C1509" s="2" t="str">
        <f>PROPER(TRIM([1]RawShipmentData!C1526))</f>
        <v>Mumbai</v>
      </c>
      <c r="D1509" s="2" t="str">
        <f>IFERROR(INDEX([1]HubMaster!$B$2:$B$7,MATCH(C1509,[1]HubMaster!$A$2:$A$7,0)),"Unknown")</f>
        <v>West</v>
      </c>
      <c r="E1509" s="2" t="str">
        <f>PROPER(TRIM(SUBSTITUTE([1]RawShipmentData!D1526,"  "," ")))</f>
        <v>Ecom Express</v>
      </c>
      <c r="F1509" s="2" t="str">
        <f>PROPER(TRIM([1]RawShipmentData!E1526))</f>
        <v>Air</v>
      </c>
      <c r="G1509" s="2" t="str">
        <f>PROPER(TRIM(SUBSTITUTE([1]RawShipmentData!F1526,"  "," ")))</f>
        <v>Pharma</v>
      </c>
      <c r="H1509" s="2" t="str">
        <f>PROPER(TRIM([1]RawShipmentData!G1526))</f>
        <v>East</v>
      </c>
      <c r="I1509" s="2" t="str">
        <f t="shared" si="115"/>
        <v>Yes</v>
      </c>
      <c r="J1509" s="2">
        <f>IFERROR(VALUE(TRIM(SUBSTITUTE(UPPER([1]RawShipmentData!I1509),"KG",""))),"")</f>
        <v>2.9</v>
      </c>
      <c r="K1509" s="2">
        <f>VALUE(SUBSTITUTE(SUBSTITUTE(SUBSTITUTE(TRIM([1]RawShipmentData!J1526),"₹",""),"Rs",""),",",""))</f>
        <v>321</v>
      </c>
      <c r="L1509" s="2">
        <f>[1]RawShipmentData!K1526</f>
        <v>4</v>
      </c>
      <c r="M1509" s="3">
        <f>IF(TRIM([1]RawShipmentData!L1526)="","",IF(ISNUMBER(SEARCH("/",TRIM([1]RawShipmentData!L1526))),DATE(VALUE(RIGHT(TRIM([1]RawShipmentData!L1526),4)),VALUE(MID(TRIM([1]RawShipmentData!L1526),FIND("/",TRIM([1]RawShipmentData!L1526))+1,2)),VALUE(LEFT(TRIM([1]RawShipmentData!L1526),FIND("/",TRIM([1]RawShipmentData!L1526))-1))),DATEVALUE(TRIM([1]RawShipmentData!L1526))))</f>
        <v>45440</v>
      </c>
      <c r="N1509" s="2">
        <f t="shared" si="116"/>
        <v>3</v>
      </c>
      <c r="O1509" s="2">
        <f t="shared" si="117"/>
        <v>-1</v>
      </c>
      <c r="P1509" s="2" t="str">
        <f t="shared" si="118"/>
        <v>On Time</v>
      </c>
      <c r="Q1509" s="2" t="str">
        <f>PROPER(SUBSTITUTE(TRIM([1]RawShipmentData!M1526)," ","-"))</f>
        <v>Delivered</v>
      </c>
      <c r="R1509" s="4">
        <f t="shared" si="119"/>
        <v>110.68965517241379</v>
      </c>
      <c r="S1509" s="2">
        <f>[1]RawShipmentData!N1526</f>
        <v>4</v>
      </c>
      <c r="T1509" s="2" t="str">
        <f>IF(OR(UPPER(TRIM([1]RawShipmentData!O1526))="YES",UPPER(TRIM([1]RawShipmentData!O1526))="Y"),"Yes","No")</f>
        <v>No</v>
      </c>
    </row>
    <row r="1510" spans="1:20" x14ac:dyDescent="0.25">
      <c r="A1510" s="2" t="str">
        <f>[1]RawShipmentData!A1527</f>
        <v>SHP-100252</v>
      </c>
      <c r="B1510" s="3">
        <f>IF(ISNUMBER(SEARCH("/",TRIM([1]RawShipmentData!B1527))),DATE(VALUE(RIGHT(TRIM([1]RawShipmentData!B1527),4)),VALUE(MID(TRIM([1]RawShipmentData!B1527),FIND("/",TRIM([1]RawShipmentData!B1527))+1,2)),VALUE(LEFT(TRIM([1]RawShipmentData!B1527),FIND("/",TRIM([1]RawShipmentData!B1527))-1))),DATEVALUE(TRIM([1]RawShipmentData!B1527)))</f>
        <v>45426</v>
      </c>
      <c r="C1510" s="2" t="str">
        <f>PROPER(TRIM([1]RawShipmentData!C1527))</f>
        <v>Hyderabad</v>
      </c>
      <c r="D1510" s="2" t="str">
        <f>IFERROR(INDEX([1]HubMaster!$B$2:$B$7,MATCH(C1510,[1]HubMaster!$A$2:$A$7,0)),"Unknown")</f>
        <v>West</v>
      </c>
      <c r="E1510" s="2" t="str">
        <f>PROPER(TRIM(SUBSTITUTE([1]RawShipmentData!D1527,"  "," ")))</f>
        <v>Ecom Express</v>
      </c>
      <c r="F1510" s="2" t="str">
        <f>PROPER(TRIM([1]RawShipmentData!E1527))</f>
        <v>Air</v>
      </c>
      <c r="G1510" s="2" t="str">
        <f>PROPER(TRIM(SUBSTITUTE([1]RawShipmentData!F1527,"  "," ")))</f>
        <v>Grocery &amp; Fmcg</v>
      </c>
      <c r="H1510" s="2" t="str">
        <f>PROPER(TRIM([1]RawShipmentData!G1527))</f>
        <v>South</v>
      </c>
      <c r="I1510" s="2" t="str">
        <f t="shared" si="115"/>
        <v>Yes</v>
      </c>
      <c r="J1510" s="2">
        <f>IFERROR(VALUE(TRIM(SUBSTITUTE(UPPER([1]RawShipmentData!I1510),"KG",""))),"")</f>
        <v>2.6</v>
      </c>
      <c r="K1510" s="2">
        <f>VALUE(SUBSTITUTE(SUBSTITUTE(SUBSTITUTE(TRIM([1]RawShipmentData!J1527),"₹",""),"Rs",""),",",""))</f>
        <v>863</v>
      </c>
      <c r="L1510" s="2">
        <f>[1]RawShipmentData!K1527</f>
        <v>4</v>
      </c>
      <c r="M1510" s="3">
        <f>IF(TRIM([1]RawShipmentData!L1527)="","",IF(ISNUMBER(SEARCH("/",TRIM([1]RawShipmentData!L1527))),DATE(VALUE(RIGHT(TRIM([1]RawShipmentData!L1527),4)),VALUE(MID(TRIM([1]RawShipmentData!L1527),FIND("/",TRIM([1]RawShipmentData!L1527))+1,2)),VALUE(LEFT(TRIM([1]RawShipmentData!L1527),FIND("/",TRIM([1]RawShipmentData!L1527))-1))),DATEVALUE(TRIM([1]RawShipmentData!L1527))))</f>
        <v>45430</v>
      </c>
      <c r="N1510" s="2">
        <f t="shared" si="116"/>
        <v>4</v>
      </c>
      <c r="O1510" s="2">
        <f t="shared" si="117"/>
        <v>0</v>
      </c>
      <c r="P1510" s="2" t="str">
        <f t="shared" si="118"/>
        <v>On Time</v>
      </c>
      <c r="Q1510" s="2" t="str">
        <f>PROPER(SUBSTITUTE(TRIM([1]RawShipmentData!M1527)," ","-"))</f>
        <v>Delivered</v>
      </c>
      <c r="R1510" s="4">
        <f t="shared" si="119"/>
        <v>331.92307692307691</v>
      </c>
      <c r="S1510" s="2">
        <f>[1]RawShipmentData!N1527</f>
        <v>4</v>
      </c>
      <c r="T1510" s="2" t="str">
        <f>IF(OR(UPPER(TRIM([1]RawShipmentData!O1527))="YES",UPPER(TRIM([1]RawShipmentData!O1527))="Y"),"Yes","No")</f>
        <v>No</v>
      </c>
    </row>
    <row r="1511" spans="1:20" x14ac:dyDescent="0.25">
      <c r="A1511" s="2" t="str">
        <f>[1]RawShipmentData!A1528</f>
        <v>SHP-100288</v>
      </c>
      <c r="B1511" s="3">
        <f>IF(ISNUMBER(SEARCH("/",TRIM([1]RawShipmentData!B1528))),DATE(VALUE(RIGHT(TRIM([1]RawShipmentData!B1528),4)),VALUE(MID(TRIM([1]RawShipmentData!B1528),FIND("/",TRIM([1]RawShipmentData!B1528))+1,2)),VALUE(LEFT(TRIM([1]RawShipmentData!B1528),FIND("/",TRIM([1]RawShipmentData!B1528))-1))),DATEVALUE(TRIM([1]RawShipmentData!B1528)))</f>
        <v>45356</v>
      </c>
      <c r="C1511" s="2" t="str">
        <f>PROPER(TRIM([1]RawShipmentData!C1528))</f>
        <v>Hyderabad</v>
      </c>
      <c r="D1511" s="2" t="str">
        <f>IFERROR(INDEX([1]HubMaster!$B$2:$B$7,MATCH(C1511,[1]HubMaster!$A$2:$A$7,0)),"Unknown")</f>
        <v>West</v>
      </c>
      <c r="E1511" s="2" t="str">
        <f>PROPER(TRIM(SUBSTITUTE([1]RawShipmentData!D1528,"  "," ")))</f>
        <v>Bluedart</v>
      </c>
      <c r="F1511" s="2" t="str">
        <f>PROPER(TRIM([1]RawShipmentData!E1528))</f>
        <v>Air</v>
      </c>
      <c r="G1511" s="2" t="str">
        <f>PROPER(TRIM(SUBSTITUTE([1]RawShipmentData!F1528,"  "," ")))</f>
        <v>Grocery &amp; Fmcg</v>
      </c>
      <c r="H1511" s="2" t="str">
        <f>PROPER(TRIM([1]RawShipmentData!G1528))</f>
        <v>South</v>
      </c>
      <c r="I1511" s="2" t="str">
        <f t="shared" si="115"/>
        <v>Yes</v>
      </c>
      <c r="J1511" s="2">
        <f>IFERROR(VALUE(TRIM(SUBSTITUTE(UPPER([1]RawShipmentData!I1511),"KG",""))),"")</f>
        <v>2.2999999999999998</v>
      </c>
      <c r="K1511" s="2">
        <f>VALUE(SUBSTITUTE(SUBSTITUTE(SUBSTITUTE(TRIM([1]RawShipmentData!J1528),"₹",""),"Rs",""),",",""))</f>
        <v>970</v>
      </c>
      <c r="L1511" s="2">
        <f>[1]RawShipmentData!K1528</f>
        <v>4</v>
      </c>
      <c r="M1511" s="3">
        <f>IF(TRIM([1]RawShipmentData!L1528)="","",IF(ISNUMBER(SEARCH("/",TRIM([1]RawShipmentData!L1528))),DATE(VALUE(RIGHT(TRIM([1]RawShipmentData!L1528),4)),VALUE(MID(TRIM([1]RawShipmentData!L1528),FIND("/",TRIM([1]RawShipmentData!L1528))+1,2)),VALUE(LEFT(TRIM([1]RawShipmentData!L1528),FIND("/",TRIM([1]RawShipmentData!L1528))-1))),DATEVALUE(TRIM([1]RawShipmentData!L1528))))</f>
        <v>45364</v>
      </c>
      <c r="N1511" s="2">
        <f t="shared" si="116"/>
        <v>8</v>
      </c>
      <c r="O1511" s="2">
        <f t="shared" si="117"/>
        <v>4</v>
      </c>
      <c r="P1511" s="2" t="str">
        <f t="shared" si="118"/>
        <v>Late</v>
      </c>
      <c r="Q1511" s="2" t="str">
        <f>PROPER(SUBSTITUTE(TRIM([1]RawShipmentData!M1528)," ","-"))</f>
        <v>Delayed</v>
      </c>
      <c r="R1511" s="4">
        <f t="shared" si="119"/>
        <v>421.73913043478262</v>
      </c>
      <c r="S1511" s="2">
        <f>[1]RawShipmentData!N1528</f>
        <v>3</v>
      </c>
      <c r="T1511" s="2" t="str">
        <f>IF(OR(UPPER(TRIM([1]RawShipmentData!O1528))="YES",UPPER(TRIM([1]RawShipmentData!O1528))="Y"),"Yes","No")</f>
        <v>Yes</v>
      </c>
    </row>
    <row r="1512" spans="1:20" x14ac:dyDescent="0.25">
      <c r="A1512" s="2" t="str">
        <f>[1]RawShipmentData!A1529</f>
        <v>SHP-100671</v>
      </c>
      <c r="B1512" s="3">
        <f>IF(ISNUMBER(SEARCH("/",TRIM([1]RawShipmentData!B1529))),DATE(VALUE(RIGHT(TRIM([1]RawShipmentData!B1529),4)),VALUE(MID(TRIM([1]RawShipmentData!B1529),FIND("/",TRIM([1]RawShipmentData!B1529))+1,2)),VALUE(LEFT(TRIM([1]RawShipmentData!B1529),FIND("/",TRIM([1]RawShipmentData!B1529))-1))),DATEVALUE(TRIM([1]RawShipmentData!B1529)))</f>
        <v>45444</v>
      </c>
      <c r="C1512" s="2" t="str">
        <f>PROPER(TRIM([1]RawShipmentData!C1529))</f>
        <v>Bengaluru</v>
      </c>
      <c r="D1512" s="2" t="str">
        <f>IFERROR(INDEX([1]HubMaster!$B$2:$B$7,MATCH(C1512,[1]HubMaster!$A$2:$A$7,0)),"Unknown")</f>
        <v>South</v>
      </c>
      <c r="E1512" s="2" t="str">
        <f>PROPER(TRIM(SUBSTITUTE([1]RawShipmentData!D1529,"  "," ")))</f>
        <v>Ecom Express</v>
      </c>
      <c r="F1512" s="2" t="str">
        <f>PROPER(TRIM([1]RawShipmentData!E1529))</f>
        <v>Air</v>
      </c>
      <c r="G1512" s="2" t="str">
        <f>PROPER(TRIM(SUBSTITUTE([1]RawShipmentData!F1529,"  "," ")))</f>
        <v>Apparel</v>
      </c>
      <c r="H1512" s="2" t="str">
        <f>PROPER(TRIM([1]RawShipmentData!G1529))</f>
        <v>West</v>
      </c>
      <c r="I1512" s="2" t="str">
        <f t="shared" si="115"/>
        <v>Yes</v>
      </c>
      <c r="J1512" s="2">
        <f>IFERROR(VALUE(TRIM(SUBSTITUTE(UPPER([1]RawShipmentData!I1512),"KG",""))),"")</f>
        <v>1.1000000000000001</v>
      </c>
      <c r="K1512" s="2">
        <f>VALUE(SUBSTITUTE(SUBSTITUTE(SUBSTITUTE(TRIM([1]RawShipmentData!J1529),"₹",""),"Rs",""),",",""))</f>
        <v>229</v>
      </c>
      <c r="L1512" s="2">
        <f>[1]RawShipmentData!K1529</f>
        <v>4</v>
      </c>
      <c r="M1512" s="3">
        <f>IF(TRIM([1]RawShipmentData!L1529)="","",IF(ISNUMBER(SEARCH("/",TRIM([1]RawShipmentData!L1529))),DATE(VALUE(RIGHT(TRIM([1]RawShipmentData!L1529),4)),VALUE(MID(TRIM([1]RawShipmentData!L1529),FIND("/",TRIM([1]RawShipmentData!L1529))+1,2)),VALUE(LEFT(TRIM([1]RawShipmentData!L1529),FIND("/",TRIM([1]RawShipmentData!L1529))-1))),DATEVALUE(TRIM([1]RawShipmentData!L1529))))</f>
        <v>45449</v>
      </c>
      <c r="N1512" s="2">
        <f t="shared" si="116"/>
        <v>5</v>
      </c>
      <c r="O1512" s="2">
        <f t="shared" si="117"/>
        <v>1</v>
      </c>
      <c r="P1512" s="2" t="str">
        <f t="shared" si="118"/>
        <v>Late</v>
      </c>
      <c r="Q1512" s="2" t="str">
        <f>PROPER(SUBSTITUTE(TRIM([1]RawShipmentData!M1529)," ","-"))</f>
        <v>Delayed</v>
      </c>
      <c r="R1512" s="4">
        <f t="shared" si="119"/>
        <v>208.18181818181816</v>
      </c>
      <c r="S1512" s="2">
        <f>[1]RawShipmentData!N1529</f>
        <v>4</v>
      </c>
      <c r="T1512" s="2" t="str">
        <f>IF(OR(UPPER(TRIM([1]RawShipmentData!O1529))="YES",UPPER(TRIM([1]RawShipmentData!O1529))="Y"),"Yes","No")</f>
        <v>Yes</v>
      </c>
    </row>
    <row r="1513" spans="1:20" x14ac:dyDescent="0.25">
      <c r="A1513" s="2" t="str">
        <f>[1]RawShipmentData!A1530</f>
        <v>SHP-101256</v>
      </c>
      <c r="B1513" s="3">
        <f>IF(ISNUMBER(SEARCH("/",TRIM([1]RawShipmentData!B1530))),DATE(VALUE(RIGHT(TRIM([1]RawShipmentData!B1530),4)),VALUE(MID(TRIM([1]RawShipmentData!B1530),FIND("/",TRIM([1]RawShipmentData!B1530))+1,2)),VALUE(LEFT(TRIM([1]RawShipmentData!B1530),FIND("/",TRIM([1]RawShipmentData!B1530))-1))),DATEVALUE(TRIM([1]RawShipmentData!B1530)))</f>
        <v>45437</v>
      </c>
      <c r="C1513" s="2" t="str">
        <f>PROPER(TRIM([1]RawShipmentData!C1530))</f>
        <v>Hyderabad</v>
      </c>
      <c r="D1513" s="2" t="str">
        <f>IFERROR(INDEX([1]HubMaster!$B$2:$B$7,MATCH(C1513,[1]HubMaster!$A$2:$A$7,0)),"Unknown")</f>
        <v>West</v>
      </c>
      <c r="E1513" s="2" t="str">
        <f>PROPER(TRIM(SUBSTITUTE([1]RawShipmentData!D1530,"  "," ")))</f>
        <v>Delhivery</v>
      </c>
      <c r="F1513" s="2" t="str">
        <f>PROPER(TRIM([1]RawShipmentData!E1530))</f>
        <v>Surface</v>
      </c>
      <c r="G1513" s="2" t="str">
        <f>PROPER(TRIM(SUBSTITUTE([1]RawShipmentData!F1530,"  "," ")))</f>
        <v>Pharma</v>
      </c>
      <c r="H1513" s="2" t="str">
        <f>PROPER(TRIM([1]RawShipmentData!G1530))</f>
        <v>West</v>
      </c>
      <c r="I1513" s="2" t="str">
        <f t="shared" si="115"/>
        <v>No</v>
      </c>
      <c r="J1513" s="2">
        <f>IFERROR(VALUE(TRIM(SUBSTITUTE(UPPER([1]RawShipmentData!I1513),"KG",""))),"")</f>
        <v>3.9</v>
      </c>
      <c r="K1513" s="2">
        <f>VALUE(SUBSTITUTE(SUBSTITUTE(SUBSTITUTE(TRIM([1]RawShipmentData!J1530),"₹",""),"Rs",""),",",""))</f>
        <v>80</v>
      </c>
      <c r="L1513" s="2">
        <f>[1]RawShipmentData!K1530</f>
        <v>4</v>
      </c>
      <c r="M1513" s="3">
        <f>IF(TRIM([1]RawShipmentData!L1530)="","",IF(ISNUMBER(SEARCH("/",TRIM([1]RawShipmentData!L1530))),DATE(VALUE(RIGHT(TRIM([1]RawShipmentData!L1530),4)),VALUE(MID(TRIM([1]RawShipmentData!L1530),FIND("/",TRIM([1]RawShipmentData!L1530))+1,2)),VALUE(LEFT(TRIM([1]RawShipmentData!L1530),FIND("/",TRIM([1]RawShipmentData!L1530))-1))),DATEVALUE(TRIM([1]RawShipmentData!L1530))))</f>
        <v>45442</v>
      </c>
      <c r="N1513" s="2">
        <f t="shared" si="116"/>
        <v>5</v>
      </c>
      <c r="O1513" s="2">
        <f t="shared" si="117"/>
        <v>1</v>
      </c>
      <c r="P1513" s="2" t="str">
        <f t="shared" si="118"/>
        <v>Late</v>
      </c>
      <c r="Q1513" s="2" t="str">
        <f>PROPER(SUBSTITUTE(TRIM([1]RawShipmentData!M1530)," ","-"))</f>
        <v>Delayed</v>
      </c>
      <c r="R1513" s="4">
        <f t="shared" si="119"/>
        <v>20.512820512820515</v>
      </c>
      <c r="S1513" s="2">
        <f>[1]RawShipmentData!N1530</f>
        <v>1</v>
      </c>
      <c r="T1513" s="2" t="str">
        <f>IF(OR(UPPER(TRIM([1]RawShipmentData!O1530))="YES",UPPER(TRIM([1]RawShipmentData!O1530))="Y"),"Yes","No")</f>
        <v>No</v>
      </c>
    </row>
    <row r="1514" spans="1:20" x14ac:dyDescent="0.25">
      <c r="A1514" s="2" t="str">
        <f>[1]RawShipmentData!A1531</f>
        <v>SHP-100032</v>
      </c>
      <c r="B1514" s="3">
        <f>IF(ISNUMBER(SEARCH("/",TRIM([1]RawShipmentData!B1531))),DATE(VALUE(RIGHT(TRIM([1]RawShipmentData!B1531),4)),VALUE(MID(TRIM([1]RawShipmentData!B1531),FIND("/",TRIM([1]RawShipmentData!B1531))+1,2)),VALUE(LEFT(TRIM([1]RawShipmentData!B1531),FIND("/",TRIM([1]RawShipmentData!B1531))-1))),DATEVALUE(TRIM([1]RawShipmentData!B1531)))</f>
        <v>45437</v>
      </c>
      <c r="C1514" s="2" t="str">
        <f>PROPER(TRIM([1]RawShipmentData!C1531))</f>
        <v>Chennai</v>
      </c>
      <c r="D1514" s="2" t="str">
        <f>IFERROR(INDEX([1]HubMaster!$B$2:$B$7,MATCH(C1514,[1]HubMaster!$A$2:$A$7,0)),"Unknown")</f>
        <v>South</v>
      </c>
      <c r="E1514" s="2" t="str">
        <f>PROPER(TRIM(SUBSTITUTE([1]RawShipmentData!D1531,"  "," ")))</f>
        <v>Dtdc</v>
      </c>
      <c r="F1514" s="2" t="str">
        <f>PROPER(TRIM([1]RawShipmentData!E1531))</f>
        <v>Air</v>
      </c>
      <c r="G1514" s="2" t="str">
        <f>PROPER(TRIM(SUBSTITUTE([1]RawShipmentData!F1531,"  "," ")))</f>
        <v>Furniture</v>
      </c>
      <c r="H1514" s="2" t="str">
        <f>PROPER(TRIM([1]RawShipmentData!G1531))</f>
        <v>East</v>
      </c>
      <c r="I1514" s="2" t="str">
        <f t="shared" si="115"/>
        <v>Yes</v>
      </c>
      <c r="J1514" s="2">
        <f>IFERROR(VALUE(TRIM(SUBSTITUTE(UPPER([1]RawShipmentData!I1514),"KG",""))),"")</f>
        <v>17</v>
      </c>
      <c r="K1514" s="2">
        <f>VALUE(SUBSTITUTE(SUBSTITUTE(SUBSTITUTE(TRIM([1]RawShipmentData!J1531),"₹",""),"Rs",""),",",""))</f>
        <v>3283</v>
      </c>
      <c r="L1514" s="2">
        <f>[1]RawShipmentData!K1531</f>
        <v>4</v>
      </c>
      <c r="M1514" s="3">
        <f>IF(TRIM([1]RawShipmentData!L1531)="","",IF(ISNUMBER(SEARCH("/",TRIM([1]RawShipmentData!L1531))),DATE(VALUE(RIGHT(TRIM([1]RawShipmentData!L1531),4)),VALUE(MID(TRIM([1]RawShipmentData!L1531),FIND("/",TRIM([1]RawShipmentData!L1531))+1,2)),VALUE(LEFT(TRIM([1]RawShipmentData!L1531),FIND("/",TRIM([1]RawShipmentData!L1531))-1))),DATEVALUE(TRIM([1]RawShipmentData!L1531))))</f>
        <v>45442</v>
      </c>
      <c r="N1514" s="2">
        <f t="shared" si="116"/>
        <v>5</v>
      </c>
      <c r="O1514" s="2">
        <f t="shared" si="117"/>
        <v>1</v>
      </c>
      <c r="P1514" s="2" t="str">
        <f t="shared" si="118"/>
        <v>Late</v>
      </c>
      <c r="Q1514" s="2" t="str">
        <f>PROPER(SUBSTITUTE(TRIM([1]RawShipmentData!M1531)," ","-"))</f>
        <v>Delayed</v>
      </c>
      <c r="R1514" s="4">
        <f t="shared" si="119"/>
        <v>193.11764705882354</v>
      </c>
      <c r="S1514" s="2">
        <f>[1]RawShipmentData!N1531</f>
        <v>3</v>
      </c>
      <c r="T1514" s="2" t="str">
        <f>IF(OR(UPPER(TRIM([1]RawShipmentData!O1531))="YES",UPPER(TRIM([1]RawShipmentData!O1531))="Y"),"Yes","No")</f>
        <v>No</v>
      </c>
    </row>
    <row r="1515" spans="1:20" x14ac:dyDescent="0.25">
      <c r="A1515" s="2" t="str">
        <f>[1]RawShipmentData!A1532</f>
        <v>SHP-100197</v>
      </c>
      <c r="B1515" s="3">
        <f>IF(ISNUMBER(SEARCH("/",TRIM([1]RawShipmentData!B1532))),DATE(VALUE(RIGHT(TRIM([1]RawShipmentData!B1532),4)),VALUE(MID(TRIM([1]RawShipmentData!B1532),FIND("/",TRIM([1]RawShipmentData!B1532))+1,2)),VALUE(LEFT(TRIM([1]RawShipmentData!B1532),FIND("/",TRIM([1]RawShipmentData!B1532))-1))),DATEVALUE(TRIM([1]RawShipmentData!B1532)))</f>
        <v>45355</v>
      </c>
      <c r="C1515" s="2" t="str">
        <f>PROPER(TRIM([1]RawShipmentData!C1532))</f>
        <v>Bengaluru</v>
      </c>
      <c r="D1515" s="2" t="str">
        <f>IFERROR(INDEX([1]HubMaster!$B$2:$B$7,MATCH(C1515,[1]HubMaster!$A$2:$A$7,0)),"Unknown")</f>
        <v>South</v>
      </c>
      <c r="E1515" s="2" t="str">
        <f>PROPER(TRIM(SUBSTITUTE([1]RawShipmentData!D1532,"  "," ")))</f>
        <v>Bluedart</v>
      </c>
      <c r="F1515" s="2" t="str">
        <f>PROPER(TRIM([1]RawShipmentData!E1532))</f>
        <v>Surface</v>
      </c>
      <c r="G1515" s="2" t="str">
        <f>PROPER(TRIM(SUBSTITUTE([1]RawShipmentData!F1532,"  "," ")))</f>
        <v>Furniture</v>
      </c>
      <c r="H1515" s="2" t="str">
        <f>PROPER(TRIM([1]RawShipmentData!G1532))</f>
        <v>North</v>
      </c>
      <c r="I1515" s="2" t="str">
        <f t="shared" si="115"/>
        <v>Yes</v>
      </c>
      <c r="J1515" s="2">
        <f>IFERROR(VALUE(TRIM(SUBSTITUTE(UPPER([1]RawShipmentData!I1515),"KG",""))),"")</f>
        <v>5.5</v>
      </c>
      <c r="K1515" s="2">
        <f>VALUE(SUBSTITUTE(SUBSTITUTE(SUBSTITUTE(TRIM([1]RawShipmentData!J1532),"₹",""),"Rs",""),",",""))</f>
        <v>1194</v>
      </c>
      <c r="L1515" s="2">
        <f>[1]RawShipmentData!K1532</f>
        <v>6</v>
      </c>
      <c r="M1515" s="3">
        <f>IF(TRIM([1]RawShipmentData!L1532)="","",IF(ISNUMBER(SEARCH("/",TRIM([1]RawShipmentData!L1532))),DATE(VALUE(RIGHT(TRIM([1]RawShipmentData!L1532),4)),VALUE(MID(TRIM([1]RawShipmentData!L1532),FIND("/",TRIM([1]RawShipmentData!L1532))+1,2)),VALUE(LEFT(TRIM([1]RawShipmentData!L1532),FIND("/",TRIM([1]RawShipmentData!L1532))-1))),DATEVALUE(TRIM([1]RawShipmentData!L1532))))</f>
        <v>45362</v>
      </c>
      <c r="N1515" s="2">
        <f t="shared" si="116"/>
        <v>7</v>
      </c>
      <c r="O1515" s="2">
        <f t="shared" si="117"/>
        <v>1</v>
      </c>
      <c r="P1515" s="2" t="str">
        <f t="shared" si="118"/>
        <v>Late</v>
      </c>
      <c r="Q1515" s="2" t="str">
        <f>PROPER(SUBSTITUTE(TRIM([1]RawShipmentData!M1532)," ","-"))</f>
        <v>Delayed</v>
      </c>
      <c r="R1515" s="4">
        <f t="shared" si="119"/>
        <v>217.09090909090909</v>
      </c>
      <c r="S1515" s="2">
        <f>[1]RawShipmentData!N1532</f>
        <v>1</v>
      </c>
      <c r="T1515" s="2" t="str">
        <f>IF(OR(UPPER(TRIM([1]RawShipmentData!O1532))="YES",UPPER(TRIM([1]RawShipmentData!O1532))="Y"),"Yes","No")</f>
        <v>No</v>
      </c>
    </row>
    <row r="1516" spans="1:20" x14ac:dyDescent="0.25">
      <c r="A1516" s="2" t="str">
        <f>[1]RawShipmentData!A1533</f>
        <v>SHP-100205</v>
      </c>
      <c r="B1516" s="3">
        <f>IF(ISNUMBER(SEARCH("/",TRIM([1]RawShipmentData!B1533))),DATE(VALUE(RIGHT(TRIM([1]RawShipmentData!B1533),4)),VALUE(MID(TRIM([1]RawShipmentData!B1533),FIND("/",TRIM([1]RawShipmentData!B1533))+1,2)),VALUE(LEFT(TRIM([1]RawShipmentData!B1533),FIND("/",TRIM([1]RawShipmentData!B1533))-1))),DATEVALUE(TRIM([1]RawShipmentData!B1533)))</f>
        <v>45421</v>
      </c>
      <c r="C1516" s="2" t="str">
        <f>PROPER(TRIM([1]RawShipmentData!C1533))</f>
        <v>Kolkata</v>
      </c>
      <c r="D1516" s="2" t="str">
        <f>IFERROR(INDEX([1]HubMaster!$B$2:$B$7,MATCH(C1516,[1]HubMaster!$A$2:$A$7,0)),"Unknown")</f>
        <v>East</v>
      </c>
      <c r="E1516" s="2" t="str">
        <f>PROPER(TRIM(SUBSTITUTE([1]RawShipmentData!D1533,"  "," ")))</f>
        <v>Ecom Express</v>
      </c>
      <c r="F1516" s="2" t="str">
        <f>PROPER(TRIM([1]RawShipmentData!E1533))</f>
        <v>Road</v>
      </c>
      <c r="G1516" s="2" t="str">
        <f>PROPER(TRIM(SUBSTITUTE([1]RawShipmentData!F1533,"  "," ")))</f>
        <v>Apparel</v>
      </c>
      <c r="H1516" s="2" t="str">
        <f>PROPER(TRIM([1]RawShipmentData!G1533))</f>
        <v>East</v>
      </c>
      <c r="I1516" s="2" t="str">
        <f t="shared" si="115"/>
        <v>No</v>
      </c>
      <c r="J1516" s="2">
        <f>IFERROR(VALUE(TRIM(SUBSTITUTE(UPPER([1]RawShipmentData!I1516),"KG",""))),"")</f>
        <v>4.9000000000000004</v>
      </c>
      <c r="K1516" s="2">
        <f>VALUE(SUBSTITUTE(SUBSTITUTE(SUBSTITUTE(TRIM([1]RawShipmentData!J1533),"₹",""),"Rs",""),",",""))</f>
        <v>155</v>
      </c>
      <c r="L1516" s="2">
        <f>[1]RawShipmentData!K1533</f>
        <v>6</v>
      </c>
      <c r="M1516" s="3">
        <f>IF(TRIM([1]RawShipmentData!L1533)="","",IF(ISNUMBER(SEARCH("/",TRIM([1]RawShipmentData!L1533))),DATE(VALUE(RIGHT(TRIM([1]RawShipmentData!L1533),4)),VALUE(MID(TRIM([1]RawShipmentData!L1533),FIND("/",TRIM([1]RawShipmentData!L1533))+1,2)),VALUE(LEFT(TRIM([1]RawShipmentData!L1533),FIND("/",TRIM([1]RawShipmentData!L1533))-1))),DATEVALUE(TRIM([1]RawShipmentData!L1533))))</f>
        <v>45428</v>
      </c>
      <c r="N1516" s="2">
        <f t="shared" si="116"/>
        <v>7</v>
      </c>
      <c r="O1516" s="2">
        <f t="shared" si="117"/>
        <v>1</v>
      </c>
      <c r="P1516" s="2" t="str">
        <f t="shared" si="118"/>
        <v>Late</v>
      </c>
      <c r="Q1516" s="2" t="str">
        <f>PROPER(SUBSTITUTE(TRIM([1]RawShipmentData!M1533)," ","-"))</f>
        <v>Delayed</v>
      </c>
      <c r="R1516" s="4">
        <f t="shared" si="119"/>
        <v>31.632653061224488</v>
      </c>
      <c r="S1516" s="2">
        <f>[1]RawShipmentData!N1533</f>
        <v>4</v>
      </c>
      <c r="T1516" s="2" t="str">
        <f>IF(OR(UPPER(TRIM([1]RawShipmentData!O1533))="YES",UPPER(TRIM([1]RawShipmentData!O1533))="Y"),"Yes","No")</f>
        <v>No</v>
      </c>
    </row>
    <row r="1517" spans="1:20" x14ac:dyDescent="0.25">
      <c r="A1517" s="2" t="str">
        <f>[1]RawShipmentData!A1534</f>
        <v>SHP-100141</v>
      </c>
      <c r="B1517" s="3">
        <f>IF(ISNUMBER(SEARCH("/",TRIM([1]RawShipmentData!B1534))),DATE(VALUE(RIGHT(TRIM([1]RawShipmentData!B1534),4)),VALUE(MID(TRIM([1]RawShipmentData!B1534),FIND("/",TRIM([1]RawShipmentData!B1534))+1,2)),VALUE(LEFT(TRIM([1]RawShipmentData!B1534),FIND("/",TRIM([1]RawShipmentData!B1534))-1))),DATEVALUE(TRIM([1]RawShipmentData!B1534)))</f>
        <v>45325</v>
      </c>
      <c r="C1517" s="2" t="str">
        <f>PROPER(TRIM([1]RawShipmentData!C1534))</f>
        <v>Delhi</v>
      </c>
      <c r="D1517" s="2" t="str">
        <f>IFERROR(INDEX([1]HubMaster!$B$2:$B$7,MATCH(C1517,[1]HubMaster!$A$2:$A$7,0)),"Unknown")</f>
        <v>North</v>
      </c>
      <c r="E1517" s="2" t="str">
        <f>PROPER(TRIM(SUBSTITUTE([1]RawShipmentData!D1534,"  "," ")))</f>
        <v>Xpressbees</v>
      </c>
      <c r="F1517" s="2" t="str">
        <f>PROPER(TRIM([1]RawShipmentData!E1534))</f>
        <v>Surface</v>
      </c>
      <c r="G1517" s="2" t="str">
        <f>PROPER(TRIM(SUBSTITUTE([1]RawShipmentData!F1534,"  "," ")))</f>
        <v>Grocery &amp; Fmcg</v>
      </c>
      <c r="H1517" s="2" t="str">
        <f>PROPER(TRIM([1]RawShipmentData!G1534))</f>
        <v>West</v>
      </c>
      <c r="I1517" s="2" t="str">
        <f t="shared" si="115"/>
        <v>Yes</v>
      </c>
      <c r="J1517" s="2">
        <f>IFERROR(VALUE(TRIM(SUBSTITUTE(UPPER([1]RawShipmentData!I1517),"KG",""))),"")</f>
        <v>12.9</v>
      </c>
      <c r="K1517" s="2">
        <f>VALUE(SUBSTITUTE(SUBSTITUTE(SUBSTITUTE(TRIM([1]RawShipmentData!J1534),"₹",""),"Rs",""),",",""))</f>
        <v>405</v>
      </c>
      <c r="L1517" s="2">
        <f>[1]RawShipmentData!K1534</f>
        <v>6</v>
      </c>
      <c r="M1517" s="3">
        <f>IF(TRIM([1]RawShipmentData!L1534)="","",IF(ISNUMBER(SEARCH("/",TRIM([1]RawShipmentData!L1534))),DATE(VALUE(RIGHT(TRIM([1]RawShipmentData!L1534),4)),VALUE(MID(TRIM([1]RawShipmentData!L1534),FIND("/",TRIM([1]RawShipmentData!L1534))+1,2)),VALUE(LEFT(TRIM([1]RawShipmentData!L1534),FIND("/",TRIM([1]RawShipmentData!L1534))-1))),DATEVALUE(TRIM([1]RawShipmentData!L1534))))</f>
        <v>45330</v>
      </c>
      <c r="N1517" s="2">
        <f t="shared" si="116"/>
        <v>5</v>
      </c>
      <c r="O1517" s="2">
        <f t="shared" si="117"/>
        <v>-1</v>
      </c>
      <c r="P1517" s="2" t="str">
        <f t="shared" si="118"/>
        <v>On Time</v>
      </c>
      <c r="Q1517" s="2" t="str">
        <f>PROPER(SUBSTITUTE(TRIM([1]RawShipmentData!M1534)," ","-"))</f>
        <v>Delivered</v>
      </c>
      <c r="R1517" s="4">
        <f t="shared" si="119"/>
        <v>31.395348837209301</v>
      </c>
      <c r="S1517" s="2">
        <f>[1]RawShipmentData!N1534</f>
        <v>4</v>
      </c>
      <c r="T1517" s="2" t="str">
        <f>IF(OR(UPPER(TRIM([1]RawShipmentData!O1534))="YES",UPPER(TRIM([1]RawShipmentData!O1534))="Y"),"Yes","No")</f>
        <v>Yes</v>
      </c>
    </row>
    <row r="1518" spans="1:20" x14ac:dyDescent="0.25">
      <c r="A1518" s="2" t="str">
        <f>[1]RawShipmentData!A1535</f>
        <v>SHP-101040</v>
      </c>
      <c r="B1518" s="3">
        <f>IF(ISNUMBER(SEARCH("/",TRIM([1]RawShipmentData!B1535))),DATE(VALUE(RIGHT(TRIM([1]RawShipmentData!B1535),4)),VALUE(MID(TRIM([1]RawShipmentData!B1535),FIND("/",TRIM([1]RawShipmentData!B1535))+1,2)),VALUE(LEFT(TRIM([1]RawShipmentData!B1535),FIND("/",TRIM([1]RawShipmentData!B1535))-1))),DATEVALUE(TRIM([1]RawShipmentData!B1535)))</f>
        <v>45384</v>
      </c>
      <c r="C1518" s="2" t="str">
        <f>PROPER(TRIM([1]RawShipmentData!C1535))</f>
        <v>Hyderabad</v>
      </c>
      <c r="D1518" s="2" t="str">
        <f>IFERROR(INDEX([1]HubMaster!$B$2:$B$7,MATCH(C1518,[1]HubMaster!$A$2:$A$7,0)),"Unknown")</f>
        <v>West</v>
      </c>
      <c r="E1518" s="2" t="str">
        <f>PROPER(TRIM(SUBSTITUTE([1]RawShipmentData!D1535,"  "," ")))</f>
        <v>Delhivery</v>
      </c>
      <c r="F1518" s="2" t="str">
        <f>PROPER(TRIM([1]RawShipmentData!E1535))</f>
        <v>Air</v>
      </c>
      <c r="G1518" s="2" t="str">
        <f>PROPER(TRIM(SUBSTITUTE([1]RawShipmentData!F1535,"  "," ")))</f>
        <v>Pharma</v>
      </c>
      <c r="H1518" s="2" t="str">
        <f>PROPER(TRIM([1]RawShipmentData!G1535))</f>
        <v>East</v>
      </c>
      <c r="I1518" s="2" t="str">
        <f t="shared" si="115"/>
        <v>Yes</v>
      </c>
      <c r="J1518" s="2">
        <f>IFERROR(VALUE(TRIM(SUBSTITUTE(UPPER([1]RawShipmentData!I1518),"KG",""))),"")</f>
        <v>16.8</v>
      </c>
      <c r="K1518" s="2">
        <f>VALUE(SUBSTITUTE(SUBSTITUTE(SUBSTITUTE(TRIM([1]RawShipmentData!J1535),"₹",""),"Rs",""),",",""))</f>
        <v>330</v>
      </c>
      <c r="L1518" s="2">
        <f>[1]RawShipmentData!K1535</f>
        <v>4</v>
      </c>
      <c r="M1518" s="3">
        <f>IF(TRIM([1]RawShipmentData!L1535)="","",IF(ISNUMBER(SEARCH("/",TRIM([1]RawShipmentData!L1535))),DATE(VALUE(RIGHT(TRIM([1]RawShipmentData!L1535),4)),VALUE(MID(TRIM([1]RawShipmentData!L1535),FIND("/",TRIM([1]RawShipmentData!L1535))+1,2)),VALUE(LEFT(TRIM([1]RawShipmentData!L1535),FIND("/",TRIM([1]RawShipmentData!L1535))-1))),DATEVALUE(TRIM([1]RawShipmentData!L1535))))</f>
        <v>45388</v>
      </c>
      <c r="N1518" s="2">
        <f t="shared" si="116"/>
        <v>4</v>
      </c>
      <c r="O1518" s="2">
        <f t="shared" si="117"/>
        <v>0</v>
      </c>
      <c r="P1518" s="2" t="str">
        <f t="shared" si="118"/>
        <v>On Time</v>
      </c>
      <c r="Q1518" s="2" t="str">
        <f>PROPER(SUBSTITUTE(TRIM([1]RawShipmentData!M1535)," ","-"))</f>
        <v>Delivered</v>
      </c>
      <c r="R1518" s="4">
        <f t="shared" si="119"/>
        <v>19.642857142857142</v>
      </c>
      <c r="S1518" s="2">
        <f>[1]RawShipmentData!N1535</f>
        <v>4</v>
      </c>
      <c r="T1518" s="2" t="str">
        <f>IF(OR(UPPER(TRIM([1]RawShipmentData!O1535))="YES",UPPER(TRIM([1]RawShipmentData!O1535))="Y"),"Yes","No")</f>
        <v>Yes</v>
      </c>
    </row>
    <row r="1519" spans="1:20" x14ac:dyDescent="0.25">
      <c r="A1519" s="2" t="str">
        <f>[1]RawShipmentData!A1536</f>
        <v>SHP-101307</v>
      </c>
      <c r="B1519" s="3">
        <f>IF(ISNUMBER(SEARCH("/",TRIM([1]RawShipmentData!B1536))),DATE(VALUE(RIGHT(TRIM([1]RawShipmentData!B1536),4)),VALUE(MID(TRIM([1]RawShipmentData!B1536),FIND("/",TRIM([1]RawShipmentData!B1536))+1,2)),VALUE(LEFT(TRIM([1]RawShipmentData!B1536),FIND("/",TRIM([1]RawShipmentData!B1536))-1))),DATEVALUE(TRIM([1]RawShipmentData!B1536)))</f>
        <v>45377</v>
      </c>
      <c r="C1519" s="2" t="str">
        <f>PROPER(TRIM([1]RawShipmentData!C1536))</f>
        <v>Mumbai</v>
      </c>
      <c r="D1519" s="2" t="str">
        <f>IFERROR(INDEX([1]HubMaster!$B$2:$B$7,MATCH(C1519,[1]HubMaster!$A$2:$A$7,0)),"Unknown")</f>
        <v>West</v>
      </c>
      <c r="E1519" s="2" t="str">
        <f>PROPER(TRIM(SUBSTITUTE([1]RawShipmentData!D1536,"  "," ")))</f>
        <v>Xpress Bees</v>
      </c>
      <c r="F1519" s="2" t="str">
        <f>PROPER(TRIM([1]RawShipmentData!E1536))</f>
        <v>Road</v>
      </c>
      <c r="G1519" s="2" t="str">
        <f>PROPER(TRIM(SUBSTITUTE([1]RawShipmentData!F1536,"  "," ")))</f>
        <v>Furniture</v>
      </c>
      <c r="H1519" s="2" t="str">
        <f>PROPER(TRIM([1]RawShipmentData!G1536))</f>
        <v>West</v>
      </c>
      <c r="I1519" s="2" t="str">
        <f t="shared" si="115"/>
        <v>No</v>
      </c>
      <c r="J1519" s="2">
        <f>IFERROR(VALUE(TRIM(SUBSTITUTE(UPPER([1]RawShipmentData!I1519),"KG",""))),"")</f>
        <v>14.8</v>
      </c>
      <c r="K1519" s="2">
        <f>VALUE(SUBSTITUTE(SUBSTITUTE(SUBSTITUTE(TRIM([1]RawShipmentData!J1536),"₹",""),"Rs",""),",",""))</f>
        <v>477</v>
      </c>
      <c r="L1519" s="2">
        <f>[1]RawShipmentData!K1536</f>
        <v>6</v>
      </c>
      <c r="M1519" s="3">
        <f>IF(TRIM([1]RawShipmentData!L1536)="","",IF(ISNUMBER(SEARCH("/",TRIM([1]RawShipmentData!L1536))),DATE(VALUE(RIGHT(TRIM([1]RawShipmentData!L1536),4)),VALUE(MID(TRIM([1]RawShipmentData!L1536),FIND("/",TRIM([1]RawShipmentData!L1536))+1,2)),VALUE(LEFT(TRIM([1]RawShipmentData!L1536),FIND("/",TRIM([1]RawShipmentData!L1536))-1))),DATEVALUE(TRIM([1]RawShipmentData!L1536))))</f>
        <v>45382</v>
      </c>
      <c r="N1519" s="2">
        <f t="shared" si="116"/>
        <v>5</v>
      </c>
      <c r="O1519" s="2">
        <f t="shared" si="117"/>
        <v>-1</v>
      </c>
      <c r="P1519" s="2" t="str">
        <f t="shared" si="118"/>
        <v>On Time</v>
      </c>
      <c r="Q1519" s="2" t="str">
        <f>PROPER(SUBSTITUTE(TRIM([1]RawShipmentData!M1536)," ","-"))</f>
        <v>Delivered</v>
      </c>
      <c r="R1519" s="4">
        <f t="shared" si="119"/>
        <v>32.229729729729726</v>
      </c>
      <c r="S1519" s="2">
        <f>[1]RawShipmentData!N1536</f>
        <v>4</v>
      </c>
      <c r="T1519" s="2" t="str">
        <f>IF(OR(UPPER(TRIM([1]RawShipmentData!O1536))="YES",UPPER(TRIM([1]RawShipmentData!O1536))="Y"),"Yes","No")</f>
        <v>Yes</v>
      </c>
    </row>
    <row r="1520" spans="1:20" x14ac:dyDescent="0.25">
      <c r="A1520" s="2" t="str">
        <f>[1]RawShipmentData!A1537</f>
        <v>SHP-100905</v>
      </c>
      <c r="B1520" s="3">
        <f>IF(ISNUMBER(SEARCH("/",TRIM([1]RawShipmentData!B1537))),DATE(VALUE(RIGHT(TRIM([1]RawShipmentData!B1537),4)),VALUE(MID(TRIM([1]RawShipmentData!B1537),FIND("/",TRIM([1]RawShipmentData!B1537))+1,2)),VALUE(LEFT(TRIM([1]RawShipmentData!B1537),FIND("/",TRIM([1]RawShipmentData!B1537))-1))),DATEVALUE(TRIM([1]RawShipmentData!B1537)))</f>
        <v>45436</v>
      </c>
      <c r="C1520" s="2" t="str">
        <f>PROPER(TRIM([1]RawShipmentData!C1537))</f>
        <v>Mumbai</v>
      </c>
      <c r="D1520" s="2" t="str">
        <f>IFERROR(INDEX([1]HubMaster!$B$2:$B$7,MATCH(C1520,[1]HubMaster!$A$2:$A$7,0)),"Unknown")</f>
        <v>West</v>
      </c>
      <c r="E1520" s="2" t="str">
        <f>PROPER(TRIM(SUBSTITUTE([1]RawShipmentData!D1537,"  "," ")))</f>
        <v>Ecom Express</v>
      </c>
      <c r="F1520" s="2" t="str">
        <f>PROPER(TRIM([1]RawShipmentData!E1537))</f>
        <v>Air</v>
      </c>
      <c r="G1520" s="2" t="str">
        <f>PROPER(TRIM(SUBSTITUTE([1]RawShipmentData!F1537,"  "," ")))</f>
        <v>Electronics</v>
      </c>
      <c r="H1520" s="2" t="str">
        <f>PROPER(TRIM([1]RawShipmentData!G1537))</f>
        <v>West</v>
      </c>
      <c r="I1520" s="2" t="str">
        <f t="shared" si="115"/>
        <v>No</v>
      </c>
      <c r="J1520" s="2">
        <f>IFERROR(VALUE(TRIM(SUBSTITUTE(UPPER([1]RawShipmentData!I1520),"KG",""))),"")</f>
        <v>8.6</v>
      </c>
      <c r="K1520" s="2">
        <f>VALUE(SUBSTITUTE(SUBSTITUTE(SUBSTITUTE(TRIM([1]RawShipmentData!J1537),"₹",""),"Rs",""),",",""))</f>
        <v>708</v>
      </c>
      <c r="L1520" s="2">
        <f>[1]RawShipmentData!K1537</f>
        <v>2</v>
      </c>
      <c r="M1520" s="3">
        <f>IF(TRIM([1]RawShipmentData!L1537)="","",IF(ISNUMBER(SEARCH("/",TRIM([1]RawShipmentData!L1537))),DATE(VALUE(RIGHT(TRIM([1]RawShipmentData!L1537),4)),VALUE(MID(TRIM([1]RawShipmentData!L1537),FIND("/",TRIM([1]RawShipmentData!L1537))+1,2)),VALUE(LEFT(TRIM([1]RawShipmentData!L1537),FIND("/",TRIM([1]RawShipmentData!L1537))-1))),DATEVALUE(TRIM([1]RawShipmentData!L1537))))</f>
        <v>45438</v>
      </c>
      <c r="N1520" s="2">
        <f t="shared" si="116"/>
        <v>2</v>
      </c>
      <c r="O1520" s="2">
        <f t="shared" si="117"/>
        <v>0</v>
      </c>
      <c r="P1520" s="2" t="str">
        <f t="shared" si="118"/>
        <v>On Time</v>
      </c>
      <c r="Q1520" s="2" t="str">
        <f>PROPER(SUBSTITUTE(TRIM([1]RawShipmentData!M1537)," ","-"))</f>
        <v>Delivered</v>
      </c>
      <c r="R1520" s="4">
        <f t="shared" si="119"/>
        <v>82.325581395348834</v>
      </c>
      <c r="S1520" s="2">
        <f>[1]RawShipmentData!N1537</f>
        <v>5</v>
      </c>
      <c r="T1520" s="2" t="str">
        <f>IF(OR(UPPER(TRIM([1]RawShipmentData!O1537))="YES",UPPER(TRIM([1]RawShipmentData!O1537))="Y"),"Yes","No")</f>
        <v>No</v>
      </c>
    </row>
    <row r="1521" spans="1:20" x14ac:dyDescent="0.25">
      <c r="A1521" s="2" t="str">
        <f>[1]RawShipmentData!A1538</f>
        <v>SHP-100542</v>
      </c>
      <c r="B1521" s="3">
        <f>IF(ISNUMBER(SEARCH("/",TRIM([1]RawShipmentData!B1538))),DATE(VALUE(RIGHT(TRIM([1]RawShipmentData!B1538),4)),VALUE(MID(TRIM([1]RawShipmentData!B1538),FIND("/",TRIM([1]RawShipmentData!B1538))+1,2)),VALUE(LEFT(TRIM([1]RawShipmentData!B1538),FIND("/",TRIM([1]RawShipmentData!B1538))-1))),DATEVALUE(TRIM([1]RawShipmentData!B1538)))</f>
        <v>45315</v>
      </c>
      <c r="C1521" s="2" t="str">
        <f>PROPER(TRIM([1]RawShipmentData!C1538))</f>
        <v>Mumbai</v>
      </c>
      <c r="D1521" s="2" t="str">
        <f>IFERROR(INDEX([1]HubMaster!$B$2:$B$7,MATCH(C1521,[1]HubMaster!$A$2:$A$7,0)),"Unknown")</f>
        <v>West</v>
      </c>
      <c r="E1521" s="2" t="str">
        <f>PROPER(TRIM(SUBSTITUTE([1]RawShipmentData!D1538,"  "," ")))</f>
        <v>Ecom Express</v>
      </c>
      <c r="F1521" s="2" t="str">
        <f>PROPER(TRIM([1]RawShipmentData!E1538))</f>
        <v>Road</v>
      </c>
      <c r="G1521" s="2" t="str">
        <f>PROPER(TRIM(SUBSTITUTE([1]RawShipmentData!F1538,"  "," ")))</f>
        <v>Furniture</v>
      </c>
      <c r="H1521" s="2" t="str">
        <f>PROPER(TRIM([1]RawShipmentData!G1538))</f>
        <v>South</v>
      </c>
      <c r="I1521" s="2" t="str">
        <f t="shared" si="115"/>
        <v>Yes</v>
      </c>
      <c r="J1521" s="2">
        <f>IFERROR(VALUE(TRIM(SUBSTITUTE(UPPER([1]RawShipmentData!I1521),"KG",""))),"")</f>
        <v>21.5</v>
      </c>
      <c r="K1521" s="2">
        <f>VALUE(SUBSTITUTE(SUBSTITUTE(SUBSTITUTE(TRIM([1]RawShipmentData!J1538),"₹",""),"Rs",""),",",""))</f>
        <v>722</v>
      </c>
      <c r="L1521" s="2">
        <f>[1]RawShipmentData!K1538</f>
        <v>8</v>
      </c>
      <c r="M1521" s="3">
        <f>IF(TRIM([1]RawShipmentData!L1538)="","",IF(ISNUMBER(SEARCH("/",TRIM([1]RawShipmentData!L1538))),DATE(VALUE(RIGHT(TRIM([1]RawShipmentData!L1538),4)),VALUE(MID(TRIM([1]RawShipmentData!L1538),FIND("/",TRIM([1]RawShipmentData!L1538))+1,2)),VALUE(LEFT(TRIM([1]RawShipmentData!L1538),FIND("/",TRIM([1]RawShipmentData!L1538))-1))),DATEVALUE(TRIM([1]RawShipmentData!L1538))))</f>
        <v>45324</v>
      </c>
      <c r="N1521" s="2">
        <f t="shared" si="116"/>
        <v>9</v>
      </c>
      <c r="O1521" s="2">
        <f t="shared" si="117"/>
        <v>1</v>
      </c>
      <c r="P1521" s="2" t="str">
        <f t="shared" si="118"/>
        <v>Late</v>
      </c>
      <c r="Q1521" s="2" t="str">
        <f>PROPER(SUBSTITUTE(TRIM([1]RawShipmentData!M1538)," ","-"))</f>
        <v>Delayed</v>
      </c>
      <c r="R1521" s="4">
        <f t="shared" si="119"/>
        <v>33.581395348837212</v>
      </c>
      <c r="S1521" s="2">
        <f>[1]RawShipmentData!N1538</f>
        <v>2</v>
      </c>
      <c r="T1521" s="2" t="str">
        <f>IF(OR(UPPER(TRIM([1]RawShipmentData!O1538))="YES",UPPER(TRIM([1]RawShipmentData!O1538))="Y"),"Yes","No")</f>
        <v>No</v>
      </c>
    </row>
    <row r="1522" spans="1:20" x14ac:dyDescent="0.25">
      <c r="A1522" s="2" t="str">
        <f>[1]RawShipmentData!A1539</f>
        <v>SHP-100951</v>
      </c>
      <c r="B1522" s="3">
        <f>IF(ISNUMBER(SEARCH("/",TRIM([1]RawShipmentData!B1539))),DATE(VALUE(RIGHT(TRIM([1]RawShipmentData!B1539),4)),VALUE(MID(TRIM([1]RawShipmentData!B1539),FIND("/",TRIM([1]RawShipmentData!B1539))+1,2)),VALUE(LEFT(TRIM([1]RawShipmentData!B1539),FIND("/",TRIM([1]RawShipmentData!B1539))-1))),DATEVALUE(TRIM([1]RawShipmentData!B1539)))</f>
        <v>45298</v>
      </c>
      <c r="C1522" s="2" t="str">
        <f>PROPER(TRIM([1]RawShipmentData!C1539))</f>
        <v>Chennai</v>
      </c>
      <c r="D1522" s="2" t="str">
        <f>IFERROR(INDEX([1]HubMaster!$B$2:$B$7,MATCH(C1522,[1]HubMaster!$A$2:$A$7,0)),"Unknown")</f>
        <v>South</v>
      </c>
      <c r="E1522" s="2" t="str">
        <f>PROPER(TRIM(SUBSTITUTE([1]RawShipmentData!D1539,"  "," ")))</f>
        <v>Xpressbees</v>
      </c>
      <c r="F1522" s="2" t="str">
        <f>PROPER(TRIM([1]RawShipmentData!E1539))</f>
        <v>Air</v>
      </c>
      <c r="G1522" s="2" t="str">
        <f>PROPER(TRIM(SUBSTITUTE([1]RawShipmentData!F1539,"  "," ")))</f>
        <v>Automotive Parts</v>
      </c>
      <c r="H1522" s="2" t="str">
        <f>PROPER(TRIM([1]RawShipmentData!G1539))</f>
        <v>North</v>
      </c>
      <c r="I1522" s="2" t="str">
        <f t="shared" si="115"/>
        <v>Yes</v>
      </c>
      <c r="J1522" s="2">
        <f>IFERROR(VALUE(TRIM(SUBSTITUTE(UPPER([1]RawShipmentData!I1522),"KG",""))),"")</f>
        <v>13</v>
      </c>
      <c r="K1522" s="2">
        <f>VALUE(SUBSTITUTE(SUBSTITUTE(SUBSTITUTE(TRIM([1]RawShipmentData!J1539),"₹",""),"Rs",""),",",""))</f>
        <v>1186</v>
      </c>
      <c r="L1522" s="2">
        <f>[1]RawShipmentData!K1539</f>
        <v>4</v>
      </c>
      <c r="M1522" s="3">
        <f>IF(TRIM([1]RawShipmentData!L1539)="","",IF(ISNUMBER(SEARCH("/",TRIM([1]RawShipmentData!L1539))),DATE(VALUE(RIGHT(TRIM([1]RawShipmentData!L1539),4)),VALUE(MID(TRIM([1]RawShipmentData!L1539),FIND("/",TRIM([1]RawShipmentData!L1539))+1,2)),VALUE(LEFT(TRIM([1]RawShipmentData!L1539),FIND("/",TRIM([1]RawShipmentData!L1539))-1))),DATEVALUE(TRIM([1]RawShipmentData!L1539))))</f>
        <v>45303</v>
      </c>
      <c r="N1522" s="2">
        <f t="shared" si="116"/>
        <v>5</v>
      </c>
      <c r="O1522" s="2">
        <f t="shared" si="117"/>
        <v>1</v>
      </c>
      <c r="P1522" s="2" t="str">
        <f t="shared" si="118"/>
        <v>Late</v>
      </c>
      <c r="Q1522" s="2" t="str">
        <f>PROPER(SUBSTITUTE(TRIM([1]RawShipmentData!M1539)," ","-"))</f>
        <v>Delayed</v>
      </c>
      <c r="R1522" s="4">
        <f t="shared" si="119"/>
        <v>91.230769230769226</v>
      </c>
      <c r="S1522" s="2">
        <f>[1]RawShipmentData!N1539</f>
        <v>2</v>
      </c>
      <c r="T1522" s="2" t="str">
        <f>IF(OR(UPPER(TRIM([1]RawShipmentData!O1539))="YES",UPPER(TRIM([1]RawShipmentData!O1539))="Y"),"Yes","No")</f>
        <v>No</v>
      </c>
    </row>
    <row r="1523" spans="1:20" x14ac:dyDescent="0.25">
      <c r="A1523" s="2" t="str">
        <f>[1]RawShipmentData!A1540</f>
        <v>SHP-100908</v>
      </c>
      <c r="B1523" s="3">
        <f>IF(ISNUMBER(SEARCH("/",TRIM([1]RawShipmentData!B1540))),DATE(VALUE(RIGHT(TRIM([1]RawShipmentData!B1540),4)),VALUE(MID(TRIM([1]RawShipmentData!B1540),FIND("/",TRIM([1]RawShipmentData!B1540))+1,2)),VALUE(LEFT(TRIM([1]RawShipmentData!B1540),FIND("/",TRIM([1]RawShipmentData!B1540))-1))),DATEVALUE(TRIM([1]RawShipmentData!B1540)))</f>
        <v>45349</v>
      </c>
      <c r="C1523" s="2" t="str">
        <f>PROPER(TRIM([1]RawShipmentData!C1540))</f>
        <v>Kolkata</v>
      </c>
      <c r="D1523" s="2" t="str">
        <f>IFERROR(INDEX([1]HubMaster!$B$2:$B$7,MATCH(C1523,[1]HubMaster!$A$2:$A$7,0)),"Unknown")</f>
        <v>East</v>
      </c>
      <c r="E1523" s="2" t="str">
        <f>PROPER(TRIM(SUBSTITUTE([1]RawShipmentData!D1540,"  "," ")))</f>
        <v>Dtdc</v>
      </c>
      <c r="F1523" s="2" t="str">
        <f>PROPER(TRIM([1]RawShipmentData!E1540))</f>
        <v>Air</v>
      </c>
      <c r="G1523" s="2" t="str">
        <f>PROPER(TRIM(SUBSTITUTE([1]RawShipmentData!F1540,"  "," ")))</f>
        <v>Furniture</v>
      </c>
      <c r="H1523" s="2" t="str">
        <f>PROPER(TRIM([1]RawShipmentData!G1540))</f>
        <v>South</v>
      </c>
      <c r="I1523" s="2" t="str">
        <f t="shared" si="115"/>
        <v>Yes</v>
      </c>
      <c r="J1523" s="2">
        <f>IFERROR(VALUE(TRIM(SUBSTITUTE(UPPER([1]RawShipmentData!I1523),"KG",""))),"")</f>
        <v>58.4</v>
      </c>
      <c r="K1523" s="2">
        <f>VALUE(SUBSTITUTE(SUBSTITUTE(SUBSTITUTE(TRIM([1]RawShipmentData!J1540),"₹",""),"Rs",""),",",""))</f>
        <v>1281</v>
      </c>
      <c r="L1523" s="2">
        <f>[1]RawShipmentData!K1540</f>
        <v>4</v>
      </c>
      <c r="M1523" s="3">
        <f>IF(TRIM([1]RawShipmentData!L1540)="","",IF(ISNUMBER(SEARCH("/",TRIM([1]RawShipmentData!L1540))),DATE(VALUE(RIGHT(TRIM([1]RawShipmentData!L1540),4)),VALUE(MID(TRIM([1]RawShipmentData!L1540),FIND("/",TRIM([1]RawShipmentData!L1540))+1,2)),VALUE(LEFT(TRIM([1]RawShipmentData!L1540),FIND("/",TRIM([1]RawShipmentData!L1540))-1))),DATEVALUE(TRIM([1]RawShipmentData!L1540))))</f>
        <v>45353</v>
      </c>
      <c r="N1523" s="2">
        <f t="shared" si="116"/>
        <v>4</v>
      </c>
      <c r="O1523" s="2">
        <f t="shared" si="117"/>
        <v>0</v>
      </c>
      <c r="P1523" s="2" t="str">
        <f t="shared" si="118"/>
        <v>On Time</v>
      </c>
      <c r="Q1523" s="2" t="str">
        <f>PROPER(SUBSTITUTE(TRIM([1]RawShipmentData!M1540)," ","-"))</f>
        <v>Delivered</v>
      </c>
      <c r="R1523" s="4">
        <f t="shared" si="119"/>
        <v>21.934931506849317</v>
      </c>
      <c r="S1523" s="2">
        <f>[1]RawShipmentData!N1540</f>
        <v>5</v>
      </c>
      <c r="T1523" s="2" t="str">
        <f>IF(OR(UPPER(TRIM([1]RawShipmentData!O1540))="YES",UPPER(TRIM([1]RawShipmentData!O1540))="Y"),"Yes","No")</f>
        <v>No</v>
      </c>
    </row>
    <row r="1524" spans="1:20" x14ac:dyDescent="0.25">
      <c r="A1524" s="2" t="str">
        <f>[1]RawShipmentData!A1541</f>
        <v>SHP-100813</v>
      </c>
      <c r="B1524" s="3">
        <f>IF(ISNUMBER(SEARCH("/",TRIM([1]RawShipmentData!B1541))),DATE(VALUE(RIGHT(TRIM([1]RawShipmentData!B1541),4)),VALUE(MID(TRIM([1]RawShipmentData!B1541),FIND("/",TRIM([1]RawShipmentData!B1541))+1,2)),VALUE(LEFT(TRIM([1]RawShipmentData!B1541),FIND("/",TRIM([1]RawShipmentData!B1541))-1))),DATEVALUE(TRIM([1]RawShipmentData!B1541)))</f>
        <v>45431</v>
      </c>
      <c r="C1524" s="2" t="str">
        <f>PROPER(TRIM([1]RawShipmentData!C1541))</f>
        <v>Chennai</v>
      </c>
      <c r="D1524" s="2" t="str">
        <f>IFERROR(INDEX([1]HubMaster!$B$2:$B$7,MATCH(C1524,[1]HubMaster!$A$2:$A$7,0)),"Unknown")</f>
        <v>South</v>
      </c>
      <c r="E1524" s="2" t="str">
        <f>PROPER(TRIM(SUBSTITUTE([1]RawShipmentData!D1541,"  "," ")))</f>
        <v>Ecom Express</v>
      </c>
      <c r="F1524" s="2" t="str">
        <f>PROPER(TRIM([1]RawShipmentData!E1541))</f>
        <v>Road</v>
      </c>
      <c r="G1524" s="2" t="str">
        <f>PROPER(TRIM(SUBSTITUTE([1]RawShipmentData!F1541,"  "," ")))</f>
        <v>Automotive Parts</v>
      </c>
      <c r="H1524" s="2" t="str">
        <f>PROPER(TRIM([1]RawShipmentData!G1541))</f>
        <v>East</v>
      </c>
      <c r="I1524" s="2" t="str">
        <f t="shared" si="115"/>
        <v>Yes</v>
      </c>
      <c r="J1524" s="2">
        <f>IFERROR(VALUE(TRIM(SUBSTITUTE(UPPER([1]RawShipmentData!I1524),"KG",""))),"")</f>
        <v>0.9</v>
      </c>
      <c r="K1524" s="2">
        <f>VALUE(SUBSTITUTE(SUBSTITUTE(SUBSTITUTE(TRIM([1]RawShipmentData!J1541),"₹",""),"Rs",""),",",""))</f>
        <v>366</v>
      </c>
      <c r="L1524" s="2">
        <f>[1]RawShipmentData!K1541</f>
        <v>8</v>
      </c>
      <c r="M1524" s="3">
        <f>IF(TRIM([1]RawShipmentData!L1541)="","",IF(ISNUMBER(SEARCH("/",TRIM([1]RawShipmentData!L1541))),DATE(VALUE(RIGHT(TRIM([1]RawShipmentData!L1541),4)),VALUE(MID(TRIM([1]RawShipmentData!L1541),FIND("/",TRIM([1]RawShipmentData!L1541))+1,2)),VALUE(LEFT(TRIM([1]RawShipmentData!L1541),FIND("/",TRIM([1]RawShipmentData!L1541))-1))),DATEVALUE(TRIM([1]RawShipmentData!L1541))))</f>
        <v>45438</v>
      </c>
      <c r="N1524" s="2">
        <f t="shared" si="116"/>
        <v>7</v>
      </c>
      <c r="O1524" s="2">
        <f t="shared" si="117"/>
        <v>-1</v>
      </c>
      <c r="P1524" s="2" t="str">
        <f t="shared" si="118"/>
        <v>On Time</v>
      </c>
      <c r="Q1524" s="2" t="str">
        <f>PROPER(SUBSTITUTE(TRIM([1]RawShipmentData!M1541)," ","-"))</f>
        <v>Returned</v>
      </c>
      <c r="R1524" s="4">
        <f t="shared" si="119"/>
        <v>406.66666666666663</v>
      </c>
      <c r="S1524" s="2">
        <f>[1]RawShipmentData!N1541</f>
        <v>0</v>
      </c>
      <c r="T1524" s="2" t="str">
        <f>IF(OR(UPPER(TRIM([1]RawShipmentData!O1541))="YES",UPPER(TRIM([1]RawShipmentData!O1541))="Y"),"Yes","No")</f>
        <v>Yes</v>
      </c>
    </row>
    <row r="1525" spans="1:20" x14ac:dyDescent="0.25">
      <c r="A1525" s="2" t="str">
        <f>[1]RawShipmentData!A1542</f>
        <v>SHP-100047</v>
      </c>
      <c r="B1525" s="3">
        <f>IF(ISNUMBER(SEARCH("/",TRIM([1]RawShipmentData!B1542))),DATE(VALUE(RIGHT(TRIM([1]RawShipmentData!B1542),4)),VALUE(MID(TRIM([1]RawShipmentData!B1542),FIND("/",TRIM([1]RawShipmentData!B1542))+1,2)),VALUE(LEFT(TRIM([1]RawShipmentData!B1542),FIND("/",TRIM([1]RawShipmentData!B1542))-1))),DATEVALUE(TRIM([1]RawShipmentData!B1542)))</f>
        <v>45369</v>
      </c>
      <c r="C1525" s="2" t="str">
        <f>PROPER(TRIM([1]RawShipmentData!C1542))</f>
        <v>Chennai</v>
      </c>
      <c r="D1525" s="2" t="str">
        <f>IFERROR(INDEX([1]HubMaster!$B$2:$B$7,MATCH(C1525,[1]HubMaster!$A$2:$A$7,0)),"Unknown")</f>
        <v>South</v>
      </c>
      <c r="E1525" s="2" t="str">
        <f>PROPER(TRIM(SUBSTITUTE([1]RawShipmentData!D1542,"  "," ")))</f>
        <v>Delhivery</v>
      </c>
      <c r="F1525" s="2" t="str">
        <f>PROPER(TRIM([1]RawShipmentData!E1542))</f>
        <v>Surface</v>
      </c>
      <c r="G1525" s="2" t="str">
        <f>PROPER(TRIM(SUBSTITUTE([1]RawShipmentData!F1542,"  "," ")))</f>
        <v>Grocery &amp; Fmcg</v>
      </c>
      <c r="H1525" s="2" t="str">
        <f>PROPER(TRIM([1]RawShipmentData!G1542))</f>
        <v>West</v>
      </c>
      <c r="I1525" s="2" t="str">
        <f t="shared" si="115"/>
        <v>Yes</v>
      </c>
      <c r="J1525" s="2">
        <f>IFERROR(VALUE(TRIM(SUBSTITUTE(UPPER([1]RawShipmentData!I1525),"KG",""))),"")</f>
        <v>14.8</v>
      </c>
      <c r="K1525" s="2">
        <f>VALUE(SUBSTITUTE(SUBSTITUTE(SUBSTITUTE(TRIM([1]RawShipmentData!J1542),"₹",""),"Rs",""),",",""))</f>
        <v>223</v>
      </c>
      <c r="L1525" s="2">
        <f>[1]RawShipmentData!K1542</f>
        <v>6</v>
      </c>
      <c r="M1525" s="3">
        <f>IF(TRIM([1]RawShipmentData!L1542)="","",IF(ISNUMBER(SEARCH("/",TRIM([1]RawShipmentData!L1542))),DATE(VALUE(RIGHT(TRIM([1]RawShipmentData!L1542),4)),VALUE(MID(TRIM([1]RawShipmentData!L1542),FIND("/",TRIM([1]RawShipmentData!L1542))+1,2)),VALUE(LEFT(TRIM([1]RawShipmentData!L1542),FIND("/",TRIM([1]RawShipmentData!L1542))-1))),DATEVALUE(TRIM([1]RawShipmentData!L1542))))</f>
        <v>45374</v>
      </c>
      <c r="N1525" s="2">
        <f t="shared" si="116"/>
        <v>5</v>
      </c>
      <c r="O1525" s="2">
        <f t="shared" si="117"/>
        <v>-1</v>
      </c>
      <c r="P1525" s="2" t="str">
        <f t="shared" si="118"/>
        <v>On Time</v>
      </c>
      <c r="Q1525" s="2" t="str">
        <f>PROPER(SUBSTITUTE(TRIM([1]RawShipmentData!M1542)," ","-"))</f>
        <v>Delivered</v>
      </c>
      <c r="R1525" s="4">
        <f t="shared" si="119"/>
        <v>15.067567567567567</v>
      </c>
      <c r="S1525" s="2">
        <f>[1]RawShipmentData!N1542</f>
        <v>4</v>
      </c>
      <c r="T1525" s="2" t="str">
        <f>IF(OR(UPPER(TRIM([1]RawShipmentData!O1542))="YES",UPPER(TRIM([1]RawShipmentData!O1542))="Y"),"Yes","No")</f>
        <v>No</v>
      </c>
    </row>
    <row r="1526" spans="1:20" x14ac:dyDescent="0.25">
      <c r="A1526" s="2" t="str">
        <f>[1]RawShipmentData!A1543</f>
        <v>SHP-100262</v>
      </c>
      <c r="B1526" s="3">
        <f>IF(ISNUMBER(SEARCH("/",TRIM([1]RawShipmentData!B1543))),DATE(VALUE(RIGHT(TRIM([1]RawShipmentData!B1543),4)),VALUE(MID(TRIM([1]RawShipmentData!B1543),FIND("/",TRIM([1]RawShipmentData!B1543))+1,2)),VALUE(LEFT(TRIM([1]RawShipmentData!B1543),FIND("/",TRIM([1]RawShipmentData!B1543))-1))),DATEVALUE(TRIM([1]RawShipmentData!B1543)))</f>
        <v>45327</v>
      </c>
      <c r="C1526" s="2" t="str">
        <f>PROPER(TRIM([1]RawShipmentData!C1543))</f>
        <v>Bengaluru</v>
      </c>
      <c r="D1526" s="2" t="str">
        <f>IFERROR(INDEX([1]HubMaster!$B$2:$B$7,MATCH(C1526,[1]HubMaster!$A$2:$A$7,0)),"Unknown")</f>
        <v>South</v>
      </c>
      <c r="E1526" s="2" t="str">
        <f>PROPER(TRIM(SUBSTITUTE([1]RawShipmentData!D1543,"  "," ")))</f>
        <v>Bluedart</v>
      </c>
      <c r="F1526" s="2" t="str">
        <f>PROPER(TRIM([1]RawShipmentData!E1543))</f>
        <v>Air</v>
      </c>
      <c r="G1526" s="2" t="str">
        <f>PROPER(TRIM(SUBSTITUTE([1]RawShipmentData!F1543,"  "," ")))</f>
        <v>Apparel</v>
      </c>
      <c r="H1526" s="2" t="str">
        <f>PROPER(TRIM([1]RawShipmentData!G1543))</f>
        <v>East</v>
      </c>
      <c r="I1526" s="2" t="str">
        <f t="shared" si="115"/>
        <v>Yes</v>
      </c>
      <c r="J1526" s="2">
        <f>IFERROR(VALUE(TRIM(SUBSTITUTE(UPPER([1]RawShipmentData!I1526),"KG",""))),"")</f>
        <v>2.8</v>
      </c>
      <c r="K1526" s="2">
        <f>VALUE(SUBSTITUTE(SUBSTITUTE(SUBSTITUTE(TRIM([1]RawShipmentData!J1543),"₹",""),"Rs",""),",",""))</f>
        <v>372</v>
      </c>
      <c r="L1526" s="2">
        <f>[1]RawShipmentData!K1543</f>
        <v>4</v>
      </c>
      <c r="M1526" s="3">
        <f>IF(TRIM([1]RawShipmentData!L1543)="","",IF(ISNUMBER(SEARCH("/",TRIM([1]RawShipmentData!L1543))),DATE(VALUE(RIGHT(TRIM([1]RawShipmentData!L1543),4)),VALUE(MID(TRIM([1]RawShipmentData!L1543),FIND("/",TRIM([1]RawShipmentData!L1543))+1,2)),VALUE(LEFT(TRIM([1]RawShipmentData!L1543),FIND("/",TRIM([1]RawShipmentData!L1543))-1))),DATEVALUE(TRIM([1]RawShipmentData!L1543))))</f>
        <v>45330</v>
      </c>
      <c r="N1526" s="2">
        <f t="shared" si="116"/>
        <v>3</v>
      </c>
      <c r="O1526" s="2">
        <f t="shared" si="117"/>
        <v>-1</v>
      </c>
      <c r="P1526" s="2" t="str">
        <f t="shared" si="118"/>
        <v>On Time</v>
      </c>
      <c r="Q1526" s="2" t="str">
        <f>PROPER(SUBSTITUTE(TRIM([1]RawShipmentData!M1543)," ","-"))</f>
        <v>Delivered</v>
      </c>
      <c r="R1526" s="4">
        <f t="shared" si="119"/>
        <v>132.85714285714286</v>
      </c>
      <c r="S1526" s="2">
        <f>[1]RawShipmentData!N1543</f>
        <v>5</v>
      </c>
      <c r="T1526" s="2" t="str">
        <f>IF(OR(UPPER(TRIM([1]RawShipmentData!O1543))="YES",UPPER(TRIM([1]RawShipmentData!O1543))="Y"),"Yes","No")</f>
        <v>Yes</v>
      </c>
    </row>
    <row r="1527" spans="1:20" x14ac:dyDescent="0.25">
      <c r="A1527" s="2" t="str">
        <f>[1]RawShipmentData!A1544</f>
        <v>SHP-100650</v>
      </c>
      <c r="B1527" s="3">
        <f>IF(ISNUMBER(SEARCH("/",TRIM([1]RawShipmentData!B1544))),DATE(VALUE(RIGHT(TRIM([1]RawShipmentData!B1544),4)),VALUE(MID(TRIM([1]RawShipmentData!B1544),FIND("/",TRIM([1]RawShipmentData!B1544))+1,2)),VALUE(LEFT(TRIM([1]RawShipmentData!B1544),FIND("/",TRIM([1]RawShipmentData!B1544))-1))),DATEVALUE(TRIM([1]RawShipmentData!B1544)))</f>
        <v>45368</v>
      </c>
      <c r="C1527" s="2" t="str">
        <f>PROPER(TRIM([1]RawShipmentData!C1544))</f>
        <v>Kolkata</v>
      </c>
      <c r="D1527" s="2" t="str">
        <f>IFERROR(INDEX([1]HubMaster!$B$2:$B$7,MATCH(C1527,[1]HubMaster!$A$2:$A$7,0)),"Unknown")</f>
        <v>East</v>
      </c>
      <c r="E1527" s="2" t="str">
        <f>PROPER(TRIM(SUBSTITUTE([1]RawShipmentData!D1544,"  "," ")))</f>
        <v>Delhivery</v>
      </c>
      <c r="F1527" s="2" t="str">
        <f>PROPER(TRIM([1]RawShipmentData!E1544))</f>
        <v>Surface</v>
      </c>
      <c r="G1527" s="2" t="str">
        <f>PROPER(TRIM(SUBSTITUTE([1]RawShipmentData!F1544,"  "," ")))</f>
        <v>Pharma</v>
      </c>
      <c r="H1527" s="2" t="str">
        <f>PROPER(TRIM([1]RawShipmentData!G1544))</f>
        <v>East</v>
      </c>
      <c r="I1527" s="2" t="str">
        <f t="shared" si="115"/>
        <v>No</v>
      </c>
      <c r="J1527" s="2">
        <f>IFERROR(VALUE(TRIM(SUBSTITUTE(UPPER([1]RawShipmentData!I1527),"KG",""))),"")</f>
        <v>14.6</v>
      </c>
      <c r="K1527" s="2">
        <f>VALUE(SUBSTITUTE(SUBSTITUTE(SUBSTITUTE(TRIM([1]RawShipmentData!J1544),"₹",""),"Rs",""),",",""))</f>
        <v>80</v>
      </c>
      <c r="L1527" s="2">
        <f>[1]RawShipmentData!K1544</f>
        <v>4</v>
      </c>
      <c r="M1527" s="3">
        <f>IF(TRIM([1]RawShipmentData!L1544)="","",IF(ISNUMBER(SEARCH("/",TRIM([1]RawShipmentData!L1544))),DATE(VALUE(RIGHT(TRIM([1]RawShipmentData!L1544),4)),VALUE(MID(TRIM([1]RawShipmentData!L1544),FIND("/",TRIM([1]RawShipmentData!L1544))+1,2)),VALUE(LEFT(TRIM([1]RawShipmentData!L1544),FIND("/",TRIM([1]RawShipmentData!L1544))-1))),DATEVALUE(TRIM([1]RawShipmentData!L1544))))</f>
        <v>45378</v>
      </c>
      <c r="N1527" s="2">
        <f t="shared" si="116"/>
        <v>10</v>
      </c>
      <c r="O1527" s="2">
        <f t="shared" si="117"/>
        <v>6</v>
      </c>
      <c r="P1527" s="2" t="str">
        <f t="shared" si="118"/>
        <v>Late</v>
      </c>
      <c r="Q1527" s="2" t="str">
        <f>PROPER(SUBSTITUTE(TRIM([1]RawShipmentData!M1544)," ","-"))</f>
        <v>Delayed</v>
      </c>
      <c r="R1527" s="4">
        <f t="shared" si="119"/>
        <v>5.4794520547945202</v>
      </c>
      <c r="S1527" s="2">
        <f>[1]RawShipmentData!N1544</f>
        <v>1</v>
      </c>
      <c r="T1527" s="2" t="str">
        <f>IF(OR(UPPER(TRIM([1]RawShipmentData!O1544))="YES",UPPER(TRIM([1]RawShipmentData!O1544))="Y"),"Yes","No")</f>
        <v>Yes</v>
      </c>
    </row>
    <row r="1528" spans="1:20" x14ac:dyDescent="0.25">
      <c r="A1528" s="2" t="str">
        <f>[1]RawShipmentData!A1545</f>
        <v>SHP-101052</v>
      </c>
      <c r="B1528" s="3">
        <f>IF(ISNUMBER(SEARCH("/",TRIM([1]RawShipmentData!B1545))),DATE(VALUE(RIGHT(TRIM([1]RawShipmentData!B1545),4)),VALUE(MID(TRIM([1]RawShipmentData!B1545),FIND("/",TRIM([1]RawShipmentData!B1545))+1,2)),VALUE(LEFT(TRIM([1]RawShipmentData!B1545),FIND("/",TRIM([1]RawShipmentData!B1545))-1))),DATEVALUE(TRIM([1]RawShipmentData!B1545)))</f>
        <v>45296</v>
      </c>
      <c r="C1528" s="2" t="str">
        <f>PROPER(TRIM([1]RawShipmentData!C1545))</f>
        <v>Bengaluru</v>
      </c>
      <c r="D1528" s="2" t="str">
        <f>IFERROR(INDEX([1]HubMaster!$B$2:$B$7,MATCH(C1528,[1]HubMaster!$A$2:$A$7,0)),"Unknown")</f>
        <v>South</v>
      </c>
      <c r="E1528" s="2" t="str">
        <f>PROPER(TRIM(SUBSTITUTE([1]RawShipmentData!D1545,"  "," ")))</f>
        <v>Delhivery</v>
      </c>
      <c r="F1528" s="2" t="str">
        <f>PROPER(TRIM([1]RawShipmentData!E1545))</f>
        <v>Surface</v>
      </c>
      <c r="G1528" s="2" t="str">
        <f>PROPER(TRIM(SUBSTITUTE([1]RawShipmentData!F1545,"  "," ")))</f>
        <v>Electronics</v>
      </c>
      <c r="H1528" s="2" t="str">
        <f>PROPER(TRIM([1]RawShipmentData!G1545))</f>
        <v>South</v>
      </c>
      <c r="I1528" s="2" t="str">
        <f t="shared" si="115"/>
        <v>No</v>
      </c>
      <c r="J1528" s="2">
        <f>IFERROR(VALUE(TRIM(SUBSTITUTE(UPPER([1]RawShipmentData!I1528),"KG",""))),"")</f>
        <v>17.600000000000001</v>
      </c>
      <c r="K1528" s="2">
        <f>VALUE(SUBSTITUTE(SUBSTITUTE(SUBSTITUTE(TRIM([1]RawShipmentData!J1545),"₹",""),"Rs",""),",",""))</f>
        <v>112</v>
      </c>
      <c r="L1528" s="2">
        <f>[1]RawShipmentData!K1545</f>
        <v>4</v>
      </c>
      <c r="M1528" s="3">
        <f>IF(TRIM([1]RawShipmentData!L1545)="","",IF(ISNUMBER(SEARCH("/",TRIM([1]RawShipmentData!L1545))),DATE(VALUE(RIGHT(TRIM([1]RawShipmentData!L1545),4)),VALUE(MID(TRIM([1]RawShipmentData!L1545),FIND("/",TRIM([1]RawShipmentData!L1545))+1,2)),VALUE(LEFT(TRIM([1]RawShipmentData!L1545),FIND("/",TRIM([1]RawShipmentData!L1545))-1))),DATEVALUE(TRIM([1]RawShipmentData!L1545))))</f>
        <v>45303</v>
      </c>
      <c r="N1528" s="2">
        <f t="shared" si="116"/>
        <v>7</v>
      </c>
      <c r="O1528" s="2">
        <f t="shared" si="117"/>
        <v>3</v>
      </c>
      <c r="P1528" s="2" t="str">
        <f t="shared" si="118"/>
        <v>Late</v>
      </c>
      <c r="Q1528" s="2" t="str">
        <f>PROPER(SUBSTITUTE(TRIM([1]RawShipmentData!M1545)," ","-"))</f>
        <v>Delayed</v>
      </c>
      <c r="R1528" s="4">
        <f t="shared" si="119"/>
        <v>6.3636363636363633</v>
      </c>
      <c r="S1528" s="2">
        <f>[1]RawShipmentData!N1545</f>
        <v>2</v>
      </c>
      <c r="T1528" s="2" t="str">
        <f>IF(OR(UPPER(TRIM([1]RawShipmentData!O1545))="YES",UPPER(TRIM([1]RawShipmentData!O1545))="Y"),"Yes","No")</f>
        <v>Yes</v>
      </c>
    </row>
    <row r="1529" spans="1:20" x14ac:dyDescent="0.25">
      <c r="A1529" s="2" t="str">
        <f>[1]RawShipmentData!A1546</f>
        <v>SHP-100123</v>
      </c>
      <c r="B1529" s="3">
        <f>IF(ISNUMBER(SEARCH("/",TRIM([1]RawShipmentData!B1546))),DATE(VALUE(RIGHT(TRIM([1]RawShipmentData!B1546),4)),VALUE(MID(TRIM([1]RawShipmentData!B1546),FIND("/",TRIM([1]RawShipmentData!B1546))+1,2)),VALUE(LEFT(TRIM([1]RawShipmentData!B1546),FIND("/",TRIM([1]RawShipmentData!B1546))-1))),DATEVALUE(TRIM([1]RawShipmentData!B1546)))</f>
        <v>45419</v>
      </c>
      <c r="C1529" s="2" t="str">
        <f>PROPER(TRIM([1]RawShipmentData!C1546))</f>
        <v>Kolkata</v>
      </c>
      <c r="D1529" s="2" t="str">
        <f>IFERROR(INDEX([1]HubMaster!$B$2:$B$7,MATCH(C1529,[1]HubMaster!$A$2:$A$7,0)),"Unknown")</f>
        <v>East</v>
      </c>
      <c r="E1529" s="2" t="str">
        <f>PROPER(TRIM(SUBSTITUTE([1]RawShipmentData!D1546,"  "," ")))</f>
        <v>Xpressbees</v>
      </c>
      <c r="F1529" s="2" t="str">
        <f>PROPER(TRIM([1]RawShipmentData!E1546))</f>
        <v>Road</v>
      </c>
      <c r="G1529" s="2" t="str">
        <f>PROPER(TRIM(SUBSTITUTE([1]RawShipmentData!F1546,"  "," ")))</f>
        <v>Pharma</v>
      </c>
      <c r="H1529" s="2" t="str">
        <f>PROPER(TRIM([1]RawShipmentData!G1546))</f>
        <v>West</v>
      </c>
      <c r="I1529" s="2" t="str">
        <f t="shared" si="115"/>
        <v>Yes</v>
      </c>
      <c r="J1529" s="2">
        <f>IFERROR(VALUE(TRIM(SUBSTITUTE(UPPER([1]RawShipmentData!I1529),"KG",""))),"")</f>
        <v>1.2</v>
      </c>
      <c r="K1529" s="2">
        <f>VALUE(SUBSTITUTE(SUBSTITUTE(SUBSTITUTE(TRIM([1]RawShipmentData!J1546),"₹",""),"Rs",""),",",""))</f>
        <v>218</v>
      </c>
      <c r="L1529" s="2">
        <f>[1]RawShipmentData!K1546</f>
        <v>8</v>
      </c>
      <c r="M1529" s="3">
        <f>IF(TRIM([1]RawShipmentData!L1546)="","",IF(ISNUMBER(SEARCH("/",TRIM([1]RawShipmentData!L1546))),DATE(VALUE(RIGHT(TRIM([1]RawShipmentData!L1546),4)),VALUE(MID(TRIM([1]RawShipmentData!L1546),FIND("/",TRIM([1]RawShipmentData!L1546))+1,2)),VALUE(LEFT(TRIM([1]RawShipmentData!L1546),FIND("/",TRIM([1]RawShipmentData!L1546))-1))),DATEVALUE(TRIM([1]RawShipmentData!L1546))))</f>
        <v>45428</v>
      </c>
      <c r="N1529" s="2">
        <f t="shared" si="116"/>
        <v>9</v>
      </c>
      <c r="O1529" s="2">
        <f t="shared" si="117"/>
        <v>1</v>
      </c>
      <c r="P1529" s="2" t="str">
        <f t="shared" si="118"/>
        <v>Late</v>
      </c>
      <c r="Q1529" s="2" t="str">
        <f>PROPER(SUBSTITUTE(TRIM([1]RawShipmentData!M1546)," ","-"))</f>
        <v>Damaged</v>
      </c>
      <c r="R1529" s="4">
        <f t="shared" si="119"/>
        <v>181.66666666666669</v>
      </c>
      <c r="S1529" s="2">
        <f>[1]RawShipmentData!N1546</f>
        <v>0</v>
      </c>
      <c r="T1529" s="2" t="str">
        <f>IF(OR(UPPER(TRIM([1]RawShipmentData!O1546))="YES",UPPER(TRIM([1]RawShipmentData!O1546))="Y"),"Yes","No")</f>
        <v>No</v>
      </c>
    </row>
    <row r="1530" spans="1:20" x14ac:dyDescent="0.25">
      <c r="A1530" s="2" t="str">
        <f>[1]RawShipmentData!A1547</f>
        <v>SHP-100816</v>
      </c>
      <c r="B1530" s="3">
        <f>IF(ISNUMBER(SEARCH("/",TRIM([1]RawShipmentData!B1547))),DATE(VALUE(RIGHT(TRIM([1]RawShipmentData!B1547),4)),VALUE(MID(TRIM([1]RawShipmentData!B1547),FIND("/",TRIM([1]RawShipmentData!B1547))+1,2)),VALUE(LEFT(TRIM([1]RawShipmentData!B1547),FIND("/",TRIM([1]RawShipmentData!B1547))-1))),DATEVALUE(TRIM([1]RawShipmentData!B1547)))</f>
        <v>45388</v>
      </c>
      <c r="C1530" s="2" t="str">
        <f>PROPER(TRIM([1]RawShipmentData!C1547))</f>
        <v>Mumbai</v>
      </c>
      <c r="D1530" s="2" t="str">
        <f>IFERROR(INDEX([1]HubMaster!$B$2:$B$7,MATCH(C1530,[1]HubMaster!$A$2:$A$7,0)),"Unknown")</f>
        <v>West</v>
      </c>
      <c r="E1530" s="2" t="str">
        <f>PROPER(TRIM(SUBSTITUTE([1]RawShipmentData!D1547,"  "," ")))</f>
        <v>Ecom Express</v>
      </c>
      <c r="F1530" s="2" t="str">
        <f>PROPER(TRIM([1]RawShipmentData!E1547))</f>
        <v>Air</v>
      </c>
      <c r="G1530" s="2" t="str">
        <f>PROPER(TRIM(SUBSTITUTE([1]RawShipmentData!F1547,"  "," ")))</f>
        <v>Grocery &amp; Fmcg</v>
      </c>
      <c r="H1530" s="2" t="str">
        <f>PROPER(TRIM([1]RawShipmentData!G1547))</f>
        <v>West</v>
      </c>
      <c r="I1530" s="2" t="str">
        <f t="shared" si="115"/>
        <v>No</v>
      </c>
      <c r="J1530" s="2">
        <f>IFERROR(VALUE(TRIM(SUBSTITUTE(UPPER([1]RawShipmentData!I1530),"KG",""))),"")</f>
        <v>1.4</v>
      </c>
      <c r="K1530" s="2">
        <f>VALUE(SUBSTITUTE(SUBSTITUTE(SUBSTITUTE(TRIM([1]RawShipmentData!J1547),"₹",""),"Rs",""),",",""))</f>
        <v>159</v>
      </c>
      <c r="L1530" s="2">
        <f>[1]RawShipmentData!K1547</f>
        <v>2</v>
      </c>
      <c r="M1530" s="3">
        <f>IF(TRIM([1]RawShipmentData!L1547)="","",IF(ISNUMBER(SEARCH("/",TRIM([1]RawShipmentData!L1547))),DATE(VALUE(RIGHT(TRIM([1]RawShipmentData!L1547),4)),VALUE(MID(TRIM([1]RawShipmentData!L1547),FIND("/",TRIM([1]RawShipmentData!L1547))+1,2)),VALUE(LEFT(TRIM([1]RawShipmentData!L1547),FIND("/",TRIM([1]RawShipmentData!L1547))-1))),DATEVALUE(TRIM([1]RawShipmentData!L1547))))</f>
        <v>45390</v>
      </c>
      <c r="N1530" s="2">
        <f t="shared" si="116"/>
        <v>2</v>
      </c>
      <c r="O1530" s="2">
        <f t="shared" si="117"/>
        <v>0</v>
      </c>
      <c r="P1530" s="2" t="str">
        <f t="shared" si="118"/>
        <v>On Time</v>
      </c>
      <c r="Q1530" s="2" t="str">
        <f>PROPER(SUBSTITUTE(TRIM([1]RawShipmentData!M1547)," ","-"))</f>
        <v>Delivered</v>
      </c>
      <c r="R1530" s="4">
        <f t="shared" si="119"/>
        <v>113.57142857142858</v>
      </c>
      <c r="S1530" s="2">
        <f>[1]RawShipmentData!N1547</f>
        <v>5</v>
      </c>
      <c r="T1530" s="2" t="str">
        <f>IF(OR(UPPER(TRIM([1]RawShipmentData!O1547))="YES",UPPER(TRIM([1]RawShipmentData!O1547))="Y"),"Yes","No")</f>
        <v>No</v>
      </c>
    </row>
    <row r="1531" spans="1:20" x14ac:dyDescent="0.25">
      <c r="A1531" s="2" t="str">
        <f>[1]RawShipmentData!A1548</f>
        <v>SHP-101430</v>
      </c>
      <c r="B1531" s="3">
        <f>IF(ISNUMBER(SEARCH("/",TRIM([1]RawShipmentData!B1548))),DATE(VALUE(RIGHT(TRIM([1]RawShipmentData!B1548),4)),VALUE(MID(TRIM([1]RawShipmentData!B1548),FIND("/",TRIM([1]RawShipmentData!B1548))+1,2)),VALUE(LEFT(TRIM([1]RawShipmentData!B1548),FIND("/",TRIM([1]RawShipmentData!B1548))-1))),DATEVALUE(TRIM([1]RawShipmentData!B1548)))</f>
        <v>45304</v>
      </c>
      <c r="C1531" s="2" t="str">
        <f>PROPER(TRIM([1]RawShipmentData!C1548))</f>
        <v>Bengaluru</v>
      </c>
      <c r="D1531" s="2" t="str">
        <f>IFERROR(INDEX([1]HubMaster!$B$2:$B$7,MATCH(C1531,[1]HubMaster!$A$2:$A$7,0)),"Unknown")</f>
        <v>South</v>
      </c>
      <c r="E1531" s="2" t="str">
        <f>PROPER(TRIM(SUBSTITUTE([1]RawShipmentData!D1548,"  "," ")))</f>
        <v>Bluedart</v>
      </c>
      <c r="F1531" s="2" t="str">
        <f>PROPER(TRIM([1]RawShipmentData!E1548))</f>
        <v>Road</v>
      </c>
      <c r="G1531" s="2" t="str">
        <f>PROPER(TRIM(SUBSTITUTE([1]RawShipmentData!F1548,"  "," ")))</f>
        <v>Pharma</v>
      </c>
      <c r="H1531" s="2" t="str">
        <f>PROPER(TRIM([1]RawShipmentData!G1548))</f>
        <v>South</v>
      </c>
      <c r="I1531" s="2" t="str">
        <f t="shared" si="115"/>
        <v>No</v>
      </c>
      <c r="J1531" s="2">
        <f>IFERROR(VALUE(TRIM(SUBSTITUTE(UPPER([1]RawShipmentData!I1531),"KG",""))),"")</f>
        <v>69.599999999999994</v>
      </c>
      <c r="K1531" s="2">
        <f>VALUE(SUBSTITUTE(SUBSTITUTE(SUBSTITUTE(TRIM([1]RawShipmentData!J1548),"₹",""),"Rs",""),",",""))</f>
        <v>80</v>
      </c>
      <c r="L1531" s="2">
        <f>[1]RawShipmentData!K1548</f>
        <v>6</v>
      </c>
      <c r="M1531" s="3">
        <f>IF(TRIM([1]RawShipmentData!L1548)="","",IF(ISNUMBER(SEARCH("/",TRIM([1]RawShipmentData!L1548))),DATE(VALUE(RIGHT(TRIM([1]RawShipmentData!L1548),4)),VALUE(MID(TRIM([1]RawShipmentData!L1548),FIND("/",TRIM([1]RawShipmentData!L1548))+1,2)),VALUE(LEFT(TRIM([1]RawShipmentData!L1548),FIND("/",TRIM([1]RawShipmentData!L1548))-1))),DATEVALUE(TRIM([1]RawShipmentData!L1548))))</f>
        <v>45310</v>
      </c>
      <c r="N1531" s="2">
        <f t="shared" si="116"/>
        <v>6</v>
      </c>
      <c r="O1531" s="2">
        <f t="shared" si="117"/>
        <v>0</v>
      </c>
      <c r="P1531" s="2" t="str">
        <f t="shared" si="118"/>
        <v>On Time</v>
      </c>
      <c r="Q1531" s="2" t="str">
        <f>PROPER(SUBSTITUTE(TRIM([1]RawShipmentData!M1548)," ","-"))</f>
        <v>Delivered</v>
      </c>
      <c r="R1531" s="4">
        <f t="shared" si="119"/>
        <v>1.149425287356322</v>
      </c>
      <c r="S1531" s="2">
        <f>[1]RawShipmentData!N1548</f>
        <v>3</v>
      </c>
      <c r="T1531" s="2" t="str">
        <f>IF(OR(UPPER(TRIM([1]RawShipmentData!O1548))="YES",UPPER(TRIM([1]RawShipmentData!O1548))="Y"),"Yes","No")</f>
        <v>Yes</v>
      </c>
    </row>
    <row r="1532" spans="1:20" x14ac:dyDescent="0.25">
      <c r="A1532" s="2" t="str">
        <f>[1]RawShipmentData!A1549</f>
        <v>SHP-100889</v>
      </c>
      <c r="B1532" s="3">
        <f>IF(ISNUMBER(SEARCH("/",TRIM([1]RawShipmentData!B1549))),DATE(VALUE(RIGHT(TRIM([1]RawShipmentData!B1549),4)),VALUE(MID(TRIM([1]RawShipmentData!B1549),FIND("/",TRIM([1]RawShipmentData!B1549))+1,2)),VALUE(LEFT(TRIM([1]RawShipmentData!B1549),FIND("/",TRIM([1]RawShipmentData!B1549))-1))),DATEVALUE(TRIM([1]RawShipmentData!B1549)))</f>
        <v>45435</v>
      </c>
      <c r="C1532" s="2" t="str">
        <f>PROPER(TRIM([1]RawShipmentData!C1549))</f>
        <v>Chennai</v>
      </c>
      <c r="D1532" s="2" t="str">
        <f>IFERROR(INDEX([1]HubMaster!$B$2:$B$7,MATCH(C1532,[1]HubMaster!$A$2:$A$7,0)),"Unknown")</f>
        <v>South</v>
      </c>
      <c r="E1532" s="2" t="str">
        <f>PROPER(TRIM(SUBSTITUTE([1]RawShipmentData!D1549,"  "," ")))</f>
        <v>Blue Dart</v>
      </c>
      <c r="F1532" s="2" t="str">
        <f>PROPER(TRIM([1]RawShipmentData!E1549))</f>
        <v>Surface</v>
      </c>
      <c r="G1532" s="2" t="str">
        <f>PROPER(TRIM(SUBSTITUTE([1]RawShipmentData!F1549,"  "," ")))</f>
        <v>Furniture</v>
      </c>
      <c r="H1532" s="2" t="str">
        <f>PROPER(TRIM([1]RawShipmentData!G1549))</f>
        <v>West</v>
      </c>
      <c r="I1532" s="2" t="str">
        <f t="shared" si="115"/>
        <v>Yes</v>
      </c>
      <c r="J1532" s="2">
        <f>IFERROR(VALUE(TRIM(SUBSTITUTE(UPPER([1]RawShipmentData!I1532),"KG",""))),"")</f>
        <v>47.3</v>
      </c>
      <c r="K1532" s="2">
        <f>VALUE(SUBSTITUTE(SUBSTITUTE(SUBSTITUTE(TRIM([1]RawShipmentData!J1549),"₹",""),"Rs",""),",",""))</f>
        <v>1626</v>
      </c>
      <c r="L1532" s="2">
        <f>[1]RawShipmentData!K1549</f>
        <v>6</v>
      </c>
      <c r="M1532" s="3">
        <f>IF(TRIM([1]RawShipmentData!L1549)="","",IF(ISNUMBER(SEARCH("/",TRIM([1]RawShipmentData!L1549))),DATE(VALUE(RIGHT(TRIM([1]RawShipmentData!L1549),4)),VALUE(MID(TRIM([1]RawShipmentData!L1549),FIND("/",TRIM([1]RawShipmentData!L1549))+1,2)),VALUE(LEFT(TRIM([1]RawShipmentData!L1549),FIND("/",TRIM([1]RawShipmentData!L1549))-1))),DATEVALUE(TRIM([1]RawShipmentData!L1549))))</f>
        <v>45441</v>
      </c>
      <c r="N1532" s="2">
        <f t="shared" si="116"/>
        <v>6</v>
      </c>
      <c r="O1532" s="2">
        <f t="shared" si="117"/>
        <v>0</v>
      </c>
      <c r="P1532" s="2" t="str">
        <f t="shared" si="118"/>
        <v>On Time</v>
      </c>
      <c r="Q1532" s="2" t="str">
        <f>PROPER(SUBSTITUTE(TRIM([1]RawShipmentData!M1549)," ","-"))</f>
        <v>Delivered</v>
      </c>
      <c r="R1532" s="4">
        <f t="shared" si="119"/>
        <v>34.376321353065542</v>
      </c>
      <c r="S1532" s="2">
        <f>[1]RawShipmentData!N1549</f>
        <v>4</v>
      </c>
      <c r="T1532" s="2" t="str">
        <f>IF(OR(UPPER(TRIM([1]RawShipmentData!O1549))="YES",UPPER(TRIM([1]RawShipmentData!O1549))="Y"),"Yes","No")</f>
        <v>No</v>
      </c>
    </row>
    <row r="1533" spans="1:20" x14ac:dyDescent="0.25">
      <c r="A1533" s="2" t="str">
        <f>[1]RawShipmentData!A1550</f>
        <v>SHP-101348</v>
      </c>
      <c r="B1533" s="3">
        <f>IF(ISNUMBER(SEARCH("/",TRIM([1]RawShipmentData!B1550))),DATE(VALUE(RIGHT(TRIM([1]RawShipmentData!B1550),4)),VALUE(MID(TRIM([1]RawShipmentData!B1550),FIND("/",TRIM([1]RawShipmentData!B1550))+1,2)),VALUE(LEFT(TRIM([1]RawShipmentData!B1550),FIND("/",TRIM([1]RawShipmentData!B1550))-1))),DATEVALUE(TRIM([1]RawShipmentData!B1550)))</f>
        <v>45458</v>
      </c>
      <c r="C1533" s="2" t="str">
        <f>PROPER(TRIM([1]RawShipmentData!C1550))</f>
        <v>Hyderabad</v>
      </c>
      <c r="D1533" s="2" t="str">
        <f>IFERROR(INDEX([1]HubMaster!$B$2:$B$7,MATCH(C1533,[1]HubMaster!$A$2:$A$7,0)),"Unknown")</f>
        <v>West</v>
      </c>
      <c r="E1533" s="2" t="str">
        <f>PROPER(TRIM(SUBSTITUTE([1]RawShipmentData!D1550,"  "," ")))</f>
        <v>Dtdc</v>
      </c>
      <c r="F1533" s="2" t="str">
        <f>PROPER(TRIM([1]RawShipmentData!E1550))</f>
        <v>Road</v>
      </c>
      <c r="G1533" s="2" t="str">
        <f>PROPER(TRIM(SUBSTITUTE([1]RawShipmentData!F1550,"  "," ")))</f>
        <v>Automotive Parts</v>
      </c>
      <c r="H1533" s="2" t="str">
        <f>PROPER(TRIM([1]RawShipmentData!G1550))</f>
        <v>West</v>
      </c>
      <c r="I1533" s="2" t="str">
        <f t="shared" si="115"/>
        <v>No</v>
      </c>
      <c r="J1533" s="2">
        <f>IFERROR(VALUE(TRIM(SUBSTITUTE(UPPER([1]RawShipmentData!I1533),"KG",""))),"")</f>
        <v>7.8</v>
      </c>
      <c r="K1533" s="2">
        <f>VALUE(SUBSTITUTE(SUBSTITUTE(SUBSTITUTE(TRIM([1]RawShipmentData!J1550),"₹",""),"Rs",""),",",""))</f>
        <v>310</v>
      </c>
      <c r="L1533" s="2">
        <f>[1]RawShipmentData!K1550</f>
        <v>6</v>
      </c>
      <c r="M1533" s="3">
        <f>IF(TRIM([1]RawShipmentData!L1550)="","",IF(ISNUMBER(SEARCH("/",TRIM([1]RawShipmentData!L1550))),DATE(VALUE(RIGHT(TRIM([1]RawShipmentData!L1550),4)),VALUE(MID(TRIM([1]RawShipmentData!L1550),FIND("/",TRIM([1]RawShipmentData!L1550))+1,2)),VALUE(LEFT(TRIM([1]RawShipmentData!L1550),FIND("/",TRIM([1]RawShipmentData!L1550))-1))),DATEVALUE(TRIM([1]RawShipmentData!L1550))))</f>
        <v>45463</v>
      </c>
      <c r="N1533" s="2">
        <f t="shared" si="116"/>
        <v>5</v>
      </c>
      <c r="O1533" s="2">
        <f t="shared" si="117"/>
        <v>-1</v>
      </c>
      <c r="P1533" s="2" t="str">
        <f t="shared" si="118"/>
        <v>On Time</v>
      </c>
      <c r="Q1533" s="2" t="str">
        <f>PROPER(SUBSTITUTE(TRIM([1]RawShipmentData!M1550)," ","-"))</f>
        <v>Delivered</v>
      </c>
      <c r="R1533" s="4">
        <f t="shared" si="119"/>
        <v>39.743589743589745</v>
      </c>
      <c r="S1533" s="2">
        <f>[1]RawShipmentData!N1550</f>
        <v>5</v>
      </c>
      <c r="T1533" s="2" t="str">
        <f>IF(OR(UPPER(TRIM([1]RawShipmentData!O1550))="YES",UPPER(TRIM([1]RawShipmentData!O1550))="Y"),"Yes","No")</f>
        <v>No</v>
      </c>
    </row>
    <row r="1534" spans="1:20" x14ac:dyDescent="0.25">
      <c r="A1534" s="2" t="str">
        <f>[1]RawShipmentData!A1551</f>
        <v>SHP-101225</v>
      </c>
      <c r="B1534" s="3">
        <f>IF(ISNUMBER(SEARCH("/",TRIM([1]RawShipmentData!B1551))),DATE(VALUE(RIGHT(TRIM([1]RawShipmentData!B1551),4)),VALUE(MID(TRIM([1]RawShipmentData!B1551),FIND("/",TRIM([1]RawShipmentData!B1551))+1,2)),VALUE(LEFT(TRIM([1]RawShipmentData!B1551),FIND("/",TRIM([1]RawShipmentData!B1551))-1))),DATEVALUE(TRIM([1]RawShipmentData!B1551)))</f>
        <v>45333</v>
      </c>
      <c r="C1534" s="2" t="str">
        <f>PROPER(TRIM([1]RawShipmentData!C1551))</f>
        <v>Kolkata</v>
      </c>
      <c r="D1534" s="2" t="str">
        <f>IFERROR(INDEX([1]HubMaster!$B$2:$B$7,MATCH(C1534,[1]HubMaster!$A$2:$A$7,0)),"Unknown")</f>
        <v>East</v>
      </c>
      <c r="E1534" s="2" t="str">
        <f>PROPER(TRIM(SUBSTITUTE([1]RawShipmentData!D1551,"  "," ")))</f>
        <v>Dtdc</v>
      </c>
      <c r="F1534" s="2" t="str">
        <f>PROPER(TRIM([1]RawShipmentData!E1551))</f>
        <v>Air</v>
      </c>
      <c r="G1534" s="2" t="str">
        <f>PROPER(TRIM(SUBSTITUTE([1]RawShipmentData!F1551,"  "," ")))</f>
        <v>Automotive Parts</v>
      </c>
      <c r="H1534" s="2" t="str">
        <f>PROPER(TRIM([1]RawShipmentData!G1551))</f>
        <v>East</v>
      </c>
      <c r="I1534" s="2" t="str">
        <f t="shared" si="115"/>
        <v>No</v>
      </c>
      <c r="J1534" s="2">
        <f>IFERROR(VALUE(TRIM(SUBSTITUTE(UPPER([1]RawShipmentData!I1534),"KG",""))),"")</f>
        <v>10.4</v>
      </c>
      <c r="K1534" s="2">
        <f>VALUE(SUBSTITUTE(SUBSTITUTE(SUBSTITUTE(TRIM([1]RawShipmentData!J1551),"₹",""),"Rs",""),",",""))</f>
        <v>1785</v>
      </c>
      <c r="L1534" s="2">
        <f>[1]RawShipmentData!K1551</f>
        <v>2</v>
      </c>
      <c r="M1534" s="3">
        <f>IF(TRIM([1]RawShipmentData!L1551)="","",IF(ISNUMBER(SEARCH("/",TRIM([1]RawShipmentData!L1551))),DATE(VALUE(RIGHT(TRIM([1]RawShipmentData!L1551),4)),VALUE(MID(TRIM([1]RawShipmentData!L1551),FIND("/",TRIM([1]RawShipmentData!L1551))+1,2)),VALUE(LEFT(TRIM([1]RawShipmentData!L1551),FIND("/",TRIM([1]RawShipmentData!L1551))-1))),DATEVALUE(TRIM([1]RawShipmentData!L1551))))</f>
        <v>45335</v>
      </c>
      <c r="N1534" s="2">
        <f t="shared" si="116"/>
        <v>2</v>
      </c>
      <c r="O1534" s="2">
        <f t="shared" si="117"/>
        <v>0</v>
      </c>
      <c r="P1534" s="2" t="str">
        <f t="shared" si="118"/>
        <v>On Time</v>
      </c>
      <c r="Q1534" s="2" t="str">
        <f>PROPER(SUBSTITUTE(TRIM([1]RawShipmentData!M1551)," ","-"))</f>
        <v>Delivered</v>
      </c>
      <c r="R1534" s="4">
        <f t="shared" si="119"/>
        <v>171.63461538461539</v>
      </c>
      <c r="S1534" s="2">
        <f>[1]RawShipmentData!N1551</f>
        <v>2</v>
      </c>
      <c r="T1534" s="2" t="str">
        <f>IF(OR(UPPER(TRIM([1]RawShipmentData!O1551))="YES",UPPER(TRIM([1]RawShipmentData!O1551))="Y"),"Yes","No")</f>
        <v>No</v>
      </c>
    </row>
    <row r="1535" spans="1:20" x14ac:dyDescent="0.25">
      <c r="A1535" s="2" t="str">
        <f>[1]RawShipmentData!A1552</f>
        <v>SHP-100602</v>
      </c>
      <c r="B1535" s="3">
        <f>IF(ISNUMBER(SEARCH("/",TRIM([1]RawShipmentData!B1552))),DATE(VALUE(RIGHT(TRIM([1]RawShipmentData!B1552),4)),VALUE(MID(TRIM([1]RawShipmentData!B1552),FIND("/",TRIM([1]RawShipmentData!B1552))+1,2)),VALUE(LEFT(TRIM([1]RawShipmentData!B1552),FIND("/",TRIM([1]RawShipmentData!B1552))-1))),DATEVALUE(TRIM([1]RawShipmentData!B1552)))</f>
        <v>45467</v>
      </c>
      <c r="C1535" s="2" t="str">
        <f>PROPER(TRIM([1]RawShipmentData!C1552))</f>
        <v>Kolkata</v>
      </c>
      <c r="D1535" s="2" t="str">
        <f>IFERROR(INDEX([1]HubMaster!$B$2:$B$7,MATCH(C1535,[1]HubMaster!$A$2:$A$7,0)),"Unknown")</f>
        <v>East</v>
      </c>
      <c r="E1535" s="2" t="str">
        <f>PROPER(TRIM(SUBSTITUTE([1]RawShipmentData!D1552,"  "," ")))</f>
        <v>Bluedart</v>
      </c>
      <c r="F1535" s="2" t="str">
        <f>PROPER(TRIM([1]RawShipmentData!E1552))</f>
        <v>Surface</v>
      </c>
      <c r="G1535" s="2" t="str">
        <f>PROPER(TRIM(SUBSTITUTE([1]RawShipmentData!F1552,"  "," ")))</f>
        <v>Electronics</v>
      </c>
      <c r="H1535" s="2" t="str">
        <f>PROPER(TRIM([1]RawShipmentData!G1552))</f>
        <v>East</v>
      </c>
      <c r="I1535" s="2" t="str">
        <f t="shared" si="115"/>
        <v>No</v>
      </c>
      <c r="J1535" s="2">
        <f>IFERROR(VALUE(TRIM(SUBSTITUTE(UPPER([1]RawShipmentData!I1535),"KG",""))),"")</f>
        <v>3.7</v>
      </c>
      <c r="K1535" s="2">
        <f>VALUE(SUBSTITUTE(SUBSTITUTE(SUBSTITUTE(TRIM([1]RawShipmentData!J1552),"₹",""),"Rs",""),",",""))</f>
        <v>212</v>
      </c>
      <c r="L1535" s="2">
        <f>[1]RawShipmentData!K1552</f>
        <v>4</v>
      </c>
      <c r="M1535" s="3">
        <f>IF(TRIM([1]RawShipmentData!L1552)="","",IF(ISNUMBER(SEARCH("/",TRIM([1]RawShipmentData!L1552))),DATE(VALUE(RIGHT(TRIM([1]RawShipmentData!L1552),4)),VALUE(MID(TRIM([1]RawShipmentData!L1552),FIND("/",TRIM([1]RawShipmentData!L1552))+1,2)),VALUE(LEFT(TRIM([1]RawShipmentData!L1552),FIND("/",TRIM([1]RawShipmentData!L1552))-1))),DATEVALUE(TRIM([1]RawShipmentData!L1552))))</f>
        <v>45471</v>
      </c>
      <c r="N1535" s="2">
        <f t="shared" si="116"/>
        <v>4</v>
      </c>
      <c r="O1535" s="2">
        <f t="shared" si="117"/>
        <v>0</v>
      </c>
      <c r="P1535" s="2" t="str">
        <f t="shared" si="118"/>
        <v>On Time</v>
      </c>
      <c r="Q1535" s="2" t="str">
        <f>PROPER(SUBSTITUTE(TRIM([1]RawShipmentData!M1552)," ","-"))</f>
        <v>Delivered</v>
      </c>
      <c r="R1535" s="4">
        <f t="shared" si="119"/>
        <v>57.297297297297291</v>
      </c>
      <c r="S1535" s="2">
        <f>[1]RawShipmentData!N1552</f>
        <v>5</v>
      </c>
      <c r="T1535" s="2" t="str">
        <f>IF(OR(UPPER(TRIM([1]RawShipmentData!O1552))="YES",UPPER(TRIM([1]RawShipmentData!O1552))="Y"),"Yes","No")</f>
        <v>No</v>
      </c>
    </row>
    <row r="1536" spans="1:20" x14ac:dyDescent="0.25">
      <c r="A1536" s="2" t="str">
        <f>[1]RawShipmentData!A1553</f>
        <v>SHP-100693</v>
      </c>
      <c r="B1536" s="3">
        <f>IF(ISNUMBER(SEARCH("/",TRIM([1]RawShipmentData!B1553))),DATE(VALUE(RIGHT(TRIM([1]RawShipmentData!B1553),4)),VALUE(MID(TRIM([1]RawShipmentData!B1553),FIND("/",TRIM([1]RawShipmentData!B1553))+1,2)),VALUE(LEFT(TRIM([1]RawShipmentData!B1553),FIND("/",TRIM([1]RawShipmentData!B1553))-1))),DATEVALUE(TRIM([1]RawShipmentData!B1553)))</f>
        <v>45469</v>
      </c>
      <c r="C1536" s="2" t="str">
        <f>PROPER(TRIM([1]RawShipmentData!C1553))</f>
        <v>Bengaluru</v>
      </c>
      <c r="D1536" s="2" t="str">
        <f>IFERROR(INDEX([1]HubMaster!$B$2:$B$7,MATCH(C1536,[1]HubMaster!$A$2:$A$7,0)),"Unknown")</f>
        <v>South</v>
      </c>
      <c r="E1536" s="2" t="str">
        <f>PROPER(TRIM(SUBSTITUTE([1]RawShipmentData!D1553,"  "," ")))</f>
        <v>Ecom Express</v>
      </c>
      <c r="F1536" s="2" t="str">
        <f>PROPER(TRIM([1]RawShipmentData!E1553))</f>
        <v>Surface</v>
      </c>
      <c r="G1536" s="2" t="str">
        <f>PROPER(TRIM(SUBSTITUTE([1]RawShipmentData!F1553,"  "," ")))</f>
        <v>Automotive Parts</v>
      </c>
      <c r="H1536" s="2" t="str">
        <f>PROPER(TRIM([1]RawShipmentData!G1553))</f>
        <v>East</v>
      </c>
      <c r="I1536" s="2" t="str">
        <f t="shared" si="115"/>
        <v>Yes</v>
      </c>
      <c r="J1536" s="2">
        <f>IFERROR(VALUE(TRIM(SUBSTITUTE(UPPER([1]RawShipmentData!I1536),"KG",""))),"")</f>
        <v>33.6</v>
      </c>
      <c r="K1536" s="2">
        <f>VALUE(SUBSTITUTE(SUBSTITUTE(SUBSTITUTE(TRIM([1]RawShipmentData!J1553),"₹",""),"Rs",""),",",""))</f>
        <v>268</v>
      </c>
      <c r="L1536" s="2">
        <f>[1]RawShipmentData!K1553</f>
        <v>6</v>
      </c>
      <c r="M1536" s="3">
        <f>IF(TRIM([1]RawShipmentData!L1553)="","",IF(ISNUMBER(SEARCH("/",TRIM([1]RawShipmentData!L1553))),DATE(VALUE(RIGHT(TRIM([1]RawShipmentData!L1553),4)),VALUE(MID(TRIM([1]RawShipmentData!L1553),FIND("/",TRIM([1]RawShipmentData!L1553))+1,2)),VALUE(LEFT(TRIM([1]RawShipmentData!L1553),FIND("/",TRIM([1]RawShipmentData!L1553))-1))),DATEVALUE(TRIM([1]RawShipmentData!L1553))))</f>
        <v>45476</v>
      </c>
      <c r="N1536" s="2">
        <f t="shared" si="116"/>
        <v>7</v>
      </c>
      <c r="O1536" s="2">
        <f t="shared" si="117"/>
        <v>1</v>
      </c>
      <c r="P1536" s="2" t="str">
        <f t="shared" si="118"/>
        <v>Late</v>
      </c>
      <c r="Q1536" s="2" t="str">
        <f>PROPER(SUBSTITUTE(TRIM([1]RawShipmentData!M1553)," ","-"))</f>
        <v>Delayed</v>
      </c>
      <c r="R1536" s="4">
        <f t="shared" si="119"/>
        <v>7.9761904761904763</v>
      </c>
      <c r="S1536" s="2">
        <f>[1]RawShipmentData!N1553</f>
        <v>3</v>
      </c>
      <c r="T1536" s="2" t="str">
        <f>IF(OR(UPPER(TRIM([1]RawShipmentData!O1553))="YES",UPPER(TRIM([1]RawShipmentData!O1553))="Y"),"Yes","No")</f>
        <v>No</v>
      </c>
    </row>
    <row r="1537" spans="1:20" x14ac:dyDescent="0.25">
      <c r="A1537" s="2" t="str">
        <f>[1]RawShipmentData!A1554</f>
        <v>SHP-101406</v>
      </c>
      <c r="B1537" s="3">
        <f>IF(ISNUMBER(SEARCH("/",TRIM([1]RawShipmentData!B1554))),DATE(VALUE(RIGHT(TRIM([1]RawShipmentData!B1554),4)),VALUE(MID(TRIM([1]RawShipmentData!B1554),FIND("/",TRIM([1]RawShipmentData!B1554))+1,2)),VALUE(LEFT(TRIM([1]RawShipmentData!B1554),FIND("/",TRIM([1]RawShipmentData!B1554))-1))),DATEVALUE(TRIM([1]RawShipmentData!B1554)))</f>
        <v>45450</v>
      </c>
      <c r="C1537" s="2" t="str">
        <f>PROPER(TRIM([1]RawShipmentData!C1554))</f>
        <v>Bengaluru</v>
      </c>
      <c r="D1537" s="2" t="str">
        <f>IFERROR(INDEX([1]HubMaster!$B$2:$B$7,MATCH(C1537,[1]HubMaster!$A$2:$A$7,0)),"Unknown")</f>
        <v>South</v>
      </c>
      <c r="E1537" s="2" t="str">
        <f>PROPER(TRIM(SUBSTITUTE([1]RawShipmentData!D1554,"  "," ")))</f>
        <v>Bluedart</v>
      </c>
      <c r="F1537" s="2" t="str">
        <f>PROPER(TRIM([1]RawShipmentData!E1554))</f>
        <v>Surface</v>
      </c>
      <c r="G1537" s="2" t="str">
        <f>PROPER(TRIM(SUBSTITUTE([1]RawShipmentData!F1554,"  "," ")))</f>
        <v>Apparel</v>
      </c>
      <c r="H1537" s="2" t="str">
        <f>PROPER(TRIM([1]RawShipmentData!G1554))</f>
        <v>South</v>
      </c>
      <c r="I1537" s="2" t="str">
        <f t="shared" si="115"/>
        <v>No</v>
      </c>
      <c r="J1537" s="2">
        <f>IFERROR(VALUE(TRIM(SUBSTITUTE(UPPER([1]RawShipmentData!I1537),"KG",""))),"")</f>
        <v>15</v>
      </c>
      <c r="K1537" s="2">
        <f>VALUE(SUBSTITUTE(SUBSTITUTE(SUBSTITUTE(TRIM([1]RawShipmentData!J1554),"₹",""),"Rs",""),",",""))</f>
        <v>80</v>
      </c>
      <c r="L1537" s="2">
        <f>[1]RawShipmentData!K1554</f>
        <v>4</v>
      </c>
      <c r="M1537" s="3">
        <f>IF(TRIM([1]RawShipmentData!L1554)="","",IF(ISNUMBER(SEARCH("/",TRIM([1]RawShipmentData!L1554))),DATE(VALUE(RIGHT(TRIM([1]RawShipmentData!L1554),4)),VALUE(MID(TRIM([1]RawShipmentData!L1554),FIND("/",TRIM([1]RawShipmentData!L1554))+1,2)),VALUE(LEFT(TRIM([1]RawShipmentData!L1554),FIND("/",TRIM([1]RawShipmentData!L1554))-1))),DATEVALUE(TRIM([1]RawShipmentData!L1554))))</f>
        <v>45458</v>
      </c>
      <c r="N1537" s="2">
        <f t="shared" si="116"/>
        <v>8</v>
      </c>
      <c r="O1537" s="2">
        <f t="shared" si="117"/>
        <v>4</v>
      </c>
      <c r="P1537" s="2" t="str">
        <f t="shared" si="118"/>
        <v>Late</v>
      </c>
      <c r="Q1537" s="2" t="str">
        <f>PROPER(SUBSTITUTE(TRIM([1]RawShipmentData!M1554)," ","-"))</f>
        <v>Delayed</v>
      </c>
      <c r="R1537" s="4">
        <f t="shared" si="119"/>
        <v>5.333333333333333</v>
      </c>
      <c r="S1537" s="2">
        <f>[1]RawShipmentData!N1554</f>
        <v>3</v>
      </c>
      <c r="T1537" s="2" t="str">
        <f>IF(OR(UPPER(TRIM([1]RawShipmentData!O1554))="YES",UPPER(TRIM([1]RawShipmentData!O1554))="Y"),"Yes","No")</f>
        <v>No</v>
      </c>
    </row>
    <row r="1538" spans="1:20" x14ac:dyDescent="0.25">
      <c r="A1538" s="2" t="str">
        <f>[1]RawShipmentData!A1555</f>
        <v>SHP-101493</v>
      </c>
      <c r="B1538" s="3">
        <f>IF(ISNUMBER(SEARCH("/",TRIM([1]RawShipmentData!B1555))),DATE(VALUE(RIGHT(TRIM([1]RawShipmentData!B1555),4)),VALUE(MID(TRIM([1]RawShipmentData!B1555),FIND("/",TRIM([1]RawShipmentData!B1555))+1,2)),VALUE(LEFT(TRIM([1]RawShipmentData!B1555),FIND("/",TRIM([1]RawShipmentData!B1555))-1))),DATEVALUE(TRIM([1]RawShipmentData!B1555)))</f>
        <v>45465</v>
      </c>
      <c r="C1538" s="2" t="str">
        <f>PROPER(TRIM([1]RawShipmentData!C1555))</f>
        <v>Bengaluru</v>
      </c>
      <c r="D1538" s="2" t="str">
        <f>IFERROR(INDEX([1]HubMaster!$B$2:$B$7,MATCH(C1538,[1]HubMaster!$A$2:$A$7,0)),"Unknown")</f>
        <v>South</v>
      </c>
      <c r="E1538" s="2" t="str">
        <f>PROPER(TRIM(SUBSTITUTE([1]RawShipmentData!D1555,"  "," ")))</f>
        <v>Blue Dart</v>
      </c>
      <c r="F1538" s="2" t="str">
        <f>PROPER(TRIM([1]RawShipmentData!E1555))</f>
        <v>Road</v>
      </c>
      <c r="G1538" s="2" t="str">
        <f>PROPER(TRIM(SUBSTITUTE([1]RawShipmentData!F1555,"  "," ")))</f>
        <v>Apparel</v>
      </c>
      <c r="H1538" s="2" t="str">
        <f>PROPER(TRIM([1]RawShipmentData!G1555))</f>
        <v>East</v>
      </c>
      <c r="I1538" s="2" t="str">
        <f t="shared" ref="I1538:I1601" si="120">IF(D1538=H1538,"No","Yes")</f>
        <v>Yes</v>
      </c>
      <c r="J1538" s="2">
        <f>IFERROR(VALUE(TRIM(SUBSTITUTE(UPPER([1]RawShipmentData!I1538),"KG",""))),"")</f>
        <v>42.2</v>
      </c>
      <c r="K1538" s="2">
        <f>VALUE(SUBSTITUTE(SUBSTITUTE(SUBSTITUTE(TRIM([1]RawShipmentData!J1555),"₹",""),"Rs",""),",",""))</f>
        <v>167</v>
      </c>
      <c r="L1538" s="2">
        <f>[1]RawShipmentData!K1555</f>
        <v>8</v>
      </c>
      <c r="M1538" s="3">
        <f>IF(TRIM([1]RawShipmentData!L1555)="","",IF(ISNUMBER(SEARCH("/",TRIM([1]RawShipmentData!L1555))),DATE(VALUE(RIGHT(TRIM([1]RawShipmentData!L1555),4)),VALUE(MID(TRIM([1]RawShipmentData!L1555),FIND("/",TRIM([1]RawShipmentData!L1555))+1,2)),VALUE(LEFT(TRIM([1]RawShipmentData!L1555),FIND("/",TRIM([1]RawShipmentData!L1555))-1))),DATEVALUE(TRIM([1]RawShipmentData!L1555))))</f>
        <v>45472</v>
      </c>
      <c r="N1538" s="2">
        <f t="shared" ref="N1538:N1601" si="121">IF(M1538="","",M1538-B1538)</f>
        <v>7</v>
      </c>
      <c r="O1538" s="2">
        <f t="shared" ref="O1538:O1601" si="122">IF(N1538="","",N1538-L1538)</f>
        <v>-1</v>
      </c>
      <c r="P1538" s="2" t="str">
        <f t="shared" ref="P1538:P1601" si="123">IF(N1538="","N/A",IF(N1538&lt;=L1538,"On Time","Late"))</f>
        <v>On Time</v>
      </c>
      <c r="Q1538" s="2" t="str">
        <f>PROPER(SUBSTITUTE(TRIM([1]RawShipmentData!M1555)," ","-"))</f>
        <v>Delivered</v>
      </c>
      <c r="R1538" s="4">
        <f t="shared" si="119"/>
        <v>3.9573459715639809</v>
      </c>
      <c r="S1538" s="2">
        <f>[1]RawShipmentData!N1555</f>
        <v>4</v>
      </c>
      <c r="T1538" s="2" t="str">
        <f>IF(OR(UPPER(TRIM([1]RawShipmentData!O1555))="YES",UPPER(TRIM([1]RawShipmentData!O1555))="Y"),"Yes","No")</f>
        <v>Yes</v>
      </c>
    </row>
    <row r="1539" spans="1:20" x14ac:dyDescent="0.25">
      <c r="A1539" s="2" t="str">
        <f>[1]RawShipmentData!A1556</f>
        <v>SHP-100971</v>
      </c>
      <c r="B1539" s="3">
        <f>IF(ISNUMBER(SEARCH("/",TRIM([1]RawShipmentData!B1556))),DATE(VALUE(RIGHT(TRIM([1]RawShipmentData!B1556),4)),VALUE(MID(TRIM([1]RawShipmentData!B1556),FIND("/",TRIM([1]RawShipmentData!B1556))+1,2)),VALUE(LEFT(TRIM([1]RawShipmentData!B1556),FIND("/",TRIM([1]RawShipmentData!B1556))-1))),DATEVALUE(TRIM([1]RawShipmentData!B1556)))</f>
        <v>45436</v>
      </c>
      <c r="C1539" s="2" t="str">
        <f>PROPER(TRIM([1]RawShipmentData!C1556))</f>
        <v>Bengaluru</v>
      </c>
      <c r="D1539" s="2" t="str">
        <f>IFERROR(INDEX([1]HubMaster!$B$2:$B$7,MATCH(C1539,[1]HubMaster!$A$2:$A$7,0)),"Unknown")</f>
        <v>South</v>
      </c>
      <c r="E1539" s="2" t="str">
        <f>PROPER(TRIM(SUBSTITUTE([1]RawShipmentData!D1556,"  "," ")))</f>
        <v>Dtdc</v>
      </c>
      <c r="F1539" s="2" t="str">
        <f>PROPER(TRIM([1]RawShipmentData!E1556))</f>
        <v>Air</v>
      </c>
      <c r="G1539" s="2" t="str">
        <f>PROPER(TRIM(SUBSTITUTE([1]RawShipmentData!F1556,"  "," ")))</f>
        <v>Furniture</v>
      </c>
      <c r="H1539" s="2" t="str">
        <f>PROPER(TRIM([1]RawShipmentData!G1556))</f>
        <v>East</v>
      </c>
      <c r="I1539" s="2" t="str">
        <f t="shared" si="120"/>
        <v>Yes</v>
      </c>
      <c r="J1539" s="2">
        <f>IFERROR(VALUE(TRIM(SUBSTITUTE(UPPER([1]RawShipmentData!I1539),"KG",""))),"")</f>
        <v>22.3</v>
      </c>
      <c r="K1539" s="2">
        <f>VALUE(SUBSTITUTE(SUBSTITUTE(SUBSTITUTE(TRIM([1]RawShipmentData!J1556),"₹",""),"Rs",""),",",""))</f>
        <v>3571</v>
      </c>
      <c r="L1539" s="2">
        <f>[1]RawShipmentData!K1556</f>
        <v>4</v>
      </c>
      <c r="M1539" s="3">
        <f>IF(TRIM([1]RawShipmentData!L1556)="","",IF(ISNUMBER(SEARCH("/",TRIM([1]RawShipmentData!L1556))),DATE(VALUE(RIGHT(TRIM([1]RawShipmentData!L1556),4)),VALUE(MID(TRIM([1]RawShipmentData!L1556),FIND("/",TRIM([1]RawShipmentData!L1556))+1,2)),VALUE(LEFT(TRIM([1]RawShipmentData!L1556),FIND("/",TRIM([1]RawShipmentData!L1556))-1))),DATEVALUE(TRIM([1]RawShipmentData!L1556))))</f>
        <v>45447</v>
      </c>
      <c r="N1539" s="2">
        <f t="shared" si="121"/>
        <v>11</v>
      </c>
      <c r="O1539" s="2">
        <f t="shared" si="122"/>
        <v>7</v>
      </c>
      <c r="P1539" s="2" t="str">
        <f t="shared" si="123"/>
        <v>Late</v>
      </c>
      <c r="Q1539" s="2" t="str">
        <f>PROPER(SUBSTITUTE(TRIM([1]RawShipmentData!M1556)," ","-"))</f>
        <v>Delayed</v>
      </c>
      <c r="R1539" s="4">
        <f t="shared" ref="R1539:R1601" si="124">IFERROR(K1539/J1539,"")</f>
        <v>160.13452914798205</v>
      </c>
      <c r="S1539" s="2">
        <f>[1]RawShipmentData!N1556</f>
        <v>1</v>
      </c>
      <c r="T1539" s="2" t="str">
        <f>IF(OR(UPPER(TRIM([1]RawShipmentData!O1556))="YES",UPPER(TRIM([1]RawShipmentData!O1556))="Y"),"Yes","No")</f>
        <v>No</v>
      </c>
    </row>
    <row r="1540" spans="1:20" x14ac:dyDescent="0.25">
      <c r="A1540" s="2" t="str">
        <f>[1]RawShipmentData!A1557</f>
        <v>SHP-100251</v>
      </c>
      <c r="B1540" s="3">
        <f>IF(ISNUMBER(SEARCH("/",TRIM([1]RawShipmentData!B1557))),DATE(VALUE(RIGHT(TRIM([1]RawShipmentData!B1557),4)),VALUE(MID(TRIM([1]RawShipmentData!B1557),FIND("/",TRIM([1]RawShipmentData!B1557))+1,2)),VALUE(LEFT(TRIM([1]RawShipmentData!B1557),FIND("/",TRIM([1]RawShipmentData!B1557))-1))),DATEVALUE(TRIM([1]RawShipmentData!B1557)))</f>
        <v>45371</v>
      </c>
      <c r="C1540" s="2" t="str">
        <f>PROPER(TRIM([1]RawShipmentData!C1557))</f>
        <v>Chennai</v>
      </c>
      <c r="D1540" s="2" t="str">
        <f>IFERROR(INDEX([1]HubMaster!$B$2:$B$7,MATCH(C1540,[1]HubMaster!$A$2:$A$7,0)),"Unknown")</f>
        <v>South</v>
      </c>
      <c r="E1540" s="2" t="str">
        <f>PROPER(TRIM(SUBSTITUTE([1]RawShipmentData!D1557,"  "," ")))</f>
        <v>Bluedart</v>
      </c>
      <c r="F1540" s="2" t="str">
        <f>PROPER(TRIM([1]RawShipmentData!E1557))</f>
        <v>Surface</v>
      </c>
      <c r="G1540" s="2" t="str">
        <f>PROPER(TRIM(SUBSTITUTE([1]RawShipmentData!F1557,"  "," ")))</f>
        <v>Pharma</v>
      </c>
      <c r="H1540" s="2" t="str">
        <f>PROPER(TRIM([1]RawShipmentData!G1557))</f>
        <v>North</v>
      </c>
      <c r="I1540" s="2" t="str">
        <f t="shared" si="120"/>
        <v>Yes</v>
      </c>
      <c r="J1540" s="2">
        <f>IFERROR(VALUE(TRIM(SUBSTITUTE(UPPER([1]RawShipmentData!I1540),"KG",""))),"")</f>
        <v>24.3</v>
      </c>
      <c r="K1540" s="2">
        <f>VALUE(SUBSTITUTE(SUBSTITUTE(SUBSTITUTE(TRIM([1]RawShipmentData!J1557),"₹",""),"Rs",""),",",""))</f>
        <v>215</v>
      </c>
      <c r="L1540" s="2">
        <f>[1]RawShipmentData!K1557</f>
        <v>6</v>
      </c>
      <c r="M1540" s="3">
        <f>IF(TRIM([1]RawShipmentData!L1557)="","",IF(ISNUMBER(SEARCH("/",TRIM([1]RawShipmentData!L1557))),DATE(VALUE(RIGHT(TRIM([1]RawShipmentData!L1557),4)),VALUE(MID(TRIM([1]RawShipmentData!L1557),FIND("/",TRIM([1]RawShipmentData!L1557))+1,2)),VALUE(LEFT(TRIM([1]RawShipmentData!L1557),FIND("/",TRIM([1]RawShipmentData!L1557))-1))),DATEVALUE(TRIM([1]RawShipmentData!L1557))))</f>
        <v>45376</v>
      </c>
      <c r="N1540" s="2">
        <f t="shared" si="121"/>
        <v>5</v>
      </c>
      <c r="O1540" s="2">
        <f t="shared" si="122"/>
        <v>-1</v>
      </c>
      <c r="P1540" s="2" t="str">
        <f t="shared" si="123"/>
        <v>On Time</v>
      </c>
      <c r="Q1540" s="2" t="str">
        <f>PROPER(SUBSTITUTE(TRIM([1]RawShipmentData!M1557)," ","-"))</f>
        <v>Delivered</v>
      </c>
      <c r="R1540" s="4">
        <f t="shared" si="124"/>
        <v>8.8477366255144023</v>
      </c>
      <c r="S1540" s="2">
        <f>[1]RawShipmentData!N1557</f>
        <v>4</v>
      </c>
      <c r="T1540" s="2" t="str">
        <f>IF(OR(UPPER(TRIM([1]RawShipmentData!O1557))="YES",UPPER(TRIM([1]RawShipmentData!O1557))="Y"),"Yes","No")</f>
        <v>Yes</v>
      </c>
    </row>
    <row r="1541" spans="1:20" x14ac:dyDescent="0.25">
      <c r="A1541" s="2" t="str">
        <f>[1]RawShipmentData!A1558</f>
        <v>SHP-100666</v>
      </c>
      <c r="B1541" s="3">
        <f>IF(ISNUMBER(SEARCH("/",TRIM([1]RawShipmentData!B1558))),DATE(VALUE(RIGHT(TRIM([1]RawShipmentData!B1558),4)),VALUE(MID(TRIM([1]RawShipmentData!B1558),FIND("/",TRIM([1]RawShipmentData!B1558))+1,2)),VALUE(LEFT(TRIM([1]RawShipmentData!B1558),FIND("/",TRIM([1]RawShipmentData!B1558))-1))),DATEVALUE(TRIM([1]RawShipmentData!B1558)))</f>
        <v>45451</v>
      </c>
      <c r="C1541" s="2" t="str">
        <f>PROPER(TRIM([1]RawShipmentData!C1558))</f>
        <v>Hyderabad</v>
      </c>
      <c r="D1541" s="2" t="str">
        <f>IFERROR(INDEX([1]HubMaster!$B$2:$B$7,MATCH(C1541,[1]HubMaster!$A$2:$A$7,0)),"Unknown")</f>
        <v>West</v>
      </c>
      <c r="E1541" s="2" t="str">
        <f>PROPER(TRIM(SUBSTITUTE([1]RawShipmentData!D1558,"  "," ")))</f>
        <v>Ecom Express</v>
      </c>
      <c r="F1541" s="2" t="str">
        <f>PROPER(TRIM([1]RawShipmentData!E1558))</f>
        <v>Road</v>
      </c>
      <c r="G1541" s="2" t="str">
        <f>PROPER(TRIM(SUBSTITUTE([1]RawShipmentData!F1558,"  "," ")))</f>
        <v>Grocery &amp; Fmcg</v>
      </c>
      <c r="H1541" s="2" t="str">
        <f>PROPER(TRIM([1]RawShipmentData!G1558))</f>
        <v>North</v>
      </c>
      <c r="I1541" s="2" t="str">
        <f t="shared" si="120"/>
        <v>Yes</v>
      </c>
      <c r="J1541" s="2">
        <f>IFERROR(VALUE(TRIM(SUBSTITUTE(UPPER([1]RawShipmentData!I1541),"KG",""))),"")</f>
        <v>13.6</v>
      </c>
      <c r="K1541" s="2">
        <f>VALUE(SUBSTITUTE(SUBSTITUTE(SUBSTITUTE(TRIM([1]RawShipmentData!J1558),"₹",""),"Rs",""),",",""))</f>
        <v>442</v>
      </c>
      <c r="L1541" s="2">
        <f>[1]RawShipmentData!K1558</f>
        <v>8</v>
      </c>
      <c r="M1541" s="3">
        <f>IF(TRIM([1]RawShipmentData!L1558)="","",IF(ISNUMBER(SEARCH("/",TRIM([1]RawShipmentData!L1558))),DATE(VALUE(RIGHT(TRIM([1]RawShipmentData!L1558),4)),VALUE(MID(TRIM([1]RawShipmentData!L1558),FIND("/",TRIM([1]RawShipmentData!L1558))+1,2)),VALUE(LEFT(TRIM([1]RawShipmentData!L1558),FIND("/",TRIM([1]RawShipmentData!L1558))-1))),DATEVALUE(TRIM([1]RawShipmentData!L1558))))</f>
        <v>45460</v>
      </c>
      <c r="N1541" s="2">
        <f t="shared" si="121"/>
        <v>9</v>
      </c>
      <c r="O1541" s="2">
        <f t="shared" si="122"/>
        <v>1</v>
      </c>
      <c r="P1541" s="2" t="str">
        <f t="shared" si="123"/>
        <v>Late</v>
      </c>
      <c r="Q1541" s="2" t="str">
        <f>PROPER(SUBSTITUTE(TRIM([1]RawShipmentData!M1558)," ","-"))</f>
        <v>Delayed</v>
      </c>
      <c r="R1541" s="4">
        <f t="shared" si="124"/>
        <v>32.5</v>
      </c>
      <c r="S1541" s="2">
        <f>[1]RawShipmentData!N1558</f>
        <v>2</v>
      </c>
      <c r="T1541" s="2" t="str">
        <f>IF(OR(UPPER(TRIM([1]RawShipmentData!O1558))="YES",UPPER(TRIM([1]RawShipmentData!O1558))="Y"),"Yes","No")</f>
        <v>No</v>
      </c>
    </row>
    <row r="1542" spans="1:20" x14ac:dyDescent="0.25">
      <c r="A1542" s="2" t="str">
        <f>[1]RawShipmentData!A1559</f>
        <v>SHP-100001</v>
      </c>
      <c r="B1542" s="3">
        <f>IF(ISNUMBER(SEARCH("/",TRIM([1]RawShipmentData!B1559))),DATE(VALUE(RIGHT(TRIM([1]RawShipmentData!B1559),4)),VALUE(MID(TRIM([1]RawShipmentData!B1559),FIND("/",TRIM([1]RawShipmentData!B1559))+1,2)),VALUE(LEFT(TRIM([1]RawShipmentData!B1559),FIND("/",TRIM([1]RawShipmentData!B1559))-1))),DATEVALUE(TRIM([1]RawShipmentData!B1559)))</f>
        <v>45373</v>
      </c>
      <c r="C1542" s="2" t="str">
        <f>PROPER(TRIM([1]RawShipmentData!C1559))</f>
        <v>Chennai</v>
      </c>
      <c r="D1542" s="2" t="str">
        <f>IFERROR(INDEX([1]HubMaster!$B$2:$B$7,MATCH(C1542,[1]HubMaster!$A$2:$A$7,0)),"Unknown")</f>
        <v>South</v>
      </c>
      <c r="E1542" s="2" t="str">
        <f>PROPER(TRIM(SUBSTITUTE([1]RawShipmentData!D1559,"  "," ")))</f>
        <v>Blue Dart</v>
      </c>
      <c r="F1542" s="2" t="str">
        <f>PROPER(TRIM([1]RawShipmentData!E1559))</f>
        <v>Surface</v>
      </c>
      <c r="G1542" s="2" t="str">
        <f>PROPER(TRIM(SUBSTITUTE([1]RawShipmentData!F1559,"  "," ")))</f>
        <v>Apparel</v>
      </c>
      <c r="H1542" s="2" t="str">
        <f>PROPER(TRIM([1]RawShipmentData!G1559))</f>
        <v>North</v>
      </c>
      <c r="I1542" s="2" t="str">
        <f t="shared" si="120"/>
        <v>Yes</v>
      </c>
      <c r="J1542" s="2">
        <f>IFERROR(VALUE(TRIM(SUBSTITUTE(UPPER([1]RawShipmentData!I1542),"KG",""))),"")</f>
        <v>3.5</v>
      </c>
      <c r="K1542" s="2">
        <f>VALUE(SUBSTITUTE(SUBSTITUTE(SUBSTITUTE(TRIM([1]RawShipmentData!J1559),"₹",""),"Rs",""),",",""))</f>
        <v>228</v>
      </c>
      <c r="L1542" s="2">
        <f>[1]RawShipmentData!K1559</f>
        <v>6</v>
      </c>
      <c r="M1542" s="3">
        <f>IF(TRIM([1]RawShipmentData!L1559)="","",IF(ISNUMBER(SEARCH("/",TRIM([1]RawShipmentData!L1559))),DATE(VALUE(RIGHT(TRIM([1]RawShipmentData!L1559),4)),VALUE(MID(TRIM([1]RawShipmentData!L1559),FIND("/",TRIM([1]RawShipmentData!L1559))+1,2)),VALUE(LEFT(TRIM([1]RawShipmentData!L1559),FIND("/",TRIM([1]RawShipmentData!L1559))-1))),DATEVALUE(TRIM([1]RawShipmentData!L1559))))</f>
        <v>45380</v>
      </c>
      <c r="N1542" s="2">
        <f t="shared" si="121"/>
        <v>7</v>
      </c>
      <c r="O1542" s="2">
        <f t="shared" si="122"/>
        <v>1</v>
      </c>
      <c r="P1542" s="2" t="str">
        <f t="shared" si="123"/>
        <v>Late</v>
      </c>
      <c r="Q1542" s="2" t="str">
        <f>PROPER(SUBSTITUTE(TRIM([1]RawShipmentData!M1559)," ","-"))</f>
        <v>Delayed</v>
      </c>
      <c r="R1542" s="4">
        <f t="shared" si="124"/>
        <v>65.142857142857139</v>
      </c>
      <c r="S1542" s="2">
        <f>[1]RawShipmentData!N1559</f>
        <v>3</v>
      </c>
      <c r="T1542" s="2" t="str">
        <f>IF(OR(UPPER(TRIM([1]RawShipmentData!O1559))="YES",UPPER(TRIM([1]RawShipmentData!O1559))="Y"),"Yes","No")</f>
        <v>Yes</v>
      </c>
    </row>
    <row r="1543" spans="1:20" x14ac:dyDescent="0.25">
      <c r="A1543" s="2" t="str">
        <f>[1]RawShipmentData!A1560</f>
        <v>SHP-100926</v>
      </c>
      <c r="B1543" s="3">
        <f>IF(ISNUMBER(SEARCH("/",TRIM([1]RawShipmentData!B1560))),DATE(VALUE(RIGHT(TRIM([1]RawShipmentData!B1560),4)),VALUE(MID(TRIM([1]RawShipmentData!B1560),FIND("/",TRIM([1]RawShipmentData!B1560))+1,2)),VALUE(LEFT(TRIM([1]RawShipmentData!B1560),FIND("/",TRIM([1]RawShipmentData!B1560))-1))),DATEVALUE(TRIM([1]RawShipmentData!B1560)))</f>
        <v>45437</v>
      </c>
      <c r="C1543" s="2" t="str">
        <f>PROPER(TRIM([1]RawShipmentData!C1560))</f>
        <v>Mumbai</v>
      </c>
      <c r="D1543" s="2" t="str">
        <f>IFERROR(INDEX([1]HubMaster!$B$2:$B$7,MATCH(C1543,[1]HubMaster!$A$2:$A$7,0)),"Unknown")</f>
        <v>West</v>
      </c>
      <c r="E1543" s="2" t="str">
        <f>PROPER(TRIM(SUBSTITUTE([1]RawShipmentData!D1560,"  "," ")))</f>
        <v>Bluedart</v>
      </c>
      <c r="F1543" s="2" t="str">
        <f>PROPER(TRIM([1]RawShipmentData!E1560))</f>
        <v>Surface</v>
      </c>
      <c r="G1543" s="2" t="str">
        <f>PROPER(TRIM(SUBSTITUTE([1]RawShipmentData!F1560,"  "," ")))</f>
        <v>Apparel</v>
      </c>
      <c r="H1543" s="2" t="str">
        <f>PROPER(TRIM([1]RawShipmentData!G1560))</f>
        <v>North</v>
      </c>
      <c r="I1543" s="2" t="str">
        <f t="shared" si="120"/>
        <v>Yes</v>
      </c>
      <c r="J1543" s="2">
        <f>IFERROR(VALUE(TRIM(SUBSTITUTE(UPPER([1]RawShipmentData!I1543),"KG",""))),"")</f>
        <v>5.5</v>
      </c>
      <c r="K1543" s="2">
        <f>VALUE(SUBSTITUTE(SUBSTITUTE(SUBSTITUTE(TRIM([1]RawShipmentData!J1560),"₹",""),"Rs",""),",",""))</f>
        <v>271</v>
      </c>
      <c r="L1543" s="2">
        <f>[1]RawShipmentData!K1560</f>
        <v>6</v>
      </c>
      <c r="M1543" s="3">
        <f>IF(TRIM([1]RawShipmentData!L1560)="","",IF(ISNUMBER(SEARCH("/",TRIM([1]RawShipmentData!L1560))),DATE(VALUE(RIGHT(TRIM([1]RawShipmentData!L1560),4)),VALUE(MID(TRIM([1]RawShipmentData!L1560),FIND("/",TRIM([1]RawShipmentData!L1560))+1,2)),VALUE(LEFT(TRIM([1]RawShipmentData!L1560),FIND("/",TRIM([1]RawShipmentData!L1560))-1))),DATEVALUE(TRIM([1]RawShipmentData!L1560))))</f>
        <v>45452</v>
      </c>
      <c r="N1543" s="2">
        <f t="shared" si="121"/>
        <v>15</v>
      </c>
      <c r="O1543" s="2">
        <f t="shared" si="122"/>
        <v>9</v>
      </c>
      <c r="P1543" s="2" t="str">
        <f t="shared" si="123"/>
        <v>Late</v>
      </c>
      <c r="Q1543" s="2" t="str">
        <f>PROPER(SUBSTITUTE(TRIM([1]RawShipmentData!M1560)," ","-"))</f>
        <v>Delayed</v>
      </c>
      <c r="R1543" s="4">
        <f t="shared" si="124"/>
        <v>49.272727272727273</v>
      </c>
      <c r="S1543" s="2">
        <f>[1]RawShipmentData!N1560</f>
        <v>2</v>
      </c>
      <c r="T1543" s="2" t="str">
        <f>IF(OR(UPPER(TRIM([1]RawShipmentData!O1560))="YES",UPPER(TRIM([1]RawShipmentData!O1560))="Y"),"Yes","No")</f>
        <v>No</v>
      </c>
    </row>
    <row r="1544" spans="1:20" x14ac:dyDescent="0.25">
      <c r="A1544" s="2" t="str">
        <f>[1]RawShipmentData!A1561</f>
        <v>SHP-100824</v>
      </c>
      <c r="B1544" s="3">
        <f>IF(ISNUMBER(SEARCH("/",TRIM([1]RawShipmentData!B1561))),DATE(VALUE(RIGHT(TRIM([1]RawShipmentData!B1561),4)),VALUE(MID(TRIM([1]RawShipmentData!B1561),FIND("/",TRIM([1]RawShipmentData!B1561))+1,2)),VALUE(LEFT(TRIM([1]RawShipmentData!B1561),FIND("/",TRIM([1]RawShipmentData!B1561))-1))),DATEVALUE(TRIM([1]RawShipmentData!B1561)))</f>
        <v>45428</v>
      </c>
      <c r="C1544" s="2" t="str">
        <f>PROPER(TRIM([1]RawShipmentData!C1561))</f>
        <v>Hyderabad</v>
      </c>
      <c r="D1544" s="2" t="str">
        <f>IFERROR(INDEX([1]HubMaster!$B$2:$B$7,MATCH(C1544,[1]HubMaster!$A$2:$A$7,0)),"Unknown")</f>
        <v>West</v>
      </c>
      <c r="E1544" s="2" t="str">
        <f>PROPER(TRIM(SUBSTITUTE([1]RawShipmentData!D1561,"  "," ")))</f>
        <v>Bluedart</v>
      </c>
      <c r="F1544" s="2" t="str">
        <f>PROPER(TRIM([1]RawShipmentData!E1561))</f>
        <v>Road</v>
      </c>
      <c r="G1544" s="2" t="str">
        <f>PROPER(TRIM(SUBSTITUTE([1]RawShipmentData!F1561,"  "," ")))</f>
        <v>Grocery &amp; Fmcg</v>
      </c>
      <c r="H1544" s="2" t="str">
        <f>PROPER(TRIM([1]RawShipmentData!G1561))</f>
        <v>East</v>
      </c>
      <c r="I1544" s="2" t="str">
        <f t="shared" si="120"/>
        <v>Yes</v>
      </c>
      <c r="J1544" s="2">
        <f>IFERROR(VALUE(TRIM(SUBSTITUTE(UPPER([1]RawShipmentData!I1544),"KG",""))),"")</f>
        <v>1.1000000000000001</v>
      </c>
      <c r="K1544" s="2">
        <f>VALUE(SUBSTITUTE(SUBSTITUTE(SUBSTITUTE(TRIM([1]RawShipmentData!J1561),"₹",""),"Rs",""),",",""))</f>
        <v>455</v>
      </c>
      <c r="L1544" s="2">
        <f>[1]RawShipmentData!K1561</f>
        <v>8</v>
      </c>
      <c r="M1544" s="3">
        <f>IF(TRIM([1]RawShipmentData!L1561)="","",IF(ISNUMBER(SEARCH("/",TRIM([1]RawShipmentData!L1561))),DATE(VALUE(RIGHT(TRIM([1]RawShipmentData!L1561),4)),VALUE(MID(TRIM([1]RawShipmentData!L1561),FIND("/",TRIM([1]RawShipmentData!L1561))+1,2)),VALUE(LEFT(TRIM([1]RawShipmentData!L1561),FIND("/",TRIM([1]RawShipmentData!L1561))-1))),DATEVALUE(TRIM([1]RawShipmentData!L1561))))</f>
        <v>45435</v>
      </c>
      <c r="N1544" s="2">
        <f t="shared" si="121"/>
        <v>7</v>
      </c>
      <c r="O1544" s="2">
        <f t="shared" si="122"/>
        <v>-1</v>
      </c>
      <c r="P1544" s="2" t="str">
        <f t="shared" si="123"/>
        <v>On Time</v>
      </c>
      <c r="Q1544" s="2" t="str">
        <f>PROPER(SUBSTITUTE(TRIM([1]RawShipmentData!M1561)," ","-"))</f>
        <v>Delivered</v>
      </c>
      <c r="R1544" s="4">
        <f t="shared" si="124"/>
        <v>413.63636363636363</v>
      </c>
      <c r="S1544" s="2">
        <f>[1]RawShipmentData!N1561</f>
        <v>4</v>
      </c>
      <c r="T1544" s="2" t="str">
        <f>IF(OR(UPPER(TRIM([1]RawShipmentData!O1561))="YES",UPPER(TRIM([1]RawShipmentData!O1561))="Y"),"Yes","No")</f>
        <v>No</v>
      </c>
    </row>
    <row r="1545" spans="1:20" x14ac:dyDescent="0.25">
      <c r="A1545" s="2" t="str">
        <f>[1]RawShipmentData!A1562</f>
        <v>SHP-100928</v>
      </c>
      <c r="B1545" s="3">
        <f>IF(ISNUMBER(SEARCH("/",TRIM([1]RawShipmentData!B1562))),DATE(VALUE(RIGHT(TRIM([1]RawShipmentData!B1562),4)),VALUE(MID(TRIM([1]RawShipmentData!B1562),FIND("/",TRIM([1]RawShipmentData!B1562))+1,2)),VALUE(LEFT(TRIM([1]RawShipmentData!B1562),FIND("/",TRIM([1]RawShipmentData!B1562))-1))),DATEVALUE(TRIM([1]RawShipmentData!B1562)))</f>
        <v>45470</v>
      </c>
      <c r="C1545" s="2" t="str">
        <f>PROPER(TRIM([1]RawShipmentData!C1562))</f>
        <v>Mumbai</v>
      </c>
      <c r="D1545" s="2" t="str">
        <f>IFERROR(INDEX([1]HubMaster!$B$2:$B$7,MATCH(C1545,[1]HubMaster!$A$2:$A$7,0)),"Unknown")</f>
        <v>West</v>
      </c>
      <c r="E1545" s="2" t="str">
        <f>PROPER(TRIM(SUBSTITUTE([1]RawShipmentData!D1562,"  "," ")))</f>
        <v>Xpress Bees</v>
      </c>
      <c r="F1545" s="2" t="str">
        <f>PROPER(TRIM([1]RawShipmentData!E1562))</f>
        <v>Road</v>
      </c>
      <c r="G1545" s="2" t="str">
        <f>PROPER(TRIM(SUBSTITUTE([1]RawShipmentData!F1562,"  "," ")))</f>
        <v>Apparel</v>
      </c>
      <c r="H1545" s="2" t="str">
        <f>PROPER(TRIM([1]RawShipmentData!G1562))</f>
        <v>West</v>
      </c>
      <c r="I1545" s="2" t="str">
        <f t="shared" si="120"/>
        <v>No</v>
      </c>
      <c r="J1545" s="2">
        <f>IFERROR(VALUE(TRIM(SUBSTITUTE(UPPER([1]RawShipmentData!I1545),"KG",""))),"")</f>
        <v>4.0999999999999996</v>
      </c>
      <c r="K1545" s="2">
        <f>VALUE(SUBSTITUTE(SUBSTITUTE(SUBSTITUTE(TRIM([1]RawShipmentData!J1562),"₹",""),"Rs",""),",",""))</f>
        <v>80</v>
      </c>
      <c r="L1545" s="2">
        <f>[1]RawShipmentData!K1562</f>
        <v>6</v>
      </c>
      <c r="M1545" s="3">
        <f>IF(TRIM([1]RawShipmentData!L1562)="","",IF(ISNUMBER(SEARCH("/",TRIM([1]RawShipmentData!L1562))),DATE(VALUE(RIGHT(TRIM([1]RawShipmentData!L1562),4)),VALUE(MID(TRIM([1]RawShipmentData!L1562),FIND("/",TRIM([1]RawShipmentData!L1562))+1,2)),VALUE(LEFT(TRIM([1]RawShipmentData!L1562),FIND("/",TRIM([1]RawShipmentData!L1562))-1))),DATEVALUE(TRIM([1]RawShipmentData!L1562))))</f>
        <v>45475</v>
      </c>
      <c r="N1545" s="2">
        <f t="shared" si="121"/>
        <v>5</v>
      </c>
      <c r="O1545" s="2">
        <f t="shared" si="122"/>
        <v>-1</v>
      </c>
      <c r="P1545" s="2" t="str">
        <f t="shared" si="123"/>
        <v>On Time</v>
      </c>
      <c r="Q1545" s="2" t="str">
        <f>PROPER(SUBSTITUTE(TRIM([1]RawShipmentData!M1562)," ","-"))</f>
        <v>Delivered</v>
      </c>
      <c r="R1545" s="4">
        <f t="shared" si="124"/>
        <v>19.512195121951223</v>
      </c>
      <c r="S1545" s="2">
        <f>[1]RawShipmentData!N1562</f>
        <v>4</v>
      </c>
      <c r="T1545" s="2" t="str">
        <f>IF(OR(UPPER(TRIM([1]RawShipmentData!O1562))="YES",UPPER(TRIM([1]RawShipmentData!O1562))="Y"),"Yes","No")</f>
        <v>Yes</v>
      </c>
    </row>
    <row r="1546" spans="1:20" x14ac:dyDescent="0.25">
      <c r="A1546" s="2" t="str">
        <f>[1]RawShipmentData!A1563</f>
        <v>SHP-100008</v>
      </c>
      <c r="B1546" s="3">
        <f>IF(ISNUMBER(SEARCH("/",TRIM([1]RawShipmentData!B1563))),DATE(VALUE(RIGHT(TRIM([1]RawShipmentData!B1563),4)),VALUE(MID(TRIM([1]RawShipmentData!B1563),FIND("/",TRIM([1]RawShipmentData!B1563))+1,2)),VALUE(LEFT(TRIM([1]RawShipmentData!B1563),FIND("/",TRIM([1]RawShipmentData!B1563))-1))),DATEVALUE(TRIM([1]RawShipmentData!B1563)))</f>
        <v>45435</v>
      </c>
      <c r="C1546" s="2" t="str">
        <f>PROPER(TRIM([1]RawShipmentData!C1563))</f>
        <v>Mumbai</v>
      </c>
      <c r="D1546" s="2" t="str">
        <f>IFERROR(INDEX([1]HubMaster!$B$2:$B$7,MATCH(C1546,[1]HubMaster!$A$2:$A$7,0)),"Unknown")</f>
        <v>West</v>
      </c>
      <c r="E1546" s="2" t="str">
        <f>PROPER(TRIM(SUBSTITUTE([1]RawShipmentData!D1563,"  "," ")))</f>
        <v>Xpress Bees</v>
      </c>
      <c r="F1546" s="2" t="str">
        <f>PROPER(TRIM([1]RawShipmentData!E1563))</f>
        <v>Road</v>
      </c>
      <c r="G1546" s="2" t="str">
        <f>PROPER(TRIM(SUBSTITUTE([1]RawShipmentData!F1563,"  "," ")))</f>
        <v>Apparel</v>
      </c>
      <c r="H1546" s="2" t="str">
        <f>PROPER(TRIM([1]RawShipmentData!G1563))</f>
        <v>West</v>
      </c>
      <c r="I1546" s="2" t="str">
        <f t="shared" si="120"/>
        <v>No</v>
      </c>
      <c r="J1546" s="2">
        <f>IFERROR(VALUE(TRIM(SUBSTITUTE(UPPER([1]RawShipmentData!I1546),"KG",""))),"")</f>
        <v>2.2000000000000002</v>
      </c>
      <c r="K1546" s="2">
        <f>VALUE(SUBSTITUTE(SUBSTITUTE(SUBSTITUTE(TRIM([1]RawShipmentData!J1563),"₹",""),"Rs",""),",",""))</f>
        <v>98</v>
      </c>
      <c r="L1546" s="2">
        <f>[1]RawShipmentData!K1563</f>
        <v>6</v>
      </c>
      <c r="M1546" s="3">
        <f>IF(TRIM([1]RawShipmentData!L1563)="","",IF(ISNUMBER(SEARCH("/",TRIM([1]RawShipmentData!L1563))),DATE(VALUE(RIGHT(TRIM([1]RawShipmentData!L1563),4)),VALUE(MID(TRIM([1]RawShipmentData!L1563),FIND("/",TRIM([1]RawShipmentData!L1563))+1,2)),VALUE(LEFT(TRIM([1]RawShipmentData!L1563),FIND("/",TRIM([1]RawShipmentData!L1563))-1))),DATEVALUE(TRIM([1]RawShipmentData!L1563))))</f>
        <v>45440</v>
      </c>
      <c r="N1546" s="2">
        <f t="shared" si="121"/>
        <v>5</v>
      </c>
      <c r="O1546" s="2">
        <f t="shared" si="122"/>
        <v>-1</v>
      </c>
      <c r="P1546" s="2" t="str">
        <f t="shared" si="123"/>
        <v>On Time</v>
      </c>
      <c r="Q1546" s="2" t="str">
        <f>PROPER(SUBSTITUTE(TRIM([1]RawShipmentData!M1563)," ","-"))</f>
        <v>Delivered</v>
      </c>
      <c r="R1546" s="4">
        <f t="shared" si="124"/>
        <v>44.54545454545454</v>
      </c>
      <c r="S1546" s="2">
        <f>[1]RawShipmentData!N1563</f>
        <v>5</v>
      </c>
      <c r="T1546" s="2" t="str">
        <f>IF(OR(UPPER(TRIM([1]RawShipmentData!O1563))="YES",UPPER(TRIM([1]RawShipmentData!O1563))="Y"),"Yes","No")</f>
        <v>No</v>
      </c>
    </row>
    <row r="1547" spans="1:20" x14ac:dyDescent="0.25">
      <c r="A1547" s="2" t="str">
        <f>[1]RawShipmentData!A1564</f>
        <v>SHP-100834</v>
      </c>
      <c r="B1547" s="3">
        <f>IF(ISNUMBER(SEARCH("/",TRIM([1]RawShipmentData!B1564))),DATE(VALUE(RIGHT(TRIM([1]RawShipmentData!B1564),4)),VALUE(MID(TRIM([1]RawShipmentData!B1564),FIND("/",TRIM([1]RawShipmentData!B1564))+1,2)),VALUE(LEFT(TRIM([1]RawShipmentData!B1564),FIND("/",TRIM([1]RawShipmentData!B1564))-1))),DATEVALUE(TRIM([1]RawShipmentData!B1564)))</f>
        <v>45366</v>
      </c>
      <c r="C1547" s="2" t="str">
        <f>PROPER(TRIM([1]RawShipmentData!C1564))</f>
        <v>Kolkata</v>
      </c>
      <c r="D1547" s="2" t="str">
        <f>IFERROR(INDEX([1]HubMaster!$B$2:$B$7,MATCH(C1547,[1]HubMaster!$A$2:$A$7,0)),"Unknown")</f>
        <v>East</v>
      </c>
      <c r="E1547" s="2" t="str">
        <f>PROPER(TRIM(SUBSTITUTE([1]RawShipmentData!D1564,"  "," ")))</f>
        <v>Bluedart</v>
      </c>
      <c r="F1547" s="2" t="str">
        <f>PROPER(TRIM([1]RawShipmentData!E1564))</f>
        <v>Road</v>
      </c>
      <c r="G1547" s="2" t="str">
        <f>PROPER(TRIM(SUBSTITUTE([1]RawShipmentData!F1564,"  "," ")))</f>
        <v>Electronics</v>
      </c>
      <c r="H1547" s="2" t="str">
        <f>PROPER(TRIM([1]RawShipmentData!G1564))</f>
        <v>East</v>
      </c>
      <c r="I1547" s="2" t="str">
        <f t="shared" si="120"/>
        <v>No</v>
      </c>
      <c r="J1547" s="2">
        <f>IFERROR(VALUE(TRIM(SUBSTITUTE(UPPER([1]RawShipmentData!I1547),"KG",""))),"")</f>
        <v>4.0999999999999996</v>
      </c>
      <c r="K1547" s="2">
        <f>VALUE(SUBSTITUTE(SUBSTITUTE(SUBSTITUTE(TRIM([1]RawShipmentData!J1564),"₹",""),"Rs",""),",",""))</f>
        <v>159</v>
      </c>
      <c r="L1547" s="2">
        <f>[1]RawShipmentData!K1564</f>
        <v>6</v>
      </c>
      <c r="M1547" s="3">
        <f>IF(TRIM([1]RawShipmentData!L1564)="","",IF(ISNUMBER(SEARCH("/",TRIM([1]RawShipmentData!L1564))),DATE(VALUE(RIGHT(TRIM([1]RawShipmentData!L1564),4)),VALUE(MID(TRIM([1]RawShipmentData!L1564),FIND("/",TRIM([1]RawShipmentData!L1564))+1,2)),VALUE(LEFT(TRIM([1]RawShipmentData!L1564),FIND("/",TRIM([1]RawShipmentData!L1564))-1))),DATEVALUE(TRIM([1]RawShipmentData!L1564))))</f>
        <v>45371</v>
      </c>
      <c r="N1547" s="2">
        <f t="shared" si="121"/>
        <v>5</v>
      </c>
      <c r="O1547" s="2">
        <f t="shared" si="122"/>
        <v>-1</v>
      </c>
      <c r="P1547" s="2" t="str">
        <f t="shared" si="123"/>
        <v>On Time</v>
      </c>
      <c r="Q1547" s="2" t="str">
        <f>PROPER(SUBSTITUTE(TRIM([1]RawShipmentData!M1564)," ","-"))</f>
        <v>Delivered</v>
      </c>
      <c r="R1547" s="4">
        <f t="shared" si="124"/>
        <v>38.780487804878049</v>
      </c>
      <c r="S1547" s="2">
        <f>[1]RawShipmentData!N1564</f>
        <v>5</v>
      </c>
      <c r="T1547" s="2" t="str">
        <f>IF(OR(UPPER(TRIM([1]RawShipmentData!O1564))="YES",UPPER(TRIM([1]RawShipmentData!O1564))="Y"),"Yes","No")</f>
        <v>No</v>
      </c>
    </row>
    <row r="1548" spans="1:20" x14ac:dyDescent="0.25">
      <c r="A1548" s="2" t="str">
        <f>[1]RawShipmentData!A1565</f>
        <v>SHP-101509</v>
      </c>
      <c r="B1548" s="3">
        <f>IF(ISNUMBER(SEARCH("/",TRIM([1]RawShipmentData!B1565))),DATE(VALUE(RIGHT(TRIM([1]RawShipmentData!B1565),4)),VALUE(MID(TRIM([1]RawShipmentData!B1565),FIND("/",TRIM([1]RawShipmentData!B1565))+1,2)),VALUE(LEFT(TRIM([1]RawShipmentData!B1565),FIND("/",TRIM([1]RawShipmentData!B1565))-1))),DATEVALUE(TRIM([1]RawShipmentData!B1565)))</f>
        <v>45408</v>
      </c>
      <c r="C1548" s="2" t="str">
        <f>PROPER(TRIM([1]RawShipmentData!C1565))</f>
        <v>Bengaluru</v>
      </c>
      <c r="D1548" s="2" t="str">
        <f>IFERROR(INDEX([1]HubMaster!$B$2:$B$7,MATCH(C1548,[1]HubMaster!$A$2:$A$7,0)),"Unknown")</f>
        <v>South</v>
      </c>
      <c r="E1548" s="2" t="str">
        <f>PROPER(TRIM(SUBSTITUTE([1]RawShipmentData!D1565,"  "," ")))</f>
        <v>Xpressbees</v>
      </c>
      <c r="F1548" s="2" t="str">
        <f>PROPER(TRIM([1]RawShipmentData!E1565))</f>
        <v>Surface</v>
      </c>
      <c r="G1548" s="2" t="str">
        <f>PROPER(TRIM(SUBSTITUTE([1]RawShipmentData!F1565,"  "," ")))</f>
        <v>Pharma</v>
      </c>
      <c r="H1548" s="2" t="str">
        <f>PROPER(TRIM([1]RawShipmentData!G1565))</f>
        <v>South</v>
      </c>
      <c r="I1548" s="2" t="str">
        <f t="shared" si="120"/>
        <v>No</v>
      </c>
      <c r="J1548" s="2">
        <f>IFERROR(VALUE(TRIM(SUBSTITUTE(UPPER([1]RawShipmentData!I1548),"KG",""))),"")</f>
        <v>0.6</v>
      </c>
      <c r="K1548" s="2">
        <f>VALUE(SUBSTITUTE(SUBSTITUTE(SUBSTITUTE(TRIM([1]RawShipmentData!J1565),"₹",""),"Rs",""),",",""))</f>
        <v>80</v>
      </c>
      <c r="L1548" s="2">
        <f>[1]RawShipmentData!K1565</f>
        <v>4</v>
      </c>
      <c r="M1548" s="3">
        <f>IF(TRIM([1]RawShipmentData!L1565)="","",IF(ISNUMBER(SEARCH("/",TRIM([1]RawShipmentData!L1565))),DATE(VALUE(RIGHT(TRIM([1]RawShipmentData!L1565),4)),VALUE(MID(TRIM([1]RawShipmentData!L1565),FIND("/",TRIM([1]RawShipmentData!L1565))+1,2)),VALUE(LEFT(TRIM([1]RawShipmentData!L1565),FIND("/",TRIM([1]RawShipmentData!L1565))-1))),DATEVALUE(TRIM([1]RawShipmentData!L1565))))</f>
        <v>45411</v>
      </c>
      <c r="N1548" s="2">
        <f t="shared" si="121"/>
        <v>3</v>
      </c>
      <c r="O1548" s="2">
        <f t="shared" si="122"/>
        <v>-1</v>
      </c>
      <c r="P1548" s="2" t="str">
        <f t="shared" si="123"/>
        <v>On Time</v>
      </c>
      <c r="Q1548" s="2" t="str">
        <f>PROPER(SUBSTITUTE(TRIM([1]RawShipmentData!M1565)," ","-"))</f>
        <v>Delivered</v>
      </c>
      <c r="R1548" s="4">
        <f t="shared" si="124"/>
        <v>133.33333333333334</v>
      </c>
      <c r="S1548" s="2">
        <f>[1]RawShipmentData!N1565</f>
        <v>4</v>
      </c>
      <c r="T1548" s="2" t="str">
        <f>IF(OR(UPPER(TRIM([1]RawShipmentData!O1565))="YES",UPPER(TRIM([1]RawShipmentData!O1565))="Y"),"Yes","No")</f>
        <v>No</v>
      </c>
    </row>
    <row r="1549" spans="1:20" x14ac:dyDescent="0.25">
      <c r="A1549" s="2" t="str">
        <f>[1]RawShipmentData!A1566</f>
        <v>SHP-100800</v>
      </c>
      <c r="B1549" s="3">
        <f>IF(ISNUMBER(SEARCH("/",TRIM([1]RawShipmentData!B1566))),DATE(VALUE(RIGHT(TRIM([1]RawShipmentData!B1566),4)),VALUE(MID(TRIM([1]RawShipmentData!B1566),FIND("/",TRIM([1]RawShipmentData!B1566))+1,2)),VALUE(LEFT(TRIM([1]RawShipmentData!B1566),FIND("/",TRIM([1]RawShipmentData!B1566))-1))),DATEVALUE(TRIM([1]RawShipmentData!B1566)))</f>
        <v>45366</v>
      </c>
      <c r="C1549" s="2" t="str">
        <f>PROPER(TRIM([1]RawShipmentData!C1566))</f>
        <v>Bengaluru</v>
      </c>
      <c r="D1549" s="2" t="str">
        <f>IFERROR(INDEX([1]HubMaster!$B$2:$B$7,MATCH(C1549,[1]HubMaster!$A$2:$A$7,0)),"Unknown")</f>
        <v>South</v>
      </c>
      <c r="E1549" s="2" t="str">
        <f>PROPER(TRIM(SUBSTITUTE([1]RawShipmentData!D1566,"  "," ")))</f>
        <v>Dtdc</v>
      </c>
      <c r="F1549" s="2" t="str">
        <f>PROPER(TRIM([1]RawShipmentData!E1566))</f>
        <v>Road</v>
      </c>
      <c r="G1549" s="2" t="str">
        <f>PROPER(TRIM(SUBSTITUTE([1]RawShipmentData!F1566,"  "," ")))</f>
        <v>Grocery &amp; Fmcg</v>
      </c>
      <c r="H1549" s="2" t="str">
        <f>PROPER(TRIM([1]RawShipmentData!G1566))</f>
        <v>West</v>
      </c>
      <c r="I1549" s="2" t="str">
        <f t="shared" si="120"/>
        <v>Yes</v>
      </c>
      <c r="J1549" s="2">
        <f>IFERROR(VALUE(TRIM(SUBSTITUTE(UPPER([1]RawShipmentData!I1549),"KG",""))),"")</f>
        <v>64.400000000000006</v>
      </c>
      <c r="K1549" s="2">
        <f>VALUE(SUBSTITUTE(SUBSTITUTE(SUBSTITUTE(TRIM([1]RawShipmentData!J1566),"₹",""),"Rs",""),",",""))</f>
        <v>433</v>
      </c>
      <c r="L1549" s="2">
        <f>[1]RawShipmentData!K1566</f>
        <v>8</v>
      </c>
      <c r="M1549" s="3">
        <f>IF(TRIM([1]RawShipmentData!L1566)="","",IF(ISNUMBER(SEARCH("/",TRIM([1]RawShipmentData!L1566))),DATE(VALUE(RIGHT(TRIM([1]RawShipmentData!L1566),4)),VALUE(MID(TRIM([1]RawShipmentData!L1566),FIND("/",TRIM([1]RawShipmentData!L1566))+1,2)),VALUE(LEFT(TRIM([1]RawShipmentData!L1566),FIND("/",TRIM([1]RawShipmentData!L1566))-1))),DATEVALUE(TRIM([1]RawShipmentData!L1566))))</f>
        <v>45380</v>
      </c>
      <c r="N1549" s="2">
        <f t="shared" si="121"/>
        <v>14</v>
      </c>
      <c r="O1549" s="2">
        <f t="shared" si="122"/>
        <v>6</v>
      </c>
      <c r="P1549" s="2" t="str">
        <f t="shared" si="123"/>
        <v>Late</v>
      </c>
      <c r="Q1549" s="2" t="str">
        <f>PROPER(SUBSTITUTE(TRIM([1]RawShipmentData!M1566)," ","-"))</f>
        <v>Delayed</v>
      </c>
      <c r="R1549" s="4">
        <f t="shared" si="124"/>
        <v>6.7236024844720488</v>
      </c>
      <c r="S1549" s="2">
        <f>[1]RawShipmentData!N1566</f>
        <v>1</v>
      </c>
      <c r="T1549" s="2" t="str">
        <f>IF(OR(UPPER(TRIM([1]RawShipmentData!O1566))="YES",UPPER(TRIM([1]RawShipmentData!O1566))="Y"),"Yes","No")</f>
        <v>Yes</v>
      </c>
    </row>
    <row r="1550" spans="1:20" x14ac:dyDescent="0.25">
      <c r="A1550" s="2" t="str">
        <f>[1]RawShipmentData!A1567</f>
        <v>SHP-100083</v>
      </c>
      <c r="B1550" s="3">
        <f>IF(ISNUMBER(SEARCH("/",TRIM([1]RawShipmentData!B1567))),DATE(VALUE(RIGHT(TRIM([1]RawShipmentData!B1567),4)),VALUE(MID(TRIM([1]RawShipmentData!B1567),FIND("/",TRIM([1]RawShipmentData!B1567))+1,2)),VALUE(LEFT(TRIM([1]RawShipmentData!B1567),FIND("/",TRIM([1]RawShipmentData!B1567))-1))),DATEVALUE(TRIM([1]RawShipmentData!B1567)))</f>
        <v>45326</v>
      </c>
      <c r="C1550" s="2" t="str">
        <f>PROPER(TRIM([1]RawShipmentData!C1567))</f>
        <v>Chennai</v>
      </c>
      <c r="D1550" s="2" t="str">
        <f>IFERROR(INDEX([1]HubMaster!$B$2:$B$7,MATCH(C1550,[1]HubMaster!$A$2:$A$7,0)),"Unknown")</f>
        <v>South</v>
      </c>
      <c r="E1550" s="2" t="str">
        <f>PROPER(TRIM(SUBSTITUTE([1]RawShipmentData!D1567,"  "," ")))</f>
        <v>Dtdc</v>
      </c>
      <c r="F1550" s="2" t="str">
        <f>PROPER(TRIM([1]RawShipmentData!E1567))</f>
        <v>Air</v>
      </c>
      <c r="G1550" s="2" t="str">
        <f>PROPER(TRIM(SUBSTITUTE([1]RawShipmentData!F1567,"  "," ")))</f>
        <v>Pharma</v>
      </c>
      <c r="H1550" s="2" t="str">
        <f>PROPER(TRIM([1]RawShipmentData!G1567))</f>
        <v>North</v>
      </c>
      <c r="I1550" s="2" t="str">
        <f t="shared" si="120"/>
        <v>Yes</v>
      </c>
      <c r="J1550" s="2">
        <f>IFERROR(VALUE(TRIM(SUBSTITUTE(UPPER([1]RawShipmentData!I1550),"KG",""))),"")</f>
        <v>20.3</v>
      </c>
      <c r="K1550" s="2">
        <f>VALUE(SUBSTITUTE(SUBSTITUTE(SUBSTITUTE(TRIM([1]RawShipmentData!J1567),"₹",""),"Rs",""),",",""))</f>
        <v>258</v>
      </c>
      <c r="L1550" s="2">
        <f>[1]RawShipmentData!K1567</f>
        <v>4</v>
      </c>
      <c r="M1550" s="3">
        <f>IF(TRIM([1]RawShipmentData!L1567)="","",IF(ISNUMBER(SEARCH("/",TRIM([1]RawShipmentData!L1567))),DATE(VALUE(RIGHT(TRIM([1]RawShipmentData!L1567),4)),VALUE(MID(TRIM([1]RawShipmentData!L1567),FIND("/",TRIM([1]RawShipmentData!L1567))+1,2)),VALUE(LEFT(TRIM([1]RawShipmentData!L1567),FIND("/",TRIM([1]RawShipmentData!L1567))-1))),DATEVALUE(TRIM([1]RawShipmentData!L1567))))</f>
        <v>45339</v>
      </c>
      <c r="N1550" s="2">
        <f t="shared" si="121"/>
        <v>13</v>
      </c>
      <c r="O1550" s="2">
        <f t="shared" si="122"/>
        <v>9</v>
      </c>
      <c r="P1550" s="2" t="str">
        <f t="shared" si="123"/>
        <v>Late</v>
      </c>
      <c r="Q1550" s="2" t="str">
        <f>PROPER(SUBSTITUTE(TRIM([1]RawShipmentData!M1567)," ","-"))</f>
        <v>Delayed</v>
      </c>
      <c r="R1550" s="4">
        <f t="shared" si="124"/>
        <v>12.709359605911329</v>
      </c>
      <c r="S1550" s="2">
        <f>[1]RawShipmentData!N1567</f>
        <v>4</v>
      </c>
      <c r="T1550" s="2" t="str">
        <f>IF(OR(UPPER(TRIM([1]RawShipmentData!O1567))="YES",UPPER(TRIM([1]RawShipmentData!O1567))="Y"),"Yes","No")</f>
        <v>No</v>
      </c>
    </row>
    <row r="1551" spans="1:20" x14ac:dyDescent="0.25">
      <c r="A1551" s="2" t="str">
        <f>[1]RawShipmentData!A1568</f>
        <v>SHP-100993</v>
      </c>
      <c r="B1551" s="3">
        <f>IF(ISNUMBER(SEARCH("/",TRIM([1]RawShipmentData!B1568))),DATE(VALUE(RIGHT(TRIM([1]RawShipmentData!B1568),4)),VALUE(MID(TRIM([1]RawShipmentData!B1568),FIND("/",TRIM([1]RawShipmentData!B1568))+1,2)),VALUE(LEFT(TRIM([1]RawShipmentData!B1568),FIND("/",TRIM([1]RawShipmentData!B1568))-1))),DATEVALUE(TRIM([1]RawShipmentData!B1568)))</f>
        <v>45393</v>
      </c>
      <c r="C1551" s="2" t="str">
        <f>PROPER(TRIM([1]RawShipmentData!C1568))</f>
        <v>Delhi</v>
      </c>
      <c r="D1551" s="2" t="str">
        <f>IFERROR(INDEX([1]HubMaster!$B$2:$B$7,MATCH(C1551,[1]HubMaster!$A$2:$A$7,0)),"Unknown")</f>
        <v>North</v>
      </c>
      <c r="E1551" s="2" t="str">
        <f>PROPER(TRIM(SUBSTITUTE([1]RawShipmentData!D1568,"  "," ")))</f>
        <v>Bluedart</v>
      </c>
      <c r="F1551" s="2" t="str">
        <f>PROPER(TRIM([1]RawShipmentData!E1568))</f>
        <v>Road</v>
      </c>
      <c r="G1551" s="2" t="str">
        <f>PROPER(TRIM(SUBSTITUTE([1]RawShipmentData!F1568,"  "," ")))</f>
        <v>Grocery &amp; Fmcg</v>
      </c>
      <c r="H1551" s="2" t="str">
        <f>PROPER(TRIM([1]RawShipmentData!G1568))</f>
        <v>North</v>
      </c>
      <c r="I1551" s="2" t="str">
        <f t="shared" si="120"/>
        <v>No</v>
      </c>
      <c r="J1551" s="2">
        <f>IFERROR(VALUE(TRIM(SUBSTITUTE(UPPER([1]RawShipmentData!I1551),"KG",""))),"")</f>
        <v>39.299999999999997</v>
      </c>
      <c r="K1551" s="2">
        <f>VALUE(SUBSTITUTE(SUBSTITUTE(SUBSTITUTE(TRIM([1]RawShipmentData!J1568),"₹",""),"Rs",""),",",""))</f>
        <v>188</v>
      </c>
      <c r="L1551" s="2">
        <f>[1]RawShipmentData!K1568</f>
        <v>6</v>
      </c>
      <c r="M1551" s="3">
        <f>IF(TRIM([1]RawShipmentData!L1568)="","",IF(ISNUMBER(SEARCH("/",TRIM([1]RawShipmentData!L1568))),DATE(VALUE(RIGHT(TRIM([1]RawShipmentData!L1568),4)),VALUE(MID(TRIM([1]RawShipmentData!L1568),FIND("/",TRIM([1]RawShipmentData!L1568))+1,2)),VALUE(LEFT(TRIM([1]RawShipmentData!L1568),FIND("/",TRIM([1]RawShipmentData!L1568))-1))),DATEVALUE(TRIM([1]RawShipmentData!L1568))))</f>
        <v>45400</v>
      </c>
      <c r="N1551" s="2">
        <f t="shared" si="121"/>
        <v>7</v>
      </c>
      <c r="O1551" s="2">
        <f t="shared" si="122"/>
        <v>1</v>
      </c>
      <c r="P1551" s="2" t="str">
        <f t="shared" si="123"/>
        <v>Late</v>
      </c>
      <c r="Q1551" s="2" t="str">
        <f>PROPER(SUBSTITUTE(TRIM([1]RawShipmentData!M1568)," ","-"))</f>
        <v>Delayed</v>
      </c>
      <c r="R1551" s="4">
        <f t="shared" si="124"/>
        <v>4.7837150127226469</v>
      </c>
      <c r="S1551" s="2">
        <f>[1]RawShipmentData!N1568</f>
        <v>2</v>
      </c>
      <c r="T1551" s="2" t="str">
        <f>IF(OR(UPPER(TRIM([1]RawShipmentData!O1568))="YES",UPPER(TRIM([1]RawShipmentData!O1568))="Y"),"Yes","No")</f>
        <v>No</v>
      </c>
    </row>
    <row r="1552" spans="1:20" x14ac:dyDescent="0.25">
      <c r="A1552" s="2" t="str">
        <f>[1]RawShipmentData!A1569</f>
        <v>SHP-100290</v>
      </c>
      <c r="B1552" s="3">
        <f>IF(ISNUMBER(SEARCH("/",TRIM([1]RawShipmentData!B1569))),DATE(VALUE(RIGHT(TRIM([1]RawShipmentData!B1569),4)),VALUE(MID(TRIM([1]RawShipmentData!B1569),FIND("/",TRIM([1]RawShipmentData!B1569))+1,2)),VALUE(LEFT(TRIM([1]RawShipmentData!B1569),FIND("/",TRIM([1]RawShipmentData!B1569))-1))),DATEVALUE(TRIM([1]RawShipmentData!B1569)))</f>
        <v>45432</v>
      </c>
      <c r="C1552" s="2" t="str">
        <f>PROPER(TRIM([1]RawShipmentData!C1569))</f>
        <v>Mumbai</v>
      </c>
      <c r="D1552" s="2" t="str">
        <f>IFERROR(INDEX([1]HubMaster!$B$2:$B$7,MATCH(C1552,[1]HubMaster!$A$2:$A$7,0)),"Unknown")</f>
        <v>West</v>
      </c>
      <c r="E1552" s="2" t="str">
        <f>PROPER(TRIM(SUBSTITUTE([1]RawShipmentData!D1569,"  "," ")))</f>
        <v>Ecom Express</v>
      </c>
      <c r="F1552" s="2" t="str">
        <f>PROPER(TRIM([1]RawShipmentData!E1569))</f>
        <v>Road</v>
      </c>
      <c r="G1552" s="2" t="str">
        <f>PROPER(TRIM(SUBSTITUTE([1]RawShipmentData!F1569,"  "," ")))</f>
        <v>Furniture</v>
      </c>
      <c r="H1552" s="2" t="str">
        <f>PROPER(TRIM([1]RawShipmentData!G1569))</f>
        <v>South</v>
      </c>
      <c r="I1552" s="2" t="str">
        <f t="shared" si="120"/>
        <v>Yes</v>
      </c>
      <c r="J1552" s="2">
        <f>IFERROR(VALUE(TRIM(SUBSTITUTE(UPPER([1]RawShipmentData!I1552),"KG",""))),"")</f>
        <v>8.9</v>
      </c>
      <c r="K1552" s="2">
        <f>VALUE(SUBSTITUTE(SUBSTITUTE(SUBSTITUTE(TRIM([1]RawShipmentData!J1569),"₹",""),"Rs",""),",",""))</f>
        <v>1107</v>
      </c>
      <c r="L1552" s="2">
        <f>[1]RawShipmentData!K1569</f>
        <v>8</v>
      </c>
      <c r="M1552" s="3">
        <f>IF(TRIM([1]RawShipmentData!L1569)="","",IF(ISNUMBER(SEARCH("/",TRIM([1]RawShipmentData!L1569))),DATE(VALUE(RIGHT(TRIM([1]RawShipmentData!L1569),4)),VALUE(MID(TRIM([1]RawShipmentData!L1569),FIND("/",TRIM([1]RawShipmentData!L1569))+1,2)),VALUE(LEFT(TRIM([1]RawShipmentData!L1569),FIND("/",TRIM([1]RawShipmentData!L1569))-1))),DATEVALUE(TRIM([1]RawShipmentData!L1569))))</f>
        <v>45448</v>
      </c>
      <c r="N1552" s="2">
        <f t="shared" si="121"/>
        <v>16</v>
      </c>
      <c r="O1552" s="2">
        <f t="shared" si="122"/>
        <v>8</v>
      </c>
      <c r="P1552" s="2" t="str">
        <f t="shared" si="123"/>
        <v>Late</v>
      </c>
      <c r="Q1552" s="2" t="str">
        <f>PROPER(SUBSTITUTE(TRIM([1]RawShipmentData!M1569)," ","-"))</f>
        <v>Delayed</v>
      </c>
      <c r="R1552" s="4">
        <f t="shared" si="124"/>
        <v>124.3820224719101</v>
      </c>
      <c r="S1552" s="2">
        <f>[1]RawShipmentData!N1569</f>
        <v>3</v>
      </c>
      <c r="T1552" s="2" t="str">
        <f>IF(OR(UPPER(TRIM([1]RawShipmentData!O1569))="YES",UPPER(TRIM([1]RawShipmentData!O1569))="Y"),"Yes","No")</f>
        <v>Yes</v>
      </c>
    </row>
    <row r="1553" spans="1:20" x14ac:dyDescent="0.25">
      <c r="A1553" s="2" t="str">
        <f>[1]RawShipmentData!A1570</f>
        <v>SHP-101223</v>
      </c>
      <c r="B1553" s="3">
        <f>IF(ISNUMBER(SEARCH("/",TRIM([1]RawShipmentData!B1570))),DATE(VALUE(RIGHT(TRIM([1]RawShipmentData!B1570),4)),VALUE(MID(TRIM([1]RawShipmentData!B1570),FIND("/",TRIM([1]RawShipmentData!B1570))+1,2)),VALUE(LEFT(TRIM([1]RawShipmentData!B1570),FIND("/",TRIM([1]RawShipmentData!B1570))-1))),DATEVALUE(TRIM([1]RawShipmentData!B1570)))</f>
        <v>45306</v>
      </c>
      <c r="C1553" s="2" t="str">
        <f>PROPER(TRIM([1]RawShipmentData!C1570))</f>
        <v>Chennai</v>
      </c>
      <c r="D1553" s="2" t="str">
        <f>IFERROR(INDEX([1]HubMaster!$B$2:$B$7,MATCH(C1553,[1]HubMaster!$A$2:$A$7,0)),"Unknown")</f>
        <v>South</v>
      </c>
      <c r="E1553" s="2" t="str">
        <f>PROPER(TRIM(SUBSTITUTE([1]RawShipmentData!D1570,"  "," ")))</f>
        <v>Dtdc</v>
      </c>
      <c r="F1553" s="2" t="str">
        <f>PROPER(TRIM([1]RawShipmentData!E1570))</f>
        <v>Air</v>
      </c>
      <c r="G1553" s="2" t="str">
        <f>PROPER(TRIM(SUBSTITUTE([1]RawShipmentData!F1570,"  "," ")))</f>
        <v>Pharma</v>
      </c>
      <c r="H1553" s="2" t="str">
        <f>PROPER(TRIM([1]RawShipmentData!G1570))</f>
        <v>East</v>
      </c>
      <c r="I1553" s="2" t="str">
        <f t="shared" si="120"/>
        <v>Yes</v>
      </c>
      <c r="J1553" s="2">
        <f>IFERROR(VALUE(TRIM(SUBSTITUTE(UPPER([1]RawShipmentData!I1553),"KG",""))),"")</f>
        <v>5.5</v>
      </c>
      <c r="K1553" s="2">
        <f>VALUE(SUBSTITUTE(SUBSTITUTE(SUBSTITUTE(TRIM([1]RawShipmentData!J1570),"₹",""),"Rs",""),",",""))</f>
        <v>364</v>
      </c>
      <c r="L1553" s="2">
        <f>[1]RawShipmentData!K1570</f>
        <v>4</v>
      </c>
      <c r="M1553" s="3">
        <f>IF(TRIM([1]RawShipmentData!L1570)="","",IF(ISNUMBER(SEARCH("/",TRIM([1]RawShipmentData!L1570))),DATE(VALUE(RIGHT(TRIM([1]RawShipmentData!L1570),4)),VALUE(MID(TRIM([1]RawShipmentData!L1570),FIND("/",TRIM([1]RawShipmentData!L1570))+1,2)),VALUE(LEFT(TRIM([1]RawShipmentData!L1570),FIND("/",TRIM([1]RawShipmentData!L1570))-1))),DATEVALUE(TRIM([1]RawShipmentData!L1570))))</f>
        <v>45310</v>
      </c>
      <c r="N1553" s="2">
        <f t="shared" si="121"/>
        <v>4</v>
      </c>
      <c r="O1553" s="2">
        <f t="shared" si="122"/>
        <v>0</v>
      </c>
      <c r="P1553" s="2" t="str">
        <f t="shared" si="123"/>
        <v>On Time</v>
      </c>
      <c r="Q1553" s="2" t="str">
        <f>PROPER(SUBSTITUTE(TRIM([1]RawShipmentData!M1570)," ","-"))</f>
        <v>Delivered</v>
      </c>
      <c r="R1553" s="4">
        <f t="shared" si="124"/>
        <v>66.181818181818187</v>
      </c>
      <c r="S1553" s="2">
        <f>[1]RawShipmentData!N1570</f>
        <v>4</v>
      </c>
      <c r="T1553" s="2" t="str">
        <f>IF(OR(UPPER(TRIM([1]RawShipmentData!O1570))="YES",UPPER(TRIM([1]RawShipmentData!O1570))="Y"),"Yes","No")</f>
        <v>No</v>
      </c>
    </row>
    <row r="1554" spans="1:20" x14ac:dyDescent="0.25">
      <c r="A1554" s="2" t="str">
        <f>[1]RawShipmentData!A1571</f>
        <v>SHP-100497</v>
      </c>
      <c r="B1554" s="3">
        <f>IF(ISNUMBER(SEARCH("/",TRIM([1]RawShipmentData!B1571))),DATE(VALUE(RIGHT(TRIM([1]RawShipmentData!B1571),4)),VALUE(MID(TRIM([1]RawShipmentData!B1571),FIND("/",TRIM([1]RawShipmentData!B1571))+1,2)),VALUE(LEFT(TRIM([1]RawShipmentData!B1571),FIND("/",TRIM([1]RawShipmentData!B1571))-1))),DATEVALUE(TRIM([1]RawShipmentData!B1571)))</f>
        <v>45296</v>
      </c>
      <c r="C1554" s="2" t="str">
        <f>PROPER(TRIM([1]RawShipmentData!C1571))</f>
        <v>Bengaluru</v>
      </c>
      <c r="D1554" s="2" t="str">
        <f>IFERROR(INDEX([1]HubMaster!$B$2:$B$7,MATCH(C1554,[1]HubMaster!$A$2:$A$7,0)),"Unknown")</f>
        <v>South</v>
      </c>
      <c r="E1554" s="2" t="str">
        <f>PROPER(TRIM(SUBSTITUTE([1]RawShipmentData!D1571,"  "," ")))</f>
        <v>Dtdc</v>
      </c>
      <c r="F1554" s="2" t="str">
        <f>PROPER(TRIM([1]RawShipmentData!E1571))</f>
        <v>Surface</v>
      </c>
      <c r="G1554" s="2" t="str">
        <f>PROPER(TRIM(SUBSTITUTE([1]RawShipmentData!F1571,"  "," ")))</f>
        <v>Grocery &amp; Fmcg</v>
      </c>
      <c r="H1554" s="2" t="str">
        <f>PROPER(TRIM([1]RawShipmentData!G1571))</f>
        <v>West</v>
      </c>
      <c r="I1554" s="2" t="str">
        <f t="shared" si="120"/>
        <v>Yes</v>
      </c>
      <c r="J1554" s="2">
        <f>IFERROR(VALUE(TRIM(SUBSTITUTE(UPPER([1]RawShipmentData!I1554),"KG",""))),"")</f>
        <v>2.6</v>
      </c>
      <c r="K1554" s="2">
        <f>VALUE(SUBSTITUTE(SUBSTITUTE(SUBSTITUTE(TRIM([1]RawShipmentData!J1571),"₹",""),"Rs",""),",",""))</f>
        <v>423</v>
      </c>
      <c r="L1554" s="2">
        <f>[1]RawShipmentData!K1571</f>
        <v>6</v>
      </c>
      <c r="M1554" s="3">
        <f>IF(TRIM([1]RawShipmentData!L1571)="","",IF(ISNUMBER(SEARCH("/",TRIM([1]RawShipmentData!L1571))),DATE(VALUE(RIGHT(TRIM([1]RawShipmentData!L1571),4)),VALUE(MID(TRIM([1]RawShipmentData!L1571),FIND("/",TRIM([1]RawShipmentData!L1571))+1,2)),VALUE(LEFT(TRIM([1]RawShipmentData!L1571),FIND("/",TRIM([1]RawShipmentData!L1571))-1))),DATEVALUE(TRIM([1]RawShipmentData!L1571))))</f>
        <v>45303</v>
      </c>
      <c r="N1554" s="2">
        <f t="shared" si="121"/>
        <v>7</v>
      </c>
      <c r="O1554" s="2">
        <f t="shared" si="122"/>
        <v>1</v>
      </c>
      <c r="P1554" s="2" t="str">
        <f t="shared" si="123"/>
        <v>Late</v>
      </c>
      <c r="Q1554" s="2" t="str">
        <f>PROPER(SUBSTITUTE(TRIM([1]RawShipmentData!M1571)," ","-"))</f>
        <v>Delayed</v>
      </c>
      <c r="R1554" s="4">
        <f t="shared" si="124"/>
        <v>162.69230769230768</v>
      </c>
      <c r="S1554" s="2">
        <f>[1]RawShipmentData!N1571</f>
        <v>4</v>
      </c>
      <c r="T1554" s="2" t="str">
        <f>IF(OR(UPPER(TRIM([1]RawShipmentData!O1571))="YES",UPPER(TRIM([1]RawShipmentData!O1571))="Y"),"Yes","No")</f>
        <v>Yes</v>
      </c>
    </row>
    <row r="1555" spans="1:20" x14ac:dyDescent="0.25">
      <c r="A1555" s="2" t="str">
        <f>[1]RawShipmentData!A1572</f>
        <v>SHP-100784</v>
      </c>
      <c r="B1555" s="3">
        <f>IF(ISNUMBER(SEARCH("/",TRIM([1]RawShipmentData!B1572))),DATE(VALUE(RIGHT(TRIM([1]RawShipmentData!B1572),4)),VALUE(MID(TRIM([1]RawShipmentData!B1572),FIND("/",TRIM([1]RawShipmentData!B1572))+1,2)),VALUE(LEFT(TRIM([1]RawShipmentData!B1572),FIND("/",TRIM([1]RawShipmentData!B1572))-1))),DATEVALUE(TRIM([1]RawShipmentData!B1572)))</f>
        <v>45429</v>
      </c>
      <c r="C1555" s="2" t="str">
        <f>PROPER(TRIM([1]RawShipmentData!C1572))</f>
        <v>Kolkata</v>
      </c>
      <c r="D1555" s="2" t="str">
        <f>IFERROR(INDEX([1]HubMaster!$B$2:$B$7,MATCH(C1555,[1]HubMaster!$A$2:$A$7,0)),"Unknown")</f>
        <v>East</v>
      </c>
      <c r="E1555" s="2" t="str">
        <f>PROPER(TRIM(SUBSTITUTE([1]RawShipmentData!D1572,"  "," ")))</f>
        <v>Delhivery</v>
      </c>
      <c r="F1555" s="2" t="str">
        <f>PROPER(TRIM([1]RawShipmentData!E1572))</f>
        <v>Road</v>
      </c>
      <c r="G1555" s="2" t="str">
        <f>PROPER(TRIM(SUBSTITUTE([1]RawShipmentData!F1572,"  "," ")))</f>
        <v>Pharma</v>
      </c>
      <c r="H1555" s="2" t="str">
        <f>PROPER(TRIM([1]RawShipmentData!G1572))</f>
        <v>East</v>
      </c>
      <c r="I1555" s="2" t="str">
        <f t="shared" si="120"/>
        <v>No</v>
      </c>
      <c r="J1555" s="2">
        <f>IFERROR(VALUE(TRIM(SUBSTITUTE(UPPER([1]RawShipmentData!I1555),"KG",""))),"")</f>
        <v>2.1</v>
      </c>
      <c r="K1555" s="2">
        <f>VALUE(SUBSTITUTE(SUBSTITUTE(SUBSTITUTE(TRIM([1]RawShipmentData!J1572),"₹",""),"Rs",""),",",""))</f>
        <v>80</v>
      </c>
      <c r="L1555" s="2">
        <f>[1]RawShipmentData!K1572</f>
        <v>6</v>
      </c>
      <c r="M1555" s="3">
        <f>IF(TRIM([1]RawShipmentData!L1572)="","",IF(ISNUMBER(SEARCH("/",TRIM([1]RawShipmentData!L1572))),DATE(VALUE(RIGHT(TRIM([1]RawShipmentData!L1572),4)),VALUE(MID(TRIM([1]RawShipmentData!L1572),FIND("/",TRIM([1]RawShipmentData!L1572))+1,2)),VALUE(LEFT(TRIM([1]RawShipmentData!L1572),FIND("/",TRIM([1]RawShipmentData!L1572))-1))),DATEVALUE(TRIM([1]RawShipmentData!L1572))))</f>
        <v>45435</v>
      </c>
      <c r="N1555" s="2">
        <f t="shared" si="121"/>
        <v>6</v>
      </c>
      <c r="O1555" s="2">
        <f t="shared" si="122"/>
        <v>0</v>
      </c>
      <c r="P1555" s="2" t="str">
        <f t="shared" si="123"/>
        <v>On Time</v>
      </c>
      <c r="Q1555" s="2" t="str">
        <f>PROPER(SUBSTITUTE(TRIM([1]RawShipmentData!M1572)," ","-"))</f>
        <v>Delivered</v>
      </c>
      <c r="R1555" s="4">
        <f t="shared" si="124"/>
        <v>38.095238095238095</v>
      </c>
      <c r="S1555" s="2">
        <f>[1]RawShipmentData!N1572</f>
        <v>4</v>
      </c>
      <c r="T1555" s="2" t="str">
        <f>IF(OR(UPPER(TRIM([1]RawShipmentData!O1572))="YES",UPPER(TRIM([1]RawShipmentData!O1572))="Y"),"Yes","No")</f>
        <v>No</v>
      </c>
    </row>
    <row r="1556" spans="1:20" x14ac:dyDescent="0.25">
      <c r="A1556" s="2" t="str">
        <f>[1]RawShipmentData!A1573</f>
        <v>SHP-101158</v>
      </c>
      <c r="B1556" s="3">
        <f>IF(ISNUMBER(SEARCH("/",TRIM([1]RawShipmentData!B1573))),DATE(VALUE(RIGHT(TRIM([1]RawShipmentData!B1573),4)),VALUE(MID(TRIM([1]RawShipmentData!B1573),FIND("/",TRIM([1]RawShipmentData!B1573))+1,2)),VALUE(LEFT(TRIM([1]RawShipmentData!B1573),FIND("/",TRIM([1]RawShipmentData!B1573))-1))),DATEVALUE(TRIM([1]RawShipmentData!B1573)))</f>
        <v>45461</v>
      </c>
      <c r="C1556" s="2" t="str">
        <f>PROPER(TRIM([1]RawShipmentData!C1573))</f>
        <v>Bengaluru</v>
      </c>
      <c r="D1556" s="2" t="str">
        <f>IFERROR(INDEX([1]HubMaster!$B$2:$B$7,MATCH(C1556,[1]HubMaster!$A$2:$A$7,0)),"Unknown")</f>
        <v>South</v>
      </c>
      <c r="E1556" s="2" t="str">
        <f>PROPER(TRIM(SUBSTITUTE([1]RawShipmentData!D1573,"  "," ")))</f>
        <v>Ecom Express</v>
      </c>
      <c r="F1556" s="2" t="str">
        <f>PROPER(TRIM([1]RawShipmentData!E1573))</f>
        <v>Road</v>
      </c>
      <c r="G1556" s="2" t="str">
        <f>PROPER(TRIM(SUBSTITUTE([1]RawShipmentData!F1573,"  "," ")))</f>
        <v>Pharma</v>
      </c>
      <c r="H1556" s="2" t="str">
        <f>PROPER(TRIM([1]RawShipmentData!G1573))</f>
        <v>West</v>
      </c>
      <c r="I1556" s="2" t="str">
        <f t="shared" si="120"/>
        <v>Yes</v>
      </c>
      <c r="J1556" s="2">
        <f>IFERROR(VALUE(TRIM(SUBSTITUTE(UPPER([1]RawShipmentData!I1556),"KG",""))),"")</f>
        <v>75.3</v>
      </c>
      <c r="K1556" s="2">
        <f>VALUE(SUBSTITUTE(SUBSTITUTE(SUBSTITUTE(TRIM([1]RawShipmentData!J1573),"₹",""),"Rs",""),",",""))</f>
        <v>228</v>
      </c>
      <c r="L1556" s="2">
        <f>[1]RawShipmentData!K1573</f>
        <v>8</v>
      </c>
      <c r="M1556" s="3">
        <f>IF(TRIM([1]RawShipmentData!L1573)="","",IF(ISNUMBER(SEARCH("/",TRIM([1]RawShipmentData!L1573))),DATE(VALUE(RIGHT(TRIM([1]RawShipmentData!L1573),4)),VALUE(MID(TRIM([1]RawShipmentData!L1573),FIND("/",TRIM([1]RawShipmentData!L1573))+1,2)),VALUE(LEFT(TRIM([1]RawShipmentData!L1573),FIND("/",TRIM([1]RawShipmentData!L1573))-1))),DATEVALUE(TRIM([1]RawShipmentData!L1573))))</f>
        <v>45469</v>
      </c>
      <c r="N1556" s="2">
        <f t="shared" si="121"/>
        <v>8</v>
      </c>
      <c r="O1556" s="2">
        <f t="shared" si="122"/>
        <v>0</v>
      </c>
      <c r="P1556" s="2" t="str">
        <f t="shared" si="123"/>
        <v>On Time</v>
      </c>
      <c r="Q1556" s="2" t="str">
        <f>PROPER(SUBSTITUTE(TRIM([1]RawShipmentData!M1573)," ","-"))</f>
        <v>Delivered</v>
      </c>
      <c r="R1556" s="4">
        <f t="shared" si="124"/>
        <v>3.0278884462151394</v>
      </c>
      <c r="S1556" s="2">
        <f>[1]RawShipmentData!N1573</f>
        <v>5</v>
      </c>
      <c r="T1556" s="2" t="str">
        <f>IF(OR(UPPER(TRIM([1]RawShipmentData!O1573))="YES",UPPER(TRIM([1]RawShipmentData!O1573))="Y"),"Yes","No")</f>
        <v>Yes</v>
      </c>
    </row>
    <row r="1557" spans="1:20" x14ac:dyDescent="0.25">
      <c r="A1557" s="2" t="str">
        <f>[1]RawShipmentData!A1574</f>
        <v>SHP-100421</v>
      </c>
      <c r="B1557" s="3">
        <f>IF(ISNUMBER(SEARCH("/",TRIM([1]RawShipmentData!B1574))),DATE(VALUE(RIGHT(TRIM([1]RawShipmentData!B1574),4)),VALUE(MID(TRIM([1]RawShipmentData!B1574),FIND("/",TRIM([1]RawShipmentData!B1574))+1,2)),VALUE(LEFT(TRIM([1]RawShipmentData!B1574),FIND("/",TRIM([1]RawShipmentData!B1574))-1))),DATEVALUE(TRIM([1]RawShipmentData!B1574)))</f>
        <v>45470</v>
      </c>
      <c r="C1557" s="2" t="str">
        <f>PROPER(TRIM([1]RawShipmentData!C1574))</f>
        <v>Mumbai</v>
      </c>
      <c r="D1557" s="2" t="str">
        <f>IFERROR(INDEX([1]HubMaster!$B$2:$B$7,MATCH(C1557,[1]HubMaster!$A$2:$A$7,0)),"Unknown")</f>
        <v>West</v>
      </c>
      <c r="E1557" s="2" t="str">
        <f>PROPER(TRIM(SUBSTITUTE([1]RawShipmentData!D1574,"  "," ")))</f>
        <v>Blue Dart</v>
      </c>
      <c r="F1557" s="2" t="str">
        <f>PROPER(TRIM([1]RawShipmentData!E1574))</f>
        <v>Road</v>
      </c>
      <c r="G1557" s="2" t="str">
        <f>PROPER(TRIM(SUBSTITUTE([1]RawShipmentData!F1574,"  "," ")))</f>
        <v>Apparel</v>
      </c>
      <c r="H1557" s="2" t="str">
        <f>PROPER(TRIM([1]RawShipmentData!G1574))</f>
        <v>South</v>
      </c>
      <c r="I1557" s="2" t="str">
        <f t="shared" si="120"/>
        <v>Yes</v>
      </c>
      <c r="J1557" s="2">
        <f>IFERROR(VALUE(TRIM(SUBSTITUTE(UPPER([1]RawShipmentData!I1557),"KG",""))),"")</f>
        <v>4.0999999999999996</v>
      </c>
      <c r="K1557" s="2">
        <f>VALUE(SUBSTITUTE(SUBSTITUTE(SUBSTITUTE(TRIM([1]RawShipmentData!J1574),"₹",""),"Rs",""),",",""))</f>
        <v>215</v>
      </c>
      <c r="L1557" s="2">
        <f>[1]RawShipmentData!K1574</f>
        <v>8</v>
      </c>
      <c r="M1557" s="3" t="str">
        <f>IF(TRIM([1]RawShipmentData!L1574)="","",IF(ISNUMBER(SEARCH("/",TRIM([1]RawShipmentData!L1574))),DATE(VALUE(RIGHT(TRIM([1]RawShipmentData!L1574),4)),VALUE(MID(TRIM([1]RawShipmentData!L1574),FIND("/",TRIM([1]RawShipmentData!L1574))+1,2)),VALUE(LEFT(TRIM([1]RawShipmentData!L1574),FIND("/",TRIM([1]RawShipmentData!L1574))-1))),DATEVALUE(TRIM([1]RawShipmentData!L1574))))</f>
        <v/>
      </c>
      <c r="N1557" s="2" t="str">
        <f t="shared" si="121"/>
        <v/>
      </c>
      <c r="O1557" s="2" t="str">
        <f t="shared" si="122"/>
        <v/>
      </c>
      <c r="P1557" s="2" t="str">
        <f t="shared" si="123"/>
        <v>N/A</v>
      </c>
      <c r="Q1557" s="2" t="str">
        <f>PROPER(SUBSTITUTE(TRIM([1]RawShipmentData!M1574)," ","-"))</f>
        <v>In-Transit</v>
      </c>
      <c r="R1557" s="4">
        <f t="shared" si="124"/>
        <v>52.439024390243908</v>
      </c>
      <c r="S1557" s="2">
        <f>[1]RawShipmentData!N1574</f>
        <v>0</v>
      </c>
      <c r="T1557" s="2" t="str">
        <f>IF(OR(UPPER(TRIM([1]RawShipmentData!O1574))="YES",UPPER(TRIM([1]RawShipmentData!O1574))="Y"),"Yes","No")</f>
        <v>Yes</v>
      </c>
    </row>
    <row r="1558" spans="1:20" x14ac:dyDescent="0.25">
      <c r="A1558" s="2" t="str">
        <f>[1]RawShipmentData!A1575</f>
        <v>SHP-101456</v>
      </c>
      <c r="B1558" s="3">
        <f>IF(ISNUMBER(SEARCH("/",TRIM([1]RawShipmentData!B1575))),DATE(VALUE(RIGHT(TRIM([1]RawShipmentData!B1575),4)),VALUE(MID(TRIM([1]RawShipmentData!B1575),FIND("/",TRIM([1]RawShipmentData!B1575))+1,2)),VALUE(LEFT(TRIM([1]RawShipmentData!B1575),FIND("/",TRIM([1]RawShipmentData!B1575))-1))),DATEVALUE(TRIM([1]RawShipmentData!B1575)))</f>
        <v>45455</v>
      </c>
      <c r="C1558" s="2" t="str">
        <f>PROPER(TRIM([1]RawShipmentData!C1575))</f>
        <v>Delhi</v>
      </c>
      <c r="D1558" s="2" t="str">
        <f>IFERROR(INDEX([1]HubMaster!$B$2:$B$7,MATCH(C1558,[1]HubMaster!$A$2:$A$7,0)),"Unknown")</f>
        <v>North</v>
      </c>
      <c r="E1558" s="2" t="str">
        <f>PROPER(TRIM(SUBSTITUTE([1]RawShipmentData!D1575,"  "," ")))</f>
        <v>Ecom Express</v>
      </c>
      <c r="F1558" s="2" t="str">
        <f>PROPER(TRIM([1]RawShipmentData!E1575))</f>
        <v>Air</v>
      </c>
      <c r="G1558" s="2" t="str">
        <f>PROPER(TRIM(SUBSTITUTE([1]RawShipmentData!F1575,"  "," ")))</f>
        <v>Furniture</v>
      </c>
      <c r="H1558" s="2" t="str">
        <f>PROPER(TRIM([1]RawShipmentData!G1575))</f>
        <v>East</v>
      </c>
      <c r="I1558" s="2" t="str">
        <f t="shared" si="120"/>
        <v>Yes</v>
      </c>
      <c r="J1558" s="2">
        <f>IFERROR(VALUE(TRIM(SUBSTITUTE(UPPER([1]RawShipmentData!I1558),"KG",""))),"")</f>
        <v>19.3</v>
      </c>
      <c r="K1558" s="2">
        <f>VALUE(SUBSTITUTE(SUBSTITUTE(SUBSTITUTE(TRIM([1]RawShipmentData!J1575),"₹",""),"Rs",""),",",""))</f>
        <v>894</v>
      </c>
      <c r="L1558" s="2">
        <f>[1]RawShipmentData!K1575</f>
        <v>4</v>
      </c>
      <c r="M1558" s="3">
        <f>IF(TRIM([1]RawShipmentData!L1575)="","",IF(ISNUMBER(SEARCH("/",TRIM([1]RawShipmentData!L1575))),DATE(VALUE(RIGHT(TRIM([1]RawShipmentData!L1575),4)),VALUE(MID(TRIM([1]RawShipmentData!L1575),FIND("/",TRIM([1]RawShipmentData!L1575))+1,2)),VALUE(LEFT(TRIM([1]RawShipmentData!L1575),FIND("/",TRIM([1]RawShipmentData!L1575))-1))),DATEVALUE(TRIM([1]RawShipmentData!L1575))))</f>
        <v>45466</v>
      </c>
      <c r="N1558" s="2">
        <f t="shared" si="121"/>
        <v>11</v>
      </c>
      <c r="O1558" s="2">
        <f t="shared" si="122"/>
        <v>7</v>
      </c>
      <c r="P1558" s="2" t="str">
        <f t="shared" si="123"/>
        <v>Late</v>
      </c>
      <c r="Q1558" s="2" t="str">
        <f>PROPER(SUBSTITUTE(TRIM([1]RawShipmentData!M1575)," ","-"))</f>
        <v>Delayed</v>
      </c>
      <c r="R1558" s="4">
        <f t="shared" si="124"/>
        <v>46.321243523316063</v>
      </c>
      <c r="S1558" s="2">
        <f>[1]RawShipmentData!N1575</f>
        <v>1</v>
      </c>
      <c r="T1558" s="2" t="str">
        <f>IF(OR(UPPER(TRIM([1]RawShipmentData!O1575))="YES",UPPER(TRIM([1]RawShipmentData!O1575))="Y"),"Yes","No")</f>
        <v>No</v>
      </c>
    </row>
    <row r="1559" spans="1:20" x14ac:dyDescent="0.25">
      <c r="A1559" s="2" t="str">
        <f>[1]RawShipmentData!A1576</f>
        <v>SHP-100386</v>
      </c>
      <c r="B1559" s="3">
        <f>IF(ISNUMBER(SEARCH("/",TRIM([1]RawShipmentData!B1576))),DATE(VALUE(RIGHT(TRIM([1]RawShipmentData!B1576),4)),VALUE(MID(TRIM([1]RawShipmentData!B1576),FIND("/",TRIM([1]RawShipmentData!B1576))+1,2)),VALUE(LEFT(TRIM([1]RawShipmentData!B1576),FIND("/",TRIM([1]RawShipmentData!B1576))-1))),DATEVALUE(TRIM([1]RawShipmentData!B1576)))</f>
        <v>45337</v>
      </c>
      <c r="C1559" s="2" t="str">
        <f>PROPER(TRIM([1]RawShipmentData!C1576))</f>
        <v>Mumbai</v>
      </c>
      <c r="D1559" s="2" t="str">
        <f>IFERROR(INDEX([1]HubMaster!$B$2:$B$7,MATCH(C1559,[1]HubMaster!$A$2:$A$7,0)),"Unknown")</f>
        <v>West</v>
      </c>
      <c r="E1559" s="2" t="str">
        <f>PROPER(TRIM(SUBSTITUTE([1]RawShipmentData!D1576,"  "," ")))</f>
        <v>Blue Dart</v>
      </c>
      <c r="F1559" s="2" t="str">
        <f>PROPER(TRIM([1]RawShipmentData!E1576))</f>
        <v>Air</v>
      </c>
      <c r="G1559" s="2" t="str">
        <f>PROPER(TRIM(SUBSTITUTE([1]RawShipmentData!F1576,"  "," ")))</f>
        <v>Furniture</v>
      </c>
      <c r="H1559" s="2" t="str">
        <f>PROPER(TRIM([1]RawShipmentData!G1576))</f>
        <v>North</v>
      </c>
      <c r="I1559" s="2" t="str">
        <f t="shared" si="120"/>
        <v>Yes</v>
      </c>
      <c r="J1559" s="2">
        <f>IFERROR(VALUE(TRIM(SUBSTITUTE(UPPER([1]RawShipmentData!I1559),"KG",""))),"")</f>
        <v>4</v>
      </c>
      <c r="K1559" s="2">
        <f>VALUE(SUBSTITUTE(SUBSTITUTE(SUBSTITUTE(TRIM([1]RawShipmentData!J1576),"₹",""),"Rs",""),",",""))</f>
        <v>1337</v>
      </c>
      <c r="L1559" s="2">
        <f>[1]RawShipmentData!K1576</f>
        <v>4</v>
      </c>
      <c r="M1559" s="3">
        <f>IF(TRIM([1]RawShipmentData!L1576)="","",IF(ISNUMBER(SEARCH("/",TRIM([1]RawShipmentData!L1576))),DATE(VALUE(RIGHT(TRIM([1]RawShipmentData!L1576),4)),VALUE(MID(TRIM([1]RawShipmentData!L1576),FIND("/",TRIM([1]RawShipmentData!L1576))+1,2)),VALUE(LEFT(TRIM([1]RawShipmentData!L1576),FIND("/",TRIM([1]RawShipmentData!L1576))-1))),DATEVALUE(TRIM([1]RawShipmentData!L1576))))</f>
        <v>45340</v>
      </c>
      <c r="N1559" s="2">
        <f t="shared" si="121"/>
        <v>3</v>
      </c>
      <c r="O1559" s="2">
        <f t="shared" si="122"/>
        <v>-1</v>
      </c>
      <c r="P1559" s="2" t="str">
        <f t="shared" si="123"/>
        <v>On Time</v>
      </c>
      <c r="Q1559" s="2" t="str">
        <f>PROPER(SUBSTITUTE(TRIM([1]RawShipmentData!M1576)," ","-"))</f>
        <v>Delivered</v>
      </c>
      <c r="R1559" s="4">
        <f t="shared" si="124"/>
        <v>334.25</v>
      </c>
      <c r="S1559" s="2">
        <f>[1]RawShipmentData!N1576</f>
        <v>3</v>
      </c>
      <c r="T1559" s="2" t="str">
        <f>IF(OR(UPPER(TRIM([1]RawShipmentData!O1576))="YES",UPPER(TRIM([1]RawShipmentData!O1576))="Y"),"Yes","No")</f>
        <v>Yes</v>
      </c>
    </row>
    <row r="1560" spans="1:20" x14ac:dyDescent="0.25">
      <c r="A1560" s="2" t="str">
        <f>[1]RawShipmentData!A1577</f>
        <v>SHP-101458</v>
      </c>
      <c r="B1560" s="3">
        <f>IF(ISNUMBER(SEARCH("/",TRIM([1]RawShipmentData!B1577))),DATE(VALUE(RIGHT(TRIM([1]RawShipmentData!B1577),4)),VALUE(MID(TRIM([1]RawShipmentData!B1577),FIND("/",TRIM([1]RawShipmentData!B1577))+1,2)),VALUE(LEFT(TRIM([1]RawShipmentData!B1577),FIND("/",TRIM([1]RawShipmentData!B1577))-1))),DATEVALUE(TRIM([1]RawShipmentData!B1577)))</f>
        <v>45427</v>
      </c>
      <c r="C1560" s="2" t="str">
        <f>PROPER(TRIM([1]RawShipmentData!C1577))</f>
        <v>Delhi</v>
      </c>
      <c r="D1560" s="2" t="str">
        <f>IFERROR(INDEX([1]HubMaster!$B$2:$B$7,MATCH(C1560,[1]HubMaster!$A$2:$A$7,0)),"Unknown")</f>
        <v>North</v>
      </c>
      <c r="E1560" s="2" t="str">
        <f>PROPER(TRIM(SUBSTITUTE([1]RawShipmentData!D1577,"  "," ")))</f>
        <v>Bluedart</v>
      </c>
      <c r="F1560" s="2" t="str">
        <f>PROPER(TRIM([1]RawShipmentData!E1577))</f>
        <v>Surface</v>
      </c>
      <c r="G1560" s="2" t="str">
        <f>PROPER(TRIM(SUBSTITUTE([1]RawShipmentData!F1577,"  "," ")))</f>
        <v>Furniture</v>
      </c>
      <c r="H1560" s="2" t="str">
        <f>PROPER(TRIM([1]RawShipmentData!G1577))</f>
        <v>North</v>
      </c>
      <c r="I1560" s="2" t="str">
        <f t="shared" si="120"/>
        <v>No</v>
      </c>
      <c r="J1560" s="2">
        <f>IFERROR(VALUE(TRIM(SUBSTITUTE(UPPER([1]RawShipmentData!I1560),"KG",""))),"")</f>
        <v>4.2</v>
      </c>
      <c r="K1560" s="2">
        <f>VALUE(SUBSTITUTE(SUBSTITUTE(SUBSTITUTE(TRIM([1]RawShipmentData!J1577),"₹",""),"Rs",""),",",""))</f>
        <v>1417</v>
      </c>
      <c r="L1560" s="2">
        <f>[1]RawShipmentData!K1577</f>
        <v>4</v>
      </c>
      <c r="M1560" s="3">
        <f>IF(TRIM([1]RawShipmentData!L1577)="","",IF(ISNUMBER(SEARCH("/",TRIM([1]RawShipmentData!L1577))),DATE(VALUE(RIGHT(TRIM([1]RawShipmentData!L1577),4)),VALUE(MID(TRIM([1]RawShipmentData!L1577),FIND("/",TRIM([1]RawShipmentData!L1577))+1,2)),VALUE(LEFT(TRIM([1]RawShipmentData!L1577),FIND("/",TRIM([1]RawShipmentData!L1577))-1))),DATEVALUE(TRIM([1]RawShipmentData!L1577))))</f>
        <v>45432</v>
      </c>
      <c r="N1560" s="2">
        <f t="shared" si="121"/>
        <v>5</v>
      </c>
      <c r="O1560" s="2">
        <f t="shared" si="122"/>
        <v>1</v>
      </c>
      <c r="P1560" s="2" t="str">
        <f t="shared" si="123"/>
        <v>Late</v>
      </c>
      <c r="Q1560" s="2" t="str">
        <f>PROPER(SUBSTITUTE(TRIM([1]RawShipmentData!M1577)," ","-"))</f>
        <v>Delayed</v>
      </c>
      <c r="R1560" s="4">
        <f t="shared" si="124"/>
        <v>337.38095238095235</v>
      </c>
      <c r="S1560" s="2">
        <f>[1]RawShipmentData!N1577</f>
        <v>2</v>
      </c>
      <c r="T1560" s="2" t="str">
        <f>IF(OR(UPPER(TRIM([1]RawShipmentData!O1577))="YES",UPPER(TRIM([1]RawShipmentData!O1577))="Y"),"Yes","No")</f>
        <v>No</v>
      </c>
    </row>
    <row r="1561" spans="1:20" x14ac:dyDescent="0.25">
      <c r="A1561" s="2" t="str">
        <f>[1]RawShipmentData!A1578</f>
        <v>SHP-100590</v>
      </c>
      <c r="B1561" s="3">
        <f>IF(ISNUMBER(SEARCH("/",TRIM([1]RawShipmentData!B1578))),DATE(VALUE(RIGHT(TRIM([1]RawShipmentData!B1578),4)),VALUE(MID(TRIM([1]RawShipmentData!B1578),FIND("/",TRIM([1]RawShipmentData!B1578))+1,2)),VALUE(LEFT(TRIM([1]RawShipmentData!B1578),FIND("/",TRIM([1]RawShipmentData!B1578))-1))),DATEVALUE(TRIM([1]RawShipmentData!B1578)))</f>
        <v>45318</v>
      </c>
      <c r="C1561" s="2" t="str">
        <f>PROPER(TRIM([1]RawShipmentData!C1578))</f>
        <v>Chennai</v>
      </c>
      <c r="D1561" s="2" t="str">
        <f>IFERROR(INDEX([1]HubMaster!$B$2:$B$7,MATCH(C1561,[1]HubMaster!$A$2:$A$7,0)),"Unknown")</f>
        <v>South</v>
      </c>
      <c r="E1561" s="2" t="str">
        <f>PROPER(TRIM(SUBSTITUTE([1]RawShipmentData!D1578,"  "," ")))</f>
        <v>Dtdc</v>
      </c>
      <c r="F1561" s="2" t="str">
        <f>PROPER(TRIM([1]RawShipmentData!E1578))</f>
        <v>Surface</v>
      </c>
      <c r="G1561" s="2" t="str">
        <f>PROPER(TRIM(SUBSTITUTE([1]RawShipmentData!F1578,"  "," ")))</f>
        <v>Pharma</v>
      </c>
      <c r="H1561" s="2" t="str">
        <f>PROPER(TRIM([1]RawShipmentData!G1578))</f>
        <v>South</v>
      </c>
      <c r="I1561" s="2" t="str">
        <f t="shared" si="120"/>
        <v>No</v>
      </c>
      <c r="J1561" s="2">
        <f>IFERROR(VALUE(TRIM(SUBSTITUTE(UPPER([1]RawShipmentData!I1561),"KG",""))),"")</f>
        <v>18.3</v>
      </c>
      <c r="K1561" s="2">
        <f>VALUE(SUBSTITUTE(SUBSTITUTE(SUBSTITUTE(TRIM([1]RawShipmentData!J1578),"₹",""),"Rs",""),",",""))</f>
        <v>81</v>
      </c>
      <c r="L1561" s="2">
        <f>[1]RawShipmentData!K1578</f>
        <v>4</v>
      </c>
      <c r="M1561" s="3">
        <f>IF(TRIM([1]RawShipmentData!L1578)="","",IF(ISNUMBER(SEARCH("/",TRIM([1]RawShipmentData!L1578))),DATE(VALUE(RIGHT(TRIM([1]RawShipmentData!L1578),4)),VALUE(MID(TRIM([1]RawShipmentData!L1578),FIND("/",TRIM([1]RawShipmentData!L1578))+1,2)),VALUE(LEFT(TRIM([1]RawShipmentData!L1578),FIND("/",TRIM([1]RawShipmentData!L1578))-1))),DATEVALUE(TRIM([1]RawShipmentData!L1578))))</f>
        <v>45323</v>
      </c>
      <c r="N1561" s="2">
        <f t="shared" si="121"/>
        <v>5</v>
      </c>
      <c r="O1561" s="2">
        <f t="shared" si="122"/>
        <v>1</v>
      </c>
      <c r="P1561" s="2" t="str">
        <f t="shared" si="123"/>
        <v>Late</v>
      </c>
      <c r="Q1561" s="2" t="str">
        <f>PROPER(SUBSTITUTE(TRIM([1]RawShipmentData!M1578)," ","-"))</f>
        <v>Delayed</v>
      </c>
      <c r="R1561" s="4">
        <f t="shared" si="124"/>
        <v>4.4262295081967213</v>
      </c>
      <c r="S1561" s="2">
        <f>[1]RawShipmentData!N1578</f>
        <v>1</v>
      </c>
      <c r="T1561" s="2" t="str">
        <f>IF(OR(UPPER(TRIM([1]RawShipmentData!O1578))="YES",UPPER(TRIM([1]RawShipmentData!O1578))="Y"),"Yes","No")</f>
        <v>Yes</v>
      </c>
    </row>
    <row r="1562" spans="1:20" x14ac:dyDescent="0.25">
      <c r="A1562" s="2" t="str">
        <f>[1]RawShipmentData!A1579</f>
        <v>SHP-100960</v>
      </c>
      <c r="B1562" s="3">
        <f>IF(ISNUMBER(SEARCH("/",TRIM([1]RawShipmentData!B1579))),DATE(VALUE(RIGHT(TRIM([1]RawShipmentData!B1579),4)),VALUE(MID(TRIM([1]RawShipmentData!B1579),FIND("/",TRIM([1]RawShipmentData!B1579))+1,2)),VALUE(LEFT(TRIM([1]RawShipmentData!B1579),FIND("/",TRIM([1]RawShipmentData!B1579))-1))),DATEVALUE(TRIM([1]RawShipmentData!B1579)))</f>
        <v>45430</v>
      </c>
      <c r="C1562" s="2" t="str">
        <f>PROPER(TRIM([1]RawShipmentData!C1579))</f>
        <v>Hyderabad</v>
      </c>
      <c r="D1562" s="2" t="str">
        <f>IFERROR(INDEX([1]HubMaster!$B$2:$B$7,MATCH(C1562,[1]HubMaster!$A$2:$A$7,0)),"Unknown")</f>
        <v>West</v>
      </c>
      <c r="E1562" s="2" t="str">
        <f>PROPER(TRIM(SUBSTITUTE([1]RawShipmentData!D1579,"  "," ")))</f>
        <v>Delhivery</v>
      </c>
      <c r="F1562" s="2" t="str">
        <f>PROPER(TRIM([1]RawShipmentData!E1579))</f>
        <v>Road</v>
      </c>
      <c r="G1562" s="2" t="str">
        <f>PROPER(TRIM(SUBSTITUTE([1]RawShipmentData!F1579,"  "," ")))</f>
        <v>Pharma</v>
      </c>
      <c r="H1562" s="2" t="str">
        <f>PROPER(TRIM([1]RawShipmentData!G1579))</f>
        <v>East</v>
      </c>
      <c r="I1562" s="2" t="str">
        <f t="shared" si="120"/>
        <v>Yes</v>
      </c>
      <c r="J1562" s="2">
        <f>IFERROR(VALUE(TRIM(SUBSTITUTE(UPPER([1]RawShipmentData!I1562),"KG",""))),"")</f>
        <v>0.7</v>
      </c>
      <c r="K1562" s="2">
        <f>VALUE(SUBSTITUTE(SUBSTITUTE(SUBSTITUTE(TRIM([1]RawShipmentData!J1579),"₹",""),"Rs",""),",",""))</f>
        <v>172</v>
      </c>
      <c r="L1562" s="2">
        <f>[1]RawShipmentData!K1579</f>
        <v>8</v>
      </c>
      <c r="M1562" s="3">
        <f>IF(TRIM([1]RawShipmentData!L1579)="","",IF(ISNUMBER(SEARCH("/",TRIM([1]RawShipmentData!L1579))),DATE(VALUE(RIGHT(TRIM([1]RawShipmentData!L1579),4)),VALUE(MID(TRIM([1]RawShipmentData!L1579),FIND("/",TRIM([1]RawShipmentData!L1579))+1,2)),VALUE(LEFT(TRIM([1]RawShipmentData!L1579),FIND("/",TRIM([1]RawShipmentData!L1579))-1))),DATEVALUE(TRIM([1]RawShipmentData!L1579))))</f>
        <v>45439</v>
      </c>
      <c r="N1562" s="2">
        <f t="shared" si="121"/>
        <v>9</v>
      </c>
      <c r="O1562" s="2">
        <f t="shared" si="122"/>
        <v>1</v>
      </c>
      <c r="P1562" s="2" t="str">
        <f t="shared" si="123"/>
        <v>Late</v>
      </c>
      <c r="Q1562" s="2" t="str">
        <f>PROPER(SUBSTITUTE(TRIM([1]RawShipmentData!M1579)," ","-"))</f>
        <v>Delayed</v>
      </c>
      <c r="R1562" s="4">
        <f t="shared" si="124"/>
        <v>245.71428571428572</v>
      </c>
      <c r="S1562" s="2">
        <f>[1]RawShipmentData!N1579</f>
        <v>1</v>
      </c>
      <c r="T1562" s="2" t="str">
        <f>IF(OR(UPPER(TRIM([1]RawShipmentData!O1579))="YES",UPPER(TRIM([1]RawShipmentData!O1579))="Y"),"Yes","No")</f>
        <v>No</v>
      </c>
    </row>
    <row r="1563" spans="1:20" x14ac:dyDescent="0.25">
      <c r="A1563" s="2" t="str">
        <f>[1]RawShipmentData!A1580</f>
        <v>SHP-101332</v>
      </c>
      <c r="B1563" s="3">
        <f>IF(ISNUMBER(SEARCH("/",TRIM([1]RawShipmentData!B1580))),DATE(VALUE(RIGHT(TRIM([1]RawShipmentData!B1580),4)),VALUE(MID(TRIM([1]RawShipmentData!B1580),FIND("/",TRIM([1]RawShipmentData!B1580))+1,2)),VALUE(LEFT(TRIM([1]RawShipmentData!B1580),FIND("/",TRIM([1]RawShipmentData!B1580))-1))),DATEVALUE(TRIM([1]RawShipmentData!B1580)))</f>
        <v>45358</v>
      </c>
      <c r="C1563" s="2" t="str">
        <f>PROPER(TRIM([1]RawShipmentData!C1580))</f>
        <v>Bengaluru</v>
      </c>
      <c r="D1563" s="2" t="str">
        <f>IFERROR(INDEX([1]HubMaster!$B$2:$B$7,MATCH(C1563,[1]HubMaster!$A$2:$A$7,0)),"Unknown")</f>
        <v>South</v>
      </c>
      <c r="E1563" s="2" t="str">
        <f>PROPER(TRIM(SUBSTITUTE([1]RawShipmentData!D1580,"  "," ")))</f>
        <v>Delhivery</v>
      </c>
      <c r="F1563" s="2" t="str">
        <f>PROPER(TRIM([1]RawShipmentData!E1580))</f>
        <v>Road</v>
      </c>
      <c r="G1563" s="2" t="str">
        <f>PROPER(TRIM(SUBSTITUTE([1]RawShipmentData!F1580,"  "," ")))</f>
        <v>Furniture</v>
      </c>
      <c r="H1563" s="2" t="str">
        <f>PROPER(TRIM([1]RawShipmentData!G1580))</f>
        <v>West</v>
      </c>
      <c r="I1563" s="2" t="str">
        <f t="shared" si="120"/>
        <v>Yes</v>
      </c>
      <c r="J1563" s="2">
        <f>IFERROR(VALUE(TRIM(SUBSTITUTE(UPPER([1]RawShipmentData!I1563),"KG",""))),"")</f>
        <v>6.7</v>
      </c>
      <c r="K1563" s="2">
        <f>VALUE(SUBSTITUTE(SUBSTITUTE(SUBSTITUTE(TRIM([1]RawShipmentData!J1580),"₹",""),"Rs",""),",",""))</f>
        <v>1160</v>
      </c>
      <c r="L1563" s="2">
        <f>[1]RawShipmentData!K1580</f>
        <v>8</v>
      </c>
      <c r="M1563" s="3">
        <f>IF(TRIM([1]RawShipmentData!L1580)="","",IF(ISNUMBER(SEARCH("/",TRIM([1]RawShipmentData!L1580))),DATE(VALUE(RIGHT(TRIM([1]RawShipmentData!L1580),4)),VALUE(MID(TRIM([1]RawShipmentData!L1580),FIND("/",TRIM([1]RawShipmentData!L1580))+1,2)),VALUE(LEFT(TRIM([1]RawShipmentData!L1580),FIND("/",TRIM([1]RawShipmentData!L1580))-1))),DATEVALUE(TRIM([1]RawShipmentData!L1580))))</f>
        <v>45365</v>
      </c>
      <c r="N1563" s="2">
        <f t="shared" si="121"/>
        <v>7</v>
      </c>
      <c r="O1563" s="2">
        <f t="shared" si="122"/>
        <v>-1</v>
      </c>
      <c r="P1563" s="2" t="str">
        <f t="shared" si="123"/>
        <v>On Time</v>
      </c>
      <c r="Q1563" s="2" t="str">
        <f>PROPER(SUBSTITUTE(TRIM([1]RawShipmentData!M1580)," ","-"))</f>
        <v>Delivered</v>
      </c>
      <c r="R1563" s="4">
        <f t="shared" si="124"/>
        <v>173.13432835820896</v>
      </c>
      <c r="S1563" s="2">
        <f>[1]RawShipmentData!N1580</f>
        <v>4</v>
      </c>
      <c r="T1563" s="2" t="str">
        <f>IF(OR(UPPER(TRIM([1]RawShipmentData!O1580))="YES",UPPER(TRIM([1]RawShipmentData!O1580))="Y"),"Yes","No")</f>
        <v>No</v>
      </c>
    </row>
    <row r="1564" spans="1:20" x14ac:dyDescent="0.25">
      <c r="A1564" s="2" t="str">
        <f>[1]RawShipmentData!A1582</f>
        <v>SHP-100528</v>
      </c>
      <c r="B1564" s="3">
        <f>IF(ISNUMBER(SEARCH("/",TRIM([1]RawShipmentData!B1582))),DATE(VALUE(RIGHT(TRIM([1]RawShipmentData!B1582),4)),VALUE(MID(TRIM([1]RawShipmentData!B1582),FIND("/",TRIM([1]RawShipmentData!B1582))+1,2)),VALUE(LEFT(TRIM([1]RawShipmentData!B1582),FIND("/",TRIM([1]RawShipmentData!B1582))-1))),DATEVALUE(TRIM([1]RawShipmentData!B1582)))</f>
        <v>45363</v>
      </c>
      <c r="C1564" s="2" t="str">
        <f>PROPER(TRIM([1]RawShipmentData!C1582))</f>
        <v>Delhi</v>
      </c>
      <c r="D1564" s="2" t="str">
        <f>IFERROR(INDEX([1]HubMaster!$B$2:$B$7,MATCH(C1564,[1]HubMaster!$A$2:$A$7,0)),"Unknown")</f>
        <v>North</v>
      </c>
      <c r="E1564" s="2" t="str">
        <f>PROPER(TRIM(SUBSTITUTE([1]RawShipmentData!D1582,"  "," ")))</f>
        <v>Xpress Bees</v>
      </c>
      <c r="F1564" s="2" t="str">
        <f>PROPER(TRIM([1]RawShipmentData!E1582))</f>
        <v>Air</v>
      </c>
      <c r="G1564" s="2" t="str">
        <f>PROPER(TRIM(SUBSTITUTE([1]RawShipmentData!F1582,"  "," ")))</f>
        <v>Pharma</v>
      </c>
      <c r="H1564" s="2" t="str">
        <f>PROPER(TRIM([1]RawShipmentData!G1582))</f>
        <v>South</v>
      </c>
      <c r="I1564" s="2" t="str">
        <f t="shared" si="120"/>
        <v>Yes</v>
      </c>
      <c r="J1564" s="2">
        <f>IFERROR(VALUE(TRIM(SUBSTITUTE(UPPER([1]RawShipmentData!I1564),"KG",""))),"")</f>
        <v>12.1</v>
      </c>
      <c r="K1564" s="2">
        <f>VALUE(SUBSTITUTE(SUBSTITUTE(SUBSTITUTE(TRIM([1]RawShipmentData!J1582),"₹",""),"Rs",""),",",""))</f>
        <v>357</v>
      </c>
      <c r="L1564" s="2">
        <f>[1]RawShipmentData!K1582</f>
        <v>4</v>
      </c>
      <c r="M1564" s="3">
        <f>IF(TRIM([1]RawShipmentData!L1582)="","",IF(ISNUMBER(SEARCH("/",TRIM([1]RawShipmentData!L1582))),DATE(VALUE(RIGHT(TRIM([1]RawShipmentData!L1582),4)),VALUE(MID(TRIM([1]RawShipmentData!L1582),FIND("/",TRIM([1]RawShipmentData!L1582))+1,2)),VALUE(LEFT(TRIM([1]RawShipmentData!L1582),FIND("/",TRIM([1]RawShipmentData!L1582))-1))),DATEVALUE(TRIM([1]RawShipmentData!L1582))))</f>
        <v>45367</v>
      </c>
      <c r="N1564" s="2">
        <f t="shared" si="121"/>
        <v>4</v>
      </c>
      <c r="O1564" s="2">
        <f t="shared" si="122"/>
        <v>0</v>
      </c>
      <c r="P1564" s="2" t="str">
        <f t="shared" si="123"/>
        <v>On Time</v>
      </c>
      <c r="Q1564" s="2" t="str">
        <f>PROPER(SUBSTITUTE(TRIM([1]RawShipmentData!M1582)," ","-"))</f>
        <v>Delivered</v>
      </c>
      <c r="R1564" s="4">
        <f t="shared" si="124"/>
        <v>29.504132231404959</v>
      </c>
      <c r="S1564" s="2">
        <f>[1]RawShipmentData!N1582</f>
        <v>3</v>
      </c>
      <c r="T1564" s="2" t="str">
        <f>IF(OR(UPPER(TRIM([1]RawShipmentData!O1582))="YES",UPPER(TRIM([1]RawShipmentData!O1582))="Y"),"Yes","No")</f>
        <v>No</v>
      </c>
    </row>
    <row r="1565" spans="1:20" x14ac:dyDescent="0.25">
      <c r="A1565" s="2" t="str">
        <f>[1]RawShipmentData!A1583</f>
        <v>SHP-100208</v>
      </c>
      <c r="B1565" s="3">
        <f>IF(ISNUMBER(SEARCH("/",TRIM([1]RawShipmentData!B1583))),DATE(VALUE(RIGHT(TRIM([1]RawShipmentData!B1583),4)),VALUE(MID(TRIM([1]RawShipmentData!B1583),FIND("/",TRIM([1]RawShipmentData!B1583))+1,2)),VALUE(LEFT(TRIM([1]RawShipmentData!B1583),FIND("/",TRIM([1]RawShipmentData!B1583))-1))),DATEVALUE(TRIM([1]RawShipmentData!B1583)))</f>
        <v>45399</v>
      </c>
      <c r="C1565" s="2" t="str">
        <f>PROPER(TRIM([1]RawShipmentData!C1583))</f>
        <v>Mumbai</v>
      </c>
      <c r="D1565" s="2" t="str">
        <f>IFERROR(INDEX([1]HubMaster!$B$2:$B$7,MATCH(C1565,[1]HubMaster!$A$2:$A$7,0)),"Unknown")</f>
        <v>West</v>
      </c>
      <c r="E1565" s="2" t="str">
        <f>PROPER(TRIM(SUBSTITUTE([1]RawShipmentData!D1583,"  "," ")))</f>
        <v>Ecom Express</v>
      </c>
      <c r="F1565" s="2" t="str">
        <f>PROPER(TRIM([1]RawShipmentData!E1583))</f>
        <v>Surface</v>
      </c>
      <c r="G1565" s="2" t="str">
        <f>PROPER(TRIM(SUBSTITUTE([1]RawShipmentData!F1583,"  "," ")))</f>
        <v>Pharma</v>
      </c>
      <c r="H1565" s="2" t="str">
        <f>PROPER(TRIM([1]RawShipmentData!G1583))</f>
        <v>West</v>
      </c>
      <c r="I1565" s="2" t="str">
        <f t="shared" si="120"/>
        <v>No</v>
      </c>
      <c r="J1565" s="2">
        <f>IFERROR(VALUE(TRIM(SUBSTITUTE(UPPER([1]RawShipmentData!I1565),"KG",""))),"")</f>
        <v>2.1</v>
      </c>
      <c r="K1565" s="2">
        <f>VALUE(SUBSTITUTE(SUBSTITUTE(SUBSTITUTE(TRIM([1]RawShipmentData!J1583),"₹",""),"Rs",""),",",""))</f>
        <v>95</v>
      </c>
      <c r="L1565" s="2">
        <f>[1]RawShipmentData!K1583</f>
        <v>4</v>
      </c>
      <c r="M1565" s="3">
        <f>IF(TRIM([1]RawShipmentData!L1583)="","",IF(ISNUMBER(SEARCH("/",TRIM([1]RawShipmentData!L1583))),DATE(VALUE(RIGHT(TRIM([1]RawShipmentData!L1583),4)),VALUE(MID(TRIM([1]RawShipmentData!L1583),FIND("/",TRIM([1]RawShipmentData!L1583))+1,2)),VALUE(LEFT(TRIM([1]RawShipmentData!L1583),FIND("/",TRIM([1]RawShipmentData!L1583))-1))),DATEVALUE(TRIM([1]RawShipmentData!L1583))))</f>
        <v>45402</v>
      </c>
      <c r="N1565" s="2">
        <f t="shared" si="121"/>
        <v>3</v>
      </c>
      <c r="O1565" s="2">
        <f t="shared" si="122"/>
        <v>-1</v>
      </c>
      <c r="P1565" s="2" t="str">
        <f t="shared" si="123"/>
        <v>On Time</v>
      </c>
      <c r="Q1565" s="2" t="str">
        <f>PROPER(SUBSTITUTE(TRIM([1]RawShipmentData!M1583)," ","-"))</f>
        <v>Delivered</v>
      </c>
      <c r="R1565" s="4">
        <f t="shared" si="124"/>
        <v>45.238095238095234</v>
      </c>
      <c r="S1565" s="2">
        <f>[1]RawShipmentData!N1583</f>
        <v>4</v>
      </c>
      <c r="T1565" s="2" t="str">
        <f>IF(OR(UPPER(TRIM([1]RawShipmentData!O1583))="YES",UPPER(TRIM([1]RawShipmentData!O1583))="Y"),"Yes","No")</f>
        <v>No</v>
      </c>
    </row>
    <row r="1566" spans="1:20" x14ac:dyDescent="0.25">
      <c r="A1566" s="2" t="str">
        <f>[1]RawShipmentData!A1584</f>
        <v>SHP-100854</v>
      </c>
      <c r="B1566" s="3">
        <f>IF(ISNUMBER(SEARCH("/",TRIM([1]RawShipmentData!B1584))),DATE(VALUE(RIGHT(TRIM([1]RawShipmentData!B1584),4)),VALUE(MID(TRIM([1]RawShipmentData!B1584),FIND("/",TRIM([1]RawShipmentData!B1584))+1,2)),VALUE(LEFT(TRIM([1]RawShipmentData!B1584),FIND("/",TRIM([1]RawShipmentData!B1584))-1))),DATEVALUE(TRIM([1]RawShipmentData!B1584)))</f>
        <v>45466</v>
      </c>
      <c r="C1566" s="2" t="str">
        <f>PROPER(TRIM([1]RawShipmentData!C1584))</f>
        <v>Bengaluru</v>
      </c>
      <c r="D1566" s="2" t="str">
        <f>IFERROR(INDEX([1]HubMaster!$B$2:$B$7,MATCH(C1566,[1]HubMaster!$A$2:$A$7,0)),"Unknown")</f>
        <v>South</v>
      </c>
      <c r="E1566" s="2" t="str">
        <f>PROPER(TRIM(SUBSTITUTE([1]RawShipmentData!D1584,"  "," ")))</f>
        <v>Delhivery</v>
      </c>
      <c r="F1566" s="2" t="str">
        <f>PROPER(TRIM([1]RawShipmentData!E1584))</f>
        <v>Road</v>
      </c>
      <c r="G1566" s="2" t="str">
        <f>PROPER(TRIM(SUBSTITUTE([1]RawShipmentData!F1584,"  "," ")))</f>
        <v>Electronics</v>
      </c>
      <c r="H1566" s="2" t="str">
        <f>PROPER(TRIM([1]RawShipmentData!G1584))</f>
        <v>West</v>
      </c>
      <c r="I1566" s="2" t="str">
        <f t="shared" si="120"/>
        <v>Yes</v>
      </c>
      <c r="J1566" s="2">
        <f>IFERROR(VALUE(TRIM(SUBSTITUTE(UPPER([1]RawShipmentData!I1566),"KG",""))),"")</f>
        <v>18.600000000000001</v>
      </c>
      <c r="K1566" s="2">
        <f>VALUE(SUBSTITUTE(SUBSTITUTE(SUBSTITUTE(TRIM([1]RawShipmentData!J1584),"₹",""),"Rs",""),",",""))</f>
        <v>380</v>
      </c>
      <c r="L1566" s="2">
        <f>[1]RawShipmentData!K1584</f>
        <v>8</v>
      </c>
      <c r="M1566" s="3">
        <f>IF(TRIM([1]RawShipmentData!L1584)="","",IF(ISNUMBER(SEARCH("/",TRIM([1]RawShipmentData!L1584))),DATE(VALUE(RIGHT(TRIM([1]RawShipmentData!L1584),4)),VALUE(MID(TRIM([1]RawShipmentData!L1584),FIND("/",TRIM([1]RawShipmentData!L1584))+1,2)),VALUE(LEFT(TRIM([1]RawShipmentData!L1584),FIND("/",TRIM([1]RawShipmentData!L1584))-1))),DATEVALUE(TRIM([1]RawShipmentData!L1584))))</f>
        <v>45476</v>
      </c>
      <c r="N1566" s="2">
        <f t="shared" si="121"/>
        <v>10</v>
      </c>
      <c r="O1566" s="2">
        <f t="shared" si="122"/>
        <v>2</v>
      </c>
      <c r="P1566" s="2" t="str">
        <f t="shared" si="123"/>
        <v>Late</v>
      </c>
      <c r="Q1566" s="2" t="str">
        <f>PROPER(SUBSTITUTE(TRIM([1]RawShipmentData!M1584)," ","-"))</f>
        <v>Delayed</v>
      </c>
      <c r="R1566" s="4">
        <f t="shared" si="124"/>
        <v>20.43010752688172</v>
      </c>
      <c r="S1566" s="2">
        <f>[1]RawShipmentData!N1584</f>
        <v>1</v>
      </c>
      <c r="T1566" s="2" t="str">
        <f>IF(OR(UPPER(TRIM([1]RawShipmentData!O1584))="YES",UPPER(TRIM([1]RawShipmentData!O1584))="Y"),"Yes","No")</f>
        <v>No</v>
      </c>
    </row>
    <row r="1567" spans="1:20" x14ac:dyDescent="0.25">
      <c r="A1567" s="2" t="str">
        <f>[1]RawShipmentData!A1585</f>
        <v>SHP-101579</v>
      </c>
      <c r="B1567" s="3">
        <f>IF(ISNUMBER(SEARCH("/",TRIM([1]RawShipmentData!B1585))),DATE(VALUE(RIGHT(TRIM([1]RawShipmentData!B1585),4)),VALUE(MID(TRIM([1]RawShipmentData!B1585),FIND("/",TRIM([1]RawShipmentData!B1585))+1,2)),VALUE(LEFT(TRIM([1]RawShipmentData!B1585),FIND("/",TRIM([1]RawShipmentData!B1585))-1))),DATEVALUE(TRIM([1]RawShipmentData!B1585)))</f>
        <v>45414</v>
      </c>
      <c r="C1567" s="2" t="str">
        <f>PROPER(TRIM([1]RawShipmentData!C1585))</f>
        <v>Hyderabad</v>
      </c>
      <c r="D1567" s="2" t="str">
        <f>IFERROR(INDEX([1]HubMaster!$B$2:$B$7,MATCH(C1567,[1]HubMaster!$A$2:$A$7,0)),"Unknown")</f>
        <v>West</v>
      </c>
      <c r="E1567" s="2" t="str">
        <f>PROPER(TRIM(SUBSTITUTE([1]RawShipmentData!D1585,"  "," ")))</f>
        <v>Xpressbees</v>
      </c>
      <c r="F1567" s="2" t="str">
        <f>PROPER(TRIM([1]RawShipmentData!E1585))</f>
        <v>Surface</v>
      </c>
      <c r="G1567" s="2" t="str">
        <f>PROPER(TRIM(SUBSTITUTE([1]RawShipmentData!F1585,"  "," ")))</f>
        <v>Grocery &amp; Fmcg</v>
      </c>
      <c r="H1567" s="2" t="str">
        <f>PROPER(TRIM([1]RawShipmentData!G1585))</f>
        <v>North</v>
      </c>
      <c r="I1567" s="2" t="str">
        <f t="shared" si="120"/>
        <v>Yes</v>
      </c>
      <c r="J1567" s="2">
        <f>IFERROR(VALUE(TRIM(SUBSTITUTE(UPPER([1]RawShipmentData!I1567),"KG",""))),"")</f>
        <v>1.7</v>
      </c>
      <c r="K1567" s="2">
        <f>VALUE(SUBSTITUTE(SUBSTITUTE(SUBSTITUTE(TRIM([1]RawShipmentData!J1585),"₹",""),"Rs",""),",",""))</f>
        <v>497</v>
      </c>
      <c r="L1567" s="2">
        <f>[1]RawShipmentData!K1585</f>
        <v>6</v>
      </c>
      <c r="M1567" s="3">
        <f>IF(TRIM([1]RawShipmentData!L1585)="","",IF(ISNUMBER(SEARCH("/",TRIM([1]RawShipmentData!L1585))),DATE(VALUE(RIGHT(TRIM([1]RawShipmentData!L1585),4)),VALUE(MID(TRIM([1]RawShipmentData!L1585),FIND("/",TRIM([1]RawShipmentData!L1585))+1,2)),VALUE(LEFT(TRIM([1]RawShipmentData!L1585),FIND("/",TRIM([1]RawShipmentData!L1585))-1))),DATEVALUE(TRIM([1]RawShipmentData!L1585))))</f>
        <v>45421</v>
      </c>
      <c r="N1567" s="2">
        <f t="shared" si="121"/>
        <v>7</v>
      </c>
      <c r="O1567" s="2">
        <f t="shared" si="122"/>
        <v>1</v>
      </c>
      <c r="P1567" s="2" t="str">
        <f t="shared" si="123"/>
        <v>Late</v>
      </c>
      <c r="Q1567" s="2" t="str">
        <f>PROPER(SUBSTITUTE(TRIM([1]RawShipmentData!M1585)," ","-"))</f>
        <v>Delayed</v>
      </c>
      <c r="R1567" s="4">
        <f t="shared" si="124"/>
        <v>292.35294117647061</v>
      </c>
      <c r="S1567" s="2">
        <f>[1]RawShipmentData!N1585</f>
        <v>1</v>
      </c>
      <c r="T1567" s="2" t="str">
        <f>IF(OR(UPPER(TRIM([1]RawShipmentData!O1585))="YES",UPPER(TRIM([1]RawShipmentData!O1585))="Y"),"Yes","No")</f>
        <v>No</v>
      </c>
    </row>
    <row r="1568" spans="1:20" x14ac:dyDescent="0.25">
      <c r="A1568" s="2" t="str">
        <f>[1]RawShipmentData!A1586</f>
        <v>SHP-100573</v>
      </c>
      <c r="B1568" s="3">
        <f>IF(ISNUMBER(SEARCH("/",TRIM([1]RawShipmentData!B1586))),DATE(VALUE(RIGHT(TRIM([1]RawShipmentData!B1586),4)),VALUE(MID(TRIM([1]RawShipmentData!B1586),FIND("/",TRIM([1]RawShipmentData!B1586))+1,2)),VALUE(LEFT(TRIM([1]RawShipmentData!B1586),FIND("/",TRIM([1]RawShipmentData!B1586))-1))),DATEVALUE(TRIM([1]RawShipmentData!B1586)))</f>
        <v>45449</v>
      </c>
      <c r="C1568" s="2" t="str">
        <f>PROPER(TRIM([1]RawShipmentData!C1586))</f>
        <v>Delhi</v>
      </c>
      <c r="D1568" s="2" t="str">
        <f>IFERROR(INDEX([1]HubMaster!$B$2:$B$7,MATCH(C1568,[1]HubMaster!$A$2:$A$7,0)),"Unknown")</f>
        <v>North</v>
      </c>
      <c r="E1568" s="2" t="str">
        <f>PROPER(TRIM(SUBSTITUTE([1]RawShipmentData!D1586,"  "," ")))</f>
        <v>Dtdc</v>
      </c>
      <c r="F1568" s="2" t="str">
        <f>PROPER(TRIM([1]RawShipmentData!E1586))</f>
        <v>Road</v>
      </c>
      <c r="G1568" s="2" t="str">
        <f>PROPER(TRIM(SUBSTITUTE([1]RawShipmentData!F1586,"  "," ")))</f>
        <v>Grocery &amp; Fmcg</v>
      </c>
      <c r="H1568" s="2" t="str">
        <f>PROPER(TRIM([1]RawShipmentData!G1586))</f>
        <v>West</v>
      </c>
      <c r="I1568" s="2" t="str">
        <f t="shared" si="120"/>
        <v>Yes</v>
      </c>
      <c r="J1568" s="2">
        <f>IFERROR(VALUE(TRIM(SUBSTITUTE(UPPER([1]RawShipmentData!I1568),"KG",""))),"")</f>
        <v>9.9</v>
      </c>
      <c r="K1568" s="2">
        <f>VALUE(SUBSTITUTE(SUBSTITUTE(SUBSTITUTE(TRIM([1]RawShipmentData!J1586),"₹",""),"Rs",""),",",""))</f>
        <v>237</v>
      </c>
      <c r="L1568" s="2">
        <f>[1]RawShipmentData!K1586</f>
        <v>8</v>
      </c>
      <c r="M1568" s="3">
        <f>IF(TRIM([1]RawShipmentData!L1586)="","",IF(ISNUMBER(SEARCH("/",TRIM([1]RawShipmentData!L1586))),DATE(VALUE(RIGHT(TRIM([1]RawShipmentData!L1586),4)),VALUE(MID(TRIM([1]RawShipmentData!L1586),FIND("/",TRIM([1]RawShipmentData!L1586))+1,2)),VALUE(LEFT(TRIM([1]RawShipmentData!L1586),FIND("/",TRIM([1]RawShipmentData!L1586))-1))),DATEVALUE(TRIM([1]RawShipmentData!L1586))))</f>
        <v>45457</v>
      </c>
      <c r="N1568" s="2">
        <f t="shared" si="121"/>
        <v>8</v>
      </c>
      <c r="O1568" s="2">
        <f t="shared" si="122"/>
        <v>0</v>
      </c>
      <c r="P1568" s="2" t="str">
        <f t="shared" si="123"/>
        <v>On Time</v>
      </c>
      <c r="Q1568" s="2" t="str">
        <f>PROPER(SUBSTITUTE(TRIM([1]RawShipmentData!M1586)," ","-"))</f>
        <v>Delivered</v>
      </c>
      <c r="R1568" s="4">
        <f t="shared" si="124"/>
        <v>23.939393939393938</v>
      </c>
      <c r="S1568" s="2">
        <f>[1]RawShipmentData!N1586</f>
        <v>4</v>
      </c>
      <c r="T1568" s="2" t="str">
        <f>IF(OR(UPPER(TRIM([1]RawShipmentData!O1586))="YES",UPPER(TRIM([1]RawShipmentData!O1586))="Y"),"Yes","No")</f>
        <v>Yes</v>
      </c>
    </row>
    <row r="1569" spans="1:20" x14ac:dyDescent="0.25">
      <c r="A1569" s="2" t="str">
        <f>[1]RawShipmentData!A1587</f>
        <v>SHP-101087</v>
      </c>
      <c r="B1569" s="3">
        <f>IF(ISNUMBER(SEARCH("/",TRIM([1]RawShipmentData!B1587))),DATE(VALUE(RIGHT(TRIM([1]RawShipmentData!B1587),4)),VALUE(MID(TRIM([1]RawShipmentData!B1587),FIND("/",TRIM([1]RawShipmentData!B1587))+1,2)),VALUE(LEFT(TRIM([1]RawShipmentData!B1587),FIND("/",TRIM([1]RawShipmentData!B1587))-1))),DATEVALUE(TRIM([1]RawShipmentData!B1587)))</f>
        <v>45332</v>
      </c>
      <c r="C1569" s="2" t="str">
        <f>PROPER(TRIM([1]RawShipmentData!C1587))</f>
        <v>Chennai</v>
      </c>
      <c r="D1569" s="2" t="str">
        <f>IFERROR(INDEX([1]HubMaster!$B$2:$B$7,MATCH(C1569,[1]HubMaster!$A$2:$A$7,0)),"Unknown")</f>
        <v>South</v>
      </c>
      <c r="E1569" s="2" t="str">
        <f>PROPER(TRIM(SUBSTITUTE([1]RawShipmentData!D1587,"  "," ")))</f>
        <v>Xpress Bees</v>
      </c>
      <c r="F1569" s="2" t="str">
        <f>PROPER(TRIM([1]RawShipmentData!E1587))</f>
        <v>Surface</v>
      </c>
      <c r="G1569" s="2" t="str">
        <f>PROPER(TRIM(SUBSTITUTE([1]RawShipmentData!F1587,"  "," ")))</f>
        <v>Furniture</v>
      </c>
      <c r="H1569" s="2" t="str">
        <f>PROPER(TRIM([1]RawShipmentData!G1587))</f>
        <v>West</v>
      </c>
      <c r="I1569" s="2" t="str">
        <f t="shared" si="120"/>
        <v>Yes</v>
      </c>
      <c r="J1569" s="2">
        <f>IFERROR(VALUE(TRIM(SUBSTITUTE(UPPER([1]RawShipmentData!I1569),"KG",""))),"")</f>
        <v>67.099999999999994</v>
      </c>
      <c r="K1569" s="2">
        <f>VALUE(SUBSTITUTE(SUBSTITUTE(SUBSTITUTE(TRIM([1]RawShipmentData!J1587),"₹",""),"Rs",""),",",""))</f>
        <v>1001</v>
      </c>
      <c r="L1569" s="2">
        <f>[1]RawShipmentData!K1587</f>
        <v>6</v>
      </c>
      <c r="M1569" s="3">
        <f>IF(TRIM([1]RawShipmentData!L1587)="","",IF(ISNUMBER(SEARCH("/",TRIM([1]RawShipmentData!L1587))),DATE(VALUE(RIGHT(TRIM([1]RawShipmentData!L1587),4)),VALUE(MID(TRIM([1]RawShipmentData!L1587),FIND("/",TRIM([1]RawShipmentData!L1587))+1,2)),VALUE(LEFT(TRIM([1]RawShipmentData!L1587),FIND("/",TRIM([1]RawShipmentData!L1587))-1))),DATEVALUE(TRIM([1]RawShipmentData!L1587))))</f>
        <v>45343</v>
      </c>
      <c r="N1569" s="2">
        <f t="shared" si="121"/>
        <v>11</v>
      </c>
      <c r="O1569" s="2">
        <f t="shared" si="122"/>
        <v>5</v>
      </c>
      <c r="P1569" s="2" t="str">
        <f t="shared" si="123"/>
        <v>Late</v>
      </c>
      <c r="Q1569" s="2" t="str">
        <f>PROPER(SUBSTITUTE(TRIM([1]RawShipmentData!M1587)," ","-"))</f>
        <v>Delayed</v>
      </c>
      <c r="R1569" s="4">
        <f t="shared" si="124"/>
        <v>14.918032786885247</v>
      </c>
      <c r="S1569" s="2">
        <f>[1]RawShipmentData!N1587</f>
        <v>5</v>
      </c>
      <c r="T1569" s="2" t="str">
        <f>IF(OR(UPPER(TRIM([1]RawShipmentData!O1587))="YES",UPPER(TRIM([1]RawShipmentData!O1587))="Y"),"Yes","No")</f>
        <v>Yes</v>
      </c>
    </row>
    <row r="1570" spans="1:20" x14ac:dyDescent="0.25">
      <c r="A1570" s="2" t="str">
        <f>[1]RawShipmentData!A1588</f>
        <v>SHP-101466</v>
      </c>
      <c r="B1570" s="3">
        <f>IF(ISNUMBER(SEARCH("/",TRIM([1]RawShipmentData!B1588))),DATE(VALUE(RIGHT(TRIM([1]RawShipmentData!B1588),4)),VALUE(MID(TRIM([1]RawShipmentData!B1588),FIND("/",TRIM([1]RawShipmentData!B1588))+1,2)),VALUE(LEFT(TRIM([1]RawShipmentData!B1588),FIND("/",TRIM([1]RawShipmentData!B1588))-1))),DATEVALUE(TRIM([1]RawShipmentData!B1588)))</f>
        <v>45451</v>
      </c>
      <c r="C1570" s="2" t="str">
        <f>PROPER(TRIM([1]RawShipmentData!C1588))</f>
        <v>Kolkata</v>
      </c>
      <c r="D1570" s="2" t="str">
        <f>IFERROR(INDEX([1]HubMaster!$B$2:$B$7,MATCH(C1570,[1]HubMaster!$A$2:$A$7,0)),"Unknown")</f>
        <v>East</v>
      </c>
      <c r="E1570" s="2" t="str">
        <f>PROPER(TRIM(SUBSTITUTE([1]RawShipmentData!D1588,"  "," ")))</f>
        <v>Bluedart</v>
      </c>
      <c r="F1570" s="2" t="str">
        <f>PROPER(TRIM([1]RawShipmentData!E1588))</f>
        <v>Air</v>
      </c>
      <c r="G1570" s="2" t="str">
        <f>PROPER(TRIM(SUBSTITUTE([1]RawShipmentData!F1588,"  "," ")))</f>
        <v>Pharma</v>
      </c>
      <c r="H1570" s="2" t="str">
        <f>PROPER(TRIM([1]RawShipmentData!G1588))</f>
        <v>West</v>
      </c>
      <c r="I1570" s="2" t="str">
        <f t="shared" si="120"/>
        <v>Yes</v>
      </c>
      <c r="J1570" s="2">
        <f>IFERROR(VALUE(TRIM(SUBSTITUTE(UPPER([1]RawShipmentData!I1570),"KG",""))),"")</f>
        <v>3.7</v>
      </c>
      <c r="K1570" s="2">
        <f>VALUE(SUBSTITUTE(SUBSTITUTE(SUBSTITUTE(TRIM([1]RawShipmentData!J1588),"₹",""),"Rs",""),",",""))</f>
        <v>338</v>
      </c>
      <c r="L1570" s="2">
        <f>[1]RawShipmentData!K1588</f>
        <v>4</v>
      </c>
      <c r="M1570" s="3">
        <f>IF(TRIM([1]RawShipmentData!L1588)="","",IF(ISNUMBER(SEARCH("/",TRIM([1]RawShipmentData!L1588))),DATE(VALUE(RIGHT(TRIM([1]RawShipmentData!L1588),4)),VALUE(MID(TRIM([1]RawShipmentData!L1588),FIND("/",TRIM([1]RawShipmentData!L1588))+1,2)),VALUE(LEFT(TRIM([1]RawShipmentData!L1588),FIND("/",TRIM([1]RawShipmentData!L1588))-1))),DATEVALUE(TRIM([1]RawShipmentData!L1588))))</f>
        <v>45455</v>
      </c>
      <c r="N1570" s="2">
        <f t="shared" si="121"/>
        <v>4</v>
      </c>
      <c r="O1570" s="2">
        <f t="shared" si="122"/>
        <v>0</v>
      </c>
      <c r="P1570" s="2" t="str">
        <f t="shared" si="123"/>
        <v>On Time</v>
      </c>
      <c r="Q1570" s="2" t="str">
        <f>PROPER(SUBSTITUTE(TRIM([1]RawShipmentData!M1588)," ","-"))</f>
        <v>Delivered</v>
      </c>
      <c r="R1570" s="4">
        <f t="shared" si="124"/>
        <v>91.35135135135134</v>
      </c>
      <c r="S1570" s="2">
        <f>[1]RawShipmentData!N1588</f>
        <v>4</v>
      </c>
      <c r="T1570" s="2" t="str">
        <f>IF(OR(UPPER(TRIM([1]RawShipmentData!O1588))="YES",UPPER(TRIM([1]RawShipmentData!O1588))="Y"),"Yes","No")</f>
        <v>No</v>
      </c>
    </row>
    <row r="1571" spans="1:20" x14ac:dyDescent="0.25">
      <c r="A1571" s="2" t="str">
        <f>[1]RawShipmentData!A1589</f>
        <v>SHP-100458</v>
      </c>
      <c r="B1571" s="3">
        <f>IF(ISNUMBER(SEARCH("/",TRIM([1]RawShipmentData!B1589))),DATE(VALUE(RIGHT(TRIM([1]RawShipmentData!B1589),4)),VALUE(MID(TRIM([1]RawShipmentData!B1589),FIND("/",TRIM([1]RawShipmentData!B1589))+1,2)),VALUE(LEFT(TRIM([1]RawShipmentData!B1589),FIND("/",TRIM([1]RawShipmentData!B1589))-1))),DATEVALUE(TRIM([1]RawShipmentData!B1589)))</f>
        <v>45436</v>
      </c>
      <c r="C1571" s="2" t="str">
        <f>PROPER(TRIM([1]RawShipmentData!C1589))</f>
        <v>Hyderabad</v>
      </c>
      <c r="D1571" s="2" t="str">
        <f>IFERROR(INDEX([1]HubMaster!$B$2:$B$7,MATCH(C1571,[1]HubMaster!$A$2:$A$7,0)),"Unknown")</f>
        <v>West</v>
      </c>
      <c r="E1571" s="2" t="str">
        <f>PROPER(TRIM(SUBSTITUTE([1]RawShipmentData!D1589,"  "," ")))</f>
        <v>Ecom Express</v>
      </c>
      <c r="F1571" s="2" t="str">
        <f>PROPER(TRIM([1]RawShipmentData!E1589))</f>
        <v>Air</v>
      </c>
      <c r="G1571" s="2" t="str">
        <f>PROPER(TRIM(SUBSTITUTE([1]RawShipmentData!F1589,"  "," ")))</f>
        <v>Automotive Parts</v>
      </c>
      <c r="H1571" s="2" t="str">
        <f>PROPER(TRIM([1]RawShipmentData!G1589))</f>
        <v>East</v>
      </c>
      <c r="I1571" s="2" t="str">
        <f t="shared" si="120"/>
        <v>Yes</v>
      </c>
      <c r="J1571" s="2">
        <f>IFERROR(VALUE(TRIM(SUBSTITUTE(UPPER([1]RawShipmentData!I1571),"KG",""))),"")</f>
        <v>13.3</v>
      </c>
      <c r="K1571" s="2">
        <f>VALUE(SUBSTITUTE(SUBSTITUTE(SUBSTITUTE(TRIM([1]RawShipmentData!J1589),"₹",""),"Rs",""),",",""))</f>
        <v>564</v>
      </c>
      <c r="L1571" s="2">
        <f>[1]RawShipmentData!K1589</f>
        <v>4</v>
      </c>
      <c r="M1571" s="3">
        <f>IF(TRIM([1]RawShipmentData!L1589)="","",IF(ISNUMBER(SEARCH("/",TRIM([1]RawShipmentData!L1589))),DATE(VALUE(RIGHT(TRIM([1]RawShipmentData!L1589),4)),VALUE(MID(TRIM([1]RawShipmentData!L1589),FIND("/",TRIM([1]RawShipmentData!L1589))+1,2)),VALUE(LEFT(TRIM([1]RawShipmentData!L1589),FIND("/",TRIM([1]RawShipmentData!L1589))-1))),DATEVALUE(TRIM([1]RawShipmentData!L1589))))</f>
        <v>45441</v>
      </c>
      <c r="N1571" s="2">
        <f t="shared" si="121"/>
        <v>5</v>
      </c>
      <c r="O1571" s="2">
        <f t="shared" si="122"/>
        <v>1</v>
      </c>
      <c r="P1571" s="2" t="str">
        <f t="shared" si="123"/>
        <v>Late</v>
      </c>
      <c r="Q1571" s="2" t="str">
        <f>PROPER(SUBSTITUTE(TRIM([1]RawShipmentData!M1589)," ","-"))</f>
        <v>Delayed</v>
      </c>
      <c r="R1571" s="4">
        <f t="shared" si="124"/>
        <v>42.406015037593981</v>
      </c>
      <c r="S1571" s="2">
        <f>[1]RawShipmentData!N1589</f>
        <v>2</v>
      </c>
      <c r="T1571" s="2" t="str">
        <f>IF(OR(UPPER(TRIM([1]RawShipmentData!O1589))="YES",UPPER(TRIM([1]RawShipmentData!O1589))="Y"),"Yes","No")</f>
        <v>No</v>
      </c>
    </row>
    <row r="1572" spans="1:20" x14ac:dyDescent="0.25">
      <c r="A1572" s="2" t="str">
        <f>[1]RawShipmentData!A1590</f>
        <v>SHP-100987</v>
      </c>
      <c r="B1572" s="3">
        <f>IF(ISNUMBER(SEARCH("/",TRIM([1]RawShipmentData!B1590))),DATE(VALUE(RIGHT(TRIM([1]RawShipmentData!B1590),4)),VALUE(MID(TRIM([1]RawShipmentData!B1590),FIND("/",TRIM([1]RawShipmentData!B1590))+1,2)),VALUE(LEFT(TRIM([1]RawShipmentData!B1590),FIND("/",TRIM([1]RawShipmentData!B1590))-1))),DATEVALUE(TRIM([1]RawShipmentData!B1590)))</f>
        <v>45335</v>
      </c>
      <c r="C1572" s="2" t="str">
        <f>PROPER(TRIM([1]RawShipmentData!C1590))</f>
        <v>Mumbai</v>
      </c>
      <c r="D1572" s="2" t="str">
        <f>IFERROR(INDEX([1]HubMaster!$B$2:$B$7,MATCH(C1572,[1]HubMaster!$A$2:$A$7,0)),"Unknown")</f>
        <v>West</v>
      </c>
      <c r="E1572" s="2" t="str">
        <f>PROPER(TRIM(SUBSTITUTE([1]RawShipmentData!D1590,"  "," ")))</f>
        <v>Ecom Express</v>
      </c>
      <c r="F1572" s="2" t="str">
        <f>PROPER(TRIM([1]RawShipmentData!E1590))</f>
        <v>Road</v>
      </c>
      <c r="G1572" s="2" t="str">
        <f>PROPER(TRIM(SUBSTITUTE([1]RawShipmentData!F1590,"  "," ")))</f>
        <v>Furniture</v>
      </c>
      <c r="H1572" s="2" t="str">
        <f>PROPER(TRIM([1]RawShipmentData!G1590))</f>
        <v>South</v>
      </c>
      <c r="I1572" s="2" t="str">
        <f t="shared" si="120"/>
        <v>Yes</v>
      </c>
      <c r="J1572" s="2">
        <f>IFERROR(VALUE(TRIM(SUBSTITUTE(UPPER([1]RawShipmentData!I1572),"KG",""))),"")</f>
        <v>1</v>
      </c>
      <c r="K1572" s="2">
        <f>VALUE(SUBSTITUTE(SUBSTITUTE(SUBSTITUTE(TRIM([1]RawShipmentData!J1590),"₹",""),"Rs",""),",",""))</f>
        <v>1119</v>
      </c>
      <c r="L1572" s="2">
        <f>[1]RawShipmentData!K1590</f>
        <v>8</v>
      </c>
      <c r="M1572" s="3">
        <f>IF(TRIM([1]RawShipmentData!L1590)="","",IF(ISNUMBER(SEARCH("/",TRIM([1]RawShipmentData!L1590))),DATE(VALUE(RIGHT(TRIM([1]RawShipmentData!L1590),4)),VALUE(MID(TRIM([1]RawShipmentData!L1590),FIND("/",TRIM([1]RawShipmentData!L1590))+1,2)),VALUE(LEFT(TRIM([1]RawShipmentData!L1590),FIND("/",TRIM([1]RawShipmentData!L1590))-1))),DATEVALUE(TRIM([1]RawShipmentData!L1590))))</f>
        <v>45343</v>
      </c>
      <c r="N1572" s="2">
        <f t="shared" si="121"/>
        <v>8</v>
      </c>
      <c r="O1572" s="2">
        <f t="shared" si="122"/>
        <v>0</v>
      </c>
      <c r="P1572" s="2" t="str">
        <f t="shared" si="123"/>
        <v>On Time</v>
      </c>
      <c r="Q1572" s="2" t="str">
        <f>PROPER(SUBSTITUTE(TRIM([1]RawShipmentData!M1590)," ","-"))</f>
        <v>Damaged</v>
      </c>
      <c r="R1572" s="4">
        <f t="shared" si="124"/>
        <v>1119</v>
      </c>
      <c r="S1572" s="2">
        <f>[1]RawShipmentData!N1590</f>
        <v>0</v>
      </c>
      <c r="T1572" s="2" t="str">
        <f>IF(OR(UPPER(TRIM([1]RawShipmentData!O1590))="YES",UPPER(TRIM([1]RawShipmentData!O1590))="Y"),"Yes","No")</f>
        <v>No</v>
      </c>
    </row>
    <row r="1573" spans="1:20" x14ac:dyDescent="0.25">
      <c r="A1573" s="2" t="str">
        <f>[1]RawShipmentData!A1591</f>
        <v>SHP-100179</v>
      </c>
      <c r="B1573" s="3">
        <f>IF(ISNUMBER(SEARCH("/",TRIM([1]RawShipmentData!B1591))),DATE(VALUE(RIGHT(TRIM([1]RawShipmentData!B1591),4)),VALUE(MID(TRIM([1]RawShipmentData!B1591),FIND("/",TRIM([1]RawShipmentData!B1591))+1,2)),VALUE(LEFT(TRIM([1]RawShipmentData!B1591),FIND("/",TRIM([1]RawShipmentData!B1591))-1))),DATEVALUE(TRIM([1]RawShipmentData!B1591)))</f>
        <v>45304</v>
      </c>
      <c r="C1573" s="2" t="str">
        <f>PROPER(TRIM([1]RawShipmentData!C1591))</f>
        <v>Hyderabad</v>
      </c>
      <c r="D1573" s="2" t="str">
        <f>IFERROR(INDEX([1]HubMaster!$B$2:$B$7,MATCH(C1573,[1]HubMaster!$A$2:$A$7,0)),"Unknown")</f>
        <v>West</v>
      </c>
      <c r="E1573" s="2" t="str">
        <f>PROPER(TRIM(SUBSTITUTE([1]RawShipmentData!D1591,"  "," ")))</f>
        <v>Ecom Express</v>
      </c>
      <c r="F1573" s="2" t="str">
        <f>PROPER(TRIM([1]RawShipmentData!E1591))</f>
        <v>Air</v>
      </c>
      <c r="G1573" s="2" t="str">
        <f>PROPER(TRIM(SUBSTITUTE([1]RawShipmentData!F1591,"  "," ")))</f>
        <v>Electronics</v>
      </c>
      <c r="H1573" s="2" t="str">
        <f>PROPER(TRIM([1]RawShipmentData!G1591))</f>
        <v>East</v>
      </c>
      <c r="I1573" s="2" t="str">
        <f t="shared" si="120"/>
        <v>Yes</v>
      </c>
      <c r="J1573" s="2">
        <f>IFERROR(VALUE(TRIM(SUBSTITUTE(UPPER([1]RawShipmentData!I1573),"KG",""))),"")</f>
        <v>1.7</v>
      </c>
      <c r="K1573" s="2">
        <f>VALUE(SUBSTITUTE(SUBSTITUTE(SUBSTITUTE(TRIM([1]RawShipmentData!J1591),"₹",""),"Rs",""),",",""))</f>
        <v>686</v>
      </c>
      <c r="L1573" s="2">
        <f>[1]RawShipmentData!K1591</f>
        <v>4</v>
      </c>
      <c r="M1573" s="3">
        <f>IF(TRIM([1]RawShipmentData!L1591)="","",IF(ISNUMBER(SEARCH("/",TRIM([1]RawShipmentData!L1591))),DATE(VALUE(RIGHT(TRIM([1]RawShipmentData!L1591),4)),VALUE(MID(TRIM([1]RawShipmentData!L1591),FIND("/",TRIM([1]RawShipmentData!L1591))+1,2)),VALUE(LEFT(TRIM([1]RawShipmentData!L1591),FIND("/",TRIM([1]RawShipmentData!L1591))-1))),DATEVALUE(TRIM([1]RawShipmentData!L1591))))</f>
        <v>45308</v>
      </c>
      <c r="N1573" s="2">
        <f t="shared" si="121"/>
        <v>4</v>
      </c>
      <c r="O1573" s="2">
        <f t="shared" si="122"/>
        <v>0</v>
      </c>
      <c r="P1573" s="2" t="str">
        <f t="shared" si="123"/>
        <v>On Time</v>
      </c>
      <c r="Q1573" s="2" t="str">
        <f>PROPER(SUBSTITUTE(TRIM([1]RawShipmentData!M1591)," ","-"))</f>
        <v>Delivered</v>
      </c>
      <c r="R1573" s="4">
        <f t="shared" si="124"/>
        <v>403.52941176470591</v>
      </c>
      <c r="S1573" s="2">
        <f>[1]RawShipmentData!N1591</f>
        <v>4</v>
      </c>
      <c r="T1573" s="2" t="str">
        <f>IF(OR(UPPER(TRIM([1]RawShipmentData!O1591))="YES",UPPER(TRIM([1]RawShipmentData!O1591))="Y"),"Yes","No")</f>
        <v>No</v>
      </c>
    </row>
    <row r="1574" spans="1:20" x14ac:dyDescent="0.25">
      <c r="A1574" s="2" t="str">
        <f>[1]RawShipmentData!A1592</f>
        <v>SHP-101258</v>
      </c>
      <c r="B1574" s="3">
        <f>IF(ISNUMBER(SEARCH("/",TRIM([1]RawShipmentData!B1592))),DATE(VALUE(RIGHT(TRIM([1]RawShipmentData!B1592),4)),VALUE(MID(TRIM([1]RawShipmentData!B1592),FIND("/",TRIM([1]RawShipmentData!B1592))+1,2)),VALUE(LEFT(TRIM([1]RawShipmentData!B1592),FIND("/",TRIM([1]RawShipmentData!B1592))-1))),DATEVALUE(TRIM([1]RawShipmentData!B1592)))</f>
        <v>45467</v>
      </c>
      <c r="C1574" s="2" t="str">
        <f>PROPER(TRIM([1]RawShipmentData!C1592))</f>
        <v>Mumbai</v>
      </c>
      <c r="D1574" s="2" t="str">
        <f>IFERROR(INDEX([1]HubMaster!$B$2:$B$7,MATCH(C1574,[1]HubMaster!$A$2:$A$7,0)),"Unknown")</f>
        <v>West</v>
      </c>
      <c r="E1574" s="2" t="str">
        <f>PROPER(TRIM(SUBSTITUTE([1]RawShipmentData!D1592,"  "," ")))</f>
        <v>Bluedart</v>
      </c>
      <c r="F1574" s="2" t="str">
        <f>PROPER(TRIM([1]RawShipmentData!E1592))</f>
        <v>Road</v>
      </c>
      <c r="G1574" s="2" t="str">
        <f>PROPER(TRIM(SUBSTITUTE([1]RawShipmentData!F1592,"  "," ")))</f>
        <v>Grocery &amp; Fmcg</v>
      </c>
      <c r="H1574" s="2" t="str">
        <f>PROPER(TRIM([1]RawShipmentData!G1592))</f>
        <v>West</v>
      </c>
      <c r="I1574" s="2" t="str">
        <f t="shared" si="120"/>
        <v>No</v>
      </c>
      <c r="J1574" s="2">
        <f>IFERROR(VALUE(TRIM(SUBSTITUTE(UPPER([1]RawShipmentData!I1574),"KG",""))),"")</f>
        <v>5.7</v>
      </c>
      <c r="K1574" s="2">
        <f>VALUE(SUBSTITUTE(SUBSTITUTE(SUBSTITUTE(TRIM([1]RawShipmentData!J1592),"₹",""),"Rs",""),",",""))</f>
        <v>175</v>
      </c>
      <c r="L1574" s="2">
        <f>[1]RawShipmentData!K1592</f>
        <v>6</v>
      </c>
      <c r="M1574" s="3">
        <f>IF(TRIM([1]RawShipmentData!L1592)="","",IF(ISNUMBER(SEARCH("/",TRIM([1]RawShipmentData!L1592))),DATE(VALUE(RIGHT(TRIM([1]RawShipmentData!L1592),4)),VALUE(MID(TRIM([1]RawShipmentData!L1592),FIND("/",TRIM([1]RawShipmentData!L1592))+1,2)),VALUE(LEFT(TRIM([1]RawShipmentData!L1592),FIND("/",TRIM([1]RawShipmentData!L1592))-1))),DATEVALUE(TRIM([1]RawShipmentData!L1592))))</f>
        <v>45472</v>
      </c>
      <c r="N1574" s="2">
        <f t="shared" si="121"/>
        <v>5</v>
      </c>
      <c r="O1574" s="2">
        <f t="shared" si="122"/>
        <v>-1</v>
      </c>
      <c r="P1574" s="2" t="str">
        <f t="shared" si="123"/>
        <v>On Time</v>
      </c>
      <c r="Q1574" s="2" t="str">
        <f>PROPER(SUBSTITUTE(TRIM([1]RawShipmentData!M1592)," ","-"))</f>
        <v>Delivered</v>
      </c>
      <c r="R1574" s="4">
        <f t="shared" si="124"/>
        <v>30.701754385964911</v>
      </c>
      <c r="S1574" s="2">
        <f>[1]RawShipmentData!N1592</f>
        <v>4</v>
      </c>
      <c r="T1574" s="2" t="str">
        <f>IF(OR(UPPER(TRIM([1]RawShipmentData!O1592))="YES",UPPER(TRIM([1]RawShipmentData!O1592))="Y"),"Yes","No")</f>
        <v>Yes</v>
      </c>
    </row>
    <row r="1575" spans="1:20" x14ac:dyDescent="0.25">
      <c r="A1575" s="2" t="str">
        <f>[1]RawShipmentData!A1593</f>
        <v>SHP-100918</v>
      </c>
      <c r="B1575" s="3">
        <f>IF(ISNUMBER(SEARCH("/",TRIM([1]RawShipmentData!B1593))),DATE(VALUE(RIGHT(TRIM([1]RawShipmentData!B1593),4)),VALUE(MID(TRIM([1]RawShipmentData!B1593),FIND("/",TRIM([1]RawShipmentData!B1593))+1,2)),VALUE(LEFT(TRIM([1]RawShipmentData!B1593),FIND("/",TRIM([1]RawShipmentData!B1593))-1))),DATEVALUE(TRIM([1]RawShipmentData!B1593)))</f>
        <v>45465</v>
      </c>
      <c r="C1575" s="2" t="str">
        <f>PROPER(TRIM([1]RawShipmentData!C1593))</f>
        <v>Mumbai</v>
      </c>
      <c r="D1575" s="2" t="str">
        <f>IFERROR(INDEX([1]HubMaster!$B$2:$B$7,MATCH(C1575,[1]HubMaster!$A$2:$A$7,0)),"Unknown")</f>
        <v>West</v>
      </c>
      <c r="E1575" s="2" t="str">
        <f>PROPER(TRIM(SUBSTITUTE([1]RawShipmentData!D1593,"  "," ")))</f>
        <v>Bluedart</v>
      </c>
      <c r="F1575" s="2" t="str">
        <f>PROPER(TRIM([1]RawShipmentData!E1593))</f>
        <v>Road</v>
      </c>
      <c r="G1575" s="2" t="str">
        <f>PROPER(TRIM(SUBSTITUTE([1]RawShipmentData!F1593,"  "," ")))</f>
        <v>Furniture</v>
      </c>
      <c r="H1575" s="2" t="str">
        <f>PROPER(TRIM([1]RawShipmentData!G1593))</f>
        <v>North</v>
      </c>
      <c r="I1575" s="2" t="str">
        <f t="shared" si="120"/>
        <v>Yes</v>
      </c>
      <c r="J1575" s="2">
        <f>IFERROR(VALUE(TRIM(SUBSTITUTE(UPPER([1]RawShipmentData!I1575),"KG",""))),"")</f>
        <v>17</v>
      </c>
      <c r="K1575" s="2">
        <f>VALUE(SUBSTITUTE(SUBSTITUTE(SUBSTITUTE(TRIM([1]RawShipmentData!J1593),"₹",""),"Rs",""),",",""))</f>
        <v>1207</v>
      </c>
      <c r="L1575" s="2">
        <f>[1]RawShipmentData!K1593</f>
        <v>8</v>
      </c>
      <c r="M1575" s="3">
        <f>IF(TRIM([1]RawShipmentData!L1593)="","",IF(ISNUMBER(SEARCH("/",TRIM([1]RawShipmentData!L1593))),DATE(VALUE(RIGHT(TRIM([1]RawShipmentData!L1593),4)),VALUE(MID(TRIM([1]RawShipmentData!L1593),FIND("/",TRIM([1]RawShipmentData!L1593))+1,2)),VALUE(LEFT(TRIM([1]RawShipmentData!L1593),FIND("/",TRIM([1]RawShipmentData!L1593))-1))),DATEVALUE(TRIM([1]RawShipmentData!L1593))))</f>
        <v>45472</v>
      </c>
      <c r="N1575" s="2">
        <f t="shared" si="121"/>
        <v>7</v>
      </c>
      <c r="O1575" s="2">
        <f t="shared" si="122"/>
        <v>-1</v>
      </c>
      <c r="P1575" s="2" t="str">
        <f t="shared" si="123"/>
        <v>On Time</v>
      </c>
      <c r="Q1575" s="2" t="str">
        <f>PROPER(SUBSTITUTE(TRIM([1]RawShipmentData!M1593)," ","-"))</f>
        <v>Delivered</v>
      </c>
      <c r="R1575" s="4">
        <f t="shared" si="124"/>
        <v>71</v>
      </c>
      <c r="S1575" s="2">
        <f>[1]RawShipmentData!N1593</f>
        <v>3</v>
      </c>
      <c r="T1575" s="2" t="str">
        <f>IF(OR(UPPER(TRIM([1]RawShipmentData!O1593))="YES",UPPER(TRIM([1]RawShipmentData!O1593))="Y"),"Yes","No")</f>
        <v>Yes</v>
      </c>
    </row>
    <row r="1576" spans="1:20" x14ac:dyDescent="0.25">
      <c r="A1576" s="2" t="str">
        <f>[1]RawShipmentData!A1594</f>
        <v>SHP-100423</v>
      </c>
      <c r="B1576" s="3">
        <f>IF(ISNUMBER(SEARCH("/",TRIM([1]RawShipmentData!B1594))),DATE(VALUE(RIGHT(TRIM([1]RawShipmentData!B1594),4)),VALUE(MID(TRIM([1]RawShipmentData!B1594),FIND("/",TRIM([1]RawShipmentData!B1594))+1,2)),VALUE(LEFT(TRIM([1]RawShipmentData!B1594),FIND("/",TRIM([1]RawShipmentData!B1594))-1))),DATEVALUE(TRIM([1]RawShipmentData!B1594)))</f>
        <v>45408</v>
      </c>
      <c r="C1576" s="2" t="str">
        <f>PROPER(TRIM([1]RawShipmentData!C1594))</f>
        <v>Delhi</v>
      </c>
      <c r="D1576" s="2" t="str">
        <f>IFERROR(INDEX([1]HubMaster!$B$2:$B$7,MATCH(C1576,[1]HubMaster!$A$2:$A$7,0)),"Unknown")</f>
        <v>North</v>
      </c>
      <c r="E1576" s="2" t="str">
        <f>PROPER(TRIM(SUBSTITUTE([1]RawShipmentData!D1594,"  "," ")))</f>
        <v>Ecom Express</v>
      </c>
      <c r="F1576" s="2" t="str">
        <f>PROPER(TRIM([1]RawShipmentData!E1594))</f>
        <v>Surface</v>
      </c>
      <c r="G1576" s="2" t="str">
        <f>PROPER(TRIM(SUBSTITUTE([1]RawShipmentData!F1594,"  "," ")))</f>
        <v>Grocery &amp; Fmcg</v>
      </c>
      <c r="H1576" s="2" t="str">
        <f>PROPER(TRIM([1]RawShipmentData!G1594))</f>
        <v>West</v>
      </c>
      <c r="I1576" s="2" t="str">
        <f t="shared" si="120"/>
        <v>Yes</v>
      </c>
      <c r="J1576" s="2">
        <f>IFERROR(VALUE(TRIM(SUBSTITUTE(UPPER([1]RawShipmentData!I1576),"KG",""))),"")</f>
        <v>26.9</v>
      </c>
      <c r="K1576" s="2">
        <f>VALUE(SUBSTITUTE(SUBSTITUTE(SUBSTITUTE(TRIM([1]RawShipmentData!J1594),"₹",""),"Rs",""),",",""))</f>
        <v>240</v>
      </c>
      <c r="L1576" s="2">
        <f>[1]RawShipmentData!K1594</f>
        <v>6</v>
      </c>
      <c r="M1576" s="3">
        <f>IF(TRIM([1]RawShipmentData!L1594)="","",IF(ISNUMBER(SEARCH("/",TRIM([1]RawShipmentData!L1594))),DATE(VALUE(RIGHT(TRIM([1]RawShipmentData!L1594),4)),VALUE(MID(TRIM([1]RawShipmentData!L1594),FIND("/",TRIM([1]RawShipmentData!L1594))+1,2)),VALUE(LEFT(TRIM([1]RawShipmentData!L1594),FIND("/",TRIM([1]RawShipmentData!L1594))-1))),DATEVALUE(TRIM([1]RawShipmentData!L1594))))</f>
        <v>45421</v>
      </c>
      <c r="N1576" s="2">
        <f t="shared" si="121"/>
        <v>13</v>
      </c>
      <c r="O1576" s="2">
        <f t="shared" si="122"/>
        <v>7</v>
      </c>
      <c r="P1576" s="2" t="str">
        <f t="shared" si="123"/>
        <v>Late</v>
      </c>
      <c r="Q1576" s="2" t="str">
        <f>PROPER(SUBSTITUTE(TRIM([1]RawShipmentData!M1594)," ","-"))</f>
        <v>Delayed</v>
      </c>
      <c r="R1576" s="4">
        <f t="shared" si="124"/>
        <v>8.921933085501859</v>
      </c>
      <c r="S1576" s="2">
        <f>[1]RawShipmentData!N1594</f>
        <v>4</v>
      </c>
      <c r="T1576" s="2" t="str">
        <f>IF(OR(UPPER(TRIM([1]RawShipmentData!O1594))="YES",UPPER(TRIM([1]RawShipmentData!O1594))="Y"),"Yes","No")</f>
        <v>No</v>
      </c>
    </row>
    <row r="1577" spans="1:20" x14ac:dyDescent="0.25">
      <c r="A1577" s="2" t="str">
        <f>[1]RawShipmentData!A1595</f>
        <v>SHP-100237</v>
      </c>
      <c r="B1577" s="3">
        <f>IF(ISNUMBER(SEARCH("/",TRIM([1]RawShipmentData!B1595))),DATE(VALUE(RIGHT(TRIM([1]RawShipmentData!B1595),4)),VALUE(MID(TRIM([1]RawShipmentData!B1595),FIND("/",TRIM([1]RawShipmentData!B1595))+1,2)),VALUE(LEFT(TRIM([1]RawShipmentData!B1595),FIND("/",TRIM([1]RawShipmentData!B1595))-1))),DATEVALUE(TRIM([1]RawShipmentData!B1595)))</f>
        <v>45333</v>
      </c>
      <c r="C1577" s="2" t="str">
        <f>PROPER(TRIM([1]RawShipmentData!C1595))</f>
        <v>Delhi</v>
      </c>
      <c r="D1577" s="2" t="str">
        <f>IFERROR(INDEX([1]HubMaster!$B$2:$B$7,MATCH(C1577,[1]HubMaster!$A$2:$A$7,0)),"Unknown")</f>
        <v>North</v>
      </c>
      <c r="E1577" s="2" t="str">
        <f>PROPER(TRIM(SUBSTITUTE([1]RawShipmentData!D1595,"  "," ")))</f>
        <v>Delhivery</v>
      </c>
      <c r="F1577" s="2" t="str">
        <f>PROPER(TRIM([1]RawShipmentData!E1595))</f>
        <v>Road</v>
      </c>
      <c r="G1577" s="2" t="str">
        <f>PROPER(TRIM(SUBSTITUTE([1]RawShipmentData!F1595,"  "," ")))</f>
        <v>Electronics</v>
      </c>
      <c r="H1577" s="2" t="str">
        <f>PROPER(TRIM([1]RawShipmentData!G1595))</f>
        <v>East</v>
      </c>
      <c r="I1577" s="2" t="str">
        <f t="shared" si="120"/>
        <v>Yes</v>
      </c>
      <c r="J1577" s="2">
        <f>IFERROR(VALUE(TRIM(SUBSTITUTE(UPPER([1]RawShipmentData!I1577),"KG",""))),"")</f>
        <v>64.5</v>
      </c>
      <c r="K1577" s="2">
        <f>VALUE(SUBSTITUTE(SUBSTITUTE(SUBSTITUTE(TRIM([1]RawShipmentData!J1595),"₹",""),"Rs",""),",",""))</f>
        <v>183</v>
      </c>
      <c r="L1577" s="2">
        <f>[1]RawShipmentData!K1595</f>
        <v>8</v>
      </c>
      <c r="M1577" s="3">
        <f>IF(TRIM([1]RawShipmentData!L1595)="","",IF(ISNUMBER(SEARCH("/",TRIM([1]RawShipmentData!L1595))),DATE(VALUE(RIGHT(TRIM([1]RawShipmentData!L1595),4)),VALUE(MID(TRIM([1]RawShipmentData!L1595),FIND("/",TRIM([1]RawShipmentData!L1595))+1,2)),VALUE(LEFT(TRIM([1]RawShipmentData!L1595),FIND("/",TRIM([1]RawShipmentData!L1595))-1))),DATEVALUE(TRIM([1]RawShipmentData!L1595))))</f>
        <v>45349</v>
      </c>
      <c r="N1577" s="2">
        <f t="shared" si="121"/>
        <v>16</v>
      </c>
      <c r="O1577" s="2">
        <f t="shared" si="122"/>
        <v>8</v>
      </c>
      <c r="P1577" s="2" t="str">
        <f t="shared" si="123"/>
        <v>Late</v>
      </c>
      <c r="Q1577" s="2" t="str">
        <f>PROPER(SUBSTITUTE(TRIM([1]RawShipmentData!M1595)," ","-"))</f>
        <v>Delayed</v>
      </c>
      <c r="R1577" s="4">
        <f t="shared" si="124"/>
        <v>2.8372093023255816</v>
      </c>
      <c r="S1577" s="2">
        <f>[1]RawShipmentData!N1595</f>
        <v>3</v>
      </c>
      <c r="T1577" s="2" t="str">
        <f>IF(OR(UPPER(TRIM([1]RawShipmentData!O1595))="YES",UPPER(TRIM([1]RawShipmentData!O1595))="Y"),"Yes","No")</f>
        <v>Yes</v>
      </c>
    </row>
    <row r="1578" spans="1:20" x14ac:dyDescent="0.25">
      <c r="A1578" s="2" t="str">
        <f>[1]RawShipmentData!A1596</f>
        <v>SHP-101341</v>
      </c>
      <c r="B1578" s="3">
        <f>IF(ISNUMBER(SEARCH("/",TRIM([1]RawShipmentData!B1596))),DATE(VALUE(RIGHT(TRIM([1]RawShipmentData!B1596),4)),VALUE(MID(TRIM([1]RawShipmentData!B1596),FIND("/",TRIM([1]RawShipmentData!B1596))+1,2)),VALUE(LEFT(TRIM([1]RawShipmentData!B1596),FIND("/",TRIM([1]RawShipmentData!B1596))-1))),DATEVALUE(TRIM([1]RawShipmentData!B1596)))</f>
        <v>45395</v>
      </c>
      <c r="C1578" s="2" t="str">
        <f>PROPER(TRIM([1]RawShipmentData!C1596))</f>
        <v>Chennai</v>
      </c>
      <c r="D1578" s="2" t="str">
        <f>IFERROR(INDEX([1]HubMaster!$B$2:$B$7,MATCH(C1578,[1]HubMaster!$A$2:$A$7,0)),"Unknown")</f>
        <v>South</v>
      </c>
      <c r="E1578" s="2" t="str">
        <f>PROPER(TRIM(SUBSTITUTE([1]RawShipmentData!D1596,"  "," ")))</f>
        <v>Xpressbees</v>
      </c>
      <c r="F1578" s="2" t="str">
        <f>PROPER(TRIM([1]RawShipmentData!E1596))</f>
        <v>Air</v>
      </c>
      <c r="G1578" s="2" t="str">
        <f>PROPER(TRIM(SUBSTITUTE([1]RawShipmentData!F1596,"  "," ")))</f>
        <v>Automotive Parts</v>
      </c>
      <c r="H1578" s="2" t="str">
        <f>PROPER(TRIM([1]RawShipmentData!G1596))</f>
        <v>North</v>
      </c>
      <c r="I1578" s="2" t="str">
        <f t="shared" si="120"/>
        <v>Yes</v>
      </c>
      <c r="J1578" s="2">
        <f>IFERROR(VALUE(TRIM(SUBSTITUTE(UPPER([1]RawShipmentData!I1578),"KG",""))),"")</f>
        <v>2.2000000000000002</v>
      </c>
      <c r="K1578" s="2">
        <f>VALUE(SUBSTITUTE(SUBSTITUTE(SUBSTITUTE(TRIM([1]RawShipmentData!J1596),"₹",""),"Rs",""),",",""))</f>
        <v>637</v>
      </c>
      <c r="L1578" s="2">
        <f>[1]RawShipmentData!K1596</f>
        <v>4</v>
      </c>
      <c r="M1578" s="3">
        <f>IF(TRIM([1]RawShipmentData!L1596)="","",IF(ISNUMBER(SEARCH("/",TRIM([1]RawShipmentData!L1596))),DATE(VALUE(RIGHT(TRIM([1]RawShipmentData!L1596),4)),VALUE(MID(TRIM([1]RawShipmentData!L1596),FIND("/",TRIM([1]RawShipmentData!L1596))+1,2)),VALUE(LEFT(TRIM([1]RawShipmentData!L1596),FIND("/",TRIM([1]RawShipmentData!L1596))-1))),DATEVALUE(TRIM([1]RawShipmentData!L1596))))</f>
        <v>45408</v>
      </c>
      <c r="N1578" s="2">
        <f t="shared" si="121"/>
        <v>13</v>
      </c>
      <c r="O1578" s="2">
        <f t="shared" si="122"/>
        <v>9</v>
      </c>
      <c r="P1578" s="2" t="str">
        <f t="shared" si="123"/>
        <v>Late</v>
      </c>
      <c r="Q1578" s="2" t="str">
        <f>PROPER(SUBSTITUTE(TRIM([1]RawShipmentData!M1596)," ","-"))</f>
        <v>Delayed</v>
      </c>
      <c r="R1578" s="4">
        <f t="shared" si="124"/>
        <v>289.5454545454545</v>
      </c>
      <c r="S1578" s="2">
        <f>[1]RawShipmentData!N1596</f>
        <v>3</v>
      </c>
      <c r="T1578" s="2" t="str">
        <f>IF(OR(UPPER(TRIM([1]RawShipmentData!O1596))="YES",UPPER(TRIM([1]RawShipmentData!O1596))="Y"),"Yes","No")</f>
        <v>No</v>
      </c>
    </row>
    <row r="1579" spans="1:20" x14ac:dyDescent="0.25">
      <c r="A1579" s="2" t="str">
        <f>[1]RawShipmentData!A1597</f>
        <v>SHP-101494</v>
      </c>
      <c r="B1579" s="3">
        <f>IF(ISNUMBER(SEARCH("/",TRIM([1]RawShipmentData!B1597))),DATE(VALUE(RIGHT(TRIM([1]RawShipmentData!B1597),4)),VALUE(MID(TRIM([1]RawShipmentData!B1597),FIND("/",TRIM([1]RawShipmentData!B1597))+1,2)),VALUE(LEFT(TRIM([1]RawShipmentData!B1597),FIND("/",TRIM([1]RawShipmentData!B1597))-1))),DATEVALUE(TRIM([1]RawShipmentData!B1597)))</f>
        <v>45310</v>
      </c>
      <c r="C1579" s="2" t="str">
        <f>PROPER(TRIM([1]RawShipmentData!C1597))</f>
        <v>Mumbai</v>
      </c>
      <c r="D1579" s="2" t="str">
        <f>IFERROR(INDEX([1]HubMaster!$B$2:$B$7,MATCH(C1579,[1]HubMaster!$A$2:$A$7,0)),"Unknown")</f>
        <v>West</v>
      </c>
      <c r="E1579" s="2" t="str">
        <f>PROPER(TRIM(SUBSTITUTE([1]RawShipmentData!D1597,"  "," ")))</f>
        <v>Dtdc</v>
      </c>
      <c r="F1579" s="2" t="str">
        <f>PROPER(TRIM([1]RawShipmentData!E1597))</f>
        <v>Air</v>
      </c>
      <c r="G1579" s="2" t="str">
        <f>PROPER(TRIM(SUBSTITUTE([1]RawShipmentData!F1597,"  "," ")))</f>
        <v>Apparel</v>
      </c>
      <c r="H1579" s="2" t="str">
        <f>PROPER(TRIM([1]RawShipmentData!G1597))</f>
        <v>South</v>
      </c>
      <c r="I1579" s="2" t="str">
        <f t="shared" si="120"/>
        <v>Yes</v>
      </c>
      <c r="J1579" s="2">
        <f>IFERROR(VALUE(TRIM(SUBSTITUTE(UPPER([1]RawShipmentData!I1579),"KG",""))),"")</f>
        <v>1.3</v>
      </c>
      <c r="K1579" s="2">
        <f>VALUE(SUBSTITUTE(SUBSTITUTE(SUBSTITUTE(TRIM([1]RawShipmentData!J1597),"₹",""),"Rs",""),",",""))</f>
        <v>310</v>
      </c>
      <c r="L1579" s="2">
        <f>[1]RawShipmentData!K1597</f>
        <v>4</v>
      </c>
      <c r="M1579" s="3">
        <f>IF(TRIM([1]RawShipmentData!L1597)="","",IF(ISNUMBER(SEARCH("/",TRIM([1]RawShipmentData!L1597))),DATE(VALUE(RIGHT(TRIM([1]RawShipmentData!L1597),4)),VALUE(MID(TRIM([1]RawShipmentData!L1597),FIND("/",TRIM([1]RawShipmentData!L1597))+1,2)),VALUE(LEFT(TRIM([1]RawShipmentData!L1597),FIND("/",TRIM([1]RawShipmentData!L1597))-1))),DATEVALUE(TRIM([1]RawShipmentData!L1597))))</f>
        <v>45316</v>
      </c>
      <c r="N1579" s="2">
        <f t="shared" si="121"/>
        <v>6</v>
      </c>
      <c r="O1579" s="2">
        <f t="shared" si="122"/>
        <v>2</v>
      </c>
      <c r="P1579" s="2" t="str">
        <f t="shared" si="123"/>
        <v>Late</v>
      </c>
      <c r="Q1579" s="2" t="str">
        <f>PROPER(SUBSTITUTE(TRIM([1]RawShipmentData!M1597)," ","-"))</f>
        <v>Delayed</v>
      </c>
      <c r="R1579" s="4">
        <f t="shared" si="124"/>
        <v>238.46153846153845</v>
      </c>
      <c r="S1579" s="2">
        <f>[1]RawShipmentData!N1597</f>
        <v>4</v>
      </c>
      <c r="T1579" s="2" t="str">
        <f>IF(OR(UPPER(TRIM([1]RawShipmentData!O1597))="YES",UPPER(TRIM([1]RawShipmentData!O1597))="Y"),"Yes","No")</f>
        <v>Yes</v>
      </c>
    </row>
    <row r="1580" spans="1:20" x14ac:dyDescent="0.25">
      <c r="A1580" s="2" t="str">
        <f>[1]RawShipmentData!A1598</f>
        <v>SHP-101518</v>
      </c>
      <c r="B1580" s="3">
        <f>IF(ISNUMBER(SEARCH("/",TRIM([1]RawShipmentData!B1598))),DATE(VALUE(RIGHT(TRIM([1]RawShipmentData!B1598),4)),VALUE(MID(TRIM([1]RawShipmentData!B1598),FIND("/",TRIM([1]RawShipmentData!B1598))+1,2)),VALUE(LEFT(TRIM([1]RawShipmentData!B1598),FIND("/",TRIM([1]RawShipmentData!B1598))-1))),DATEVALUE(TRIM([1]RawShipmentData!B1598)))</f>
        <v>45426</v>
      </c>
      <c r="C1580" s="2" t="str">
        <f>PROPER(TRIM([1]RawShipmentData!C1598))</f>
        <v>Mumbai</v>
      </c>
      <c r="D1580" s="2" t="str">
        <f>IFERROR(INDEX([1]HubMaster!$B$2:$B$7,MATCH(C1580,[1]HubMaster!$A$2:$A$7,0)),"Unknown")</f>
        <v>West</v>
      </c>
      <c r="E1580" s="2" t="str">
        <f>PROPER(TRIM(SUBSTITUTE([1]RawShipmentData!D1598,"  "," ")))</f>
        <v>Delhivery</v>
      </c>
      <c r="F1580" s="2" t="str">
        <f>PROPER(TRIM([1]RawShipmentData!E1598))</f>
        <v>Road</v>
      </c>
      <c r="G1580" s="2" t="str">
        <f>PROPER(TRIM(SUBSTITUTE([1]RawShipmentData!F1598,"  "," ")))</f>
        <v>Apparel</v>
      </c>
      <c r="H1580" s="2" t="str">
        <f>PROPER(TRIM([1]RawShipmentData!G1598))</f>
        <v>South</v>
      </c>
      <c r="I1580" s="2" t="str">
        <f t="shared" si="120"/>
        <v>Yes</v>
      </c>
      <c r="J1580" s="2">
        <f>IFERROR(VALUE(TRIM(SUBSTITUTE(UPPER([1]RawShipmentData!I1580),"KG",""))),"")</f>
        <v>72.8</v>
      </c>
      <c r="K1580" s="2">
        <f>VALUE(SUBSTITUTE(SUBSTITUTE(SUBSTITUTE(TRIM([1]RawShipmentData!J1598),"₹",""),"Rs",""),",",""))</f>
        <v>208</v>
      </c>
      <c r="L1580" s="2">
        <f>[1]RawShipmentData!K1598</f>
        <v>8</v>
      </c>
      <c r="M1580" s="3">
        <f>IF(TRIM([1]RawShipmentData!L1598)="","",IF(ISNUMBER(SEARCH("/",TRIM([1]RawShipmentData!L1598))),DATE(VALUE(RIGHT(TRIM([1]RawShipmentData!L1598),4)),VALUE(MID(TRIM([1]RawShipmentData!L1598),FIND("/",TRIM([1]RawShipmentData!L1598))+1,2)),VALUE(LEFT(TRIM([1]RawShipmentData!L1598),FIND("/",TRIM([1]RawShipmentData!L1598))-1))),DATEVALUE(TRIM([1]RawShipmentData!L1598))))</f>
        <v>45435</v>
      </c>
      <c r="N1580" s="2">
        <f t="shared" si="121"/>
        <v>9</v>
      </c>
      <c r="O1580" s="2">
        <f t="shared" si="122"/>
        <v>1</v>
      </c>
      <c r="P1580" s="2" t="str">
        <f t="shared" si="123"/>
        <v>Late</v>
      </c>
      <c r="Q1580" s="2" t="str">
        <f>PROPER(SUBSTITUTE(TRIM([1]RawShipmentData!M1598)," ","-"))</f>
        <v>Delayed</v>
      </c>
      <c r="R1580" s="4">
        <f t="shared" si="124"/>
        <v>2.8571428571428572</v>
      </c>
      <c r="S1580" s="2">
        <f>[1]RawShipmentData!N1598</f>
        <v>2</v>
      </c>
      <c r="T1580" s="2" t="str">
        <f>IF(OR(UPPER(TRIM([1]RawShipmentData!O1598))="YES",UPPER(TRIM([1]RawShipmentData!O1598))="Y"),"Yes","No")</f>
        <v>No</v>
      </c>
    </row>
    <row r="1581" spans="1:20" x14ac:dyDescent="0.25">
      <c r="A1581" s="2" t="str">
        <f>[1]RawShipmentData!A1599</f>
        <v>SHP-101247</v>
      </c>
      <c r="B1581" s="3">
        <f>IF(ISNUMBER(SEARCH("/",TRIM([1]RawShipmentData!B1599))),DATE(VALUE(RIGHT(TRIM([1]RawShipmentData!B1599),4)),VALUE(MID(TRIM([1]RawShipmentData!B1599),FIND("/",TRIM([1]RawShipmentData!B1599))+1,2)),VALUE(LEFT(TRIM([1]RawShipmentData!B1599),FIND("/",TRIM([1]RawShipmentData!B1599))-1))),DATEVALUE(TRIM([1]RawShipmentData!B1599)))</f>
        <v>45406</v>
      </c>
      <c r="C1581" s="2" t="str">
        <f>PROPER(TRIM([1]RawShipmentData!C1599))</f>
        <v>Kolkata</v>
      </c>
      <c r="D1581" s="2" t="str">
        <f>IFERROR(INDEX([1]HubMaster!$B$2:$B$7,MATCH(C1581,[1]HubMaster!$A$2:$A$7,0)),"Unknown")</f>
        <v>East</v>
      </c>
      <c r="E1581" s="2" t="str">
        <f>PROPER(TRIM(SUBSTITUTE([1]RawShipmentData!D1599,"  "," ")))</f>
        <v>Xpressbees</v>
      </c>
      <c r="F1581" s="2" t="str">
        <f>PROPER(TRIM([1]RawShipmentData!E1599))</f>
        <v>Road</v>
      </c>
      <c r="G1581" s="2" t="str">
        <f>PROPER(TRIM(SUBSTITUTE([1]RawShipmentData!F1599,"  "," ")))</f>
        <v>Electronics</v>
      </c>
      <c r="H1581" s="2" t="str">
        <f>PROPER(TRIM([1]RawShipmentData!G1599))</f>
        <v>West</v>
      </c>
      <c r="I1581" s="2" t="str">
        <f t="shared" si="120"/>
        <v>Yes</v>
      </c>
      <c r="J1581" s="2">
        <f>IFERROR(VALUE(TRIM(SUBSTITUTE(UPPER([1]RawShipmentData!I1581),"KG",""))),"")</f>
        <v>35.1</v>
      </c>
      <c r="K1581" s="2">
        <f>VALUE(SUBSTITUTE(SUBSTITUTE(SUBSTITUTE(TRIM([1]RawShipmentData!J1599),"₹",""),"Rs",""),",",""))</f>
        <v>286</v>
      </c>
      <c r="L1581" s="2">
        <f>[1]RawShipmentData!K1599</f>
        <v>8</v>
      </c>
      <c r="M1581" s="3">
        <f>IF(TRIM([1]RawShipmentData!L1599)="","",IF(ISNUMBER(SEARCH("/",TRIM([1]RawShipmentData!L1599))),DATE(VALUE(RIGHT(TRIM([1]RawShipmentData!L1599),4)),VALUE(MID(TRIM([1]RawShipmentData!L1599),FIND("/",TRIM([1]RawShipmentData!L1599))+1,2)),VALUE(LEFT(TRIM([1]RawShipmentData!L1599),FIND("/",TRIM([1]RawShipmentData!L1599))-1))),DATEVALUE(TRIM([1]RawShipmentData!L1599))))</f>
        <v>45413</v>
      </c>
      <c r="N1581" s="2">
        <f t="shared" si="121"/>
        <v>7</v>
      </c>
      <c r="O1581" s="2">
        <f t="shared" si="122"/>
        <v>-1</v>
      </c>
      <c r="P1581" s="2" t="str">
        <f t="shared" si="123"/>
        <v>On Time</v>
      </c>
      <c r="Q1581" s="2" t="str">
        <f>PROPER(SUBSTITUTE(TRIM([1]RawShipmentData!M1599)," ","-"))</f>
        <v>Delivered</v>
      </c>
      <c r="R1581" s="4">
        <f t="shared" si="124"/>
        <v>8.148148148148147</v>
      </c>
      <c r="S1581" s="2">
        <f>[1]RawShipmentData!N1599</f>
        <v>3</v>
      </c>
      <c r="T1581" s="2" t="str">
        <f>IF(OR(UPPER(TRIM([1]RawShipmentData!O1599))="YES",UPPER(TRIM([1]RawShipmentData!O1599))="Y"),"Yes","No")</f>
        <v>No</v>
      </c>
    </row>
    <row r="1582" spans="1:20" x14ac:dyDescent="0.25">
      <c r="A1582" s="2" t="str">
        <f>[1]RawShipmentData!A1600</f>
        <v>SHP-100287</v>
      </c>
      <c r="B1582" s="3">
        <f>IF(ISNUMBER(SEARCH("/",TRIM([1]RawShipmentData!B1600))),DATE(VALUE(RIGHT(TRIM([1]RawShipmentData!B1600),4)),VALUE(MID(TRIM([1]RawShipmentData!B1600),FIND("/",TRIM([1]RawShipmentData!B1600))+1,2)),VALUE(LEFT(TRIM([1]RawShipmentData!B1600),FIND("/",TRIM([1]RawShipmentData!B1600))-1))),DATEVALUE(TRIM([1]RawShipmentData!B1600)))</f>
        <v>45360</v>
      </c>
      <c r="C1582" s="2" t="str">
        <f>PROPER(TRIM([1]RawShipmentData!C1600))</f>
        <v>Hyderabad</v>
      </c>
      <c r="D1582" s="2" t="str">
        <f>IFERROR(INDEX([1]HubMaster!$B$2:$B$7,MATCH(C1582,[1]HubMaster!$A$2:$A$7,0)),"Unknown")</f>
        <v>West</v>
      </c>
      <c r="E1582" s="2" t="str">
        <f>PROPER(TRIM(SUBSTITUTE([1]RawShipmentData!D1600,"  "," ")))</f>
        <v>Bluedart</v>
      </c>
      <c r="F1582" s="2" t="str">
        <f>PROPER(TRIM([1]RawShipmentData!E1600))</f>
        <v>Air</v>
      </c>
      <c r="G1582" s="2" t="str">
        <f>PROPER(TRIM(SUBSTITUTE([1]RawShipmentData!F1600,"  "," ")))</f>
        <v>Electronics</v>
      </c>
      <c r="H1582" s="2" t="str">
        <f>PROPER(TRIM([1]RawShipmentData!G1600))</f>
        <v>North</v>
      </c>
      <c r="I1582" s="2" t="str">
        <f t="shared" si="120"/>
        <v>Yes</v>
      </c>
      <c r="J1582" s="2">
        <f>IFERROR(VALUE(TRIM(SUBSTITUTE(UPPER([1]RawShipmentData!I1582),"KG",""))),"")</f>
        <v>4.5</v>
      </c>
      <c r="K1582" s="2">
        <f>VALUE(SUBSTITUTE(SUBSTITUTE(SUBSTITUTE(TRIM([1]RawShipmentData!J1600),"₹",""),"Rs",""),",",""))</f>
        <v>589</v>
      </c>
      <c r="L1582" s="2">
        <f>[1]RawShipmentData!K1600</f>
        <v>4</v>
      </c>
      <c r="M1582" s="3">
        <f>IF(TRIM([1]RawShipmentData!L1600)="","",IF(ISNUMBER(SEARCH("/",TRIM([1]RawShipmentData!L1600))),DATE(VALUE(RIGHT(TRIM([1]RawShipmentData!L1600),4)),VALUE(MID(TRIM([1]RawShipmentData!L1600),FIND("/",TRIM([1]RawShipmentData!L1600))+1,2)),VALUE(LEFT(TRIM([1]RawShipmentData!L1600),FIND("/",TRIM([1]RawShipmentData!L1600))-1))),DATEVALUE(TRIM([1]RawShipmentData!L1600))))</f>
        <v>45363</v>
      </c>
      <c r="N1582" s="2">
        <f t="shared" si="121"/>
        <v>3</v>
      </c>
      <c r="O1582" s="2">
        <f t="shared" si="122"/>
        <v>-1</v>
      </c>
      <c r="P1582" s="2" t="str">
        <f t="shared" si="123"/>
        <v>On Time</v>
      </c>
      <c r="Q1582" s="2" t="str">
        <f>PROPER(SUBSTITUTE(TRIM([1]RawShipmentData!M1600)," ","-"))</f>
        <v>Delivered</v>
      </c>
      <c r="R1582" s="4">
        <f t="shared" si="124"/>
        <v>130.88888888888889</v>
      </c>
      <c r="S1582" s="2">
        <f>[1]RawShipmentData!N1600</f>
        <v>4</v>
      </c>
      <c r="T1582" s="2" t="str">
        <f>IF(OR(UPPER(TRIM([1]RawShipmentData!O1600))="YES",UPPER(TRIM([1]RawShipmentData!O1600))="Y"),"Yes","No")</f>
        <v>Yes</v>
      </c>
    </row>
    <row r="1583" spans="1:20" x14ac:dyDescent="0.25">
      <c r="A1583" s="2" t="str">
        <f>[1]RawShipmentData!A1601</f>
        <v>SHP-100559</v>
      </c>
      <c r="B1583" s="3">
        <f>IF(ISNUMBER(SEARCH("/",TRIM([1]RawShipmentData!B1601))),DATE(VALUE(RIGHT(TRIM([1]RawShipmentData!B1601),4)),VALUE(MID(TRIM([1]RawShipmentData!B1601),FIND("/",TRIM([1]RawShipmentData!B1601))+1,2)),VALUE(LEFT(TRIM([1]RawShipmentData!B1601),FIND("/",TRIM([1]RawShipmentData!B1601))-1))),DATEVALUE(TRIM([1]RawShipmentData!B1601)))</f>
        <v>45430</v>
      </c>
      <c r="C1583" s="2" t="str">
        <f>PROPER(TRIM([1]RawShipmentData!C1601))</f>
        <v>Bengaluru</v>
      </c>
      <c r="D1583" s="2" t="str">
        <f>IFERROR(INDEX([1]HubMaster!$B$2:$B$7,MATCH(C1583,[1]HubMaster!$A$2:$A$7,0)),"Unknown")</f>
        <v>South</v>
      </c>
      <c r="E1583" s="2" t="str">
        <f>PROPER(TRIM(SUBSTITUTE([1]RawShipmentData!D1601,"  "," ")))</f>
        <v>Delhivery</v>
      </c>
      <c r="F1583" s="2" t="str">
        <f>PROPER(TRIM([1]RawShipmentData!E1601))</f>
        <v>Air</v>
      </c>
      <c r="G1583" s="2" t="str">
        <f>PROPER(TRIM(SUBSTITUTE([1]RawShipmentData!F1601,"  "," ")))</f>
        <v>Electronics</v>
      </c>
      <c r="H1583" s="2" t="str">
        <f>PROPER(TRIM([1]RawShipmentData!G1601))</f>
        <v>East</v>
      </c>
      <c r="I1583" s="2" t="str">
        <f t="shared" si="120"/>
        <v>Yes</v>
      </c>
      <c r="J1583" s="2">
        <f>IFERROR(VALUE(TRIM(SUBSTITUTE(UPPER([1]RawShipmentData!I1583),"KG",""))),"")</f>
        <v>2.5</v>
      </c>
      <c r="K1583" s="2">
        <f>VALUE(SUBSTITUTE(SUBSTITUTE(SUBSTITUTE(TRIM([1]RawShipmentData!J1601),"₹",""),"Rs",""),",",""))</f>
        <v>722</v>
      </c>
      <c r="L1583" s="2">
        <f>[1]RawShipmentData!K1601</f>
        <v>4</v>
      </c>
      <c r="M1583" s="3">
        <f>IF(TRIM([1]RawShipmentData!L1601)="","",IF(ISNUMBER(SEARCH("/",TRIM([1]RawShipmentData!L1601))),DATE(VALUE(RIGHT(TRIM([1]RawShipmentData!L1601),4)),VALUE(MID(TRIM([1]RawShipmentData!L1601),FIND("/",TRIM([1]RawShipmentData!L1601))+1,2)),VALUE(LEFT(TRIM([1]RawShipmentData!L1601),FIND("/",TRIM([1]RawShipmentData!L1601))-1))),DATEVALUE(TRIM([1]RawShipmentData!L1601))))</f>
        <v>45435</v>
      </c>
      <c r="N1583" s="2">
        <f t="shared" si="121"/>
        <v>5</v>
      </c>
      <c r="O1583" s="2">
        <f t="shared" si="122"/>
        <v>1</v>
      </c>
      <c r="P1583" s="2" t="str">
        <f t="shared" si="123"/>
        <v>Late</v>
      </c>
      <c r="Q1583" s="2" t="str">
        <f>PROPER(SUBSTITUTE(TRIM([1]RawShipmentData!M1601)," ","-"))</f>
        <v>Delayed</v>
      </c>
      <c r="R1583" s="4">
        <f t="shared" si="124"/>
        <v>288.8</v>
      </c>
      <c r="S1583" s="2">
        <f>[1]RawShipmentData!N1601</f>
        <v>2</v>
      </c>
      <c r="T1583" s="2" t="str">
        <f>IF(OR(UPPER(TRIM([1]RawShipmentData!O1601))="YES",UPPER(TRIM([1]RawShipmentData!O1601))="Y"),"Yes","No")</f>
        <v>No</v>
      </c>
    </row>
    <row r="1584" spans="1:20" x14ac:dyDescent="0.25">
      <c r="A1584" s="2" t="str">
        <f>[1]RawShipmentData!A1602</f>
        <v>SHP-100843</v>
      </c>
      <c r="B1584" s="3">
        <f>IF(ISNUMBER(SEARCH("/",TRIM([1]RawShipmentData!B1602))),DATE(VALUE(RIGHT(TRIM([1]RawShipmentData!B1602),4)),VALUE(MID(TRIM([1]RawShipmentData!B1602),FIND("/",TRIM([1]RawShipmentData!B1602))+1,2)),VALUE(LEFT(TRIM([1]RawShipmentData!B1602),FIND("/",TRIM([1]RawShipmentData!B1602))-1))),DATEVALUE(TRIM([1]RawShipmentData!B1602)))</f>
        <v>45421</v>
      </c>
      <c r="C1584" s="2" t="str">
        <f>PROPER(TRIM([1]RawShipmentData!C1602))</f>
        <v>Kolkata</v>
      </c>
      <c r="D1584" s="2" t="str">
        <f>IFERROR(INDEX([1]HubMaster!$B$2:$B$7,MATCH(C1584,[1]HubMaster!$A$2:$A$7,0)),"Unknown")</f>
        <v>East</v>
      </c>
      <c r="E1584" s="2" t="str">
        <f>PROPER(TRIM(SUBSTITUTE([1]RawShipmentData!D1602,"  "," ")))</f>
        <v>Bluedart</v>
      </c>
      <c r="F1584" s="2" t="str">
        <f>PROPER(TRIM([1]RawShipmentData!E1602))</f>
        <v>Air</v>
      </c>
      <c r="G1584" s="2" t="str">
        <f>PROPER(TRIM(SUBSTITUTE([1]RawShipmentData!F1602,"  "," ")))</f>
        <v>Pharma</v>
      </c>
      <c r="H1584" s="2" t="str">
        <f>PROPER(TRIM([1]RawShipmentData!G1602))</f>
        <v>South</v>
      </c>
      <c r="I1584" s="2" t="str">
        <f t="shared" si="120"/>
        <v>Yes</v>
      </c>
      <c r="J1584" s="2">
        <f>IFERROR(VALUE(TRIM(SUBSTITUTE(UPPER([1]RawShipmentData!I1584),"KG",""))),"")</f>
        <v>13.8</v>
      </c>
      <c r="K1584" s="2">
        <f>VALUE(SUBSTITUTE(SUBSTITUTE(SUBSTITUTE(TRIM([1]RawShipmentData!J1602),"₹",""),"Rs",""),",",""))</f>
        <v>222</v>
      </c>
      <c r="L1584" s="2">
        <f>[1]RawShipmentData!K1602</f>
        <v>4</v>
      </c>
      <c r="M1584" s="3">
        <f>IF(TRIM([1]RawShipmentData!L1602)="","",IF(ISNUMBER(SEARCH("/",TRIM([1]RawShipmentData!L1602))),DATE(VALUE(RIGHT(TRIM([1]RawShipmentData!L1602),4)),VALUE(MID(TRIM([1]RawShipmentData!L1602),FIND("/",TRIM([1]RawShipmentData!L1602))+1,2)),VALUE(LEFT(TRIM([1]RawShipmentData!L1602),FIND("/",TRIM([1]RawShipmentData!L1602))-1))),DATEVALUE(TRIM([1]RawShipmentData!L1602))))</f>
        <v>45426</v>
      </c>
      <c r="N1584" s="2">
        <f t="shared" si="121"/>
        <v>5</v>
      </c>
      <c r="O1584" s="2">
        <f t="shared" si="122"/>
        <v>1</v>
      </c>
      <c r="P1584" s="2" t="str">
        <f t="shared" si="123"/>
        <v>Late</v>
      </c>
      <c r="Q1584" s="2" t="str">
        <f>PROPER(SUBSTITUTE(TRIM([1]RawShipmentData!M1602)," ","-"))</f>
        <v>Delayed</v>
      </c>
      <c r="R1584" s="4">
        <f t="shared" si="124"/>
        <v>16.086956521739129</v>
      </c>
      <c r="S1584" s="2">
        <f>[1]RawShipmentData!N1602</f>
        <v>2</v>
      </c>
      <c r="T1584" s="2" t="str">
        <f>IF(OR(UPPER(TRIM([1]RawShipmentData!O1602))="YES",UPPER(TRIM([1]RawShipmentData!O1602))="Y"),"Yes","No")</f>
        <v>No</v>
      </c>
    </row>
    <row r="1585" spans="1:20" x14ac:dyDescent="0.25">
      <c r="A1585" s="2" t="str">
        <f>[1]RawShipmentData!A1603</f>
        <v>SHP-101315</v>
      </c>
      <c r="B1585" s="3">
        <f>IF(ISNUMBER(SEARCH("/",TRIM([1]RawShipmentData!B1603))),DATE(VALUE(RIGHT(TRIM([1]RawShipmentData!B1603),4)),VALUE(MID(TRIM([1]RawShipmentData!B1603),FIND("/",TRIM([1]RawShipmentData!B1603))+1,2)),VALUE(LEFT(TRIM([1]RawShipmentData!B1603),FIND("/",TRIM([1]RawShipmentData!B1603))-1))),DATEVALUE(TRIM([1]RawShipmentData!B1603)))</f>
        <v>45383</v>
      </c>
      <c r="C1585" s="2" t="str">
        <f>PROPER(TRIM([1]RawShipmentData!C1603))</f>
        <v>Bengaluru</v>
      </c>
      <c r="D1585" s="2" t="str">
        <f>IFERROR(INDEX([1]HubMaster!$B$2:$B$7,MATCH(C1585,[1]HubMaster!$A$2:$A$7,0)),"Unknown")</f>
        <v>South</v>
      </c>
      <c r="E1585" s="2" t="str">
        <f>PROPER(TRIM(SUBSTITUTE([1]RawShipmentData!D1603,"  "," ")))</f>
        <v>Xpressbees</v>
      </c>
      <c r="F1585" s="2" t="str">
        <f>PROPER(TRIM([1]RawShipmentData!E1603))</f>
        <v>Surface</v>
      </c>
      <c r="G1585" s="2" t="str">
        <f>PROPER(TRIM(SUBSTITUTE([1]RawShipmentData!F1603,"  "," ")))</f>
        <v>Electronics</v>
      </c>
      <c r="H1585" s="2" t="str">
        <f>PROPER(TRIM([1]RawShipmentData!G1603))</f>
        <v>North</v>
      </c>
      <c r="I1585" s="2" t="str">
        <f t="shared" si="120"/>
        <v>Yes</v>
      </c>
      <c r="J1585" s="2">
        <f>IFERROR(VALUE(TRIM(SUBSTITUTE(UPPER([1]RawShipmentData!I1585),"KG",""))),"")</f>
        <v>14</v>
      </c>
      <c r="K1585" s="2">
        <f>VALUE(SUBSTITUTE(SUBSTITUTE(SUBSTITUTE(TRIM([1]RawShipmentData!J1603),"₹",""),"Rs",""),",",""))</f>
        <v>391</v>
      </c>
      <c r="L1585" s="2">
        <f>[1]RawShipmentData!K1603</f>
        <v>6</v>
      </c>
      <c r="M1585" s="3">
        <f>IF(TRIM([1]RawShipmentData!L1603)="","",IF(ISNUMBER(SEARCH("/",TRIM([1]RawShipmentData!L1603))),DATE(VALUE(RIGHT(TRIM([1]RawShipmentData!L1603),4)),VALUE(MID(TRIM([1]RawShipmentData!L1603),FIND("/",TRIM([1]RawShipmentData!L1603))+1,2)),VALUE(LEFT(TRIM([1]RawShipmentData!L1603),FIND("/",TRIM([1]RawShipmentData!L1603))-1))),DATEVALUE(TRIM([1]RawShipmentData!L1603))))</f>
        <v>45390</v>
      </c>
      <c r="N1585" s="2">
        <f t="shared" si="121"/>
        <v>7</v>
      </c>
      <c r="O1585" s="2">
        <f t="shared" si="122"/>
        <v>1</v>
      </c>
      <c r="P1585" s="2" t="str">
        <f t="shared" si="123"/>
        <v>Late</v>
      </c>
      <c r="Q1585" s="2" t="str">
        <f>PROPER(SUBSTITUTE(TRIM([1]RawShipmentData!M1603)," ","-"))</f>
        <v>Delayed</v>
      </c>
      <c r="R1585" s="4">
        <f t="shared" si="124"/>
        <v>27.928571428571427</v>
      </c>
      <c r="S1585" s="2">
        <f>[1]RawShipmentData!N1603</f>
        <v>1</v>
      </c>
      <c r="T1585" s="2" t="str">
        <f>IF(OR(UPPER(TRIM([1]RawShipmentData!O1603))="YES",UPPER(TRIM([1]RawShipmentData!O1603))="Y"),"Yes","No")</f>
        <v>No</v>
      </c>
    </row>
    <row r="1586" spans="1:20" x14ac:dyDescent="0.25">
      <c r="A1586" s="2" t="str">
        <f>[1]RawShipmentData!A1604</f>
        <v>SHP-100459</v>
      </c>
      <c r="B1586" s="3">
        <f>IF(ISNUMBER(SEARCH("/",TRIM([1]RawShipmentData!B1604))),DATE(VALUE(RIGHT(TRIM([1]RawShipmentData!B1604),4)),VALUE(MID(TRIM([1]RawShipmentData!B1604),FIND("/",TRIM([1]RawShipmentData!B1604))+1,2)),VALUE(LEFT(TRIM([1]RawShipmentData!B1604),FIND("/",TRIM([1]RawShipmentData!B1604))-1))),DATEVALUE(TRIM([1]RawShipmentData!B1604)))</f>
        <v>45425</v>
      </c>
      <c r="C1586" s="2" t="str">
        <f>PROPER(TRIM([1]RawShipmentData!C1604))</f>
        <v>Chennai</v>
      </c>
      <c r="D1586" s="2" t="str">
        <f>IFERROR(INDEX([1]HubMaster!$B$2:$B$7,MATCH(C1586,[1]HubMaster!$A$2:$A$7,0)),"Unknown")</f>
        <v>South</v>
      </c>
      <c r="E1586" s="2" t="str">
        <f>PROPER(TRIM(SUBSTITUTE([1]RawShipmentData!D1604,"  "," ")))</f>
        <v>Xpressbees</v>
      </c>
      <c r="F1586" s="2" t="str">
        <f>PROPER(TRIM([1]RawShipmentData!E1604))</f>
        <v>Road</v>
      </c>
      <c r="G1586" s="2" t="str">
        <f>PROPER(TRIM(SUBSTITUTE([1]RawShipmentData!F1604,"  "," ")))</f>
        <v>Electronics</v>
      </c>
      <c r="H1586" s="2" t="str">
        <f>PROPER(TRIM([1]RawShipmentData!G1604))</f>
        <v>North</v>
      </c>
      <c r="I1586" s="2" t="str">
        <f t="shared" si="120"/>
        <v>Yes</v>
      </c>
      <c r="J1586" s="2">
        <f>IFERROR(VALUE(TRIM(SUBSTITUTE(UPPER([1]RawShipmentData!I1586),"KG",""))),"")</f>
        <v>7.9</v>
      </c>
      <c r="K1586" s="2">
        <f>VALUE(SUBSTITUTE(SUBSTITUTE(SUBSTITUTE(TRIM([1]RawShipmentData!J1604),"₹",""),"Rs",""),",",""))</f>
        <v>136</v>
      </c>
      <c r="L1586" s="2">
        <f>[1]RawShipmentData!K1604</f>
        <v>8</v>
      </c>
      <c r="M1586" s="3">
        <f>IF(TRIM([1]RawShipmentData!L1604)="","",IF(ISNUMBER(SEARCH("/",TRIM([1]RawShipmentData!L1604))),DATE(VALUE(RIGHT(TRIM([1]RawShipmentData!L1604),4)),VALUE(MID(TRIM([1]RawShipmentData!L1604),FIND("/",TRIM([1]RawShipmentData!L1604))+1,2)),VALUE(LEFT(TRIM([1]RawShipmentData!L1604),FIND("/",TRIM([1]RawShipmentData!L1604))-1))),DATEVALUE(TRIM([1]RawShipmentData!L1604))))</f>
        <v>45434</v>
      </c>
      <c r="N1586" s="2">
        <f t="shared" si="121"/>
        <v>9</v>
      </c>
      <c r="O1586" s="2">
        <f t="shared" si="122"/>
        <v>1</v>
      </c>
      <c r="P1586" s="2" t="str">
        <f t="shared" si="123"/>
        <v>Late</v>
      </c>
      <c r="Q1586" s="2" t="str">
        <f>PROPER(SUBSTITUTE(TRIM([1]RawShipmentData!M1604)," ","-"))</f>
        <v>Returned</v>
      </c>
      <c r="R1586" s="4">
        <f t="shared" si="124"/>
        <v>17.215189873417721</v>
      </c>
      <c r="S1586" s="2">
        <f>[1]RawShipmentData!N1604</f>
        <v>0</v>
      </c>
      <c r="T1586" s="2" t="str">
        <f>IF(OR(UPPER(TRIM([1]RawShipmentData!O1604))="YES",UPPER(TRIM([1]RawShipmentData!O1604))="Y"),"Yes","No")</f>
        <v>No</v>
      </c>
    </row>
    <row r="1587" spans="1:20" x14ac:dyDescent="0.25">
      <c r="A1587" s="2" t="str">
        <f>[1]RawShipmentData!A1605</f>
        <v>SHP-101103</v>
      </c>
      <c r="B1587" s="3">
        <f>IF(ISNUMBER(SEARCH("/",TRIM([1]RawShipmentData!B1605))),DATE(VALUE(RIGHT(TRIM([1]RawShipmentData!B1605),4)),VALUE(MID(TRIM([1]RawShipmentData!B1605),FIND("/",TRIM([1]RawShipmentData!B1605))+1,2)),VALUE(LEFT(TRIM([1]RawShipmentData!B1605),FIND("/",TRIM([1]RawShipmentData!B1605))-1))),DATEVALUE(TRIM([1]RawShipmentData!B1605)))</f>
        <v>45450</v>
      </c>
      <c r="C1587" s="2" t="str">
        <f>PROPER(TRIM([1]RawShipmentData!C1605))</f>
        <v>Kolkata</v>
      </c>
      <c r="D1587" s="2" t="str">
        <f>IFERROR(INDEX([1]HubMaster!$B$2:$B$7,MATCH(C1587,[1]HubMaster!$A$2:$A$7,0)),"Unknown")</f>
        <v>East</v>
      </c>
      <c r="E1587" s="2" t="str">
        <f>PROPER(TRIM(SUBSTITUTE([1]RawShipmentData!D1605,"  "," ")))</f>
        <v>Ecom Express</v>
      </c>
      <c r="F1587" s="2" t="str">
        <f>PROPER(TRIM([1]RawShipmentData!E1605))</f>
        <v>Air</v>
      </c>
      <c r="G1587" s="2" t="str">
        <f>PROPER(TRIM(SUBSTITUTE([1]RawShipmentData!F1605,"  "," ")))</f>
        <v>Furniture</v>
      </c>
      <c r="H1587" s="2" t="str">
        <f>PROPER(TRIM([1]RawShipmentData!G1605))</f>
        <v>South</v>
      </c>
      <c r="I1587" s="2" t="str">
        <f t="shared" si="120"/>
        <v>Yes</v>
      </c>
      <c r="J1587" s="2">
        <f>IFERROR(VALUE(TRIM(SUBSTITUTE(UPPER([1]RawShipmentData!I1587),"KG",""))),"")</f>
        <v>39.700000000000003</v>
      </c>
      <c r="K1587" s="2">
        <f>VALUE(SUBSTITUTE(SUBSTITUTE(SUBSTITUTE(TRIM([1]RawShipmentData!J1605),"₹",""),"Rs",""),",",""))</f>
        <v>1099</v>
      </c>
      <c r="L1587" s="2">
        <f>[1]RawShipmentData!K1605</f>
        <v>4</v>
      </c>
      <c r="M1587" s="3">
        <f>IF(TRIM([1]RawShipmentData!L1605)="","",IF(ISNUMBER(SEARCH("/",TRIM([1]RawShipmentData!L1605))),DATE(VALUE(RIGHT(TRIM([1]RawShipmentData!L1605),4)),VALUE(MID(TRIM([1]RawShipmentData!L1605),FIND("/",TRIM([1]RawShipmentData!L1605))+1,2)),VALUE(LEFT(TRIM([1]RawShipmentData!L1605),FIND("/",TRIM([1]RawShipmentData!L1605))-1))),DATEVALUE(TRIM([1]RawShipmentData!L1605))))</f>
        <v>45457</v>
      </c>
      <c r="N1587" s="2">
        <f t="shared" si="121"/>
        <v>7</v>
      </c>
      <c r="O1587" s="2">
        <f t="shared" si="122"/>
        <v>3</v>
      </c>
      <c r="P1587" s="2" t="str">
        <f t="shared" si="123"/>
        <v>Late</v>
      </c>
      <c r="Q1587" s="2" t="str">
        <f>PROPER(SUBSTITUTE(TRIM([1]RawShipmentData!M1605)," ","-"))</f>
        <v>Delayed</v>
      </c>
      <c r="R1587" s="4">
        <f t="shared" si="124"/>
        <v>27.68261964735516</v>
      </c>
      <c r="S1587" s="2">
        <f>[1]RawShipmentData!N1605</f>
        <v>4</v>
      </c>
      <c r="T1587" s="2" t="str">
        <f>IF(OR(UPPER(TRIM([1]RawShipmentData!O1605))="YES",UPPER(TRIM([1]RawShipmentData!O1605))="Y"),"Yes","No")</f>
        <v>Yes</v>
      </c>
    </row>
    <row r="1588" spans="1:20" x14ac:dyDescent="0.25">
      <c r="A1588" s="2" t="str">
        <f>[1]RawShipmentData!A1606</f>
        <v>SHP-101592</v>
      </c>
      <c r="B1588" s="3">
        <f>IF(ISNUMBER(SEARCH("/",TRIM([1]RawShipmentData!B1606))),DATE(VALUE(RIGHT(TRIM([1]RawShipmentData!B1606),4)),VALUE(MID(TRIM([1]RawShipmentData!B1606),FIND("/",TRIM([1]RawShipmentData!B1606))+1,2)),VALUE(LEFT(TRIM([1]RawShipmentData!B1606),FIND("/",TRIM([1]RawShipmentData!B1606))-1))),DATEVALUE(TRIM([1]RawShipmentData!B1606)))</f>
        <v>45345</v>
      </c>
      <c r="C1588" s="2" t="str">
        <f>PROPER(TRIM([1]RawShipmentData!C1606))</f>
        <v>Chennai</v>
      </c>
      <c r="D1588" s="2" t="str">
        <f>IFERROR(INDEX([1]HubMaster!$B$2:$B$7,MATCH(C1588,[1]HubMaster!$A$2:$A$7,0)),"Unknown")</f>
        <v>South</v>
      </c>
      <c r="E1588" s="2" t="str">
        <f>PROPER(TRIM(SUBSTITUTE([1]RawShipmentData!D1606,"  "," ")))</f>
        <v>Xpressbees</v>
      </c>
      <c r="F1588" s="2" t="str">
        <f>PROPER(TRIM([1]RawShipmentData!E1606))</f>
        <v>Air</v>
      </c>
      <c r="G1588" s="2" t="str">
        <f>PROPER(TRIM(SUBSTITUTE([1]RawShipmentData!F1606,"  "," ")))</f>
        <v>Furniture</v>
      </c>
      <c r="H1588" s="2" t="str">
        <f>PROPER(TRIM([1]RawShipmentData!G1606))</f>
        <v>East</v>
      </c>
      <c r="I1588" s="2" t="str">
        <f t="shared" si="120"/>
        <v>Yes</v>
      </c>
      <c r="J1588" s="2">
        <f>IFERROR(VALUE(TRIM(SUBSTITUTE(UPPER([1]RawShipmentData!I1588),"KG",""))),"")</f>
        <v>3.9</v>
      </c>
      <c r="K1588" s="2">
        <f>VALUE(SUBSTITUTE(SUBSTITUTE(SUBSTITUTE(TRIM([1]RawShipmentData!J1606),"₹",""),"Rs",""),",",""))</f>
        <v>1793</v>
      </c>
      <c r="L1588" s="2">
        <f>[1]RawShipmentData!K1606</f>
        <v>4</v>
      </c>
      <c r="M1588" s="3">
        <f>IF(TRIM([1]RawShipmentData!L1606)="","",IF(ISNUMBER(SEARCH("/",TRIM([1]RawShipmentData!L1606))),DATE(VALUE(RIGHT(TRIM([1]RawShipmentData!L1606),4)),VALUE(MID(TRIM([1]RawShipmentData!L1606),FIND("/",TRIM([1]RawShipmentData!L1606))+1,2)),VALUE(LEFT(TRIM([1]RawShipmentData!L1606),FIND("/",TRIM([1]RawShipmentData!L1606))-1))),DATEVALUE(TRIM([1]RawShipmentData!L1606))))</f>
        <v>45350</v>
      </c>
      <c r="N1588" s="2">
        <f t="shared" si="121"/>
        <v>5</v>
      </c>
      <c r="O1588" s="2">
        <f t="shared" si="122"/>
        <v>1</v>
      </c>
      <c r="P1588" s="2" t="str">
        <f t="shared" si="123"/>
        <v>Late</v>
      </c>
      <c r="Q1588" s="2" t="str">
        <f>PROPER(SUBSTITUTE(TRIM([1]RawShipmentData!M1606)," ","-"))</f>
        <v>Delayed</v>
      </c>
      <c r="R1588" s="4">
        <f t="shared" si="124"/>
        <v>459.74358974358978</v>
      </c>
      <c r="S1588" s="2">
        <f>[1]RawShipmentData!N1606</f>
        <v>2</v>
      </c>
      <c r="T1588" s="2" t="str">
        <f>IF(OR(UPPER(TRIM([1]RawShipmentData!O1606))="YES",UPPER(TRIM([1]RawShipmentData!O1606))="Y"),"Yes","No")</f>
        <v>No</v>
      </c>
    </row>
    <row r="1589" spans="1:20" x14ac:dyDescent="0.25">
      <c r="A1589" s="2" t="str">
        <f>[1]RawShipmentData!A1607</f>
        <v>SHP-101012</v>
      </c>
      <c r="B1589" s="3">
        <f>IF(ISNUMBER(SEARCH("/",TRIM([1]RawShipmentData!B1607))),DATE(VALUE(RIGHT(TRIM([1]RawShipmentData!B1607),4)),VALUE(MID(TRIM([1]RawShipmentData!B1607),FIND("/",TRIM([1]RawShipmentData!B1607))+1,2)),VALUE(LEFT(TRIM([1]RawShipmentData!B1607),FIND("/",TRIM([1]RawShipmentData!B1607))-1))),DATEVALUE(TRIM([1]RawShipmentData!B1607)))</f>
        <v>45323</v>
      </c>
      <c r="C1589" s="2" t="str">
        <f>PROPER(TRIM([1]RawShipmentData!C1607))</f>
        <v>Kolkata</v>
      </c>
      <c r="D1589" s="2" t="str">
        <f>IFERROR(INDEX([1]HubMaster!$B$2:$B$7,MATCH(C1589,[1]HubMaster!$A$2:$A$7,0)),"Unknown")</f>
        <v>East</v>
      </c>
      <c r="E1589" s="2" t="str">
        <f>PROPER(TRIM(SUBSTITUTE([1]RawShipmentData!D1607,"  "," ")))</f>
        <v>Xpressbees</v>
      </c>
      <c r="F1589" s="2" t="str">
        <f>PROPER(TRIM([1]RawShipmentData!E1607))</f>
        <v>Road</v>
      </c>
      <c r="G1589" s="2" t="str">
        <f>PROPER(TRIM(SUBSTITUTE([1]RawShipmentData!F1607,"  "," ")))</f>
        <v>Apparel</v>
      </c>
      <c r="H1589" s="2" t="str">
        <f>PROPER(TRIM([1]RawShipmentData!G1607))</f>
        <v>North</v>
      </c>
      <c r="I1589" s="2" t="str">
        <f t="shared" si="120"/>
        <v>Yes</v>
      </c>
      <c r="J1589" s="2">
        <f>IFERROR(VALUE(TRIM(SUBSTITUTE(UPPER([1]RawShipmentData!I1589),"KG",""))),"")</f>
        <v>7.9</v>
      </c>
      <c r="K1589" s="2">
        <f>VALUE(SUBSTITUTE(SUBSTITUTE(SUBSTITUTE(TRIM([1]RawShipmentData!J1607),"₹",""),"Rs",""),",",""))</f>
        <v>199</v>
      </c>
      <c r="L1589" s="2">
        <f>[1]RawShipmentData!K1607</f>
        <v>8</v>
      </c>
      <c r="M1589" s="3">
        <f>IF(TRIM([1]RawShipmentData!L1607)="","",IF(ISNUMBER(SEARCH("/",TRIM([1]RawShipmentData!L1607))),DATE(VALUE(RIGHT(TRIM([1]RawShipmentData!L1607),4)),VALUE(MID(TRIM([1]RawShipmentData!L1607),FIND("/",TRIM([1]RawShipmentData!L1607))+1,2)),VALUE(LEFT(TRIM([1]RawShipmentData!L1607),FIND("/",TRIM([1]RawShipmentData!L1607))-1))),DATEVALUE(TRIM([1]RawShipmentData!L1607))))</f>
        <v>45335</v>
      </c>
      <c r="N1589" s="2">
        <f t="shared" si="121"/>
        <v>12</v>
      </c>
      <c r="O1589" s="2">
        <f t="shared" si="122"/>
        <v>4</v>
      </c>
      <c r="P1589" s="2" t="str">
        <f t="shared" si="123"/>
        <v>Late</v>
      </c>
      <c r="Q1589" s="2" t="str">
        <f>PROPER(SUBSTITUTE(TRIM([1]RawShipmentData!M1607)," ","-"))</f>
        <v>Delayed</v>
      </c>
      <c r="R1589" s="4">
        <f t="shared" si="124"/>
        <v>25.189873417721518</v>
      </c>
      <c r="S1589" s="2">
        <f>[1]RawShipmentData!N1607</f>
        <v>3</v>
      </c>
      <c r="T1589" s="2" t="str">
        <f>IF(OR(UPPER(TRIM([1]RawShipmentData!O1607))="YES",UPPER(TRIM([1]RawShipmentData!O1607))="Y"),"Yes","No")</f>
        <v>Yes</v>
      </c>
    </row>
    <row r="1590" spans="1:20" x14ac:dyDescent="0.25">
      <c r="A1590" s="2" t="str">
        <f>[1]RawShipmentData!A1608</f>
        <v>SHP-101260</v>
      </c>
      <c r="B1590" s="3">
        <f>IF(ISNUMBER(SEARCH("/",TRIM([1]RawShipmentData!B1608))),DATE(VALUE(RIGHT(TRIM([1]RawShipmentData!B1608),4)),VALUE(MID(TRIM([1]RawShipmentData!B1608),FIND("/",TRIM([1]RawShipmentData!B1608))+1,2)),VALUE(LEFT(TRIM([1]RawShipmentData!B1608),FIND("/",TRIM([1]RawShipmentData!B1608))-1))),DATEVALUE(TRIM([1]RawShipmentData!B1608)))</f>
        <v>45435</v>
      </c>
      <c r="C1590" s="2" t="str">
        <f>PROPER(TRIM([1]RawShipmentData!C1608))</f>
        <v>Delhi</v>
      </c>
      <c r="D1590" s="2" t="str">
        <f>IFERROR(INDEX([1]HubMaster!$B$2:$B$7,MATCH(C1590,[1]HubMaster!$A$2:$A$7,0)),"Unknown")</f>
        <v>North</v>
      </c>
      <c r="E1590" s="2" t="str">
        <f>PROPER(TRIM(SUBSTITUTE([1]RawShipmentData!D1608,"  "," ")))</f>
        <v>Delhivery</v>
      </c>
      <c r="F1590" s="2" t="str">
        <f>PROPER(TRIM([1]RawShipmentData!E1608))</f>
        <v>Surface</v>
      </c>
      <c r="G1590" s="2" t="str">
        <f>PROPER(TRIM(SUBSTITUTE([1]RawShipmentData!F1608,"  "," ")))</f>
        <v>Electronics</v>
      </c>
      <c r="H1590" s="2" t="str">
        <f>PROPER(TRIM([1]RawShipmentData!G1608))</f>
        <v>North</v>
      </c>
      <c r="I1590" s="2" t="str">
        <f t="shared" si="120"/>
        <v>No</v>
      </c>
      <c r="J1590" s="2">
        <f>IFERROR(VALUE(TRIM(SUBSTITUTE(UPPER([1]RawShipmentData!I1590),"KG",""))),"")</f>
        <v>67.8</v>
      </c>
      <c r="K1590" s="2">
        <f>VALUE(SUBSTITUTE(SUBSTITUTE(SUBSTITUTE(TRIM([1]RawShipmentData!J1608),"₹",""),"Rs",""),",",""))</f>
        <v>285</v>
      </c>
      <c r="L1590" s="2">
        <f>[1]RawShipmentData!K1608</f>
        <v>4</v>
      </c>
      <c r="M1590" s="3">
        <f>IF(TRIM([1]RawShipmentData!L1608)="","",IF(ISNUMBER(SEARCH("/",TRIM([1]RawShipmentData!L1608))),DATE(VALUE(RIGHT(TRIM([1]RawShipmentData!L1608),4)),VALUE(MID(TRIM([1]RawShipmentData!L1608),FIND("/",TRIM([1]RawShipmentData!L1608))+1,2)),VALUE(LEFT(TRIM([1]RawShipmentData!L1608),FIND("/",TRIM([1]RawShipmentData!L1608))-1))),DATEVALUE(TRIM([1]RawShipmentData!L1608))))</f>
        <v>45441</v>
      </c>
      <c r="N1590" s="2">
        <f t="shared" si="121"/>
        <v>6</v>
      </c>
      <c r="O1590" s="2">
        <f t="shared" si="122"/>
        <v>2</v>
      </c>
      <c r="P1590" s="2" t="str">
        <f t="shared" si="123"/>
        <v>Late</v>
      </c>
      <c r="Q1590" s="2" t="str">
        <f>PROPER(SUBSTITUTE(TRIM([1]RawShipmentData!M1608)," ","-"))</f>
        <v>Delayed</v>
      </c>
      <c r="R1590" s="4">
        <f t="shared" si="124"/>
        <v>4.2035398230088497</v>
      </c>
      <c r="S1590" s="2">
        <f>[1]RawShipmentData!N1608</f>
        <v>1</v>
      </c>
      <c r="T1590" s="2" t="str">
        <f>IF(OR(UPPER(TRIM([1]RawShipmentData!O1608))="YES",UPPER(TRIM([1]RawShipmentData!O1608))="Y"),"Yes","No")</f>
        <v>No</v>
      </c>
    </row>
    <row r="1591" spans="1:20" x14ac:dyDescent="0.25">
      <c r="A1591" s="2" t="str">
        <f>[1]RawShipmentData!A1609</f>
        <v>SHP-100309</v>
      </c>
      <c r="B1591" s="3">
        <f>IF(ISNUMBER(SEARCH("/",TRIM([1]RawShipmentData!B1609))),DATE(VALUE(RIGHT(TRIM([1]RawShipmentData!B1609),4)),VALUE(MID(TRIM([1]RawShipmentData!B1609),FIND("/",TRIM([1]RawShipmentData!B1609))+1,2)),VALUE(LEFT(TRIM([1]RawShipmentData!B1609),FIND("/",TRIM([1]RawShipmentData!B1609))-1))),DATEVALUE(TRIM([1]RawShipmentData!B1609)))</f>
        <v>45385</v>
      </c>
      <c r="C1591" s="2" t="str">
        <f>PROPER(TRIM([1]RawShipmentData!C1609))</f>
        <v>Chennai</v>
      </c>
      <c r="D1591" s="2" t="str">
        <f>IFERROR(INDEX([1]HubMaster!$B$2:$B$7,MATCH(C1591,[1]HubMaster!$A$2:$A$7,0)),"Unknown")</f>
        <v>South</v>
      </c>
      <c r="E1591" s="2" t="str">
        <f>PROPER(TRIM(SUBSTITUTE([1]RawShipmentData!D1609,"  "," ")))</f>
        <v>Blue Dart</v>
      </c>
      <c r="F1591" s="2" t="str">
        <f>PROPER(TRIM([1]RawShipmentData!E1609))</f>
        <v>Air</v>
      </c>
      <c r="G1591" s="2" t="str">
        <f>PROPER(TRIM(SUBSTITUTE([1]RawShipmentData!F1609,"  "," ")))</f>
        <v>Automotive Parts</v>
      </c>
      <c r="H1591" s="2" t="str">
        <f>PROPER(TRIM([1]RawShipmentData!G1609))</f>
        <v>East</v>
      </c>
      <c r="I1591" s="2" t="str">
        <f t="shared" si="120"/>
        <v>Yes</v>
      </c>
      <c r="J1591" s="2">
        <f>IFERROR(VALUE(TRIM(SUBSTITUTE(UPPER([1]RawShipmentData!I1591),"KG",""))),"")</f>
        <v>11.8</v>
      </c>
      <c r="K1591" s="2">
        <f>VALUE(SUBSTITUTE(SUBSTITUTE(SUBSTITUTE(TRIM([1]RawShipmentData!J1609),"₹",""),"Rs",""),",",""))</f>
        <v>480</v>
      </c>
      <c r="L1591" s="2">
        <f>[1]RawShipmentData!K1609</f>
        <v>4</v>
      </c>
      <c r="M1591" s="3">
        <f>IF(TRIM([1]RawShipmentData!L1609)="","",IF(ISNUMBER(SEARCH("/",TRIM([1]RawShipmentData!L1609))),DATE(VALUE(RIGHT(TRIM([1]RawShipmentData!L1609),4)),VALUE(MID(TRIM([1]RawShipmentData!L1609),FIND("/",TRIM([1]RawShipmentData!L1609))+1,2)),VALUE(LEFT(TRIM([1]RawShipmentData!L1609),FIND("/",TRIM([1]RawShipmentData!L1609))-1))),DATEVALUE(TRIM([1]RawShipmentData!L1609))))</f>
        <v>45390</v>
      </c>
      <c r="N1591" s="2">
        <f t="shared" si="121"/>
        <v>5</v>
      </c>
      <c r="O1591" s="2">
        <f t="shared" si="122"/>
        <v>1</v>
      </c>
      <c r="P1591" s="2" t="str">
        <f t="shared" si="123"/>
        <v>Late</v>
      </c>
      <c r="Q1591" s="2" t="str">
        <f>PROPER(SUBSTITUTE(TRIM([1]RawShipmentData!M1609)," ","-"))</f>
        <v>Delayed</v>
      </c>
      <c r="R1591" s="4">
        <f t="shared" si="124"/>
        <v>40.677966101694913</v>
      </c>
      <c r="S1591" s="2">
        <f>[1]RawShipmentData!N1609</f>
        <v>4</v>
      </c>
      <c r="T1591" s="2" t="str">
        <f>IF(OR(UPPER(TRIM([1]RawShipmentData!O1609))="YES",UPPER(TRIM([1]RawShipmentData!O1609))="Y"),"Yes","No")</f>
        <v>No</v>
      </c>
    </row>
    <row r="1592" spans="1:20" x14ac:dyDescent="0.25">
      <c r="A1592" s="2" t="str">
        <f>[1]RawShipmentData!A1610</f>
        <v>SHP-100641</v>
      </c>
      <c r="B1592" s="3">
        <f>IF(ISNUMBER(SEARCH("/",TRIM([1]RawShipmentData!B1610))),DATE(VALUE(RIGHT(TRIM([1]RawShipmentData!B1610),4)),VALUE(MID(TRIM([1]RawShipmentData!B1610),FIND("/",TRIM([1]RawShipmentData!B1610))+1,2)),VALUE(LEFT(TRIM([1]RawShipmentData!B1610),FIND("/",TRIM([1]RawShipmentData!B1610))-1))),DATEVALUE(TRIM([1]RawShipmentData!B1610)))</f>
        <v>45460</v>
      </c>
      <c r="C1592" s="2" t="str">
        <f>PROPER(TRIM([1]RawShipmentData!C1610))</f>
        <v>Chennai</v>
      </c>
      <c r="D1592" s="2" t="str">
        <f>IFERROR(INDEX([1]HubMaster!$B$2:$B$7,MATCH(C1592,[1]HubMaster!$A$2:$A$7,0)),"Unknown")</f>
        <v>South</v>
      </c>
      <c r="E1592" s="2" t="str">
        <f>PROPER(TRIM(SUBSTITUTE([1]RawShipmentData!D1610,"  "," ")))</f>
        <v>Delhivery</v>
      </c>
      <c r="F1592" s="2" t="str">
        <f>PROPER(TRIM([1]RawShipmentData!E1610))</f>
        <v>Air</v>
      </c>
      <c r="G1592" s="2" t="str">
        <f>PROPER(TRIM(SUBSTITUTE([1]RawShipmentData!F1610,"  "," ")))</f>
        <v>Automotive Parts</v>
      </c>
      <c r="H1592" s="2" t="str">
        <f>PROPER(TRIM([1]RawShipmentData!G1610))</f>
        <v>West</v>
      </c>
      <c r="I1592" s="2" t="str">
        <f t="shared" si="120"/>
        <v>Yes</v>
      </c>
      <c r="J1592" s="2">
        <f>IFERROR(VALUE(TRIM(SUBSTITUTE(UPPER([1]RawShipmentData!I1592),"KG",""))),"")</f>
        <v>9.1999999999999993</v>
      </c>
      <c r="K1592" s="2">
        <f>VALUE(SUBSTITUTE(SUBSTITUTE(SUBSTITUTE(TRIM([1]RawShipmentData!J1610),"₹",""),"Rs",""),",",""))</f>
        <v>1090</v>
      </c>
      <c r="L1592" s="2">
        <f>[1]RawShipmentData!K1610</f>
        <v>4</v>
      </c>
      <c r="M1592" s="3">
        <f>IF(TRIM([1]RawShipmentData!L1610)="","",IF(ISNUMBER(SEARCH("/",TRIM([1]RawShipmentData!L1610))),DATE(VALUE(RIGHT(TRIM([1]RawShipmentData!L1610),4)),VALUE(MID(TRIM([1]RawShipmentData!L1610),FIND("/",TRIM([1]RawShipmentData!L1610))+1,2)),VALUE(LEFT(TRIM([1]RawShipmentData!L1610),FIND("/",TRIM([1]RawShipmentData!L1610))-1))),DATEVALUE(TRIM([1]RawShipmentData!L1610))))</f>
        <v>45465</v>
      </c>
      <c r="N1592" s="2">
        <f t="shared" si="121"/>
        <v>5</v>
      </c>
      <c r="O1592" s="2">
        <f t="shared" si="122"/>
        <v>1</v>
      </c>
      <c r="P1592" s="2" t="str">
        <f t="shared" si="123"/>
        <v>Late</v>
      </c>
      <c r="Q1592" s="2" t="str">
        <f>PROPER(SUBSTITUTE(TRIM([1]RawShipmentData!M1610)," ","-"))</f>
        <v>Delayed</v>
      </c>
      <c r="R1592" s="4">
        <f t="shared" si="124"/>
        <v>118.47826086956523</v>
      </c>
      <c r="S1592" s="2">
        <f>[1]RawShipmentData!N1610</f>
        <v>3</v>
      </c>
      <c r="T1592" s="2" t="str">
        <f>IF(OR(UPPER(TRIM([1]RawShipmentData!O1610))="YES",UPPER(TRIM([1]RawShipmentData!O1610))="Y"),"Yes","No")</f>
        <v>No</v>
      </c>
    </row>
    <row r="1593" spans="1:20" x14ac:dyDescent="0.25">
      <c r="A1593" s="2" t="str">
        <f>[1]RawShipmentData!A1611</f>
        <v>SHP-100328</v>
      </c>
      <c r="B1593" s="3">
        <f>IF(ISNUMBER(SEARCH("/",TRIM([1]RawShipmentData!B1611))),DATE(VALUE(RIGHT(TRIM([1]RawShipmentData!B1611),4)),VALUE(MID(TRIM([1]RawShipmentData!B1611),FIND("/",TRIM([1]RawShipmentData!B1611))+1,2)),VALUE(LEFT(TRIM([1]RawShipmentData!B1611),FIND("/",TRIM([1]RawShipmentData!B1611))-1))),DATEVALUE(TRIM([1]RawShipmentData!B1611)))</f>
        <v>45368</v>
      </c>
      <c r="C1593" s="2" t="str">
        <f>PROPER(TRIM([1]RawShipmentData!C1611))</f>
        <v>Kolkata</v>
      </c>
      <c r="D1593" s="2" t="str">
        <f>IFERROR(INDEX([1]HubMaster!$B$2:$B$7,MATCH(C1593,[1]HubMaster!$A$2:$A$7,0)),"Unknown")</f>
        <v>East</v>
      </c>
      <c r="E1593" s="2" t="str">
        <f>PROPER(TRIM(SUBSTITUTE([1]RawShipmentData!D1611,"  "," ")))</f>
        <v>Dtdc</v>
      </c>
      <c r="F1593" s="2" t="str">
        <f>PROPER(TRIM([1]RawShipmentData!E1611))</f>
        <v>Surface</v>
      </c>
      <c r="G1593" s="2" t="str">
        <f>PROPER(TRIM(SUBSTITUTE([1]RawShipmentData!F1611,"  "," ")))</f>
        <v>Furniture</v>
      </c>
      <c r="H1593" s="2" t="str">
        <f>PROPER(TRIM([1]RawShipmentData!G1611))</f>
        <v>South</v>
      </c>
      <c r="I1593" s="2" t="str">
        <f t="shared" si="120"/>
        <v>Yes</v>
      </c>
      <c r="J1593" s="2">
        <f>IFERROR(VALUE(TRIM(SUBSTITUTE(UPPER([1]RawShipmentData!I1593),"KG",""))),"")</f>
        <v>77.2</v>
      </c>
      <c r="K1593" s="2">
        <f>VALUE(SUBSTITUTE(SUBSTITUTE(SUBSTITUTE(TRIM([1]RawShipmentData!J1611),"₹",""),"Rs",""),",",""))</f>
        <v>1528</v>
      </c>
      <c r="L1593" s="2">
        <f>[1]RawShipmentData!K1611</f>
        <v>6</v>
      </c>
      <c r="M1593" s="3">
        <f>IF(TRIM([1]RawShipmentData!L1611)="","",IF(ISNUMBER(SEARCH("/",TRIM([1]RawShipmentData!L1611))),DATE(VALUE(RIGHT(TRIM([1]RawShipmentData!L1611),4)),VALUE(MID(TRIM([1]RawShipmentData!L1611),FIND("/",TRIM([1]RawShipmentData!L1611))+1,2)),VALUE(LEFT(TRIM([1]RawShipmentData!L1611),FIND("/",TRIM([1]RawShipmentData!L1611))-1))),DATEVALUE(TRIM([1]RawShipmentData!L1611))))</f>
        <v>45379</v>
      </c>
      <c r="N1593" s="2">
        <f t="shared" si="121"/>
        <v>11</v>
      </c>
      <c r="O1593" s="2">
        <f t="shared" si="122"/>
        <v>5</v>
      </c>
      <c r="P1593" s="2" t="str">
        <f t="shared" si="123"/>
        <v>Late</v>
      </c>
      <c r="Q1593" s="2" t="str">
        <f>PROPER(SUBSTITUTE(TRIM([1]RawShipmentData!M1611)," ","-"))</f>
        <v>Delayed</v>
      </c>
      <c r="R1593" s="4">
        <f t="shared" si="124"/>
        <v>19.792746113989637</v>
      </c>
      <c r="S1593" s="2">
        <f>[1]RawShipmentData!N1611</f>
        <v>2</v>
      </c>
      <c r="T1593" s="2" t="str">
        <f>IF(OR(UPPER(TRIM([1]RawShipmentData!O1611))="YES",UPPER(TRIM([1]RawShipmentData!O1611))="Y"),"Yes","No")</f>
        <v>No</v>
      </c>
    </row>
    <row r="1594" spans="1:20" x14ac:dyDescent="0.25">
      <c r="A1594" s="2" t="str">
        <f>[1]RawShipmentData!A1612</f>
        <v>SHP-100224</v>
      </c>
      <c r="B1594" s="3">
        <f>IF(ISNUMBER(SEARCH("/",TRIM([1]RawShipmentData!B1612))),DATE(VALUE(RIGHT(TRIM([1]RawShipmentData!B1612),4)),VALUE(MID(TRIM([1]RawShipmentData!B1612),FIND("/",TRIM([1]RawShipmentData!B1612))+1,2)),VALUE(LEFT(TRIM([1]RawShipmentData!B1612),FIND("/",TRIM([1]RawShipmentData!B1612))-1))),DATEVALUE(TRIM([1]RawShipmentData!B1612)))</f>
        <v>45463</v>
      </c>
      <c r="C1594" s="2" t="str">
        <f>PROPER(TRIM([1]RawShipmentData!C1612))</f>
        <v>Hyderabad</v>
      </c>
      <c r="D1594" s="2" t="str">
        <f>IFERROR(INDEX([1]HubMaster!$B$2:$B$7,MATCH(C1594,[1]HubMaster!$A$2:$A$7,0)),"Unknown")</f>
        <v>West</v>
      </c>
      <c r="E1594" s="2" t="str">
        <f>PROPER(TRIM(SUBSTITUTE([1]RawShipmentData!D1612,"  "," ")))</f>
        <v>Xpressbees</v>
      </c>
      <c r="F1594" s="2" t="str">
        <f>PROPER(TRIM([1]RawShipmentData!E1612))</f>
        <v>Air</v>
      </c>
      <c r="G1594" s="2" t="str">
        <f>PROPER(TRIM(SUBSTITUTE([1]RawShipmentData!F1612,"  "," ")))</f>
        <v>Grocery &amp; Fmcg</v>
      </c>
      <c r="H1594" s="2" t="str">
        <f>PROPER(TRIM([1]RawShipmentData!G1612))</f>
        <v>South</v>
      </c>
      <c r="I1594" s="2" t="str">
        <f t="shared" si="120"/>
        <v>Yes</v>
      </c>
      <c r="J1594" s="2">
        <f>IFERROR(VALUE(TRIM(SUBSTITUTE(UPPER([1]RawShipmentData!I1594),"KG",""))),"")</f>
        <v>2.4</v>
      </c>
      <c r="K1594" s="2">
        <f>VALUE(SUBSTITUTE(SUBSTITUTE(SUBSTITUTE(TRIM([1]RawShipmentData!J1612),"₹",""),"Rs",""),",",""))</f>
        <v>720</v>
      </c>
      <c r="L1594" s="2">
        <f>[1]RawShipmentData!K1612</f>
        <v>4</v>
      </c>
      <c r="M1594" s="3">
        <f>IF(TRIM([1]RawShipmentData!L1612)="","",IF(ISNUMBER(SEARCH("/",TRIM([1]RawShipmentData!L1612))),DATE(VALUE(RIGHT(TRIM([1]RawShipmentData!L1612),4)),VALUE(MID(TRIM([1]RawShipmentData!L1612),FIND("/",TRIM([1]RawShipmentData!L1612))+1,2)),VALUE(LEFT(TRIM([1]RawShipmentData!L1612),FIND("/",TRIM([1]RawShipmentData!L1612))-1))),DATEVALUE(TRIM([1]RawShipmentData!L1612))))</f>
        <v>45468</v>
      </c>
      <c r="N1594" s="2">
        <f t="shared" si="121"/>
        <v>5</v>
      </c>
      <c r="O1594" s="2">
        <f t="shared" si="122"/>
        <v>1</v>
      </c>
      <c r="P1594" s="2" t="str">
        <f t="shared" si="123"/>
        <v>Late</v>
      </c>
      <c r="Q1594" s="2" t="str">
        <f>PROPER(SUBSTITUTE(TRIM([1]RawShipmentData!M1612)," ","-"))</f>
        <v>Returned</v>
      </c>
      <c r="R1594" s="4">
        <f t="shared" si="124"/>
        <v>300</v>
      </c>
      <c r="S1594" s="2">
        <f>[1]RawShipmentData!N1612</f>
        <v>0</v>
      </c>
      <c r="T1594" s="2" t="str">
        <f>IF(OR(UPPER(TRIM([1]RawShipmentData!O1612))="YES",UPPER(TRIM([1]RawShipmentData!O1612))="Y"),"Yes","No")</f>
        <v>Yes</v>
      </c>
    </row>
    <row r="1595" spans="1:20" x14ac:dyDescent="0.25">
      <c r="A1595" s="2" t="str">
        <f>[1]RawShipmentData!A1613</f>
        <v>SHP-100206</v>
      </c>
      <c r="B1595" s="3">
        <f>IF(ISNUMBER(SEARCH("/",TRIM([1]RawShipmentData!B1613))),DATE(VALUE(RIGHT(TRIM([1]RawShipmentData!B1613),4)),VALUE(MID(TRIM([1]RawShipmentData!B1613),FIND("/",TRIM([1]RawShipmentData!B1613))+1,2)),VALUE(LEFT(TRIM([1]RawShipmentData!B1613),FIND("/",TRIM([1]RawShipmentData!B1613))-1))),DATEVALUE(TRIM([1]RawShipmentData!B1613)))</f>
        <v>45358</v>
      </c>
      <c r="C1595" s="2" t="str">
        <f>PROPER(TRIM([1]RawShipmentData!C1613))</f>
        <v>Hyderabad</v>
      </c>
      <c r="D1595" s="2" t="str">
        <f>IFERROR(INDEX([1]HubMaster!$B$2:$B$7,MATCH(C1595,[1]HubMaster!$A$2:$A$7,0)),"Unknown")</f>
        <v>West</v>
      </c>
      <c r="E1595" s="2" t="str">
        <f>PROPER(TRIM(SUBSTITUTE([1]RawShipmentData!D1613,"  "," ")))</f>
        <v>Bluedart</v>
      </c>
      <c r="F1595" s="2" t="str">
        <f>PROPER(TRIM([1]RawShipmentData!E1613))</f>
        <v>Surface</v>
      </c>
      <c r="G1595" s="2" t="str">
        <f>PROPER(TRIM(SUBSTITUTE([1]RawShipmentData!F1613,"  "," ")))</f>
        <v>Automotive Parts</v>
      </c>
      <c r="H1595" s="2" t="str">
        <f>PROPER(TRIM([1]RawShipmentData!G1613))</f>
        <v>South</v>
      </c>
      <c r="I1595" s="2" t="str">
        <f t="shared" si="120"/>
        <v>Yes</v>
      </c>
      <c r="J1595" s="2">
        <f>IFERROR(VALUE(TRIM(SUBSTITUTE(UPPER([1]RawShipmentData!I1595),"KG",""))),"")</f>
        <v>3.9</v>
      </c>
      <c r="K1595" s="2">
        <f>VALUE(SUBSTITUTE(SUBSTITUTE(SUBSTITUTE(TRIM([1]RawShipmentData!J1613),"₹",""),"Rs",""),",",""))</f>
        <v>383</v>
      </c>
      <c r="L1595" s="2">
        <f>[1]RawShipmentData!K1613</f>
        <v>6</v>
      </c>
      <c r="M1595" s="3">
        <f>IF(TRIM([1]RawShipmentData!L1613)="","",IF(ISNUMBER(SEARCH("/",TRIM([1]RawShipmentData!L1613))),DATE(VALUE(RIGHT(TRIM([1]RawShipmentData!L1613),4)),VALUE(MID(TRIM([1]RawShipmentData!L1613),FIND("/",TRIM([1]RawShipmentData!L1613))+1,2)),VALUE(LEFT(TRIM([1]RawShipmentData!L1613),FIND("/",TRIM([1]RawShipmentData!L1613))-1))),DATEVALUE(TRIM([1]RawShipmentData!L1613))))</f>
        <v>45365</v>
      </c>
      <c r="N1595" s="2">
        <f t="shared" si="121"/>
        <v>7</v>
      </c>
      <c r="O1595" s="2">
        <f t="shared" si="122"/>
        <v>1</v>
      </c>
      <c r="P1595" s="2" t="str">
        <f t="shared" si="123"/>
        <v>Late</v>
      </c>
      <c r="Q1595" s="2" t="str">
        <f>PROPER(SUBSTITUTE(TRIM([1]RawShipmentData!M1613)," ","-"))</f>
        <v>Delayed</v>
      </c>
      <c r="R1595" s="4">
        <f t="shared" si="124"/>
        <v>98.205128205128204</v>
      </c>
      <c r="S1595" s="2">
        <f>[1]RawShipmentData!N1613</f>
        <v>1</v>
      </c>
      <c r="T1595" s="2" t="str">
        <f>IF(OR(UPPER(TRIM([1]RawShipmentData!O1613))="YES",UPPER(TRIM([1]RawShipmentData!O1613))="Y"),"Yes","No")</f>
        <v>No</v>
      </c>
    </row>
    <row r="1596" spans="1:20" x14ac:dyDescent="0.25">
      <c r="A1596" s="2" t="str">
        <f>[1]RawShipmentData!A1614</f>
        <v>SHP-101003</v>
      </c>
      <c r="B1596" s="3">
        <f>IF(ISNUMBER(SEARCH("/",TRIM([1]RawShipmentData!B1614))),DATE(VALUE(RIGHT(TRIM([1]RawShipmentData!B1614),4)),VALUE(MID(TRIM([1]RawShipmentData!B1614),FIND("/",TRIM([1]RawShipmentData!B1614))+1,2)),VALUE(LEFT(TRIM([1]RawShipmentData!B1614),FIND("/",TRIM([1]RawShipmentData!B1614))-1))),DATEVALUE(TRIM([1]RawShipmentData!B1614)))</f>
        <v>45465</v>
      </c>
      <c r="C1596" s="2" t="str">
        <f>PROPER(TRIM([1]RawShipmentData!C1614))</f>
        <v>Bengaluru</v>
      </c>
      <c r="D1596" s="2" t="str">
        <f>IFERROR(INDEX([1]HubMaster!$B$2:$B$7,MATCH(C1596,[1]HubMaster!$A$2:$A$7,0)),"Unknown")</f>
        <v>South</v>
      </c>
      <c r="E1596" s="2" t="str">
        <f>PROPER(TRIM(SUBSTITUTE([1]RawShipmentData!D1614,"  "," ")))</f>
        <v>Xpress Bees</v>
      </c>
      <c r="F1596" s="2" t="str">
        <f>PROPER(TRIM([1]RawShipmentData!E1614))</f>
        <v>Air</v>
      </c>
      <c r="G1596" s="2" t="str">
        <f>PROPER(TRIM(SUBSTITUTE([1]RawShipmentData!F1614,"  "," ")))</f>
        <v>Apparel</v>
      </c>
      <c r="H1596" s="2" t="str">
        <f>PROPER(TRIM([1]RawShipmentData!G1614))</f>
        <v>West</v>
      </c>
      <c r="I1596" s="2" t="str">
        <f t="shared" si="120"/>
        <v>Yes</v>
      </c>
      <c r="J1596" s="2">
        <f>IFERROR(VALUE(TRIM(SUBSTITUTE(UPPER([1]RawShipmentData!I1596),"KG",""))),"")</f>
        <v>10.4</v>
      </c>
      <c r="K1596" s="2">
        <f>VALUE(SUBSTITUTE(SUBSTITUTE(SUBSTITUTE(TRIM([1]RawShipmentData!J1614),"₹",""),"Rs",""),",",""))</f>
        <v>529</v>
      </c>
      <c r="L1596" s="2">
        <f>[1]RawShipmentData!K1614</f>
        <v>4</v>
      </c>
      <c r="M1596" s="3">
        <f>IF(TRIM([1]RawShipmentData!L1614)="","",IF(ISNUMBER(SEARCH("/",TRIM([1]RawShipmentData!L1614))),DATE(VALUE(RIGHT(TRIM([1]RawShipmentData!L1614),4)),VALUE(MID(TRIM([1]RawShipmentData!L1614),FIND("/",TRIM([1]RawShipmentData!L1614))+1,2)),VALUE(LEFT(TRIM([1]RawShipmentData!L1614),FIND("/",TRIM([1]RawShipmentData!L1614))-1))),DATEVALUE(TRIM([1]RawShipmentData!L1614))))</f>
        <v>45472</v>
      </c>
      <c r="N1596" s="2">
        <f t="shared" si="121"/>
        <v>7</v>
      </c>
      <c r="O1596" s="2">
        <f t="shared" si="122"/>
        <v>3</v>
      </c>
      <c r="P1596" s="2" t="str">
        <f t="shared" si="123"/>
        <v>Late</v>
      </c>
      <c r="Q1596" s="2" t="str">
        <f>PROPER(SUBSTITUTE(TRIM([1]RawShipmentData!M1614)," ","-"))</f>
        <v>Delayed</v>
      </c>
      <c r="R1596" s="4">
        <f t="shared" si="124"/>
        <v>50.865384615384613</v>
      </c>
      <c r="S1596" s="2">
        <f>[1]RawShipmentData!N1614</f>
        <v>5</v>
      </c>
      <c r="T1596" s="2" t="str">
        <f>IF(OR(UPPER(TRIM([1]RawShipmentData!O1614))="YES",UPPER(TRIM([1]RawShipmentData!O1614))="Y"),"Yes","No")</f>
        <v>No</v>
      </c>
    </row>
    <row r="1597" spans="1:20" x14ac:dyDescent="0.25">
      <c r="A1597" s="2" t="str">
        <f>[1]RawShipmentData!A1615</f>
        <v>SHP-100432</v>
      </c>
      <c r="B1597" s="3">
        <f>IF(ISNUMBER(SEARCH("/",TRIM([1]RawShipmentData!B1615))),DATE(VALUE(RIGHT(TRIM([1]RawShipmentData!B1615),4)),VALUE(MID(TRIM([1]RawShipmentData!B1615),FIND("/",TRIM([1]RawShipmentData!B1615))+1,2)),VALUE(LEFT(TRIM([1]RawShipmentData!B1615),FIND("/",TRIM([1]RawShipmentData!B1615))-1))),DATEVALUE(TRIM([1]RawShipmentData!B1615)))</f>
        <v>45459</v>
      </c>
      <c r="C1597" s="2" t="str">
        <f>PROPER(TRIM([1]RawShipmentData!C1615))</f>
        <v>Chennai</v>
      </c>
      <c r="D1597" s="2" t="str">
        <f>IFERROR(INDEX([1]HubMaster!$B$2:$B$7,MATCH(C1597,[1]HubMaster!$A$2:$A$7,0)),"Unknown")</f>
        <v>South</v>
      </c>
      <c r="E1597" s="2" t="str">
        <f>PROPER(TRIM(SUBSTITUTE([1]RawShipmentData!D1615,"  "," ")))</f>
        <v>Delhivery</v>
      </c>
      <c r="F1597" s="2" t="str">
        <f>PROPER(TRIM([1]RawShipmentData!E1615))</f>
        <v>Air</v>
      </c>
      <c r="G1597" s="2" t="str">
        <f>PROPER(TRIM(SUBSTITUTE([1]RawShipmentData!F1615,"  "," ")))</f>
        <v>Apparel</v>
      </c>
      <c r="H1597" s="2" t="str">
        <f>PROPER(TRIM([1]RawShipmentData!G1615))</f>
        <v>South</v>
      </c>
      <c r="I1597" s="2" t="str">
        <f t="shared" si="120"/>
        <v>No</v>
      </c>
      <c r="J1597" s="2">
        <f>IFERROR(VALUE(TRIM(SUBSTITUTE(UPPER([1]RawShipmentData!I1597),"KG",""))),"")</f>
        <v>3.1</v>
      </c>
      <c r="K1597" s="2">
        <f>VALUE(SUBSTITUTE(SUBSTITUTE(SUBSTITUTE(TRIM([1]RawShipmentData!J1615),"₹",""),"Rs",""),",",""))</f>
        <v>137</v>
      </c>
      <c r="L1597" s="2">
        <f>[1]RawShipmentData!K1615</f>
        <v>2</v>
      </c>
      <c r="M1597" s="3">
        <f>IF(TRIM([1]RawShipmentData!L1615)="","",IF(ISNUMBER(SEARCH("/",TRIM([1]RawShipmentData!L1615))),DATE(VALUE(RIGHT(TRIM([1]RawShipmentData!L1615),4)),VALUE(MID(TRIM([1]RawShipmentData!L1615),FIND("/",TRIM([1]RawShipmentData!L1615))+1,2)),VALUE(LEFT(TRIM([1]RawShipmentData!L1615),FIND("/",TRIM([1]RawShipmentData!L1615))-1))),DATEVALUE(TRIM([1]RawShipmentData!L1615))))</f>
        <v>45461</v>
      </c>
      <c r="N1597" s="2">
        <f t="shared" si="121"/>
        <v>2</v>
      </c>
      <c r="O1597" s="2">
        <f t="shared" si="122"/>
        <v>0</v>
      </c>
      <c r="P1597" s="2" t="str">
        <f t="shared" si="123"/>
        <v>On Time</v>
      </c>
      <c r="Q1597" s="2" t="str">
        <f>PROPER(SUBSTITUTE(TRIM([1]RawShipmentData!M1615)," ","-"))</f>
        <v>Delivered</v>
      </c>
      <c r="R1597" s="4">
        <f t="shared" si="124"/>
        <v>44.193548387096776</v>
      </c>
      <c r="S1597" s="2">
        <f>[1]RawShipmentData!N1615</f>
        <v>5</v>
      </c>
      <c r="T1597" s="2" t="str">
        <f>IF(OR(UPPER(TRIM([1]RawShipmentData!O1615))="YES",UPPER(TRIM([1]RawShipmentData!O1615))="Y"),"Yes","No")</f>
        <v>No</v>
      </c>
    </row>
    <row r="1598" spans="1:20" x14ac:dyDescent="0.25">
      <c r="A1598" s="2" t="str">
        <f>[1]RawShipmentData!A1616</f>
        <v>SHP-100200</v>
      </c>
      <c r="B1598" s="3">
        <f>IF(ISNUMBER(SEARCH("/",TRIM([1]RawShipmentData!B1616))),DATE(VALUE(RIGHT(TRIM([1]RawShipmentData!B1616),4)),VALUE(MID(TRIM([1]RawShipmentData!B1616),FIND("/",TRIM([1]RawShipmentData!B1616))+1,2)),VALUE(LEFT(TRIM([1]RawShipmentData!B1616),FIND("/",TRIM([1]RawShipmentData!B1616))-1))),DATEVALUE(TRIM([1]RawShipmentData!B1616)))</f>
        <v>45425</v>
      </c>
      <c r="C1598" s="2" t="str">
        <f>PROPER(TRIM([1]RawShipmentData!C1616))</f>
        <v>Chennai</v>
      </c>
      <c r="D1598" s="2" t="str">
        <f>IFERROR(INDEX([1]HubMaster!$B$2:$B$7,MATCH(C1598,[1]HubMaster!$A$2:$A$7,0)),"Unknown")</f>
        <v>South</v>
      </c>
      <c r="E1598" s="2" t="str">
        <f>PROPER(TRIM(SUBSTITUTE([1]RawShipmentData!D1616,"  "," ")))</f>
        <v>Dtdc</v>
      </c>
      <c r="F1598" s="2" t="str">
        <f>PROPER(TRIM([1]RawShipmentData!E1616))</f>
        <v>Air</v>
      </c>
      <c r="G1598" s="2" t="str">
        <f>PROPER(TRIM(SUBSTITUTE([1]RawShipmentData!F1616,"  "," ")))</f>
        <v>Electronics</v>
      </c>
      <c r="H1598" s="2" t="str">
        <f>PROPER(TRIM([1]RawShipmentData!G1616))</f>
        <v>North</v>
      </c>
      <c r="I1598" s="2" t="str">
        <f t="shared" si="120"/>
        <v>Yes</v>
      </c>
      <c r="J1598" s="2">
        <f>IFERROR(VALUE(TRIM(SUBSTITUTE(UPPER([1]RawShipmentData!I1598),"KG",""))),"")</f>
        <v>1.2</v>
      </c>
      <c r="K1598" s="2">
        <f>VALUE(SUBSTITUTE(SUBSTITUTE(SUBSTITUTE(TRIM([1]RawShipmentData!J1616),"₹",""),"Rs",""),",",""))</f>
        <v>209</v>
      </c>
      <c r="L1598" s="2">
        <f>[1]RawShipmentData!K1616</f>
        <v>4</v>
      </c>
      <c r="M1598" s="3">
        <f>IF(TRIM([1]RawShipmentData!L1616)="","",IF(ISNUMBER(SEARCH("/",TRIM([1]RawShipmentData!L1616))),DATE(VALUE(RIGHT(TRIM([1]RawShipmentData!L1616),4)),VALUE(MID(TRIM([1]RawShipmentData!L1616),FIND("/",TRIM([1]RawShipmentData!L1616))+1,2)),VALUE(LEFT(TRIM([1]RawShipmentData!L1616),FIND("/",TRIM([1]RawShipmentData!L1616))-1))),DATEVALUE(TRIM([1]RawShipmentData!L1616))))</f>
        <v>45433</v>
      </c>
      <c r="N1598" s="2">
        <f t="shared" si="121"/>
        <v>8</v>
      </c>
      <c r="O1598" s="2">
        <f t="shared" si="122"/>
        <v>4</v>
      </c>
      <c r="P1598" s="2" t="str">
        <f t="shared" si="123"/>
        <v>Late</v>
      </c>
      <c r="Q1598" s="2" t="str">
        <f>PROPER(SUBSTITUTE(TRIM([1]RawShipmentData!M1616)," ","-"))</f>
        <v>Delayed</v>
      </c>
      <c r="R1598" s="4">
        <f t="shared" si="124"/>
        <v>174.16666666666669</v>
      </c>
      <c r="S1598" s="2">
        <f>[1]RawShipmentData!N1616</f>
        <v>2</v>
      </c>
      <c r="T1598" s="2" t="str">
        <f>IF(OR(UPPER(TRIM([1]RawShipmentData!O1616))="YES",UPPER(TRIM([1]RawShipmentData!O1616))="Y"),"Yes","No")</f>
        <v>Yes</v>
      </c>
    </row>
    <row r="1599" spans="1:20" x14ac:dyDescent="0.25">
      <c r="A1599" s="2" t="str">
        <f>[1]RawShipmentData!A1617</f>
        <v>SHP-100674</v>
      </c>
      <c r="B1599" s="3">
        <f>IF(ISNUMBER(SEARCH("/",TRIM([1]RawShipmentData!B1617))),DATE(VALUE(RIGHT(TRIM([1]RawShipmentData!B1617),4)),VALUE(MID(TRIM([1]RawShipmentData!B1617),FIND("/",TRIM([1]RawShipmentData!B1617))+1,2)),VALUE(LEFT(TRIM([1]RawShipmentData!B1617),FIND("/",TRIM([1]RawShipmentData!B1617))-1))),DATEVALUE(TRIM([1]RawShipmentData!B1617)))</f>
        <v>45318</v>
      </c>
      <c r="C1599" s="2" t="str">
        <f>PROPER(TRIM([1]RawShipmentData!C1617))</f>
        <v>Delhi</v>
      </c>
      <c r="D1599" s="2" t="str">
        <f>IFERROR(INDEX([1]HubMaster!$B$2:$B$7,MATCH(C1599,[1]HubMaster!$A$2:$A$7,0)),"Unknown")</f>
        <v>North</v>
      </c>
      <c r="E1599" s="2" t="str">
        <f>PROPER(TRIM(SUBSTITUTE([1]RawShipmentData!D1617,"  "," ")))</f>
        <v>Dtdc</v>
      </c>
      <c r="F1599" s="2" t="str">
        <f>PROPER(TRIM([1]RawShipmentData!E1617))</f>
        <v>Air</v>
      </c>
      <c r="G1599" s="2" t="str">
        <f>PROPER(TRIM(SUBSTITUTE([1]RawShipmentData!F1617,"  "," ")))</f>
        <v>Apparel</v>
      </c>
      <c r="H1599" s="2" t="str">
        <f>PROPER(TRIM([1]RawShipmentData!G1617))</f>
        <v>South</v>
      </c>
      <c r="I1599" s="2" t="str">
        <f t="shared" si="120"/>
        <v>Yes</v>
      </c>
      <c r="J1599" s="2">
        <f>IFERROR(VALUE(TRIM(SUBSTITUTE(UPPER([1]RawShipmentData!I1599),"KG",""))),"")</f>
        <v>9.1</v>
      </c>
      <c r="K1599" s="2">
        <f>VALUE(SUBSTITUTE(SUBSTITUTE(SUBSTITUTE(TRIM([1]RawShipmentData!J1617),"₹",""),"Rs",""),",",""))</f>
        <v>513</v>
      </c>
      <c r="L1599" s="2">
        <f>[1]RawShipmentData!K1617</f>
        <v>4</v>
      </c>
      <c r="M1599" s="3">
        <f>IF(TRIM([1]RawShipmentData!L1617)="","",IF(ISNUMBER(SEARCH("/",TRIM([1]RawShipmentData!L1617))),DATE(VALUE(RIGHT(TRIM([1]RawShipmentData!L1617),4)),VALUE(MID(TRIM([1]RawShipmentData!L1617),FIND("/",TRIM([1]RawShipmentData!L1617))+1,2)),VALUE(LEFT(TRIM([1]RawShipmentData!L1617),FIND("/",TRIM([1]RawShipmentData!L1617))-1))),DATEVALUE(TRIM([1]RawShipmentData!L1617))))</f>
        <v>45331</v>
      </c>
      <c r="N1599" s="2">
        <f t="shared" si="121"/>
        <v>13</v>
      </c>
      <c r="O1599" s="2">
        <f t="shared" si="122"/>
        <v>9</v>
      </c>
      <c r="P1599" s="2" t="str">
        <f t="shared" si="123"/>
        <v>Late</v>
      </c>
      <c r="Q1599" s="2" t="str">
        <f>PROPER(SUBSTITUTE(TRIM([1]RawShipmentData!M1617)," ","-"))</f>
        <v>Delayed</v>
      </c>
      <c r="R1599" s="4">
        <f t="shared" si="124"/>
        <v>56.373626373626372</v>
      </c>
      <c r="S1599" s="2">
        <f>[1]RawShipmentData!N1617</f>
        <v>3</v>
      </c>
      <c r="T1599" s="2" t="str">
        <f>IF(OR(UPPER(TRIM([1]RawShipmentData!O1617))="YES",UPPER(TRIM([1]RawShipmentData!O1617))="Y"),"Yes","No")</f>
        <v>Yes</v>
      </c>
    </row>
    <row r="1600" spans="1:20" x14ac:dyDescent="0.25">
      <c r="A1600" s="2" t="str">
        <f>[1]RawShipmentData!A1618</f>
        <v>SHP-101340</v>
      </c>
      <c r="B1600" s="3">
        <f>IF(ISNUMBER(SEARCH("/",TRIM([1]RawShipmentData!B1618))),DATE(VALUE(RIGHT(TRIM([1]RawShipmentData!B1618),4)),VALUE(MID(TRIM([1]RawShipmentData!B1618),FIND("/",TRIM([1]RawShipmentData!B1618))+1,2)),VALUE(LEFT(TRIM([1]RawShipmentData!B1618),FIND("/",TRIM([1]RawShipmentData!B1618))-1))),DATEVALUE(TRIM([1]RawShipmentData!B1618)))</f>
        <v>45471</v>
      </c>
      <c r="C1600" s="2" t="str">
        <f>PROPER(TRIM([1]RawShipmentData!C1618))</f>
        <v>Bengaluru</v>
      </c>
      <c r="D1600" s="2" t="str">
        <f>IFERROR(INDEX([1]HubMaster!$B$2:$B$7,MATCH(C1600,[1]HubMaster!$A$2:$A$7,0)),"Unknown")</f>
        <v>South</v>
      </c>
      <c r="E1600" s="2" t="str">
        <f>PROPER(TRIM(SUBSTITUTE([1]RawShipmentData!D1618,"  "," ")))</f>
        <v>Bluedart</v>
      </c>
      <c r="F1600" s="2" t="str">
        <f>PROPER(TRIM([1]RawShipmentData!E1618))</f>
        <v>Air</v>
      </c>
      <c r="G1600" s="2" t="str">
        <f>PROPER(TRIM(SUBSTITUTE([1]RawShipmentData!F1618,"  "," ")))</f>
        <v>Pharma</v>
      </c>
      <c r="H1600" s="2" t="str">
        <f>PROPER(TRIM([1]RawShipmentData!G1618))</f>
        <v>East</v>
      </c>
      <c r="I1600" s="2" t="str">
        <f t="shared" si="120"/>
        <v>Yes</v>
      </c>
      <c r="J1600" s="2">
        <f>IFERROR(VALUE(TRIM(SUBSTITUTE(UPPER([1]RawShipmentData!I1600),"KG",""))),"")</f>
        <v>10.1</v>
      </c>
      <c r="K1600" s="2">
        <f>VALUE(SUBSTITUTE(SUBSTITUTE(SUBSTITUTE(TRIM([1]RawShipmentData!J1618),"₹",""),"Rs",""),",",""))</f>
        <v>302</v>
      </c>
      <c r="L1600" s="2">
        <f>[1]RawShipmentData!K1618</f>
        <v>4</v>
      </c>
      <c r="M1600" s="3">
        <f>IF(TRIM([1]RawShipmentData!L1618)="","",IF(ISNUMBER(SEARCH("/",TRIM([1]RawShipmentData!L1618))),DATE(VALUE(RIGHT(TRIM([1]RawShipmentData!L1618),4)),VALUE(MID(TRIM([1]RawShipmentData!L1618),FIND("/",TRIM([1]RawShipmentData!L1618))+1,2)),VALUE(LEFT(TRIM([1]RawShipmentData!L1618),FIND("/",TRIM([1]RawShipmentData!L1618))-1))),DATEVALUE(TRIM([1]RawShipmentData!L1618))))</f>
        <v>45474</v>
      </c>
      <c r="N1600" s="2">
        <f t="shared" si="121"/>
        <v>3</v>
      </c>
      <c r="O1600" s="2">
        <f t="shared" si="122"/>
        <v>-1</v>
      </c>
      <c r="P1600" s="2" t="str">
        <f t="shared" si="123"/>
        <v>On Time</v>
      </c>
      <c r="Q1600" s="2" t="str">
        <f>PROPER(SUBSTITUTE(TRIM([1]RawShipmentData!M1618)," ","-"))</f>
        <v>Delivered</v>
      </c>
      <c r="R1600" s="4">
        <f t="shared" si="124"/>
        <v>29.900990099009903</v>
      </c>
      <c r="S1600" s="2">
        <f>[1]RawShipmentData!N1618</f>
        <v>4</v>
      </c>
      <c r="T1600" s="2" t="str">
        <f>IF(OR(UPPER(TRIM([1]RawShipmentData!O1618))="YES",UPPER(TRIM([1]RawShipmentData!O1618))="Y"),"Yes","No")</f>
        <v>No</v>
      </c>
    </row>
    <row r="1601" spans="1:20" x14ac:dyDescent="0.25">
      <c r="A1601" s="2" t="str">
        <f>[1]RawShipmentData!A1619</f>
        <v>SHP-100591</v>
      </c>
      <c r="B1601" s="3">
        <f>IF(ISNUMBER(SEARCH("/",TRIM([1]RawShipmentData!B1619))),DATE(VALUE(RIGHT(TRIM([1]RawShipmentData!B1619),4)),VALUE(MID(TRIM([1]RawShipmentData!B1619),FIND("/",TRIM([1]RawShipmentData!B1619))+1,2)),VALUE(LEFT(TRIM([1]RawShipmentData!B1619),FIND("/",TRIM([1]RawShipmentData!B1619))-1))),DATEVALUE(TRIM([1]RawShipmentData!B1619)))</f>
        <v>45344</v>
      </c>
      <c r="C1601" s="2" t="str">
        <f>PROPER(TRIM([1]RawShipmentData!C1619))</f>
        <v>Bengaluru</v>
      </c>
      <c r="D1601" s="2" t="str">
        <f>IFERROR(INDEX([1]HubMaster!$B$2:$B$7,MATCH(C1601,[1]HubMaster!$A$2:$A$7,0)),"Unknown")</f>
        <v>South</v>
      </c>
      <c r="E1601" s="2" t="str">
        <f>PROPER(TRIM(SUBSTITUTE([1]RawShipmentData!D1619,"  "," ")))</f>
        <v>Ecom Express</v>
      </c>
      <c r="F1601" s="2" t="str">
        <f>PROPER(TRIM([1]RawShipmentData!E1619))</f>
        <v>Road</v>
      </c>
      <c r="G1601" s="2" t="str">
        <f>PROPER(TRIM(SUBSTITUTE([1]RawShipmentData!F1619,"  "," ")))</f>
        <v>Electronics</v>
      </c>
      <c r="H1601" s="2" t="str">
        <f>PROPER(TRIM([1]RawShipmentData!G1619))</f>
        <v>South</v>
      </c>
      <c r="I1601" s="2" t="str">
        <f t="shared" si="120"/>
        <v>No</v>
      </c>
      <c r="J1601" s="2">
        <f>IFERROR(VALUE(TRIM(SUBSTITUTE(UPPER([1]RawShipmentData!I1601),"KG",""))),"")</f>
        <v>12.7</v>
      </c>
      <c r="K1601" s="2">
        <f>VALUE(SUBSTITUTE(SUBSTITUTE(SUBSTITUTE(TRIM([1]RawShipmentData!J1619),"₹",""),"Rs",""),",",""))</f>
        <v>139</v>
      </c>
      <c r="L1601" s="2">
        <f>[1]RawShipmentData!K1619</f>
        <v>6</v>
      </c>
      <c r="M1601" s="3">
        <f>IF(TRIM([1]RawShipmentData!L1619)="","",IF(ISNUMBER(SEARCH("/",TRIM([1]RawShipmentData!L1619))),DATE(VALUE(RIGHT(TRIM([1]RawShipmentData!L1619),4)),VALUE(MID(TRIM([1]RawShipmentData!L1619),FIND("/",TRIM([1]RawShipmentData!L1619))+1,2)),VALUE(LEFT(TRIM([1]RawShipmentData!L1619),FIND("/",TRIM([1]RawShipmentData!L1619))-1))),DATEVALUE(TRIM([1]RawShipmentData!L1619))))</f>
        <v>45351</v>
      </c>
      <c r="N1601" s="2">
        <f t="shared" si="121"/>
        <v>7</v>
      </c>
      <c r="O1601" s="2">
        <f t="shared" si="122"/>
        <v>1</v>
      </c>
      <c r="P1601" s="2" t="str">
        <f t="shared" si="123"/>
        <v>Late</v>
      </c>
      <c r="Q1601" s="2" t="str">
        <f>PROPER(SUBSTITUTE(TRIM([1]RawShipmentData!M1619)," ","-"))</f>
        <v>Delayed</v>
      </c>
      <c r="R1601" s="4">
        <f t="shared" si="124"/>
        <v>10.94488188976378</v>
      </c>
      <c r="S1601" s="2">
        <f>[1]RawShipmentData!N1619</f>
        <v>2</v>
      </c>
      <c r="T1601" s="2" t="str">
        <f>IF(OR(UPPER(TRIM([1]RawShipmentData!O1619))="YES",UPPER(TRIM([1]RawShipmentData!O1619))="Y"),"Yes","No")</f>
        <v>No</v>
      </c>
    </row>
  </sheetData>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5F9D0-0CB7-46AE-AB32-DDE8096DAC0B}">
  <dimension ref="A3:N194"/>
  <sheetViews>
    <sheetView topLeftCell="A135" workbookViewId="0">
      <selection activeCell="E15" sqref="E15"/>
    </sheetView>
  </sheetViews>
  <sheetFormatPr defaultRowHeight="15" x14ac:dyDescent="0.25"/>
  <cols>
    <col min="1" max="1" width="13.140625" bestFit="1" customWidth="1"/>
    <col min="2" max="2" width="19.7109375" bestFit="1" customWidth="1"/>
    <col min="3" max="3" width="14" bestFit="1" customWidth="1"/>
    <col min="4" max="4" width="7.140625" bestFit="1" customWidth="1"/>
    <col min="5" max="5" width="9.42578125" bestFit="1" customWidth="1"/>
    <col min="6" max="6" width="9.28515625" bestFit="1" customWidth="1"/>
    <col min="7" max="7" width="11.28515625" bestFit="1" customWidth="1"/>
    <col min="8" max="8" width="11.5703125" bestFit="1" customWidth="1"/>
    <col min="9" max="9" width="11.140625" bestFit="1" customWidth="1"/>
    <col min="10" max="10" width="11.28515625" bestFit="1" customWidth="1"/>
    <col min="11" max="11" width="20.85546875" bestFit="1" customWidth="1"/>
    <col min="12" max="12" width="19.7109375" bestFit="1" customWidth="1"/>
    <col min="13" max="13" width="20.85546875" bestFit="1" customWidth="1"/>
    <col min="14" max="14" width="19.7109375" bestFit="1" customWidth="1"/>
    <col min="15" max="15" width="20.85546875" bestFit="1" customWidth="1"/>
    <col min="16" max="16" width="19.7109375" bestFit="1" customWidth="1"/>
    <col min="17" max="17" width="20.85546875" bestFit="1" customWidth="1"/>
    <col min="18" max="18" width="24.7109375" bestFit="1" customWidth="1"/>
    <col min="19" max="19" width="26" bestFit="1" customWidth="1"/>
  </cols>
  <sheetData>
    <row r="3" spans="1:5" x14ac:dyDescent="0.25">
      <c r="A3" t="s">
        <v>20</v>
      </c>
      <c r="B3" t="s">
        <v>21</v>
      </c>
    </row>
    <row r="4" spans="1:5" x14ac:dyDescent="0.25">
      <c r="A4" t="s">
        <v>22</v>
      </c>
      <c r="B4" t="s">
        <v>23</v>
      </c>
      <c r="C4" t="s">
        <v>24</v>
      </c>
      <c r="D4" t="s">
        <v>25</v>
      </c>
      <c r="E4" t="s">
        <v>26</v>
      </c>
    </row>
    <row r="5" spans="1:5" x14ac:dyDescent="0.25">
      <c r="A5" s="5"/>
      <c r="B5" s="6">
        <v>0.5714285714285714</v>
      </c>
      <c r="C5" s="6">
        <v>0</v>
      </c>
      <c r="D5" s="6">
        <v>0.42857142857142855</v>
      </c>
      <c r="E5" s="6">
        <v>1</v>
      </c>
    </row>
    <row r="6" spans="1:5" x14ac:dyDescent="0.25">
      <c r="A6" s="5" t="s">
        <v>27</v>
      </c>
      <c r="B6" s="6">
        <v>0.42253521126760563</v>
      </c>
      <c r="C6" s="6">
        <v>1.4084507042253521E-2</v>
      </c>
      <c r="D6" s="6">
        <v>0.56338028169014087</v>
      </c>
      <c r="E6" s="6">
        <v>1</v>
      </c>
    </row>
    <row r="7" spans="1:5" x14ac:dyDescent="0.25">
      <c r="A7" s="5" t="s">
        <v>28</v>
      </c>
      <c r="B7" s="6">
        <v>0.3881856540084388</v>
      </c>
      <c r="C7" s="6">
        <v>8.4388185654008432E-3</v>
      </c>
      <c r="D7" s="6">
        <v>0.6033755274261603</v>
      </c>
      <c r="E7" s="6">
        <v>1</v>
      </c>
    </row>
    <row r="8" spans="1:5" x14ac:dyDescent="0.25">
      <c r="A8" s="5" t="s">
        <v>29</v>
      </c>
      <c r="B8" s="6">
        <v>0.46794871794871795</v>
      </c>
      <c r="C8" s="6">
        <v>3.205128205128205E-3</v>
      </c>
      <c r="D8" s="6">
        <v>0.52884615384615385</v>
      </c>
      <c r="E8" s="6">
        <v>1</v>
      </c>
    </row>
    <row r="9" spans="1:5" x14ac:dyDescent="0.25">
      <c r="A9" s="5" t="s">
        <v>30</v>
      </c>
      <c r="B9" s="6">
        <v>0.57817109144542778</v>
      </c>
      <c r="C9" s="6">
        <v>5.8997050147492625E-3</v>
      </c>
      <c r="D9" s="6">
        <v>0.41592920353982299</v>
      </c>
      <c r="E9" s="6">
        <v>1</v>
      </c>
    </row>
    <row r="10" spans="1:5" x14ac:dyDescent="0.25">
      <c r="A10" s="5" t="s">
        <v>31</v>
      </c>
      <c r="B10" s="6">
        <v>0.50841750841750843</v>
      </c>
      <c r="C10" s="6">
        <v>1.3468013468013467E-2</v>
      </c>
      <c r="D10" s="6">
        <v>0.4781144781144781</v>
      </c>
      <c r="E10" s="6">
        <v>1</v>
      </c>
    </row>
    <row r="11" spans="1:5" x14ac:dyDescent="0.25">
      <c r="A11" s="5" t="s">
        <v>32</v>
      </c>
      <c r="B11" s="6">
        <v>0.54929577464788737</v>
      </c>
      <c r="C11" s="6">
        <v>0</v>
      </c>
      <c r="D11" s="6">
        <v>0.45070422535211269</v>
      </c>
      <c r="E11" s="6">
        <v>1</v>
      </c>
    </row>
    <row r="12" spans="1:5" x14ac:dyDescent="0.25">
      <c r="A12" s="5" t="s">
        <v>33</v>
      </c>
      <c r="B12" s="6">
        <v>0.53007518796992481</v>
      </c>
      <c r="C12" s="6">
        <v>1.1278195488721804E-2</v>
      </c>
      <c r="D12" s="6">
        <v>0.45864661654135336</v>
      </c>
      <c r="E12" s="6">
        <v>1</v>
      </c>
    </row>
    <row r="13" spans="1:5" x14ac:dyDescent="0.25">
      <c r="A13" s="5" t="s">
        <v>26</v>
      </c>
      <c r="B13" s="6">
        <v>0.49937500000000001</v>
      </c>
      <c r="C13" s="6">
        <v>8.1250000000000003E-3</v>
      </c>
      <c r="D13" s="6">
        <v>0.49249999999999999</v>
      </c>
      <c r="E13" s="6">
        <v>1</v>
      </c>
    </row>
    <row r="19" spans="1:5" x14ac:dyDescent="0.25">
      <c r="A19" t="s">
        <v>20</v>
      </c>
      <c r="B19" t="s">
        <v>21</v>
      </c>
    </row>
    <row r="20" spans="1:5" x14ac:dyDescent="0.25">
      <c r="A20" t="s">
        <v>22</v>
      </c>
      <c r="B20" t="s">
        <v>23</v>
      </c>
      <c r="C20" t="s">
        <v>24</v>
      </c>
      <c r="D20" t="s">
        <v>25</v>
      </c>
      <c r="E20" t="s">
        <v>26</v>
      </c>
    </row>
    <row r="21" spans="1:5" x14ac:dyDescent="0.25">
      <c r="A21" s="5"/>
      <c r="B21" s="6">
        <v>0.375</v>
      </c>
      <c r="C21" s="6">
        <v>0</v>
      </c>
      <c r="D21" s="6">
        <v>0.625</v>
      </c>
      <c r="E21" s="6">
        <v>1</v>
      </c>
    </row>
    <row r="22" spans="1:5" x14ac:dyDescent="0.25">
      <c r="A22" s="5" t="s">
        <v>34</v>
      </c>
      <c r="B22" s="6">
        <v>0.58015267175572516</v>
      </c>
      <c r="C22" s="6">
        <v>1.9083969465648856E-2</v>
      </c>
      <c r="D22" s="6">
        <v>0.40076335877862596</v>
      </c>
      <c r="E22" s="6">
        <v>1</v>
      </c>
    </row>
    <row r="23" spans="1:5" x14ac:dyDescent="0.25">
      <c r="A23" s="5" t="s">
        <v>35</v>
      </c>
      <c r="B23" s="6">
        <v>0.50370370370370365</v>
      </c>
      <c r="C23" s="6">
        <v>1.1111111111111112E-2</v>
      </c>
      <c r="D23" s="6">
        <v>0.48518518518518516</v>
      </c>
      <c r="E23" s="6">
        <v>1</v>
      </c>
    </row>
    <row r="24" spans="1:5" x14ac:dyDescent="0.25">
      <c r="A24" s="5" t="s">
        <v>36</v>
      </c>
      <c r="B24" s="6">
        <v>0.49789029535864981</v>
      </c>
      <c r="C24" s="6">
        <v>4.2194092827004216E-3</v>
      </c>
      <c r="D24" s="6">
        <v>0.49789029535864981</v>
      </c>
      <c r="E24" s="6">
        <v>1</v>
      </c>
    </row>
    <row r="25" spans="1:5" x14ac:dyDescent="0.25">
      <c r="A25" s="5" t="s">
        <v>37</v>
      </c>
      <c r="B25" s="6">
        <v>0.52290076335877866</v>
      </c>
      <c r="C25" s="6">
        <v>0</v>
      </c>
      <c r="D25" s="6">
        <v>0.47709923664122139</v>
      </c>
      <c r="E25" s="6">
        <v>1</v>
      </c>
    </row>
    <row r="26" spans="1:5" x14ac:dyDescent="0.25">
      <c r="A26" s="5" t="s">
        <v>38</v>
      </c>
      <c r="B26" s="6">
        <v>0.46808510638297873</v>
      </c>
      <c r="C26" s="6">
        <v>3.5460992907801418E-3</v>
      </c>
      <c r="D26" s="6">
        <v>0.52836879432624118</v>
      </c>
      <c r="E26" s="6">
        <v>1</v>
      </c>
    </row>
    <row r="27" spans="1:5" x14ac:dyDescent="0.25">
      <c r="A27" s="5" t="s">
        <v>39</v>
      </c>
      <c r="B27" s="6">
        <v>0.43369175627240142</v>
      </c>
      <c r="C27" s="6">
        <v>1.0752688172043012E-2</v>
      </c>
      <c r="D27" s="6">
        <v>0.55555555555555558</v>
      </c>
      <c r="E27" s="6">
        <v>1</v>
      </c>
    </row>
    <row r="28" spans="1:5" x14ac:dyDescent="0.25">
      <c r="A28" s="5" t="s">
        <v>26</v>
      </c>
      <c r="B28" s="6">
        <v>0.49937500000000001</v>
      </c>
      <c r="C28" s="6">
        <v>8.1250000000000003E-3</v>
      </c>
      <c r="D28" s="6">
        <v>0.49249999999999999</v>
      </c>
      <c r="E28" s="6">
        <v>1</v>
      </c>
    </row>
    <row r="33" spans="1:2" x14ac:dyDescent="0.25">
      <c r="A33" t="s">
        <v>22</v>
      </c>
      <c r="B33" s="7" t="s">
        <v>40</v>
      </c>
    </row>
    <row r="34" spans="1:2" x14ac:dyDescent="0.25">
      <c r="A34" s="5"/>
      <c r="B34" s="7">
        <v>8.7142857142857135</v>
      </c>
    </row>
    <row r="35" spans="1:2" x14ac:dyDescent="0.25">
      <c r="A35" s="5" t="s">
        <v>27</v>
      </c>
      <c r="B35" s="7">
        <v>5.9714285714285715</v>
      </c>
    </row>
    <row r="36" spans="1:2" x14ac:dyDescent="0.25">
      <c r="A36" s="5" t="s">
        <v>28</v>
      </c>
      <c r="B36" s="7">
        <v>6.1957446808510639</v>
      </c>
    </row>
    <row r="37" spans="1:2" x14ac:dyDescent="0.25">
      <c r="A37" s="5" t="s">
        <v>29</v>
      </c>
      <c r="B37" s="7">
        <v>6.270096463022508</v>
      </c>
    </row>
    <row r="38" spans="1:2" x14ac:dyDescent="0.25">
      <c r="A38" s="5" t="s">
        <v>30</v>
      </c>
      <c r="B38" s="7">
        <v>7.5044510385756675</v>
      </c>
    </row>
    <row r="39" spans="1:2" x14ac:dyDescent="0.25">
      <c r="A39" s="5" t="s">
        <v>31</v>
      </c>
      <c r="B39" s="7">
        <v>6.7201365187713309</v>
      </c>
    </row>
    <row r="40" spans="1:2" x14ac:dyDescent="0.25">
      <c r="A40" s="5" t="s">
        <v>32</v>
      </c>
      <c r="B40" s="7">
        <v>6.957746478873239</v>
      </c>
    </row>
    <row r="41" spans="1:2" x14ac:dyDescent="0.25">
      <c r="A41" s="5" t="s">
        <v>33</v>
      </c>
      <c r="B41" s="7">
        <v>6.7604562737642588</v>
      </c>
    </row>
    <row r="42" spans="1:2" x14ac:dyDescent="0.25">
      <c r="A42" s="5" t="s">
        <v>26</v>
      </c>
      <c r="B42" s="7">
        <v>6.7139256458727159</v>
      </c>
    </row>
    <row r="50" spans="1:2" x14ac:dyDescent="0.25">
      <c r="A50" t="s">
        <v>22</v>
      </c>
      <c r="B50" s="7" t="s">
        <v>40</v>
      </c>
    </row>
    <row r="51" spans="1:2" x14ac:dyDescent="0.25">
      <c r="A51" s="5" t="s">
        <v>41</v>
      </c>
      <c r="B51" s="7">
        <v>4.9123809523809525</v>
      </c>
    </row>
    <row r="52" spans="1:2" x14ac:dyDescent="0.25">
      <c r="A52" s="5" t="s">
        <v>42</v>
      </c>
      <c r="B52" s="7">
        <v>8.4900900900900904</v>
      </c>
    </row>
    <row r="53" spans="1:2" x14ac:dyDescent="0.25">
      <c r="A53" s="5" t="s">
        <v>43</v>
      </c>
      <c r="B53" s="7">
        <v>6.6351084812623276</v>
      </c>
    </row>
    <row r="54" spans="1:2" x14ac:dyDescent="0.25">
      <c r="A54" s="5" t="s">
        <v>26</v>
      </c>
      <c r="B54" s="7">
        <v>6.7139256458727159</v>
      </c>
    </row>
    <row r="64" spans="1:2" x14ac:dyDescent="0.25">
      <c r="A64" t="s">
        <v>22</v>
      </c>
      <c r="B64" t="s">
        <v>44</v>
      </c>
    </row>
    <row r="65" spans="1:11" x14ac:dyDescent="0.25">
      <c r="A65" s="5" t="s">
        <v>45</v>
      </c>
      <c r="B65">
        <v>1.0075949367088608</v>
      </c>
    </row>
    <row r="66" spans="1:11" x14ac:dyDescent="0.25">
      <c r="A66" s="5" t="s">
        <v>46</v>
      </c>
      <c r="B66">
        <v>1.2323825503355705</v>
      </c>
    </row>
    <row r="67" spans="1:11" x14ac:dyDescent="0.25">
      <c r="A67" s="5" t="s">
        <v>26</v>
      </c>
      <c r="B67">
        <v>1.1764335223692501</v>
      </c>
    </row>
    <row r="80" spans="1:11" x14ac:dyDescent="0.25">
      <c r="A80" t="s">
        <v>20</v>
      </c>
      <c r="B80" t="s">
        <v>21</v>
      </c>
      <c r="I80" s="8" t="s">
        <v>20</v>
      </c>
      <c r="J80" s="9" t="s">
        <v>47</v>
      </c>
      <c r="K80" s="10" t="s">
        <v>48</v>
      </c>
    </row>
    <row r="81" spans="1:14" x14ac:dyDescent="0.25">
      <c r="A81" t="s">
        <v>22</v>
      </c>
      <c r="B81" t="s">
        <v>47</v>
      </c>
      <c r="C81" t="s">
        <v>49</v>
      </c>
      <c r="D81" t="s">
        <v>50</v>
      </c>
      <c r="E81" t="s">
        <v>51</v>
      </c>
      <c r="F81" t="s">
        <v>48</v>
      </c>
      <c r="G81" t="s">
        <v>26</v>
      </c>
      <c r="I81" s="11" t="s">
        <v>22</v>
      </c>
      <c r="J81" s="9"/>
      <c r="K81" s="10"/>
      <c r="L81" t="s">
        <v>52</v>
      </c>
      <c r="M81" t="s">
        <v>53</v>
      </c>
      <c r="N81" s="7" t="s">
        <v>54</v>
      </c>
    </row>
    <row r="82" spans="1:14" x14ac:dyDescent="0.25">
      <c r="A82" s="5"/>
      <c r="B82">
        <v>1</v>
      </c>
      <c r="C82">
        <v>5</v>
      </c>
      <c r="D82">
        <v>1</v>
      </c>
      <c r="F82">
        <v>1</v>
      </c>
      <c r="G82">
        <v>8</v>
      </c>
      <c r="I82" s="5"/>
      <c r="N82" s="7"/>
    </row>
    <row r="83" spans="1:14" x14ac:dyDescent="0.25">
      <c r="A83" s="5" t="s">
        <v>55</v>
      </c>
      <c r="B83">
        <v>4</v>
      </c>
      <c r="C83">
        <v>110</v>
      </c>
      <c r="D83">
        <v>116</v>
      </c>
      <c r="E83">
        <v>1</v>
      </c>
      <c r="F83">
        <v>17</v>
      </c>
      <c r="G83">
        <v>248</v>
      </c>
      <c r="I83" s="5" t="s">
        <v>55</v>
      </c>
      <c r="J83">
        <v>4</v>
      </c>
      <c r="K83">
        <v>17</v>
      </c>
      <c r="L83">
        <f>4+17</f>
        <v>21</v>
      </c>
      <c r="M83">
        <v>248</v>
      </c>
      <c r="N83" s="7">
        <f>21/248*100</f>
        <v>8.4677419354838701</v>
      </c>
    </row>
    <row r="84" spans="1:14" x14ac:dyDescent="0.25">
      <c r="A84" s="5" t="s">
        <v>56</v>
      </c>
      <c r="B84">
        <v>7</v>
      </c>
      <c r="C84">
        <v>139</v>
      </c>
      <c r="D84">
        <v>115</v>
      </c>
      <c r="E84">
        <v>3</v>
      </c>
      <c r="F84">
        <v>7</v>
      </c>
      <c r="G84">
        <v>271</v>
      </c>
      <c r="I84" s="5" t="s">
        <v>56</v>
      </c>
      <c r="J84">
        <v>7</v>
      </c>
      <c r="K84">
        <v>7</v>
      </c>
      <c r="L84">
        <f>7+7</f>
        <v>14</v>
      </c>
      <c r="M84">
        <v>271</v>
      </c>
      <c r="N84" s="7">
        <f>14/271*100</f>
        <v>5.1660516605166054</v>
      </c>
    </row>
    <row r="85" spans="1:14" x14ac:dyDescent="0.25">
      <c r="A85" s="5" t="s">
        <v>57</v>
      </c>
      <c r="B85">
        <v>17</v>
      </c>
      <c r="C85">
        <v>111</v>
      </c>
      <c r="D85">
        <v>116</v>
      </c>
      <c r="F85">
        <v>11</v>
      </c>
      <c r="G85">
        <v>255</v>
      </c>
      <c r="I85" s="5" t="s">
        <v>57</v>
      </c>
      <c r="J85">
        <v>17</v>
      </c>
      <c r="K85">
        <v>11</v>
      </c>
      <c r="L85">
        <f>17+11</f>
        <v>28</v>
      </c>
      <c r="M85">
        <v>255</v>
      </c>
      <c r="N85" s="7">
        <f>28/255*100</f>
        <v>10.980392156862745</v>
      </c>
    </row>
    <row r="86" spans="1:14" x14ac:dyDescent="0.25">
      <c r="A86" s="5" t="s">
        <v>58</v>
      </c>
      <c r="B86">
        <v>19</v>
      </c>
      <c r="C86">
        <v>130</v>
      </c>
      <c r="D86">
        <v>109</v>
      </c>
      <c r="E86">
        <v>4</v>
      </c>
      <c r="F86">
        <v>5</v>
      </c>
      <c r="G86">
        <v>267</v>
      </c>
      <c r="I86" s="5" t="s">
        <v>58</v>
      </c>
      <c r="J86">
        <v>19</v>
      </c>
      <c r="K86">
        <v>5</v>
      </c>
      <c r="L86">
        <f>19+5</f>
        <v>24</v>
      </c>
      <c r="M86">
        <v>267</v>
      </c>
      <c r="N86" s="7">
        <f>24/267*100</f>
        <v>8.9887640449438209</v>
      </c>
    </row>
    <row r="87" spans="1:14" x14ac:dyDescent="0.25">
      <c r="A87" s="5" t="s">
        <v>59</v>
      </c>
      <c r="B87">
        <v>4</v>
      </c>
      <c r="C87">
        <v>119</v>
      </c>
      <c r="D87">
        <v>137</v>
      </c>
      <c r="E87">
        <v>2</v>
      </c>
      <c r="F87">
        <v>6</v>
      </c>
      <c r="G87">
        <v>268</v>
      </c>
      <c r="I87" s="5" t="s">
        <v>59</v>
      </c>
      <c r="J87">
        <v>4</v>
      </c>
      <c r="K87">
        <v>6</v>
      </c>
      <c r="L87">
        <f>4+6</f>
        <v>10</v>
      </c>
      <c r="M87">
        <v>268</v>
      </c>
      <c r="N87" s="7">
        <f>10/268*100</f>
        <v>3.7313432835820892</v>
      </c>
    </row>
    <row r="88" spans="1:14" x14ac:dyDescent="0.25">
      <c r="A88" s="5" t="s">
        <v>60</v>
      </c>
      <c r="B88">
        <v>2</v>
      </c>
      <c r="C88">
        <v>134</v>
      </c>
      <c r="D88">
        <v>144</v>
      </c>
      <c r="E88">
        <v>3</v>
      </c>
      <c r="G88">
        <v>283</v>
      </c>
      <c r="I88" s="5" t="s">
        <v>60</v>
      </c>
      <c r="J88">
        <v>2</v>
      </c>
      <c r="L88">
        <v>2</v>
      </c>
      <c r="M88">
        <v>283</v>
      </c>
      <c r="N88" s="7">
        <f>2/283*100</f>
        <v>0.70671378091872794</v>
      </c>
    </row>
    <row r="89" spans="1:14" x14ac:dyDescent="0.25">
      <c r="A89" s="5" t="s">
        <v>26</v>
      </c>
      <c r="B89">
        <v>54</v>
      </c>
      <c r="C89">
        <v>748</v>
      </c>
      <c r="D89">
        <v>738</v>
      </c>
      <c r="E89">
        <v>13</v>
      </c>
      <c r="F89">
        <v>47</v>
      </c>
      <c r="G89">
        <v>1600</v>
      </c>
    </row>
    <row r="108" spans="1:7" x14ac:dyDescent="0.25">
      <c r="A108" t="s">
        <v>22</v>
      </c>
      <c r="B108" t="s">
        <v>61</v>
      </c>
      <c r="C108" t="s">
        <v>40</v>
      </c>
      <c r="E108" s="11" t="s">
        <v>22</v>
      </c>
      <c r="F108" s="12" t="s">
        <v>61</v>
      </c>
      <c r="G108" s="11" t="s">
        <v>40</v>
      </c>
    </row>
    <row r="109" spans="1:7" x14ac:dyDescent="0.25">
      <c r="A109" s="5"/>
      <c r="B109" s="7">
        <v>55.817501134479407</v>
      </c>
      <c r="C109" s="7">
        <v>8.7142857142857135</v>
      </c>
      <c r="E109" s="5"/>
      <c r="F109" s="7">
        <v>55.8175011344794</v>
      </c>
      <c r="G109" s="7">
        <v>8.7142857142857135</v>
      </c>
    </row>
    <row r="110" spans="1:7" x14ac:dyDescent="0.25">
      <c r="A110" s="5" t="s">
        <v>27</v>
      </c>
      <c r="B110" s="7">
        <v>100.48958983128828</v>
      </c>
      <c r="C110" s="7">
        <v>5.9714285714285715</v>
      </c>
      <c r="E110" s="5" t="s">
        <v>27</v>
      </c>
      <c r="F110" s="7">
        <v>100.489589831288</v>
      </c>
      <c r="G110" s="7">
        <v>5.9714285714285715</v>
      </c>
    </row>
    <row r="111" spans="1:7" x14ac:dyDescent="0.25">
      <c r="A111" s="5" t="s">
        <v>28</v>
      </c>
      <c r="B111" s="7">
        <v>83.972079821522442</v>
      </c>
      <c r="C111" s="7">
        <v>6.1957446808510639</v>
      </c>
      <c r="E111" s="5" t="s">
        <v>28</v>
      </c>
      <c r="F111" s="7">
        <v>83.972079821522399</v>
      </c>
      <c r="G111" s="7">
        <v>6.1957446808510639</v>
      </c>
    </row>
    <row r="112" spans="1:7" x14ac:dyDescent="0.25">
      <c r="A112" s="5" t="s">
        <v>29</v>
      </c>
      <c r="B112" s="7">
        <v>108.53782252667989</v>
      </c>
      <c r="C112" s="7">
        <v>6.270096463022508</v>
      </c>
      <c r="E112" s="5" t="s">
        <v>29</v>
      </c>
      <c r="F112" s="7">
        <v>108.53782252667989</v>
      </c>
      <c r="G112" s="7">
        <v>6.270096463022508</v>
      </c>
    </row>
    <row r="113" spans="1:9" x14ac:dyDescent="0.25">
      <c r="A113" s="5" t="s">
        <v>30</v>
      </c>
      <c r="B113" s="7">
        <v>101.23633995434652</v>
      </c>
      <c r="C113" s="7">
        <v>7.5044510385756675</v>
      </c>
      <c r="E113" s="5" t="s">
        <v>30</v>
      </c>
      <c r="F113" s="7">
        <v>101.23633995434652</v>
      </c>
      <c r="G113" s="7">
        <v>7.5044510385756675</v>
      </c>
    </row>
    <row r="114" spans="1:9" x14ac:dyDescent="0.25">
      <c r="A114" s="5" t="s">
        <v>31</v>
      </c>
      <c r="B114" s="7">
        <v>110.95345552291003</v>
      </c>
      <c r="C114" s="7">
        <v>6.7201365187713309</v>
      </c>
      <c r="E114" s="5" t="s">
        <v>31</v>
      </c>
      <c r="F114" s="7">
        <v>110.95345552291003</v>
      </c>
      <c r="G114" s="7">
        <v>6.7201365187713309</v>
      </c>
    </row>
    <row r="115" spans="1:9" x14ac:dyDescent="0.25">
      <c r="A115" s="5" t="s">
        <v>32</v>
      </c>
      <c r="B115" s="7">
        <v>106.22683916439202</v>
      </c>
      <c r="C115" s="7">
        <v>6.957746478873239</v>
      </c>
      <c r="E115" s="5" t="s">
        <v>32</v>
      </c>
      <c r="F115" s="7">
        <v>106.22683916439202</v>
      </c>
      <c r="G115" s="7">
        <v>6.957746478873239</v>
      </c>
    </row>
    <row r="116" spans="1:9" x14ac:dyDescent="0.25">
      <c r="A116" s="5" t="s">
        <v>33</v>
      </c>
      <c r="B116" s="7">
        <v>97.203941657500593</v>
      </c>
      <c r="C116" s="7">
        <v>6.7604562737642588</v>
      </c>
      <c r="E116" s="5" t="s">
        <v>33</v>
      </c>
      <c r="F116" s="7">
        <v>97.203941657500593</v>
      </c>
      <c r="G116" s="7">
        <v>6.7604562737642588</v>
      </c>
    </row>
    <row r="117" spans="1:9" x14ac:dyDescent="0.25">
      <c r="A117" s="5" t="s">
        <v>26</v>
      </c>
      <c r="B117" s="7">
        <v>101.21863949413618</v>
      </c>
      <c r="C117" s="7">
        <v>6.7139256458727159</v>
      </c>
      <c r="E117" s="13"/>
      <c r="F117" s="14"/>
      <c r="G117" s="14"/>
    </row>
    <row r="123" spans="1:9" x14ac:dyDescent="0.25">
      <c r="A123" t="s">
        <v>20</v>
      </c>
      <c r="B123" t="s">
        <v>21</v>
      </c>
      <c r="G123" s="8" t="s">
        <v>20</v>
      </c>
      <c r="H123" t="s">
        <v>62</v>
      </c>
      <c r="I123" s="8"/>
    </row>
    <row r="124" spans="1:9" x14ac:dyDescent="0.25">
      <c r="A124" t="s">
        <v>22</v>
      </c>
      <c r="B124" t="s">
        <v>23</v>
      </c>
      <c r="C124" t="s">
        <v>24</v>
      </c>
      <c r="D124" t="s">
        <v>25</v>
      </c>
      <c r="E124" t="s">
        <v>26</v>
      </c>
      <c r="G124" s="11" t="s">
        <v>22</v>
      </c>
      <c r="I124" s="11" t="s">
        <v>25</v>
      </c>
    </row>
    <row r="125" spans="1:9" x14ac:dyDescent="0.25">
      <c r="A125" s="5" t="s">
        <v>63</v>
      </c>
      <c r="B125" s="6">
        <v>0.45421245421245421</v>
      </c>
      <c r="C125" s="6">
        <v>0</v>
      </c>
      <c r="D125" s="6">
        <v>0.54578754578754574</v>
      </c>
      <c r="E125" s="6">
        <v>1</v>
      </c>
      <c r="G125" s="15" t="s">
        <v>63</v>
      </c>
      <c r="H125">
        <v>273</v>
      </c>
      <c r="I125" s="16">
        <v>0.54578754578754574</v>
      </c>
    </row>
    <row r="126" spans="1:9" x14ac:dyDescent="0.25">
      <c r="A126" s="5" t="s">
        <v>64</v>
      </c>
      <c r="B126" s="6">
        <v>0.45414847161572053</v>
      </c>
      <c r="C126" s="6">
        <v>0</v>
      </c>
      <c r="D126" s="6">
        <v>0.54585152838427953</v>
      </c>
      <c r="E126" s="6">
        <v>1</v>
      </c>
      <c r="G126" s="15" t="s">
        <v>64</v>
      </c>
      <c r="H126">
        <v>229</v>
      </c>
      <c r="I126" s="16">
        <v>0.54585152838427953</v>
      </c>
    </row>
    <row r="127" spans="1:9" x14ac:dyDescent="0.25">
      <c r="A127" s="5" t="s">
        <v>65</v>
      </c>
      <c r="B127" s="6">
        <v>0.57966101694915251</v>
      </c>
      <c r="C127" s="6">
        <v>0</v>
      </c>
      <c r="D127" s="6">
        <v>0.42033898305084744</v>
      </c>
      <c r="E127" s="6">
        <v>1</v>
      </c>
      <c r="G127" s="15" t="s">
        <v>65</v>
      </c>
      <c r="H127">
        <v>295</v>
      </c>
      <c r="I127" s="16">
        <v>0.42033898305084744</v>
      </c>
    </row>
    <row r="128" spans="1:9" x14ac:dyDescent="0.25">
      <c r="A128" s="5" t="s">
        <v>66</v>
      </c>
      <c r="B128" s="6">
        <v>0.52325581395348841</v>
      </c>
      <c r="C128" s="6">
        <v>0</v>
      </c>
      <c r="D128" s="6">
        <v>0.47674418604651164</v>
      </c>
      <c r="E128" s="6">
        <v>1</v>
      </c>
      <c r="G128" s="15" t="s">
        <v>66</v>
      </c>
      <c r="H128">
        <v>258</v>
      </c>
      <c r="I128" s="16">
        <v>0.47674418604651164</v>
      </c>
    </row>
    <row r="129" spans="1:10" x14ac:dyDescent="0.25">
      <c r="A129" s="5" t="s">
        <v>67</v>
      </c>
      <c r="B129" s="6">
        <v>0.51811594202898548</v>
      </c>
      <c r="C129" s="6">
        <v>0</v>
      </c>
      <c r="D129" s="6">
        <v>0.48188405797101447</v>
      </c>
      <c r="E129" s="6">
        <v>1</v>
      </c>
      <c r="G129" s="15" t="s">
        <v>67</v>
      </c>
      <c r="H129">
        <v>276</v>
      </c>
      <c r="I129" s="16">
        <v>0.48188405797101447</v>
      </c>
    </row>
    <row r="130" spans="1:10" x14ac:dyDescent="0.25">
      <c r="A130" s="5" t="s">
        <v>68</v>
      </c>
      <c r="B130" s="6">
        <v>0.45353159851301117</v>
      </c>
      <c r="C130" s="6">
        <v>4.8327137546468404E-2</v>
      </c>
      <c r="D130" s="6">
        <v>0.49814126394052044</v>
      </c>
      <c r="E130" s="6">
        <v>1</v>
      </c>
      <c r="G130" s="15" t="s">
        <v>68</v>
      </c>
      <c r="H130">
        <v>269</v>
      </c>
      <c r="I130" s="16">
        <v>0.49814126394052044</v>
      </c>
    </row>
    <row r="131" spans="1:10" x14ac:dyDescent="0.25">
      <c r="A131" s="5" t="s">
        <v>26</v>
      </c>
      <c r="B131" s="6">
        <v>0.49937500000000001</v>
      </c>
      <c r="C131" s="6">
        <v>8.1250000000000003E-3</v>
      </c>
      <c r="D131" s="6">
        <v>0.49249999999999999</v>
      </c>
      <c r="E131" s="6">
        <v>1</v>
      </c>
    </row>
    <row r="135" spans="1:10" x14ac:dyDescent="0.25">
      <c r="A135" t="s">
        <v>20</v>
      </c>
      <c r="B135" t="s">
        <v>21</v>
      </c>
    </row>
    <row r="136" spans="1:10" x14ac:dyDescent="0.25">
      <c r="A136" t="s">
        <v>22</v>
      </c>
      <c r="C136" t="s">
        <v>27</v>
      </c>
      <c r="D136" t="s">
        <v>28</v>
      </c>
      <c r="E136" t="s">
        <v>29</v>
      </c>
      <c r="F136" t="s">
        <v>30</v>
      </c>
      <c r="G136" t="s">
        <v>31</v>
      </c>
      <c r="H136" t="s">
        <v>32</v>
      </c>
      <c r="I136" t="s">
        <v>33</v>
      </c>
      <c r="J136" t="s">
        <v>26</v>
      </c>
    </row>
    <row r="137" spans="1:10" x14ac:dyDescent="0.25">
      <c r="A137" s="5" t="s">
        <v>23</v>
      </c>
      <c r="B137">
        <v>4</v>
      </c>
      <c r="C137">
        <v>30</v>
      </c>
      <c r="D137">
        <v>92</v>
      </c>
      <c r="E137">
        <v>146</v>
      </c>
      <c r="F137">
        <v>196</v>
      </c>
      <c r="G137">
        <v>151</v>
      </c>
      <c r="H137">
        <v>39</v>
      </c>
      <c r="I137">
        <v>141</v>
      </c>
      <c r="J137">
        <v>799</v>
      </c>
    </row>
    <row r="138" spans="1:10" x14ac:dyDescent="0.25">
      <c r="A138" s="17"/>
      <c r="C138">
        <v>1</v>
      </c>
      <c r="E138">
        <v>1</v>
      </c>
      <c r="I138">
        <v>1</v>
      </c>
      <c r="J138">
        <v>3</v>
      </c>
    </row>
    <row r="139" spans="1:10" x14ac:dyDescent="0.25">
      <c r="A139" s="17" t="s">
        <v>34</v>
      </c>
      <c r="B139">
        <v>1</v>
      </c>
      <c r="C139">
        <v>10</v>
      </c>
      <c r="D139">
        <v>13</v>
      </c>
      <c r="E139">
        <v>30</v>
      </c>
      <c r="F139">
        <v>34</v>
      </c>
      <c r="G139">
        <v>28</v>
      </c>
      <c r="H139">
        <v>9</v>
      </c>
      <c r="I139">
        <v>27</v>
      </c>
      <c r="J139">
        <v>152</v>
      </c>
    </row>
    <row r="140" spans="1:10" x14ac:dyDescent="0.25">
      <c r="A140" s="17" t="s">
        <v>35</v>
      </c>
      <c r="C140">
        <v>10</v>
      </c>
      <c r="D140">
        <v>17</v>
      </c>
      <c r="E140">
        <v>25</v>
      </c>
      <c r="F140">
        <v>35</v>
      </c>
      <c r="G140">
        <v>21</v>
      </c>
      <c r="H140">
        <v>5</v>
      </c>
      <c r="I140">
        <v>23</v>
      </c>
      <c r="J140">
        <v>136</v>
      </c>
    </row>
    <row r="141" spans="1:10" x14ac:dyDescent="0.25">
      <c r="A141" s="17" t="s">
        <v>36</v>
      </c>
      <c r="B141">
        <v>1</v>
      </c>
      <c r="D141">
        <v>10</v>
      </c>
      <c r="E141">
        <v>17</v>
      </c>
      <c r="F141">
        <v>32</v>
      </c>
      <c r="G141">
        <v>25</v>
      </c>
      <c r="H141">
        <v>8</v>
      </c>
      <c r="I141">
        <v>25</v>
      </c>
      <c r="J141">
        <v>118</v>
      </c>
    </row>
    <row r="142" spans="1:10" x14ac:dyDescent="0.25">
      <c r="A142" s="17" t="s">
        <v>37</v>
      </c>
      <c r="C142">
        <v>3</v>
      </c>
      <c r="D142">
        <v>22</v>
      </c>
      <c r="E142">
        <v>18</v>
      </c>
      <c r="F142">
        <v>41</v>
      </c>
      <c r="G142">
        <v>26</v>
      </c>
      <c r="H142">
        <v>6</v>
      </c>
      <c r="I142">
        <v>21</v>
      </c>
      <c r="J142">
        <v>137</v>
      </c>
    </row>
    <row r="143" spans="1:10" x14ac:dyDescent="0.25">
      <c r="A143" s="17" t="s">
        <v>38</v>
      </c>
      <c r="B143">
        <v>1</v>
      </c>
      <c r="C143">
        <v>4</v>
      </c>
      <c r="D143">
        <v>18</v>
      </c>
      <c r="E143">
        <v>30</v>
      </c>
      <c r="F143">
        <v>28</v>
      </c>
      <c r="G143">
        <v>26</v>
      </c>
      <c r="H143">
        <v>2</v>
      </c>
      <c r="I143">
        <v>23</v>
      </c>
      <c r="J143">
        <v>132</v>
      </c>
    </row>
    <row r="144" spans="1:10" x14ac:dyDescent="0.25">
      <c r="A144" s="17" t="s">
        <v>39</v>
      </c>
      <c r="B144">
        <v>1</v>
      </c>
      <c r="C144">
        <v>2</v>
      </c>
      <c r="D144">
        <v>12</v>
      </c>
      <c r="E144">
        <v>25</v>
      </c>
      <c r="F144">
        <v>26</v>
      </c>
      <c r="G144">
        <v>25</v>
      </c>
      <c r="H144">
        <v>9</v>
      </c>
      <c r="I144">
        <v>21</v>
      </c>
      <c r="J144">
        <v>121</v>
      </c>
    </row>
    <row r="145" spans="1:10" x14ac:dyDescent="0.25">
      <c r="A145" s="5" t="s">
        <v>24</v>
      </c>
      <c r="C145">
        <v>1</v>
      </c>
      <c r="D145">
        <v>2</v>
      </c>
      <c r="E145">
        <v>1</v>
      </c>
      <c r="F145">
        <v>2</v>
      </c>
      <c r="G145">
        <v>4</v>
      </c>
      <c r="I145">
        <v>3</v>
      </c>
      <c r="J145">
        <v>13</v>
      </c>
    </row>
    <row r="146" spans="1:10" x14ac:dyDescent="0.25">
      <c r="A146" s="17" t="s">
        <v>34</v>
      </c>
      <c r="G146">
        <v>3</v>
      </c>
      <c r="I146">
        <v>2</v>
      </c>
      <c r="J146">
        <v>5</v>
      </c>
    </row>
    <row r="147" spans="1:10" x14ac:dyDescent="0.25">
      <c r="A147" s="17" t="s">
        <v>35</v>
      </c>
      <c r="D147">
        <v>1</v>
      </c>
      <c r="E147">
        <v>1</v>
      </c>
      <c r="F147">
        <v>1</v>
      </c>
      <c r="J147">
        <v>3</v>
      </c>
    </row>
    <row r="148" spans="1:10" x14ac:dyDescent="0.25">
      <c r="A148" s="17" t="s">
        <v>36</v>
      </c>
      <c r="I148">
        <v>1</v>
      </c>
      <c r="J148">
        <v>1</v>
      </c>
    </row>
    <row r="149" spans="1:10" x14ac:dyDescent="0.25">
      <c r="A149" s="17" t="s">
        <v>38</v>
      </c>
      <c r="G149">
        <v>1</v>
      </c>
      <c r="J149">
        <v>1</v>
      </c>
    </row>
    <row r="150" spans="1:10" x14ac:dyDescent="0.25">
      <c r="A150" s="17" t="s">
        <v>39</v>
      </c>
      <c r="C150">
        <v>1</v>
      </c>
      <c r="D150">
        <v>1</v>
      </c>
      <c r="F150">
        <v>1</v>
      </c>
      <c r="J150">
        <v>3</v>
      </c>
    </row>
    <row r="151" spans="1:10" x14ac:dyDescent="0.25">
      <c r="A151" s="5" t="s">
        <v>25</v>
      </c>
      <c r="B151">
        <v>3</v>
      </c>
      <c r="C151">
        <v>40</v>
      </c>
      <c r="D151">
        <v>143</v>
      </c>
      <c r="E151">
        <v>165</v>
      </c>
      <c r="F151">
        <v>141</v>
      </c>
      <c r="G151">
        <v>142</v>
      </c>
      <c r="H151">
        <v>32</v>
      </c>
      <c r="I151">
        <v>122</v>
      </c>
      <c r="J151">
        <v>788</v>
      </c>
    </row>
    <row r="152" spans="1:10" x14ac:dyDescent="0.25">
      <c r="A152" s="17"/>
      <c r="E152">
        <v>2</v>
      </c>
      <c r="G152">
        <v>2</v>
      </c>
      <c r="I152">
        <v>1</v>
      </c>
      <c r="J152">
        <v>5</v>
      </c>
    </row>
    <row r="153" spans="1:10" x14ac:dyDescent="0.25">
      <c r="A153" s="17" t="s">
        <v>34</v>
      </c>
      <c r="C153">
        <v>6</v>
      </c>
      <c r="D153">
        <v>22</v>
      </c>
      <c r="E153">
        <v>22</v>
      </c>
      <c r="F153">
        <v>20</v>
      </c>
      <c r="G153">
        <v>15</v>
      </c>
      <c r="H153">
        <v>4</v>
      </c>
      <c r="I153">
        <v>16</v>
      </c>
      <c r="J153">
        <v>105</v>
      </c>
    </row>
    <row r="154" spans="1:10" x14ac:dyDescent="0.25">
      <c r="A154" s="17" t="s">
        <v>35</v>
      </c>
      <c r="B154">
        <v>1</v>
      </c>
      <c r="C154">
        <v>4</v>
      </c>
      <c r="D154">
        <v>21</v>
      </c>
      <c r="E154">
        <v>30</v>
      </c>
      <c r="F154">
        <v>25</v>
      </c>
      <c r="G154">
        <v>24</v>
      </c>
      <c r="H154">
        <v>6</v>
      </c>
      <c r="I154">
        <v>20</v>
      </c>
      <c r="J154">
        <v>131</v>
      </c>
    </row>
    <row r="155" spans="1:10" x14ac:dyDescent="0.25">
      <c r="A155" s="17" t="s">
        <v>36</v>
      </c>
      <c r="B155">
        <v>1</v>
      </c>
      <c r="C155">
        <v>5</v>
      </c>
      <c r="D155">
        <v>22</v>
      </c>
      <c r="E155">
        <v>21</v>
      </c>
      <c r="F155">
        <v>21</v>
      </c>
      <c r="G155">
        <v>25</v>
      </c>
      <c r="H155">
        <v>4</v>
      </c>
      <c r="I155">
        <v>19</v>
      </c>
      <c r="J155">
        <v>118</v>
      </c>
    </row>
    <row r="156" spans="1:10" x14ac:dyDescent="0.25">
      <c r="A156" s="17" t="s">
        <v>37</v>
      </c>
      <c r="C156">
        <v>12</v>
      </c>
      <c r="D156">
        <v>21</v>
      </c>
      <c r="E156">
        <v>26</v>
      </c>
      <c r="F156">
        <v>26</v>
      </c>
      <c r="G156">
        <v>18</v>
      </c>
      <c r="H156">
        <v>4</v>
      </c>
      <c r="I156">
        <v>18</v>
      </c>
      <c r="J156">
        <v>125</v>
      </c>
    </row>
    <row r="157" spans="1:10" x14ac:dyDescent="0.25">
      <c r="A157" s="17" t="s">
        <v>38</v>
      </c>
      <c r="C157">
        <v>7</v>
      </c>
      <c r="D157">
        <v>28</v>
      </c>
      <c r="E157">
        <v>27</v>
      </c>
      <c r="F157">
        <v>31</v>
      </c>
      <c r="G157">
        <v>24</v>
      </c>
      <c r="H157">
        <v>7</v>
      </c>
      <c r="I157">
        <v>25</v>
      </c>
      <c r="J157">
        <v>149</v>
      </c>
    </row>
    <row r="158" spans="1:10" x14ac:dyDescent="0.25">
      <c r="A158" s="17" t="s">
        <v>39</v>
      </c>
      <c r="B158">
        <v>1</v>
      </c>
      <c r="C158">
        <v>6</v>
      </c>
      <c r="D158">
        <v>29</v>
      </c>
      <c r="E158">
        <v>37</v>
      </c>
      <c r="F158">
        <v>18</v>
      </c>
      <c r="G158">
        <v>34</v>
      </c>
      <c r="H158">
        <v>7</v>
      </c>
      <c r="I158">
        <v>23</v>
      </c>
      <c r="J158">
        <v>155</v>
      </c>
    </row>
    <row r="159" spans="1:10" x14ac:dyDescent="0.25">
      <c r="A159" s="5" t="s">
        <v>26</v>
      </c>
      <c r="B159">
        <v>7</v>
      </c>
      <c r="C159">
        <v>71</v>
      </c>
      <c r="D159">
        <v>237</v>
      </c>
      <c r="E159">
        <v>312</v>
      </c>
      <c r="F159">
        <v>339</v>
      </c>
      <c r="G159">
        <v>297</v>
      </c>
      <c r="H159">
        <v>71</v>
      </c>
      <c r="I159">
        <v>266</v>
      </c>
      <c r="J159">
        <v>1600</v>
      </c>
    </row>
    <row r="162" spans="1:10" ht="27" thickBot="1" x14ac:dyDescent="0.45">
      <c r="A162" t="s">
        <v>21</v>
      </c>
      <c r="F162" s="18" t="s">
        <v>69</v>
      </c>
      <c r="G162" s="18"/>
      <c r="H162" s="18"/>
      <c r="I162" s="18"/>
      <c r="J162" s="18"/>
    </row>
    <row r="163" spans="1:10" x14ac:dyDescent="0.25">
      <c r="A163" t="s">
        <v>23</v>
      </c>
      <c r="B163" t="s">
        <v>24</v>
      </c>
      <c r="C163" t="s">
        <v>25</v>
      </c>
      <c r="D163" t="s">
        <v>26</v>
      </c>
      <c r="F163" s="19" t="s">
        <v>4</v>
      </c>
      <c r="G163" s="20" t="s">
        <v>23</v>
      </c>
      <c r="H163" s="20" t="s">
        <v>70</v>
      </c>
      <c r="I163" s="20" t="s">
        <v>71</v>
      </c>
      <c r="J163" s="21" t="s">
        <v>72</v>
      </c>
    </row>
    <row r="164" spans="1:10" x14ac:dyDescent="0.25">
      <c r="F164" s="22" t="s">
        <v>27</v>
      </c>
      <c r="G164">
        <v>10</v>
      </c>
      <c r="H164">
        <v>6</v>
      </c>
      <c r="I164">
        <f t="shared" ref="I164:I170" si="0">G164+H164</f>
        <v>16</v>
      </c>
      <c r="J164" s="23">
        <f t="shared" ref="J164:J170" si="1">G164/I164*100</f>
        <v>62.5</v>
      </c>
    </row>
    <row r="165" spans="1:10" x14ac:dyDescent="0.25">
      <c r="F165" s="22" t="s">
        <v>28</v>
      </c>
      <c r="G165">
        <v>13</v>
      </c>
      <c r="H165">
        <v>22</v>
      </c>
      <c r="I165">
        <f t="shared" si="0"/>
        <v>35</v>
      </c>
      <c r="J165" s="23">
        <f t="shared" si="1"/>
        <v>37.142857142857146</v>
      </c>
    </row>
    <row r="166" spans="1:10" x14ac:dyDescent="0.25">
      <c r="F166" s="22" t="s">
        <v>29</v>
      </c>
      <c r="G166">
        <v>30</v>
      </c>
      <c r="H166">
        <v>22</v>
      </c>
      <c r="I166">
        <f t="shared" si="0"/>
        <v>52</v>
      </c>
      <c r="J166" s="23">
        <f t="shared" si="1"/>
        <v>57.692307692307686</v>
      </c>
    </row>
    <row r="167" spans="1:10" x14ac:dyDescent="0.25">
      <c r="F167" s="22" t="s">
        <v>30</v>
      </c>
      <c r="G167">
        <v>34</v>
      </c>
      <c r="H167">
        <v>20</v>
      </c>
      <c r="I167">
        <f t="shared" si="0"/>
        <v>54</v>
      </c>
      <c r="J167" s="23">
        <f t="shared" si="1"/>
        <v>62.962962962962962</v>
      </c>
    </row>
    <row r="168" spans="1:10" x14ac:dyDescent="0.25">
      <c r="F168" s="22" t="s">
        <v>31</v>
      </c>
      <c r="G168">
        <v>28</v>
      </c>
      <c r="H168">
        <v>15</v>
      </c>
      <c r="I168">
        <f t="shared" si="0"/>
        <v>43</v>
      </c>
      <c r="J168" s="23">
        <f t="shared" si="1"/>
        <v>65.116279069767444</v>
      </c>
    </row>
    <row r="169" spans="1:10" x14ac:dyDescent="0.25">
      <c r="F169" s="22" t="s">
        <v>32</v>
      </c>
      <c r="G169">
        <v>9</v>
      </c>
      <c r="H169">
        <v>4</v>
      </c>
      <c r="I169">
        <f t="shared" si="0"/>
        <v>13</v>
      </c>
      <c r="J169" s="23">
        <f t="shared" si="1"/>
        <v>69.230769230769226</v>
      </c>
    </row>
    <row r="170" spans="1:10" ht="15.75" thickBot="1" x14ac:dyDescent="0.3">
      <c r="F170" s="24" t="s">
        <v>33</v>
      </c>
      <c r="G170" s="25">
        <v>27</v>
      </c>
      <c r="H170" s="25">
        <v>16</v>
      </c>
      <c r="I170" s="25">
        <f t="shared" si="0"/>
        <v>43</v>
      </c>
      <c r="J170" s="26">
        <f t="shared" si="1"/>
        <v>62.790697674418603</v>
      </c>
    </row>
    <row r="172" spans="1:10" ht="15.75" thickBot="1" x14ac:dyDescent="0.3"/>
    <row r="173" spans="1:10" x14ac:dyDescent="0.25">
      <c r="F173" s="19" t="s">
        <v>4</v>
      </c>
      <c r="G173" s="21" t="s">
        <v>72</v>
      </c>
    </row>
    <row r="174" spans="1:10" x14ac:dyDescent="0.25">
      <c r="F174" s="22" t="s">
        <v>27</v>
      </c>
      <c r="G174" s="23">
        <v>62.5</v>
      </c>
    </row>
    <row r="175" spans="1:10" x14ac:dyDescent="0.25">
      <c r="F175" s="22" t="s">
        <v>28</v>
      </c>
      <c r="G175" s="23">
        <v>37.14</v>
      </c>
    </row>
    <row r="176" spans="1:10" x14ac:dyDescent="0.25">
      <c r="F176" s="22" t="s">
        <v>29</v>
      </c>
      <c r="G176" s="23">
        <v>57.69</v>
      </c>
    </row>
    <row r="177" spans="1:7" x14ac:dyDescent="0.25">
      <c r="F177" s="22" t="s">
        <v>30</v>
      </c>
      <c r="G177" s="23">
        <v>62.96</v>
      </c>
    </row>
    <row r="178" spans="1:7" x14ac:dyDescent="0.25">
      <c r="F178" s="22" t="s">
        <v>31</v>
      </c>
      <c r="G178" s="23">
        <v>65.12</v>
      </c>
    </row>
    <row r="179" spans="1:7" x14ac:dyDescent="0.25">
      <c r="F179" s="22" t="s">
        <v>32</v>
      </c>
      <c r="G179" s="23">
        <v>69.23</v>
      </c>
    </row>
    <row r="180" spans="1:7" ht="15.75" thickBot="1" x14ac:dyDescent="0.3">
      <c r="F180" s="24" t="s">
        <v>33</v>
      </c>
      <c r="G180" s="26">
        <v>62.79</v>
      </c>
    </row>
    <row r="186" spans="1:7" x14ac:dyDescent="0.25">
      <c r="C186" t="s">
        <v>16</v>
      </c>
      <c r="D186" t="s">
        <v>73</v>
      </c>
    </row>
    <row r="188" spans="1:7" x14ac:dyDescent="0.25">
      <c r="A188" t="s">
        <v>22</v>
      </c>
      <c r="B188" s="7" t="s">
        <v>20</v>
      </c>
    </row>
    <row r="189" spans="1:7" x14ac:dyDescent="0.25">
      <c r="A189" s="5" t="s">
        <v>47</v>
      </c>
      <c r="B189" s="7">
        <v>54</v>
      </c>
    </row>
    <row r="190" spans="1:7" x14ac:dyDescent="0.25">
      <c r="A190" s="5" t="s">
        <v>49</v>
      </c>
      <c r="B190" s="7">
        <v>748</v>
      </c>
    </row>
    <row r="191" spans="1:7" x14ac:dyDescent="0.25">
      <c r="A191" s="5" t="s">
        <v>50</v>
      </c>
      <c r="B191" s="7">
        <v>738</v>
      </c>
    </row>
    <row r="192" spans="1:7" x14ac:dyDescent="0.25">
      <c r="A192" s="5" t="s">
        <v>51</v>
      </c>
      <c r="B192" s="7">
        <v>13</v>
      </c>
    </row>
    <row r="193" spans="1:2" x14ac:dyDescent="0.25">
      <c r="A193" s="5" t="s">
        <v>48</v>
      </c>
      <c r="B193" s="7">
        <v>47</v>
      </c>
    </row>
    <row r="194" spans="1:2" x14ac:dyDescent="0.25">
      <c r="A194" s="5" t="s">
        <v>26</v>
      </c>
      <c r="B194" s="7">
        <v>1600</v>
      </c>
    </row>
  </sheetData>
  <mergeCells count="3">
    <mergeCell ref="J80:J81"/>
    <mergeCell ref="K80:K81"/>
    <mergeCell ref="F162:J162"/>
  </mergeCells>
  <pageMargins left="0.7" right="0.7" top="0.75" bottom="0.75" header="0.3" footer="0.3"/>
  <pageSetup orientation="portrait" r:id="rId13"/>
  <drawing r:id="rId14"/>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B854B-3C4E-4A98-BB35-6FD4C971927A}">
  <dimension ref="B1:AA911"/>
  <sheetViews>
    <sheetView showFormulas="1" topLeftCell="A16" zoomScale="96" zoomScaleNormal="96" workbookViewId="0">
      <selection activeCell="B1" sqref="B1:AA87"/>
    </sheetView>
  </sheetViews>
  <sheetFormatPr defaultRowHeight="15" x14ac:dyDescent="0.25"/>
  <cols>
    <col min="16" max="16" width="5.85546875" customWidth="1"/>
    <col min="17" max="19" width="9.140625" hidden="1" customWidth="1"/>
    <col min="20" max="20" width="2.85546875" hidden="1" customWidth="1"/>
    <col min="21" max="21" width="5.7109375" hidden="1" customWidth="1"/>
    <col min="22" max="25" width="9.140625" hidden="1" customWidth="1"/>
    <col min="26" max="26" width="0.140625" hidden="1" customWidth="1"/>
    <col min="27" max="27" width="9.140625" hidden="1" customWidth="1"/>
  </cols>
  <sheetData>
    <row r="1" spans="2:27" x14ac:dyDescent="0.25">
      <c r="B1" s="27"/>
      <c r="C1" s="28"/>
      <c r="D1" s="28"/>
      <c r="E1" s="28"/>
      <c r="F1" s="28"/>
      <c r="G1" s="28"/>
      <c r="H1" s="28"/>
      <c r="I1" s="28"/>
      <c r="J1" s="28"/>
      <c r="K1" s="28"/>
      <c r="L1" s="28"/>
      <c r="M1" s="28"/>
      <c r="N1" s="28"/>
      <c r="O1" s="28"/>
      <c r="P1" s="28"/>
      <c r="Q1" s="28"/>
      <c r="R1" s="28"/>
      <c r="S1" s="28"/>
      <c r="T1" s="28"/>
      <c r="U1" s="28"/>
      <c r="V1" s="28"/>
      <c r="W1" s="28"/>
      <c r="X1" s="28"/>
      <c r="Y1" s="28"/>
      <c r="Z1" s="28"/>
      <c r="AA1" s="28"/>
    </row>
    <row r="2" spans="2:27" x14ac:dyDescent="0.25">
      <c r="B2" s="28"/>
      <c r="C2" s="28"/>
      <c r="D2" s="28"/>
      <c r="E2" s="28"/>
      <c r="F2" s="28"/>
      <c r="G2" s="28"/>
      <c r="H2" s="28"/>
      <c r="I2" s="28"/>
      <c r="J2" s="28"/>
      <c r="K2" s="28"/>
      <c r="L2" s="28"/>
      <c r="M2" s="28"/>
      <c r="N2" s="28"/>
      <c r="O2" s="28"/>
      <c r="P2" s="28"/>
      <c r="Q2" s="28"/>
      <c r="R2" s="28"/>
      <c r="S2" s="28"/>
      <c r="T2" s="28"/>
      <c r="U2" s="28"/>
      <c r="V2" s="28"/>
      <c r="W2" s="28"/>
      <c r="X2" s="28"/>
      <c r="Y2" s="28"/>
      <c r="Z2" s="28"/>
      <c r="AA2" s="28"/>
    </row>
    <row r="3" spans="2:27" x14ac:dyDescent="0.25">
      <c r="B3" s="28"/>
      <c r="C3" s="28"/>
      <c r="D3" s="28"/>
      <c r="E3" s="28"/>
      <c r="F3" s="28"/>
      <c r="G3" s="28"/>
      <c r="H3" s="28"/>
      <c r="I3" s="28"/>
      <c r="J3" s="28"/>
      <c r="K3" s="28"/>
      <c r="L3" s="28"/>
      <c r="M3" s="28"/>
      <c r="N3" s="28"/>
      <c r="O3" s="28"/>
      <c r="P3" s="28"/>
      <c r="Q3" s="28"/>
      <c r="R3" s="28"/>
      <c r="S3" s="28"/>
      <c r="T3" s="28"/>
      <c r="U3" s="28"/>
      <c r="V3" s="28"/>
      <c r="W3" s="28"/>
      <c r="X3" s="28"/>
      <c r="Y3" s="28"/>
      <c r="Z3" s="28"/>
      <c r="AA3" s="28"/>
    </row>
    <row r="4" spans="2:27" x14ac:dyDescent="0.25">
      <c r="B4" s="28"/>
      <c r="C4" s="28"/>
      <c r="D4" s="28"/>
      <c r="E4" s="28"/>
      <c r="F4" s="28"/>
      <c r="G4" s="28"/>
      <c r="H4" s="28"/>
      <c r="I4" s="28"/>
      <c r="J4" s="28"/>
      <c r="K4" s="28"/>
      <c r="L4" s="28"/>
      <c r="M4" s="28"/>
      <c r="N4" s="28"/>
      <c r="O4" s="28"/>
      <c r="P4" s="28"/>
      <c r="Q4" s="28"/>
      <c r="R4" s="28"/>
      <c r="S4" s="28"/>
      <c r="T4" s="28"/>
      <c r="U4" s="28"/>
      <c r="V4" s="28"/>
      <c r="W4" s="28"/>
      <c r="X4" s="28"/>
      <c r="Y4" s="28"/>
      <c r="Z4" s="28"/>
      <c r="AA4" s="28"/>
    </row>
    <row r="5" spans="2:27" x14ac:dyDescent="0.25">
      <c r="B5" s="28"/>
      <c r="C5" s="28"/>
      <c r="D5" s="28"/>
      <c r="E5" s="28"/>
      <c r="F5" s="28"/>
      <c r="G5" s="28"/>
      <c r="H5" s="28"/>
      <c r="I5" s="28"/>
      <c r="J5" s="28"/>
      <c r="K5" s="28"/>
      <c r="L5" s="28"/>
      <c r="M5" s="28"/>
      <c r="N5" s="28"/>
      <c r="O5" s="28"/>
      <c r="P5" s="28"/>
      <c r="Q5" s="28"/>
      <c r="R5" s="28"/>
      <c r="S5" s="28"/>
      <c r="T5" s="28"/>
      <c r="U5" s="28"/>
      <c r="V5" s="28"/>
      <c r="W5" s="28"/>
      <c r="X5" s="28"/>
      <c r="Y5" s="28"/>
      <c r="Z5" s="28"/>
      <c r="AA5" s="28"/>
    </row>
    <row r="6" spans="2:27" x14ac:dyDescent="0.25">
      <c r="B6" s="28"/>
      <c r="C6" s="28"/>
      <c r="D6" s="28"/>
      <c r="E6" s="28"/>
      <c r="F6" s="28"/>
      <c r="G6" s="28"/>
      <c r="H6" s="28"/>
      <c r="I6" s="28"/>
      <c r="J6" s="28"/>
      <c r="K6" s="28"/>
      <c r="L6" s="28"/>
      <c r="M6" s="28"/>
      <c r="N6" s="28"/>
      <c r="O6" s="28"/>
      <c r="P6" s="28"/>
      <c r="Q6" s="28"/>
      <c r="R6" s="28"/>
      <c r="S6" s="28"/>
      <c r="T6" s="28"/>
      <c r="U6" s="28"/>
      <c r="V6" s="28"/>
      <c r="W6" s="28"/>
      <c r="X6" s="28"/>
      <c r="Y6" s="28"/>
      <c r="Z6" s="28"/>
      <c r="AA6" s="28"/>
    </row>
    <row r="7" spans="2:27" x14ac:dyDescent="0.25">
      <c r="B7" s="28"/>
      <c r="C7" s="28"/>
      <c r="D7" s="28"/>
      <c r="E7" s="28"/>
      <c r="F7" s="28"/>
      <c r="G7" s="28"/>
      <c r="H7" s="28"/>
      <c r="I7" s="28"/>
      <c r="J7" s="28"/>
      <c r="K7" s="28"/>
      <c r="L7" s="28"/>
      <c r="M7" s="28"/>
      <c r="N7" s="28"/>
      <c r="O7" s="28"/>
      <c r="P7" s="28"/>
      <c r="Q7" s="28"/>
      <c r="R7" s="28"/>
      <c r="S7" s="28"/>
      <c r="T7" s="28"/>
      <c r="U7" s="28"/>
      <c r="V7" s="28"/>
      <c r="W7" s="28"/>
      <c r="X7" s="28"/>
      <c r="Y7" s="28"/>
      <c r="Z7" s="28"/>
      <c r="AA7" s="28"/>
    </row>
    <row r="8" spans="2:27" x14ac:dyDescent="0.25">
      <c r="B8" s="28"/>
      <c r="C8" s="28"/>
      <c r="D8" s="28"/>
      <c r="E8" s="28"/>
      <c r="F8" s="28"/>
      <c r="G8" s="28"/>
      <c r="H8" s="28"/>
      <c r="I8" s="28"/>
      <c r="J8" s="28"/>
      <c r="K8" s="28"/>
      <c r="L8" s="28"/>
      <c r="M8" s="28"/>
      <c r="N8" s="28"/>
      <c r="O8" s="28"/>
      <c r="P8" s="28"/>
      <c r="Q8" s="28"/>
      <c r="R8" s="28"/>
      <c r="S8" s="28"/>
      <c r="T8" s="28"/>
      <c r="U8" s="28"/>
      <c r="V8" s="28"/>
      <c r="W8" s="28"/>
      <c r="X8" s="28"/>
      <c r="Y8" s="28"/>
      <c r="Z8" s="28"/>
      <c r="AA8" s="28"/>
    </row>
    <row r="9" spans="2:27" x14ac:dyDescent="0.25">
      <c r="B9" s="28"/>
      <c r="C9" s="28"/>
      <c r="D9" s="28"/>
      <c r="E9" s="28"/>
      <c r="F9" s="28"/>
      <c r="G9" s="28"/>
      <c r="H9" s="28"/>
      <c r="I9" s="28"/>
      <c r="J9" s="28"/>
      <c r="K9" s="28"/>
      <c r="L9" s="28"/>
      <c r="M9" s="28"/>
      <c r="N9" s="28"/>
      <c r="O9" s="28"/>
      <c r="P9" s="28"/>
      <c r="Q9" s="28"/>
      <c r="R9" s="28"/>
      <c r="S9" s="28"/>
      <c r="T9" s="28"/>
      <c r="U9" s="28"/>
      <c r="V9" s="28"/>
      <c r="W9" s="28"/>
      <c r="X9" s="28"/>
      <c r="Y9" s="28"/>
      <c r="Z9" s="28"/>
      <c r="AA9" s="28"/>
    </row>
    <row r="10" spans="2:27" x14ac:dyDescent="0.25">
      <c r="B10" s="28"/>
      <c r="C10" s="28"/>
      <c r="D10" s="28"/>
      <c r="E10" s="28"/>
      <c r="F10" s="28"/>
      <c r="G10" s="28"/>
      <c r="H10" s="28"/>
      <c r="I10" s="28"/>
      <c r="J10" s="28"/>
      <c r="K10" s="28"/>
      <c r="L10" s="28"/>
      <c r="M10" s="28"/>
      <c r="N10" s="28"/>
      <c r="O10" s="28"/>
      <c r="P10" s="28"/>
      <c r="Q10" s="28"/>
      <c r="R10" s="28"/>
      <c r="S10" s="28"/>
      <c r="T10" s="28"/>
      <c r="U10" s="28"/>
      <c r="V10" s="28"/>
      <c r="W10" s="28"/>
      <c r="X10" s="28"/>
      <c r="Y10" s="28"/>
      <c r="Z10" s="28"/>
      <c r="AA10" s="28"/>
    </row>
    <row r="11" spans="2:27" x14ac:dyDescent="0.25">
      <c r="B11" s="28"/>
      <c r="C11" s="28"/>
      <c r="D11" s="28"/>
      <c r="E11" s="28"/>
      <c r="F11" s="28"/>
      <c r="G11" s="28"/>
      <c r="H11" s="28"/>
      <c r="I11" s="28"/>
      <c r="J11" s="28"/>
      <c r="K11" s="28"/>
      <c r="L11" s="28"/>
      <c r="M11" s="28"/>
      <c r="N11" s="28"/>
      <c r="O11" s="28"/>
      <c r="P11" s="28"/>
      <c r="Q11" s="28"/>
      <c r="R11" s="28"/>
      <c r="S11" s="28"/>
      <c r="T11" s="28"/>
      <c r="U11" s="28"/>
      <c r="V11" s="28"/>
      <c r="W11" s="28"/>
      <c r="X11" s="28"/>
      <c r="Y11" s="28"/>
      <c r="Z11" s="28"/>
      <c r="AA11" s="28"/>
    </row>
    <row r="12" spans="2:27" x14ac:dyDescent="0.25">
      <c r="B12" s="28"/>
      <c r="C12" s="28"/>
      <c r="D12" s="28"/>
      <c r="E12" s="28"/>
      <c r="F12" s="28"/>
      <c r="G12" s="28"/>
      <c r="H12" s="28"/>
      <c r="I12" s="28"/>
      <c r="J12" s="28"/>
      <c r="K12" s="28"/>
      <c r="L12" s="28"/>
      <c r="M12" s="28"/>
      <c r="N12" s="28"/>
      <c r="O12" s="28"/>
      <c r="P12" s="28"/>
      <c r="Q12" s="28"/>
      <c r="R12" s="28"/>
      <c r="S12" s="28"/>
      <c r="T12" s="28"/>
      <c r="U12" s="28"/>
      <c r="V12" s="28"/>
      <c r="W12" s="28"/>
      <c r="X12" s="28"/>
      <c r="Y12" s="28"/>
      <c r="Z12" s="28"/>
      <c r="AA12" s="28"/>
    </row>
    <row r="13" spans="2:27" x14ac:dyDescent="0.25">
      <c r="B13" s="28"/>
      <c r="C13" s="28"/>
      <c r="D13" s="28"/>
      <c r="E13" s="28"/>
      <c r="F13" s="28"/>
      <c r="G13" s="28"/>
      <c r="H13" s="28"/>
      <c r="I13" s="28"/>
      <c r="J13" s="28"/>
      <c r="K13" s="28"/>
      <c r="L13" s="28"/>
      <c r="M13" s="28"/>
      <c r="N13" s="28"/>
      <c r="O13" s="28"/>
      <c r="P13" s="28"/>
      <c r="Q13" s="28"/>
      <c r="R13" s="28"/>
      <c r="S13" s="28"/>
      <c r="T13" s="28"/>
      <c r="U13" s="28"/>
      <c r="V13" s="28"/>
      <c r="W13" s="28"/>
      <c r="X13" s="28"/>
      <c r="Y13" s="28"/>
      <c r="Z13" s="28"/>
      <c r="AA13" s="28"/>
    </row>
    <row r="14" spans="2:27" x14ac:dyDescent="0.25">
      <c r="B14" s="28"/>
      <c r="C14" s="28"/>
      <c r="D14" s="28"/>
      <c r="E14" s="28"/>
      <c r="F14" s="28"/>
      <c r="G14" s="28"/>
      <c r="H14" s="28"/>
      <c r="I14" s="28"/>
      <c r="J14" s="28"/>
      <c r="K14" s="28"/>
      <c r="L14" s="28"/>
      <c r="M14" s="28"/>
      <c r="N14" s="28"/>
      <c r="O14" s="28"/>
      <c r="P14" s="28"/>
      <c r="Q14" s="28"/>
      <c r="R14" s="28"/>
      <c r="S14" s="28"/>
      <c r="T14" s="28"/>
      <c r="U14" s="28"/>
      <c r="V14" s="28"/>
      <c r="W14" s="28"/>
      <c r="X14" s="28"/>
      <c r="Y14" s="28"/>
      <c r="Z14" s="28"/>
      <c r="AA14" s="28"/>
    </row>
    <row r="15" spans="2:27" x14ac:dyDescent="0.25">
      <c r="B15" s="28"/>
      <c r="C15" s="28"/>
      <c r="D15" s="28"/>
      <c r="E15" s="28"/>
      <c r="F15" s="28"/>
      <c r="G15" s="28"/>
      <c r="H15" s="28"/>
      <c r="I15" s="28"/>
      <c r="J15" s="28"/>
      <c r="K15" s="28"/>
      <c r="L15" s="28"/>
      <c r="M15" s="28"/>
      <c r="N15" s="28"/>
      <c r="O15" s="28"/>
      <c r="P15" s="28"/>
      <c r="Q15" s="28"/>
      <c r="R15" s="28"/>
      <c r="S15" s="28"/>
      <c r="T15" s="28"/>
      <c r="U15" s="28"/>
      <c r="V15" s="28"/>
      <c r="W15" s="28"/>
      <c r="X15" s="28"/>
      <c r="Y15" s="28"/>
      <c r="Z15" s="28"/>
      <c r="AA15" s="28"/>
    </row>
    <row r="16" spans="2:27" x14ac:dyDescent="0.25">
      <c r="B16" s="28"/>
      <c r="C16" s="28"/>
      <c r="D16" s="28"/>
      <c r="E16" s="28"/>
      <c r="F16" s="28"/>
      <c r="G16" s="28"/>
      <c r="H16" s="28"/>
      <c r="I16" s="28"/>
      <c r="J16" s="28"/>
      <c r="K16" s="28"/>
      <c r="L16" s="28"/>
      <c r="M16" s="28"/>
      <c r="N16" s="28"/>
      <c r="O16" s="28"/>
      <c r="P16" s="28"/>
      <c r="Q16" s="28"/>
      <c r="R16" s="28"/>
      <c r="S16" s="28"/>
      <c r="T16" s="28"/>
      <c r="U16" s="28"/>
      <c r="V16" s="28"/>
      <c r="W16" s="28"/>
      <c r="X16" s="28"/>
      <c r="Y16" s="28"/>
      <c r="Z16" s="28"/>
      <c r="AA16" s="28"/>
    </row>
    <row r="17" spans="2:27" x14ac:dyDescent="0.25">
      <c r="B17" s="28"/>
      <c r="C17" s="28"/>
      <c r="D17" s="28"/>
      <c r="E17" s="28"/>
      <c r="F17" s="28"/>
      <c r="G17" s="28"/>
      <c r="H17" s="28"/>
      <c r="I17" s="28"/>
      <c r="J17" s="28"/>
      <c r="K17" s="28"/>
      <c r="L17" s="28"/>
      <c r="M17" s="28"/>
      <c r="N17" s="28"/>
      <c r="O17" s="28"/>
      <c r="P17" s="28"/>
      <c r="Q17" s="28"/>
      <c r="R17" s="28"/>
      <c r="S17" s="28"/>
      <c r="T17" s="28"/>
      <c r="U17" s="28"/>
      <c r="V17" s="28"/>
      <c r="W17" s="28"/>
      <c r="X17" s="28"/>
      <c r="Y17" s="28"/>
      <c r="Z17" s="28"/>
      <c r="AA17" s="28"/>
    </row>
    <row r="18" spans="2:27" x14ac:dyDescent="0.25">
      <c r="B18" s="28"/>
      <c r="C18" s="28"/>
      <c r="D18" s="28"/>
      <c r="E18" s="28"/>
      <c r="F18" s="28"/>
      <c r="G18" s="28"/>
      <c r="H18" s="28"/>
      <c r="I18" s="28"/>
      <c r="J18" s="28"/>
      <c r="K18" s="28"/>
      <c r="L18" s="28"/>
      <c r="M18" s="28"/>
      <c r="N18" s="28"/>
      <c r="O18" s="28"/>
      <c r="P18" s="28"/>
      <c r="Q18" s="28"/>
      <c r="R18" s="28"/>
      <c r="S18" s="28"/>
      <c r="T18" s="28"/>
      <c r="U18" s="28"/>
      <c r="V18" s="28"/>
      <c r="W18" s="28"/>
      <c r="X18" s="28"/>
      <c r="Y18" s="28"/>
      <c r="Z18" s="28"/>
      <c r="AA18" s="28"/>
    </row>
    <row r="19" spans="2:27" x14ac:dyDescent="0.25">
      <c r="B19" s="28"/>
      <c r="C19" s="28"/>
      <c r="D19" s="28"/>
      <c r="E19" s="28"/>
      <c r="F19" s="28"/>
      <c r="G19" s="28"/>
      <c r="H19" s="28"/>
      <c r="I19" s="28"/>
      <c r="J19" s="28"/>
      <c r="K19" s="28"/>
      <c r="L19" s="28"/>
      <c r="M19" s="28"/>
      <c r="N19" s="28"/>
      <c r="O19" s="28"/>
      <c r="P19" s="28"/>
      <c r="Q19" s="28"/>
      <c r="R19" s="28"/>
      <c r="S19" s="28"/>
      <c r="T19" s="28"/>
      <c r="U19" s="28"/>
      <c r="V19" s="28"/>
      <c r="W19" s="28"/>
      <c r="X19" s="28"/>
      <c r="Y19" s="28"/>
      <c r="Z19" s="28"/>
      <c r="AA19" s="28"/>
    </row>
    <row r="20" spans="2:27" x14ac:dyDescent="0.25">
      <c r="B20" s="28"/>
      <c r="C20" s="28"/>
      <c r="D20" s="28"/>
      <c r="E20" s="28"/>
      <c r="F20" s="28"/>
      <c r="G20" s="28"/>
      <c r="H20" s="28"/>
      <c r="I20" s="28"/>
      <c r="J20" s="28"/>
      <c r="K20" s="28"/>
      <c r="L20" s="28"/>
      <c r="M20" s="28"/>
      <c r="N20" s="28"/>
      <c r="O20" s="28"/>
      <c r="P20" s="28"/>
      <c r="Q20" s="28"/>
      <c r="R20" s="28"/>
      <c r="S20" s="28"/>
      <c r="T20" s="28"/>
      <c r="U20" s="28"/>
      <c r="V20" s="28"/>
      <c r="W20" s="28"/>
      <c r="X20" s="28"/>
      <c r="Y20" s="28"/>
      <c r="Z20" s="28"/>
      <c r="AA20" s="28"/>
    </row>
    <row r="21" spans="2:27" x14ac:dyDescent="0.25">
      <c r="B21" s="28"/>
      <c r="C21" s="28"/>
      <c r="D21" s="28"/>
      <c r="E21" s="28"/>
      <c r="F21" s="28"/>
      <c r="G21" s="28"/>
      <c r="H21" s="28"/>
      <c r="I21" s="28"/>
      <c r="J21" s="28"/>
      <c r="K21" s="28"/>
      <c r="L21" s="28"/>
      <c r="M21" s="28"/>
      <c r="N21" s="28"/>
      <c r="O21" s="28"/>
      <c r="P21" s="28"/>
      <c r="Q21" s="28"/>
      <c r="R21" s="28"/>
      <c r="S21" s="28"/>
      <c r="T21" s="28"/>
      <c r="U21" s="28"/>
      <c r="V21" s="28"/>
      <c r="W21" s="28"/>
      <c r="X21" s="28"/>
      <c r="Y21" s="28"/>
      <c r="Z21" s="28"/>
      <c r="AA21" s="28"/>
    </row>
    <row r="22" spans="2:27" x14ac:dyDescent="0.25">
      <c r="B22" s="28"/>
      <c r="C22" s="28"/>
      <c r="D22" s="28"/>
      <c r="E22" s="28"/>
      <c r="F22" s="28"/>
      <c r="G22" s="28"/>
      <c r="H22" s="28"/>
      <c r="I22" s="28"/>
      <c r="J22" s="28"/>
      <c r="K22" s="28"/>
      <c r="L22" s="28"/>
      <c r="M22" s="28"/>
      <c r="N22" s="28"/>
      <c r="O22" s="28"/>
      <c r="P22" s="28"/>
      <c r="Q22" s="28"/>
      <c r="R22" s="28"/>
      <c r="S22" s="28"/>
      <c r="T22" s="28"/>
      <c r="U22" s="28"/>
      <c r="V22" s="28"/>
      <c r="W22" s="28"/>
      <c r="X22" s="28"/>
      <c r="Y22" s="28"/>
      <c r="Z22" s="28"/>
      <c r="AA22" s="28"/>
    </row>
    <row r="23" spans="2:27" x14ac:dyDescent="0.25">
      <c r="B23" s="28"/>
      <c r="C23" s="28"/>
      <c r="D23" s="28"/>
      <c r="E23" s="28"/>
      <c r="F23" s="28"/>
      <c r="G23" s="28"/>
      <c r="H23" s="28"/>
      <c r="I23" s="28"/>
      <c r="J23" s="28"/>
      <c r="K23" s="28"/>
      <c r="L23" s="28"/>
      <c r="M23" s="28"/>
      <c r="N23" s="28"/>
      <c r="O23" s="28"/>
      <c r="P23" s="28"/>
      <c r="Q23" s="28"/>
      <c r="R23" s="28"/>
      <c r="S23" s="28"/>
      <c r="T23" s="28"/>
      <c r="U23" s="28"/>
      <c r="V23" s="28"/>
      <c r="W23" s="28"/>
      <c r="X23" s="28"/>
      <c r="Y23" s="28"/>
      <c r="Z23" s="28"/>
      <c r="AA23" s="28"/>
    </row>
    <row r="24" spans="2:27" x14ac:dyDescent="0.25">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row>
    <row r="25" spans="2:27" x14ac:dyDescent="0.25">
      <c r="B25" s="28"/>
      <c r="C25" s="28"/>
      <c r="D25" s="28"/>
      <c r="E25" s="28"/>
      <c r="F25" s="28"/>
      <c r="G25" s="28"/>
      <c r="H25" s="28"/>
      <c r="I25" s="28"/>
      <c r="J25" s="28"/>
      <c r="K25" s="28"/>
      <c r="L25" s="28"/>
      <c r="M25" s="28"/>
      <c r="N25" s="28"/>
      <c r="O25" s="28"/>
      <c r="P25" s="28"/>
      <c r="Q25" s="28"/>
      <c r="R25" s="28"/>
      <c r="S25" s="28"/>
      <c r="T25" s="28"/>
      <c r="U25" s="28"/>
      <c r="V25" s="28"/>
      <c r="W25" s="28"/>
      <c r="X25" s="28"/>
      <c r="Y25" s="28"/>
      <c r="Z25" s="28"/>
      <c r="AA25" s="28"/>
    </row>
    <row r="26" spans="2:27" x14ac:dyDescent="0.25">
      <c r="B26" s="28"/>
      <c r="C26" s="28"/>
      <c r="D26" s="28"/>
      <c r="E26" s="28"/>
      <c r="F26" s="28"/>
      <c r="G26" s="28"/>
      <c r="H26" s="28"/>
      <c r="I26" s="28"/>
      <c r="J26" s="28"/>
      <c r="K26" s="28"/>
      <c r="L26" s="28"/>
      <c r="M26" s="28"/>
      <c r="N26" s="28"/>
      <c r="O26" s="28"/>
      <c r="P26" s="28"/>
      <c r="Q26" s="28"/>
      <c r="R26" s="28"/>
      <c r="S26" s="28"/>
      <c r="T26" s="28"/>
      <c r="U26" s="28"/>
      <c r="V26" s="28"/>
      <c r="W26" s="28"/>
      <c r="X26" s="28"/>
      <c r="Y26" s="28"/>
      <c r="Z26" s="28"/>
      <c r="AA26" s="28"/>
    </row>
    <row r="27" spans="2:27" x14ac:dyDescent="0.25">
      <c r="B27" s="28"/>
      <c r="C27" s="28"/>
      <c r="D27" s="28"/>
      <c r="E27" s="28"/>
      <c r="F27" s="28"/>
      <c r="G27" s="28"/>
      <c r="H27" s="28"/>
      <c r="I27" s="28"/>
      <c r="J27" s="28"/>
      <c r="K27" s="28"/>
      <c r="L27" s="28"/>
      <c r="M27" s="28"/>
      <c r="N27" s="28"/>
      <c r="O27" s="28"/>
      <c r="P27" s="28"/>
      <c r="Q27" s="28"/>
      <c r="R27" s="28"/>
      <c r="S27" s="28"/>
      <c r="T27" s="28"/>
      <c r="U27" s="28"/>
      <c r="V27" s="28"/>
      <c r="W27" s="28"/>
      <c r="X27" s="28"/>
      <c r="Y27" s="28"/>
      <c r="Z27" s="28"/>
      <c r="AA27" s="28"/>
    </row>
    <row r="28" spans="2:27" x14ac:dyDescent="0.25">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28"/>
    </row>
    <row r="29" spans="2:27" x14ac:dyDescent="0.25">
      <c r="B29" s="28"/>
      <c r="C29" s="28"/>
      <c r="D29" s="28"/>
      <c r="E29" s="28"/>
      <c r="F29" s="28"/>
      <c r="G29" s="28"/>
      <c r="H29" s="28"/>
      <c r="I29" s="28"/>
      <c r="J29" s="28"/>
      <c r="K29" s="28"/>
      <c r="L29" s="28"/>
      <c r="M29" s="28"/>
      <c r="N29" s="28"/>
      <c r="O29" s="28"/>
      <c r="P29" s="28"/>
      <c r="Q29" s="28"/>
      <c r="R29" s="28"/>
      <c r="S29" s="28"/>
      <c r="T29" s="28"/>
      <c r="U29" s="28"/>
      <c r="V29" s="28"/>
      <c r="W29" s="28"/>
      <c r="X29" s="28"/>
      <c r="Y29" s="28"/>
      <c r="Z29" s="28"/>
      <c r="AA29" s="28"/>
    </row>
    <row r="30" spans="2:27" x14ac:dyDescent="0.25">
      <c r="B30" s="28"/>
      <c r="C30" s="28"/>
      <c r="D30" s="28"/>
      <c r="E30" s="28"/>
      <c r="F30" s="28"/>
      <c r="G30" s="28"/>
      <c r="H30" s="28"/>
      <c r="I30" s="28"/>
      <c r="J30" s="28"/>
      <c r="K30" s="28"/>
      <c r="L30" s="28"/>
      <c r="M30" s="28"/>
      <c r="N30" s="28"/>
      <c r="O30" s="28"/>
      <c r="P30" s="28"/>
      <c r="Q30" s="28"/>
      <c r="R30" s="28"/>
      <c r="S30" s="28"/>
      <c r="T30" s="28"/>
      <c r="U30" s="28"/>
      <c r="V30" s="28"/>
      <c r="W30" s="28"/>
      <c r="X30" s="28"/>
      <c r="Y30" s="28"/>
      <c r="Z30" s="28"/>
      <c r="AA30" s="28"/>
    </row>
    <row r="31" spans="2:27" x14ac:dyDescent="0.25">
      <c r="B31" s="28"/>
      <c r="C31" s="28"/>
      <c r="D31" s="28"/>
      <c r="E31" s="28"/>
      <c r="F31" s="28"/>
      <c r="G31" s="28"/>
      <c r="H31" s="28"/>
      <c r="I31" s="28"/>
      <c r="J31" s="28"/>
      <c r="K31" s="28"/>
      <c r="L31" s="28"/>
      <c r="M31" s="28"/>
      <c r="N31" s="28"/>
      <c r="O31" s="28"/>
      <c r="P31" s="28"/>
      <c r="Q31" s="28"/>
      <c r="R31" s="28"/>
      <c r="S31" s="28"/>
      <c r="T31" s="28"/>
      <c r="U31" s="28"/>
      <c r="V31" s="28"/>
      <c r="W31" s="28"/>
      <c r="X31" s="28"/>
      <c r="Y31" s="28"/>
      <c r="Z31" s="28"/>
      <c r="AA31" s="28"/>
    </row>
    <row r="32" spans="2:27" x14ac:dyDescent="0.25">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row>
    <row r="33" spans="2:27" x14ac:dyDescent="0.25">
      <c r="B33" s="28"/>
      <c r="C33" s="28"/>
      <c r="D33" s="28"/>
      <c r="E33" s="28"/>
      <c r="F33" s="28"/>
      <c r="G33" s="28"/>
      <c r="H33" s="28"/>
      <c r="I33" s="28"/>
      <c r="J33" s="28"/>
      <c r="K33" s="28"/>
      <c r="L33" s="28"/>
      <c r="M33" s="28"/>
      <c r="N33" s="28"/>
      <c r="O33" s="28"/>
      <c r="P33" s="28"/>
      <c r="Q33" s="28"/>
      <c r="R33" s="28"/>
      <c r="S33" s="28"/>
      <c r="T33" s="28"/>
      <c r="U33" s="28"/>
      <c r="V33" s="28"/>
      <c r="W33" s="28"/>
      <c r="X33" s="28"/>
      <c r="Y33" s="28"/>
      <c r="Z33" s="28"/>
      <c r="AA33" s="28"/>
    </row>
    <row r="34" spans="2:27" x14ac:dyDescent="0.25">
      <c r="B34" s="28"/>
      <c r="C34" s="28"/>
      <c r="D34" s="28"/>
      <c r="E34" s="28"/>
      <c r="F34" s="28"/>
      <c r="G34" s="28"/>
      <c r="H34" s="28"/>
      <c r="I34" s="28"/>
      <c r="J34" s="28"/>
      <c r="K34" s="28"/>
      <c r="L34" s="28"/>
      <c r="M34" s="28"/>
      <c r="N34" s="28"/>
      <c r="O34" s="28"/>
      <c r="P34" s="28"/>
      <c r="Q34" s="28"/>
      <c r="R34" s="28"/>
      <c r="S34" s="28"/>
      <c r="T34" s="28"/>
      <c r="U34" s="28"/>
      <c r="V34" s="28"/>
      <c r="W34" s="28"/>
      <c r="X34" s="28"/>
      <c r="Y34" s="28"/>
      <c r="Z34" s="28"/>
      <c r="AA34" s="28"/>
    </row>
    <row r="35" spans="2:27" x14ac:dyDescent="0.25">
      <c r="B35" s="28"/>
      <c r="C35" s="28"/>
      <c r="D35" s="28"/>
      <c r="E35" s="28"/>
      <c r="F35" s="28"/>
      <c r="G35" s="28"/>
      <c r="H35" s="28"/>
      <c r="I35" s="28"/>
      <c r="J35" s="28"/>
      <c r="K35" s="28"/>
      <c r="L35" s="28"/>
      <c r="M35" s="28"/>
      <c r="N35" s="28"/>
      <c r="O35" s="28"/>
      <c r="P35" s="28"/>
      <c r="Q35" s="28"/>
      <c r="R35" s="28"/>
      <c r="S35" s="28"/>
      <c r="T35" s="28"/>
      <c r="U35" s="28"/>
      <c r="V35" s="28"/>
      <c r="W35" s="28"/>
      <c r="X35" s="28"/>
      <c r="Y35" s="28"/>
      <c r="Z35" s="28"/>
      <c r="AA35" s="28"/>
    </row>
    <row r="36" spans="2:27" x14ac:dyDescent="0.25">
      <c r="B36" s="28"/>
      <c r="C36" s="28"/>
      <c r="D36" s="28"/>
      <c r="E36" s="28"/>
      <c r="F36" s="28"/>
      <c r="G36" s="28"/>
      <c r="H36" s="28"/>
      <c r="I36" s="28"/>
      <c r="J36" s="28"/>
      <c r="K36" s="28"/>
      <c r="L36" s="28"/>
      <c r="M36" s="28"/>
      <c r="N36" s="28"/>
      <c r="O36" s="28"/>
      <c r="P36" s="28"/>
      <c r="Q36" s="28"/>
      <c r="R36" s="28"/>
      <c r="S36" s="28"/>
      <c r="T36" s="28"/>
      <c r="U36" s="28"/>
      <c r="V36" s="28"/>
      <c r="W36" s="28"/>
      <c r="X36" s="28"/>
      <c r="Y36" s="28"/>
      <c r="Z36" s="28"/>
      <c r="AA36" s="28"/>
    </row>
    <row r="37" spans="2:27" x14ac:dyDescent="0.25">
      <c r="B37" s="28"/>
      <c r="C37" s="28"/>
      <c r="D37" s="28"/>
      <c r="E37" s="28"/>
      <c r="F37" s="28"/>
      <c r="G37" s="28"/>
      <c r="H37" s="28"/>
      <c r="I37" s="28"/>
      <c r="J37" s="28"/>
      <c r="K37" s="28"/>
      <c r="L37" s="28"/>
      <c r="M37" s="28"/>
      <c r="N37" s="28"/>
      <c r="O37" s="28"/>
      <c r="P37" s="28"/>
      <c r="Q37" s="28"/>
      <c r="R37" s="28"/>
      <c r="S37" s="28"/>
      <c r="T37" s="28"/>
      <c r="U37" s="28"/>
      <c r="V37" s="28"/>
      <c r="W37" s="28"/>
      <c r="X37" s="28"/>
      <c r="Y37" s="28"/>
      <c r="Z37" s="28"/>
      <c r="AA37" s="28"/>
    </row>
    <row r="38" spans="2:27" x14ac:dyDescent="0.25">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row>
    <row r="39" spans="2:27" x14ac:dyDescent="0.25">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row>
    <row r="40" spans="2:27" x14ac:dyDescent="0.25">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row>
    <row r="41" spans="2:27" x14ac:dyDescent="0.25">
      <c r="B41" s="28"/>
      <c r="C41" s="28"/>
      <c r="D41" s="28"/>
      <c r="E41" s="28"/>
      <c r="F41" s="28"/>
      <c r="G41" s="28"/>
      <c r="H41" s="28"/>
      <c r="I41" s="28"/>
      <c r="J41" s="28"/>
      <c r="K41" s="28"/>
      <c r="L41" s="28"/>
      <c r="M41" s="28"/>
      <c r="N41" s="28"/>
      <c r="O41" s="28"/>
      <c r="P41" s="28"/>
      <c r="Q41" s="28"/>
      <c r="R41" s="28"/>
      <c r="S41" s="28"/>
      <c r="T41" s="28"/>
      <c r="U41" s="28"/>
      <c r="V41" s="28"/>
      <c r="W41" s="28"/>
      <c r="X41" s="28"/>
      <c r="Y41" s="28"/>
      <c r="Z41" s="28"/>
      <c r="AA41" s="28"/>
    </row>
    <row r="42" spans="2:27" x14ac:dyDescent="0.25">
      <c r="B42" s="28"/>
      <c r="C42" s="28"/>
      <c r="D42" s="28"/>
      <c r="E42" s="28"/>
      <c r="F42" s="28"/>
      <c r="G42" s="28"/>
      <c r="H42" s="28"/>
      <c r="I42" s="28"/>
      <c r="J42" s="28"/>
      <c r="K42" s="28"/>
      <c r="L42" s="28"/>
      <c r="M42" s="28"/>
      <c r="N42" s="28"/>
      <c r="O42" s="28"/>
      <c r="P42" s="28"/>
      <c r="Q42" s="28"/>
      <c r="R42" s="28"/>
      <c r="S42" s="28"/>
      <c r="T42" s="28"/>
      <c r="U42" s="28"/>
      <c r="V42" s="28"/>
      <c r="W42" s="28"/>
      <c r="X42" s="28"/>
      <c r="Y42" s="28"/>
      <c r="Z42" s="28"/>
      <c r="AA42" s="28"/>
    </row>
    <row r="43" spans="2:27" x14ac:dyDescent="0.25">
      <c r="B43" s="28"/>
      <c r="C43" s="28"/>
      <c r="D43" s="28"/>
      <c r="E43" s="28"/>
      <c r="F43" s="28"/>
      <c r="G43" s="28"/>
      <c r="H43" s="28"/>
      <c r="I43" s="28"/>
      <c r="J43" s="28"/>
      <c r="K43" s="28"/>
      <c r="L43" s="28"/>
      <c r="M43" s="28"/>
      <c r="N43" s="28"/>
      <c r="O43" s="28"/>
      <c r="P43" s="28"/>
      <c r="Q43" s="28"/>
      <c r="R43" s="28"/>
      <c r="S43" s="28"/>
      <c r="T43" s="28"/>
      <c r="U43" s="28"/>
      <c r="V43" s="28"/>
      <c r="W43" s="28"/>
      <c r="X43" s="28"/>
      <c r="Y43" s="28"/>
      <c r="Z43" s="28"/>
      <c r="AA43" s="28"/>
    </row>
    <row r="44" spans="2:27" x14ac:dyDescent="0.25">
      <c r="B44" s="28"/>
      <c r="C44" s="28"/>
      <c r="D44" s="28"/>
      <c r="E44" s="28"/>
      <c r="F44" s="28"/>
      <c r="G44" s="28"/>
      <c r="H44" s="28"/>
      <c r="I44" s="28"/>
      <c r="J44" s="28"/>
      <c r="K44" s="28"/>
      <c r="L44" s="28"/>
      <c r="M44" s="28"/>
      <c r="N44" s="28"/>
      <c r="O44" s="28"/>
      <c r="P44" s="28"/>
      <c r="Q44" s="28"/>
      <c r="R44" s="28"/>
      <c r="S44" s="28"/>
      <c r="T44" s="28"/>
      <c r="U44" s="28"/>
      <c r="V44" s="28"/>
      <c r="W44" s="28"/>
      <c r="X44" s="28"/>
      <c r="Y44" s="28"/>
      <c r="Z44" s="28"/>
      <c r="AA44" s="28"/>
    </row>
    <row r="45" spans="2:27" x14ac:dyDescent="0.25">
      <c r="B45" s="28"/>
      <c r="C45" s="28"/>
      <c r="D45" s="28"/>
      <c r="E45" s="28"/>
      <c r="F45" s="28"/>
      <c r="G45" s="28"/>
      <c r="H45" s="28"/>
      <c r="I45" s="28"/>
      <c r="J45" s="28"/>
      <c r="K45" s="28"/>
      <c r="L45" s="28"/>
      <c r="M45" s="28"/>
      <c r="N45" s="28"/>
      <c r="O45" s="28"/>
      <c r="P45" s="28"/>
      <c r="Q45" s="28"/>
      <c r="R45" s="28"/>
      <c r="S45" s="28"/>
      <c r="T45" s="28"/>
      <c r="U45" s="28"/>
      <c r="V45" s="28"/>
      <c r="W45" s="28"/>
      <c r="X45" s="28"/>
      <c r="Y45" s="28"/>
      <c r="Z45" s="28"/>
      <c r="AA45" s="28"/>
    </row>
    <row r="46" spans="2:27" x14ac:dyDescent="0.25">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row>
    <row r="47" spans="2:27" x14ac:dyDescent="0.25">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row>
    <row r="48" spans="2:27" x14ac:dyDescent="0.25">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row>
    <row r="49" spans="2:27" x14ac:dyDescent="0.25">
      <c r="B49" s="28"/>
      <c r="C49" s="28"/>
      <c r="D49" s="28"/>
      <c r="E49" s="28"/>
      <c r="F49" s="28"/>
      <c r="G49" s="28"/>
      <c r="H49" s="28"/>
      <c r="I49" s="28"/>
      <c r="J49" s="28"/>
      <c r="K49" s="28"/>
      <c r="L49" s="28"/>
      <c r="M49" s="28"/>
      <c r="N49" s="28"/>
      <c r="O49" s="28"/>
      <c r="P49" s="28"/>
      <c r="Q49" s="28"/>
      <c r="R49" s="28"/>
      <c r="S49" s="28"/>
      <c r="T49" s="28"/>
      <c r="U49" s="28"/>
      <c r="V49" s="28"/>
      <c r="W49" s="28"/>
      <c r="X49" s="28"/>
      <c r="Y49" s="28"/>
      <c r="Z49" s="28"/>
      <c r="AA49" s="28"/>
    </row>
    <row r="50" spans="2:27" x14ac:dyDescent="0.25">
      <c r="B50" s="28"/>
      <c r="C50" s="28"/>
      <c r="D50" s="28"/>
      <c r="E50" s="28"/>
      <c r="F50" s="28"/>
      <c r="G50" s="28"/>
      <c r="H50" s="28"/>
      <c r="I50" s="28"/>
      <c r="J50" s="28"/>
      <c r="K50" s="28"/>
      <c r="L50" s="28"/>
      <c r="M50" s="28"/>
      <c r="N50" s="28"/>
      <c r="O50" s="28"/>
      <c r="P50" s="28"/>
      <c r="Q50" s="28"/>
      <c r="R50" s="28"/>
      <c r="S50" s="28"/>
      <c r="T50" s="28"/>
      <c r="U50" s="28"/>
      <c r="V50" s="28"/>
      <c r="W50" s="28"/>
      <c r="X50" s="28"/>
      <c r="Y50" s="28"/>
      <c r="Z50" s="28"/>
      <c r="AA50" s="28"/>
    </row>
    <row r="51" spans="2:27" x14ac:dyDescent="0.25">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row>
    <row r="52" spans="2:27" x14ac:dyDescent="0.25">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28"/>
    </row>
    <row r="53" spans="2:27" x14ac:dyDescent="0.25">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row>
    <row r="54" spans="2:27" x14ac:dyDescent="0.25">
      <c r="B54" s="28"/>
      <c r="C54" s="28"/>
      <c r="D54" s="28"/>
      <c r="E54" s="28"/>
      <c r="F54" s="28"/>
      <c r="G54" s="28"/>
      <c r="H54" s="28"/>
      <c r="I54" s="28"/>
      <c r="J54" s="28"/>
      <c r="K54" s="28"/>
      <c r="L54" s="28"/>
      <c r="M54" s="28"/>
      <c r="N54" s="28"/>
      <c r="O54" s="28"/>
      <c r="P54" s="28"/>
      <c r="Q54" s="28"/>
      <c r="R54" s="28"/>
      <c r="S54" s="28"/>
      <c r="T54" s="28"/>
      <c r="U54" s="28"/>
      <c r="V54" s="28"/>
      <c r="W54" s="28"/>
      <c r="X54" s="28"/>
      <c r="Y54" s="28"/>
      <c r="Z54" s="28"/>
      <c r="AA54" s="28"/>
    </row>
    <row r="55" spans="2:27" x14ac:dyDescent="0.25">
      <c r="B55" s="28"/>
      <c r="C55" s="28"/>
      <c r="D55" s="28"/>
      <c r="E55" s="28"/>
      <c r="F55" s="28"/>
      <c r="G55" s="28"/>
      <c r="H55" s="28"/>
      <c r="I55" s="28"/>
      <c r="J55" s="28"/>
      <c r="K55" s="28"/>
      <c r="L55" s="28"/>
      <c r="M55" s="28"/>
      <c r="N55" s="28"/>
      <c r="O55" s="28"/>
      <c r="P55" s="28"/>
      <c r="Q55" s="28"/>
      <c r="R55" s="28"/>
      <c r="S55" s="28"/>
      <c r="T55" s="28"/>
      <c r="U55" s="28"/>
      <c r="V55" s="28"/>
      <c r="W55" s="28"/>
      <c r="X55" s="28"/>
      <c r="Y55" s="28"/>
      <c r="Z55" s="28"/>
      <c r="AA55" s="28"/>
    </row>
    <row r="56" spans="2:27" x14ac:dyDescent="0.25">
      <c r="B56" s="28"/>
      <c r="C56" s="28"/>
      <c r="D56" s="28"/>
      <c r="E56" s="28"/>
      <c r="F56" s="28"/>
      <c r="G56" s="28"/>
      <c r="H56" s="28"/>
      <c r="I56" s="28"/>
      <c r="J56" s="28"/>
      <c r="K56" s="28"/>
      <c r="L56" s="28"/>
      <c r="M56" s="28"/>
      <c r="N56" s="28"/>
      <c r="O56" s="28"/>
      <c r="P56" s="28"/>
      <c r="Q56" s="28"/>
      <c r="R56" s="28"/>
      <c r="S56" s="28"/>
      <c r="T56" s="28"/>
      <c r="U56" s="28"/>
      <c r="V56" s="28"/>
      <c r="W56" s="28"/>
      <c r="X56" s="28"/>
      <c r="Y56" s="28"/>
      <c r="Z56" s="28"/>
      <c r="AA56" s="28"/>
    </row>
    <row r="57" spans="2:27" x14ac:dyDescent="0.25">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row>
    <row r="58" spans="2:27" x14ac:dyDescent="0.25">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row>
    <row r="59" spans="2:27" x14ac:dyDescent="0.25">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row>
    <row r="60" spans="2:27" x14ac:dyDescent="0.25">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row>
    <row r="61" spans="2:27" x14ac:dyDescent="0.25">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row>
    <row r="62" spans="2:27" x14ac:dyDescent="0.25">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row>
    <row r="63" spans="2:27" x14ac:dyDescent="0.25">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row>
    <row r="64" spans="2:27" x14ac:dyDescent="0.25">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row>
    <row r="65" spans="2:27" x14ac:dyDescent="0.25">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row>
    <row r="66" spans="2:27" x14ac:dyDescent="0.25">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row>
    <row r="67" spans="2:27" x14ac:dyDescent="0.25">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row>
    <row r="68" spans="2:27" x14ac:dyDescent="0.25">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row>
    <row r="69" spans="2:27" x14ac:dyDescent="0.25">
      <c r="B69" s="28"/>
      <c r="C69" s="28"/>
      <c r="D69" s="28"/>
      <c r="E69" s="28"/>
      <c r="F69" s="28"/>
      <c r="G69" s="28"/>
      <c r="H69" s="28"/>
      <c r="I69" s="28"/>
      <c r="J69" s="28"/>
      <c r="K69" s="28"/>
      <c r="L69" s="28"/>
      <c r="M69" s="28"/>
      <c r="N69" s="28"/>
      <c r="O69" s="28"/>
      <c r="P69" s="28"/>
      <c r="Q69" s="28"/>
      <c r="R69" s="28"/>
      <c r="S69" s="28"/>
      <c r="T69" s="28"/>
      <c r="U69" s="28"/>
      <c r="V69" s="28"/>
      <c r="W69" s="28"/>
      <c r="X69" s="28"/>
      <c r="Y69" s="28"/>
      <c r="Z69" s="28"/>
      <c r="AA69" s="28"/>
    </row>
    <row r="70" spans="2:27" x14ac:dyDescent="0.25">
      <c r="B70" s="28"/>
      <c r="C70" s="28"/>
      <c r="D70" s="28"/>
      <c r="E70" s="28"/>
      <c r="F70" s="28"/>
      <c r="G70" s="28"/>
      <c r="H70" s="28"/>
      <c r="I70" s="28"/>
      <c r="J70" s="28"/>
      <c r="K70" s="28"/>
      <c r="L70" s="28"/>
      <c r="M70" s="28"/>
      <c r="N70" s="28"/>
      <c r="O70" s="28"/>
      <c r="P70" s="28"/>
      <c r="Q70" s="28"/>
      <c r="R70" s="28"/>
      <c r="S70" s="28"/>
      <c r="T70" s="28"/>
      <c r="U70" s="28"/>
      <c r="V70" s="28"/>
      <c r="W70" s="28"/>
      <c r="X70" s="28"/>
      <c r="Y70" s="28"/>
      <c r="Z70" s="28"/>
      <c r="AA70" s="28"/>
    </row>
    <row r="71" spans="2:27" x14ac:dyDescent="0.25">
      <c r="B71" s="28"/>
      <c r="C71" s="28"/>
      <c r="D71" s="28"/>
      <c r="E71" s="28"/>
      <c r="F71" s="28"/>
      <c r="G71" s="28"/>
      <c r="H71" s="28"/>
      <c r="I71" s="28"/>
      <c r="J71" s="28"/>
      <c r="K71" s="28"/>
      <c r="L71" s="28"/>
      <c r="M71" s="28"/>
      <c r="N71" s="28"/>
      <c r="O71" s="28"/>
      <c r="P71" s="28"/>
      <c r="Q71" s="28"/>
      <c r="R71" s="28"/>
      <c r="S71" s="28"/>
      <c r="T71" s="28"/>
      <c r="U71" s="28"/>
      <c r="V71" s="28"/>
      <c r="W71" s="28"/>
      <c r="X71" s="28"/>
      <c r="Y71" s="28"/>
      <c r="Z71" s="28"/>
      <c r="AA71" s="28"/>
    </row>
    <row r="72" spans="2:27" x14ac:dyDescent="0.25">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row>
    <row r="73" spans="2:27" x14ac:dyDescent="0.25">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row>
    <row r="74" spans="2:27" x14ac:dyDescent="0.25">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row>
    <row r="75" spans="2:27" x14ac:dyDescent="0.25">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row>
    <row r="76" spans="2:27" x14ac:dyDescent="0.25">
      <c r="B76" s="28"/>
      <c r="C76" s="28"/>
      <c r="D76" s="28"/>
      <c r="E76" s="28"/>
      <c r="F76" s="28"/>
      <c r="G76" s="28"/>
      <c r="H76" s="28"/>
      <c r="I76" s="28"/>
      <c r="J76" s="28"/>
      <c r="K76" s="28"/>
      <c r="L76" s="28"/>
      <c r="M76" s="28"/>
      <c r="N76" s="28"/>
      <c r="O76" s="28"/>
      <c r="P76" s="28"/>
      <c r="Q76" s="28"/>
      <c r="R76" s="28"/>
      <c r="S76" s="28"/>
      <c r="T76" s="28"/>
      <c r="U76" s="28"/>
      <c r="V76" s="28"/>
      <c r="W76" s="28"/>
      <c r="X76" s="28"/>
      <c r="Y76" s="28"/>
      <c r="Z76" s="28"/>
      <c r="AA76" s="28"/>
    </row>
    <row r="77" spans="2:27" x14ac:dyDescent="0.25">
      <c r="B77" s="28"/>
      <c r="C77" s="28"/>
      <c r="D77" s="28"/>
      <c r="E77" s="28"/>
      <c r="F77" s="28"/>
      <c r="G77" s="28"/>
      <c r="H77" s="28"/>
      <c r="I77" s="28"/>
      <c r="J77" s="28"/>
      <c r="K77" s="28"/>
      <c r="L77" s="28"/>
      <c r="M77" s="28"/>
      <c r="N77" s="28"/>
      <c r="O77" s="28"/>
      <c r="P77" s="28"/>
      <c r="Q77" s="28"/>
      <c r="R77" s="28"/>
      <c r="S77" s="28"/>
      <c r="T77" s="28"/>
      <c r="U77" s="28"/>
      <c r="V77" s="28"/>
      <c r="W77" s="28"/>
      <c r="X77" s="28"/>
      <c r="Y77" s="28"/>
      <c r="Z77" s="28"/>
      <c r="AA77" s="28"/>
    </row>
    <row r="78" spans="2:27" x14ac:dyDescent="0.25">
      <c r="B78" s="28"/>
      <c r="C78" s="28"/>
      <c r="D78" s="28"/>
      <c r="E78" s="28"/>
      <c r="F78" s="28"/>
      <c r="G78" s="28"/>
      <c r="H78" s="28"/>
      <c r="I78" s="28"/>
      <c r="J78" s="28"/>
      <c r="K78" s="28"/>
      <c r="L78" s="28"/>
      <c r="M78" s="28"/>
      <c r="N78" s="28"/>
      <c r="O78" s="28"/>
      <c r="P78" s="28"/>
      <c r="Q78" s="28"/>
      <c r="R78" s="28"/>
      <c r="S78" s="28"/>
      <c r="T78" s="28"/>
      <c r="U78" s="28"/>
      <c r="V78" s="28"/>
      <c r="W78" s="28"/>
      <c r="X78" s="28"/>
      <c r="Y78" s="28"/>
      <c r="Z78" s="28"/>
      <c r="AA78" s="28"/>
    </row>
    <row r="79" spans="2:27" x14ac:dyDescent="0.25">
      <c r="B79" s="28"/>
      <c r="C79" s="28"/>
      <c r="D79" s="28"/>
      <c r="E79" s="28"/>
      <c r="F79" s="28"/>
      <c r="G79" s="28"/>
      <c r="H79" s="28"/>
      <c r="I79" s="28"/>
      <c r="J79" s="28"/>
      <c r="K79" s="28"/>
      <c r="L79" s="28"/>
      <c r="M79" s="28"/>
      <c r="N79" s="28"/>
      <c r="O79" s="28"/>
      <c r="P79" s="28"/>
      <c r="Q79" s="28"/>
      <c r="R79" s="28"/>
      <c r="S79" s="28"/>
      <c r="T79" s="28"/>
      <c r="U79" s="28"/>
      <c r="V79" s="28"/>
      <c r="W79" s="28"/>
      <c r="X79" s="28"/>
      <c r="Y79" s="28"/>
      <c r="Z79" s="28"/>
      <c r="AA79" s="28"/>
    </row>
    <row r="80" spans="2:27" x14ac:dyDescent="0.25">
      <c r="B80" s="28"/>
      <c r="C80" s="28"/>
      <c r="D80" s="28"/>
      <c r="E80" s="28"/>
      <c r="F80" s="28"/>
      <c r="G80" s="28"/>
      <c r="H80" s="28"/>
      <c r="I80" s="28"/>
      <c r="J80" s="28"/>
      <c r="K80" s="28"/>
      <c r="L80" s="28"/>
      <c r="M80" s="28"/>
      <c r="N80" s="28"/>
      <c r="O80" s="28"/>
      <c r="P80" s="28"/>
      <c r="Q80" s="28"/>
      <c r="R80" s="28"/>
      <c r="S80" s="28"/>
      <c r="T80" s="28"/>
      <c r="U80" s="28"/>
      <c r="V80" s="28"/>
      <c r="W80" s="28"/>
      <c r="X80" s="28"/>
      <c r="Y80" s="28"/>
      <c r="Z80" s="28"/>
      <c r="AA80" s="28"/>
    </row>
    <row r="81" spans="2:27" x14ac:dyDescent="0.25">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row>
    <row r="82" spans="2:27" x14ac:dyDescent="0.25">
      <c r="B82" s="28"/>
      <c r="C82" s="28"/>
      <c r="D82" s="28"/>
      <c r="E82" s="28"/>
      <c r="F82" s="28"/>
      <c r="G82" s="28"/>
      <c r="H82" s="28"/>
      <c r="I82" s="28"/>
      <c r="J82" s="28"/>
      <c r="K82" s="28"/>
      <c r="L82" s="28"/>
      <c r="M82" s="28"/>
      <c r="N82" s="28"/>
      <c r="O82" s="28"/>
      <c r="P82" s="28"/>
      <c r="Q82" s="28"/>
      <c r="R82" s="28"/>
      <c r="S82" s="28"/>
      <c r="T82" s="28"/>
      <c r="U82" s="28"/>
      <c r="V82" s="28"/>
      <c r="W82" s="28"/>
      <c r="X82" s="28"/>
      <c r="Y82" s="28"/>
      <c r="Z82" s="28"/>
      <c r="AA82" s="28"/>
    </row>
    <row r="83" spans="2:27" x14ac:dyDescent="0.25">
      <c r="B83" s="28"/>
      <c r="C83" s="28"/>
      <c r="D83" s="28"/>
      <c r="E83" s="28"/>
      <c r="F83" s="28"/>
      <c r="G83" s="28"/>
      <c r="H83" s="28"/>
      <c r="I83" s="28"/>
      <c r="J83" s="28"/>
      <c r="K83" s="28"/>
      <c r="L83" s="28"/>
      <c r="M83" s="28"/>
      <c r="N83" s="28"/>
      <c r="O83" s="28"/>
      <c r="P83" s="28"/>
      <c r="Q83" s="28"/>
      <c r="R83" s="28"/>
      <c r="S83" s="28"/>
      <c r="T83" s="28"/>
      <c r="U83" s="28"/>
      <c r="V83" s="28"/>
      <c r="W83" s="28"/>
      <c r="X83" s="28"/>
      <c r="Y83" s="28"/>
      <c r="Z83" s="28"/>
      <c r="AA83" s="28"/>
    </row>
    <row r="84" spans="2:27" x14ac:dyDescent="0.25">
      <c r="B84" s="28"/>
      <c r="C84" s="28"/>
      <c r="D84" s="28"/>
      <c r="E84" s="28"/>
      <c r="F84" s="28"/>
      <c r="G84" s="28"/>
      <c r="H84" s="28"/>
      <c r="I84" s="28"/>
      <c r="J84" s="28"/>
      <c r="K84" s="28"/>
      <c r="L84" s="28"/>
      <c r="M84" s="28"/>
      <c r="N84" s="28"/>
      <c r="O84" s="28"/>
      <c r="P84" s="28"/>
      <c r="Q84" s="28"/>
      <c r="R84" s="28"/>
      <c r="S84" s="28"/>
      <c r="T84" s="28"/>
      <c r="U84" s="28"/>
      <c r="V84" s="28"/>
      <c r="W84" s="28"/>
      <c r="X84" s="28"/>
      <c r="Y84" s="28"/>
      <c r="Z84" s="28"/>
      <c r="AA84" s="28"/>
    </row>
    <row r="85" spans="2:27" x14ac:dyDescent="0.25">
      <c r="B85" s="28"/>
      <c r="C85" s="28"/>
      <c r="D85" s="28"/>
      <c r="E85" s="28"/>
      <c r="F85" s="28"/>
      <c r="G85" s="28"/>
      <c r="H85" s="28"/>
      <c r="I85" s="28"/>
      <c r="J85" s="28"/>
      <c r="K85" s="28"/>
      <c r="L85" s="28"/>
      <c r="M85" s="28"/>
      <c r="N85" s="28"/>
      <c r="O85" s="28"/>
      <c r="P85" s="28"/>
      <c r="Q85" s="28"/>
      <c r="R85" s="28"/>
      <c r="S85" s="28"/>
      <c r="T85" s="28"/>
      <c r="U85" s="28"/>
      <c r="V85" s="28"/>
      <c r="W85" s="28"/>
      <c r="X85" s="28"/>
      <c r="Y85" s="28"/>
      <c r="Z85" s="28"/>
      <c r="AA85" s="28"/>
    </row>
    <row r="86" spans="2:27" x14ac:dyDescent="0.25">
      <c r="B86" s="28"/>
      <c r="C86" s="28"/>
      <c r="D86" s="28"/>
      <c r="E86" s="28"/>
      <c r="F86" s="28"/>
      <c r="G86" s="28"/>
      <c r="H86" s="28"/>
      <c r="I86" s="28"/>
      <c r="J86" s="28"/>
      <c r="K86" s="28"/>
      <c r="L86" s="28"/>
      <c r="M86" s="28"/>
      <c r="N86" s="28"/>
      <c r="O86" s="28"/>
      <c r="P86" s="28"/>
      <c r="Q86" s="28"/>
      <c r="R86" s="28"/>
      <c r="S86" s="28"/>
      <c r="T86" s="28"/>
      <c r="U86" s="28"/>
      <c r="V86" s="28"/>
      <c r="W86" s="28"/>
      <c r="X86" s="28"/>
      <c r="Y86" s="28"/>
      <c r="Z86" s="28"/>
      <c r="AA86" s="28"/>
    </row>
    <row r="87" spans="2:27" x14ac:dyDescent="0.25">
      <c r="B87" s="28"/>
      <c r="C87" s="28"/>
      <c r="D87" s="28"/>
      <c r="E87" s="28"/>
      <c r="F87" s="28"/>
      <c r="G87" s="28"/>
      <c r="H87" s="28"/>
      <c r="I87" s="28"/>
      <c r="J87" s="28"/>
      <c r="K87" s="28"/>
      <c r="L87" s="28"/>
      <c r="M87" s="28"/>
      <c r="N87" s="28"/>
      <c r="O87" s="28"/>
      <c r="P87" s="28"/>
      <c r="Q87" s="28"/>
      <c r="R87" s="28"/>
      <c r="S87" s="28"/>
      <c r="T87" s="28"/>
      <c r="U87" s="28"/>
      <c r="V87" s="28"/>
      <c r="W87" s="28"/>
      <c r="X87" s="28"/>
      <c r="Y87" s="28"/>
      <c r="Z87" s="28"/>
      <c r="AA87" s="28"/>
    </row>
    <row r="88" spans="2:27" x14ac:dyDescent="0.25">
      <c r="B88" s="29"/>
      <c r="C88" s="29"/>
      <c r="D88" s="29"/>
      <c r="E88" s="29"/>
      <c r="F88" s="29"/>
      <c r="G88" s="29"/>
      <c r="H88" s="29"/>
      <c r="I88" s="29"/>
      <c r="J88" s="29"/>
      <c r="K88" s="29"/>
      <c r="L88" s="29"/>
      <c r="M88" s="29"/>
      <c r="N88" s="29"/>
      <c r="O88" s="29"/>
      <c r="P88" s="29"/>
      <c r="Q88" s="29"/>
      <c r="R88" s="29"/>
      <c r="S88" s="29"/>
      <c r="T88" s="29"/>
      <c r="U88" s="29"/>
      <c r="V88" s="29"/>
      <c r="W88" s="29"/>
      <c r="X88" s="29"/>
      <c r="Y88" s="29"/>
      <c r="Z88" s="29"/>
      <c r="AA88" s="29"/>
    </row>
    <row r="89" spans="2:27" x14ac:dyDescent="0.25">
      <c r="B89" s="29"/>
      <c r="C89" s="29"/>
      <c r="D89" s="29"/>
      <c r="E89" s="29"/>
      <c r="F89" s="29"/>
      <c r="G89" s="29"/>
      <c r="H89" s="29"/>
      <c r="I89" s="29"/>
      <c r="J89" s="29"/>
      <c r="K89" s="29"/>
      <c r="L89" s="29"/>
      <c r="M89" s="29"/>
      <c r="N89" s="29"/>
      <c r="O89" s="29"/>
      <c r="P89" s="29"/>
      <c r="Q89" s="29"/>
      <c r="R89" s="29"/>
      <c r="S89" s="29"/>
      <c r="T89" s="29"/>
      <c r="U89" s="29"/>
      <c r="V89" s="29"/>
      <c r="W89" s="29"/>
      <c r="X89" s="29"/>
      <c r="Y89" s="29"/>
      <c r="Z89" s="29"/>
      <c r="AA89" s="29"/>
    </row>
    <row r="90" spans="2:27" x14ac:dyDescent="0.25">
      <c r="B90" s="29"/>
      <c r="C90" s="29"/>
      <c r="D90" s="29"/>
      <c r="E90" s="29"/>
      <c r="F90" s="29"/>
      <c r="G90" s="29"/>
      <c r="H90" s="29"/>
      <c r="I90" s="29"/>
      <c r="J90" s="29"/>
      <c r="K90" s="29"/>
      <c r="L90" s="29"/>
      <c r="M90" s="29"/>
      <c r="N90" s="29"/>
      <c r="O90" s="29"/>
      <c r="P90" s="29"/>
      <c r="Q90" s="29"/>
      <c r="R90" s="29"/>
      <c r="S90" s="29"/>
      <c r="T90" s="29"/>
      <c r="U90" s="29"/>
      <c r="V90" s="29"/>
      <c r="W90" s="29"/>
      <c r="X90" s="29"/>
      <c r="Y90" s="29"/>
      <c r="Z90" s="29"/>
      <c r="AA90" s="29"/>
    </row>
    <row r="91" spans="2:27" x14ac:dyDescent="0.25">
      <c r="B91" s="29"/>
      <c r="C91" s="29"/>
      <c r="D91" s="29"/>
      <c r="E91" s="29"/>
      <c r="F91" s="29"/>
      <c r="G91" s="29"/>
      <c r="H91" s="29"/>
      <c r="I91" s="29"/>
      <c r="J91" s="29"/>
      <c r="K91" s="29"/>
      <c r="L91" s="29"/>
      <c r="M91" s="29"/>
      <c r="N91" s="29"/>
      <c r="O91" s="29"/>
      <c r="P91" s="29"/>
      <c r="Q91" s="29"/>
      <c r="R91" s="29"/>
      <c r="S91" s="29"/>
      <c r="T91" s="29"/>
      <c r="U91" s="29"/>
      <c r="V91" s="29"/>
      <c r="W91" s="29"/>
      <c r="X91" s="29"/>
      <c r="Y91" s="29"/>
      <c r="Z91" s="29"/>
      <c r="AA91" s="29"/>
    </row>
    <row r="92" spans="2:27" x14ac:dyDescent="0.25">
      <c r="B92" s="29"/>
      <c r="C92" s="29"/>
      <c r="D92" s="29"/>
      <c r="E92" s="29"/>
      <c r="F92" s="29"/>
      <c r="G92" s="29"/>
      <c r="H92" s="29"/>
      <c r="I92" s="29"/>
      <c r="J92" s="29"/>
      <c r="K92" s="29"/>
      <c r="L92" s="29"/>
      <c r="M92" s="29"/>
      <c r="N92" s="29"/>
      <c r="O92" s="29"/>
      <c r="P92" s="29"/>
      <c r="Q92" s="29"/>
      <c r="R92" s="29"/>
      <c r="S92" s="29"/>
      <c r="T92" s="29"/>
      <c r="U92" s="29"/>
      <c r="V92" s="29"/>
      <c r="W92" s="29"/>
      <c r="X92" s="29"/>
      <c r="Y92" s="29"/>
      <c r="Z92" s="29"/>
      <c r="AA92" s="29"/>
    </row>
    <row r="93" spans="2:27" x14ac:dyDescent="0.25">
      <c r="B93" s="29"/>
      <c r="C93" s="29"/>
      <c r="D93" s="29"/>
      <c r="E93" s="29"/>
      <c r="F93" s="29"/>
      <c r="G93" s="29"/>
      <c r="H93" s="29"/>
      <c r="I93" s="29"/>
      <c r="J93" s="29"/>
      <c r="K93" s="29"/>
      <c r="L93" s="29"/>
      <c r="M93" s="29"/>
      <c r="N93" s="29"/>
      <c r="O93" s="29"/>
      <c r="P93" s="29"/>
      <c r="Q93" s="29"/>
      <c r="R93" s="29"/>
      <c r="S93" s="29"/>
      <c r="T93" s="29"/>
      <c r="U93" s="29"/>
      <c r="V93" s="29"/>
      <c r="W93" s="29"/>
      <c r="X93" s="29"/>
      <c r="Y93" s="29"/>
      <c r="Z93" s="29"/>
      <c r="AA93" s="29"/>
    </row>
    <row r="94" spans="2:27" x14ac:dyDescent="0.25">
      <c r="B94" s="29"/>
      <c r="C94" s="29"/>
      <c r="D94" s="29"/>
      <c r="E94" s="29"/>
      <c r="F94" s="29"/>
      <c r="G94" s="29"/>
      <c r="H94" s="29"/>
      <c r="I94" s="29"/>
      <c r="J94" s="29"/>
      <c r="K94" s="29"/>
      <c r="L94" s="29"/>
      <c r="M94" s="29"/>
      <c r="N94" s="29"/>
      <c r="O94" s="29"/>
      <c r="P94" s="29"/>
      <c r="Q94" s="29"/>
      <c r="R94" s="29"/>
      <c r="S94" s="29"/>
      <c r="T94" s="29"/>
      <c r="U94" s="29"/>
      <c r="V94" s="29"/>
      <c r="W94" s="29"/>
      <c r="X94" s="29"/>
      <c r="Y94" s="29"/>
      <c r="Z94" s="29"/>
      <c r="AA94" s="29"/>
    </row>
    <row r="95" spans="2:27" x14ac:dyDescent="0.25">
      <c r="B95" s="29"/>
      <c r="C95" s="29"/>
      <c r="D95" s="29"/>
      <c r="E95" s="29"/>
      <c r="F95" s="29"/>
      <c r="G95" s="29"/>
      <c r="H95" s="29"/>
      <c r="I95" s="29"/>
      <c r="J95" s="29"/>
      <c r="K95" s="29"/>
      <c r="L95" s="29"/>
      <c r="M95" s="29"/>
      <c r="N95" s="29"/>
      <c r="O95" s="29"/>
      <c r="P95" s="29"/>
      <c r="Q95" s="29"/>
      <c r="R95" s="29"/>
      <c r="S95" s="29"/>
      <c r="T95" s="29"/>
      <c r="U95" s="29"/>
      <c r="V95" s="29"/>
      <c r="W95" s="29"/>
      <c r="X95" s="29"/>
      <c r="Y95" s="29"/>
      <c r="Z95" s="29"/>
      <c r="AA95" s="29"/>
    </row>
    <row r="96" spans="2:27" x14ac:dyDescent="0.25">
      <c r="B96" s="29"/>
      <c r="C96" s="29"/>
      <c r="D96" s="29"/>
      <c r="E96" s="29"/>
      <c r="F96" s="29"/>
      <c r="G96" s="29"/>
      <c r="H96" s="29"/>
      <c r="I96" s="29"/>
      <c r="J96" s="29"/>
      <c r="K96" s="29"/>
      <c r="L96" s="29"/>
      <c r="M96" s="29"/>
      <c r="N96" s="29"/>
      <c r="O96" s="29"/>
      <c r="P96" s="29"/>
      <c r="Q96" s="29"/>
      <c r="R96" s="29"/>
      <c r="S96" s="29"/>
      <c r="T96" s="29"/>
      <c r="U96" s="29"/>
      <c r="V96" s="29"/>
      <c r="W96" s="29"/>
      <c r="X96" s="29"/>
      <c r="Y96" s="29"/>
      <c r="Z96" s="29"/>
      <c r="AA96" s="29"/>
    </row>
    <row r="97" spans="2:27" x14ac:dyDescent="0.25">
      <c r="B97" s="29"/>
      <c r="C97" s="29"/>
      <c r="D97" s="29"/>
      <c r="E97" s="29"/>
      <c r="F97" s="29"/>
      <c r="G97" s="29"/>
      <c r="H97" s="29"/>
      <c r="I97" s="29"/>
      <c r="J97" s="29"/>
      <c r="K97" s="29"/>
      <c r="L97" s="29"/>
      <c r="M97" s="29"/>
      <c r="N97" s="29"/>
      <c r="O97" s="29"/>
      <c r="P97" s="29"/>
      <c r="Q97" s="29"/>
      <c r="R97" s="29"/>
      <c r="S97" s="29"/>
      <c r="T97" s="29"/>
      <c r="U97" s="29"/>
      <c r="V97" s="29"/>
      <c r="W97" s="29"/>
      <c r="X97" s="29"/>
      <c r="Y97" s="29"/>
      <c r="Z97" s="29"/>
      <c r="AA97" s="29"/>
    </row>
    <row r="98" spans="2:27" x14ac:dyDescent="0.25">
      <c r="B98" s="29"/>
      <c r="C98" s="29"/>
      <c r="D98" s="29"/>
      <c r="E98" s="29"/>
      <c r="F98" s="29"/>
      <c r="G98" s="29"/>
      <c r="H98" s="29"/>
      <c r="I98" s="29"/>
      <c r="J98" s="29"/>
      <c r="K98" s="29"/>
      <c r="L98" s="29"/>
      <c r="M98" s="29"/>
      <c r="N98" s="29"/>
      <c r="O98" s="29"/>
      <c r="P98" s="29"/>
      <c r="Q98" s="29"/>
      <c r="R98" s="29"/>
      <c r="S98" s="29"/>
      <c r="T98" s="29"/>
      <c r="U98" s="29"/>
      <c r="V98" s="29"/>
      <c r="W98" s="29"/>
      <c r="X98" s="29"/>
      <c r="Y98" s="29"/>
      <c r="Z98" s="29"/>
      <c r="AA98" s="29"/>
    </row>
    <row r="99" spans="2:27" x14ac:dyDescent="0.25">
      <c r="B99" s="29"/>
      <c r="C99" s="29"/>
      <c r="D99" s="29"/>
      <c r="E99" s="29"/>
      <c r="F99" s="29"/>
      <c r="G99" s="29"/>
      <c r="H99" s="29"/>
      <c r="I99" s="29"/>
      <c r="J99" s="29"/>
      <c r="K99" s="29"/>
      <c r="L99" s="29"/>
      <c r="M99" s="29"/>
      <c r="N99" s="29"/>
      <c r="O99" s="29"/>
      <c r="P99" s="29"/>
      <c r="Q99" s="29"/>
      <c r="R99" s="29"/>
      <c r="S99" s="29"/>
      <c r="T99" s="29"/>
      <c r="U99" s="29"/>
      <c r="V99" s="29"/>
      <c r="W99" s="29"/>
      <c r="X99" s="29"/>
      <c r="Y99" s="29"/>
      <c r="Z99" s="29"/>
      <c r="AA99" s="29"/>
    </row>
    <row r="100" spans="2:27" x14ac:dyDescent="0.25">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c r="AA100" s="29"/>
    </row>
    <row r="101" spans="2:27" x14ac:dyDescent="0.25">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c r="AA101" s="29"/>
    </row>
    <row r="102" spans="2:27" x14ac:dyDescent="0.25">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c r="AA102" s="29"/>
    </row>
    <row r="103" spans="2:27" x14ac:dyDescent="0.25">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c r="AA103" s="29"/>
    </row>
    <row r="104" spans="2:27" x14ac:dyDescent="0.25">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c r="AA104" s="29"/>
    </row>
    <row r="105" spans="2:27" x14ac:dyDescent="0.25">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c r="AA105" s="29"/>
    </row>
    <row r="106" spans="2:27" x14ac:dyDescent="0.25">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c r="AA106" s="29"/>
    </row>
    <row r="107" spans="2:27" x14ac:dyDescent="0.25">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c r="AA107" s="29"/>
    </row>
    <row r="108" spans="2:27" x14ac:dyDescent="0.25">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c r="AA108" s="29"/>
    </row>
    <row r="109" spans="2:27" x14ac:dyDescent="0.25">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c r="AA109" s="29"/>
    </row>
    <row r="110" spans="2:27" x14ac:dyDescent="0.25">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c r="AA110" s="29"/>
    </row>
    <row r="111" spans="2:27" x14ac:dyDescent="0.25">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c r="AA111" s="29"/>
    </row>
    <row r="112" spans="2:27" x14ac:dyDescent="0.25">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c r="AA112" s="29"/>
    </row>
    <row r="113" spans="2:27" x14ac:dyDescent="0.25">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c r="AA113" s="29"/>
    </row>
    <row r="114" spans="2:27" x14ac:dyDescent="0.25">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c r="AA114" s="29"/>
    </row>
    <row r="115" spans="2:27" x14ac:dyDescent="0.25">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c r="AA115" s="29"/>
    </row>
    <row r="116" spans="2:27" x14ac:dyDescent="0.25">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c r="AA116" s="29"/>
    </row>
    <row r="117" spans="2:27" x14ac:dyDescent="0.25">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c r="AA117" s="29"/>
    </row>
    <row r="118" spans="2:27" x14ac:dyDescent="0.25">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c r="AA118" s="29"/>
    </row>
    <row r="119" spans="2:27" x14ac:dyDescent="0.25">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c r="AA119" s="29"/>
    </row>
    <row r="120" spans="2:27" x14ac:dyDescent="0.25">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c r="AA120" s="29"/>
    </row>
    <row r="121" spans="2:27" x14ac:dyDescent="0.25">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c r="AA121" s="29"/>
    </row>
    <row r="122" spans="2:27" x14ac:dyDescent="0.25">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c r="AA122" s="29"/>
    </row>
    <row r="123" spans="2:27" x14ac:dyDescent="0.25">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c r="AA123" s="29"/>
    </row>
    <row r="124" spans="2:27" x14ac:dyDescent="0.25">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c r="AA124" s="29"/>
    </row>
    <row r="125" spans="2:27" x14ac:dyDescent="0.25">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c r="AA125" s="29"/>
    </row>
    <row r="126" spans="2:27" x14ac:dyDescent="0.25">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c r="AA126" s="29"/>
    </row>
    <row r="127" spans="2:27" x14ac:dyDescent="0.25">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c r="AA127" s="29"/>
    </row>
    <row r="128" spans="2:27" x14ac:dyDescent="0.25">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c r="AA128" s="29"/>
    </row>
    <row r="129" spans="2:27" x14ac:dyDescent="0.25">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c r="AA129" s="29"/>
    </row>
    <row r="130" spans="2:27" x14ac:dyDescent="0.25">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c r="AA130" s="29"/>
    </row>
    <row r="131" spans="2:27" x14ac:dyDescent="0.25">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c r="AA131" s="29"/>
    </row>
    <row r="132" spans="2:27" x14ac:dyDescent="0.25">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c r="AA132" s="29"/>
    </row>
    <row r="133" spans="2:27" x14ac:dyDescent="0.25">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c r="AA133" s="29"/>
    </row>
    <row r="134" spans="2:27" x14ac:dyDescent="0.25">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c r="AA134" s="29"/>
    </row>
    <row r="135" spans="2:27" x14ac:dyDescent="0.25">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c r="AA135" s="29"/>
    </row>
    <row r="136" spans="2:27" x14ac:dyDescent="0.25">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c r="AA136" s="29"/>
    </row>
    <row r="137" spans="2:27" x14ac:dyDescent="0.25">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c r="AA137" s="29"/>
    </row>
    <row r="138" spans="2:27" x14ac:dyDescent="0.25">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c r="AA138" s="29"/>
    </row>
    <row r="139" spans="2:27" x14ac:dyDescent="0.25">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c r="AA139" s="29"/>
    </row>
    <row r="140" spans="2:27" x14ac:dyDescent="0.25">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c r="AA140" s="29"/>
    </row>
    <row r="141" spans="2:27" x14ac:dyDescent="0.25">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c r="AA141" s="29"/>
    </row>
    <row r="142" spans="2:27" x14ac:dyDescent="0.25">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c r="AA142" s="29"/>
    </row>
    <row r="143" spans="2:27" x14ac:dyDescent="0.25">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c r="AA143" s="29"/>
    </row>
    <row r="144" spans="2:27" x14ac:dyDescent="0.25">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c r="AA144" s="29"/>
    </row>
    <row r="145" spans="2:27" x14ac:dyDescent="0.25">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c r="AA145" s="29"/>
    </row>
    <row r="146" spans="2:27" x14ac:dyDescent="0.25">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c r="AA146" s="29"/>
    </row>
    <row r="147" spans="2:27" x14ac:dyDescent="0.25">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c r="AA147" s="29"/>
    </row>
    <row r="148" spans="2:27" x14ac:dyDescent="0.25">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c r="AA148" s="29"/>
    </row>
    <row r="149" spans="2:27" x14ac:dyDescent="0.25">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c r="AA149" s="29"/>
    </row>
    <row r="150" spans="2:27" x14ac:dyDescent="0.25">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c r="AA150" s="29"/>
    </row>
    <row r="151" spans="2:27" x14ac:dyDescent="0.25">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c r="AA151" s="29"/>
    </row>
    <row r="152" spans="2:27" x14ac:dyDescent="0.25">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c r="AA152" s="29"/>
    </row>
    <row r="153" spans="2:27" x14ac:dyDescent="0.25">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c r="AA153" s="29"/>
    </row>
    <row r="154" spans="2:27" x14ac:dyDescent="0.25">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c r="AA154" s="29"/>
    </row>
    <row r="155" spans="2:27" x14ac:dyDescent="0.25">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c r="AA155" s="29"/>
    </row>
    <row r="156" spans="2:27" x14ac:dyDescent="0.25">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c r="AA156" s="29"/>
    </row>
    <row r="157" spans="2:27" x14ac:dyDescent="0.25">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c r="AA157" s="29"/>
    </row>
    <row r="158" spans="2:27" x14ac:dyDescent="0.25">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c r="AA158" s="29"/>
    </row>
    <row r="159" spans="2:27" x14ac:dyDescent="0.25">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c r="AA159" s="29"/>
    </row>
    <row r="160" spans="2:27" x14ac:dyDescent="0.25">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c r="AA160" s="29"/>
    </row>
    <row r="161" spans="2:27" x14ac:dyDescent="0.25">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c r="AA161" s="29"/>
    </row>
    <row r="162" spans="2:27" x14ac:dyDescent="0.25">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c r="AA162" s="29"/>
    </row>
    <row r="163" spans="2:27" x14ac:dyDescent="0.25">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c r="AA163" s="29"/>
    </row>
    <row r="164" spans="2:27" x14ac:dyDescent="0.25">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c r="AA164" s="29"/>
    </row>
    <row r="165" spans="2:27" x14ac:dyDescent="0.25">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c r="AA165" s="29"/>
    </row>
    <row r="166" spans="2:27" x14ac:dyDescent="0.25">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c r="AA166" s="29"/>
    </row>
    <row r="167" spans="2:27" x14ac:dyDescent="0.25">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c r="AA167" s="29"/>
    </row>
    <row r="168" spans="2:27" x14ac:dyDescent="0.25">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c r="AA168" s="29"/>
    </row>
    <row r="169" spans="2:27" x14ac:dyDescent="0.25">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c r="AA169" s="29"/>
    </row>
    <row r="170" spans="2:27" x14ac:dyDescent="0.25">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c r="AA170" s="29"/>
    </row>
    <row r="171" spans="2:27" x14ac:dyDescent="0.25">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c r="AA171" s="29"/>
    </row>
    <row r="172" spans="2:27" x14ac:dyDescent="0.25">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c r="AA172" s="29"/>
    </row>
    <row r="173" spans="2:27" x14ac:dyDescent="0.25">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c r="AA173" s="29"/>
    </row>
    <row r="174" spans="2:27" x14ac:dyDescent="0.25">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c r="AA174" s="29"/>
    </row>
    <row r="175" spans="2:27" x14ac:dyDescent="0.25">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c r="AA175" s="29"/>
    </row>
    <row r="176" spans="2:27" x14ac:dyDescent="0.25">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c r="AA176" s="29"/>
    </row>
    <row r="177" spans="2:27" x14ac:dyDescent="0.25">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c r="AA177" s="29"/>
    </row>
    <row r="178" spans="2:27" x14ac:dyDescent="0.25">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c r="AA178" s="29"/>
    </row>
    <row r="179" spans="2:27" x14ac:dyDescent="0.25">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c r="AA179" s="29"/>
    </row>
    <row r="180" spans="2:27" x14ac:dyDescent="0.25">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c r="AA180" s="29"/>
    </row>
    <row r="181" spans="2:27" x14ac:dyDescent="0.25">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c r="AA181" s="29"/>
    </row>
    <row r="182" spans="2:27" x14ac:dyDescent="0.25">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c r="AA182" s="29"/>
    </row>
    <row r="183" spans="2:27" x14ac:dyDescent="0.25">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c r="AA183" s="29"/>
    </row>
    <row r="184" spans="2:27" x14ac:dyDescent="0.25">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c r="AA184" s="29"/>
    </row>
    <row r="185" spans="2:27" x14ac:dyDescent="0.25">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c r="AA185" s="29"/>
    </row>
    <row r="186" spans="2:27" x14ac:dyDescent="0.25">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c r="AA186" s="29"/>
    </row>
    <row r="187" spans="2:27" x14ac:dyDescent="0.25">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c r="AA187" s="29"/>
    </row>
    <row r="188" spans="2:27" x14ac:dyDescent="0.25">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c r="AA188" s="29"/>
    </row>
    <row r="189" spans="2:27" x14ac:dyDescent="0.25">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c r="AA189" s="29"/>
    </row>
    <row r="190" spans="2:27" x14ac:dyDescent="0.25">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c r="AA190" s="29"/>
    </row>
    <row r="191" spans="2:27" x14ac:dyDescent="0.25">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c r="AA191" s="29"/>
    </row>
    <row r="192" spans="2:27" x14ac:dyDescent="0.25">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c r="AA192" s="29"/>
    </row>
    <row r="193" spans="2:27" x14ac:dyDescent="0.25">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c r="AA193" s="29"/>
    </row>
    <row r="194" spans="2:27" x14ac:dyDescent="0.25">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c r="AA194" s="29"/>
    </row>
    <row r="195" spans="2:27" x14ac:dyDescent="0.25">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c r="AA195" s="29"/>
    </row>
    <row r="196" spans="2:27" x14ac:dyDescent="0.25">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c r="AA196" s="29"/>
    </row>
    <row r="197" spans="2:27" x14ac:dyDescent="0.25">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c r="AA197" s="29"/>
    </row>
    <row r="198" spans="2:27" x14ac:dyDescent="0.25">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c r="AA198" s="29"/>
    </row>
    <row r="199" spans="2:27" x14ac:dyDescent="0.25">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c r="AA199" s="29"/>
    </row>
    <row r="200" spans="2:27" x14ac:dyDescent="0.25">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c r="AA200" s="29"/>
    </row>
    <row r="201" spans="2:27" x14ac:dyDescent="0.25">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c r="AA201" s="29"/>
    </row>
    <row r="202" spans="2:27" x14ac:dyDescent="0.25">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c r="AA202" s="29"/>
    </row>
    <row r="203" spans="2:27" x14ac:dyDescent="0.25">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c r="AA203" s="29"/>
    </row>
    <row r="204" spans="2:27" x14ac:dyDescent="0.25">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c r="AA204" s="29"/>
    </row>
    <row r="205" spans="2:27" x14ac:dyDescent="0.25">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c r="AA205" s="29"/>
    </row>
    <row r="206" spans="2:27" x14ac:dyDescent="0.25">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c r="AA206" s="29"/>
    </row>
    <row r="207" spans="2:27" x14ac:dyDescent="0.25">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c r="AA207" s="29"/>
    </row>
    <row r="208" spans="2:27" x14ac:dyDescent="0.25">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c r="AA208" s="29"/>
    </row>
    <row r="209" spans="2:27" x14ac:dyDescent="0.25">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c r="AA209" s="29"/>
    </row>
    <row r="210" spans="2:27" x14ac:dyDescent="0.25">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c r="AA210" s="29"/>
    </row>
    <row r="211" spans="2:27" x14ac:dyDescent="0.25">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c r="AA211" s="29"/>
    </row>
    <row r="212" spans="2:27" x14ac:dyDescent="0.25">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c r="AA212" s="29"/>
    </row>
    <row r="213" spans="2:27" x14ac:dyDescent="0.25">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c r="AA213" s="29"/>
    </row>
    <row r="214" spans="2:27" x14ac:dyDescent="0.25">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c r="AA214" s="29"/>
    </row>
    <row r="215" spans="2:27" x14ac:dyDescent="0.25">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c r="AA215" s="29"/>
    </row>
    <row r="216" spans="2:27" x14ac:dyDescent="0.25">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c r="AA216" s="29"/>
    </row>
    <row r="217" spans="2:27" x14ac:dyDescent="0.25">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c r="AA217" s="29"/>
    </row>
    <row r="218" spans="2:27" x14ac:dyDescent="0.25">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c r="AA218" s="29"/>
    </row>
    <row r="219" spans="2:27" x14ac:dyDescent="0.25">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c r="AA219" s="29"/>
    </row>
    <row r="220" spans="2:27" x14ac:dyDescent="0.25">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c r="AA220" s="29"/>
    </row>
    <row r="221" spans="2:27" x14ac:dyDescent="0.25">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c r="AA221" s="29"/>
    </row>
    <row r="222" spans="2:27" x14ac:dyDescent="0.25">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c r="AA222" s="29"/>
    </row>
    <row r="223" spans="2:27" x14ac:dyDescent="0.25">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c r="AA223" s="29"/>
    </row>
    <row r="224" spans="2:27" x14ac:dyDescent="0.25">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c r="AA224" s="29"/>
    </row>
    <row r="225" spans="2:27" x14ac:dyDescent="0.25">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c r="AA225" s="29"/>
    </row>
    <row r="226" spans="2:27" x14ac:dyDescent="0.25">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c r="AA226" s="29"/>
    </row>
    <row r="227" spans="2:27" x14ac:dyDescent="0.25">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c r="AA227" s="29"/>
    </row>
    <row r="228" spans="2:27" x14ac:dyDescent="0.25">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c r="AA228" s="29"/>
    </row>
    <row r="229" spans="2:27" x14ac:dyDescent="0.25">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c r="AA229" s="29"/>
    </row>
    <row r="230" spans="2:27" x14ac:dyDescent="0.25">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c r="AA230" s="29"/>
    </row>
    <row r="231" spans="2:27" x14ac:dyDescent="0.25">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c r="AA231" s="29"/>
    </row>
    <row r="232" spans="2:27" x14ac:dyDescent="0.25">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c r="AA232" s="29"/>
    </row>
    <row r="233" spans="2:27" x14ac:dyDescent="0.25">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c r="AA233" s="29"/>
    </row>
    <row r="234" spans="2:27" x14ac:dyDescent="0.25">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c r="AA234" s="29"/>
    </row>
    <row r="235" spans="2:27" x14ac:dyDescent="0.25">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c r="AA235" s="29"/>
    </row>
    <row r="236" spans="2:27" x14ac:dyDescent="0.25">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c r="AA236" s="29"/>
    </row>
    <row r="237" spans="2:27" x14ac:dyDescent="0.25">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c r="AA237" s="29"/>
    </row>
    <row r="238" spans="2:27" x14ac:dyDescent="0.25">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c r="AA238" s="29"/>
    </row>
    <row r="239" spans="2:27" x14ac:dyDescent="0.25">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c r="AA239" s="29"/>
    </row>
    <row r="240" spans="2:27" x14ac:dyDescent="0.25">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c r="AA240" s="29"/>
    </row>
    <row r="241" spans="2:27" x14ac:dyDescent="0.25">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c r="AA241" s="29"/>
    </row>
    <row r="242" spans="2:27" x14ac:dyDescent="0.25">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c r="AA242" s="29"/>
    </row>
    <row r="243" spans="2:27" x14ac:dyDescent="0.25">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c r="AA243" s="29"/>
    </row>
    <row r="244" spans="2:27" x14ac:dyDescent="0.25">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c r="AA244" s="29"/>
    </row>
    <row r="245" spans="2:27" x14ac:dyDescent="0.25">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c r="AA245" s="29"/>
    </row>
    <row r="246" spans="2:27" x14ac:dyDescent="0.25">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c r="AA246" s="29"/>
    </row>
    <row r="247" spans="2:27" x14ac:dyDescent="0.25">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c r="AA247" s="29"/>
    </row>
    <row r="248" spans="2:27" x14ac:dyDescent="0.25">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c r="AA248" s="29"/>
    </row>
    <row r="249" spans="2:27" x14ac:dyDescent="0.25">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c r="AA249" s="29"/>
    </row>
    <row r="250" spans="2:27" x14ac:dyDescent="0.25">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c r="AA250" s="29"/>
    </row>
    <row r="251" spans="2:27" x14ac:dyDescent="0.25">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c r="AA251" s="29"/>
    </row>
    <row r="252" spans="2:27" x14ac:dyDescent="0.25">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c r="AA252" s="29"/>
    </row>
    <row r="253" spans="2:27" x14ac:dyDescent="0.25">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c r="AA253" s="29"/>
    </row>
    <row r="254" spans="2:27" x14ac:dyDescent="0.25">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c r="AA254" s="29"/>
    </row>
    <row r="255" spans="2:27" x14ac:dyDescent="0.25">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c r="AA255" s="29"/>
    </row>
    <row r="256" spans="2:27" x14ac:dyDescent="0.25">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c r="AA256" s="29"/>
    </row>
    <row r="257" spans="2:27" x14ac:dyDescent="0.25">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c r="AA257" s="29"/>
    </row>
    <row r="258" spans="2:27" x14ac:dyDescent="0.25">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c r="AA258" s="29"/>
    </row>
    <row r="259" spans="2:27" x14ac:dyDescent="0.25">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c r="AA259" s="29"/>
    </row>
    <row r="260" spans="2:27" x14ac:dyDescent="0.25">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c r="AA260" s="29"/>
    </row>
    <row r="261" spans="2:27" x14ac:dyDescent="0.25">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c r="AA261" s="29"/>
    </row>
    <row r="262" spans="2:27" x14ac:dyDescent="0.25">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c r="AA262" s="29"/>
    </row>
    <row r="263" spans="2:27" x14ac:dyDescent="0.25">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c r="AA263" s="29"/>
    </row>
    <row r="264" spans="2:27" x14ac:dyDescent="0.25">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c r="AA264" s="29"/>
    </row>
    <row r="265" spans="2:27" x14ac:dyDescent="0.25">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c r="AA265" s="29"/>
    </row>
    <row r="266" spans="2:27" x14ac:dyDescent="0.25">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c r="AA266" s="29"/>
    </row>
    <row r="267" spans="2:27" x14ac:dyDescent="0.25">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c r="AA267" s="29"/>
    </row>
    <row r="268" spans="2:27" x14ac:dyDescent="0.25">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c r="AA268" s="29"/>
    </row>
    <row r="269" spans="2:27" x14ac:dyDescent="0.25">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c r="AA269" s="29"/>
    </row>
    <row r="270" spans="2:27" x14ac:dyDescent="0.25">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c r="AA270" s="29"/>
    </row>
    <row r="271" spans="2:27" x14ac:dyDescent="0.25">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c r="AA271" s="29"/>
    </row>
    <row r="272" spans="2:27" x14ac:dyDescent="0.25">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c r="AA272" s="29"/>
    </row>
    <row r="273" spans="2:27" x14ac:dyDescent="0.25">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c r="AA273" s="29"/>
    </row>
    <row r="274" spans="2:27" x14ac:dyDescent="0.25">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c r="AA274" s="29"/>
    </row>
    <row r="275" spans="2:27" x14ac:dyDescent="0.25">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c r="AA275" s="29"/>
    </row>
    <row r="276" spans="2:27" x14ac:dyDescent="0.25">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c r="AA276" s="29"/>
    </row>
    <row r="277" spans="2:27" x14ac:dyDescent="0.25">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c r="AA277" s="29"/>
    </row>
    <row r="278" spans="2:27" x14ac:dyDescent="0.25">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c r="AA278" s="29"/>
    </row>
    <row r="279" spans="2:27" x14ac:dyDescent="0.25">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c r="AA279" s="29"/>
    </row>
    <row r="280" spans="2:27" x14ac:dyDescent="0.25">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c r="AA280" s="29"/>
    </row>
    <row r="281" spans="2:27" x14ac:dyDescent="0.25">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c r="AA281" s="29"/>
    </row>
    <row r="282" spans="2:27" x14ac:dyDescent="0.25">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c r="AA282" s="29"/>
    </row>
    <row r="283" spans="2:27" x14ac:dyDescent="0.25">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c r="AA283" s="29"/>
    </row>
    <row r="284" spans="2:27" x14ac:dyDescent="0.25">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c r="AA284" s="29"/>
    </row>
    <row r="285" spans="2:27" x14ac:dyDescent="0.25">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c r="AA285" s="29"/>
    </row>
    <row r="286" spans="2:27" x14ac:dyDescent="0.25">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c r="AA286" s="29"/>
    </row>
    <row r="287" spans="2:27" x14ac:dyDescent="0.25">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c r="AA287" s="29"/>
    </row>
    <row r="288" spans="2:27" x14ac:dyDescent="0.25">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c r="AA288" s="29"/>
    </row>
    <row r="289" spans="2:27" x14ac:dyDescent="0.25">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c r="AA289" s="29"/>
    </row>
    <row r="290" spans="2:27" x14ac:dyDescent="0.25">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c r="AA290" s="29"/>
    </row>
    <row r="291" spans="2:27" x14ac:dyDescent="0.25">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c r="AA291" s="29"/>
    </row>
    <row r="292" spans="2:27" x14ac:dyDescent="0.25">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c r="AA292" s="29"/>
    </row>
    <row r="293" spans="2:27" x14ac:dyDescent="0.25">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c r="AA293" s="29"/>
    </row>
    <row r="294" spans="2:27" x14ac:dyDescent="0.25">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c r="AA294" s="29"/>
    </row>
    <row r="295" spans="2:27" x14ac:dyDescent="0.25">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c r="AA295" s="29"/>
    </row>
    <row r="296" spans="2:27" x14ac:dyDescent="0.25">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c r="AA296" s="29"/>
    </row>
    <row r="297" spans="2:27" x14ac:dyDescent="0.25">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c r="AA297" s="29"/>
    </row>
    <row r="298" spans="2:27" x14ac:dyDescent="0.25">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c r="AA298" s="29"/>
    </row>
    <row r="299" spans="2:27" x14ac:dyDescent="0.25">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c r="AA299" s="29"/>
    </row>
    <row r="300" spans="2:27" x14ac:dyDescent="0.25">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c r="AA300" s="29"/>
    </row>
    <row r="301" spans="2:27" x14ac:dyDescent="0.25">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c r="AA301" s="29"/>
    </row>
    <row r="302" spans="2:27" x14ac:dyDescent="0.25">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c r="AA302" s="29"/>
    </row>
    <row r="303" spans="2:27" x14ac:dyDescent="0.25">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c r="AA303" s="29"/>
    </row>
    <row r="304" spans="2:27" x14ac:dyDescent="0.25">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c r="AA304" s="29"/>
    </row>
    <row r="305" spans="2:27" x14ac:dyDescent="0.25">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c r="AA305" s="29"/>
    </row>
    <row r="306" spans="2:27" x14ac:dyDescent="0.25">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c r="AA306" s="29"/>
    </row>
    <row r="307" spans="2:27" x14ac:dyDescent="0.25">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c r="AA307" s="29"/>
    </row>
    <row r="308" spans="2:27" x14ac:dyDescent="0.25">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c r="AA308" s="29"/>
    </row>
    <row r="309" spans="2:27" x14ac:dyDescent="0.25">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c r="AA309" s="29"/>
    </row>
    <row r="310" spans="2:27" x14ac:dyDescent="0.25">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c r="AA310" s="29"/>
    </row>
    <row r="311" spans="2:27" x14ac:dyDescent="0.25">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c r="AA311" s="29"/>
    </row>
    <row r="312" spans="2:27" x14ac:dyDescent="0.25">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c r="AA312" s="29"/>
    </row>
    <row r="313" spans="2:27" x14ac:dyDescent="0.25">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c r="AA313" s="29"/>
    </row>
    <row r="314" spans="2:27" x14ac:dyDescent="0.25">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c r="AA314" s="29"/>
    </row>
    <row r="315" spans="2:27" x14ac:dyDescent="0.25">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c r="AA315" s="29"/>
    </row>
    <row r="316" spans="2:27" x14ac:dyDescent="0.25">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c r="AA316" s="29"/>
    </row>
    <row r="317" spans="2:27" x14ac:dyDescent="0.25">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c r="AA317" s="29"/>
    </row>
    <row r="318" spans="2:27" x14ac:dyDescent="0.25">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c r="AA318" s="29"/>
    </row>
    <row r="319" spans="2:27" x14ac:dyDescent="0.25">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c r="AA319" s="29"/>
    </row>
    <row r="320" spans="2:27" x14ac:dyDescent="0.25">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c r="AA320" s="29"/>
    </row>
    <row r="321" spans="2:27" x14ac:dyDescent="0.25">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c r="AA321" s="29"/>
    </row>
    <row r="322" spans="2:27" x14ac:dyDescent="0.25">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c r="AA322" s="29"/>
    </row>
    <row r="323" spans="2:27" x14ac:dyDescent="0.25">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c r="AA323" s="29"/>
    </row>
    <row r="324" spans="2:27" x14ac:dyDescent="0.25">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c r="AA324" s="29"/>
    </row>
    <row r="325" spans="2:27" x14ac:dyDescent="0.25">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c r="AA325" s="29"/>
    </row>
    <row r="326" spans="2:27" x14ac:dyDescent="0.25">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c r="AA326" s="29"/>
    </row>
    <row r="327" spans="2:27" x14ac:dyDescent="0.25">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c r="AA327" s="29"/>
    </row>
    <row r="328" spans="2:27" x14ac:dyDescent="0.25">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c r="AA328" s="29"/>
    </row>
    <row r="329" spans="2:27" x14ac:dyDescent="0.25">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c r="AA329" s="29"/>
    </row>
    <row r="330" spans="2:27" x14ac:dyDescent="0.25">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c r="AA330" s="29"/>
    </row>
    <row r="331" spans="2:27" x14ac:dyDescent="0.25">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c r="AA331" s="29"/>
    </row>
    <row r="332" spans="2:27" x14ac:dyDescent="0.25">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c r="AA332" s="29"/>
    </row>
    <row r="333" spans="2:27" x14ac:dyDescent="0.25">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c r="AA333" s="29"/>
    </row>
    <row r="334" spans="2:27" x14ac:dyDescent="0.25">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c r="AA334" s="29"/>
    </row>
    <row r="335" spans="2:27" x14ac:dyDescent="0.25">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c r="AA335" s="29"/>
    </row>
    <row r="336" spans="2:27" x14ac:dyDescent="0.25">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c r="AA336" s="29"/>
    </row>
    <row r="337" spans="2:27" x14ac:dyDescent="0.25">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c r="AA337" s="29"/>
    </row>
    <row r="338" spans="2:27" x14ac:dyDescent="0.25">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c r="AA338" s="29"/>
    </row>
    <row r="339" spans="2:27" x14ac:dyDescent="0.25">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c r="AA339" s="29"/>
    </row>
    <row r="340" spans="2:27" x14ac:dyDescent="0.25">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c r="AA340" s="29"/>
    </row>
    <row r="341" spans="2:27" x14ac:dyDescent="0.25">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c r="AA341" s="29"/>
    </row>
    <row r="342" spans="2:27" x14ac:dyDescent="0.25">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c r="AA342" s="29"/>
    </row>
    <row r="343" spans="2:27" x14ac:dyDescent="0.25">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c r="AA343" s="29"/>
    </row>
    <row r="344" spans="2:27" x14ac:dyDescent="0.25">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c r="AA344" s="29"/>
    </row>
    <row r="345" spans="2:27" x14ac:dyDescent="0.25">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c r="AA345" s="29"/>
    </row>
    <row r="346" spans="2:27" x14ac:dyDescent="0.25">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c r="AA346" s="29"/>
    </row>
    <row r="347" spans="2:27" x14ac:dyDescent="0.25">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c r="AA347" s="29"/>
    </row>
    <row r="348" spans="2:27" x14ac:dyDescent="0.25">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c r="AA348" s="29"/>
    </row>
    <row r="349" spans="2:27" x14ac:dyDescent="0.25">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c r="AA349" s="29"/>
    </row>
    <row r="350" spans="2:27" x14ac:dyDescent="0.25">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c r="AA350" s="29"/>
    </row>
    <row r="351" spans="2:27" x14ac:dyDescent="0.25">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c r="AA351" s="29"/>
    </row>
    <row r="352" spans="2:27" x14ac:dyDescent="0.25">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c r="AA352" s="29"/>
    </row>
    <row r="353" spans="2:27" x14ac:dyDescent="0.25">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c r="AA353" s="29"/>
    </row>
    <row r="354" spans="2:27" x14ac:dyDescent="0.25">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c r="AA354" s="29"/>
    </row>
    <row r="355" spans="2:27" x14ac:dyDescent="0.25">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c r="AA355" s="29"/>
    </row>
    <row r="356" spans="2:27" x14ac:dyDescent="0.25">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c r="AA356" s="29"/>
    </row>
    <row r="357" spans="2:27" x14ac:dyDescent="0.25">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c r="AA357" s="29"/>
    </row>
    <row r="358" spans="2:27" x14ac:dyDescent="0.25">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c r="AA358" s="29"/>
    </row>
    <row r="359" spans="2:27" x14ac:dyDescent="0.25">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c r="AA359" s="29"/>
    </row>
    <row r="360" spans="2:27" x14ac:dyDescent="0.25">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c r="AA360" s="29"/>
    </row>
    <row r="361" spans="2:27" x14ac:dyDescent="0.25">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c r="AA361" s="29"/>
    </row>
    <row r="362" spans="2:27" x14ac:dyDescent="0.25">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c r="AA362" s="29"/>
    </row>
    <row r="363" spans="2:27" x14ac:dyDescent="0.25">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c r="AA363" s="29"/>
    </row>
    <row r="364" spans="2:27" x14ac:dyDescent="0.25">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c r="AA364" s="29"/>
    </row>
    <row r="365" spans="2:27" x14ac:dyDescent="0.25">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c r="AA365" s="29"/>
    </row>
    <row r="366" spans="2:27" x14ac:dyDescent="0.25">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c r="AA366" s="29"/>
    </row>
    <row r="367" spans="2:27" x14ac:dyDescent="0.25">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c r="AA367" s="29"/>
    </row>
    <row r="368" spans="2:27" x14ac:dyDescent="0.25">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c r="AA368" s="29"/>
    </row>
    <row r="369" spans="2:27" x14ac:dyDescent="0.25">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c r="AA369" s="29"/>
    </row>
    <row r="370" spans="2:27" x14ac:dyDescent="0.25">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c r="AA370" s="29"/>
    </row>
    <row r="371" spans="2:27" x14ac:dyDescent="0.25">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c r="AA371" s="29"/>
    </row>
    <row r="372" spans="2:27" x14ac:dyDescent="0.25">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c r="AA372" s="29"/>
    </row>
    <row r="373" spans="2:27" x14ac:dyDescent="0.25">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c r="AA373" s="29"/>
    </row>
    <row r="374" spans="2:27" x14ac:dyDescent="0.25">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c r="AA374" s="29"/>
    </row>
    <row r="375" spans="2:27" x14ac:dyDescent="0.25">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c r="AA375" s="29"/>
    </row>
    <row r="376" spans="2:27" x14ac:dyDescent="0.25">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c r="AA376" s="29"/>
    </row>
    <row r="377" spans="2:27" x14ac:dyDescent="0.25">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c r="AA377" s="29"/>
    </row>
    <row r="378" spans="2:27" x14ac:dyDescent="0.25">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c r="AA378" s="29"/>
    </row>
    <row r="379" spans="2:27" x14ac:dyDescent="0.25">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c r="AA379" s="29"/>
    </row>
    <row r="380" spans="2:27" x14ac:dyDescent="0.25">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c r="AA380" s="29"/>
    </row>
    <row r="381" spans="2:27" x14ac:dyDescent="0.25">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c r="AA381" s="29"/>
    </row>
    <row r="382" spans="2:27" x14ac:dyDescent="0.25">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c r="AA382" s="29"/>
    </row>
    <row r="383" spans="2:27" x14ac:dyDescent="0.25">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c r="AA383" s="29"/>
    </row>
    <row r="384" spans="2:27" x14ac:dyDescent="0.25">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c r="AA384" s="29"/>
    </row>
    <row r="385" spans="2:27" x14ac:dyDescent="0.25">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c r="AA385" s="29"/>
    </row>
    <row r="386" spans="2:27" x14ac:dyDescent="0.25">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c r="AA386" s="29"/>
    </row>
    <row r="387" spans="2:27" x14ac:dyDescent="0.25">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c r="AA387" s="29"/>
    </row>
    <row r="388" spans="2:27" x14ac:dyDescent="0.25">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c r="AA388" s="29"/>
    </row>
    <row r="389" spans="2:27" x14ac:dyDescent="0.25">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c r="AA389" s="29"/>
    </row>
    <row r="390" spans="2:27" x14ac:dyDescent="0.25">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c r="AA390" s="29"/>
    </row>
    <row r="391" spans="2:27" x14ac:dyDescent="0.25">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c r="AA391" s="29"/>
    </row>
    <row r="392" spans="2:27" x14ac:dyDescent="0.25">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c r="AA392" s="29"/>
    </row>
    <row r="393" spans="2:27" x14ac:dyDescent="0.25">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c r="AA393" s="29"/>
    </row>
    <row r="394" spans="2:27" x14ac:dyDescent="0.25">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c r="AA394" s="29"/>
    </row>
    <row r="395" spans="2:27" x14ac:dyDescent="0.25">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c r="AA395" s="29"/>
    </row>
    <row r="396" spans="2:27" x14ac:dyDescent="0.25">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c r="AA396" s="29"/>
    </row>
    <row r="397" spans="2:27" x14ac:dyDescent="0.25">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c r="AA397" s="29"/>
    </row>
    <row r="398" spans="2:27" x14ac:dyDescent="0.25">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c r="AA398" s="29"/>
    </row>
    <row r="399" spans="2:27" x14ac:dyDescent="0.25">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c r="AA399" s="29"/>
    </row>
    <row r="400" spans="2:27" x14ac:dyDescent="0.25">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c r="AA400" s="29"/>
    </row>
    <row r="401" spans="2:27" x14ac:dyDescent="0.25">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c r="AA401" s="29"/>
    </row>
    <row r="402" spans="2:27" x14ac:dyDescent="0.25">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c r="AA402" s="29"/>
    </row>
    <row r="403" spans="2:27" x14ac:dyDescent="0.25">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c r="AA403" s="29"/>
    </row>
    <row r="404" spans="2:27" x14ac:dyDescent="0.25">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c r="AA404" s="29"/>
    </row>
    <row r="405" spans="2:27" x14ac:dyDescent="0.25">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c r="AA405" s="29"/>
    </row>
    <row r="406" spans="2:27" x14ac:dyDescent="0.25">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c r="AA406" s="29"/>
    </row>
    <row r="407" spans="2:27" x14ac:dyDescent="0.25">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c r="AA407" s="29"/>
    </row>
    <row r="408" spans="2:27" x14ac:dyDescent="0.25">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c r="AA408" s="29"/>
    </row>
    <row r="409" spans="2:27" x14ac:dyDescent="0.25">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c r="AA409" s="29"/>
    </row>
    <row r="410" spans="2:27" x14ac:dyDescent="0.25">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c r="AA410" s="29"/>
    </row>
    <row r="411" spans="2:27" x14ac:dyDescent="0.25">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c r="AA411" s="29"/>
    </row>
    <row r="412" spans="2:27" x14ac:dyDescent="0.25">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c r="AA412" s="29"/>
    </row>
    <row r="413" spans="2:27" x14ac:dyDescent="0.25">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c r="AA413" s="29"/>
    </row>
    <row r="414" spans="2:27" x14ac:dyDescent="0.25">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c r="AA414" s="29"/>
    </row>
    <row r="415" spans="2:27" x14ac:dyDescent="0.25">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c r="AA415" s="29"/>
    </row>
    <row r="416" spans="2:27" x14ac:dyDescent="0.25">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c r="AA416" s="29"/>
    </row>
    <row r="417" spans="2:27" x14ac:dyDescent="0.25">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c r="AA417" s="29"/>
    </row>
    <row r="418" spans="2:27" x14ac:dyDescent="0.25">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c r="AA418" s="29"/>
    </row>
    <row r="419" spans="2:27" x14ac:dyDescent="0.25">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c r="AA419" s="29"/>
    </row>
    <row r="420" spans="2:27" x14ac:dyDescent="0.25">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c r="AA420" s="29"/>
    </row>
    <row r="421" spans="2:27" x14ac:dyDescent="0.25">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c r="AA421" s="29"/>
    </row>
    <row r="422" spans="2:27" x14ac:dyDescent="0.25">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c r="AA422" s="29"/>
    </row>
    <row r="423" spans="2:27" x14ac:dyDescent="0.25">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c r="AA423" s="29"/>
    </row>
    <row r="424" spans="2:27" x14ac:dyDescent="0.25">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c r="AA424" s="29"/>
    </row>
    <row r="425" spans="2:27" x14ac:dyDescent="0.25">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c r="AA425" s="29"/>
    </row>
    <row r="426" spans="2:27" x14ac:dyDescent="0.25">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c r="AA426" s="29"/>
    </row>
    <row r="427" spans="2:27" x14ac:dyDescent="0.25">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c r="AA427" s="29"/>
    </row>
    <row r="428" spans="2:27" x14ac:dyDescent="0.25">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c r="AA428" s="29"/>
    </row>
    <row r="429" spans="2:27" x14ac:dyDescent="0.25">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c r="AA429" s="29"/>
    </row>
    <row r="430" spans="2:27" x14ac:dyDescent="0.25">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c r="AA430" s="29"/>
    </row>
    <row r="431" spans="2:27" x14ac:dyDescent="0.25">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c r="AA431" s="29"/>
    </row>
    <row r="432" spans="2:27" x14ac:dyDescent="0.25">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c r="AA432" s="29"/>
    </row>
    <row r="433" spans="2:27" x14ac:dyDescent="0.25">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c r="AA433" s="29"/>
    </row>
    <row r="434" spans="2:27" x14ac:dyDescent="0.25">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c r="AA434" s="29"/>
    </row>
    <row r="435" spans="2:27" x14ac:dyDescent="0.25">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c r="AA435" s="29"/>
    </row>
    <row r="436" spans="2:27" x14ac:dyDescent="0.25">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c r="AA436" s="29"/>
    </row>
    <row r="437" spans="2:27" x14ac:dyDescent="0.25">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c r="AA437" s="29"/>
    </row>
    <row r="438" spans="2:27" x14ac:dyDescent="0.25">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c r="AA438" s="29"/>
    </row>
    <row r="439" spans="2:27" x14ac:dyDescent="0.25">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c r="AA439" s="29"/>
    </row>
    <row r="440" spans="2:27" x14ac:dyDescent="0.25">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c r="AA440" s="29"/>
    </row>
    <row r="441" spans="2:27" x14ac:dyDescent="0.25">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c r="AA441" s="29"/>
    </row>
    <row r="442" spans="2:27" x14ac:dyDescent="0.25">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c r="AA442" s="29"/>
    </row>
    <row r="443" spans="2:27" x14ac:dyDescent="0.25">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c r="AA443" s="29"/>
    </row>
    <row r="444" spans="2:27" x14ac:dyDescent="0.25">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c r="AA444" s="29"/>
    </row>
    <row r="445" spans="2:27" x14ac:dyDescent="0.25">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c r="AA445" s="29"/>
    </row>
    <row r="446" spans="2:27" x14ac:dyDescent="0.25">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c r="AA446" s="29"/>
    </row>
    <row r="447" spans="2:27" x14ac:dyDescent="0.25">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c r="AA447" s="29"/>
    </row>
    <row r="448" spans="2:27" x14ac:dyDescent="0.25">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c r="AA448" s="29"/>
    </row>
    <row r="449" spans="2:27" x14ac:dyDescent="0.25">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c r="AA449" s="29"/>
    </row>
    <row r="450" spans="2:27" x14ac:dyDescent="0.25">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c r="AA450" s="29"/>
    </row>
    <row r="451" spans="2:27" x14ac:dyDescent="0.25">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c r="AA451" s="29"/>
    </row>
    <row r="452" spans="2:27" x14ac:dyDescent="0.25">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c r="AA452" s="29"/>
    </row>
    <row r="453" spans="2:27" x14ac:dyDescent="0.25">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c r="AA453" s="29"/>
    </row>
    <row r="454" spans="2:27" x14ac:dyDescent="0.25">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c r="AA454" s="29"/>
    </row>
    <row r="455" spans="2:27" x14ac:dyDescent="0.25">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c r="AA455" s="29"/>
    </row>
    <row r="456" spans="2:27" x14ac:dyDescent="0.25">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c r="AA456" s="29"/>
    </row>
    <row r="457" spans="2:27" x14ac:dyDescent="0.25">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c r="AA457" s="29"/>
    </row>
    <row r="458" spans="2:27" x14ac:dyDescent="0.25">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c r="AA458" s="29"/>
    </row>
    <row r="459" spans="2:27" x14ac:dyDescent="0.25">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c r="AA459" s="29"/>
    </row>
    <row r="460" spans="2:27" x14ac:dyDescent="0.25">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c r="AA460" s="29"/>
    </row>
    <row r="461" spans="2:27" x14ac:dyDescent="0.25">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c r="AA461" s="29"/>
    </row>
    <row r="462" spans="2:27" x14ac:dyDescent="0.25">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c r="AA462" s="29"/>
    </row>
    <row r="463" spans="2:27" x14ac:dyDescent="0.25">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c r="AA463" s="29"/>
    </row>
    <row r="464" spans="2:27" x14ac:dyDescent="0.25">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c r="AA464" s="29"/>
    </row>
    <row r="465" spans="2:27" x14ac:dyDescent="0.25">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c r="AA465" s="29"/>
    </row>
    <row r="466" spans="2:27" x14ac:dyDescent="0.25">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c r="AA466" s="29"/>
    </row>
    <row r="467" spans="2:27" x14ac:dyDescent="0.25">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c r="AA467" s="29"/>
    </row>
    <row r="468" spans="2:27" x14ac:dyDescent="0.25">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c r="AA468" s="29"/>
    </row>
    <row r="469" spans="2:27" x14ac:dyDescent="0.25">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c r="AA469" s="29"/>
    </row>
    <row r="470" spans="2:27" x14ac:dyDescent="0.25">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c r="AA470" s="29"/>
    </row>
    <row r="471" spans="2:27" x14ac:dyDescent="0.25">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c r="AA471" s="29"/>
    </row>
    <row r="472" spans="2:27" x14ac:dyDescent="0.25">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c r="AA472" s="29"/>
    </row>
    <row r="473" spans="2:27" x14ac:dyDescent="0.25">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c r="AA473" s="29"/>
    </row>
    <row r="474" spans="2:27" x14ac:dyDescent="0.25">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c r="AA474" s="29"/>
    </row>
    <row r="475" spans="2:27" x14ac:dyDescent="0.25">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c r="AA475" s="29"/>
    </row>
    <row r="476" spans="2:27" x14ac:dyDescent="0.25">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c r="AA476" s="29"/>
    </row>
    <row r="477" spans="2:27" x14ac:dyDescent="0.25">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c r="AA477" s="29"/>
    </row>
    <row r="478" spans="2:27" x14ac:dyDescent="0.25">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c r="AA478" s="29"/>
    </row>
    <row r="479" spans="2:27" x14ac:dyDescent="0.25">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c r="AA479" s="29"/>
    </row>
    <row r="480" spans="2:27" x14ac:dyDescent="0.25">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c r="AA480" s="29"/>
    </row>
    <row r="481" spans="2:27" x14ac:dyDescent="0.25">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c r="AA481" s="29"/>
    </row>
    <row r="482" spans="2:27" x14ac:dyDescent="0.25">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c r="AA482" s="29"/>
    </row>
    <row r="483" spans="2:27" x14ac:dyDescent="0.25">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c r="AA483" s="29"/>
    </row>
    <row r="484" spans="2:27" x14ac:dyDescent="0.25">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c r="AA484" s="29"/>
    </row>
    <row r="485" spans="2:27" x14ac:dyDescent="0.25">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c r="AA485" s="29"/>
    </row>
    <row r="486" spans="2:27" x14ac:dyDescent="0.25">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c r="AA486" s="29"/>
    </row>
    <row r="487" spans="2:27" x14ac:dyDescent="0.25">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c r="AA487" s="29"/>
    </row>
    <row r="488" spans="2:27" x14ac:dyDescent="0.25">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c r="AA488" s="29"/>
    </row>
    <row r="489" spans="2:27" x14ac:dyDescent="0.25">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c r="AA489" s="29"/>
    </row>
    <row r="490" spans="2:27" x14ac:dyDescent="0.25">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c r="AA490" s="29"/>
    </row>
    <row r="491" spans="2:27" x14ac:dyDescent="0.25">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c r="AA491" s="29"/>
    </row>
    <row r="492" spans="2:27" x14ac:dyDescent="0.25">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c r="AA492" s="29"/>
    </row>
    <row r="493" spans="2:27" x14ac:dyDescent="0.25">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c r="AA493" s="29"/>
    </row>
    <row r="494" spans="2:27" x14ac:dyDescent="0.25">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c r="AA494" s="29"/>
    </row>
    <row r="495" spans="2:27" x14ac:dyDescent="0.25">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c r="AA495" s="29"/>
    </row>
    <row r="496" spans="2:27" x14ac:dyDescent="0.25">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c r="AA496" s="29"/>
    </row>
    <row r="497" spans="2:27" x14ac:dyDescent="0.25">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c r="AA497" s="29"/>
    </row>
    <row r="498" spans="2:27" x14ac:dyDescent="0.25">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c r="AA498" s="29"/>
    </row>
    <row r="499" spans="2:27" x14ac:dyDescent="0.25">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c r="AA499" s="29"/>
    </row>
    <row r="500" spans="2:27" x14ac:dyDescent="0.25">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c r="AA500" s="29"/>
    </row>
    <row r="501" spans="2:27" x14ac:dyDescent="0.25">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c r="AA501" s="29"/>
    </row>
    <row r="502" spans="2:27" x14ac:dyDescent="0.25">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c r="AA502" s="29"/>
    </row>
    <row r="503" spans="2:27" x14ac:dyDescent="0.25">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c r="AA503" s="29"/>
    </row>
    <row r="504" spans="2:27" x14ac:dyDescent="0.25">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c r="AA504" s="29"/>
    </row>
    <row r="505" spans="2:27" x14ac:dyDescent="0.25">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c r="AA505" s="29"/>
    </row>
    <row r="506" spans="2:27" x14ac:dyDescent="0.25">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c r="AA506" s="29"/>
    </row>
    <row r="507" spans="2:27" x14ac:dyDescent="0.25">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c r="AA507" s="29"/>
    </row>
    <row r="508" spans="2:27" x14ac:dyDescent="0.25">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c r="AA508" s="29"/>
    </row>
    <row r="509" spans="2:27" x14ac:dyDescent="0.25">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c r="AA509" s="29"/>
    </row>
    <row r="510" spans="2:27" x14ac:dyDescent="0.25">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c r="AA510" s="29"/>
    </row>
    <row r="511" spans="2:27" x14ac:dyDescent="0.25">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c r="AA511" s="29"/>
    </row>
    <row r="512" spans="2:27" x14ac:dyDescent="0.25">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c r="AA512" s="29"/>
    </row>
    <row r="513" spans="2:27" x14ac:dyDescent="0.25">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c r="AA513" s="29"/>
    </row>
    <row r="514" spans="2:27" x14ac:dyDescent="0.25">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c r="AA514" s="29"/>
    </row>
    <row r="515" spans="2:27" x14ac:dyDescent="0.25">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c r="AA515" s="29"/>
    </row>
    <row r="516" spans="2:27" x14ac:dyDescent="0.25">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c r="AA516" s="29"/>
    </row>
    <row r="517" spans="2:27" x14ac:dyDescent="0.25">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c r="AA517" s="29"/>
    </row>
    <row r="518" spans="2:27" x14ac:dyDescent="0.25">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c r="AA518" s="29"/>
    </row>
    <row r="519" spans="2:27" x14ac:dyDescent="0.25">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c r="AA519" s="29"/>
    </row>
    <row r="520" spans="2:27" x14ac:dyDescent="0.25">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c r="AA520" s="29"/>
    </row>
    <row r="521" spans="2:27" x14ac:dyDescent="0.25">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c r="AA521" s="29"/>
    </row>
    <row r="522" spans="2:27" x14ac:dyDescent="0.25">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c r="AA522" s="29"/>
    </row>
    <row r="523" spans="2:27" x14ac:dyDescent="0.25">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c r="AA523" s="29"/>
    </row>
    <row r="524" spans="2:27" x14ac:dyDescent="0.25">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c r="AA524" s="29"/>
    </row>
    <row r="525" spans="2:27" x14ac:dyDescent="0.25">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c r="AA525" s="29"/>
    </row>
    <row r="526" spans="2:27" x14ac:dyDescent="0.25">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c r="AA526" s="29"/>
    </row>
    <row r="527" spans="2:27" x14ac:dyDescent="0.25">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c r="AA527" s="29"/>
    </row>
    <row r="528" spans="2:27" x14ac:dyDescent="0.25">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c r="AA528" s="29"/>
    </row>
    <row r="529" spans="2:27" x14ac:dyDescent="0.25">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c r="AA529" s="29"/>
    </row>
    <row r="530" spans="2:27" x14ac:dyDescent="0.25">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c r="AA530" s="29"/>
    </row>
    <row r="531" spans="2:27" x14ac:dyDescent="0.25">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c r="AA531" s="29"/>
    </row>
    <row r="532" spans="2:27" x14ac:dyDescent="0.25">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c r="AA532" s="29"/>
    </row>
    <row r="533" spans="2:27" x14ac:dyDescent="0.25">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c r="AA533" s="29"/>
    </row>
    <row r="534" spans="2:27" x14ac:dyDescent="0.25">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c r="AA534" s="29"/>
    </row>
    <row r="535" spans="2:27" x14ac:dyDescent="0.25">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c r="AA535" s="29"/>
    </row>
    <row r="536" spans="2:27" x14ac:dyDescent="0.25">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c r="AA536" s="29"/>
    </row>
    <row r="537" spans="2:27" x14ac:dyDescent="0.25">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c r="AA537" s="29"/>
    </row>
    <row r="538" spans="2:27" x14ac:dyDescent="0.25">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c r="AA538" s="29"/>
    </row>
    <row r="539" spans="2:27" x14ac:dyDescent="0.25">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c r="AA539" s="29"/>
    </row>
    <row r="540" spans="2:27" x14ac:dyDescent="0.25">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c r="AA540" s="29"/>
    </row>
    <row r="541" spans="2:27" x14ac:dyDescent="0.25">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c r="AA541" s="29"/>
    </row>
    <row r="542" spans="2:27" x14ac:dyDescent="0.25">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c r="AA542" s="29"/>
    </row>
    <row r="543" spans="2:27" x14ac:dyDescent="0.25">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c r="AA543" s="29"/>
    </row>
    <row r="544" spans="2:27" x14ac:dyDescent="0.25">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c r="AA544" s="29"/>
    </row>
    <row r="545" spans="2:27" x14ac:dyDescent="0.25">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c r="AA545" s="29"/>
    </row>
    <row r="546" spans="2:27" x14ac:dyDescent="0.25">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c r="AA546" s="29"/>
    </row>
    <row r="547" spans="2:27" x14ac:dyDescent="0.25">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c r="AA547" s="29"/>
    </row>
    <row r="548" spans="2:27" x14ac:dyDescent="0.25">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c r="AA548" s="29"/>
    </row>
    <row r="549" spans="2:27" x14ac:dyDescent="0.25">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c r="AA549" s="29"/>
    </row>
    <row r="550" spans="2:27" x14ac:dyDescent="0.25">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c r="AA550" s="29"/>
    </row>
    <row r="551" spans="2:27" x14ac:dyDescent="0.25">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c r="AA551" s="29"/>
    </row>
    <row r="552" spans="2:27" x14ac:dyDescent="0.25">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c r="AA552" s="29"/>
    </row>
    <row r="553" spans="2:27" x14ac:dyDescent="0.25">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c r="AA553" s="29"/>
    </row>
    <row r="554" spans="2:27" x14ac:dyDescent="0.25">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c r="AA554" s="29"/>
    </row>
    <row r="555" spans="2:27" x14ac:dyDescent="0.25">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c r="AA555" s="29"/>
    </row>
    <row r="556" spans="2:27" x14ac:dyDescent="0.25">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c r="AA556" s="29"/>
    </row>
    <row r="557" spans="2:27" x14ac:dyDescent="0.25">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c r="AA557" s="29"/>
    </row>
    <row r="558" spans="2:27" x14ac:dyDescent="0.25">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c r="AA558" s="29"/>
    </row>
    <row r="559" spans="2:27" x14ac:dyDescent="0.25">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c r="AA559" s="29"/>
    </row>
    <row r="560" spans="2:27" x14ac:dyDescent="0.25">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c r="AA560" s="29"/>
    </row>
    <row r="561" spans="2:27" x14ac:dyDescent="0.25">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c r="AA561" s="29"/>
    </row>
    <row r="562" spans="2:27" x14ac:dyDescent="0.25">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c r="AA562" s="29"/>
    </row>
    <row r="563" spans="2:27" x14ac:dyDescent="0.25">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c r="AA563" s="29"/>
    </row>
    <row r="564" spans="2:27" x14ac:dyDescent="0.25">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c r="AA564" s="29"/>
    </row>
    <row r="565" spans="2:27" x14ac:dyDescent="0.25">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c r="AA565" s="29"/>
    </row>
    <row r="566" spans="2:27" x14ac:dyDescent="0.25">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c r="AA566" s="29"/>
    </row>
    <row r="567" spans="2:27" x14ac:dyDescent="0.25">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c r="AA567" s="29"/>
    </row>
    <row r="568" spans="2:27" x14ac:dyDescent="0.25">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c r="AA568" s="29"/>
    </row>
    <row r="569" spans="2:27" x14ac:dyDescent="0.25">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c r="AA569" s="29"/>
    </row>
    <row r="570" spans="2:27" x14ac:dyDescent="0.25">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c r="AA570" s="29"/>
    </row>
    <row r="571" spans="2:27" x14ac:dyDescent="0.25">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c r="AA571" s="29"/>
    </row>
    <row r="572" spans="2:27" x14ac:dyDescent="0.25">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c r="AA572" s="29"/>
    </row>
    <row r="573" spans="2:27" x14ac:dyDescent="0.25">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c r="AA573" s="29"/>
    </row>
    <row r="574" spans="2:27" x14ac:dyDescent="0.25">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c r="AA574" s="29"/>
    </row>
    <row r="575" spans="2:27" x14ac:dyDescent="0.25">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c r="AA575" s="29"/>
    </row>
    <row r="576" spans="2:27" x14ac:dyDescent="0.25">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c r="AA576" s="29"/>
    </row>
    <row r="577" spans="2:27" x14ac:dyDescent="0.25">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c r="AA577" s="29"/>
    </row>
    <row r="578" spans="2:27" x14ac:dyDescent="0.25">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c r="AA578" s="29"/>
    </row>
    <row r="579" spans="2:27" x14ac:dyDescent="0.25">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c r="AA579" s="29"/>
    </row>
    <row r="580" spans="2:27" x14ac:dyDescent="0.25">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c r="AA580" s="29"/>
    </row>
    <row r="581" spans="2:27" x14ac:dyDescent="0.25">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c r="AA581" s="29"/>
    </row>
    <row r="582" spans="2:27" x14ac:dyDescent="0.25">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c r="AA582" s="29"/>
    </row>
    <row r="583" spans="2:27" x14ac:dyDescent="0.25">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c r="AA583" s="29"/>
    </row>
    <row r="584" spans="2:27" x14ac:dyDescent="0.25">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c r="AA584" s="29"/>
    </row>
    <row r="585" spans="2:27" x14ac:dyDescent="0.25">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c r="AA585" s="29"/>
    </row>
    <row r="586" spans="2:27" x14ac:dyDescent="0.25">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c r="AA586" s="29"/>
    </row>
    <row r="587" spans="2:27" x14ac:dyDescent="0.25">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c r="AA587" s="29"/>
    </row>
    <row r="588" spans="2:27" x14ac:dyDescent="0.25">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c r="AA588" s="29"/>
    </row>
    <row r="589" spans="2:27" x14ac:dyDescent="0.25">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c r="AA589" s="29"/>
    </row>
    <row r="590" spans="2:27" x14ac:dyDescent="0.25">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c r="AA590" s="29"/>
    </row>
    <row r="591" spans="2:27" x14ac:dyDescent="0.25">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c r="AA591" s="29"/>
    </row>
    <row r="592" spans="2:27" x14ac:dyDescent="0.25">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c r="AA592" s="29"/>
    </row>
    <row r="593" spans="2:27" x14ac:dyDescent="0.25">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c r="AA593" s="29"/>
    </row>
    <row r="594" spans="2:27" x14ac:dyDescent="0.25">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c r="AA594" s="29"/>
    </row>
    <row r="595" spans="2:27" x14ac:dyDescent="0.25">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c r="AA595" s="29"/>
    </row>
    <row r="596" spans="2:27" x14ac:dyDescent="0.25">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c r="AA596" s="29"/>
    </row>
    <row r="597" spans="2:27" x14ac:dyDescent="0.25">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c r="AA597" s="29"/>
    </row>
    <row r="598" spans="2:27" x14ac:dyDescent="0.25">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c r="AA598" s="29"/>
    </row>
    <row r="599" spans="2:27" x14ac:dyDescent="0.25">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c r="AA599" s="29"/>
    </row>
    <row r="600" spans="2:27" x14ac:dyDescent="0.25">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c r="AA600" s="29"/>
    </row>
    <row r="601" spans="2:27" x14ac:dyDescent="0.25">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c r="AA601" s="29"/>
    </row>
    <row r="602" spans="2:27" x14ac:dyDescent="0.25">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c r="AA602" s="29"/>
    </row>
    <row r="603" spans="2:27" x14ac:dyDescent="0.25">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c r="AA603" s="29"/>
    </row>
    <row r="604" spans="2:27" x14ac:dyDescent="0.25">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c r="AA604" s="29"/>
    </row>
    <row r="605" spans="2:27" x14ac:dyDescent="0.25">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c r="AA605" s="29"/>
    </row>
    <row r="606" spans="2:27" x14ac:dyDescent="0.25">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c r="AA606" s="29"/>
    </row>
    <row r="607" spans="2:27" x14ac:dyDescent="0.25">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c r="AA607" s="29"/>
    </row>
    <row r="608" spans="2:27" x14ac:dyDescent="0.25">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c r="AA608" s="29"/>
    </row>
    <row r="609" spans="2:27" x14ac:dyDescent="0.25">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c r="AA609" s="29"/>
    </row>
    <row r="610" spans="2:27" x14ac:dyDescent="0.25">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c r="AA610" s="29"/>
    </row>
    <row r="611" spans="2:27" x14ac:dyDescent="0.25">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c r="AA611" s="29"/>
    </row>
    <row r="612" spans="2:27" x14ac:dyDescent="0.25">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c r="AA612" s="29"/>
    </row>
    <row r="613" spans="2:27" x14ac:dyDescent="0.25">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c r="AA613" s="29"/>
    </row>
    <row r="614" spans="2:27" x14ac:dyDescent="0.25">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c r="AA614" s="29"/>
    </row>
    <row r="615" spans="2:27" x14ac:dyDescent="0.25">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c r="AA615" s="29"/>
    </row>
    <row r="616" spans="2:27" x14ac:dyDescent="0.25">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c r="AA616" s="29"/>
    </row>
    <row r="617" spans="2:27" x14ac:dyDescent="0.25">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c r="AA617" s="29"/>
    </row>
    <row r="618" spans="2:27" x14ac:dyDescent="0.25">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c r="AA618" s="29"/>
    </row>
    <row r="619" spans="2:27" x14ac:dyDescent="0.25">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c r="AA619" s="29"/>
    </row>
    <row r="620" spans="2:27" x14ac:dyDescent="0.25">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c r="AA620" s="29"/>
    </row>
    <row r="621" spans="2:27" x14ac:dyDescent="0.25">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c r="AA621" s="29"/>
    </row>
    <row r="622" spans="2:27" x14ac:dyDescent="0.25">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c r="AA622" s="29"/>
    </row>
    <row r="623" spans="2:27" x14ac:dyDescent="0.25">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c r="AA623" s="29"/>
    </row>
    <row r="624" spans="2:27" x14ac:dyDescent="0.25">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c r="AA624" s="29"/>
    </row>
    <row r="625" spans="2:27" x14ac:dyDescent="0.25">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c r="AA625" s="29"/>
    </row>
    <row r="626" spans="2:27" x14ac:dyDescent="0.25">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c r="AA626" s="29"/>
    </row>
    <row r="627" spans="2:27" x14ac:dyDescent="0.25">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c r="AA627" s="29"/>
    </row>
    <row r="628" spans="2:27" x14ac:dyDescent="0.25">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c r="AA628" s="29"/>
    </row>
    <row r="629" spans="2:27" x14ac:dyDescent="0.25">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c r="AA629" s="29"/>
    </row>
    <row r="630" spans="2:27" x14ac:dyDescent="0.25">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c r="AA630" s="29"/>
    </row>
    <row r="631" spans="2:27" x14ac:dyDescent="0.25">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c r="AA631" s="29"/>
    </row>
    <row r="632" spans="2:27" x14ac:dyDescent="0.25">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c r="AA632" s="29"/>
    </row>
    <row r="633" spans="2:27" x14ac:dyDescent="0.25">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c r="AA633" s="29"/>
    </row>
    <row r="634" spans="2:27" x14ac:dyDescent="0.25">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c r="AA634" s="29"/>
    </row>
    <row r="635" spans="2:27" x14ac:dyDescent="0.25">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c r="AA635" s="29"/>
    </row>
    <row r="636" spans="2:27" x14ac:dyDescent="0.25">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c r="AA636" s="29"/>
    </row>
    <row r="637" spans="2:27" x14ac:dyDescent="0.25">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c r="AA637" s="29"/>
    </row>
    <row r="638" spans="2:27" x14ac:dyDescent="0.25">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c r="AA638" s="29"/>
    </row>
    <row r="639" spans="2:27" x14ac:dyDescent="0.25">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c r="AA639" s="29"/>
    </row>
    <row r="640" spans="2:27" x14ac:dyDescent="0.25">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c r="AA640" s="29"/>
    </row>
    <row r="641" spans="2:27" x14ac:dyDescent="0.25">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c r="AA641" s="29"/>
    </row>
    <row r="642" spans="2:27" x14ac:dyDescent="0.25">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c r="AA642" s="29"/>
    </row>
    <row r="643" spans="2:27" x14ac:dyDescent="0.25">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c r="AA643" s="29"/>
    </row>
    <row r="644" spans="2:27" x14ac:dyDescent="0.25">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c r="AA644" s="29"/>
    </row>
    <row r="645" spans="2:27" x14ac:dyDescent="0.25">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c r="AA645" s="29"/>
    </row>
    <row r="646" spans="2:27" x14ac:dyDescent="0.25">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c r="AA646" s="29"/>
    </row>
    <row r="647" spans="2:27" x14ac:dyDescent="0.25">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c r="AA647" s="29"/>
    </row>
    <row r="648" spans="2:27" x14ac:dyDescent="0.25">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c r="AA648" s="29"/>
    </row>
    <row r="649" spans="2:27" x14ac:dyDescent="0.25">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c r="AA649" s="29"/>
    </row>
    <row r="650" spans="2:27" x14ac:dyDescent="0.25">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c r="AA650" s="29"/>
    </row>
    <row r="651" spans="2:27" x14ac:dyDescent="0.25">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c r="AA651" s="29"/>
    </row>
    <row r="652" spans="2:27" x14ac:dyDescent="0.25">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c r="AA652" s="29"/>
    </row>
    <row r="653" spans="2:27" x14ac:dyDescent="0.25">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c r="AA653" s="29"/>
    </row>
    <row r="654" spans="2:27" x14ac:dyDescent="0.25">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c r="AA654" s="29"/>
    </row>
    <row r="655" spans="2:27" x14ac:dyDescent="0.25">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c r="AA655" s="29"/>
    </row>
    <row r="656" spans="2:27" x14ac:dyDescent="0.25">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c r="AA656" s="29"/>
    </row>
    <row r="657" spans="2:27" x14ac:dyDescent="0.25">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c r="AA657" s="29"/>
    </row>
    <row r="658" spans="2:27" x14ac:dyDescent="0.25">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c r="AA658" s="29"/>
    </row>
    <row r="659" spans="2:27" x14ac:dyDescent="0.25">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c r="AA659" s="29"/>
    </row>
    <row r="660" spans="2:27" x14ac:dyDescent="0.25">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c r="AA660" s="29"/>
    </row>
    <row r="661" spans="2:27" x14ac:dyDescent="0.25">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c r="AA661" s="29"/>
    </row>
    <row r="662" spans="2:27" x14ac:dyDescent="0.25">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c r="AA662" s="29"/>
    </row>
    <row r="663" spans="2:27" x14ac:dyDescent="0.25">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c r="AA663" s="29"/>
    </row>
    <row r="664" spans="2:27" x14ac:dyDescent="0.25">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c r="AA664" s="29"/>
    </row>
    <row r="665" spans="2:27" x14ac:dyDescent="0.25">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c r="AA665" s="29"/>
    </row>
    <row r="666" spans="2:27" x14ac:dyDescent="0.25">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c r="AA666" s="29"/>
    </row>
    <row r="667" spans="2:27" x14ac:dyDescent="0.25">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c r="AA667" s="29"/>
    </row>
    <row r="668" spans="2:27" x14ac:dyDescent="0.25">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c r="AA668" s="29"/>
    </row>
    <row r="669" spans="2:27" x14ac:dyDescent="0.25">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c r="AA669" s="29"/>
    </row>
    <row r="670" spans="2:27" x14ac:dyDescent="0.25">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c r="AA670" s="29"/>
    </row>
    <row r="671" spans="2:27" x14ac:dyDescent="0.25">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c r="AA671" s="29"/>
    </row>
    <row r="672" spans="2:27" x14ac:dyDescent="0.25">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c r="AA672" s="29"/>
    </row>
    <row r="673" spans="2:27" x14ac:dyDescent="0.25">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c r="AA673" s="29"/>
    </row>
    <row r="674" spans="2:27" x14ac:dyDescent="0.25">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c r="AA674" s="29"/>
    </row>
    <row r="675" spans="2:27" x14ac:dyDescent="0.25">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c r="AA675" s="29"/>
    </row>
    <row r="676" spans="2:27" x14ac:dyDescent="0.25">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c r="AA676" s="29"/>
    </row>
    <row r="677" spans="2:27" x14ac:dyDescent="0.25">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c r="AA677" s="29"/>
    </row>
    <row r="678" spans="2:27" x14ac:dyDescent="0.25">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c r="AA678" s="29"/>
    </row>
    <row r="679" spans="2:27" x14ac:dyDescent="0.25">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c r="AA679" s="29"/>
    </row>
    <row r="680" spans="2:27" x14ac:dyDescent="0.25">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c r="AA680" s="29"/>
    </row>
    <row r="681" spans="2:27" x14ac:dyDescent="0.25">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c r="AA681" s="29"/>
    </row>
    <row r="682" spans="2:27" x14ac:dyDescent="0.25">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c r="AA682" s="29"/>
    </row>
    <row r="683" spans="2:27" x14ac:dyDescent="0.25">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c r="AA683" s="29"/>
    </row>
    <row r="684" spans="2:27" x14ac:dyDescent="0.25">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c r="AA684" s="29"/>
    </row>
    <row r="685" spans="2:27" x14ac:dyDescent="0.25">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c r="AA685" s="29"/>
    </row>
    <row r="686" spans="2:27" x14ac:dyDescent="0.25">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c r="AA686" s="29"/>
    </row>
    <row r="687" spans="2:27" x14ac:dyDescent="0.25">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c r="AA687" s="29"/>
    </row>
    <row r="688" spans="2:27" x14ac:dyDescent="0.25">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c r="AA688" s="29"/>
    </row>
    <row r="689" spans="2:27" x14ac:dyDescent="0.25">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c r="AA689" s="29"/>
    </row>
    <row r="690" spans="2:27" x14ac:dyDescent="0.25">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c r="AA690" s="29"/>
    </row>
    <row r="691" spans="2:27" x14ac:dyDescent="0.25">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c r="AA691" s="29"/>
    </row>
    <row r="692" spans="2:27" x14ac:dyDescent="0.25">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c r="AA692" s="29"/>
    </row>
    <row r="693" spans="2:27" x14ac:dyDescent="0.25">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c r="AA693" s="29"/>
    </row>
    <row r="694" spans="2:27" x14ac:dyDescent="0.25">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c r="AA694" s="29"/>
    </row>
    <row r="695" spans="2:27" x14ac:dyDescent="0.25">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c r="AA695" s="29"/>
    </row>
    <row r="696" spans="2:27" x14ac:dyDescent="0.25">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c r="AA696" s="29"/>
    </row>
    <row r="697" spans="2:27" x14ac:dyDescent="0.25">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c r="AA697" s="29"/>
    </row>
    <row r="698" spans="2:27" x14ac:dyDescent="0.25">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c r="AA698" s="29"/>
    </row>
    <row r="699" spans="2:27" x14ac:dyDescent="0.25">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c r="AA699" s="29"/>
    </row>
    <row r="700" spans="2:27" x14ac:dyDescent="0.25">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c r="AA700" s="29"/>
    </row>
    <row r="701" spans="2:27" x14ac:dyDescent="0.25">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c r="AA701" s="29"/>
    </row>
    <row r="702" spans="2:27" x14ac:dyDescent="0.25">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c r="AA702" s="29"/>
    </row>
    <row r="703" spans="2:27" x14ac:dyDescent="0.25">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c r="AA703" s="29"/>
    </row>
    <row r="704" spans="2:27" x14ac:dyDescent="0.25">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c r="AA704" s="29"/>
    </row>
    <row r="705" spans="2:27" x14ac:dyDescent="0.25">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c r="AA705" s="29"/>
    </row>
    <row r="706" spans="2:27" x14ac:dyDescent="0.25">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c r="AA706" s="29"/>
    </row>
    <row r="707" spans="2:27" x14ac:dyDescent="0.25">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c r="AA707" s="29"/>
    </row>
    <row r="708" spans="2:27" x14ac:dyDescent="0.25">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c r="AA708" s="29"/>
    </row>
    <row r="709" spans="2:27" x14ac:dyDescent="0.25">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c r="AA709" s="29"/>
    </row>
    <row r="710" spans="2:27" x14ac:dyDescent="0.25">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c r="AA710" s="29"/>
    </row>
    <row r="711" spans="2:27" x14ac:dyDescent="0.25">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c r="AA711" s="29"/>
    </row>
    <row r="712" spans="2:27" x14ac:dyDescent="0.25">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c r="AA712" s="29"/>
    </row>
    <row r="713" spans="2:27" x14ac:dyDescent="0.25">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c r="AA713" s="29"/>
    </row>
    <row r="714" spans="2:27" x14ac:dyDescent="0.25">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c r="AA714" s="29"/>
    </row>
    <row r="715" spans="2:27" x14ac:dyDescent="0.25">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c r="AA715" s="29"/>
    </row>
    <row r="716" spans="2:27" x14ac:dyDescent="0.25">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c r="AA716" s="29"/>
    </row>
    <row r="717" spans="2:27" x14ac:dyDescent="0.25">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c r="AA717" s="29"/>
    </row>
    <row r="718" spans="2:27" x14ac:dyDescent="0.25">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c r="AA718" s="29"/>
    </row>
    <row r="719" spans="2:27" x14ac:dyDescent="0.25">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c r="AA719" s="29"/>
    </row>
    <row r="720" spans="2:27" x14ac:dyDescent="0.25">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c r="AA720" s="29"/>
    </row>
    <row r="721" spans="2:27" x14ac:dyDescent="0.25">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c r="AA721" s="29"/>
    </row>
    <row r="722" spans="2:27" x14ac:dyDescent="0.25">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c r="AA722" s="29"/>
    </row>
    <row r="723" spans="2:27" x14ac:dyDescent="0.25">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c r="AA723" s="29"/>
    </row>
    <row r="724" spans="2:27" x14ac:dyDescent="0.25">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c r="AA724" s="29"/>
    </row>
    <row r="725" spans="2:27" x14ac:dyDescent="0.25">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c r="AA725" s="29"/>
    </row>
    <row r="726" spans="2:27" x14ac:dyDescent="0.25">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c r="AA726" s="29"/>
    </row>
    <row r="727" spans="2:27" x14ac:dyDescent="0.25">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c r="AA727" s="29"/>
    </row>
    <row r="728" spans="2:27" x14ac:dyDescent="0.25">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c r="AA728" s="29"/>
    </row>
    <row r="729" spans="2:27" x14ac:dyDescent="0.25">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c r="AA729" s="29"/>
    </row>
    <row r="730" spans="2:27" x14ac:dyDescent="0.25">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c r="AA730" s="29"/>
    </row>
    <row r="731" spans="2:27" x14ac:dyDescent="0.25">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c r="AA731" s="29"/>
    </row>
    <row r="732" spans="2:27" x14ac:dyDescent="0.25">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c r="AA732" s="29"/>
    </row>
    <row r="733" spans="2:27" x14ac:dyDescent="0.25">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c r="AA733" s="29"/>
    </row>
    <row r="734" spans="2:27" x14ac:dyDescent="0.25">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c r="AA734" s="29"/>
    </row>
    <row r="735" spans="2:27" x14ac:dyDescent="0.25">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c r="AA735" s="29"/>
    </row>
    <row r="736" spans="2:27" x14ac:dyDescent="0.25">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c r="AA736" s="29"/>
    </row>
    <row r="737" spans="2:27" x14ac:dyDescent="0.25">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c r="AA737" s="29"/>
    </row>
    <row r="738" spans="2:27" x14ac:dyDescent="0.25">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c r="AA738" s="29"/>
    </row>
    <row r="739" spans="2:27" x14ac:dyDescent="0.25">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c r="AA739" s="29"/>
    </row>
    <row r="740" spans="2:27" x14ac:dyDescent="0.25">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c r="AA740" s="29"/>
    </row>
    <row r="741" spans="2:27" x14ac:dyDescent="0.25">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c r="AA741" s="29"/>
    </row>
    <row r="742" spans="2:27" x14ac:dyDescent="0.25">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c r="AA742" s="29"/>
    </row>
    <row r="743" spans="2:27" x14ac:dyDescent="0.25">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c r="AA743" s="29"/>
    </row>
    <row r="744" spans="2:27" x14ac:dyDescent="0.25">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c r="AA744" s="29"/>
    </row>
    <row r="745" spans="2:27" x14ac:dyDescent="0.25">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c r="AA745" s="29"/>
    </row>
    <row r="746" spans="2:27" x14ac:dyDescent="0.25">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c r="AA746" s="29"/>
    </row>
    <row r="747" spans="2:27" x14ac:dyDescent="0.25">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c r="AA747" s="29"/>
    </row>
    <row r="748" spans="2:27" x14ac:dyDescent="0.25">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c r="AA748" s="29"/>
    </row>
    <row r="749" spans="2:27" x14ac:dyDescent="0.25">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c r="AA749" s="29"/>
    </row>
    <row r="750" spans="2:27" x14ac:dyDescent="0.25">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c r="AA750" s="29"/>
    </row>
    <row r="751" spans="2:27" x14ac:dyDescent="0.25">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c r="AA751" s="29"/>
    </row>
    <row r="752" spans="2:27" x14ac:dyDescent="0.25">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c r="AA752" s="29"/>
    </row>
    <row r="753" spans="2:27" x14ac:dyDescent="0.25">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c r="AA753" s="29"/>
    </row>
    <row r="754" spans="2:27" x14ac:dyDescent="0.25">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c r="AA754" s="29"/>
    </row>
    <row r="755" spans="2:27" x14ac:dyDescent="0.25">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c r="AA755" s="29"/>
    </row>
    <row r="756" spans="2:27" x14ac:dyDescent="0.25">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c r="AA756" s="29"/>
    </row>
    <row r="757" spans="2:27" x14ac:dyDescent="0.25">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c r="AA757" s="29"/>
    </row>
    <row r="758" spans="2:27" x14ac:dyDescent="0.25">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c r="AA758" s="29"/>
    </row>
    <row r="759" spans="2:27" x14ac:dyDescent="0.25">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c r="AA759" s="29"/>
    </row>
    <row r="760" spans="2:27" x14ac:dyDescent="0.25">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c r="AA760" s="29"/>
    </row>
    <row r="761" spans="2:27" x14ac:dyDescent="0.25">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c r="AA761" s="29"/>
    </row>
    <row r="762" spans="2:27" x14ac:dyDescent="0.25">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c r="AA762" s="29"/>
    </row>
    <row r="763" spans="2:27" x14ac:dyDescent="0.25">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c r="AA763" s="29"/>
    </row>
    <row r="764" spans="2:27" x14ac:dyDescent="0.25">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c r="AA764" s="29"/>
    </row>
    <row r="765" spans="2:27" x14ac:dyDescent="0.25">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c r="AA765" s="29"/>
    </row>
    <row r="766" spans="2:27" x14ac:dyDescent="0.25">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c r="AA766" s="29"/>
    </row>
    <row r="767" spans="2:27" x14ac:dyDescent="0.25">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c r="AA767" s="29"/>
    </row>
    <row r="768" spans="2:27" x14ac:dyDescent="0.25">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c r="AA768" s="29"/>
    </row>
    <row r="769" spans="2:27" x14ac:dyDescent="0.25">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c r="AA769" s="29"/>
    </row>
    <row r="770" spans="2:27" x14ac:dyDescent="0.25">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c r="AA770" s="29"/>
    </row>
    <row r="771" spans="2:27" x14ac:dyDescent="0.25">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c r="AA771" s="29"/>
    </row>
    <row r="772" spans="2:27" x14ac:dyDescent="0.25">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c r="AA772" s="29"/>
    </row>
    <row r="773" spans="2:27" x14ac:dyDescent="0.25">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c r="AA773" s="29"/>
    </row>
    <row r="774" spans="2:27" x14ac:dyDescent="0.25">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c r="AA774" s="29"/>
    </row>
    <row r="775" spans="2:27" x14ac:dyDescent="0.25">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c r="AA775" s="29"/>
    </row>
    <row r="776" spans="2:27" x14ac:dyDescent="0.25">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c r="AA776" s="29"/>
    </row>
    <row r="777" spans="2:27" x14ac:dyDescent="0.25">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c r="AA777" s="29"/>
    </row>
    <row r="778" spans="2:27" x14ac:dyDescent="0.25">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c r="AA778" s="29"/>
    </row>
    <row r="779" spans="2:27" x14ac:dyDescent="0.25">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c r="AA779" s="29"/>
    </row>
    <row r="780" spans="2:27" x14ac:dyDescent="0.25">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c r="AA780" s="29"/>
    </row>
    <row r="781" spans="2:27" x14ac:dyDescent="0.25">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c r="AA781" s="29"/>
    </row>
    <row r="782" spans="2:27" x14ac:dyDescent="0.25">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c r="AA782" s="29"/>
    </row>
    <row r="783" spans="2:27" x14ac:dyDescent="0.25">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c r="AA783" s="29"/>
    </row>
    <row r="784" spans="2:27" x14ac:dyDescent="0.25">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c r="AA784" s="29"/>
    </row>
    <row r="785" spans="2:27" x14ac:dyDescent="0.25">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c r="AA785" s="29"/>
    </row>
    <row r="786" spans="2:27" x14ac:dyDescent="0.25">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c r="AA786" s="29"/>
    </row>
    <row r="787" spans="2:27" x14ac:dyDescent="0.25">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c r="AA787" s="29"/>
    </row>
    <row r="788" spans="2:27" x14ac:dyDescent="0.25">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c r="AA788" s="29"/>
    </row>
    <row r="789" spans="2:27" x14ac:dyDescent="0.25">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c r="AA789" s="29"/>
    </row>
    <row r="790" spans="2:27" x14ac:dyDescent="0.25">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c r="AA790" s="29"/>
    </row>
    <row r="791" spans="2:27" x14ac:dyDescent="0.25">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c r="AA791" s="29"/>
    </row>
    <row r="792" spans="2:27" x14ac:dyDescent="0.25">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c r="AA792" s="29"/>
    </row>
    <row r="793" spans="2:27" x14ac:dyDescent="0.25">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c r="AA793" s="29"/>
    </row>
    <row r="794" spans="2:27" x14ac:dyDescent="0.25">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c r="AA794" s="29"/>
    </row>
    <row r="795" spans="2:27" x14ac:dyDescent="0.25">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c r="AA795" s="29"/>
    </row>
    <row r="796" spans="2:27" x14ac:dyDescent="0.25">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c r="AA796" s="29"/>
    </row>
    <row r="797" spans="2:27" x14ac:dyDescent="0.25">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c r="AA797" s="29"/>
    </row>
    <row r="798" spans="2:27" x14ac:dyDescent="0.25">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c r="AA798" s="29"/>
    </row>
    <row r="799" spans="2:27" x14ac:dyDescent="0.25">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c r="AA799" s="29"/>
    </row>
    <row r="800" spans="2:27" x14ac:dyDescent="0.25">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c r="AA800" s="29"/>
    </row>
    <row r="801" spans="2:27" x14ac:dyDescent="0.25">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c r="AA801" s="29"/>
    </row>
    <row r="802" spans="2:27" x14ac:dyDescent="0.25">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c r="AA802" s="29"/>
    </row>
    <row r="803" spans="2:27" x14ac:dyDescent="0.25">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c r="AA803" s="29"/>
    </row>
    <row r="804" spans="2:27" x14ac:dyDescent="0.25">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c r="AA804" s="29"/>
    </row>
    <row r="805" spans="2:27" x14ac:dyDescent="0.25">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c r="AA805" s="29"/>
    </row>
    <row r="806" spans="2:27" x14ac:dyDescent="0.25">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c r="AA806" s="29"/>
    </row>
    <row r="807" spans="2:27" x14ac:dyDescent="0.25">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c r="AA807" s="29"/>
    </row>
    <row r="808" spans="2:27" x14ac:dyDescent="0.25">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c r="AA808" s="29"/>
    </row>
    <row r="809" spans="2:27" x14ac:dyDescent="0.25">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c r="AA809" s="29"/>
    </row>
    <row r="810" spans="2:27" x14ac:dyDescent="0.25">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c r="AA810" s="29"/>
    </row>
    <row r="811" spans="2:27" x14ac:dyDescent="0.25">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c r="AA811" s="29"/>
    </row>
    <row r="812" spans="2:27" x14ac:dyDescent="0.25">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c r="AA812" s="29"/>
    </row>
    <row r="813" spans="2:27" x14ac:dyDescent="0.25">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c r="AA813" s="29"/>
    </row>
    <row r="814" spans="2:27" x14ac:dyDescent="0.25">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c r="AA814" s="29"/>
    </row>
    <row r="815" spans="2:27" x14ac:dyDescent="0.25">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c r="AA815" s="29"/>
    </row>
    <row r="816" spans="2:27" x14ac:dyDescent="0.25">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c r="AA816" s="29"/>
    </row>
    <row r="817" spans="2:27" x14ac:dyDescent="0.25">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c r="AA817" s="29"/>
    </row>
    <row r="818" spans="2:27" x14ac:dyDescent="0.25">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c r="AA818" s="29"/>
    </row>
    <row r="819" spans="2:27" x14ac:dyDescent="0.25">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c r="AA819" s="29"/>
    </row>
    <row r="820" spans="2:27" x14ac:dyDescent="0.25">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c r="AA820" s="29"/>
    </row>
    <row r="821" spans="2:27" x14ac:dyDescent="0.25">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c r="AA821" s="29"/>
    </row>
    <row r="822" spans="2:27" x14ac:dyDescent="0.25">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c r="AA822" s="29"/>
    </row>
    <row r="823" spans="2:27" x14ac:dyDescent="0.25">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c r="AA823" s="29"/>
    </row>
    <row r="824" spans="2:27" x14ac:dyDescent="0.25">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c r="AA824" s="29"/>
    </row>
    <row r="825" spans="2:27" x14ac:dyDescent="0.25">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c r="AA825" s="29"/>
    </row>
    <row r="826" spans="2:27" x14ac:dyDescent="0.25">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c r="AA826" s="29"/>
    </row>
    <row r="827" spans="2:27" x14ac:dyDescent="0.25">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c r="AA827" s="29"/>
    </row>
    <row r="828" spans="2:27" x14ac:dyDescent="0.25">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c r="AA828" s="29"/>
    </row>
    <row r="829" spans="2:27" x14ac:dyDescent="0.25">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c r="AA829" s="29"/>
    </row>
    <row r="830" spans="2:27" x14ac:dyDescent="0.25">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c r="AA830" s="29"/>
    </row>
    <row r="831" spans="2:27" x14ac:dyDescent="0.25">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c r="AA831" s="29"/>
    </row>
    <row r="832" spans="2:27" x14ac:dyDescent="0.25">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c r="AA832" s="29"/>
    </row>
    <row r="833" spans="2:27" x14ac:dyDescent="0.25">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c r="AA833" s="29"/>
    </row>
    <row r="834" spans="2:27" x14ac:dyDescent="0.25">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c r="AA834" s="29"/>
    </row>
    <row r="835" spans="2:27" x14ac:dyDescent="0.25">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c r="AA835" s="29"/>
    </row>
    <row r="836" spans="2:27" x14ac:dyDescent="0.25">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c r="AA836" s="29"/>
    </row>
    <row r="837" spans="2:27" x14ac:dyDescent="0.25">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c r="AA837" s="29"/>
    </row>
    <row r="838" spans="2:27" x14ac:dyDescent="0.25">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c r="AA838" s="29"/>
    </row>
    <row r="839" spans="2:27" x14ac:dyDescent="0.25">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c r="AA839" s="29"/>
    </row>
    <row r="840" spans="2:27" x14ac:dyDescent="0.25">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c r="AA840" s="29"/>
    </row>
    <row r="841" spans="2:27" x14ac:dyDescent="0.25">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c r="AA841" s="29"/>
    </row>
    <row r="842" spans="2:27" x14ac:dyDescent="0.25">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c r="AA842" s="29"/>
    </row>
    <row r="843" spans="2:27" x14ac:dyDescent="0.25">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c r="AA843" s="29"/>
    </row>
    <row r="844" spans="2:27" x14ac:dyDescent="0.25">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c r="AA844" s="29"/>
    </row>
    <row r="845" spans="2:27" x14ac:dyDescent="0.25">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c r="AA845" s="29"/>
    </row>
    <row r="846" spans="2:27" x14ac:dyDescent="0.25">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c r="AA846" s="29"/>
    </row>
    <row r="847" spans="2:27" x14ac:dyDescent="0.25">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c r="AA847" s="29"/>
    </row>
    <row r="848" spans="2:27" x14ac:dyDescent="0.25">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c r="AA848" s="29"/>
    </row>
    <row r="849" spans="2:27" x14ac:dyDescent="0.25">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c r="AA849" s="29"/>
    </row>
    <row r="850" spans="2:27" x14ac:dyDescent="0.25">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c r="AA850" s="29"/>
    </row>
    <row r="851" spans="2:27" x14ac:dyDescent="0.25">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c r="AA851" s="29"/>
    </row>
    <row r="852" spans="2:27" x14ac:dyDescent="0.25">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c r="AA852" s="29"/>
    </row>
    <row r="853" spans="2:27" x14ac:dyDescent="0.25">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c r="AA853" s="29"/>
    </row>
    <row r="854" spans="2:27" x14ac:dyDescent="0.25">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c r="AA854" s="29"/>
    </row>
    <row r="855" spans="2:27" x14ac:dyDescent="0.25">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c r="AA855" s="29"/>
    </row>
    <row r="856" spans="2:27" x14ac:dyDescent="0.25">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c r="AA856" s="29"/>
    </row>
    <row r="857" spans="2:27" x14ac:dyDescent="0.25">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c r="AA857" s="29"/>
    </row>
    <row r="858" spans="2:27" x14ac:dyDescent="0.25">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c r="AA858" s="29"/>
    </row>
    <row r="859" spans="2:27" x14ac:dyDescent="0.25">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c r="AA859" s="29"/>
    </row>
    <row r="860" spans="2:27" x14ac:dyDescent="0.25">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c r="AA860" s="29"/>
    </row>
    <row r="861" spans="2:27" x14ac:dyDescent="0.25">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c r="AA861" s="29"/>
    </row>
    <row r="862" spans="2:27" x14ac:dyDescent="0.25">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c r="AA862" s="29"/>
    </row>
    <row r="863" spans="2:27" x14ac:dyDescent="0.25">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c r="AA863" s="29"/>
    </row>
    <row r="864" spans="2:27" x14ac:dyDescent="0.25">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c r="AA864" s="29"/>
    </row>
    <row r="865" spans="2:27" x14ac:dyDescent="0.25">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c r="AA865" s="29"/>
    </row>
    <row r="866" spans="2:27" x14ac:dyDescent="0.25">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c r="AA866" s="29"/>
    </row>
    <row r="867" spans="2:27" x14ac:dyDescent="0.25">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c r="AA867" s="29"/>
    </row>
    <row r="868" spans="2:27" x14ac:dyDescent="0.25">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c r="AA868" s="29"/>
    </row>
    <row r="869" spans="2:27" x14ac:dyDescent="0.25">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c r="AA869" s="29"/>
    </row>
    <row r="870" spans="2:27" x14ac:dyDescent="0.25">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c r="AA870" s="29"/>
    </row>
    <row r="871" spans="2:27" x14ac:dyDescent="0.25">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c r="AA871" s="29"/>
    </row>
    <row r="872" spans="2:27" x14ac:dyDescent="0.25">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c r="AA872" s="29"/>
    </row>
    <row r="873" spans="2:27" x14ac:dyDescent="0.25">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c r="AA873" s="29"/>
    </row>
    <row r="874" spans="2:27" x14ac:dyDescent="0.25">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c r="AA874" s="29"/>
    </row>
    <row r="875" spans="2:27" x14ac:dyDescent="0.25">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c r="AA875" s="29"/>
    </row>
    <row r="876" spans="2:27" x14ac:dyDescent="0.25">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c r="AA876" s="29"/>
    </row>
    <row r="877" spans="2:27" x14ac:dyDescent="0.25">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c r="AA877" s="29"/>
    </row>
    <row r="878" spans="2:27" x14ac:dyDescent="0.25">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c r="AA878" s="29"/>
    </row>
    <row r="879" spans="2:27" x14ac:dyDescent="0.25">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c r="AA879" s="29"/>
    </row>
    <row r="880" spans="2:27" x14ac:dyDescent="0.25">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c r="AA880" s="29"/>
    </row>
    <row r="881" spans="2:27" x14ac:dyDescent="0.25">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c r="AA881" s="29"/>
    </row>
    <row r="882" spans="2:27" x14ac:dyDescent="0.25">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c r="AA882" s="29"/>
    </row>
    <row r="883" spans="2:27" x14ac:dyDescent="0.25">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c r="AA883" s="29"/>
    </row>
    <row r="884" spans="2:27" x14ac:dyDescent="0.25">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c r="AA884" s="29"/>
    </row>
    <row r="885" spans="2:27" x14ac:dyDescent="0.25">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c r="AA885" s="29"/>
    </row>
    <row r="886" spans="2:27" x14ac:dyDescent="0.25">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c r="AA886" s="29"/>
    </row>
    <row r="887" spans="2:27" x14ac:dyDescent="0.25">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c r="AA887" s="29"/>
    </row>
    <row r="888" spans="2:27" x14ac:dyDescent="0.25">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c r="AA888" s="29"/>
    </row>
    <row r="889" spans="2:27" x14ac:dyDescent="0.25">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c r="AA889" s="29"/>
    </row>
    <row r="890" spans="2:27" x14ac:dyDescent="0.25">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c r="AA890" s="29"/>
    </row>
    <row r="891" spans="2:27" x14ac:dyDescent="0.25">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c r="AA891" s="29"/>
    </row>
    <row r="892" spans="2:27" x14ac:dyDescent="0.25">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c r="AA892" s="29"/>
    </row>
    <row r="893" spans="2:27" x14ac:dyDescent="0.25">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c r="AA893" s="29"/>
    </row>
    <row r="894" spans="2:27" x14ac:dyDescent="0.25">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c r="AA894" s="29"/>
    </row>
    <row r="895" spans="2:27" x14ac:dyDescent="0.25">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c r="AA895" s="29"/>
    </row>
    <row r="896" spans="2:27" x14ac:dyDescent="0.25">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c r="AA896" s="29"/>
    </row>
    <row r="897" spans="2:27" x14ac:dyDescent="0.25">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c r="AA897" s="29"/>
    </row>
    <row r="898" spans="2:27" x14ac:dyDescent="0.25">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c r="AA898" s="29"/>
    </row>
    <row r="899" spans="2:27" x14ac:dyDescent="0.25">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c r="AA899" s="29"/>
    </row>
    <row r="900" spans="2:27" x14ac:dyDescent="0.25">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c r="AA900" s="29"/>
    </row>
    <row r="901" spans="2:27" x14ac:dyDescent="0.25">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c r="AA901" s="29"/>
    </row>
    <row r="902" spans="2:27" x14ac:dyDescent="0.25">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c r="AA902" s="29"/>
    </row>
    <row r="903" spans="2:27" x14ac:dyDescent="0.25">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c r="AA903" s="29"/>
    </row>
    <row r="904" spans="2:27" x14ac:dyDescent="0.25">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c r="AA904" s="29"/>
    </row>
    <row r="905" spans="2:27" x14ac:dyDescent="0.25">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c r="AA905" s="29"/>
    </row>
    <row r="906" spans="2:27" x14ac:dyDescent="0.25">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c r="AA906" s="29"/>
    </row>
    <row r="907" spans="2:27" x14ac:dyDescent="0.25">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c r="AA907" s="29"/>
    </row>
    <row r="908" spans="2:27" x14ac:dyDescent="0.25">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c r="AA908" s="29"/>
    </row>
    <row r="909" spans="2:27" x14ac:dyDescent="0.25">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c r="AA909" s="29"/>
    </row>
    <row r="910" spans="2:27" x14ac:dyDescent="0.25">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c r="AA910" s="29"/>
    </row>
    <row r="911" spans="2:27" x14ac:dyDescent="0.25">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c r="AA911" s="29"/>
    </row>
  </sheetData>
  <mergeCells count="1">
    <mergeCell ref="B1:AA8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9D421-8C09-4773-AC68-2A499624552C}">
  <dimension ref="A1:S30"/>
  <sheetViews>
    <sheetView topLeftCell="A9" workbookViewId="0">
      <selection activeCell="M26" sqref="M26"/>
    </sheetView>
  </sheetViews>
  <sheetFormatPr defaultRowHeight="15" x14ac:dyDescent="0.25"/>
  <cols>
    <col min="11" max="11" width="17.85546875" customWidth="1"/>
    <col min="12" max="12" width="10" customWidth="1"/>
  </cols>
  <sheetData>
    <row r="1" spans="1:17" ht="15" customHeight="1" x14ac:dyDescent="0.25">
      <c r="A1" s="30" t="s">
        <v>74</v>
      </c>
      <c r="B1" s="30"/>
      <c r="C1" s="30"/>
      <c r="D1" s="30"/>
      <c r="E1" s="30"/>
      <c r="F1" s="30"/>
      <c r="G1" s="30"/>
      <c r="H1" s="30"/>
      <c r="I1" s="30"/>
      <c r="J1" s="30"/>
      <c r="K1" s="30"/>
      <c r="L1" s="30"/>
    </row>
    <row r="2" spans="1:17" ht="15" customHeight="1" x14ac:dyDescent="0.25">
      <c r="A2" s="30"/>
      <c r="B2" s="30"/>
      <c r="C2" s="30"/>
      <c r="D2" s="30"/>
      <c r="E2" s="30"/>
      <c r="F2" s="30"/>
      <c r="G2" s="30"/>
      <c r="H2" s="30"/>
      <c r="I2" s="30"/>
      <c r="J2" s="30"/>
      <c r="K2" s="30"/>
      <c r="L2" s="30"/>
    </row>
    <row r="3" spans="1:17" x14ac:dyDescent="0.25">
      <c r="A3" s="31" t="s">
        <v>75</v>
      </c>
      <c r="B3" s="31"/>
      <c r="C3" s="31"/>
      <c r="D3" s="31"/>
      <c r="E3" s="31"/>
      <c r="F3" s="31"/>
      <c r="G3" s="31"/>
      <c r="H3" s="31"/>
      <c r="I3" s="31"/>
      <c r="J3" s="31"/>
      <c r="K3" s="31"/>
      <c r="L3" s="31"/>
    </row>
    <row r="4" spans="1:17" x14ac:dyDescent="0.25">
      <c r="A4" s="31"/>
      <c r="B4" s="31"/>
      <c r="C4" s="31"/>
      <c r="D4" s="31"/>
      <c r="E4" s="31"/>
      <c r="F4" s="31"/>
      <c r="G4" s="31"/>
      <c r="H4" s="31"/>
      <c r="I4" s="31"/>
      <c r="J4" s="31"/>
      <c r="K4" s="31"/>
      <c r="L4" s="31"/>
    </row>
    <row r="5" spans="1:17" x14ac:dyDescent="0.25">
      <c r="A5" s="31"/>
      <c r="B5" s="31"/>
      <c r="C5" s="31"/>
      <c r="D5" s="31"/>
      <c r="E5" s="31"/>
      <c r="F5" s="31"/>
      <c r="G5" s="31"/>
      <c r="H5" s="31"/>
      <c r="I5" s="31"/>
      <c r="J5" s="31"/>
      <c r="K5" s="31"/>
      <c r="L5" s="31"/>
      <c r="O5" s="17"/>
      <c r="P5" s="17"/>
    </row>
    <row r="6" spans="1:17" ht="48" customHeight="1" x14ac:dyDescent="0.25">
      <c r="A6" s="32" t="s">
        <v>76</v>
      </c>
      <c r="B6" s="33"/>
      <c r="C6" s="33"/>
      <c r="D6" s="33"/>
      <c r="E6" s="33"/>
      <c r="F6" s="33"/>
      <c r="G6" s="33"/>
      <c r="H6" s="33"/>
      <c r="I6" s="33"/>
      <c r="J6" s="33"/>
      <c r="K6" s="33"/>
      <c r="L6" s="33"/>
    </row>
    <row r="7" spans="1:17" ht="18.75" x14ac:dyDescent="0.25">
      <c r="A7" s="34" t="s">
        <v>77</v>
      </c>
      <c r="B7" s="34"/>
      <c r="C7" s="34"/>
      <c r="D7" s="34"/>
      <c r="E7" s="34"/>
      <c r="F7" s="34"/>
      <c r="G7" s="34"/>
      <c r="H7" s="34"/>
      <c r="I7" s="34"/>
      <c r="J7" s="34"/>
      <c r="K7" s="34"/>
      <c r="L7" s="34"/>
    </row>
    <row r="8" spans="1:17" ht="81.75" customHeight="1" x14ac:dyDescent="0.25">
      <c r="A8" s="32" t="s">
        <v>78</v>
      </c>
      <c r="B8" s="33"/>
      <c r="C8" s="33"/>
      <c r="D8" s="33"/>
      <c r="E8" s="33"/>
      <c r="F8" s="33"/>
      <c r="G8" s="33"/>
      <c r="H8" s="33"/>
      <c r="I8" s="33"/>
      <c r="J8" s="33"/>
      <c r="K8" s="33"/>
      <c r="L8" s="33"/>
    </row>
    <row r="9" spans="1:17" ht="18.75" x14ac:dyDescent="0.25">
      <c r="A9" s="35" t="s">
        <v>79</v>
      </c>
      <c r="B9" s="35"/>
      <c r="C9" s="35"/>
      <c r="D9" s="35"/>
      <c r="E9" s="35"/>
      <c r="F9" s="35"/>
      <c r="G9" s="35"/>
      <c r="H9" s="35"/>
      <c r="I9" s="35"/>
      <c r="J9" s="35"/>
      <c r="K9" s="35"/>
      <c r="L9" s="35"/>
    </row>
    <row r="10" spans="1:17" x14ac:dyDescent="0.25">
      <c r="A10" s="33" t="s">
        <v>80</v>
      </c>
      <c r="B10" s="33"/>
      <c r="C10" s="33"/>
      <c r="D10" s="33"/>
      <c r="E10" s="33"/>
      <c r="F10" s="33"/>
      <c r="G10" s="33"/>
      <c r="H10" s="33"/>
      <c r="I10" s="33"/>
      <c r="J10" s="33"/>
      <c r="K10" s="33"/>
      <c r="L10" s="33"/>
      <c r="Q10" s="5"/>
    </row>
    <row r="11" spans="1:17" ht="15.75" customHeight="1" x14ac:dyDescent="0.25">
      <c r="A11" s="33" t="s">
        <v>81</v>
      </c>
      <c r="B11" s="33"/>
      <c r="C11" s="33"/>
      <c r="D11" s="33"/>
      <c r="E11" s="33"/>
      <c r="F11" s="33"/>
      <c r="G11" s="33"/>
      <c r="H11" s="33"/>
      <c r="I11" s="33"/>
      <c r="J11" s="33"/>
      <c r="K11" s="33"/>
      <c r="L11" s="33"/>
    </row>
    <row r="12" spans="1:17" ht="14.25" customHeight="1" x14ac:dyDescent="0.25">
      <c r="A12" s="33" t="s">
        <v>82</v>
      </c>
      <c r="B12" s="33"/>
      <c r="C12" s="33"/>
      <c r="D12" s="33"/>
      <c r="E12" s="33"/>
      <c r="F12" s="33"/>
      <c r="G12" s="33"/>
      <c r="H12" s="33"/>
      <c r="I12" s="33"/>
      <c r="J12" s="33"/>
      <c r="K12" s="33"/>
      <c r="L12" s="33"/>
    </row>
    <row r="13" spans="1:17" x14ac:dyDescent="0.25">
      <c r="A13" s="36" t="s">
        <v>83</v>
      </c>
      <c r="B13" s="37"/>
      <c r="C13" s="37"/>
      <c r="D13" s="37"/>
      <c r="E13" s="37"/>
      <c r="F13" s="37"/>
      <c r="G13" s="37"/>
      <c r="H13" s="37"/>
      <c r="I13" s="37"/>
      <c r="J13" s="37"/>
      <c r="K13" s="37"/>
      <c r="L13" s="37"/>
    </row>
    <row r="14" spans="1:17" ht="29.25" customHeight="1" x14ac:dyDescent="0.25">
      <c r="A14" s="32" t="s">
        <v>84</v>
      </c>
      <c r="B14" s="33"/>
      <c r="C14" s="33"/>
      <c r="D14" s="33"/>
      <c r="E14" s="33"/>
      <c r="F14" s="33"/>
      <c r="G14" s="33"/>
      <c r="H14" s="33"/>
      <c r="I14" s="33"/>
      <c r="J14" s="33"/>
      <c r="K14" s="33"/>
      <c r="L14" s="33"/>
    </row>
    <row r="15" spans="1:17" x14ac:dyDescent="0.25">
      <c r="A15" s="10"/>
      <c r="B15" s="10"/>
      <c r="C15" s="10"/>
      <c r="D15" s="10"/>
      <c r="E15" s="10"/>
      <c r="F15" s="10"/>
      <c r="G15" s="10"/>
      <c r="H15" s="10"/>
      <c r="I15" s="10"/>
      <c r="J15" s="10"/>
      <c r="K15" s="10"/>
      <c r="L15" s="10"/>
    </row>
    <row r="16" spans="1:17" ht="18.75" x14ac:dyDescent="0.3">
      <c r="A16" s="38" t="s">
        <v>85</v>
      </c>
      <c r="B16" s="38"/>
      <c r="C16" s="38"/>
      <c r="D16" s="38"/>
      <c r="E16" s="38"/>
      <c r="F16" s="38"/>
      <c r="G16" s="38"/>
      <c r="H16" s="38"/>
      <c r="I16" s="38"/>
      <c r="J16" s="38"/>
      <c r="K16" s="38"/>
      <c r="L16" s="38"/>
    </row>
    <row r="17" spans="1:19" x14ac:dyDescent="0.25">
      <c r="A17" s="39" t="s">
        <v>86</v>
      </c>
      <c r="B17" s="39"/>
      <c r="C17" s="39"/>
      <c r="D17" s="39"/>
      <c r="E17" s="39"/>
      <c r="F17" s="39"/>
      <c r="G17" s="39"/>
      <c r="H17" s="39"/>
      <c r="I17" s="39"/>
      <c r="J17" s="39"/>
      <c r="K17" s="39"/>
      <c r="L17" s="39"/>
    </row>
    <row r="18" spans="1:19" x14ac:dyDescent="0.25">
      <c r="A18" s="39" t="s">
        <v>87</v>
      </c>
      <c r="B18" s="39"/>
      <c r="C18" s="39"/>
      <c r="D18" s="39"/>
      <c r="E18" s="39"/>
      <c r="F18" s="39"/>
      <c r="G18" s="39"/>
      <c r="H18" s="39"/>
      <c r="I18" s="39"/>
      <c r="J18" s="39"/>
      <c r="K18" s="39"/>
      <c r="L18" s="39"/>
      <c r="M18" s="39"/>
    </row>
    <row r="19" spans="1:19" x14ac:dyDescent="0.25">
      <c r="A19" s="39" t="s">
        <v>88</v>
      </c>
      <c r="B19" s="39"/>
      <c r="C19" s="39"/>
      <c r="D19" s="39"/>
      <c r="E19" s="39"/>
      <c r="F19" s="39"/>
      <c r="G19" s="39"/>
      <c r="H19" s="39"/>
      <c r="I19" s="39"/>
      <c r="J19" s="39"/>
      <c r="K19" s="39"/>
      <c r="L19" s="39"/>
      <c r="M19" s="39"/>
    </row>
    <row r="20" spans="1:19" x14ac:dyDescent="0.25">
      <c r="A20" s="39" t="s">
        <v>89</v>
      </c>
      <c r="B20" s="39"/>
      <c r="C20" s="39"/>
      <c r="D20" s="39"/>
      <c r="E20" s="39"/>
      <c r="F20" s="39"/>
      <c r="G20" s="39"/>
      <c r="H20" s="39"/>
      <c r="I20" s="39"/>
      <c r="J20" s="39"/>
      <c r="K20" s="39"/>
      <c r="L20" s="39"/>
    </row>
    <row r="21" spans="1:19" x14ac:dyDescent="0.25">
      <c r="A21" s="39" t="s">
        <v>90</v>
      </c>
      <c r="B21" s="39"/>
      <c r="C21" s="39"/>
      <c r="D21" s="39"/>
      <c r="E21" s="39"/>
      <c r="F21" s="39"/>
      <c r="G21" s="39"/>
      <c r="H21" s="39"/>
      <c r="I21" s="39"/>
      <c r="J21" s="39"/>
      <c r="K21" s="39"/>
      <c r="L21" s="39"/>
    </row>
    <row r="22" spans="1:19" x14ac:dyDescent="0.25">
      <c r="A22" s="39" t="s">
        <v>91</v>
      </c>
      <c r="B22" s="39"/>
      <c r="C22" s="39"/>
      <c r="D22" s="39"/>
      <c r="E22" s="39"/>
      <c r="F22" s="39"/>
      <c r="G22" s="39"/>
      <c r="H22" s="39"/>
      <c r="I22" s="39"/>
      <c r="J22" s="39"/>
      <c r="K22" s="39"/>
      <c r="L22" s="39"/>
    </row>
    <row r="23" spans="1:19" x14ac:dyDescent="0.25">
      <c r="A23" s="39" t="s">
        <v>92</v>
      </c>
      <c r="B23" s="39"/>
      <c r="C23" s="39"/>
      <c r="D23" s="39"/>
      <c r="E23" s="39"/>
      <c r="F23" s="39"/>
      <c r="G23" s="39"/>
      <c r="H23" s="39"/>
      <c r="I23" s="39"/>
      <c r="J23" s="39"/>
      <c r="K23" s="39"/>
      <c r="L23" s="39"/>
    </row>
    <row r="24" spans="1:19" x14ac:dyDescent="0.25">
      <c r="A24" s="39" t="s">
        <v>93</v>
      </c>
      <c r="B24" s="39"/>
      <c r="C24" s="39"/>
      <c r="D24" s="39"/>
      <c r="E24" s="39"/>
      <c r="F24" s="39"/>
      <c r="G24" s="39"/>
      <c r="H24" s="39"/>
      <c r="I24" s="39"/>
      <c r="J24" s="39"/>
      <c r="K24" s="39"/>
      <c r="L24" s="39"/>
      <c r="M24" s="39"/>
    </row>
    <row r="25" spans="1:19" x14ac:dyDescent="0.25">
      <c r="A25" s="39" t="s">
        <v>94</v>
      </c>
      <c r="B25" s="39"/>
      <c r="C25" s="39"/>
      <c r="D25" s="39"/>
      <c r="E25" s="39"/>
      <c r="F25" s="39"/>
      <c r="G25" s="39"/>
      <c r="H25" s="39"/>
      <c r="I25" s="39"/>
      <c r="J25" s="39"/>
      <c r="K25" s="39"/>
      <c r="L25" s="39"/>
    </row>
    <row r="26" spans="1:19" x14ac:dyDescent="0.25">
      <c r="A26" s="39" t="s">
        <v>95</v>
      </c>
      <c r="B26" s="39"/>
      <c r="C26" s="39"/>
      <c r="D26" s="39"/>
      <c r="E26" s="39"/>
      <c r="F26" s="39"/>
      <c r="G26" s="39"/>
      <c r="H26" s="39"/>
      <c r="I26" s="39"/>
      <c r="J26" s="39"/>
      <c r="K26" s="39"/>
      <c r="L26" s="39"/>
    </row>
    <row r="27" spans="1:19" ht="14.25" customHeight="1" x14ac:dyDescent="0.25">
      <c r="A27" s="40" t="s">
        <v>96</v>
      </c>
      <c r="B27" s="40"/>
      <c r="C27" s="40"/>
      <c r="D27" s="40"/>
      <c r="E27" s="40"/>
      <c r="F27" s="40"/>
      <c r="G27" s="40"/>
      <c r="H27" s="40"/>
      <c r="I27" s="40"/>
      <c r="J27" s="40"/>
      <c r="K27" s="40"/>
      <c r="L27" s="40"/>
      <c r="M27" s="40"/>
    </row>
    <row r="28" spans="1:19" ht="14.25" customHeight="1" x14ac:dyDescent="0.25">
      <c r="A28" s="32"/>
      <c r="B28" s="33"/>
      <c r="C28" s="33"/>
      <c r="D28" s="33"/>
      <c r="E28" s="33"/>
      <c r="F28" s="33"/>
      <c r="G28" s="33"/>
      <c r="H28" s="33"/>
      <c r="I28" s="33"/>
      <c r="J28" s="33"/>
      <c r="K28" s="33"/>
      <c r="L28" s="33"/>
      <c r="M28" s="33"/>
      <c r="P28" s="5"/>
      <c r="S28" s="5"/>
    </row>
    <row r="29" spans="1:19" ht="18.75" x14ac:dyDescent="0.3">
      <c r="A29" s="38" t="s">
        <v>97</v>
      </c>
      <c r="B29" s="38"/>
      <c r="C29" s="38"/>
      <c r="D29" s="38"/>
      <c r="E29" s="38"/>
      <c r="F29" s="38"/>
      <c r="G29" s="38"/>
      <c r="H29" s="38"/>
      <c r="I29" s="38"/>
      <c r="J29" s="38"/>
      <c r="K29" s="38"/>
      <c r="L29" s="38"/>
      <c r="M29" s="38"/>
    </row>
    <row r="30" spans="1:19" ht="138.75" customHeight="1" x14ac:dyDescent="0.25">
      <c r="A30" s="41" t="s">
        <v>98</v>
      </c>
      <c r="B30" s="42"/>
      <c r="C30" s="42"/>
      <c r="D30" s="42"/>
      <c r="E30" s="42"/>
      <c r="F30" s="42"/>
      <c r="G30" s="42"/>
      <c r="H30" s="42"/>
      <c r="I30" s="42"/>
      <c r="J30" s="42"/>
      <c r="K30" s="42"/>
      <c r="L30" s="42"/>
      <c r="M30" s="42"/>
    </row>
  </sheetData>
  <mergeCells count="27">
    <mergeCell ref="A28:M28"/>
    <mergeCell ref="A29:M29"/>
    <mergeCell ref="A30:M30"/>
    <mergeCell ref="A22:L22"/>
    <mergeCell ref="A23:L23"/>
    <mergeCell ref="A24:M24"/>
    <mergeCell ref="A25:L25"/>
    <mergeCell ref="A26:L26"/>
    <mergeCell ref="A27:M27"/>
    <mergeCell ref="A16:L16"/>
    <mergeCell ref="A17:L17"/>
    <mergeCell ref="A18:M18"/>
    <mergeCell ref="A19:M19"/>
    <mergeCell ref="A20:L20"/>
    <mergeCell ref="A21:L21"/>
    <mergeCell ref="A10:L10"/>
    <mergeCell ref="A11:L11"/>
    <mergeCell ref="A12:L12"/>
    <mergeCell ref="A13:L13"/>
    <mergeCell ref="A14:L14"/>
    <mergeCell ref="A15:L15"/>
    <mergeCell ref="A1:L2"/>
    <mergeCell ref="A3:L5"/>
    <mergeCell ref="A6:L6"/>
    <mergeCell ref="A7:L7"/>
    <mergeCell ref="A8:L8"/>
    <mergeCell ref="A9:L9"/>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clean-data workspace</vt:lpstr>
      <vt:lpstr>pivot table</vt:lpstr>
      <vt:lpstr>logistics dashboard</vt:lpstr>
      <vt:lpstr>logistics analysis report</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SAMNA F</dc:creator>
  <cp:lastModifiedBy>SAMNA F</cp:lastModifiedBy>
  <dcterms:created xsi:type="dcterms:W3CDTF">2026-10-14T13:59:29Z</dcterms:created>
  <dcterms:modified xsi:type="dcterms:W3CDTF">2026-10-14T14:06:37Z</dcterms:modified>
</cp:coreProperties>
</file>